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30.92\RPA Excel Template\Accounting Finance\Santy\Profit Loss\"/>
    </mc:Choice>
  </mc:AlternateContent>
  <xr:revisionPtr revIDLastSave="0" documentId="13_ncr:1_{AB2827FA-00E2-4C67-BED0-E091D6DFC5EE}" xr6:coauthVersionLast="47" xr6:coauthVersionMax="47" xr10:uidLastSave="{00000000-0000-0000-0000-000000000000}"/>
  <bookViews>
    <workbookView xWindow="-120" yWindow="-120" windowWidth="20730" windowHeight="11310" tabRatio="900" activeTab="3" xr2:uid="{00000000-000D-0000-FFFF-FFFF00000000}"/>
  </bookViews>
  <sheets>
    <sheet name="PETUNJUK" sheetId="1" r:id="rId1"/>
    <sheet name="BREAKDOWN" sheetId="282" r:id="rId2"/>
    <sheet name="FILE JDE" sheetId="283" r:id="rId3"/>
    <sheet name="TABEL" sheetId="284" r:id="rId4"/>
  </sheets>
  <definedNames>
    <definedName name="_xlnm._FilterDatabase" localSheetId="0" hidden="1">PETUNJUK!$DQ$1:$DQ$2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J204" i="284" l="1"/>
  <c r="AK204" i="284"/>
  <c r="AI204" i="284"/>
  <c r="AH204" i="284"/>
  <c r="AG204" i="284"/>
  <c r="AF204" i="284"/>
  <c r="AE204" i="284"/>
  <c r="AD204" i="284"/>
  <c r="AC204" i="284"/>
  <c r="AB204" i="284"/>
  <c r="AA204" i="284"/>
  <c r="Z204" i="284"/>
  <c r="Y204" i="284"/>
  <c r="X204" i="284"/>
  <c r="W204" i="284"/>
  <c r="V204" i="284"/>
  <c r="U204" i="284"/>
  <c r="T204" i="284"/>
  <c r="S204" i="284"/>
  <c r="R204" i="284"/>
  <c r="Q204" i="284"/>
  <c r="P204" i="284"/>
  <c r="O204" i="284"/>
  <c r="N204" i="284"/>
  <c r="M204" i="284"/>
  <c r="L204" i="284"/>
  <c r="K204" i="284"/>
  <c r="J204" i="284"/>
  <c r="I204" i="284"/>
  <c r="H204" i="284"/>
  <c r="G204" i="284"/>
  <c r="F204" i="284"/>
  <c r="E204" i="284"/>
  <c r="D204" i="284"/>
  <c r="DH1" i="1"/>
  <c r="DH2" i="1" l="1"/>
  <c r="CT3" i="1"/>
  <c r="DJ1" i="1" s="1"/>
  <c r="DI5" i="1" s="1"/>
  <c r="CQ1" i="1"/>
  <c r="CT2" i="1" s="1"/>
  <c r="DI1" i="1" l="1"/>
  <c r="DI6" i="1" s="1"/>
  <c r="N4" i="1" s="1"/>
  <c r="DH3" i="1"/>
  <c r="DD32" i="1" l="1"/>
  <c r="CX2" i="1" l="1"/>
  <c r="DA4" i="1" s="1"/>
  <c r="DI2" i="1" l="1"/>
  <c r="DI4" i="1"/>
  <c r="DI3" i="1"/>
  <c r="DC1" i="1" l="1"/>
  <c r="DD1" i="1" s="1"/>
  <c r="DC31" i="1"/>
  <c r="DD31" i="1" s="1"/>
  <c r="DC12" i="1"/>
  <c r="DD12" i="1" s="1"/>
  <c r="DC19" i="1"/>
  <c r="DD19" i="1" s="1"/>
  <c r="DC17" i="1"/>
  <c r="DD17" i="1" s="1"/>
  <c r="DC23" i="1"/>
  <c r="DD23" i="1" s="1"/>
  <c r="DC6" i="1"/>
  <c r="DD6" i="1" s="1"/>
  <c r="DC26" i="1"/>
  <c r="DD26" i="1" s="1"/>
  <c r="DC29" i="1"/>
  <c r="DD29" i="1" s="1"/>
  <c r="DC27" i="1"/>
  <c r="DD27" i="1" s="1"/>
  <c r="DC22" i="1"/>
  <c r="DD22" i="1" s="1"/>
  <c r="DC8" i="1"/>
  <c r="DD8" i="1" s="1"/>
  <c r="DC4" i="1"/>
  <c r="DD4" i="1" s="1"/>
  <c r="DC30" i="1"/>
  <c r="DD30" i="1" s="1"/>
  <c r="DC7" i="1"/>
  <c r="DD7" i="1" s="1"/>
  <c r="DC2" i="1"/>
  <c r="DD2" i="1" s="1"/>
  <c r="DC28" i="1"/>
  <c r="DD28" i="1" s="1"/>
  <c r="DC5" i="1"/>
  <c r="DD5" i="1" s="1"/>
  <c r="DC16" i="1"/>
  <c r="DD16" i="1" s="1"/>
  <c r="DC11" i="1"/>
  <c r="DD11" i="1" s="1"/>
  <c r="DC20" i="1"/>
  <c r="DD20" i="1" s="1"/>
  <c r="DC24" i="1"/>
  <c r="DD24" i="1" s="1"/>
  <c r="DC15" i="1"/>
  <c r="DD15" i="1" s="1"/>
  <c r="DC13" i="1"/>
  <c r="DD13" i="1" s="1"/>
  <c r="DC25" i="1"/>
  <c r="DD25" i="1" s="1"/>
  <c r="DC9" i="1"/>
  <c r="DD9" i="1" s="1"/>
  <c r="DC14" i="1"/>
  <c r="DD14" i="1" s="1"/>
  <c r="DC18" i="1"/>
  <c r="DD18" i="1" s="1"/>
  <c r="DC3" i="1"/>
  <c r="DD3" i="1" s="1"/>
  <c r="DC21" i="1"/>
  <c r="DD21" i="1" s="1"/>
  <c r="DC10" i="1"/>
  <c r="DD10" i="1" s="1"/>
  <c r="DL1" i="1" l="1"/>
  <c r="DE2" i="1"/>
  <c r="DE3" i="1" s="1"/>
  <c r="DE4" i="1" s="1"/>
  <c r="DE5" i="1" s="1"/>
  <c r="DE6" i="1" s="1"/>
  <c r="DE7" i="1" s="1"/>
  <c r="DE8" i="1" s="1"/>
  <c r="DE9" i="1" s="1"/>
  <c r="DE10" i="1" s="1"/>
  <c r="DE11" i="1" s="1"/>
  <c r="DE12" i="1" s="1"/>
  <c r="DE13" i="1" s="1"/>
  <c r="DE14" i="1" s="1"/>
  <c r="DE15" i="1" s="1"/>
  <c r="DE16" i="1" s="1"/>
  <c r="DE17" i="1" s="1"/>
  <c r="DE18" i="1" s="1"/>
  <c r="DE19" i="1" s="1"/>
  <c r="DE20" i="1" s="1"/>
  <c r="DE21" i="1" s="1"/>
  <c r="DE22" i="1" s="1"/>
  <c r="DE23" i="1" s="1"/>
  <c r="DE24" i="1" s="1"/>
  <c r="DE25" i="1" s="1"/>
  <c r="DE26" i="1" s="1"/>
  <c r="DE27" i="1" s="1"/>
  <c r="DE28" i="1" s="1"/>
  <c r="DE29" i="1" s="1"/>
  <c r="DE30" i="1" s="1"/>
  <c r="DE31" i="1" s="1"/>
</calcChain>
</file>

<file path=xl/sharedStrings.xml><?xml version="1.0" encoding="utf-8"?>
<sst xmlns="http://schemas.openxmlformats.org/spreadsheetml/2006/main" count="45514" uniqueCount="1168">
  <si>
    <t>No Account</t>
  </si>
  <si>
    <t>MONTH :</t>
  </si>
  <si>
    <t>YEAR :</t>
  </si>
  <si>
    <t/>
  </si>
  <si>
    <t>No</t>
  </si>
  <si>
    <t>Plan Budget</t>
  </si>
  <si>
    <t>Lokasi Tarikan :</t>
  </si>
  <si>
    <t>FUEL FOR MOTOR VEHICLE</t>
  </si>
  <si>
    <t>1201.630110</t>
  </si>
  <si>
    <t>LABOR COST</t>
  </si>
  <si>
    <t>1201.630130</t>
  </si>
  <si>
    <t>MEDICAL ALLOWANCE</t>
  </si>
  <si>
    <t>1201.801160</t>
  </si>
  <si>
    <t>JAMSOSTEK</t>
  </si>
  <si>
    <t>1201.630200</t>
  </si>
  <si>
    <t>FARE ALLOWANCE</t>
  </si>
  <si>
    <t>1201.630520</t>
  </si>
  <si>
    <t>FREIGHT EXPENSES</t>
  </si>
  <si>
    <t>FREIGHT IN</t>
  </si>
  <si>
    <t>1201.630600</t>
  </si>
  <si>
    <t>VENDOR EXPENSES</t>
  </si>
  <si>
    <t>1201.630400</t>
  </si>
  <si>
    <t>ELECTRICITY</t>
  </si>
  <si>
    <t>1201.630710</t>
  </si>
  <si>
    <t>MAINT. &amp; REP. BUILDING</t>
  </si>
  <si>
    <t>1201.630720</t>
  </si>
  <si>
    <t>MAINT. &amp; REP. MACHINERIE</t>
  </si>
  <si>
    <t>1201.630730</t>
  </si>
  <si>
    <t>MAINT. &amp; REP. PLANT EQUI</t>
  </si>
  <si>
    <t>1201.630740</t>
  </si>
  <si>
    <t>MAINT. &amp; REP. WATER INSTL.</t>
  </si>
  <si>
    <t>1201.630750</t>
  </si>
  <si>
    <t>MAINT. &amp; REP. GEN&amp;BOILER</t>
  </si>
  <si>
    <t>1201.630760</t>
  </si>
  <si>
    <t>MAINT. &amp; REP. MOTOR VEHICLE</t>
  </si>
  <si>
    <t>1201.630770</t>
  </si>
  <si>
    <t>MAINT. &amp; REP. ELECTRICITY</t>
  </si>
  <si>
    <t>1201.630900</t>
  </si>
  <si>
    <t>INSURANCE EXP. OF BUILD.&amp;</t>
  </si>
  <si>
    <t>1201.631000</t>
  </si>
  <si>
    <t>RENT EXPENSES</t>
  </si>
  <si>
    <t>1201.630450</t>
  </si>
  <si>
    <t>WATER</t>
  </si>
  <si>
    <t>1201.631100</t>
  </si>
  <si>
    <t>OTHER PRODUCTION COST</t>
  </si>
  <si>
    <t>1201.710200</t>
  </si>
  <si>
    <t>SAMPLE EXPENSES</t>
  </si>
  <si>
    <t>1201.720100</t>
  </si>
  <si>
    <t>TRUCKING EXPENSES</t>
  </si>
  <si>
    <t>1201.720400</t>
  </si>
  <si>
    <t>EXPEDITION/SEA FREIGHT</t>
  </si>
  <si>
    <t>1201.720500</t>
  </si>
  <si>
    <t>AIR FREIGHT</t>
  </si>
  <si>
    <t>1201.730200</t>
  </si>
  <si>
    <t>SALES COMMISSION</t>
  </si>
  <si>
    <t>1201.730300</t>
  </si>
  <si>
    <t>FABRIC TESTED CHARGES</t>
  </si>
  <si>
    <t>1201.801110</t>
  </si>
  <si>
    <t>OFFICER SALARIES</t>
  </si>
  <si>
    <t>1201.801120</t>
  </si>
  <si>
    <t>1201.802120</t>
  </si>
  <si>
    <t>TELEPHONE EXPENSES</t>
  </si>
  <si>
    <t>1201.802140</t>
  </si>
  <si>
    <t>INTERNET EXPENSES</t>
  </si>
  <si>
    <t>1201.805120</t>
  </si>
  <si>
    <t>PREMIUM COST</t>
  </si>
  <si>
    <t>1201.807100</t>
  </si>
  <si>
    <t>CONTRIBUTION COST</t>
  </si>
  <si>
    <t>1201.808100</t>
  </si>
  <si>
    <t>1201.809100</t>
  </si>
  <si>
    <t>LEGAL EXPENSES</t>
  </si>
  <si>
    <t>1201.810110</t>
  </si>
  <si>
    <t>MAINT. OFFICE EQUIP.</t>
  </si>
  <si>
    <t>1201.810120</t>
  </si>
  <si>
    <t>MAINT. MOTOR VEHICLE</t>
  </si>
  <si>
    <t>1201.810130</t>
  </si>
  <si>
    <t>MAINTENANCE HOUSE</t>
  </si>
  <si>
    <t>1201.812100</t>
  </si>
  <si>
    <t>BUSINESS TRIP EXPENSES</t>
  </si>
  <si>
    <t>1201.813100</t>
  </si>
  <si>
    <t>ENTERTAINMENT</t>
  </si>
  <si>
    <t>1201.814110</t>
  </si>
  <si>
    <t>TRAINING BY EMPLOYEE</t>
  </si>
  <si>
    <t>1201.815110</t>
  </si>
  <si>
    <t>RENT EXPENSES BUILDING</t>
  </si>
  <si>
    <t>1201.815120</t>
  </si>
  <si>
    <t>RENT EXPENSES LAND</t>
  </si>
  <si>
    <t>1201.816110</t>
  </si>
  <si>
    <t>INSURANCE EXPENSES</t>
  </si>
  <si>
    <t>1201.816120</t>
  </si>
  <si>
    <t>ACCOUNTING &amp; TAX ADVISORY EXP.</t>
  </si>
  <si>
    <t>1201.816130</t>
  </si>
  <si>
    <t>OFFICE SUPPLIES EXPENSES</t>
  </si>
  <si>
    <t>1201.911000</t>
  </si>
  <si>
    <t>AMENDS/CLAIMS REVENUE</t>
  </si>
  <si>
    <t>1201.910100</t>
  </si>
  <si>
    <t>INTEREST INCOME</t>
  </si>
  <si>
    <t>1201.920600</t>
  </si>
  <si>
    <t>WASTE &amp; SCRAP COST</t>
  </si>
  <si>
    <t>1201.920700</t>
  </si>
  <si>
    <t>TAXES</t>
  </si>
  <si>
    <t>1201.920120</t>
  </si>
  <si>
    <t>INTEREST EXP OF DOMESTIC</t>
  </si>
  <si>
    <t>1201.920410</t>
  </si>
  <si>
    <t>BANK CHARGES</t>
  </si>
  <si>
    <t>1201.630530</t>
  </si>
  <si>
    <t>1204.630110</t>
  </si>
  <si>
    <t>1205.630110</t>
  </si>
  <si>
    <t>1206.630110</t>
  </si>
  <si>
    <t>1204.630130</t>
  </si>
  <si>
    <t>1205.630130</t>
  </si>
  <si>
    <t>1206.630130</t>
  </si>
  <si>
    <t>1204.801160</t>
  </si>
  <si>
    <t>1205.801160</t>
  </si>
  <si>
    <t>1206.801160</t>
  </si>
  <si>
    <t>1204.630200</t>
  </si>
  <si>
    <t>1205.630200</t>
  </si>
  <si>
    <t>1206.630200</t>
  </si>
  <si>
    <t>1204.630520</t>
  </si>
  <si>
    <t>1205.630520</t>
  </si>
  <si>
    <t>1206.630520</t>
  </si>
  <si>
    <t>1204.630530</t>
  </si>
  <si>
    <t>1205.630530</t>
  </si>
  <si>
    <t>1206.630530</t>
  </si>
  <si>
    <t>1204.630600</t>
  </si>
  <si>
    <t>1205.630600</t>
  </si>
  <si>
    <t>1206.630600</t>
  </si>
  <si>
    <t>1204.630400</t>
  </si>
  <si>
    <t>1205.630400</t>
  </si>
  <si>
    <t>1206.630400</t>
  </si>
  <si>
    <t>1204.630710</t>
  </si>
  <si>
    <t>1205.630710</t>
  </si>
  <si>
    <t>1206.630710</t>
  </si>
  <si>
    <t>1204.630720</t>
  </si>
  <si>
    <t>1205.630720</t>
  </si>
  <si>
    <t>1206.630720</t>
  </si>
  <si>
    <t>1204.630730</t>
  </si>
  <si>
    <t>1205.630730</t>
  </si>
  <si>
    <t>1206.630730</t>
  </si>
  <si>
    <t>1204.630740</t>
  </si>
  <si>
    <t>1205.630740</t>
  </si>
  <si>
    <t>1206.630740</t>
  </si>
  <si>
    <t>1204.630750</t>
  </si>
  <si>
    <t>1205.630750</t>
  </si>
  <si>
    <t>1206.630750</t>
  </si>
  <si>
    <t>1204.630760</t>
  </si>
  <si>
    <t>1205.630760</t>
  </si>
  <si>
    <t>1206.630760</t>
  </si>
  <si>
    <t>1204.630770</t>
  </si>
  <si>
    <t>1205.630770</t>
  </si>
  <si>
    <t>1206.630770</t>
  </si>
  <si>
    <t>1204.630900</t>
  </si>
  <si>
    <t>1205.630900</t>
  </si>
  <si>
    <t>1206.630900</t>
  </si>
  <si>
    <t>1204.631000</t>
  </si>
  <si>
    <t>1205.631000</t>
  </si>
  <si>
    <t>1206.631000</t>
  </si>
  <si>
    <t>1204.630450</t>
  </si>
  <si>
    <t>1205.630450</t>
  </si>
  <si>
    <t>1206.630450</t>
  </si>
  <si>
    <t>1204.631100</t>
  </si>
  <si>
    <t>1205.631100</t>
  </si>
  <si>
    <t>1206.631100</t>
  </si>
  <si>
    <t>1204.710200</t>
  </si>
  <si>
    <t>1205.710200</t>
  </si>
  <si>
    <t>1206.710200</t>
  </si>
  <si>
    <t>1204.720100</t>
  </si>
  <si>
    <t>1205.720100</t>
  </si>
  <si>
    <t>1206.720100</t>
  </si>
  <si>
    <t>1204.720400</t>
  </si>
  <si>
    <t>1205.720400</t>
  </si>
  <si>
    <t>1206.720400</t>
  </si>
  <si>
    <t>1204.720500</t>
  </si>
  <si>
    <t>1205.720500</t>
  </si>
  <si>
    <t>1206.720500</t>
  </si>
  <si>
    <t>1204.730200</t>
  </si>
  <si>
    <t>1205.730200</t>
  </si>
  <si>
    <t>1206.730200</t>
  </si>
  <si>
    <t>1204.730300</t>
  </si>
  <si>
    <t>1205.730300</t>
  </si>
  <si>
    <t>1206.730300</t>
  </si>
  <si>
    <t>1204.801110</t>
  </si>
  <si>
    <t>1205.801110</t>
  </si>
  <si>
    <t>1206.801110</t>
  </si>
  <si>
    <t>1204.801120</t>
  </si>
  <si>
    <t>1205.801120</t>
  </si>
  <si>
    <t>1206.801120</t>
  </si>
  <si>
    <t>1204.802120</t>
  </si>
  <si>
    <t>1205.802120</t>
  </si>
  <si>
    <t>1206.802120</t>
  </si>
  <si>
    <t>1204.802140</t>
  </si>
  <si>
    <t>1205.802140</t>
  </si>
  <si>
    <t>1206.802140</t>
  </si>
  <si>
    <t>1204.805120</t>
  </si>
  <si>
    <t>1205.805120</t>
  </si>
  <si>
    <t>1206.805120</t>
  </si>
  <si>
    <t>1204.807100</t>
  </si>
  <si>
    <t>1205.807100</t>
  </si>
  <si>
    <t>1206.807100</t>
  </si>
  <si>
    <t>1204.808100</t>
  </si>
  <si>
    <t>1205.808100</t>
  </si>
  <si>
    <t>1206.808100</t>
  </si>
  <si>
    <t>1204.809100</t>
  </si>
  <si>
    <t>1205.809100</t>
  </si>
  <si>
    <t>1206.809100</t>
  </si>
  <si>
    <t>1204.810110</t>
  </si>
  <si>
    <t>1205.810110</t>
  </si>
  <si>
    <t>1206.810110</t>
  </si>
  <si>
    <t>1204.810120</t>
  </si>
  <si>
    <t>1205.810120</t>
  </si>
  <si>
    <t>1206.810120</t>
  </si>
  <si>
    <t>1204.810130</t>
  </si>
  <si>
    <t>1205.810130</t>
  </si>
  <si>
    <t>1206.810130</t>
  </si>
  <si>
    <t>1204.812100</t>
  </si>
  <si>
    <t>1205.812100</t>
  </si>
  <si>
    <t>1206.812100</t>
  </si>
  <si>
    <t>1204.813100</t>
  </si>
  <si>
    <t>1205.813100</t>
  </si>
  <si>
    <t>1206.813100</t>
  </si>
  <si>
    <t>1204.814110</t>
  </si>
  <si>
    <t>1205.814110</t>
  </si>
  <si>
    <t>1206.814110</t>
  </si>
  <si>
    <t>1204.815110</t>
  </si>
  <si>
    <t>1205.815110</t>
  </si>
  <si>
    <t>1206.815110</t>
  </si>
  <si>
    <t>1204.815120</t>
  </si>
  <si>
    <t>1205.815120</t>
  </si>
  <si>
    <t>1206.815120</t>
  </si>
  <si>
    <t>1204.816110</t>
  </si>
  <si>
    <t>1205.816110</t>
  </si>
  <si>
    <t>1206.816110</t>
  </si>
  <si>
    <t>1204.816120</t>
  </si>
  <si>
    <t>1205.816120</t>
  </si>
  <si>
    <t>1206.816120</t>
  </si>
  <si>
    <t>1204.816130</t>
  </si>
  <si>
    <t>1205.816130</t>
  </si>
  <si>
    <t>1206.816130</t>
  </si>
  <si>
    <t>1204.911000</t>
  </si>
  <si>
    <t>1205.911000</t>
  </si>
  <si>
    <t>1206.911000</t>
  </si>
  <si>
    <t>1204.910100</t>
  </si>
  <si>
    <t>1205.910100</t>
  </si>
  <si>
    <t>1206.910100</t>
  </si>
  <si>
    <t>1204.920600</t>
  </si>
  <si>
    <t>1205.920600</t>
  </si>
  <si>
    <t>1206.920600</t>
  </si>
  <si>
    <t>1204.920700</t>
  </si>
  <si>
    <t>1205.920700</t>
  </si>
  <si>
    <t>1206.920700</t>
  </si>
  <si>
    <t>1204.920120</t>
  </si>
  <si>
    <t>1205.920120</t>
  </si>
  <si>
    <t>1206.920120</t>
  </si>
  <si>
    <t>1204.920410</t>
  </si>
  <si>
    <t>1205.920410</t>
  </si>
  <si>
    <t>1206.920410</t>
  </si>
  <si>
    <t>Tanggal awal bulan</t>
  </si>
  <si>
    <t>Tanggal akhir bulan</t>
  </si>
  <si>
    <t>Tanggal sekarang</t>
  </si>
  <si>
    <t>Lokasi Rekap</t>
  </si>
  <si>
    <t>Nama File Simpan</t>
  </si>
  <si>
    <t>\\10.8.30.92\RPA Excel Template\Accounting Finance\Santy\Profit Loss\TARIKAN JDE</t>
  </si>
  <si>
    <t>\\10.8.30.92\RPA Excel Template\Accounting Finance\Santy\Profit Loss\Rekap</t>
  </si>
  <si>
    <t>P</t>
  </si>
  <si>
    <t xml:space="preserve"> </t>
  </si>
  <si>
    <t>IDR</t>
  </si>
  <si>
    <t>AA</t>
  </si>
  <si>
    <t>General Ledger</t>
  </si>
  <si>
    <t>JDE</t>
  </si>
  <si>
    <t xml:space="preserve">            </t>
  </si>
  <si>
    <t xml:space="preserve">   .</t>
  </si>
  <si>
    <t>PV</t>
  </si>
  <si>
    <t>Voucher</t>
  </si>
  <si>
    <t>V</t>
  </si>
  <si>
    <t>Voucher Entry</t>
  </si>
  <si>
    <t>TARMILAH</t>
  </si>
  <si>
    <t>PT.SURYA SUDECO (TUNAS RENTAL)</t>
  </si>
  <si>
    <t>312BILL20200002271</t>
  </si>
  <si>
    <t>SEWA MOBIL BOKS MAJALENGKA I</t>
  </si>
  <si>
    <t>312BILL202200002295</t>
  </si>
  <si>
    <t>SEWA MOBILBOKS KALIBENDA</t>
  </si>
  <si>
    <t>Do Ty</t>
  </si>
  <si>
    <t>Document Type</t>
  </si>
  <si>
    <t>Doc Number</t>
  </si>
  <si>
    <t>Doc Co</t>
  </si>
  <si>
    <t>G/L Date</t>
  </si>
  <si>
    <t>Explanation</t>
  </si>
  <si>
    <t>LT 1 Amount</t>
  </si>
  <si>
    <t>LT 1 Debit</t>
  </si>
  <si>
    <t>P C</t>
  </si>
  <si>
    <t>LT2 PC</t>
  </si>
  <si>
    <t>LT 1 Credit</t>
  </si>
  <si>
    <t>LT 2 Debit</t>
  </si>
  <si>
    <t>LT 2 Credit</t>
  </si>
  <si>
    <t>LT 2 Amount</t>
  </si>
  <si>
    <t>Sub Type</t>
  </si>
  <si>
    <t>Sub ledger Type</t>
  </si>
  <si>
    <t>Sub- ledger</t>
  </si>
  <si>
    <t>Cur Cod</t>
  </si>
  <si>
    <t>Exchange Rate</t>
  </si>
  <si>
    <t>LT</t>
  </si>
  <si>
    <t>Ledger Type</t>
  </si>
  <si>
    <t>Bth Ty</t>
  </si>
  <si>
    <t>Batch Type</t>
  </si>
  <si>
    <t>Batch Number</t>
  </si>
  <si>
    <t>Batch Date</t>
  </si>
  <si>
    <t>Line Extension</t>
  </si>
  <si>
    <t>JE Line Number</t>
  </si>
  <si>
    <t>R ND</t>
  </si>
  <si>
    <t>Reconciled Code</t>
  </si>
  <si>
    <t>Reference 1</t>
  </si>
  <si>
    <t>Reference 2</t>
  </si>
  <si>
    <t>Reference 3</t>
  </si>
  <si>
    <t>Units</t>
  </si>
  <si>
    <t>UM</t>
  </si>
  <si>
    <t>Address Number</t>
  </si>
  <si>
    <t>Address Number Desc</t>
  </si>
  <si>
    <t>Check Cleared</t>
  </si>
  <si>
    <t>Invoice Number</t>
  </si>
  <si>
    <t>Service/ Tax Date</t>
  </si>
  <si>
    <t>Transaction Originator</t>
  </si>
  <si>
    <t>User ID</t>
  </si>
  <si>
    <t>Business Unit</t>
  </si>
  <si>
    <t>Home Business Unit</t>
  </si>
  <si>
    <t>Explanation -Remark-</t>
  </si>
  <si>
    <t>Historical Rate</t>
  </si>
  <si>
    <t>Historical Date</t>
  </si>
  <si>
    <t>Pha se</t>
  </si>
  <si>
    <t>Categories Work Order 01</t>
  </si>
  <si>
    <t>Asset Number</t>
  </si>
  <si>
    <t>Purchase Order</t>
  </si>
  <si>
    <t>Obj Acct</t>
  </si>
  <si>
    <t>AccountNumber</t>
  </si>
  <si>
    <t>kategori</t>
  </si>
  <si>
    <t>Account</t>
  </si>
  <si>
    <t>630110</t>
  </si>
  <si>
    <t>630130</t>
  </si>
  <si>
    <t>801160</t>
  </si>
  <si>
    <t>630200</t>
  </si>
  <si>
    <t>630600</t>
  </si>
  <si>
    <t>630400</t>
  </si>
  <si>
    <t>630900</t>
  </si>
  <si>
    <t>631000</t>
  </si>
  <si>
    <t>630450</t>
  </si>
  <si>
    <t>631100</t>
  </si>
  <si>
    <t>710200</t>
  </si>
  <si>
    <t>720100</t>
  </si>
  <si>
    <t>720400</t>
  </si>
  <si>
    <t>720500</t>
  </si>
  <si>
    <t>730200</t>
  </si>
  <si>
    <t>730300</t>
  </si>
  <si>
    <t>801110</t>
  </si>
  <si>
    <t>801120</t>
  </si>
  <si>
    <t>802120</t>
  </si>
  <si>
    <t>802140</t>
  </si>
  <si>
    <t>805120</t>
  </si>
  <si>
    <t>807100</t>
  </si>
  <si>
    <t>808100</t>
  </si>
  <si>
    <t>809100</t>
  </si>
  <si>
    <t>812100</t>
  </si>
  <si>
    <t>813100</t>
  </si>
  <si>
    <t>814110</t>
  </si>
  <si>
    <t>815110</t>
  </si>
  <si>
    <t>815120</t>
  </si>
  <si>
    <t>816110</t>
  </si>
  <si>
    <t>816120</t>
  </si>
  <si>
    <t>816130</t>
  </si>
  <si>
    <t>911000</t>
  </si>
  <si>
    <t>910100</t>
  </si>
  <si>
    <t>920600</t>
  </si>
  <si>
    <t>920700</t>
  </si>
  <si>
    <t>920120</t>
  </si>
  <si>
    <t>920410</t>
  </si>
  <si>
    <t>630520;630530</t>
  </si>
  <si>
    <t>630710;630720;630730;630740;630750;630760;630770</t>
  </si>
  <si>
    <t>810110;810120;810130</t>
  </si>
  <si>
    <t>Branch</t>
  </si>
  <si>
    <t>Start</t>
  </si>
  <si>
    <t>To Date</t>
  </si>
  <si>
    <t>Total</t>
  </si>
  <si>
    <t>1201</t>
  </si>
  <si>
    <t>1204</t>
  </si>
  <si>
    <t>1205</t>
  </si>
  <si>
    <t>1206</t>
  </si>
  <si>
    <t>JK</t>
  </si>
  <si>
    <t>CASH JOURNAL - IDR</t>
  </si>
  <si>
    <t>G</t>
  </si>
  <si>
    <t>General Accounting</t>
  </si>
  <si>
    <t>TSANTIKA</t>
  </si>
  <si>
    <t>KOREKSI GAJI CLN JULI'22</t>
  </si>
  <si>
    <t>JB</t>
  </si>
  <si>
    <t>BANK JOURNAL ENTRY</t>
  </si>
  <si>
    <t>SALARIES JUN 22</t>
  </si>
  <si>
    <t>RPA2</t>
  </si>
  <si>
    <t>GAJIAN PRD</t>
  </si>
  <si>
    <t>UPAH 2022</t>
  </si>
  <si>
    <t>KOREKSI GAJI MJK JULI'22</t>
  </si>
  <si>
    <t>KOREKSI GAJI GK JULI'22</t>
  </si>
  <si>
    <t>DR.BUDI S.GUNAWAN</t>
  </si>
  <si>
    <t>BIAYA PEMERIKSAAN DR BUDI</t>
  </si>
  <si>
    <t>PPH</t>
  </si>
  <si>
    <t>BPJS KESEHATAN</t>
  </si>
  <si>
    <t>BPJS KS CLN AGUST'22</t>
  </si>
  <si>
    <t>BPJS KESEHATAN CLN</t>
  </si>
  <si>
    <t>BPJS KS MAJA II AGUST'22</t>
  </si>
  <si>
    <t>BPJS KESEHATAN MAJA II</t>
  </si>
  <si>
    <t>BPJS KS MAJA I AGUST'22</t>
  </si>
  <si>
    <t>BPJS KESEHATAN MAJA I</t>
  </si>
  <si>
    <t>BPJS KS KALIBENDA AGUT'22</t>
  </si>
  <si>
    <t>BPJS KESEHATAN KALIBENDA</t>
  </si>
  <si>
    <t>BPJS KETENAGAKERJAAN</t>
  </si>
  <si>
    <t>BPJS TK CLN</t>
  </si>
  <si>
    <t>BPJS TK CLN STAFF</t>
  </si>
  <si>
    <t>RESTU BUNDA CATERING</t>
  </si>
  <si>
    <t>MAKAN STAF&amp;PROD</t>
  </si>
  <si>
    <t>MAKAN OPERATOR PRODUKSI</t>
  </si>
  <si>
    <t>MAKAN KRYN + STAFF</t>
  </si>
  <si>
    <t>NIA HERNI CAHNIAWATI (KANTIN I</t>
  </si>
  <si>
    <t>UANG MAKAN LBR MAJA</t>
  </si>
  <si>
    <t>UANGLEMBUR18,20,22 JULI 2022</t>
  </si>
  <si>
    <t>RININGSIH (KANTIN IBU DEDE)</t>
  </si>
  <si>
    <t>UANG LEMBUR 19,21 JULI 2022</t>
  </si>
  <si>
    <t>MAKAN LONGSHIFT 8,10,12AGUSTUS</t>
  </si>
  <si>
    <t>MAKANLONGSHIFT 09, 11 AGUSTUS</t>
  </si>
  <si>
    <t>OV</t>
  </si>
  <si>
    <t>PO Receiving</t>
  </si>
  <si>
    <t>PT. ISANO LOPO INDUSTRI</t>
  </si>
  <si>
    <t>O</t>
  </si>
  <si>
    <t>PO/Contract Entries</t>
  </si>
  <si>
    <t>YULI.H@MJL</t>
  </si>
  <si>
    <t>ONGKOS KIRIM SOLAR MAJALENGKA</t>
  </si>
  <si>
    <t>ONGKOS KIRIM</t>
  </si>
  <si>
    <t>SWATI</t>
  </si>
  <si>
    <t>002/8</t>
  </si>
  <si>
    <t>PT. BINTANG SIMBAR KENCANA</t>
  </si>
  <si>
    <t>PENARIKAN SAMPAH</t>
  </si>
  <si>
    <t>PENARIKAN LIMBAH B3 CLN</t>
  </si>
  <si>
    <t>ALPHA MAKMUR SEJAHTERA</t>
  </si>
  <si>
    <t>APLHA/22/08/0002,03,04,11</t>
  </si>
  <si>
    <t>KLAIM ASURANSI SEWAMOBILCLN</t>
  </si>
  <si>
    <t>CV. SETIA  PAMILI</t>
  </si>
  <si>
    <t>IURAN SAMPAH CILEUNYI</t>
  </si>
  <si>
    <t>312BILL202200002379</t>
  </si>
  <si>
    <t>SEWA MOBIL BOKS</t>
  </si>
  <si>
    <t>ALPHA/22/08/0001</t>
  </si>
  <si>
    <t>SEWA MOBIL MAJA</t>
  </si>
  <si>
    <t>BERLIO ANUGRAH PUTRA, PT</t>
  </si>
  <si>
    <t>81789981DB</t>
  </si>
  <si>
    <t>BIAYA TRANSPORTASI KARY.MAJA</t>
  </si>
  <si>
    <t>312BILL202200002343</t>
  </si>
  <si>
    <t>SEWA MOBIL BOKS MAJALENGKA</t>
  </si>
  <si>
    <t>PT.CITRA DEKOR PRINTAMA</t>
  </si>
  <si>
    <t>SAISYAH</t>
  </si>
  <si>
    <t>PD</t>
  </si>
  <si>
    <t>Debit Memo</t>
  </si>
  <si>
    <t>CV. KIRIN</t>
  </si>
  <si>
    <t>PO 21001405</t>
  </si>
  <si>
    <t>KOREKSI HARGA</t>
  </si>
  <si>
    <t>HANCA HASIL PRINT FUKUOKA -F1N</t>
  </si>
  <si>
    <t>JASA MAKLOON</t>
  </si>
  <si>
    <t>KEMILAU SURYA MANDIRI</t>
  </si>
  <si>
    <t>KARINA_AD</t>
  </si>
  <si>
    <t>INUR@MJL</t>
  </si>
  <si>
    <t>SPANTTEISPANT     /M</t>
  </si>
  <si>
    <t>LPANTTEILPANT     /M</t>
  </si>
  <si>
    <t>LSVSHTEILSVSH     /M</t>
  </si>
  <si>
    <t>TSHRTTEITSHRT     /M</t>
  </si>
  <si>
    <t>PT ARJUNA WIJAYA PERKASA</t>
  </si>
  <si>
    <t>JCT  GTXIKEAJACKET/M</t>
  </si>
  <si>
    <t>PT. KOKEN INDONESIA</t>
  </si>
  <si>
    <t>TSHRTCBKT-SHIRT   /M</t>
  </si>
  <si>
    <t>PO 22001035</t>
  </si>
  <si>
    <t>PT. KEMAS SARANA MULTIGUNA</t>
  </si>
  <si>
    <t>RISMA_Y</t>
  </si>
  <si>
    <t>BROWN STICKER PAPER</t>
  </si>
  <si>
    <t>PLN (PERSERO), PT. - UPP.CICAL</t>
  </si>
  <si>
    <t>LISTRIK CLN</t>
  </si>
  <si>
    <t>PT.PLN JABAR &amp; BANTEN (PT.GIST</t>
  </si>
  <si>
    <t>LISTRIK MAJA II</t>
  </si>
  <si>
    <t>PT.PLN JABAR&amp; BANTEN (MEKARMUL</t>
  </si>
  <si>
    <t>LISTRIK MAJA I</t>
  </si>
  <si>
    <t xml:space="preserve"> PT. PLN (PERSERO) UID JAWA TE</t>
  </si>
  <si>
    <t>LISTRIK KALIBENDA</t>
  </si>
  <si>
    <t>LISTRITEMPATTRAINING KALIBENDA</t>
  </si>
  <si>
    <t>CV ANUGRAH PRATAMA CONTRUCTION</t>
  </si>
  <si>
    <t>UPAH CV ANUGRAH</t>
  </si>
  <si>
    <t>UPAHCVANUGRAHPRATAMA 25-31JUL</t>
  </si>
  <si>
    <t>SINAR RAHAYU</t>
  </si>
  <si>
    <t>21-7-22</t>
  </si>
  <si>
    <t>BAHAN BANGUNAN ALL GISTEX</t>
  </si>
  <si>
    <t>UPAHCVANUGRAHPRATAMA01-06 AGUS</t>
  </si>
  <si>
    <t>UPAHCVANUGRAHPRATAMA 08-13AGUS</t>
  </si>
  <si>
    <t>UPAHCVANUGRAHPRATAMA 15-20AGUS</t>
  </si>
  <si>
    <t>MAINT &amp; REP BUILDING</t>
  </si>
  <si>
    <t>PASIR,SENG,PLAMIR,GRC,ROLAN</t>
  </si>
  <si>
    <t>SEDOT WC MJK</t>
  </si>
  <si>
    <t>TOKO SURABAYA</t>
  </si>
  <si>
    <t>SALSABILA</t>
  </si>
  <si>
    <t>GEMBOK,KRAN,BALLAST,LAMPU,</t>
  </si>
  <si>
    <t>CV DARWATECH INTERNUSA</t>
  </si>
  <si>
    <t>211/DI/0722</t>
  </si>
  <si>
    <t>PERBAIKAN MESIN COUNTOUR</t>
  </si>
  <si>
    <t>PT. INDO APPAREL MACHINERY</t>
  </si>
  <si>
    <t>A22070162</t>
  </si>
  <si>
    <t>PENGECEKAN HANGER</t>
  </si>
  <si>
    <t>A22070194</t>
  </si>
  <si>
    <t>SERVICE MESIN PLOTTER</t>
  </si>
  <si>
    <t>201/DI/0622</t>
  </si>
  <si>
    <t>SERVICE ERROR SHARPENING</t>
  </si>
  <si>
    <t>PERDANA FAMILI</t>
  </si>
  <si>
    <t>009/154/UPTDML/VII/2022</t>
  </si>
  <si>
    <t>TERA COUNTER METER</t>
  </si>
  <si>
    <t>PT. MIURA INDONESIA</t>
  </si>
  <si>
    <t>SALYA</t>
  </si>
  <si>
    <t>JASA PEMASANGAN AIR REGISTER</t>
  </si>
  <si>
    <t>MEKANIKA DIESEL</t>
  </si>
  <si>
    <t>WEWET</t>
  </si>
  <si>
    <t>STARTER ASSY</t>
  </si>
  <si>
    <t>PAJAK AIR TANAH P. MARET'22</t>
  </si>
  <si>
    <t>PAJAK AIR TANAH P. APRIL'22</t>
  </si>
  <si>
    <t>PAJAK AIR TANAH P. MEI'22</t>
  </si>
  <si>
    <t>II</t>
  </si>
  <si>
    <t>Inventory Issue</t>
  </si>
  <si>
    <t>O/APD ( KIRIM KE GM1)</t>
  </si>
  <si>
    <t>USD</t>
  </si>
  <si>
    <t>N</t>
  </si>
  <si>
    <t>Inventory</t>
  </si>
  <si>
    <t>IKA_K</t>
  </si>
  <si>
    <t>PT. NAXIS LABEL INDONESIA</t>
  </si>
  <si>
    <t>SKHARISMA</t>
  </si>
  <si>
    <t>SELISIH PEMBULATAN</t>
  </si>
  <si>
    <t>BIROTIKA SEMESTA PT. ( DHL )</t>
  </si>
  <si>
    <t>BDOIR00032046</t>
  </si>
  <si>
    <t>ALFRIEDA</t>
  </si>
  <si>
    <t>BIAYA IMPORT</t>
  </si>
  <si>
    <t>BDOIR00032077</t>
  </si>
  <si>
    <t>PT.COSCO SHIPPING  LINES INDON</t>
  </si>
  <si>
    <t>NR10004497</t>
  </si>
  <si>
    <t>AGRON, INC</t>
  </si>
  <si>
    <t>PT. BUANA AMANAH KARYA</t>
  </si>
  <si>
    <t>PT. GLOBAL TERMINAL MARUNDA</t>
  </si>
  <si>
    <t>PT. GFC INDONESIA TERMINAL</t>
  </si>
  <si>
    <t>NR10004496</t>
  </si>
  <si>
    <t>PT. OOCL LOGISTICS INDONESIA</t>
  </si>
  <si>
    <t>PT. MULTI TERMINAL INDONESIA</t>
  </si>
  <si>
    <t>NR10004493</t>
  </si>
  <si>
    <t>INTI DUTA DWITAMA TRANSINDO, P</t>
  </si>
  <si>
    <t>IV10031967</t>
  </si>
  <si>
    <t>IV10032009</t>
  </si>
  <si>
    <t>AGRON</t>
  </si>
  <si>
    <t>IV10032005</t>
  </si>
  <si>
    <t>H&amp;M</t>
  </si>
  <si>
    <t>IV10032006</t>
  </si>
  <si>
    <t>NISHIMATSUYA</t>
  </si>
  <si>
    <t>IV10032007</t>
  </si>
  <si>
    <t>IV10031989</t>
  </si>
  <si>
    <t>IV10031988</t>
  </si>
  <si>
    <t>IV10031985</t>
  </si>
  <si>
    <t>IV10031987</t>
  </si>
  <si>
    <t>IV10031991</t>
  </si>
  <si>
    <t>JAKARTA INTERNATIONAL CONTAINE</t>
  </si>
  <si>
    <t>NR10004520</t>
  </si>
  <si>
    <t>PT. CAKRAWALA PERSADA LOGISTIC</t>
  </si>
  <si>
    <t>NR10004521</t>
  </si>
  <si>
    <t>PT. PELOPOR PRATAMA LANCAR ABA</t>
  </si>
  <si>
    <t>NR10004522</t>
  </si>
  <si>
    <t>NR10004523</t>
  </si>
  <si>
    <t>PT. WIDI MEGA LOGISTIK INDONES</t>
  </si>
  <si>
    <t>NR10004513</t>
  </si>
  <si>
    <t>NR10004512</t>
  </si>
  <si>
    <t>TERMINAL PETIKEMAS KOJA TPK.</t>
  </si>
  <si>
    <t>NR10004509</t>
  </si>
  <si>
    <t>NR10004511</t>
  </si>
  <si>
    <t>NR10004515</t>
  </si>
  <si>
    <t>TABITHA EXPRESS, PT.</t>
  </si>
  <si>
    <t>IJKT22070850</t>
  </si>
  <si>
    <t>POSTIES</t>
  </si>
  <si>
    <t>IJKT22070849</t>
  </si>
  <si>
    <t>FEDEX/REFEX</t>
  </si>
  <si>
    <t>IN. NO : 887689902</t>
  </si>
  <si>
    <t>IN. NO : 887689903</t>
  </si>
  <si>
    <t>MARUBENI FASHION LINK</t>
  </si>
  <si>
    <t>TILLSONBURG</t>
  </si>
  <si>
    <t>INV NO : 887635599</t>
  </si>
  <si>
    <t>INV NO : 887655606</t>
  </si>
  <si>
    <t>INV NO : 887672788</t>
  </si>
  <si>
    <t>(USD) PT.SML INDONESIA PRIVATE</t>
  </si>
  <si>
    <t>ORDER JC PENNY (KIRIM  GM1)</t>
  </si>
  <si>
    <t>BINTANG SURYA SEJATI SUKSES, P</t>
  </si>
  <si>
    <t>INSENTIF KABAG &amp; PRD</t>
  </si>
  <si>
    <t>APOTEK &amp; KLINIK NUHATO</t>
  </si>
  <si>
    <t>39/INV/PTG/VIII/2022</t>
  </si>
  <si>
    <t>PEMBAYARAN JASA DOKTER CLN</t>
  </si>
  <si>
    <t>38/INV/PTG/VIII/2022</t>
  </si>
  <si>
    <t>PEMBAYARAN OBAT KLINIK CLN</t>
  </si>
  <si>
    <t>TRIMCARD QUICK SILVER/LILIS</t>
  </si>
  <si>
    <t>ORDER CIREBON FOWER</t>
  </si>
  <si>
    <t>O/CIREBON POWER KIRIM GM1</t>
  </si>
  <si>
    <t>PT.NUSANTARA SATRIA AGUNG</t>
  </si>
  <si>
    <t>NSA-2022-2062</t>
  </si>
  <si>
    <t>JASA PENYEDIA TENAGA KERJA</t>
  </si>
  <si>
    <t>BIAYA TENAGA KERJA</t>
  </si>
  <si>
    <t>BDOIR00032379</t>
  </si>
  <si>
    <t>BDOIR00032402</t>
  </si>
  <si>
    <t>BDOIR00032468</t>
  </si>
  <si>
    <t>BDOIR00032570</t>
  </si>
  <si>
    <t>BDOIR00032656</t>
  </si>
  <si>
    <t>TRADELINK TECHNOLOGIES LIMITED</t>
  </si>
  <si>
    <t>1-100564-01</t>
  </si>
  <si>
    <t>EXPRESS</t>
  </si>
  <si>
    <t>PO 22004013 ( PRODUKSI)</t>
  </si>
  <si>
    <t>PT GAJAH PUTIH</t>
  </si>
  <si>
    <t>HAP</t>
  </si>
  <si>
    <t>INV NO : 887721748</t>
  </si>
  <si>
    <t>RPA</t>
  </si>
  <si>
    <t>KIRIM PAKET</t>
  </si>
  <si>
    <t>40/INV/PTG/VIII/2022</t>
  </si>
  <si>
    <t>PEMBAYARAN JASA DOKTER MAJA</t>
  </si>
  <si>
    <t>42/INV/PTG/VIII/2022</t>
  </si>
  <si>
    <t>PEMBAYARAN OBAT KLINIK MAJA I</t>
  </si>
  <si>
    <t>D06802133</t>
  </si>
  <si>
    <t>IMPORT EXPORT</t>
  </si>
  <si>
    <t>NSA-2022-2061</t>
  </si>
  <si>
    <t>KIRIM PAKET JNE</t>
  </si>
  <si>
    <t>KIRIM PAKET&amp;BIAYA PMBTN IRIGAS</t>
  </si>
  <si>
    <t>LABORATORIUM KLINIK PARANIDA</t>
  </si>
  <si>
    <t>0315/KEU-VIII/PRN/2022</t>
  </si>
  <si>
    <t>MEDICAL CHECKUP MAJALENGKA</t>
  </si>
  <si>
    <t>PT.DWICAHAYA SANGKALA SANTOSA</t>
  </si>
  <si>
    <t>BIAYA KIRIM DWI CAHAYA</t>
  </si>
  <si>
    <t>BIAYA KIRIM</t>
  </si>
  <si>
    <t>41/INV/PTG/VIII/2022</t>
  </si>
  <si>
    <t>PEMBAYARAN OBAT KLINIK MAJAI</t>
  </si>
  <si>
    <t>NSA-2022-2060</t>
  </si>
  <si>
    <t>(IDR) PT. VICTORY PAN MULTITEX</t>
  </si>
  <si>
    <t>CV. FAJAR TERANG ABADI</t>
  </si>
  <si>
    <t>77/FTA/VIII/2022</t>
  </si>
  <si>
    <t>EIGER ZASTAVA</t>
  </si>
  <si>
    <t>NSA-2022-2063</t>
  </si>
  <si>
    <t>I$</t>
  </si>
  <si>
    <t>Inventory Issue- Sample (expd)</t>
  </si>
  <si>
    <t>SAMPLE EKA</t>
  </si>
  <si>
    <t>WATI</t>
  </si>
  <si>
    <t>205/DI/0722</t>
  </si>
  <si>
    <t>PISAU MESIN COUNTUR LECTRA</t>
  </si>
  <si>
    <t>SAMPLE PUNYA DADAN</t>
  </si>
  <si>
    <t>SAMPLE GIORDANO</t>
  </si>
  <si>
    <t>EJAUJIAH</t>
  </si>
  <si>
    <t>SAMPLE MBA SARI</t>
  </si>
  <si>
    <t>KING PLASTINDO</t>
  </si>
  <si>
    <t>NASHUA</t>
  </si>
  <si>
    <t>PO 22002302  (T TATI PURCH)</t>
  </si>
  <si>
    <t>PO 22002387  (T TATI PURCH)</t>
  </si>
  <si>
    <t>PO 22003430</t>
  </si>
  <si>
    <t>PO 22003647 ( TATI PURCH)</t>
  </si>
  <si>
    <t>PO 22004011 ( LINDA MD)</t>
  </si>
  <si>
    <t>PO 21003547</t>
  </si>
  <si>
    <t>PO 22003996 ( SUCI MD)</t>
  </si>
  <si>
    <t>SAMPLE DIKIRIM KE BUYER</t>
  </si>
  <si>
    <t>O/ADRENALINE ( MELISA )</t>
  </si>
  <si>
    <t>SAMPLE KIRIM KE CHUTEX MBA E</t>
  </si>
  <si>
    <t>PO 22003935 ( CLARA MD)</t>
  </si>
  <si>
    <t>O/LOKAL ( LILIS MD )</t>
  </si>
  <si>
    <t>SWATCHES P'DADAN MD</t>
  </si>
  <si>
    <t>SAMPLE TOYOTA (LILISMD)</t>
  </si>
  <si>
    <t>SABILA</t>
  </si>
  <si>
    <t>TINTA ALYS</t>
  </si>
  <si>
    <t>CONTOH SWATCHES</t>
  </si>
  <si>
    <t>SAMPLE MOTHERCARE CLN</t>
  </si>
  <si>
    <t>SAMPLE UP BU YULI</t>
  </si>
  <si>
    <t>ANNISA_C</t>
  </si>
  <si>
    <t>SAMPLE INTERLINING UTK MD CLN</t>
  </si>
  <si>
    <t>SAMPLE FAMO BU YULI</t>
  </si>
  <si>
    <t>RISTHIA</t>
  </si>
  <si>
    <t>SAMPLE KAIN BIENSI UTK CLN</t>
  </si>
  <si>
    <t>SAMPLE FAM0 MBA CLARA</t>
  </si>
  <si>
    <t>SAMPLE KAIN ARKLINE KE CLN</t>
  </si>
  <si>
    <t>SAMPLE UP TEH NUNING</t>
  </si>
  <si>
    <t>PERMINTAAN BU TATI PURCH</t>
  </si>
  <si>
    <t>SAMPLE MBAK CLARA</t>
  </si>
  <si>
    <t>SAMPLE COLAR RIB UTK QC</t>
  </si>
  <si>
    <t>SAMPLE UP MBAK LILIS</t>
  </si>
  <si>
    <t>PERMINTAAN TEH NUNING</t>
  </si>
  <si>
    <t>ANDALAN CITRA LESTARI</t>
  </si>
  <si>
    <t>246/ACL-GST/22</t>
  </si>
  <si>
    <t xml:space="preserve"> PT. TRISULA  MULTI SARANA GLO</t>
  </si>
  <si>
    <t>026-TMG/GISTEX/VII/22</t>
  </si>
  <si>
    <t>PT TRISULA MULTISARANA GLOBAL</t>
  </si>
  <si>
    <t>027-TMG/GISTEX/VII/2022</t>
  </si>
  <si>
    <t>CV. YASMINE RIZKY TRANS</t>
  </si>
  <si>
    <t>007/07/22</t>
  </si>
  <si>
    <t>CV YASMINE RIZKY TRANS</t>
  </si>
  <si>
    <t>028-TMG/GISTEX/VIII/2022</t>
  </si>
  <si>
    <t>029-TMG/GISTEX/VIII/2022</t>
  </si>
  <si>
    <t>247/ACL-GST/22</t>
  </si>
  <si>
    <t>PT. TRIPUTRA ANDALAN</t>
  </si>
  <si>
    <t>TA/INV/22/VIII/0077</t>
  </si>
  <si>
    <t>PT TRIPUTRA ANDALAN</t>
  </si>
  <si>
    <t>BDOR001903503</t>
  </si>
  <si>
    <t>PT.DHL GLOBAL FORWARDING INDON</t>
  </si>
  <si>
    <t>ISCINV0061532</t>
  </si>
  <si>
    <t>MEC</t>
  </si>
  <si>
    <t>ISCINV0061534</t>
  </si>
  <si>
    <t>EXPEDITORS INDONESIA, PT.</t>
  </si>
  <si>
    <t>E832004927</t>
  </si>
  <si>
    <t>PT KINTETSU WORLD EXPRESS INDO</t>
  </si>
  <si>
    <t>KAZEN INV 0803</t>
  </si>
  <si>
    <t>PT. MULTISARANA BAHTERAMANDIRI</t>
  </si>
  <si>
    <t>1IN220103957</t>
  </si>
  <si>
    <t>PT.KIDIA</t>
  </si>
  <si>
    <t>062/EXP/KIDIA/VII/22</t>
  </si>
  <si>
    <t>ADIDAS COSTCO AUS,KAZEN,NISHI</t>
  </si>
  <si>
    <t>PT. NEW PRIOK CONTAINER TERMIN</t>
  </si>
  <si>
    <t>PT.SEACON  BINTANG SEJAHTERA</t>
  </si>
  <si>
    <t>PT. PUNINAR YUSEN LOGISTICS IN</t>
  </si>
  <si>
    <t>PT.BUNGA PLUM LOGISTIK</t>
  </si>
  <si>
    <t>E832006015</t>
  </si>
  <si>
    <t>E832006209</t>
  </si>
  <si>
    <t>PT TIKI JALUR NUGRAHA EKAKURIR</t>
  </si>
  <si>
    <t>JNE/BDO/22070835</t>
  </si>
  <si>
    <t>KURIR</t>
  </si>
  <si>
    <t>KURIR INSURANCE</t>
  </si>
  <si>
    <t>APKB (ASOSIASI PENGUSAHA KAWAS</t>
  </si>
  <si>
    <t>116/APKB/BDG/07/2022</t>
  </si>
  <si>
    <t>IURAN APKB JULI,AGUST,SEPT 202</t>
  </si>
  <si>
    <t>JURI HANDOKO</t>
  </si>
  <si>
    <t>KWIT.039/22</t>
  </si>
  <si>
    <t>H&amp;M,TEIJIN</t>
  </si>
  <si>
    <t>KWIT.040/22</t>
  </si>
  <si>
    <t>E832008353</t>
  </si>
  <si>
    <t>SEA FREIGHT</t>
  </si>
  <si>
    <t>BELI FORM DOK AJCEP</t>
  </si>
  <si>
    <t>JNE/BDO/22080307</t>
  </si>
  <si>
    <t>KURIR FEE</t>
  </si>
  <si>
    <t>LECOQ</t>
  </si>
  <si>
    <t>BDOR001939229</t>
  </si>
  <si>
    <t>BDOR001931998</t>
  </si>
  <si>
    <t>BDOR001926855</t>
  </si>
  <si>
    <t>BDOR001946136</t>
  </si>
  <si>
    <t>BDOR001952418</t>
  </si>
  <si>
    <t>ISCINV0061993</t>
  </si>
  <si>
    <t>MEC INV 0836</t>
  </si>
  <si>
    <t>ISCINV0061994</t>
  </si>
  <si>
    <t>MEC INV 0835</t>
  </si>
  <si>
    <t>KAZEN INV 0744</t>
  </si>
  <si>
    <t>KAZEN INV 0815</t>
  </si>
  <si>
    <t>PT.HONOUR LANE SHIPPING</t>
  </si>
  <si>
    <t>SEJK2208A0031C01</t>
  </si>
  <si>
    <t>1IN220104229</t>
  </si>
  <si>
    <t>JNE/BDO/22080778</t>
  </si>
  <si>
    <t>067/EXP/KIDIA/VIII/22</t>
  </si>
  <si>
    <t>AGRON,NISHIMATSUYA,KAZEN,LECOQ</t>
  </si>
  <si>
    <t>SAMUDERA PACIFIC MAJU PT.</t>
  </si>
  <si>
    <t>PT KLINE MOBARU DIAMOND INDONE</t>
  </si>
  <si>
    <t>PT. MULTI BINA PURA INTERNATIO</t>
  </si>
  <si>
    <t>NPH MUSTIKA ALAM LESTARI</t>
  </si>
  <si>
    <t>PT NANKAI AGL</t>
  </si>
  <si>
    <t>INVAE/22-VII/00850</t>
  </si>
  <si>
    <t>TEIJIN</t>
  </si>
  <si>
    <t>PT. WAHANA DIRGANTARA</t>
  </si>
  <si>
    <t>DNAE/22-VII/00359</t>
  </si>
  <si>
    <t>PT. DSV TRANSPORT INDONESIA</t>
  </si>
  <si>
    <t>ID00620767</t>
  </si>
  <si>
    <t>COSTCO AUS</t>
  </si>
  <si>
    <t>SEJK2208A0067C01</t>
  </si>
  <si>
    <t>E832011982</t>
  </si>
  <si>
    <t>H&amp;M INV 0790</t>
  </si>
  <si>
    <t>EARLY BIRD MARUBENI CORPO INV</t>
  </si>
  <si>
    <t>KAZEN INV 0817</t>
  </si>
  <si>
    <t>COCOS INV 0814A</t>
  </si>
  <si>
    <t>AITOZ INV 0814B</t>
  </si>
  <si>
    <t>INVSE/22-VIII/00935</t>
  </si>
  <si>
    <t>TOYOTA INV 0133</t>
  </si>
  <si>
    <t>066/EXP/KIDIA/VIII/22</t>
  </si>
  <si>
    <t>PT TIRTA MANDIRI JASATAMA</t>
  </si>
  <si>
    <t>CECEP RUSMIADIN</t>
  </si>
  <si>
    <t>4IN220100453</t>
  </si>
  <si>
    <t>HAP AIR PREPAID</t>
  </si>
  <si>
    <t>KAZEN AIR COLLECT</t>
  </si>
  <si>
    <t>PT. DHARMA YUDHA PRATAMA</t>
  </si>
  <si>
    <t>PT. UNEX RAJAWALI INDONESIA</t>
  </si>
  <si>
    <t>KAZEN AIR COLLECT INV 0818</t>
  </si>
  <si>
    <t>KAZEN AIR COLLECT INV 0820</t>
  </si>
  <si>
    <t>PT. CAHAYA MAS UTAMA</t>
  </si>
  <si>
    <t>PT KLINE LOGISTICS INDONESIA</t>
  </si>
  <si>
    <t>SKIDEA22001265/A</t>
  </si>
  <si>
    <t>TEIJIN AIR COLLECT</t>
  </si>
  <si>
    <t>SKIDEA22001265</t>
  </si>
  <si>
    <t>SKIDEA22001590</t>
  </si>
  <si>
    <t>TEIJIN ASICS INV 0801 AIR PREP</t>
  </si>
  <si>
    <t>SKIDEA22001590/A</t>
  </si>
  <si>
    <t>SKIDEA22001590/B</t>
  </si>
  <si>
    <t>MOO YOUNG CO., LTD</t>
  </si>
  <si>
    <t>MYC-29072022</t>
  </si>
  <si>
    <t>TEIJIN FRONTIER /TOYOTA TSUSHO</t>
  </si>
  <si>
    <t>PT INTERTEK UTAMA SERVICES</t>
  </si>
  <si>
    <t>ID-000650796</t>
  </si>
  <si>
    <t>AGRON, INC.</t>
  </si>
  <si>
    <t>ID-000650797</t>
  </si>
  <si>
    <t>ID-000650950</t>
  </si>
  <si>
    <t>ID-000650795</t>
  </si>
  <si>
    <t>ID-000650688</t>
  </si>
  <si>
    <t>ID-000650949</t>
  </si>
  <si>
    <t>ID-000650951</t>
  </si>
  <si>
    <t>PT. SGS INDONESIA</t>
  </si>
  <si>
    <t>ID-000654937</t>
  </si>
  <si>
    <t>EIGER</t>
  </si>
  <si>
    <t>ID-000653625</t>
  </si>
  <si>
    <t>ID-000653505</t>
  </si>
  <si>
    <t>PT.ASURANSI SINAR MAS</t>
  </si>
  <si>
    <t>007.M00.01.02867</t>
  </si>
  <si>
    <t>ENDORSMENT</t>
  </si>
  <si>
    <t>056.N000144237</t>
  </si>
  <si>
    <t>PEMBAYARANPREMIPERIODEJUL22</t>
  </si>
  <si>
    <t>PT.COMTRONICS SYSTEMS</t>
  </si>
  <si>
    <t>CS/INV/JKT/22/2306</t>
  </si>
  <si>
    <t>INTERNET CLN</t>
  </si>
  <si>
    <t>PT.INDONESIA COMNETS PLUS</t>
  </si>
  <si>
    <t>INTERNET MAJALENGKA</t>
  </si>
  <si>
    <t>HARDJO TJANDRA,MBA</t>
  </si>
  <si>
    <t>0450/VIII/2022</t>
  </si>
  <si>
    <t>KOORDINASI PEMUDA PANCASILA</t>
  </si>
  <si>
    <t>CV MISUTAMA</t>
  </si>
  <si>
    <t>BENSIN CLN</t>
  </si>
  <si>
    <t>SPBU HILDA DAHRIANA</t>
  </si>
  <si>
    <t>BENSIN MAJA</t>
  </si>
  <si>
    <t>BENSIN MAJALENGKA</t>
  </si>
  <si>
    <t>BENSIN</t>
  </si>
  <si>
    <t>VISA KUNJUNGAN 4 ORG BUYER</t>
  </si>
  <si>
    <t>MATERAI</t>
  </si>
  <si>
    <t>SINTESA WINAYA INDONESIA</t>
  </si>
  <si>
    <t>INV/200/SWI/VIII/2022-00</t>
  </si>
  <si>
    <t>PERPANJANGAN AK3 KEBAKARAN CNJ</t>
  </si>
  <si>
    <t>MUHAMAD ILHAM FATAH</t>
  </si>
  <si>
    <t>PRPJ SIO P3K 1201</t>
  </si>
  <si>
    <t>PERPANJANGAN SIO P3K CILEUNYI</t>
  </si>
  <si>
    <t>OKTO VIYANTO TAKESAN</t>
  </si>
  <si>
    <t>BAYAR CO JULI 2022</t>
  </si>
  <si>
    <t>PROSES CO BULAN JULI 2022</t>
  </si>
  <si>
    <t>PATRICIA TIRTA ISOLIANI GINTIN</t>
  </si>
  <si>
    <t>01 JULI 2022</t>
  </si>
  <si>
    <t>PEMBAYARANKEPPEMGGSAHAM</t>
  </si>
  <si>
    <t>LAPORAN P2K3</t>
  </si>
  <si>
    <t>PNCATA2N LKSB &amp; MATERAI</t>
  </si>
  <si>
    <t>PT.ANDALAN MUTU ENERGI</t>
  </si>
  <si>
    <t>373/KW/AME/VIII/2022</t>
  </si>
  <si>
    <t>BAYARFPEMERIKSAANSLOMAJA</t>
  </si>
  <si>
    <t>JAYA ABADI TEKNIK</t>
  </si>
  <si>
    <t>008/AC/SR/GSTX/VIII/2022</t>
  </si>
  <si>
    <t>BIAYA PERBAIKAN&amp;ISI PREON CLN</t>
  </si>
  <si>
    <t>PT.RENTOKIL INDONESIA</t>
  </si>
  <si>
    <t>RENTOKIL CLN</t>
  </si>
  <si>
    <t>008/AC/INS/GSTX/VIII/2022</t>
  </si>
  <si>
    <t>SERVICE 7 UNIT CLN</t>
  </si>
  <si>
    <t>PENGADAAN &amp; TARNSPORTAC CLN</t>
  </si>
  <si>
    <t>004/AC/GSTX/VIII/2022</t>
  </si>
  <si>
    <t>PENGADAAN AC BARU MAJA</t>
  </si>
  <si>
    <t>RENTOKIL MAJA II</t>
  </si>
  <si>
    <t>RENTOKIL MAJA I</t>
  </si>
  <si>
    <t>PT. RENTOKIL INDONESIA (BANJAR</t>
  </si>
  <si>
    <t>RENTOKIL KALIBENDA</t>
  </si>
  <si>
    <t>DINAS SUPIR CASH</t>
  </si>
  <si>
    <t>DINAS CASH SUPIR</t>
  </si>
  <si>
    <t>DINAS CASH SUPIR 29-04 AGUS 22</t>
  </si>
  <si>
    <t>BUSINESS TRIP</t>
  </si>
  <si>
    <t>DINAS KELUAR KOTA</t>
  </si>
  <si>
    <t>VICTORA DIAN PURWANTI</t>
  </si>
  <si>
    <t>DINASCASHSUPIR29-04 08 2022</t>
  </si>
  <si>
    <t>GOLDEN RAMA</t>
  </si>
  <si>
    <t>#02220700456</t>
  </si>
  <si>
    <t>BAYAR TIKET ZHANG/MIN MRS</t>
  </si>
  <si>
    <t>DINAS CASH SUPIR12-18 AGUS 22</t>
  </si>
  <si>
    <t>DINAS CASH SUPIR 19-25 AGUS22</t>
  </si>
  <si>
    <t>DINAS KELUAR KANTOR MJK</t>
  </si>
  <si>
    <t>MAKAN BUYER MD</t>
  </si>
  <si>
    <t>ENTERTAINMENT EXIM</t>
  </si>
  <si>
    <t>ENTERTAIN EXIM</t>
  </si>
  <si>
    <t>MAKAN BUYER</t>
  </si>
  <si>
    <t>MAKAN TAMU &amp; BUYER</t>
  </si>
  <si>
    <t>ANTOS PRASETYO</t>
  </si>
  <si>
    <t>UANG INSENTIF 1204</t>
  </si>
  <si>
    <t>INSENTIF KABAG&amp;TEKNIKAL 08-22</t>
  </si>
  <si>
    <t>12.200.0049.60484-99139</t>
  </si>
  <si>
    <t>CUSTOM BOND CNJ 22001202</t>
  </si>
  <si>
    <t>12.200.0050.61701</t>
  </si>
  <si>
    <t>CUSTOM BOND</t>
  </si>
  <si>
    <t>WANDIREDJA &amp; ASSOCIATES</t>
  </si>
  <si>
    <t>WNA-135/VIII/2022</t>
  </si>
  <si>
    <t>JASA KONSULTAB PAJAK JULI2022</t>
  </si>
  <si>
    <t>HERO COMPUTER</t>
  </si>
  <si>
    <t>KERTAS A4</t>
  </si>
  <si>
    <t>MAP PRESIDENT</t>
  </si>
  <si>
    <t>BANNY SUKSES MANDIRI</t>
  </si>
  <si>
    <t>028/BSM-XII/22</t>
  </si>
  <si>
    <t>MARUSA</t>
  </si>
  <si>
    <t>SUNDA MEDICAL</t>
  </si>
  <si>
    <t>30-7-2022</t>
  </si>
  <si>
    <t>OBAT2AN UNTUK UMUM &amp;AUDIT</t>
  </si>
  <si>
    <t>28/07/2022(1)</t>
  </si>
  <si>
    <t>28/07/2022(2)</t>
  </si>
  <si>
    <t>28/07/2022(3)</t>
  </si>
  <si>
    <t>CV.KENCANA ABADI JAYA</t>
  </si>
  <si>
    <t>019-07/VII/2022</t>
  </si>
  <si>
    <t>FORM TO RECORD THE BREAK</t>
  </si>
  <si>
    <t>AURORA COMPUTER</t>
  </si>
  <si>
    <t>CATRUDGE HP LASER JET 83 A</t>
  </si>
  <si>
    <t>POWER SUPPLY AEROCOOL</t>
  </si>
  <si>
    <t>RISWANTI</t>
  </si>
  <si>
    <t>FORM GELARAN PEMAKAIAN KAIN</t>
  </si>
  <si>
    <t>RAM DDR4 8GB</t>
  </si>
  <si>
    <t>SUBSIDI SPN&amp;SPSI&amp;KBTHAN OFFICE</t>
  </si>
  <si>
    <t>PROPOSAL SPSI U/ HUT RI</t>
  </si>
  <si>
    <t>SHOPEE</t>
  </si>
  <si>
    <t>HEAD PRINTER LQ2190</t>
  </si>
  <si>
    <t>PT.RDN ARTHA SENTOSA</t>
  </si>
  <si>
    <t>FB2207002153</t>
  </si>
  <si>
    <t>MESIN FOTOCOPY CLN IR 3035</t>
  </si>
  <si>
    <t>FB2207002152</t>
  </si>
  <si>
    <t>MESIN FOTOCOPY CLN IR 3245 IF</t>
  </si>
  <si>
    <t>KARTU NAMA AN ZHANG,LILIS SUCI</t>
  </si>
  <si>
    <t>KARTU NAMA AN BAYU MEILYSA,</t>
  </si>
  <si>
    <t>HEADSET LOGITECH H340</t>
  </si>
  <si>
    <t>CV. DIVA SARANA CHEMICAL</t>
  </si>
  <si>
    <t>HANDSOAP CLN</t>
  </si>
  <si>
    <t>HANDSOAP,WIPOL,SO KLIN DLL</t>
  </si>
  <si>
    <t>BLUWIN LIMITED</t>
  </si>
  <si>
    <t>BLUWIN LIMITED CLN</t>
  </si>
  <si>
    <t>HIGG CO LLC</t>
  </si>
  <si>
    <t>HIGG CNJ</t>
  </si>
  <si>
    <t>TRANSFERDATAHIGGINDEXCNJ</t>
  </si>
  <si>
    <t>JESA TRAHMAT</t>
  </si>
  <si>
    <t>GSUMADI</t>
  </si>
  <si>
    <t>KAPUR ORANGE CRAYON</t>
  </si>
  <si>
    <t>022/07/VII/2022</t>
  </si>
  <si>
    <t>FORM DAILY REPORT QC PREP/</t>
  </si>
  <si>
    <t>KEBUTUHAN OFFICE MJK</t>
  </si>
  <si>
    <t>2208010JHP7S49</t>
  </si>
  <si>
    <t>FC2207000174</t>
  </si>
  <si>
    <t>MESIN FOTOCOPY MAJA II IR 2270</t>
  </si>
  <si>
    <t>CV.WAHANA JAYA</t>
  </si>
  <si>
    <t>ISI ULANG APAR</t>
  </si>
  <si>
    <t>ISI ULANG APAR MAJALENGKA</t>
  </si>
  <si>
    <t>BLUWIN LIMITED MAJA</t>
  </si>
  <si>
    <t>KABEL UTP BELDEN CAT 6</t>
  </si>
  <si>
    <t>FORM FINISHED GARMENT</t>
  </si>
  <si>
    <t>FORM PS DAILY AUDIT BY</t>
  </si>
  <si>
    <t>FC2207000175</t>
  </si>
  <si>
    <t>MESIN FOTOCOPI MAJA I</t>
  </si>
  <si>
    <t>SPSI MAJALENGKA</t>
  </si>
  <si>
    <t>PARTISIPASI HUT RI 1205</t>
  </si>
  <si>
    <t>PARTISIPASI HUT RI (SPSI MAJA)</t>
  </si>
  <si>
    <t>I4</t>
  </si>
  <si>
    <t>Material Issue Tanpa WO</t>
  </si>
  <si>
    <t>PEMUSNAHAN ( CUTEX )</t>
  </si>
  <si>
    <t>PERUSAKAN ORDER KOHL</t>
  </si>
  <si>
    <t>DIKEMBALIKAN KE PT GISTEX</t>
  </si>
  <si>
    <t>AE</t>
  </si>
  <si>
    <t>Automatic Entries</t>
  </si>
  <si>
    <t>Offset By Document PV 22010618</t>
  </si>
  <si>
    <t>R09801</t>
  </si>
  <si>
    <t>050.006-22.96605299</t>
  </si>
  <si>
    <t>Offset By Document PV 22010619</t>
  </si>
  <si>
    <t>050.006-22.96610361</t>
  </si>
  <si>
    <t>Offset By Document PV 22010620</t>
  </si>
  <si>
    <t>050.006-22.96614138</t>
  </si>
  <si>
    <t>Offset By Document PV 22010631</t>
  </si>
  <si>
    <t>050.004-22.17214896</t>
  </si>
  <si>
    <t>Offset By Document PV 22010632</t>
  </si>
  <si>
    <t>050.005-22.79303938</t>
  </si>
  <si>
    <t>Offset By Document PV 22010633</t>
  </si>
  <si>
    <t>050.005-22.79303937</t>
  </si>
  <si>
    <t>Offset By Document PV 22010634</t>
  </si>
  <si>
    <t>050.005-22.79303936</t>
  </si>
  <si>
    <t>Offset By Document PV 22010635</t>
  </si>
  <si>
    <t>050.005-22.79303935</t>
  </si>
  <si>
    <t>Offset By Document PV 22010636</t>
  </si>
  <si>
    <t>050.004-22.17214910</t>
  </si>
  <si>
    <t>Offset By Document PV 22010637</t>
  </si>
  <si>
    <t>050.004-22.17214911</t>
  </si>
  <si>
    <t>Offset By Document PV 22010638</t>
  </si>
  <si>
    <t>050.004-22.17214914</t>
  </si>
  <si>
    <t>Offset By Document PV 22010639</t>
  </si>
  <si>
    <t>050.004-22.17214912</t>
  </si>
  <si>
    <t>Offset By Document PV 22010640</t>
  </si>
  <si>
    <t>050.004-22.17214908</t>
  </si>
  <si>
    <t>Offset By Document PV 22010681</t>
  </si>
  <si>
    <t>050.007-22.35559396</t>
  </si>
  <si>
    <t>Offset By Document PV 22010684</t>
  </si>
  <si>
    <t>Offset By Document PV 22010722</t>
  </si>
  <si>
    <t>050.008-22.02109998</t>
  </si>
  <si>
    <t>Offset By Document PV 22010723</t>
  </si>
  <si>
    <t>050.008-22.02109999</t>
  </si>
  <si>
    <t>Offset By Document PV 22010728</t>
  </si>
  <si>
    <t>040.005-22.71101428</t>
  </si>
  <si>
    <t>Offset By Document PV 22010730</t>
  </si>
  <si>
    <t>050.005-22.71209369</t>
  </si>
  <si>
    <t>Offset By Document PV 22010731</t>
  </si>
  <si>
    <t>051.005-22.71197868</t>
  </si>
  <si>
    <t>Offset By Document PV 22010733</t>
  </si>
  <si>
    <t>051.005-22.71209368</t>
  </si>
  <si>
    <t>Offset By Document PV 22010734</t>
  </si>
  <si>
    <t>051.005-22.71220336</t>
  </si>
  <si>
    <t>Offset By Document PV 22010735</t>
  </si>
  <si>
    <t>051.005-22.71220335</t>
  </si>
  <si>
    <t>Offset By Document PV 22010835</t>
  </si>
  <si>
    <t>051.007-22.18951270</t>
  </si>
  <si>
    <t>Offset By Document PV 22010898</t>
  </si>
  <si>
    <t>050.007-22.18963327</t>
  </si>
  <si>
    <t>Offset By Document PV 22010918</t>
  </si>
  <si>
    <t>010.006-22.37380389</t>
  </si>
  <si>
    <t>Offset By Document PV 22010922</t>
  </si>
  <si>
    <t>010.002-22.65620075</t>
  </si>
  <si>
    <t>Offset By Document PV 22010923</t>
  </si>
  <si>
    <t>010.002-22.65621574</t>
  </si>
  <si>
    <t>Offset By Document PV 22010924</t>
  </si>
  <si>
    <t>040.008-22.03147531</t>
  </si>
  <si>
    <t>Offset By Document PV 22010926</t>
  </si>
  <si>
    <t>Offset By Document PV 22010931</t>
  </si>
  <si>
    <t>051.006-22.96642587</t>
  </si>
  <si>
    <t>Offset By Document PV 22010932</t>
  </si>
  <si>
    <t>051.006-22.96645514</t>
  </si>
  <si>
    <t>Offset By Document PV 22010934</t>
  </si>
  <si>
    <t>050.006-22.96650882</t>
  </si>
  <si>
    <t>Offset By Document PV 22010935</t>
  </si>
  <si>
    <t>050.006-22.96661164</t>
  </si>
  <si>
    <t>Offset By Document PV 22010936</t>
  </si>
  <si>
    <t>050.006-22.96671031</t>
  </si>
  <si>
    <t>Offset By Document PV 22010937</t>
  </si>
  <si>
    <t>050.006-22.96656199</t>
  </si>
  <si>
    <t>Offset By Document PV 22010938</t>
  </si>
  <si>
    <t>050.006-22.96646215</t>
  </si>
  <si>
    <t>Offset By Document PV 22010939</t>
  </si>
  <si>
    <t>051.006-22.96639080</t>
  </si>
  <si>
    <t>Offset By Document PV 22010940</t>
  </si>
  <si>
    <t>050.006-22.96665997</t>
  </si>
  <si>
    <t>Offset By Document PV 22010941</t>
  </si>
  <si>
    <t>050.006-22.96675534</t>
  </si>
  <si>
    <t>Offset By Document PV 22011292</t>
  </si>
  <si>
    <t>010.007-22.03329549</t>
  </si>
  <si>
    <t>Offset By Document PV 22011381</t>
  </si>
  <si>
    <t>050.007-22.18965426</t>
  </si>
  <si>
    <t>Offset By Document PV 22011419</t>
  </si>
  <si>
    <t>050.008-22.02132123</t>
  </si>
  <si>
    <t>Offset By Document PV 22011505</t>
  </si>
  <si>
    <t>051.006-22.31658027</t>
  </si>
  <si>
    <t>DEP.KEUANGAN R.I DIT.JEND.BEA</t>
  </si>
  <si>
    <t>SAMPLE ADRENALIN</t>
  </si>
  <si>
    <t>SAMPLE H&amp;M</t>
  </si>
  <si>
    <t>Offset By Document PV 22002820</t>
  </si>
  <si>
    <t>010.006-22.37380391</t>
  </si>
  <si>
    <t>Offset By Document PV 22002825</t>
  </si>
  <si>
    <t>Offset By Document PV 22002826</t>
  </si>
  <si>
    <t>040.008-22.03147530</t>
  </si>
  <si>
    <t>Offset By Document PV 22002830</t>
  </si>
  <si>
    <t>011.003-22.81789981</t>
  </si>
  <si>
    <t>Offset By Document PV 22002871</t>
  </si>
  <si>
    <t>010.007-22.03329189</t>
  </si>
  <si>
    <t>LIMBAH MAJUN GM2</t>
  </si>
  <si>
    <t>IDA YULIA</t>
  </si>
  <si>
    <t>SEWA KONTRAKAN MAJAII</t>
  </si>
  <si>
    <t>MOTHER CARE</t>
  </si>
  <si>
    <t>Offset By Document PV 22002992</t>
  </si>
  <si>
    <t>010.006-22.37380390</t>
  </si>
  <si>
    <t>Offset By Document PV 22002994</t>
  </si>
  <si>
    <t>010.002-22.65620076</t>
  </si>
  <si>
    <t>Offset By Document PV 22002995</t>
  </si>
  <si>
    <t>040.008-22.03147529</t>
  </si>
  <si>
    <t>Offset By Document PV 22003050</t>
  </si>
  <si>
    <t>010.007-22.03328312</t>
  </si>
  <si>
    <t>Offset By Document PV 22001533</t>
  </si>
  <si>
    <t>010.006-22.37377823</t>
  </si>
  <si>
    <t>Offset By Document PV 22001536</t>
  </si>
  <si>
    <t>040.008-22.03147532</t>
  </si>
  <si>
    <t>Offset By Document PV 22001538</t>
  </si>
  <si>
    <t>010.007-22.03328565</t>
  </si>
  <si>
    <t>Offset By Document PV 22001544</t>
  </si>
  <si>
    <t>BUNGA LOAN NIAGA</t>
  </si>
  <si>
    <t>ISMA.H</t>
  </si>
  <si>
    <t>BIAYA STATEMENT</t>
  </si>
  <si>
    <t>BIAYA CETAK MUTASI REKENING</t>
  </si>
  <si>
    <t>ADM</t>
  </si>
  <si>
    <t>MONTHLY ADMIN FEE</t>
  </si>
  <si>
    <t>ADMIN</t>
  </si>
  <si>
    <t>Profit Loss</t>
  </si>
  <si>
    <t>NO</t>
  </si>
  <si>
    <t>NO ACCOUNT</t>
  </si>
  <si>
    <t>ACCOUNT DESCRIPTION</t>
  </si>
  <si>
    <t>PLAN BUDGET</t>
  </si>
  <si>
    <t>ACTUAL BUDGET</t>
  </si>
  <si>
    <t>Total Pengeluaran</t>
  </si>
  <si>
    <t>Balance</t>
  </si>
  <si>
    <t>TOTAL</t>
  </si>
  <si>
    <t>630520</t>
  </si>
  <si>
    <t>630530</t>
  </si>
  <si>
    <t>630710</t>
  </si>
  <si>
    <t>630720</t>
  </si>
  <si>
    <t>630730</t>
  </si>
  <si>
    <t>630740</t>
  </si>
  <si>
    <t>630750</t>
  </si>
  <si>
    <t>630760</t>
  </si>
  <si>
    <t>630770</t>
  </si>
  <si>
    <t>810110</t>
  </si>
  <si>
    <t>810120</t>
  </si>
  <si>
    <t>810130</t>
  </si>
  <si>
    <t>kunci buat identitas filter</t>
  </si>
  <si>
    <t>kunci filter</t>
  </si>
  <si>
    <t>PT. DAFINA CITRA MANDIRI</t>
  </si>
  <si>
    <t>JCT  TEIJCT KOSE  /M</t>
  </si>
  <si>
    <t>SKIRTTEISKIRT KOSE/M</t>
  </si>
  <si>
    <t>BOXERCBKBOXER     /M</t>
  </si>
  <si>
    <t>PJAMACBKPJAMAS    /M</t>
  </si>
  <si>
    <t>UPAHCVANUGRAHCONTRUCTIONPRATAM</t>
  </si>
  <si>
    <t>CV.SUBUR JAYA TEHNIK</t>
  </si>
  <si>
    <t>SUNARTI</t>
  </si>
  <si>
    <t>SERVICE EXHAUST FAN</t>
  </si>
  <si>
    <t>JE</t>
  </si>
  <si>
    <t>Journal Entry</t>
  </si>
  <si>
    <t>AMORTISASI ASWATA 8/12</t>
  </si>
  <si>
    <t>AMORTISASI AVRIST 05/12</t>
  </si>
  <si>
    <t>PAJAK AIR TANAH MEI'22</t>
  </si>
  <si>
    <t>PAJAK AIR TANAH APRIL'22</t>
  </si>
  <si>
    <t>INSENTIF AJAT,REZA&amp;DIKDIK</t>
  </si>
  <si>
    <t>PT. ENVILAB INDONESIA</t>
  </si>
  <si>
    <t>2618/KWI/08/2022</t>
  </si>
  <si>
    <t>BAYARUJILINGKUNGAN KALIBENDA</t>
  </si>
  <si>
    <t>SAMPLE FABRIC EIGER UTK CLN</t>
  </si>
  <si>
    <t>DIAH@MJL</t>
  </si>
  <si>
    <t>PPS FAMO MBA CLARA</t>
  </si>
  <si>
    <t>sample gm 1</t>
  </si>
  <si>
    <t>SALARY AGUSTUS</t>
  </si>
  <si>
    <t>MATERAI DOK&amp; PPIC</t>
  </si>
  <si>
    <t>PERPNJ STNK ALPHARD</t>
  </si>
  <si>
    <t>PBB MJK 2022</t>
  </si>
  <si>
    <t>DINAS KELUAR KANTOR CLN</t>
  </si>
  <si>
    <t>DINAS QC KE BANJAR</t>
  </si>
  <si>
    <t>DINAS P'WAWAN KE BANJAR</t>
  </si>
  <si>
    <t>SEWA KRAPYAK 7/36</t>
  </si>
  <si>
    <t>AMORTISASI TITIN  29/60</t>
  </si>
  <si>
    <t xml:space="preserve"> AMORTISASI TITIN  29/60</t>
  </si>
  <si>
    <t xml:space="preserve"> AMORT IDA YULIA (24/24)</t>
  </si>
  <si>
    <t>AMORTISASI INDRA 19/24</t>
  </si>
  <si>
    <t>AMORTISASI INDRA TAKARIY 12/24</t>
  </si>
  <si>
    <t>AMORTISASI EUIS 11/12</t>
  </si>
  <si>
    <t>AMORT TANAH  WONOGIRI (9/12)</t>
  </si>
  <si>
    <t>AMORTISASI LIQOUN 21/24</t>
  </si>
  <si>
    <t>AMORTISASI EKA F 21/24</t>
  </si>
  <si>
    <t>AMORTISASI KAB BANJAR  20/36</t>
  </si>
  <si>
    <t>AMORTISASI SUGIYARNO 8/12</t>
  </si>
  <si>
    <t>AMORTISASI GD TRAINING 7/36</t>
  </si>
  <si>
    <t xml:space="preserve"> AMORT TANAH  WONOGIRI (41/60)</t>
  </si>
  <si>
    <t>SEWA CNJ 7/48</t>
  </si>
  <si>
    <t>AMORTISASI ASEP H 7/12</t>
  </si>
  <si>
    <t>AMORTISASI ENDAH P 7/12</t>
  </si>
  <si>
    <t xml:space="preserve"> AMORTISASI FEBI F 7/12</t>
  </si>
  <si>
    <t xml:space="preserve"> AMORTISASI ROSTIKA 5/12</t>
  </si>
  <si>
    <t xml:space="preserve"> AMORTISASI IDA YULIA 1/12</t>
  </si>
  <si>
    <t>DN#087/GGI/VIII/22</t>
  </si>
  <si>
    <t>INDRIANI</t>
  </si>
  <si>
    <t>PT.HAHA</t>
  </si>
  <si>
    <t>CV BINTANG JAYA PERKASA</t>
  </si>
  <si>
    <t>F88</t>
  </si>
  <si>
    <t>CV. DARMAN ASIH SEJAHTERA</t>
  </si>
  <si>
    <t>SEWA CRAN</t>
  </si>
  <si>
    <t>010.007-22.81551299</t>
  </si>
  <si>
    <t>CADANGAN INTEREST LOAN</t>
  </si>
  <si>
    <t>BIAYA BANK</t>
  </si>
  <si>
    <t>CTY GGI KE NIAGA GGI</t>
  </si>
  <si>
    <t>1201.9110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</si>
</sst>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000"/>
    <numFmt numFmtId="165" formatCode="_-[$$-409]* #,##0.00_ ;_-[$$-409]* \-#,##0.00\ ;_-[$$-409]* &quot;-&quot;??_ ;_-@_ "/>
    <numFmt numFmtId="166" formatCode="[$$-409]#,##0;[Red]&quot;-&quot;[$$-409]#,##0"/>
    <numFmt numFmtId="167" formatCode="[$$-409]#,##0;[Red][$$-409]#,##0"/>
    <numFmt numFmtId="168" formatCode="&quot;$&quot;#,##0;[Red]&quot;$&quot;#,##0"/>
    <numFmt numFmtId="169" formatCode="&quot;$&quot;#,##0"/>
    <numFmt numFmtId="170" formatCode="_(&quot;$&quot;* #,##0_);_(&quot;$&quot;* \(#,##0\);_(&quot;$&quot;* &quot;-&quot;??_);_(@_)"/>
  </numFmts>
  <fonts count="1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sz val="12"/>
      <name val="Abadi MT Condensed Light"/>
    </font>
    <font>
      <sz val="10"/>
      <name val="Lucida Sans Unicode"/>
      <family val="2"/>
    </font>
    <font>
      <i/>
      <sz val="8"/>
      <color rgb="FF454545"/>
      <name val="Arial"/>
      <family val="2"/>
    </font>
    <font>
      <sz val="8"/>
      <color theme="1"/>
      <name val="Arial"/>
      <family val="2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</fonts>
  <fills count="30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 style="thin">
        <color indexed="64"/>
      </right>
      <top/>
      <bottom/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80">
    <xf numFmtId="0" fontId="0" fillId="0" borderId="0" xfId="0"/>
    <xf numFmtId="0" fontId="0" fillId="2" borderId="2" xfId="0" applyFill="1" applyBorder="1" applyAlignment="1">
      <alignment horizontal="right"/>
    </xf>
    <xf numFmtId="0" fontId="0" fillId="3" borderId="3" xfId="0" applyFill="1" applyBorder="1" applyAlignment="1">
      <alignment horizontal="center"/>
    </xf>
    <xf numFmtId="0" fontId="1" fillId="0" borderId="0" xfId="0" applyFont="1"/>
    <xf numFmtId="0" fontId="2" fillId="0" borderId="0" xfId="0" applyFont="1"/>
    <xf numFmtId="0" fontId="0" fillId="0" borderId="0" xfId="0" quotePrefix="1"/>
    <xf numFmtId="14" fontId="0" fillId="0" borderId="0" xfId="0" applyNumberFormat="1"/>
    <xf numFmtId="2" fontId="0" fillId="0" borderId="0" xfId="0" applyNumberFormat="1"/>
    <xf numFmtId="0" fontId="4" fillId="0" borderId="0" xfId="0" applyFont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165" fontId="0" fillId="0" borderId="0" xfId="0" applyNumberFormat="1"/>
    <xf numFmtId="0" fontId="4" fillId="0" borderId="4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7" fillId="0" borderId="0" xfId="2" quotePrefix="1" applyFont="1" applyAlignment="1">
      <alignment horizontal="left"/>
    </xf>
    <xf numFmtId="0" fontId="8" fillId="0" borderId="0" xfId="0" applyFont="1" applyAlignment="1">
      <alignment vertical="center"/>
    </xf>
    <xf numFmtId="0" fontId="8" fillId="0" borderId="0" xfId="0" applyFont="1"/>
    <xf numFmtId="164" fontId="7" fillId="0" borderId="0" xfId="2" quotePrefix="1" applyNumberFormat="1" applyFont="1" applyAlignment="1">
      <alignment horizontal="left"/>
    </xf>
    <xf numFmtId="49" fontId="4" fillId="0" borderId="0" xfId="2" quotePrefix="1" applyNumberFormat="1" applyFont="1" applyAlignment="1">
      <alignment horizontal="left"/>
    </xf>
    <xf numFmtId="49" fontId="9" fillId="0" borderId="0" xfId="0" applyNumberFormat="1" applyFont="1" applyAlignment="1">
      <alignment vertical="center"/>
    </xf>
    <xf numFmtId="49" fontId="9" fillId="0" borderId="0" xfId="0" applyNumberFormat="1" applyFont="1"/>
    <xf numFmtId="166" fontId="0" fillId="0" borderId="4" xfId="0" applyNumberFormat="1" applyBorder="1" applyAlignment="1">
      <alignment horizontal="center" vertical="center" wrapText="1"/>
    </xf>
    <xf numFmtId="0" fontId="0" fillId="0" borderId="0" xfId="0" applyNumberFormat="1"/>
    <xf numFmtId="0" fontId="1" fillId="5" borderId="5" xfId="0" applyFont="1" applyFill="1" applyBorder="1" applyAlignment="1">
      <alignment horizontal="right"/>
    </xf>
    <xf numFmtId="0" fontId="5" fillId="3" borderId="6" xfId="1" applyFill="1" applyBorder="1" applyAlignment="1">
      <alignment horizontal="center"/>
    </xf>
    <xf numFmtId="0" fontId="1" fillId="5" borderId="7" xfId="0" applyFont="1" applyFill="1" applyBorder="1" applyAlignment="1">
      <alignment horizontal="center" vertical="center"/>
    </xf>
    <xf numFmtId="0" fontId="1" fillId="5" borderId="9" xfId="0" applyFont="1" applyFill="1" applyBorder="1" applyAlignment="1">
      <alignment horizontal="center" vertical="center"/>
    </xf>
    <xf numFmtId="0" fontId="5" fillId="3" borderId="10" xfId="1" applyFill="1" applyBorder="1" applyAlignment="1">
      <alignment horizontal="center"/>
    </xf>
    <xf numFmtId="0" fontId="5" fillId="3" borderId="8" xfId="1" applyNumberFormat="1" applyFill="1" applyBorder="1" applyAlignment="1">
      <alignment horizontal="center"/>
    </xf>
    <xf numFmtId="49" fontId="0" fillId="0" borderId="0" xfId="0" applyNumberFormat="1"/>
    <xf numFmtId="4" fontId="0" fillId="0" borderId="0" xfId="0" applyNumberFormat="1"/>
    <xf numFmtId="49" fontId="4" fillId="6" borderId="4" xfId="0" applyNumberFormat="1" applyFont="1" applyFill="1" applyBorder="1" applyAlignment="1">
      <alignment horizontal="center" vertical="center"/>
    </xf>
    <xf numFmtId="49" fontId="4" fillId="7" borderId="4" xfId="0" applyNumberFormat="1" applyFont="1" applyFill="1" applyBorder="1" applyAlignment="1">
      <alignment horizontal="center" vertical="center"/>
    </xf>
    <xf numFmtId="49" fontId="4" fillId="8" borderId="4" xfId="0" applyNumberFormat="1" applyFont="1" applyFill="1" applyBorder="1" applyAlignment="1">
      <alignment horizontal="center" vertical="center"/>
    </xf>
    <xf numFmtId="49" fontId="4" fillId="9" borderId="4" xfId="0" applyNumberFormat="1" applyFont="1" applyFill="1" applyBorder="1" applyAlignment="1">
      <alignment horizontal="center" vertical="center"/>
    </xf>
    <xf numFmtId="49" fontId="4" fillId="10" borderId="4" xfId="0" applyNumberFormat="1" applyFont="1" applyFill="1" applyBorder="1" applyAlignment="1">
      <alignment horizontal="center" vertical="center"/>
    </xf>
    <xf numFmtId="49" fontId="4" fillId="11" borderId="4" xfId="0" applyNumberFormat="1" applyFont="1" applyFill="1" applyBorder="1" applyAlignment="1">
      <alignment horizontal="center" vertical="center"/>
    </xf>
    <xf numFmtId="49" fontId="4" fillId="12" borderId="4" xfId="0" applyNumberFormat="1" applyFont="1" applyFill="1" applyBorder="1" applyAlignment="1">
      <alignment horizontal="center" vertical="center"/>
    </xf>
    <xf numFmtId="49" fontId="4" fillId="5" borderId="4" xfId="0" applyNumberFormat="1" applyFont="1" applyFill="1" applyBorder="1" applyAlignment="1">
      <alignment horizontal="center" vertical="center"/>
    </xf>
    <xf numFmtId="49" fontId="4" fillId="2" borderId="4" xfId="0" applyNumberFormat="1" applyFont="1" applyFill="1" applyBorder="1" applyAlignment="1">
      <alignment horizontal="center" vertical="center"/>
    </xf>
    <xf numFmtId="49" fontId="4" fillId="13" borderId="4" xfId="0" applyNumberFormat="1" applyFont="1" applyFill="1" applyBorder="1" applyAlignment="1">
      <alignment horizontal="center" vertical="center"/>
    </xf>
    <xf numFmtId="49" fontId="4" fillId="14" borderId="4" xfId="0" applyNumberFormat="1" applyFont="1" applyFill="1" applyBorder="1" applyAlignment="1">
      <alignment horizontal="center" vertical="center"/>
    </xf>
    <xf numFmtId="49" fontId="4" fillId="15" borderId="4" xfId="0" applyNumberFormat="1" applyFont="1" applyFill="1" applyBorder="1" applyAlignment="1">
      <alignment horizontal="center" vertical="center"/>
    </xf>
    <xf numFmtId="49" fontId="4" fillId="16" borderId="4" xfId="0" applyNumberFormat="1" applyFont="1" applyFill="1" applyBorder="1" applyAlignment="1">
      <alignment horizontal="center" vertical="center"/>
    </xf>
    <xf numFmtId="49" fontId="4" fillId="17" borderId="4" xfId="0" applyNumberFormat="1" applyFont="1" applyFill="1" applyBorder="1" applyAlignment="1">
      <alignment horizontal="center" vertical="center"/>
    </xf>
    <xf numFmtId="49" fontId="4" fillId="18" borderId="4" xfId="0" applyNumberFormat="1" applyFont="1" applyFill="1" applyBorder="1" applyAlignment="1">
      <alignment horizontal="center" vertical="center"/>
    </xf>
    <xf numFmtId="49" fontId="4" fillId="19" borderId="4" xfId="0" applyNumberFormat="1" applyFont="1" applyFill="1" applyBorder="1" applyAlignment="1">
      <alignment horizontal="center" vertical="center"/>
    </xf>
    <xf numFmtId="49" fontId="4" fillId="20" borderId="4" xfId="0" applyNumberFormat="1" applyFont="1" applyFill="1" applyBorder="1" applyAlignment="1">
      <alignment horizontal="center" vertical="center"/>
    </xf>
    <xf numFmtId="49" fontId="4" fillId="21" borderId="4" xfId="0" applyNumberFormat="1" applyFont="1" applyFill="1" applyBorder="1" applyAlignment="1">
      <alignment horizontal="center" vertical="center"/>
    </xf>
    <xf numFmtId="49" fontId="4" fillId="22" borderId="4" xfId="0" applyNumberFormat="1" applyFont="1" applyFill="1" applyBorder="1" applyAlignment="1">
      <alignment horizontal="center" vertical="center"/>
    </xf>
    <xf numFmtId="49" fontId="4" fillId="23" borderId="4" xfId="0" applyNumberFormat="1" applyFont="1" applyFill="1" applyBorder="1" applyAlignment="1">
      <alignment horizontal="center" vertical="center"/>
    </xf>
    <xf numFmtId="49" fontId="4" fillId="24" borderId="4" xfId="0" applyNumberFormat="1" applyFont="1" applyFill="1" applyBorder="1" applyAlignment="1">
      <alignment horizontal="center" vertical="center"/>
    </xf>
    <xf numFmtId="49" fontId="4" fillId="25" borderId="4" xfId="0" applyNumberFormat="1" applyFont="1" applyFill="1" applyBorder="1" applyAlignment="1">
      <alignment horizontal="center" vertical="center"/>
    </xf>
    <xf numFmtId="49" fontId="4" fillId="26" borderId="4" xfId="0" applyNumberFormat="1" applyFont="1" applyFill="1" applyBorder="1" applyAlignment="1">
      <alignment horizontal="center" vertical="center"/>
    </xf>
    <xf numFmtId="49" fontId="4" fillId="27" borderId="4" xfId="0" applyNumberFormat="1" applyFont="1" applyFill="1" applyBorder="1" applyAlignment="1">
      <alignment horizontal="center" vertical="center"/>
    </xf>
    <xf numFmtId="49" fontId="4" fillId="28" borderId="4" xfId="0" applyNumberFormat="1" applyFont="1" applyFill="1" applyBorder="1" applyAlignment="1">
      <alignment horizontal="center" vertical="center"/>
    </xf>
    <xf numFmtId="49" fontId="4" fillId="29" borderId="4" xfId="0" applyNumberFormat="1" applyFont="1" applyFill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 wrapText="1"/>
    </xf>
    <xf numFmtId="168" fontId="0" fillId="0" borderId="0" xfId="0" applyNumberFormat="1"/>
    <xf numFmtId="0" fontId="0" fillId="0" borderId="0" xfId="0" applyBorder="1"/>
    <xf numFmtId="167" fontId="0" fillId="0" borderId="0" xfId="0" applyNumberFormat="1"/>
    <xf numFmtId="0" fontId="1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4" fontId="0" fillId="0" borderId="4" xfId="0" applyNumberFormat="1" applyBorder="1" applyAlignment="1">
      <alignment horizontal="center" vertical="center"/>
    </xf>
    <xf numFmtId="169" fontId="0" fillId="0" borderId="4" xfId="0" applyNumberFormat="1" applyBorder="1" applyAlignment="1">
      <alignment horizontal="center" vertical="center"/>
    </xf>
    <xf numFmtId="0" fontId="1" fillId="0" borderId="0" xfId="0" applyNumberFormat="1" applyFont="1"/>
    <xf numFmtId="14" fontId="3" fillId="0" borderId="4" xfId="0" applyNumberFormat="1" applyFont="1" applyBorder="1" applyAlignment="1">
      <alignment horizontal="center" vertical="center"/>
    </xf>
    <xf numFmtId="170" fontId="12" fillId="0" borderId="4" xfId="0" applyNumberFormat="1" applyFont="1" applyBorder="1" applyAlignment="1">
      <alignment horizontal="center" vertical="center"/>
    </xf>
    <xf numFmtId="170" fontId="13" fillId="0" borderId="4" xfId="0" applyNumberFormat="1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166" fontId="0" fillId="0" borderId="11" xfId="0" applyNumberFormat="1" applyBorder="1" applyAlignment="1">
      <alignment horizontal="center" vertical="center" wrapText="1"/>
    </xf>
    <xf numFmtId="166" fontId="0" fillId="0" borderId="13" xfId="0" applyNumberFormat="1" applyBorder="1" applyAlignment="1">
      <alignment horizontal="center" vertical="center" wrapText="1"/>
    </xf>
    <xf numFmtId="166" fontId="0" fillId="0" borderId="12" xfId="0" applyNumberFormat="1" applyBorder="1" applyAlignment="1">
      <alignment horizontal="center" vertical="center" wrapText="1"/>
    </xf>
    <xf numFmtId="166" fontId="0" fillId="0" borderId="11" xfId="0" applyNumberFormat="1" applyBorder="1" applyAlignment="1">
      <alignment horizontal="center" vertical="center"/>
    </xf>
    <xf numFmtId="166" fontId="0" fillId="0" borderId="13" xfId="0" applyNumberFormat="1" applyBorder="1" applyAlignment="1">
      <alignment horizontal="center" vertical="center"/>
    </xf>
    <xf numFmtId="166" fontId="0" fillId="0" borderId="12" xfId="0" applyNumberFormat="1" applyBorder="1" applyAlignment="1">
      <alignment horizontal="center" vertical="center"/>
    </xf>
    <xf numFmtId="167" fontId="0" fillId="0" borderId="11" xfId="0" applyNumberFormat="1" applyBorder="1" applyAlignment="1">
      <alignment horizontal="center" vertical="center" wrapText="1"/>
    </xf>
    <xf numFmtId="167" fontId="0" fillId="0" borderId="13" xfId="0" applyNumberFormat="1" applyBorder="1" applyAlignment="1">
      <alignment horizontal="center" vertical="center" wrapText="1"/>
    </xf>
    <xf numFmtId="167" fontId="0" fillId="0" borderId="12" xfId="0" applyNumberForma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</cellXfs>
  <cellStyles count="3">
    <cellStyle name="Hyperlink" xfId="1" builtinId="8"/>
    <cellStyle name="Normal" xfId="0" builtinId="0"/>
    <cellStyle name="Normal_COSTU-05" xfId="2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79561</xdr:colOff>
      <xdr:row>10</xdr:row>
      <xdr:rowOff>170890</xdr:rowOff>
    </xdr:from>
    <xdr:to>
      <xdr:col>2</xdr:col>
      <xdr:colOff>459442</xdr:colOff>
      <xdr:row>13</xdr:row>
      <xdr:rowOff>67235</xdr:rowOff>
    </xdr:to>
    <xdr:sp macro="[0]!PROCES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38C36AA-F83C-418C-884A-51C26EC79EF8}"/>
            </a:ext>
          </a:extLst>
        </xdr:cNvPr>
        <xdr:cNvSpPr/>
      </xdr:nvSpPr>
      <xdr:spPr>
        <a:xfrm>
          <a:off x="673473" y="2131919"/>
          <a:ext cx="984998" cy="46784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PROCESS</a:t>
          </a:r>
        </a:p>
      </xdr:txBody>
    </xdr:sp>
    <xdr:clientData/>
  </xdr:twoCellAnchor>
  <xdr:twoCellAnchor>
    <xdr:from>
      <xdr:col>4</xdr:col>
      <xdr:colOff>81242</xdr:colOff>
      <xdr:row>15</xdr:row>
      <xdr:rowOff>71718</xdr:rowOff>
    </xdr:from>
    <xdr:to>
      <xdr:col>5</xdr:col>
      <xdr:colOff>537883</xdr:colOff>
      <xdr:row>17</xdr:row>
      <xdr:rowOff>112059</xdr:rowOff>
    </xdr:to>
    <xdr:sp macro="[0]!HAPU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6E572E63-6007-4DAA-8C7E-D2D162D14385}"/>
            </a:ext>
          </a:extLst>
        </xdr:cNvPr>
        <xdr:cNvSpPr/>
      </xdr:nvSpPr>
      <xdr:spPr>
        <a:xfrm>
          <a:off x="2042271" y="2985247"/>
          <a:ext cx="1061759" cy="421341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6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CLEAR</a:t>
          </a:r>
        </a:p>
      </xdr:txBody>
    </xdr:sp>
    <xdr:clientData/>
  </xdr:twoCellAnchor>
  <xdr:twoCellAnchor>
    <xdr:from>
      <xdr:col>4</xdr:col>
      <xdr:colOff>71718</xdr:colOff>
      <xdr:row>10</xdr:row>
      <xdr:rowOff>156323</xdr:rowOff>
    </xdr:from>
    <xdr:to>
      <xdr:col>5</xdr:col>
      <xdr:colOff>515472</xdr:colOff>
      <xdr:row>13</xdr:row>
      <xdr:rowOff>89647</xdr:rowOff>
    </xdr:to>
    <xdr:sp macro="[0]!RP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3834A27-22B4-4ACE-A143-FC739802BEA6}"/>
            </a:ext>
          </a:extLst>
        </xdr:cNvPr>
        <xdr:cNvSpPr/>
      </xdr:nvSpPr>
      <xdr:spPr>
        <a:xfrm>
          <a:off x="2032747" y="2117352"/>
          <a:ext cx="1048872" cy="50482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INPUT</a:t>
          </a:r>
          <a:r>
            <a:rPr lang="en-ID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RPA</a:t>
          </a:r>
          <a:endParaRPr lang="en-ID" sz="1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79562</xdr:colOff>
      <xdr:row>15</xdr:row>
      <xdr:rowOff>36419</xdr:rowOff>
    </xdr:from>
    <xdr:to>
      <xdr:col>2</xdr:col>
      <xdr:colOff>459443</xdr:colOff>
      <xdr:row>17</xdr:row>
      <xdr:rowOff>123264</xdr:rowOff>
    </xdr:to>
    <xdr:sp macro="[0]!simpan_rekap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2B402280-6362-4A21-9821-D97DCC8480ED}"/>
            </a:ext>
          </a:extLst>
        </xdr:cNvPr>
        <xdr:cNvSpPr/>
      </xdr:nvSpPr>
      <xdr:spPr>
        <a:xfrm>
          <a:off x="740709" y="2949948"/>
          <a:ext cx="984999" cy="46784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REKAP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Z208"/>
  <sheetViews>
    <sheetView topLeftCell="CU1" zoomScale="85" zoomScaleNormal="85" workbookViewId="0">
      <selection activeCell="DF1" sqref="DF1"/>
    </sheetView>
  </sheetViews>
  <sheetFormatPr defaultRowHeight="15"/>
  <cols>
    <col min="1" max="1" width="9.85546875" bestFit="1" customWidth="1"/>
    <col min="3" max="3" width="9.140625" customWidth="1"/>
    <col min="4" max="4" width="2.42578125" customWidth="1"/>
    <col min="5" max="6" width="9.140625" customWidth="1"/>
    <col min="7" max="8" width="3.85546875" customWidth="1"/>
    <col min="9" max="9" width="4" bestFit="1" customWidth="1"/>
    <col min="10" max="10" width="18.42578125" style="8" bestFit="1" customWidth="1"/>
    <col min="11" max="11" width="12.140625" style="8" bestFit="1" customWidth="1"/>
    <col min="12" max="12" width="9.140625" customWidth="1"/>
    <col min="13" max="13" width="18.28515625" bestFit="1" customWidth="1"/>
    <col min="14" max="14" width="79" bestFit="1" customWidth="1"/>
    <col min="15" max="15" width="12.140625" bestFit="1" customWidth="1"/>
    <col min="16" max="16" width="9.140625" style="21" customWidth="1"/>
    <col min="17" max="17" width="11.5703125" style="21" bestFit="1" customWidth="1"/>
    <col min="18" max="18" width="9.140625" style="21" customWidth="1"/>
    <col min="19" max="93" width="9.140625" customWidth="1"/>
    <col min="94" max="94" width="16.140625" bestFit="1" customWidth="1"/>
    <col min="95" max="95" width="9.7109375" bestFit="1" customWidth="1"/>
    <col min="96" max="96" width="9.140625" customWidth="1"/>
    <col min="97" max="97" width="18" bestFit="1" customWidth="1"/>
    <col min="98" max="104" width="9.140625" customWidth="1"/>
    <col min="105" max="105" width="9.7109375" customWidth="1"/>
    <col min="106" max="106" width="9.140625" customWidth="1"/>
    <col min="107" max="107" width="11.85546875" bestFit="1" customWidth="1"/>
    <col min="108" max="108" width="9.7109375" customWidth="1"/>
    <col min="109" max="109" width="9.140625" customWidth="1"/>
    <col min="110" max="110" width="11.5703125" customWidth="1"/>
    <col min="111" max="111" width="69.28515625" customWidth="1"/>
    <col min="112" max="112" width="9.85546875" style="21" bestFit="1" customWidth="1"/>
    <col min="113" max="113" width="13.140625" bestFit="1" customWidth="1"/>
    <col min="114" max="114" width="10.7109375" customWidth="1"/>
    <col min="115" max="115" width="9.140625" customWidth="1"/>
    <col min="116" max="117" width="11.85546875" style="6" bestFit="1" customWidth="1"/>
    <col min="120" max="120" width="11.7109375" bestFit="1" customWidth="1"/>
    <col min="125" max="125" width="48" bestFit="1" customWidth="1"/>
    <col min="126" max="126" width="12.140625" bestFit="1" customWidth="1"/>
  </cols>
  <sheetData>
    <row r="1" spans="1:130" ht="15.75" thickBot="1">
      <c r="CP1" t="s">
        <v>258</v>
      </c>
      <c r="CQ1" s="6">
        <f ca="1">TODAY()</f>
        <v>44804</v>
      </c>
      <c r="CS1" t="s">
        <v>256</v>
      </c>
      <c r="CT1">
        <v>1</v>
      </c>
      <c r="CW1">
        <v>1</v>
      </c>
      <c r="CX1">
        <v>31</v>
      </c>
      <c r="CZ1">
        <v>1</v>
      </c>
      <c r="DA1">
        <v>7</v>
      </c>
      <c r="DB1">
        <v>1</v>
      </c>
      <c r="DC1" s="6">
        <f ca="1">IF(DB1&lt;=$DI$2,DATE($DI$4,$DI$3,DB1),"")</f>
        <v>44774</v>
      </c>
      <c r="DD1">
        <f ca="1">IF(DC1&lt;&gt;"",WEEKNUM(DC1,2),"")</f>
        <v>32</v>
      </c>
      <c r="DE1">
        <v>1</v>
      </c>
      <c r="DF1" s="17" t="s">
        <v>8</v>
      </c>
      <c r="DG1" s="18" t="s">
        <v>9</v>
      </c>
      <c r="DH1" s="6">
        <f ca="1">TODAY()-1</f>
        <v>44803</v>
      </c>
      <c r="DI1" s="6" t="str">
        <f ca="1">CONCATENATE(B7,"/",DH2,"/",CT3)</f>
        <v>8/30/2022</v>
      </c>
      <c r="DJ1" s="6" t="str">
        <f>CONCATENATE(B7,"/",CT1,"/",CT3)</f>
        <v>8/1/2022</v>
      </c>
      <c r="DL1" s="6">
        <f ca="1">DC1</f>
        <v>44774</v>
      </c>
      <c r="DM1" s="6">
        <v>44780</v>
      </c>
      <c r="DN1" t="s">
        <v>1104</v>
      </c>
      <c r="DO1" s="7"/>
      <c r="DQ1" t="s">
        <v>0</v>
      </c>
      <c r="DR1" t="s">
        <v>5</v>
      </c>
      <c r="DT1" t="s">
        <v>1105</v>
      </c>
      <c r="DU1" t="s">
        <v>334</v>
      </c>
      <c r="DV1" t="s">
        <v>5</v>
      </c>
      <c r="DX1" s="9" t="s">
        <v>4</v>
      </c>
      <c r="DY1" s="9" t="s">
        <v>0</v>
      </c>
      <c r="DZ1" s="9" t="s">
        <v>5</v>
      </c>
    </row>
    <row r="2" spans="1:130">
      <c r="I2" s="9" t="s">
        <v>4</v>
      </c>
      <c r="J2" s="9" t="s">
        <v>0</v>
      </c>
      <c r="K2" s="9" t="s">
        <v>5</v>
      </c>
      <c r="M2" s="22" t="s">
        <v>6</v>
      </c>
      <c r="N2" s="23" t="s">
        <v>261</v>
      </c>
      <c r="CS2" t="s">
        <v>257</v>
      </c>
      <c r="CT2">
        <f ca="1">DAY(EOMONTH(CQ1,0))</f>
        <v>31</v>
      </c>
      <c r="CW2">
        <v>2</v>
      </c>
      <c r="CX2">
        <f>IF(MOD(B8,4)=0,29,28)</f>
        <v>28</v>
      </c>
      <c r="CZ2">
        <v>8</v>
      </c>
      <c r="DA2">
        <v>14</v>
      </c>
      <c r="DB2">
        <v>2</v>
      </c>
      <c r="DC2" s="6">
        <f t="shared" ref="DC2:DC31" ca="1" si="0">IF(DB2&lt;=$DI$2,DATE($DI$4,$DI$3,DB2),"")</f>
        <v>44775</v>
      </c>
      <c r="DD2">
        <f ca="1">IF(DC2&lt;&gt;"",WEEKNUM(DC2,2),"")</f>
        <v>32</v>
      </c>
      <c r="DE2">
        <f ca="1">IF(DD2&lt;&gt;"",IF(DD2=DD1,DE1,DE1+1),"")</f>
        <v>1</v>
      </c>
      <c r="DF2" s="17" t="s">
        <v>106</v>
      </c>
      <c r="DG2" s="18" t="s">
        <v>9</v>
      </c>
      <c r="DH2" s="21">
        <f ca="1">DAY(DH1)</f>
        <v>30</v>
      </c>
      <c r="DI2">
        <f ca="1">DAY(DI1)</f>
        <v>30</v>
      </c>
      <c r="DJ2" s="6"/>
      <c r="DL2" s="6">
        <v>44781</v>
      </c>
      <c r="DM2" s="6">
        <v>44787</v>
      </c>
      <c r="DN2" t="s">
        <v>335</v>
      </c>
      <c r="DO2">
        <v>1</v>
      </c>
      <c r="DQ2" t="s">
        <v>8</v>
      </c>
      <c r="DR2" s="59">
        <v>450000</v>
      </c>
      <c r="DT2">
        <v>1</v>
      </c>
      <c r="DU2" t="s">
        <v>335</v>
      </c>
      <c r="DV2" s="59">
        <v>450000</v>
      </c>
      <c r="DW2" s="59"/>
      <c r="DX2" s="11">
        <v>1</v>
      </c>
      <c r="DY2" s="30" t="s">
        <v>8</v>
      </c>
      <c r="DZ2" s="20">
        <v>450000</v>
      </c>
    </row>
    <row r="3" spans="1:130">
      <c r="I3" s="11">
        <v>1</v>
      </c>
      <c r="J3" s="30" t="s">
        <v>8</v>
      </c>
      <c r="K3" s="75">
        <v>450000</v>
      </c>
      <c r="M3" s="25" t="s">
        <v>259</v>
      </c>
      <c r="N3" s="26" t="s">
        <v>262</v>
      </c>
      <c r="CT3">
        <f>B8</f>
        <v>2022</v>
      </c>
      <c r="CW3">
        <v>3</v>
      </c>
      <c r="CX3">
        <v>31</v>
      </c>
      <c r="CZ3">
        <v>15</v>
      </c>
      <c r="DA3">
        <v>21</v>
      </c>
      <c r="DB3">
        <v>3</v>
      </c>
      <c r="DC3" s="6">
        <f t="shared" ca="1" si="0"/>
        <v>44776</v>
      </c>
      <c r="DD3">
        <f ca="1">IF(DC3&lt;&gt;"",WEEKNUM(DC3,2),"")</f>
        <v>32</v>
      </c>
      <c r="DE3">
        <f ca="1">IF(DD3&lt;&gt;"",IF(DD3=DD2,DE2,DE2+1),"")</f>
        <v>1</v>
      </c>
      <c r="DF3" s="17" t="s">
        <v>107</v>
      </c>
      <c r="DG3" s="19" t="s">
        <v>9</v>
      </c>
      <c r="DH3" s="21">
        <f ca="1">MONTH(DH1)</f>
        <v>8</v>
      </c>
      <c r="DI3">
        <f ca="1">MONTH(DI1)</f>
        <v>8</v>
      </c>
      <c r="DJ3" s="6"/>
      <c r="DL3" s="6">
        <v>44788</v>
      </c>
      <c r="DM3" s="6">
        <v>44794</v>
      </c>
      <c r="DN3" t="s">
        <v>336</v>
      </c>
      <c r="DO3">
        <v>2</v>
      </c>
      <c r="DQ3" t="s">
        <v>10</v>
      </c>
      <c r="DR3" s="59">
        <v>21000</v>
      </c>
      <c r="DT3">
        <v>2</v>
      </c>
      <c r="DU3" t="s">
        <v>336</v>
      </c>
      <c r="DV3" s="59">
        <v>21000</v>
      </c>
      <c r="DW3" s="59"/>
      <c r="DX3" s="11">
        <v>2</v>
      </c>
      <c r="DY3" s="30" t="s">
        <v>106</v>
      </c>
      <c r="DZ3" s="20">
        <v>0</v>
      </c>
    </row>
    <row r="4" spans="1:130" ht="15.75" thickBot="1">
      <c r="A4" s="6"/>
      <c r="I4" s="11">
        <v>2</v>
      </c>
      <c r="J4" s="30" t="s">
        <v>106</v>
      </c>
      <c r="K4" s="76"/>
      <c r="M4" s="24" t="s">
        <v>260</v>
      </c>
      <c r="N4" s="27" t="str">
        <f ca="1">CONCATENATE("Rekap Profit Loss_",$DI$6)</f>
        <v>Rekap Profit Loss_8-30-2022</v>
      </c>
      <c r="CW4">
        <v>4</v>
      </c>
      <c r="CX4">
        <v>30</v>
      </c>
      <c r="CZ4">
        <v>22</v>
      </c>
      <c r="DA4">
        <f>VLOOKUP(B7,CW:CX,2,0)</f>
        <v>31</v>
      </c>
      <c r="DB4">
        <v>4</v>
      </c>
      <c r="DC4" s="6">
        <f t="shared" ca="1" si="0"/>
        <v>44777</v>
      </c>
      <c r="DD4">
        <f t="shared" ref="DD4:DD32" ca="1" si="1">IF(DC4&lt;&gt;"",WEEKNUM(DC4,2),"")</f>
        <v>32</v>
      </c>
      <c r="DE4">
        <f t="shared" ref="DE4:DE31" ca="1" si="2">IF(DD4&lt;&gt;"",IF(DD4=DD3,DE3,DE3+1),"")</f>
        <v>1</v>
      </c>
      <c r="DF4" s="17" t="s">
        <v>108</v>
      </c>
      <c r="DG4" s="18" t="s">
        <v>9</v>
      </c>
      <c r="DI4">
        <f ca="1">YEAR(DI1)</f>
        <v>2022</v>
      </c>
      <c r="DJ4" s="6"/>
      <c r="DL4" s="6">
        <v>44795</v>
      </c>
      <c r="DM4" s="6">
        <v>44801</v>
      </c>
      <c r="DN4" t="s">
        <v>337</v>
      </c>
      <c r="DO4">
        <v>3</v>
      </c>
      <c r="DQ4" t="s">
        <v>12</v>
      </c>
      <c r="DR4" s="59">
        <v>28000</v>
      </c>
      <c r="DT4">
        <v>3</v>
      </c>
      <c r="DU4" t="s">
        <v>337</v>
      </c>
      <c r="DV4" s="59">
        <v>28000</v>
      </c>
      <c r="DW4" s="59"/>
      <c r="DX4" s="11">
        <v>3</v>
      </c>
      <c r="DY4" s="30" t="s">
        <v>107</v>
      </c>
      <c r="DZ4" s="20">
        <v>0</v>
      </c>
    </row>
    <row r="5" spans="1:130">
      <c r="I5" s="11">
        <v>3</v>
      </c>
      <c r="J5" s="30" t="s">
        <v>107</v>
      </c>
      <c r="K5" s="76"/>
      <c r="N5" s="21"/>
      <c r="CW5">
        <v>5</v>
      </c>
      <c r="CX5">
        <v>31</v>
      </c>
      <c r="DB5">
        <v>5</v>
      </c>
      <c r="DC5" s="6">
        <f t="shared" ca="1" si="0"/>
        <v>44778</v>
      </c>
      <c r="DD5">
        <f t="shared" ca="1" si="1"/>
        <v>32</v>
      </c>
      <c r="DE5">
        <f t="shared" ca="1" si="2"/>
        <v>1</v>
      </c>
      <c r="DF5" s="17" t="s">
        <v>10</v>
      </c>
      <c r="DG5" s="18" t="s">
        <v>11</v>
      </c>
      <c r="DI5">
        <f>DAY(EOMONTH(DJ1,0))</f>
        <v>31</v>
      </c>
      <c r="DL5" s="6">
        <v>44802</v>
      </c>
      <c r="DM5" s="6">
        <v>44802</v>
      </c>
      <c r="DN5" t="s">
        <v>338</v>
      </c>
      <c r="DO5">
        <v>4</v>
      </c>
      <c r="DQ5" t="s">
        <v>14</v>
      </c>
      <c r="DR5" s="59">
        <v>12000</v>
      </c>
      <c r="DT5">
        <v>4</v>
      </c>
      <c r="DU5" t="s">
        <v>338</v>
      </c>
      <c r="DV5" s="59">
        <v>12000</v>
      </c>
      <c r="DW5" s="59"/>
      <c r="DX5" s="11">
        <v>4</v>
      </c>
      <c r="DY5" s="30" t="s">
        <v>108</v>
      </c>
      <c r="DZ5" s="20">
        <v>0</v>
      </c>
    </row>
    <row r="6" spans="1:130" ht="15.75" thickBot="1">
      <c r="I6" s="11">
        <v>4</v>
      </c>
      <c r="J6" s="30" t="s">
        <v>108</v>
      </c>
      <c r="K6" s="77"/>
      <c r="N6" s="21"/>
      <c r="CW6">
        <v>6</v>
      </c>
      <c r="CX6">
        <v>30</v>
      </c>
      <c r="DB6">
        <v>6</v>
      </c>
      <c r="DC6" s="6">
        <f t="shared" ca="1" si="0"/>
        <v>44779</v>
      </c>
      <c r="DD6">
        <f t="shared" ca="1" si="1"/>
        <v>32</v>
      </c>
      <c r="DE6">
        <f t="shared" ca="1" si="2"/>
        <v>1</v>
      </c>
      <c r="DF6" s="17" t="s">
        <v>109</v>
      </c>
      <c r="DG6" s="18" t="s">
        <v>11</v>
      </c>
      <c r="DI6" t="str">
        <f ca="1">SUBSTITUTE(DI1,"/","-")</f>
        <v>8-30-2022</v>
      </c>
      <c r="DL6" s="6" t="s">
        <v>3</v>
      </c>
      <c r="DN6" t="s">
        <v>1092</v>
      </c>
      <c r="DO6">
        <v>5</v>
      </c>
      <c r="DQ6" t="s">
        <v>16</v>
      </c>
      <c r="DR6" s="59">
        <v>16000</v>
      </c>
      <c r="DT6">
        <v>5</v>
      </c>
      <c r="DU6" t="s">
        <v>373</v>
      </c>
      <c r="DV6" s="59">
        <v>16000</v>
      </c>
      <c r="DW6" s="59"/>
      <c r="DX6" s="11">
        <v>5</v>
      </c>
      <c r="DY6" s="32" t="s">
        <v>10</v>
      </c>
      <c r="DZ6" s="20">
        <v>21000</v>
      </c>
    </row>
    <row r="7" spans="1:130" ht="15.75" thickBot="1">
      <c r="A7" s="1" t="s">
        <v>1</v>
      </c>
      <c r="B7" s="2">
        <v>8</v>
      </c>
      <c r="I7" s="11">
        <v>5</v>
      </c>
      <c r="J7" s="32" t="s">
        <v>10</v>
      </c>
      <c r="K7" s="69">
        <v>21000</v>
      </c>
      <c r="N7" s="21"/>
      <c r="CW7">
        <v>7</v>
      </c>
      <c r="CX7">
        <v>31</v>
      </c>
      <c r="DA7" s="7"/>
      <c r="DB7">
        <v>7</v>
      </c>
      <c r="DC7" s="6">
        <f t="shared" ca="1" si="0"/>
        <v>44780</v>
      </c>
      <c r="DD7">
        <f t="shared" ca="1" si="1"/>
        <v>32</v>
      </c>
      <c r="DE7">
        <f ca="1">IF(DD7&lt;&gt;"",IF(DD7=DD6,DE6,DE6+1),"")</f>
        <v>1</v>
      </c>
      <c r="DF7" s="17" t="s">
        <v>110</v>
      </c>
      <c r="DG7" s="18" t="s">
        <v>11</v>
      </c>
      <c r="DI7" s="12"/>
      <c r="DJ7" s="12"/>
      <c r="DN7" t="s">
        <v>1093</v>
      </c>
      <c r="DO7">
        <v>5</v>
      </c>
      <c r="DQ7" t="s">
        <v>19</v>
      </c>
      <c r="DR7" s="59">
        <v>278453</v>
      </c>
      <c r="DT7">
        <v>6</v>
      </c>
      <c r="DU7" t="s">
        <v>339</v>
      </c>
      <c r="DV7" s="59">
        <v>278453</v>
      </c>
      <c r="DW7" s="59"/>
      <c r="DX7" s="11">
        <v>6</v>
      </c>
      <c r="DY7" s="32" t="s">
        <v>109</v>
      </c>
      <c r="DZ7" s="20">
        <v>0</v>
      </c>
    </row>
    <row r="8" spans="1:130" ht="15.75" thickBot="1">
      <c r="A8" s="1" t="s">
        <v>2</v>
      </c>
      <c r="B8" s="2">
        <v>2022</v>
      </c>
      <c r="I8" s="11">
        <v>6</v>
      </c>
      <c r="J8" s="32" t="s">
        <v>109</v>
      </c>
      <c r="K8" s="70"/>
      <c r="M8" t="s">
        <v>333</v>
      </c>
      <c r="N8" t="s">
        <v>334</v>
      </c>
      <c r="O8" t="s">
        <v>5</v>
      </c>
      <c r="CW8">
        <v>8</v>
      </c>
      <c r="CX8">
        <v>31</v>
      </c>
      <c r="DB8">
        <v>8</v>
      </c>
      <c r="DC8" s="6">
        <f t="shared" ca="1" si="0"/>
        <v>44781</v>
      </c>
      <c r="DD8">
        <f t="shared" ca="1" si="1"/>
        <v>33</v>
      </c>
      <c r="DE8">
        <f t="shared" ca="1" si="2"/>
        <v>2</v>
      </c>
      <c r="DF8" s="17" t="s">
        <v>111</v>
      </c>
      <c r="DG8" s="18" t="s">
        <v>11</v>
      </c>
      <c r="DI8" s="13"/>
      <c r="DJ8" s="14"/>
      <c r="DN8" t="s">
        <v>339</v>
      </c>
      <c r="DO8">
        <v>6</v>
      </c>
      <c r="DQ8" t="s">
        <v>21</v>
      </c>
      <c r="DR8" s="59">
        <v>16000</v>
      </c>
      <c r="DT8">
        <v>7</v>
      </c>
      <c r="DU8" t="s">
        <v>340</v>
      </c>
      <c r="DV8" s="59">
        <v>16000</v>
      </c>
      <c r="DW8" s="59"/>
      <c r="DX8" s="11">
        <v>7</v>
      </c>
      <c r="DY8" s="32" t="s">
        <v>110</v>
      </c>
      <c r="DZ8" s="20">
        <v>0</v>
      </c>
    </row>
    <row r="9" spans="1:130">
      <c r="I9" s="11">
        <v>7</v>
      </c>
      <c r="J9" s="32" t="s">
        <v>110</v>
      </c>
      <c r="K9" s="70"/>
      <c r="N9" t="s">
        <v>335</v>
      </c>
      <c r="O9" s="57">
        <v>450000</v>
      </c>
      <c r="CW9">
        <v>9</v>
      </c>
      <c r="CX9">
        <v>30</v>
      </c>
      <c r="DB9">
        <v>9</v>
      </c>
      <c r="DC9" s="6">
        <f t="shared" ca="1" si="0"/>
        <v>44782</v>
      </c>
      <c r="DD9">
        <f t="shared" ca="1" si="1"/>
        <v>33</v>
      </c>
      <c r="DE9">
        <f t="shared" ca="1" si="2"/>
        <v>2</v>
      </c>
      <c r="DF9" s="17" t="s">
        <v>12</v>
      </c>
      <c r="DG9" s="18" t="s">
        <v>13</v>
      </c>
      <c r="DI9" s="13"/>
      <c r="DJ9" s="14"/>
      <c r="DN9" t="s">
        <v>340</v>
      </c>
      <c r="DO9">
        <v>7</v>
      </c>
      <c r="DQ9" t="s">
        <v>23</v>
      </c>
      <c r="DR9" s="59">
        <v>8000</v>
      </c>
      <c r="DT9">
        <v>8</v>
      </c>
      <c r="DU9" t="s">
        <v>374</v>
      </c>
      <c r="DV9" s="59">
        <v>8000</v>
      </c>
      <c r="DW9" s="59"/>
      <c r="DX9" s="11">
        <v>8</v>
      </c>
      <c r="DY9" s="32" t="s">
        <v>111</v>
      </c>
      <c r="DZ9" s="20">
        <v>0</v>
      </c>
    </row>
    <row r="10" spans="1:130">
      <c r="I10" s="11">
        <v>8</v>
      </c>
      <c r="J10" s="32" t="s">
        <v>111</v>
      </c>
      <c r="K10" s="71"/>
      <c r="N10" t="s">
        <v>336</v>
      </c>
      <c r="O10" s="57">
        <v>21000</v>
      </c>
      <c r="CW10">
        <v>10</v>
      </c>
      <c r="CX10">
        <v>31</v>
      </c>
      <c r="DB10">
        <v>10</v>
      </c>
      <c r="DC10" s="6">
        <f t="shared" ca="1" si="0"/>
        <v>44783</v>
      </c>
      <c r="DD10">
        <f t="shared" ca="1" si="1"/>
        <v>33</v>
      </c>
      <c r="DE10">
        <f t="shared" ca="1" si="2"/>
        <v>2</v>
      </c>
      <c r="DF10" s="17" t="s">
        <v>112</v>
      </c>
      <c r="DG10" s="18" t="s">
        <v>13</v>
      </c>
      <c r="DI10" s="13"/>
      <c r="DJ10" s="15"/>
      <c r="DN10" t="s">
        <v>1094</v>
      </c>
      <c r="DO10">
        <v>8</v>
      </c>
      <c r="DQ10" t="s">
        <v>37</v>
      </c>
      <c r="DR10" s="59">
        <v>4000</v>
      </c>
      <c r="DT10">
        <v>9</v>
      </c>
      <c r="DU10" t="s">
        <v>341</v>
      </c>
      <c r="DV10" s="59">
        <v>4000</v>
      </c>
      <c r="DW10" s="59"/>
      <c r="DX10" s="11">
        <v>9</v>
      </c>
      <c r="DY10" s="55" t="s">
        <v>12</v>
      </c>
      <c r="DZ10" s="20">
        <v>28000</v>
      </c>
    </row>
    <row r="11" spans="1:130">
      <c r="A11" s="3"/>
      <c r="I11" s="11">
        <v>9</v>
      </c>
      <c r="J11" s="55" t="s">
        <v>12</v>
      </c>
      <c r="K11" s="69">
        <v>28000</v>
      </c>
      <c r="N11" t="s">
        <v>337</v>
      </c>
      <c r="O11" s="57">
        <v>28000</v>
      </c>
      <c r="CW11">
        <v>11</v>
      </c>
      <c r="CX11">
        <v>30</v>
      </c>
      <c r="DB11">
        <v>11</v>
      </c>
      <c r="DC11" s="6">
        <f t="shared" ca="1" si="0"/>
        <v>44784</v>
      </c>
      <c r="DD11">
        <f t="shared" ca="1" si="1"/>
        <v>33</v>
      </c>
      <c r="DE11">
        <f t="shared" ca="1" si="2"/>
        <v>2</v>
      </c>
      <c r="DF11" s="17" t="s">
        <v>113</v>
      </c>
      <c r="DG11" s="18" t="s">
        <v>13</v>
      </c>
      <c r="DI11" s="13"/>
      <c r="DJ11" s="14"/>
      <c r="DN11" t="s">
        <v>1095</v>
      </c>
      <c r="DO11">
        <v>8</v>
      </c>
      <c r="DQ11" t="s">
        <v>39</v>
      </c>
      <c r="DR11" s="59">
        <v>22000</v>
      </c>
      <c r="DT11">
        <v>10</v>
      </c>
      <c r="DU11" t="s">
        <v>342</v>
      </c>
      <c r="DV11" s="59">
        <v>22000</v>
      </c>
      <c r="DW11" s="59"/>
      <c r="DX11" s="11">
        <v>10</v>
      </c>
      <c r="DY11" s="55" t="s">
        <v>112</v>
      </c>
      <c r="DZ11" s="20">
        <v>0</v>
      </c>
    </row>
    <row r="12" spans="1:130">
      <c r="I12" s="11">
        <v>10</v>
      </c>
      <c r="J12" s="55" t="s">
        <v>112</v>
      </c>
      <c r="K12" s="70"/>
      <c r="N12" t="s">
        <v>338</v>
      </c>
      <c r="O12" s="57">
        <v>12000</v>
      </c>
      <c r="CW12">
        <v>12</v>
      </c>
      <c r="CX12">
        <v>31</v>
      </c>
      <c r="DB12">
        <v>12</v>
      </c>
      <c r="DC12" s="6">
        <f t="shared" ca="1" si="0"/>
        <v>44785</v>
      </c>
      <c r="DD12">
        <f t="shared" ca="1" si="1"/>
        <v>33</v>
      </c>
      <c r="DE12">
        <f t="shared" ca="1" si="2"/>
        <v>2</v>
      </c>
      <c r="DF12" s="17" t="s">
        <v>114</v>
      </c>
      <c r="DG12" s="18" t="s">
        <v>13</v>
      </c>
      <c r="DI12" s="13"/>
      <c r="DJ12" s="14"/>
      <c r="DN12" t="s">
        <v>1096</v>
      </c>
      <c r="DO12">
        <v>8</v>
      </c>
      <c r="DQ12" t="s">
        <v>41</v>
      </c>
      <c r="DR12" s="59">
        <v>300</v>
      </c>
      <c r="DT12">
        <v>11</v>
      </c>
      <c r="DU12" t="s">
        <v>343</v>
      </c>
      <c r="DV12" s="59">
        <v>300</v>
      </c>
      <c r="DW12" s="59"/>
      <c r="DX12" s="11">
        <v>11</v>
      </c>
      <c r="DY12" s="55" t="s">
        <v>113</v>
      </c>
      <c r="DZ12" s="20">
        <v>0</v>
      </c>
    </row>
    <row r="13" spans="1:130">
      <c r="I13" s="11">
        <v>11</v>
      </c>
      <c r="J13" s="55" t="s">
        <v>113</v>
      </c>
      <c r="K13" s="70"/>
      <c r="N13" t="s">
        <v>373</v>
      </c>
      <c r="O13" s="57">
        <v>16000</v>
      </c>
      <c r="DB13">
        <v>13</v>
      </c>
      <c r="DC13" s="6">
        <f t="shared" ca="1" si="0"/>
        <v>44786</v>
      </c>
      <c r="DD13">
        <f t="shared" ca="1" si="1"/>
        <v>33</v>
      </c>
      <c r="DE13">
        <f t="shared" ca="1" si="2"/>
        <v>2</v>
      </c>
      <c r="DF13" s="17" t="s">
        <v>14</v>
      </c>
      <c r="DG13" s="18" t="s">
        <v>15</v>
      </c>
      <c r="DI13" s="16"/>
      <c r="DJ13" s="14"/>
      <c r="DN13" t="s">
        <v>1097</v>
      </c>
      <c r="DO13">
        <v>8</v>
      </c>
      <c r="DQ13" t="s">
        <v>43</v>
      </c>
      <c r="DR13" s="59">
        <v>60000</v>
      </c>
      <c r="DT13">
        <v>12</v>
      </c>
      <c r="DU13" t="s">
        <v>344</v>
      </c>
      <c r="DV13" s="59">
        <v>60000</v>
      </c>
      <c r="DW13" s="59"/>
      <c r="DX13" s="11">
        <v>12</v>
      </c>
      <c r="DY13" s="55" t="s">
        <v>114</v>
      </c>
      <c r="DZ13" s="20">
        <v>0</v>
      </c>
    </row>
    <row r="14" spans="1:130">
      <c r="I14" s="11">
        <v>12</v>
      </c>
      <c r="J14" s="55" t="s">
        <v>114</v>
      </c>
      <c r="K14" s="71"/>
      <c r="N14" t="s">
        <v>339</v>
      </c>
      <c r="O14" s="57">
        <v>278453</v>
      </c>
      <c r="DB14">
        <v>14</v>
      </c>
      <c r="DC14" s="6">
        <f t="shared" ca="1" si="0"/>
        <v>44787</v>
      </c>
      <c r="DD14">
        <f t="shared" ca="1" si="1"/>
        <v>33</v>
      </c>
      <c r="DE14">
        <f t="shared" ca="1" si="2"/>
        <v>2</v>
      </c>
      <c r="DF14" s="17" t="s">
        <v>115</v>
      </c>
      <c r="DG14" s="18" t="s">
        <v>15</v>
      </c>
      <c r="DI14" s="13"/>
      <c r="DJ14" s="14"/>
      <c r="DN14" t="s">
        <v>1098</v>
      </c>
      <c r="DO14">
        <v>8</v>
      </c>
      <c r="DQ14" t="s">
        <v>45</v>
      </c>
      <c r="DR14" s="59">
        <v>800</v>
      </c>
      <c r="DT14">
        <v>13</v>
      </c>
      <c r="DU14" t="s">
        <v>345</v>
      </c>
      <c r="DV14" s="59">
        <v>800</v>
      </c>
      <c r="DW14" s="59"/>
      <c r="DX14" s="11">
        <v>13</v>
      </c>
      <c r="DY14" s="32" t="s">
        <v>14</v>
      </c>
      <c r="DZ14" s="20">
        <v>12000</v>
      </c>
    </row>
    <row r="15" spans="1:130">
      <c r="I15" s="11">
        <v>13</v>
      </c>
      <c r="J15" s="32" t="s">
        <v>14</v>
      </c>
      <c r="K15" s="69">
        <v>12000</v>
      </c>
      <c r="N15" t="s">
        <v>340</v>
      </c>
      <c r="O15" s="57">
        <v>16000</v>
      </c>
      <c r="DB15">
        <v>15</v>
      </c>
      <c r="DC15" s="6">
        <f t="shared" ca="1" si="0"/>
        <v>44788</v>
      </c>
      <c r="DD15">
        <f t="shared" ca="1" si="1"/>
        <v>34</v>
      </c>
      <c r="DE15">
        <f t="shared" ca="1" si="2"/>
        <v>3</v>
      </c>
      <c r="DF15" s="17" t="s">
        <v>116</v>
      </c>
      <c r="DG15" s="18" t="s">
        <v>15</v>
      </c>
      <c r="DI15" s="13"/>
      <c r="DJ15" s="14"/>
      <c r="DN15" t="s">
        <v>1099</v>
      </c>
      <c r="DO15">
        <v>8</v>
      </c>
      <c r="DQ15" t="s">
        <v>47</v>
      </c>
      <c r="DR15" s="59">
        <v>15000</v>
      </c>
      <c r="DT15">
        <v>14</v>
      </c>
      <c r="DU15" t="s">
        <v>346</v>
      </c>
      <c r="DV15" s="59">
        <v>15000</v>
      </c>
      <c r="DW15" s="59"/>
      <c r="DX15" s="11">
        <v>14</v>
      </c>
      <c r="DY15" s="32" t="s">
        <v>115</v>
      </c>
      <c r="DZ15" s="20">
        <v>0</v>
      </c>
    </row>
    <row r="16" spans="1:130">
      <c r="A16" s="4"/>
      <c r="I16" s="11">
        <v>14</v>
      </c>
      <c r="J16" s="32" t="s">
        <v>115</v>
      </c>
      <c r="K16" s="70"/>
      <c r="N16" t="s">
        <v>374</v>
      </c>
      <c r="O16" s="57">
        <v>8000</v>
      </c>
      <c r="DB16">
        <v>16</v>
      </c>
      <c r="DC16" s="6">
        <f t="shared" ca="1" si="0"/>
        <v>44789</v>
      </c>
      <c r="DD16">
        <f t="shared" ca="1" si="1"/>
        <v>34</v>
      </c>
      <c r="DE16">
        <f t="shared" ca="1" si="2"/>
        <v>3</v>
      </c>
      <c r="DF16" s="17" t="s">
        <v>117</v>
      </c>
      <c r="DG16" s="18" t="s">
        <v>15</v>
      </c>
      <c r="DI16" s="13"/>
      <c r="DJ16" s="14"/>
      <c r="DN16" t="s">
        <v>1100</v>
      </c>
      <c r="DO16">
        <v>8</v>
      </c>
      <c r="DQ16" t="s">
        <v>49</v>
      </c>
      <c r="DR16" s="59">
        <v>30000</v>
      </c>
      <c r="DT16">
        <v>15</v>
      </c>
      <c r="DU16" t="s">
        <v>347</v>
      </c>
      <c r="DV16" s="59">
        <v>30000</v>
      </c>
      <c r="DW16" s="59"/>
      <c r="DX16" s="11">
        <v>15</v>
      </c>
      <c r="DY16" s="32" t="s">
        <v>116</v>
      </c>
      <c r="DZ16" s="20">
        <v>0</v>
      </c>
    </row>
    <row r="17" spans="1:130">
      <c r="A17" s="5"/>
      <c r="E17" s="10"/>
      <c r="I17" s="11">
        <v>15</v>
      </c>
      <c r="J17" s="32" t="s">
        <v>116</v>
      </c>
      <c r="K17" s="70"/>
      <c r="N17" t="s">
        <v>341</v>
      </c>
      <c r="O17" s="57">
        <v>4000</v>
      </c>
      <c r="DB17">
        <v>17</v>
      </c>
      <c r="DC17" s="6">
        <f t="shared" ca="1" si="0"/>
        <v>44790</v>
      </c>
      <c r="DD17">
        <f t="shared" ca="1" si="1"/>
        <v>34</v>
      </c>
      <c r="DE17">
        <f t="shared" ca="1" si="2"/>
        <v>3</v>
      </c>
      <c r="DF17" s="17" t="s">
        <v>16</v>
      </c>
      <c r="DG17" s="18" t="s">
        <v>17</v>
      </c>
      <c r="DI17" s="13"/>
      <c r="DJ17" s="14"/>
      <c r="DN17" t="s">
        <v>341</v>
      </c>
      <c r="DO17">
        <v>9</v>
      </c>
      <c r="DQ17" t="s">
        <v>51</v>
      </c>
      <c r="DR17" s="59">
        <v>3000</v>
      </c>
      <c r="DT17">
        <v>16</v>
      </c>
      <c r="DU17" t="s">
        <v>348</v>
      </c>
      <c r="DV17" s="59">
        <v>3000</v>
      </c>
      <c r="DW17" s="59"/>
      <c r="DX17" s="11">
        <v>16</v>
      </c>
      <c r="DY17" s="32" t="s">
        <v>117</v>
      </c>
      <c r="DZ17" s="20">
        <v>0</v>
      </c>
    </row>
    <row r="18" spans="1:130">
      <c r="A18" s="5"/>
      <c r="I18" s="11">
        <v>16</v>
      </c>
      <c r="J18" s="32" t="s">
        <v>117</v>
      </c>
      <c r="K18" s="71"/>
      <c r="N18" t="s">
        <v>342</v>
      </c>
      <c r="O18" s="57">
        <v>22000</v>
      </c>
      <c r="DB18">
        <v>18</v>
      </c>
      <c r="DC18" s="6">
        <f t="shared" ca="1" si="0"/>
        <v>44791</v>
      </c>
      <c r="DD18">
        <f t="shared" ca="1" si="1"/>
        <v>34</v>
      </c>
      <c r="DE18">
        <f t="shared" ca="1" si="2"/>
        <v>3</v>
      </c>
      <c r="DF18" s="17" t="s">
        <v>118</v>
      </c>
      <c r="DG18" s="18" t="s">
        <v>17</v>
      </c>
      <c r="DI18" s="13"/>
      <c r="DJ18" s="14"/>
      <c r="DN18" t="s">
        <v>342</v>
      </c>
      <c r="DO18">
        <v>10</v>
      </c>
      <c r="DQ18" t="s">
        <v>53</v>
      </c>
      <c r="DR18" s="59">
        <v>11000</v>
      </c>
      <c r="DT18">
        <v>17</v>
      </c>
      <c r="DU18" t="s">
        <v>349</v>
      </c>
      <c r="DV18" s="59">
        <v>11000</v>
      </c>
      <c r="DW18" s="59"/>
      <c r="DX18" s="11">
        <v>17</v>
      </c>
      <c r="DY18" s="33" t="s">
        <v>16</v>
      </c>
      <c r="DZ18" s="20">
        <v>16000</v>
      </c>
    </row>
    <row r="19" spans="1:130">
      <c r="I19" s="11">
        <v>17</v>
      </c>
      <c r="J19" s="33" t="s">
        <v>16</v>
      </c>
      <c r="K19" s="69">
        <v>16000</v>
      </c>
      <c r="N19" t="s">
        <v>343</v>
      </c>
      <c r="O19" s="57">
        <v>300</v>
      </c>
      <c r="DB19">
        <v>19</v>
      </c>
      <c r="DC19" s="6">
        <f t="shared" ca="1" si="0"/>
        <v>44792</v>
      </c>
      <c r="DD19">
        <f t="shared" ca="1" si="1"/>
        <v>34</v>
      </c>
      <c r="DE19">
        <f t="shared" ca="1" si="2"/>
        <v>3</v>
      </c>
      <c r="DF19" s="17" t="s">
        <v>119</v>
      </c>
      <c r="DG19" s="18" t="s">
        <v>17</v>
      </c>
      <c r="DI19" s="13"/>
      <c r="DJ19" s="14"/>
      <c r="DN19" t="s">
        <v>343</v>
      </c>
      <c r="DO19">
        <v>11</v>
      </c>
      <c r="DQ19" t="s">
        <v>55</v>
      </c>
      <c r="DR19" s="59">
        <v>2000</v>
      </c>
      <c r="DT19">
        <v>18</v>
      </c>
      <c r="DU19" t="s">
        <v>350</v>
      </c>
      <c r="DV19" s="59">
        <v>2000</v>
      </c>
      <c r="DW19" s="59"/>
      <c r="DX19" s="11">
        <v>18</v>
      </c>
      <c r="DY19" s="33" t="s">
        <v>118</v>
      </c>
      <c r="DZ19" s="20">
        <v>0</v>
      </c>
    </row>
    <row r="20" spans="1:130">
      <c r="I20" s="11">
        <v>18</v>
      </c>
      <c r="J20" s="33" t="s">
        <v>118</v>
      </c>
      <c r="K20" s="70"/>
      <c r="N20" t="s">
        <v>344</v>
      </c>
      <c r="O20" s="57">
        <v>60000</v>
      </c>
      <c r="DB20">
        <v>20</v>
      </c>
      <c r="DC20" s="6">
        <f t="shared" ca="1" si="0"/>
        <v>44793</v>
      </c>
      <c r="DD20">
        <f t="shared" ca="1" si="1"/>
        <v>34</v>
      </c>
      <c r="DE20">
        <f t="shared" ca="1" si="2"/>
        <v>3</v>
      </c>
      <c r="DF20" s="17" t="s">
        <v>120</v>
      </c>
      <c r="DG20" s="18" t="s">
        <v>17</v>
      </c>
      <c r="DI20" s="13"/>
      <c r="DJ20" s="14"/>
      <c r="DN20" t="s">
        <v>344</v>
      </c>
      <c r="DO20">
        <v>12</v>
      </c>
      <c r="DQ20" t="s">
        <v>57</v>
      </c>
      <c r="DR20" s="59">
        <v>68000</v>
      </c>
      <c r="DT20">
        <v>19</v>
      </c>
      <c r="DU20" t="s">
        <v>351</v>
      </c>
      <c r="DV20" s="59">
        <v>68000</v>
      </c>
      <c r="DW20" s="59"/>
      <c r="DX20" s="11">
        <v>19</v>
      </c>
      <c r="DY20" s="33" t="s">
        <v>119</v>
      </c>
      <c r="DZ20" s="20">
        <v>0</v>
      </c>
    </row>
    <row r="21" spans="1:130">
      <c r="I21" s="11">
        <v>19</v>
      </c>
      <c r="J21" s="33" t="s">
        <v>119</v>
      </c>
      <c r="K21" s="70"/>
      <c r="N21" t="s">
        <v>345</v>
      </c>
      <c r="O21" s="57">
        <v>800</v>
      </c>
      <c r="DB21">
        <v>21</v>
      </c>
      <c r="DC21" s="6">
        <f t="shared" ca="1" si="0"/>
        <v>44794</v>
      </c>
      <c r="DD21">
        <f t="shared" ca="1" si="1"/>
        <v>34</v>
      </c>
      <c r="DE21">
        <f t="shared" ca="1" si="2"/>
        <v>3</v>
      </c>
      <c r="DF21" s="17" t="s">
        <v>105</v>
      </c>
      <c r="DG21" s="18" t="s">
        <v>18</v>
      </c>
      <c r="DI21" s="13"/>
      <c r="DJ21" s="14"/>
      <c r="DN21" t="s">
        <v>345</v>
      </c>
      <c r="DO21">
        <v>13</v>
      </c>
      <c r="DQ21" t="s">
        <v>59</v>
      </c>
      <c r="DR21" s="59">
        <v>0</v>
      </c>
      <c r="DT21">
        <v>20</v>
      </c>
      <c r="DU21" t="s">
        <v>352</v>
      </c>
      <c r="DV21" s="59">
        <v>0</v>
      </c>
      <c r="DW21" s="59"/>
      <c r="DX21" s="11">
        <v>20</v>
      </c>
      <c r="DY21" s="33" t="s">
        <v>120</v>
      </c>
      <c r="DZ21" s="20">
        <v>0</v>
      </c>
    </row>
    <row r="22" spans="1:130">
      <c r="I22" s="11">
        <v>20</v>
      </c>
      <c r="J22" s="33" t="s">
        <v>120</v>
      </c>
      <c r="K22" s="70"/>
      <c r="N22" t="s">
        <v>346</v>
      </c>
      <c r="O22" s="57">
        <v>15000</v>
      </c>
      <c r="DB22">
        <v>22</v>
      </c>
      <c r="DC22" s="6">
        <f t="shared" ca="1" si="0"/>
        <v>44795</v>
      </c>
      <c r="DD22">
        <f t="shared" ca="1" si="1"/>
        <v>35</v>
      </c>
      <c r="DE22">
        <f t="shared" ca="1" si="2"/>
        <v>4</v>
      </c>
      <c r="DF22" s="17" t="s">
        <v>121</v>
      </c>
      <c r="DG22" s="18" t="s">
        <v>18</v>
      </c>
      <c r="DI22" s="13"/>
      <c r="DJ22" s="14"/>
      <c r="DN22" t="s">
        <v>346</v>
      </c>
      <c r="DO22">
        <v>14</v>
      </c>
      <c r="DQ22" t="s">
        <v>60</v>
      </c>
      <c r="DR22" s="59">
        <v>500</v>
      </c>
      <c r="DT22">
        <v>21</v>
      </c>
      <c r="DU22" t="s">
        <v>353</v>
      </c>
      <c r="DV22" s="59">
        <v>500</v>
      </c>
      <c r="DW22" s="59"/>
      <c r="DX22" s="11">
        <v>21</v>
      </c>
      <c r="DY22" s="33" t="s">
        <v>105</v>
      </c>
      <c r="DZ22" s="20">
        <v>0</v>
      </c>
    </row>
    <row r="23" spans="1:130">
      <c r="I23" s="11">
        <v>21</v>
      </c>
      <c r="J23" s="33" t="s">
        <v>105</v>
      </c>
      <c r="K23" s="70"/>
      <c r="N23" t="s">
        <v>347</v>
      </c>
      <c r="O23" s="57">
        <v>30000</v>
      </c>
      <c r="DB23">
        <v>23</v>
      </c>
      <c r="DC23" s="6">
        <f t="shared" ca="1" si="0"/>
        <v>44796</v>
      </c>
      <c r="DD23">
        <f t="shared" ca="1" si="1"/>
        <v>35</v>
      </c>
      <c r="DE23">
        <f t="shared" ca="1" si="2"/>
        <v>4</v>
      </c>
      <c r="DF23" s="17" t="s">
        <v>122</v>
      </c>
      <c r="DG23" s="18" t="s">
        <v>18</v>
      </c>
      <c r="DI23" s="13"/>
      <c r="DJ23" s="14"/>
      <c r="DN23" t="s">
        <v>347</v>
      </c>
      <c r="DO23">
        <v>15</v>
      </c>
      <c r="DQ23" t="s">
        <v>62</v>
      </c>
      <c r="DR23" s="59">
        <v>1000</v>
      </c>
      <c r="DT23">
        <v>22</v>
      </c>
      <c r="DU23" t="s">
        <v>354</v>
      </c>
      <c r="DV23" s="59">
        <v>1000</v>
      </c>
      <c r="DW23" s="59"/>
      <c r="DX23" s="11">
        <v>22</v>
      </c>
      <c r="DY23" s="33" t="s">
        <v>121</v>
      </c>
      <c r="DZ23" s="20">
        <v>0</v>
      </c>
    </row>
    <row r="24" spans="1:130">
      <c r="I24" s="11">
        <v>22</v>
      </c>
      <c r="J24" s="33" t="s">
        <v>121</v>
      </c>
      <c r="K24" s="70"/>
      <c r="N24" t="s">
        <v>348</v>
      </c>
      <c r="O24" s="57">
        <v>3000</v>
      </c>
      <c r="DB24">
        <v>24</v>
      </c>
      <c r="DC24" s="6">
        <f t="shared" ca="1" si="0"/>
        <v>44797</v>
      </c>
      <c r="DD24">
        <f t="shared" ca="1" si="1"/>
        <v>35</v>
      </c>
      <c r="DE24">
        <f t="shared" ca="1" si="2"/>
        <v>4</v>
      </c>
      <c r="DF24" s="17" t="s">
        <v>123</v>
      </c>
      <c r="DG24" s="18" t="s">
        <v>18</v>
      </c>
      <c r="DI24" s="13"/>
      <c r="DJ24" s="14"/>
      <c r="DN24" t="s">
        <v>348</v>
      </c>
      <c r="DO24">
        <v>16</v>
      </c>
      <c r="DQ24" t="s">
        <v>64</v>
      </c>
      <c r="DR24" s="59">
        <v>0</v>
      </c>
      <c r="DT24">
        <v>23</v>
      </c>
      <c r="DU24" t="s">
        <v>355</v>
      </c>
      <c r="DV24" s="59">
        <v>0</v>
      </c>
      <c r="DW24" s="59"/>
      <c r="DX24" s="11">
        <v>23</v>
      </c>
      <c r="DY24" s="33" t="s">
        <v>122</v>
      </c>
      <c r="DZ24" s="20">
        <v>0</v>
      </c>
    </row>
    <row r="25" spans="1:130">
      <c r="I25" s="11">
        <v>23</v>
      </c>
      <c r="J25" s="33" t="s">
        <v>122</v>
      </c>
      <c r="K25" s="70"/>
      <c r="N25" t="s">
        <v>349</v>
      </c>
      <c r="O25" s="57">
        <v>11000</v>
      </c>
      <c r="DB25">
        <v>25</v>
      </c>
      <c r="DC25" s="6">
        <f t="shared" ca="1" si="0"/>
        <v>44798</v>
      </c>
      <c r="DD25">
        <f t="shared" ca="1" si="1"/>
        <v>35</v>
      </c>
      <c r="DE25">
        <f t="shared" ca="1" si="2"/>
        <v>4</v>
      </c>
      <c r="DF25" s="17" t="s">
        <v>19</v>
      </c>
      <c r="DG25" s="18" t="s">
        <v>20</v>
      </c>
      <c r="DI25" s="13"/>
      <c r="DJ25" s="14"/>
      <c r="DN25" t="s">
        <v>349</v>
      </c>
      <c r="DO25">
        <v>17</v>
      </c>
      <c r="DQ25" t="s">
        <v>66</v>
      </c>
      <c r="DR25" s="59">
        <v>1200</v>
      </c>
      <c r="DT25">
        <v>24</v>
      </c>
      <c r="DU25" t="s">
        <v>356</v>
      </c>
      <c r="DV25" s="59">
        <v>1200</v>
      </c>
      <c r="DW25" s="59"/>
      <c r="DX25" s="11">
        <v>24</v>
      </c>
      <c r="DY25" s="33" t="s">
        <v>123</v>
      </c>
      <c r="DZ25" s="20">
        <v>0</v>
      </c>
    </row>
    <row r="26" spans="1:130">
      <c r="I26" s="11">
        <v>24</v>
      </c>
      <c r="J26" s="33" t="s">
        <v>123</v>
      </c>
      <c r="K26" s="71"/>
      <c r="N26" t="s">
        <v>350</v>
      </c>
      <c r="O26" s="57">
        <v>2000</v>
      </c>
      <c r="DB26">
        <v>26</v>
      </c>
      <c r="DC26" s="6">
        <f t="shared" ca="1" si="0"/>
        <v>44799</v>
      </c>
      <c r="DD26">
        <f t="shared" ca="1" si="1"/>
        <v>35</v>
      </c>
      <c r="DE26">
        <f t="shared" ca="1" si="2"/>
        <v>4</v>
      </c>
      <c r="DF26" s="17" t="s">
        <v>124</v>
      </c>
      <c r="DG26" s="18" t="s">
        <v>20</v>
      </c>
      <c r="DI26" s="13"/>
      <c r="DJ26" s="14"/>
      <c r="DN26" t="s">
        <v>350</v>
      </c>
      <c r="DO26">
        <v>18</v>
      </c>
      <c r="DQ26" t="s">
        <v>68</v>
      </c>
      <c r="DR26" s="59">
        <v>5500</v>
      </c>
      <c r="DT26">
        <v>25</v>
      </c>
      <c r="DU26" t="s">
        <v>357</v>
      </c>
      <c r="DV26" s="59">
        <v>5500</v>
      </c>
      <c r="DW26" s="59"/>
      <c r="DX26" s="11">
        <v>25</v>
      </c>
      <c r="DY26" s="36" t="s">
        <v>19</v>
      </c>
      <c r="DZ26" s="20">
        <v>278453</v>
      </c>
    </row>
    <row r="27" spans="1:130">
      <c r="I27" s="11">
        <v>25</v>
      </c>
      <c r="J27" s="36" t="s">
        <v>19</v>
      </c>
      <c r="K27" s="69">
        <v>278453</v>
      </c>
      <c r="N27" t="s">
        <v>351</v>
      </c>
      <c r="O27" s="57">
        <v>68000</v>
      </c>
      <c r="DB27">
        <v>27</v>
      </c>
      <c r="DC27" s="6">
        <f t="shared" ca="1" si="0"/>
        <v>44800</v>
      </c>
      <c r="DD27">
        <f t="shared" ca="1" si="1"/>
        <v>35</v>
      </c>
      <c r="DE27">
        <f t="shared" ca="1" si="2"/>
        <v>4</v>
      </c>
      <c r="DF27" s="17" t="s">
        <v>125</v>
      </c>
      <c r="DG27" s="18" t="s">
        <v>20</v>
      </c>
      <c r="DI27" s="13"/>
      <c r="DJ27" s="14"/>
      <c r="DN27" t="s">
        <v>351</v>
      </c>
      <c r="DO27">
        <v>19</v>
      </c>
      <c r="DQ27" t="s">
        <v>69</v>
      </c>
      <c r="DR27" s="59">
        <v>3000</v>
      </c>
      <c r="DT27">
        <v>26</v>
      </c>
      <c r="DU27" t="s">
        <v>358</v>
      </c>
      <c r="DV27" s="59">
        <v>3000</v>
      </c>
      <c r="DW27" s="59"/>
      <c r="DX27" s="11">
        <v>26</v>
      </c>
      <c r="DY27" s="36" t="s">
        <v>124</v>
      </c>
      <c r="DZ27" s="20">
        <v>0</v>
      </c>
    </row>
    <row r="28" spans="1:130">
      <c r="I28" s="11">
        <v>26</v>
      </c>
      <c r="J28" s="36" t="s">
        <v>124</v>
      </c>
      <c r="K28" s="70"/>
      <c r="N28" t="s">
        <v>352</v>
      </c>
      <c r="O28" s="57">
        <v>0</v>
      </c>
      <c r="DB28">
        <v>28</v>
      </c>
      <c r="DC28" s="6">
        <f t="shared" ca="1" si="0"/>
        <v>44801</v>
      </c>
      <c r="DD28">
        <f t="shared" ca="1" si="1"/>
        <v>35</v>
      </c>
      <c r="DE28">
        <f t="shared" ca="1" si="2"/>
        <v>4</v>
      </c>
      <c r="DF28" s="17" t="s">
        <v>126</v>
      </c>
      <c r="DG28" s="18" t="s">
        <v>20</v>
      </c>
      <c r="DI28" s="13"/>
      <c r="DJ28" s="14"/>
      <c r="DN28" t="s">
        <v>352</v>
      </c>
      <c r="DO28">
        <v>20</v>
      </c>
      <c r="DQ28" t="s">
        <v>71</v>
      </c>
      <c r="DR28" s="59">
        <v>1000</v>
      </c>
      <c r="DT28">
        <v>27</v>
      </c>
      <c r="DU28" t="s">
        <v>375</v>
      </c>
      <c r="DV28" s="59">
        <v>1000</v>
      </c>
      <c r="DW28" s="59"/>
      <c r="DX28" s="11">
        <v>27</v>
      </c>
      <c r="DY28" s="36" t="s">
        <v>125</v>
      </c>
      <c r="DZ28" s="20">
        <v>0</v>
      </c>
    </row>
    <row r="29" spans="1:130">
      <c r="I29" s="11">
        <v>27</v>
      </c>
      <c r="J29" s="36" t="s">
        <v>125</v>
      </c>
      <c r="K29" s="70"/>
      <c r="N29" t="s">
        <v>353</v>
      </c>
      <c r="O29" s="57">
        <v>500</v>
      </c>
      <c r="DB29">
        <v>29</v>
      </c>
      <c r="DC29" s="6">
        <f t="shared" ca="1" si="0"/>
        <v>44802</v>
      </c>
      <c r="DD29">
        <f t="shared" ca="1" si="1"/>
        <v>36</v>
      </c>
      <c r="DE29">
        <f t="shared" ca="1" si="2"/>
        <v>5</v>
      </c>
      <c r="DF29" s="17" t="s">
        <v>21</v>
      </c>
      <c r="DG29" s="18" t="s">
        <v>22</v>
      </c>
      <c r="DI29" s="13"/>
      <c r="DJ29" s="14"/>
      <c r="DN29" t="s">
        <v>353</v>
      </c>
      <c r="DO29">
        <v>21</v>
      </c>
      <c r="DQ29" t="s">
        <v>77</v>
      </c>
      <c r="DR29" s="59">
        <v>20000</v>
      </c>
      <c r="DT29">
        <v>28</v>
      </c>
      <c r="DU29" t="s">
        <v>359</v>
      </c>
      <c r="DV29" s="59">
        <v>20000</v>
      </c>
      <c r="DW29" s="59"/>
      <c r="DX29" s="11">
        <v>28</v>
      </c>
      <c r="DY29" s="36" t="s">
        <v>126</v>
      </c>
      <c r="DZ29" s="20">
        <v>0</v>
      </c>
    </row>
    <row r="30" spans="1:130">
      <c r="I30" s="11">
        <v>28</v>
      </c>
      <c r="J30" s="36" t="s">
        <v>126</v>
      </c>
      <c r="K30" s="71"/>
      <c r="N30" t="s">
        <v>354</v>
      </c>
      <c r="O30" s="57">
        <v>1000</v>
      </c>
      <c r="DB30">
        <v>30</v>
      </c>
      <c r="DC30" s="6">
        <f t="shared" ca="1" si="0"/>
        <v>44803</v>
      </c>
      <c r="DD30">
        <f t="shared" ca="1" si="1"/>
        <v>36</v>
      </c>
      <c r="DE30">
        <f t="shared" ca="1" si="2"/>
        <v>5</v>
      </c>
      <c r="DF30" s="17" t="s">
        <v>127</v>
      </c>
      <c r="DG30" s="18" t="s">
        <v>22</v>
      </c>
      <c r="DI30" s="13"/>
      <c r="DJ30" s="14"/>
      <c r="DN30" t="s">
        <v>354</v>
      </c>
      <c r="DO30">
        <v>22</v>
      </c>
      <c r="DQ30" t="s">
        <v>79</v>
      </c>
      <c r="DR30" s="59">
        <v>3000</v>
      </c>
      <c r="DT30">
        <v>29</v>
      </c>
      <c r="DU30" t="s">
        <v>360</v>
      </c>
      <c r="DV30" s="59">
        <v>3000</v>
      </c>
      <c r="DW30" s="59"/>
      <c r="DX30" s="11">
        <v>29</v>
      </c>
      <c r="DY30" s="37" t="s">
        <v>21</v>
      </c>
      <c r="DZ30" s="20">
        <v>16000</v>
      </c>
    </row>
    <row r="31" spans="1:130">
      <c r="I31" s="11">
        <v>29</v>
      </c>
      <c r="J31" s="37" t="s">
        <v>21</v>
      </c>
      <c r="K31" s="69">
        <v>16000</v>
      </c>
      <c r="N31" t="s">
        <v>355</v>
      </c>
      <c r="O31" s="57">
        <v>0</v>
      </c>
      <c r="DB31">
        <v>31</v>
      </c>
      <c r="DC31" s="6" t="str">
        <f t="shared" ca="1" si="0"/>
        <v/>
      </c>
      <c r="DD31" t="str">
        <f t="shared" ca="1" si="1"/>
        <v/>
      </c>
      <c r="DE31" t="str">
        <f t="shared" ca="1" si="2"/>
        <v/>
      </c>
      <c r="DF31" s="17" t="s">
        <v>128</v>
      </c>
      <c r="DG31" s="18" t="s">
        <v>22</v>
      </c>
      <c r="DI31" s="13"/>
      <c r="DJ31" s="14"/>
      <c r="DN31" t="s">
        <v>355</v>
      </c>
      <c r="DO31">
        <v>23</v>
      </c>
      <c r="DQ31" t="s">
        <v>81</v>
      </c>
      <c r="DR31" s="59">
        <v>500</v>
      </c>
      <c r="DT31">
        <v>30</v>
      </c>
      <c r="DU31" t="s">
        <v>361</v>
      </c>
      <c r="DV31" s="59">
        <v>500</v>
      </c>
      <c r="DW31" s="59"/>
      <c r="DX31" s="11">
        <v>30</v>
      </c>
      <c r="DY31" s="37" t="s">
        <v>127</v>
      </c>
      <c r="DZ31" s="20">
        <v>0</v>
      </c>
    </row>
    <row r="32" spans="1:130">
      <c r="I32" s="11">
        <v>30</v>
      </c>
      <c r="J32" s="37" t="s">
        <v>127</v>
      </c>
      <c r="K32" s="70"/>
      <c r="N32" t="s">
        <v>356</v>
      </c>
      <c r="O32" s="57">
        <v>1200</v>
      </c>
      <c r="DC32" s="6"/>
      <c r="DD32" t="str">
        <f t="shared" si="1"/>
        <v/>
      </c>
      <c r="DF32" s="17" t="s">
        <v>129</v>
      </c>
      <c r="DG32" s="18" t="s">
        <v>22</v>
      </c>
      <c r="DI32" s="13"/>
      <c r="DJ32" s="14"/>
      <c r="DN32" t="s">
        <v>356</v>
      </c>
      <c r="DO32">
        <v>24</v>
      </c>
      <c r="DQ32" t="s">
        <v>83</v>
      </c>
      <c r="DR32" s="59">
        <v>1800</v>
      </c>
      <c r="DT32">
        <v>31</v>
      </c>
      <c r="DU32" t="s">
        <v>362</v>
      </c>
      <c r="DV32" s="59">
        <v>1800</v>
      </c>
      <c r="DW32" s="59"/>
      <c r="DX32" s="11">
        <v>31</v>
      </c>
      <c r="DY32" s="37" t="s">
        <v>128</v>
      </c>
      <c r="DZ32" s="20">
        <v>0</v>
      </c>
    </row>
    <row r="33" spans="9:130">
      <c r="I33" s="11">
        <v>31</v>
      </c>
      <c r="J33" s="37" t="s">
        <v>128</v>
      </c>
      <c r="K33" s="70"/>
      <c r="N33" t="s">
        <v>357</v>
      </c>
      <c r="O33" s="57">
        <v>5500</v>
      </c>
      <c r="DF33" s="17" t="s">
        <v>23</v>
      </c>
      <c r="DG33" s="18" t="s">
        <v>24</v>
      </c>
      <c r="DI33" s="13"/>
      <c r="DJ33" s="14"/>
      <c r="DN33" t="s">
        <v>357</v>
      </c>
      <c r="DO33">
        <v>25</v>
      </c>
      <c r="DQ33" t="s">
        <v>85</v>
      </c>
      <c r="DR33" s="59">
        <v>1000</v>
      </c>
      <c r="DT33">
        <v>32</v>
      </c>
      <c r="DU33" t="s">
        <v>363</v>
      </c>
      <c r="DV33" s="59">
        <v>1000</v>
      </c>
      <c r="DW33" s="59"/>
      <c r="DX33" s="11">
        <v>32</v>
      </c>
      <c r="DY33" s="37" t="s">
        <v>129</v>
      </c>
      <c r="DZ33" s="20">
        <v>0</v>
      </c>
    </row>
    <row r="34" spans="9:130">
      <c r="I34" s="11">
        <v>32</v>
      </c>
      <c r="J34" s="37" t="s">
        <v>129</v>
      </c>
      <c r="K34" s="71"/>
      <c r="N34" t="s">
        <v>358</v>
      </c>
      <c r="O34" s="57">
        <v>3000</v>
      </c>
      <c r="DF34" s="17" t="s">
        <v>130</v>
      </c>
      <c r="DG34" s="18" t="s">
        <v>24</v>
      </c>
      <c r="DI34" s="13"/>
      <c r="DJ34" s="14"/>
      <c r="DN34" t="s">
        <v>358</v>
      </c>
      <c r="DO34">
        <v>26</v>
      </c>
      <c r="DQ34" t="s">
        <v>87</v>
      </c>
      <c r="DR34" s="59">
        <v>2000</v>
      </c>
      <c r="DT34">
        <v>33</v>
      </c>
      <c r="DU34" t="s">
        <v>364</v>
      </c>
      <c r="DV34" s="59">
        <v>2000</v>
      </c>
      <c r="DW34" s="59"/>
      <c r="DX34" s="11">
        <v>33</v>
      </c>
      <c r="DY34" s="34" t="s">
        <v>23</v>
      </c>
      <c r="DZ34" s="20">
        <v>8000</v>
      </c>
    </row>
    <row r="35" spans="9:130">
      <c r="I35" s="11">
        <v>33</v>
      </c>
      <c r="J35" s="34" t="s">
        <v>23</v>
      </c>
      <c r="K35" s="69">
        <v>8000</v>
      </c>
      <c r="N35" t="s">
        <v>375</v>
      </c>
      <c r="O35" s="57">
        <v>1000</v>
      </c>
      <c r="DF35" s="17" t="s">
        <v>131</v>
      </c>
      <c r="DG35" s="18" t="s">
        <v>24</v>
      </c>
      <c r="DI35" s="13"/>
      <c r="DJ35" s="14"/>
      <c r="DN35" t="s">
        <v>1101</v>
      </c>
      <c r="DO35">
        <v>27</v>
      </c>
      <c r="DQ35" t="s">
        <v>89</v>
      </c>
      <c r="DR35" s="59">
        <v>2000</v>
      </c>
      <c r="DT35">
        <v>34</v>
      </c>
      <c r="DU35" t="s">
        <v>365</v>
      </c>
      <c r="DV35" s="59">
        <v>2000</v>
      </c>
      <c r="DW35" s="59"/>
      <c r="DX35" s="11">
        <v>34</v>
      </c>
      <c r="DY35" s="34" t="s">
        <v>130</v>
      </c>
      <c r="DZ35" s="20">
        <v>0</v>
      </c>
    </row>
    <row r="36" spans="9:130">
      <c r="I36" s="11">
        <v>34</v>
      </c>
      <c r="J36" s="34" t="s">
        <v>130</v>
      </c>
      <c r="K36" s="70"/>
      <c r="N36" t="s">
        <v>359</v>
      </c>
      <c r="O36" s="57">
        <v>20000</v>
      </c>
      <c r="DF36" s="17" t="s">
        <v>132</v>
      </c>
      <c r="DG36" s="18" t="s">
        <v>24</v>
      </c>
      <c r="DI36" s="13"/>
      <c r="DJ36" s="14"/>
      <c r="DN36" t="s">
        <v>1102</v>
      </c>
      <c r="DO36">
        <v>27</v>
      </c>
      <c r="DQ36" t="s">
        <v>91</v>
      </c>
      <c r="DR36" s="59">
        <v>8000</v>
      </c>
      <c r="DT36">
        <v>35</v>
      </c>
      <c r="DU36" t="s">
        <v>366</v>
      </c>
      <c r="DV36" s="59">
        <v>8000</v>
      </c>
      <c r="DW36" s="59"/>
      <c r="DX36" s="11">
        <v>35</v>
      </c>
      <c r="DY36" s="34" t="s">
        <v>131</v>
      </c>
      <c r="DZ36" s="20">
        <v>0</v>
      </c>
    </row>
    <row r="37" spans="9:130">
      <c r="I37" s="11">
        <v>35</v>
      </c>
      <c r="J37" s="34" t="s">
        <v>131</v>
      </c>
      <c r="K37" s="70"/>
      <c r="N37" t="s">
        <v>360</v>
      </c>
      <c r="O37" s="57">
        <v>3000</v>
      </c>
      <c r="DF37" s="17" t="s">
        <v>25</v>
      </c>
      <c r="DG37" s="18" t="s">
        <v>26</v>
      </c>
      <c r="DI37" s="13"/>
      <c r="DJ37" s="14"/>
      <c r="DN37" t="s">
        <v>1103</v>
      </c>
      <c r="DO37">
        <v>27</v>
      </c>
      <c r="DQ37" t="s">
        <v>93</v>
      </c>
      <c r="DR37" s="59">
        <v>0</v>
      </c>
      <c r="DT37">
        <v>36</v>
      </c>
      <c r="DU37" t="s">
        <v>367</v>
      </c>
      <c r="DV37" s="59">
        <v>0</v>
      </c>
      <c r="DW37" s="59"/>
      <c r="DX37" s="11">
        <v>36</v>
      </c>
      <c r="DY37" s="34" t="s">
        <v>132</v>
      </c>
      <c r="DZ37" s="20">
        <v>0</v>
      </c>
    </row>
    <row r="38" spans="9:130">
      <c r="I38" s="11">
        <v>36</v>
      </c>
      <c r="J38" s="34" t="s">
        <v>132</v>
      </c>
      <c r="K38" s="70"/>
      <c r="N38" t="s">
        <v>361</v>
      </c>
      <c r="O38" s="57">
        <v>500</v>
      </c>
      <c r="DF38" s="17" t="s">
        <v>133</v>
      </c>
      <c r="DG38" s="18" t="s">
        <v>26</v>
      </c>
      <c r="DI38" s="13"/>
      <c r="DJ38" s="14"/>
      <c r="DN38" t="s">
        <v>359</v>
      </c>
      <c r="DO38">
        <v>28</v>
      </c>
      <c r="DQ38" t="s">
        <v>95</v>
      </c>
      <c r="DR38" s="59">
        <v>0</v>
      </c>
      <c r="DT38">
        <v>37</v>
      </c>
      <c r="DU38" t="s">
        <v>368</v>
      </c>
      <c r="DV38" s="59">
        <v>0</v>
      </c>
      <c r="DW38" s="59"/>
      <c r="DX38" s="11">
        <v>37</v>
      </c>
      <c r="DY38" s="34" t="s">
        <v>25</v>
      </c>
      <c r="DZ38" s="20">
        <v>0</v>
      </c>
    </row>
    <row r="39" spans="9:130">
      <c r="I39" s="11">
        <v>37</v>
      </c>
      <c r="J39" s="34" t="s">
        <v>25</v>
      </c>
      <c r="K39" s="70"/>
      <c r="N39" t="s">
        <v>362</v>
      </c>
      <c r="O39" s="57">
        <v>1800</v>
      </c>
      <c r="DF39" s="17" t="s">
        <v>134</v>
      </c>
      <c r="DG39" s="18" t="s">
        <v>26</v>
      </c>
      <c r="DI39" s="13"/>
      <c r="DJ39" s="14"/>
      <c r="DN39" t="s">
        <v>360</v>
      </c>
      <c r="DO39">
        <v>29</v>
      </c>
      <c r="DQ39" t="s">
        <v>97</v>
      </c>
      <c r="DR39" s="59">
        <v>0</v>
      </c>
      <c r="DT39">
        <v>38</v>
      </c>
      <c r="DU39" t="s">
        <v>369</v>
      </c>
      <c r="DV39" s="59">
        <v>0</v>
      </c>
      <c r="DW39" s="59"/>
      <c r="DX39" s="11">
        <v>38</v>
      </c>
      <c r="DY39" s="34" t="s">
        <v>133</v>
      </c>
      <c r="DZ39" s="20">
        <v>0</v>
      </c>
    </row>
    <row r="40" spans="9:130">
      <c r="I40" s="11">
        <v>38</v>
      </c>
      <c r="J40" s="34" t="s">
        <v>133</v>
      </c>
      <c r="K40" s="70"/>
      <c r="N40" t="s">
        <v>363</v>
      </c>
      <c r="O40" s="57">
        <v>1000</v>
      </c>
      <c r="DF40" s="17" t="s">
        <v>135</v>
      </c>
      <c r="DG40" s="18" t="s">
        <v>26</v>
      </c>
      <c r="DI40" s="13"/>
      <c r="DJ40" s="14"/>
      <c r="DN40" t="s">
        <v>361</v>
      </c>
      <c r="DO40">
        <v>30</v>
      </c>
      <c r="DQ40" t="s">
        <v>99</v>
      </c>
      <c r="DR40" s="59">
        <v>5000</v>
      </c>
      <c r="DT40">
        <v>39</v>
      </c>
      <c r="DU40" t="s">
        <v>370</v>
      </c>
      <c r="DV40" s="59">
        <v>5000</v>
      </c>
      <c r="DW40" s="59"/>
      <c r="DX40" s="11">
        <v>39</v>
      </c>
      <c r="DY40" s="34" t="s">
        <v>134</v>
      </c>
      <c r="DZ40" s="20">
        <v>0</v>
      </c>
    </row>
    <row r="41" spans="9:130">
      <c r="I41" s="11">
        <v>39</v>
      </c>
      <c r="J41" s="34" t="s">
        <v>134</v>
      </c>
      <c r="K41" s="70"/>
      <c r="N41" t="s">
        <v>364</v>
      </c>
      <c r="O41" s="57">
        <v>2000</v>
      </c>
      <c r="DF41" s="17" t="s">
        <v>27</v>
      </c>
      <c r="DG41" s="18" t="s">
        <v>28</v>
      </c>
      <c r="DI41" s="13"/>
      <c r="DJ41" s="14"/>
      <c r="DN41" t="s">
        <v>362</v>
      </c>
      <c r="DO41">
        <v>31</v>
      </c>
      <c r="DQ41" t="s">
        <v>101</v>
      </c>
      <c r="DR41" s="59">
        <v>24000</v>
      </c>
      <c r="DT41">
        <v>40</v>
      </c>
      <c r="DU41" t="s">
        <v>371</v>
      </c>
      <c r="DV41" s="59">
        <v>24000</v>
      </c>
      <c r="DW41" s="59"/>
      <c r="DX41" s="11">
        <v>40</v>
      </c>
      <c r="DY41" s="34" t="s">
        <v>135</v>
      </c>
      <c r="DZ41" s="20">
        <v>0</v>
      </c>
    </row>
    <row r="42" spans="9:130">
      <c r="I42" s="11">
        <v>40</v>
      </c>
      <c r="J42" s="34" t="s">
        <v>135</v>
      </c>
      <c r="K42" s="70"/>
      <c r="N42" t="s">
        <v>365</v>
      </c>
      <c r="O42" s="57">
        <v>2000</v>
      </c>
      <c r="DF42" s="17" t="s">
        <v>136</v>
      </c>
      <c r="DG42" s="18" t="s">
        <v>28</v>
      </c>
      <c r="DI42" s="13"/>
      <c r="DJ42" s="14"/>
      <c r="DN42" t="s">
        <v>363</v>
      </c>
      <c r="DO42">
        <v>32</v>
      </c>
      <c r="DQ42" t="s">
        <v>103</v>
      </c>
      <c r="DR42" s="59">
        <v>3000</v>
      </c>
      <c r="DT42">
        <v>41</v>
      </c>
      <c r="DU42" t="s">
        <v>372</v>
      </c>
      <c r="DV42" s="59">
        <v>3000</v>
      </c>
      <c r="DW42" s="59"/>
      <c r="DX42" s="11">
        <v>41</v>
      </c>
      <c r="DY42" s="34" t="s">
        <v>27</v>
      </c>
      <c r="DZ42" s="20">
        <v>0</v>
      </c>
    </row>
    <row r="43" spans="9:130">
      <c r="I43" s="11">
        <v>41</v>
      </c>
      <c r="J43" s="34" t="s">
        <v>27</v>
      </c>
      <c r="K43" s="70"/>
      <c r="N43" t="s">
        <v>366</v>
      </c>
      <c r="O43" s="57">
        <v>8000</v>
      </c>
      <c r="DF43" s="17" t="s">
        <v>137</v>
      </c>
      <c r="DG43" s="18" t="s">
        <v>28</v>
      </c>
      <c r="DI43" s="13"/>
      <c r="DJ43" s="14"/>
      <c r="DN43" t="s">
        <v>364</v>
      </c>
      <c r="DO43">
        <v>33</v>
      </c>
      <c r="DT43" s="58"/>
      <c r="DU43" s="58"/>
      <c r="DV43" s="58"/>
      <c r="DX43" s="11">
        <v>42</v>
      </c>
      <c r="DY43" s="34" t="s">
        <v>136</v>
      </c>
      <c r="DZ43" s="20">
        <v>0</v>
      </c>
    </row>
    <row r="44" spans="9:130">
      <c r="I44" s="11">
        <v>42</v>
      </c>
      <c r="J44" s="34" t="s">
        <v>136</v>
      </c>
      <c r="K44" s="70"/>
      <c r="N44" t="s">
        <v>367</v>
      </c>
      <c r="O44" s="57">
        <v>0</v>
      </c>
      <c r="DF44" s="17" t="s">
        <v>138</v>
      </c>
      <c r="DG44" s="18" t="s">
        <v>28</v>
      </c>
      <c r="DI44" s="13"/>
      <c r="DJ44" s="14"/>
      <c r="DN44" t="s">
        <v>365</v>
      </c>
      <c r="DO44">
        <v>34</v>
      </c>
      <c r="DT44" s="58"/>
      <c r="DU44" s="58"/>
      <c r="DV44" s="58"/>
      <c r="DX44" s="11">
        <v>43</v>
      </c>
      <c r="DY44" s="34" t="s">
        <v>137</v>
      </c>
      <c r="DZ44" s="20">
        <v>0</v>
      </c>
    </row>
    <row r="45" spans="9:130">
      <c r="I45" s="11">
        <v>43</v>
      </c>
      <c r="J45" s="34" t="s">
        <v>137</v>
      </c>
      <c r="K45" s="70"/>
      <c r="N45" t="s">
        <v>368</v>
      </c>
      <c r="O45" s="57">
        <v>0</v>
      </c>
      <c r="DF45" s="17" t="s">
        <v>29</v>
      </c>
      <c r="DG45" s="18" t="s">
        <v>30</v>
      </c>
      <c r="DI45" s="13"/>
      <c r="DJ45" s="14"/>
      <c r="DN45" t="s">
        <v>366</v>
      </c>
      <c r="DO45">
        <v>35</v>
      </c>
      <c r="DT45" s="58"/>
      <c r="DU45" s="58"/>
      <c r="DV45" s="58"/>
      <c r="DX45" s="11">
        <v>44</v>
      </c>
      <c r="DY45" s="34" t="s">
        <v>138</v>
      </c>
      <c r="DZ45" s="20">
        <v>0</v>
      </c>
    </row>
    <row r="46" spans="9:130">
      <c r="I46" s="11">
        <v>44</v>
      </c>
      <c r="J46" s="34" t="s">
        <v>138</v>
      </c>
      <c r="K46" s="70"/>
      <c r="N46" t="s">
        <v>369</v>
      </c>
      <c r="O46" s="57">
        <v>0</v>
      </c>
      <c r="DF46" s="17" t="s">
        <v>139</v>
      </c>
      <c r="DG46" s="18" t="s">
        <v>30</v>
      </c>
      <c r="DI46" s="13"/>
      <c r="DJ46" s="14"/>
      <c r="DN46" t="s">
        <v>367</v>
      </c>
      <c r="DO46">
        <v>36</v>
      </c>
      <c r="DT46" s="58"/>
      <c r="DU46" s="58"/>
      <c r="DV46" s="58"/>
      <c r="DX46" s="11">
        <v>45</v>
      </c>
      <c r="DY46" s="34" t="s">
        <v>29</v>
      </c>
      <c r="DZ46" s="20">
        <v>0</v>
      </c>
    </row>
    <row r="47" spans="9:130">
      <c r="I47" s="11">
        <v>45</v>
      </c>
      <c r="J47" s="34" t="s">
        <v>29</v>
      </c>
      <c r="K47" s="70"/>
      <c r="N47" t="s">
        <v>370</v>
      </c>
      <c r="O47" s="57">
        <v>5000</v>
      </c>
      <c r="DF47" s="17" t="s">
        <v>140</v>
      </c>
      <c r="DG47" s="18" t="s">
        <v>30</v>
      </c>
      <c r="DI47" s="13"/>
      <c r="DJ47" s="14"/>
      <c r="DN47" t="s">
        <v>368</v>
      </c>
      <c r="DO47">
        <v>37</v>
      </c>
      <c r="DT47" s="58"/>
      <c r="DU47" s="58"/>
      <c r="DV47" s="58"/>
      <c r="DX47" s="11">
        <v>46</v>
      </c>
      <c r="DY47" s="34" t="s">
        <v>139</v>
      </c>
      <c r="DZ47" s="20">
        <v>0</v>
      </c>
    </row>
    <row r="48" spans="9:130">
      <c r="I48" s="11">
        <v>46</v>
      </c>
      <c r="J48" s="34" t="s">
        <v>139</v>
      </c>
      <c r="K48" s="70"/>
      <c r="N48" t="s">
        <v>371</v>
      </c>
      <c r="O48" s="57">
        <v>24000</v>
      </c>
      <c r="DF48" s="17" t="s">
        <v>141</v>
      </c>
      <c r="DG48" s="19" t="s">
        <v>30</v>
      </c>
      <c r="DI48" s="13"/>
      <c r="DJ48" s="14"/>
      <c r="DN48" t="s">
        <v>369</v>
      </c>
      <c r="DO48">
        <v>38</v>
      </c>
      <c r="DT48" s="58"/>
      <c r="DU48" s="58"/>
      <c r="DV48" s="58"/>
      <c r="DX48" s="11">
        <v>47</v>
      </c>
      <c r="DY48" s="34" t="s">
        <v>140</v>
      </c>
      <c r="DZ48" s="20">
        <v>0</v>
      </c>
    </row>
    <row r="49" spans="9:130">
      <c r="I49" s="11">
        <v>47</v>
      </c>
      <c r="J49" s="34" t="s">
        <v>140</v>
      </c>
      <c r="K49" s="70"/>
      <c r="N49" t="s">
        <v>372</v>
      </c>
      <c r="O49" s="57">
        <v>3000</v>
      </c>
      <c r="DF49" s="17" t="s">
        <v>31</v>
      </c>
      <c r="DG49" s="18" t="s">
        <v>32</v>
      </c>
      <c r="DI49" s="13"/>
      <c r="DJ49" s="14"/>
      <c r="DN49" t="s">
        <v>370</v>
      </c>
      <c r="DO49">
        <v>39</v>
      </c>
      <c r="DT49" s="58"/>
      <c r="DU49" s="58"/>
      <c r="DV49" s="58"/>
      <c r="DX49" s="11">
        <v>48</v>
      </c>
      <c r="DY49" s="34" t="s">
        <v>141</v>
      </c>
      <c r="DZ49" s="20">
        <v>0</v>
      </c>
    </row>
    <row r="50" spans="9:130">
      <c r="I50" s="11">
        <v>48</v>
      </c>
      <c r="J50" s="34" t="s">
        <v>141</v>
      </c>
      <c r="K50" s="70"/>
      <c r="N50" t="s">
        <v>3</v>
      </c>
      <c r="O50" s="56"/>
      <c r="DF50" s="17" t="s">
        <v>142</v>
      </c>
      <c r="DG50" s="18" t="s">
        <v>32</v>
      </c>
      <c r="DI50" s="13"/>
      <c r="DJ50" s="14"/>
      <c r="DN50" t="s">
        <v>371</v>
      </c>
      <c r="DO50">
        <v>40</v>
      </c>
      <c r="DT50" s="58"/>
      <c r="DU50" s="58"/>
      <c r="DV50" s="58"/>
      <c r="DX50" s="11">
        <v>49</v>
      </c>
      <c r="DY50" s="34" t="s">
        <v>31</v>
      </c>
      <c r="DZ50" s="20">
        <v>0</v>
      </c>
    </row>
    <row r="51" spans="9:130">
      <c r="I51" s="11">
        <v>49</v>
      </c>
      <c r="J51" s="34" t="s">
        <v>31</v>
      </c>
      <c r="K51" s="70"/>
      <c r="O51" s="56"/>
      <c r="DF51" s="18" t="s">
        <v>143</v>
      </c>
      <c r="DG51" s="18" t="s">
        <v>32</v>
      </c>
      <c r="DI51" s="13"/>
      <c r="DJ51" s="14"/>
      <c r="DN51" t="s">
        <v>372</v>
      </c>
      <c r="DO51">
        <v>41</v>
      </c>
      <c r="DT51" s="58"/>
      <c r="DU51" s="58"/>
      <c r="DV51" s="58"/>
      <c r="DX51" s="11">
        <v>50</v>
      </c>
      <c r="DY51" s="34" t="s">
        <v>142</v>
      </c>
      <c r="DZ51" s="20">
        <v>0</v>
      </c>
    </row>
    <row r="52" spans="9:130">
      <c r="I52" s="11">
        <v>50</v>
      </c>
      <c r="J52" s="34" t="s">
        <v>142</v>
      </c>
      <c r="K52" s="70"/>
      <c r="O52" s="56"/>
      <c r="DF52" s="18" t="s">
        <v>144</v>
      </c>
      <c r="DG52" s="18" t="s">
        <v>32</v>
      </c>
      <c r="DI52" s="13"/>
      <c r="DJ52" s="14"/>
      <c r="DN52" t="s">
        <v>3</v>
      </c>
      <c r="DT52" s="58"/>
      <c r="DU52" s="58"/>
      <c r="DV52" s="58"/>
      <c r="DX52" s="11">
        <v>51</v>
      </c>
      <c r="DY52" s="34" t="s">
        <v>143</v>
      </c>
      <c r="DZ52" s="20">
        <v>0</v>
      </c>
    </row>
    <row r="53" spans="9:130">
      <c r="I53" s="11">
        <v>51</v>
      </c>
      <c r="J53" s="34" t="s">
        <v>143</v>
      </c>
      <c r="K53" s="70"/>
      <c r="O53" s="56"/>
      <c r="DF53" s="18" t="s">
        <v>33</v>
      </c>
      <c r="DG53" s="19" t="s">
        <v>34</v>
      </c>
      <c r="DI53" s="13"/>
      <c r="DJ53" s="14"/>
      <c r="DT53" s="58"/>
      <c r="DU53" s="58"/>
      <c r="DV53" s="58"/>
      <c r="DX53" s="11">
        <v>52</v>
      </c>
      <c r="DY53" s="34" t="s">
        <v>144</v>
      </c>
      <c r="DZ53" s="20">
        <v>0</v>
      </c>
    </row>
    <row r="54" spans="9:130">
      <c r="I54" s="11">
        <v>52</v>
      </c>
      <c r="J54" s="34" t="s">
        <v>144</v>
      </c>
      <c r="K54" s="70"/>
      <c r="O54" s="56"/>
      <c r="DF54" s="18" t="s">
        <v>145</v>
      </c>
      <c r="DG54" s="18" t="s">
        <v>34</v>
      </c>
      <c r="DI54" s="13"/>
      <c r="DJ54" s="14"/>
      <c r="DT54" s="58"/>
      <c r="DU54" s="58"/>
      <c r="DV54" s="58"/>
      <c r="DX54" s="11">
        <v>53</v>
      </c>
      <c r="DY54" s="34" t="s">
        <v>33</v>
      </c>
      <c r="DZ54" s="20">
        <v>0</v>
      </c>
    </row>
    <row r="55" spans="9:130">
      <c r="I55" s="11">
        <v>53</v>
      </c>
      <c r="J55" s="34" t="s">
        <v>33</v>
      </c>
      <c r="K55" s="70"/>
      <c r="O55" s="56"/>
      <c r="DF55" s="18" t="s">
        <v>146</v>
      </c>
      <c r="DG55" s="18" t="s">
        <v>34</v>
      </c>
      <c r="DI55" s="13"/>
      <c r="DJ55" s="15"/>
      <c r="DT55" s="58"/>
      <c r="DU55" s="58"/>
      <c r="DV55" s="58"/>
      <c r="DX55" s="11">
        <v>54</v>
      </c>
      <c r="DY55" s="34" t="s">
        <v>145</v>
      </c>
      <c r="DZ55" s="20">
        <v>0</v>
      </c>
    </row>
    <row r="56" spans="9:130">
      <c r="I56" s="11">
        <v>54</v>
      </c>
      <c r="J56" s="34" t="s">
        <v>145</v>
      </c>
      <c r="K56" s="70"/>
      <c r="O56" s="56"/>
      <c r="DF56" s="18" t="s">
        <v>147</v>
      </c>
      <c r="DG56" s="18" t="s">
        <v>34</v>
      </c>
      <c r="DI56" s="13"/>
      <c r="DJ56" s="14"/>
      <c r="DT56" s="58"/>
      <c r="DU56" s="58"/>
      <c r="DV56" s="58"/>
      <c r="DX56" s="11">
        <v>55</v>
      </c>
      <c r="DY56" s="34" t="s">
        <v>146</v>
      </c>
      <c r="DZ56" s="20">
        <v>0</v>
      </c>
    </row>
    <row r="57" spans="9:130">
      <c r="I57" s="11">
        <v>55</v>
      </c>
      <c r="J57" s="34" t="s">
        <v>146</v>
      </c>
      <c r="K57" s="70"/>
      <c r="O57" s="56"/>
      <c r="DF57" s="18" t="s">
        <v>35</v>
      </c>
      <c r="DG57" s="18" t="s">
        <v>36</v>
      </c>
      <c r="DI57" s="13"/>
      <c r="DJ57" s="14"/>
      <c r="DT57" s="58"/>
      <c r="DU57" s="58"/>
      <c r="DV57" s="58"/>
      <c r="DX57" s="11">
        <v>56</v>
      </c>
      <c r="DY57" s="34" t="s">
        <v>147</v>
      </c>
      <c r="DZ57" s="20">
        <v>0</v>
      </c>
    </row>
    <row r="58" spans="9:130">
      <c r="I58" s="11">
        <v>56</v>
      </c>
      <c r="J58" s="34" t="s">
        <v>147</v>
      </c>
      <c r="K58" s="70"/>
      <c r="O58" s="56"/>
      <c r="DF58" s="18" t="s">
        <v>148</v>
      </c>
      <c r="DG58" s="18" t="s">
        <v>36</v>
      </c>
      <c r="DT58" s="58"/>
      <c r="DU58" s="58"/>
      <c r="DV58" s="58"/>
      <c r="DX58" s="11">
        <v>57</v>
      </c>
      <c r="DY58" s="34" t="s">
        <v>35</v>
      </c>
      <c r="DZ58" s="20">
        <v>0</v>
      </c>
    </row>
    <row r="59" spans="9:130">
      <c r="I59" s="11">
        <v>57</v>
      </c>
      <c r="J59" s="34" t="s">
        <v>35</v>
      </c>
      <c r="K59" s="70"/>
      <c r="O59" s="56"/>
      <c r="DF59" s="18" t="s">
        <v>149</v>
      </c>
      <c r="DG59" s="18" t="s">
        <v>36</v>
      </c>
      <c r="DT59" s="58"/>
      <c r="DU59" s="58"/>
      <c r="DV59" s="58"/>
      <c r="DX59" s="11">
        <v>58</v>
      </c>
      <c r="DY59" s="34" t="s">
        <v>148</v>
      </c>
      <c r="DZ59" s="20">
        <v>0</v>
      </c>
    </row>
    <row r="60" spans="9:130">
      <c r="I60" s="11">
        <v>58</v>
      </c>
      <c r="J60" s="34" t="s">
        <v>148</v>
      </c>
      <c r="K60" s="70"/>
      <c r="O60" s="56"/>
      <c r="DF60" s="18" t="s">
        <v>150</v>
      </c>
      <c r="DG60" s="18" t="s">
        <v>36</v>
      </c>
      <c r="DT60" s="58"/>
      <c r="DU60" s="58"/>
      <c r="DV60" s="58"/>
      <c r="DX60" s="11">
        <v>59</v>
      </c>
      <c r="DY60" s="34" t="s">
        <v>149</v>
      </c>
      <c r="DZ60" s="20">
        <v>0</v>
      </c>
    </row>
    <row r="61" spans="9:130">
      <c r="I61" s="11">
        <v>59</v>
      </c>
      <c r="J61" s="34" t="s">
        <v>149</v>
      </c>
      <c r="K61" s="70"/>
      <c r="O61" s="56"/>
      <c r="DF61" s="18" t="s">
        <v>37</v>
      </c>
      <c r="DG61" s="18" t="s">
        <v>38</v>
      </c>
      <c r="DT61" s="58"/>
      <c r="DU61" s="58"/>
      <c r="DV61" s="58"/>
      <c r="DX61" s="11">
        <v>60</v>
      </c>
      <c r="DY61" s="34" t="s">
        <v>150</v>
      </c>
      <c r="DZ61" s="20">
        <v>0</v>
      </c>
    </row>
    <row r="62" spans="9:130">
      <c r="I62" s="11">
        <v>60</v>
      </c>
      <c r="J62" s="34" t="s">
        <v>150</v>
      </c>
      <c r="K62" s="71"/>
      <c r="O62" s="56"/>
      <c r="DF62" s="18" t="s">
        <v>151</v>
      </c>
      <c r="DG62" s="18" t="s">
        <v>38</v>
      </c>
      <c r="DT62" s="58"/>
      <c r="DU62" s="58"/>
      <c r="DV62" s="58"/>
      <c r="DX62" s="11">
        <v>61</v>
      </c>
      <c r="DY62" s="42" t="s">
        <v>37</v>
      </c>
      <c r="DZ62" s="20">
        <v>4000</v>
      </c>
    </row>
    <row r="63" spans="9:130">
      <c r="I63" s="11">
        <v>61</v>
      </c>
      <c r="J63" s="42" t="s">
        <v>37</v>
      </c>
      <c r="K63" s="69">
        <v>4000</v>
      </c>
      <c r="O63" s="56"/>
      <c r="DF63" s="18" t="s">
        <v>152</v>
      </c>
      <c r="DG63" s="18" t="s">
        <v>38</v>
      </c>
      <c r="DT63" s="58"/>
      <c r="DU63" s="58"/>
      <c r="DV63" s="58"/>
      <c r="DX63" s="11">
        <v>62</v>
      </c>
      <c r="DY63" s="42" t="s">
        <v>151</v>
      </c>
      <c r="DZ63" s="20">
        <v>0</v>
      </c>
    </row>
    <row r="64" spans="9:130">
      <c r="I64" s="11">
        <v>62</v>
      </c>
      <c r="J64" s="42" t="s">
        <v>151</v>
      </c>
      <c r="K64" s="70"/>
      <c r="O64" s="56"/>
      <c r="DF64" s="18" t="s">
        <v>153</v>
      </c>
      <c r="DG64" s="18" t="s">
        <v>38</v>
      </c>
      <c r="DT64" s="58"/>
      <c r="DU64" s="58"/>
      <c r="DV64" s="58"/>
      <c r="DX64" s="11">
        <v>63</v>
      </c>
      <c r="DY64" s="42" t="s">
        <v>152</v>
      </c>
      <c r="DZ64" s="20">
        <v>0</v>
      </c>
    </row>
    <row r="65" spans="9:130">
      <c r="I65" s="11">
        <v>63</v>
      </c>
      <c r="J65" s="42" t="s">
        <v>152</v>
      </c>
      <c r="K65" s="70"/>
      <c r="O65" s="56"/>
      <c r="DF65" s="18" t="s">
        <v>39</v>
      </c>
      <c r="DG65" s="18" t="s">
        <v>40</v>
      </c>
      <c r="DT65" s="58"/>
      <c r="DU65" s="58"/>
      <c r="DV65" s="58"/>
      <c r="DX65" s="11">
        <v>64</v>
      </c>
      <c r="DY65" s="42" t="s">
        <v>153</v>
      </c>
      <c r="DZ65" s="20">
        <v>0</v>
      </c>
    </row>
    <row r="66" spans="9:130">
      <c r="I66" s="11">
        <v>64</v>
      </c>
      <c r="J66" s="42" t="s">
        <v>153</v>
      </c>
      <c r="K66" s="71"/>
      <c r="O66" s="56"/>
      <c r="DF66" s="18" t="s">
        <v>154</v>
      </c>
      <c r="DG66" s="18" t="s">
        <v>40</v>
      </c>
      <c r="DT66" s="58"/>
      <c r="DU66" s="58"/>
      <c r="DV66" s="58"/>
      <c r="DX66" s="11">
        <v>65</v>
      </c>
      <c r="DY66" s="35" t="s">
        <v>39</v>
      </c>
      <c r="DZ66" s="20">
        <v>22000</v>
      </c>
    </row>
    <row r="67" spans="9:130">
      <c r="I67" s="11">
        <v>65</v>
      </c>
      <c r="J67" s="35" t="s">
        <v>39</v>
      </c>
      <c r="K67" s="69">
        <v>22000</v>
      </c>
      <c r="O67" s="56"/>
      <c r="DF67" s="18" t="s">
        <v>155</v>
      </c>
      <c r="DG67" s="18" t="s">
        <v>40</v>
      </c>
      <c r="DT67" s="58"/>
      <c r="DU67" s="58"/>
      <c r="DV67" s="58"/>
      <c r="DX67" s="11">
        <v>66</v>
      </c>
      <c r="DY67" s="35" t="s">
        <v>154</v>
      </c>
      <c r="DZ67" s="20">
        <v>0</v>
      </c>
    </row>
    <row r="68" spans="9:130">
      <c r="I68" s="11">
        <v>66</v>
      </c>
      <c r="J68" s="35" t="s">
        <v>154</v>
      </c>
      <c r="K68" s="70"/>
      <c r="O68" s="56"/>
      <c r="DF68" s="18" t="s">
        <v>156</v>
      </c>
      <c r="DG68" s="18" t="s">
        <v>40</v>
      </c>
      <c r="DT68" s="58"/>
      <c r="DU68" s="58"/>
      <c r="DV68" s="58"/>
      <c r="DX68" s="11">
        <v>67</v>
      </c>
      <c r="DY68" s="35" t="s">
        <v>155</v>
      </c>
      <c r="DZ68" s="20">
        <v>0</v>
      </c>
    </row>
    <row r="69" spans="9:130">
      <c r="I69" s="11">
        <v>67</v>
      </c>
      <c r="J69" s="35" t="s">
        <v>155</v>
      </c>
      <c r="K69" s="70"/>
      <c r="O69" s="56"/>
      <c r="DF69" s="18" t="s">
        <v>41</v>
      </c>
      <c r="DG69" s="18" t="s">
        <v>42</v>
      </c>
      <c r="DT69" s="58"/>
      <c r="DU69" s="58"/>
      <c r="DV69" s="58"/>
      <c r="DX69" s="11">
        <v>68</v>
      </c>
      <c r="DY69" s="35" t="s">
        <v>156</v>
      </c>
      <c r="DZ69" s="20">
        <v>0</v>
      </c>
    </row>
    <row r="70" spans="9:130">
      <c r="I70" s="11">
        <v>68</v>
      </c>
      <c r="J70" s="35" t="s">
        <v>156</v>
      </c>
      <c r="K70" s="71"/>
      <c r="O70" s="56"/>
      <c r="DF70" s="18" t="s">
        <v>157</v>
      </c>
      <c r="DG70" s="18" t="s">
        <v>42</v>
      </c>
      <c r="DT70" s="58"/>
      <c r="DU70" s="58"/>
      <c r="DV70" s="58"/>
      <c r="DX70" s="11">
        <v>69</v>
      </c>
      <c r="DY70" s="40" t="s">
        <v>41</v>
      </c>
      <c r="DZ70" s="20">
        <v>300</v>
      </c>
    </row>
    <row r="71" spans="9:130">
      <c r="I71" s="11">
        <v>69</v>
      </c>
      <c r="J71" s="40" t="s">
        <v>41</v>
      </c>
      <c r="K71" s="69">
        <v>300</v>
      </c>
      <c r="O71" s="56"/>
      <c r="DF71" s="18" t="s">
        <v>158</v>
      </c>
      <c r="DG71" s="18" t="s">
        <v>42</v>
      </c>
      <c r="DT71" s="58"/>
      <c r="DU71" s="58"/>
      <c r="DV71" s="58"/>
      <c r="DX71" s="11">
        <v>70</v>
      </c>
      <c r="DY71" s="40" t="s">
        <v>157</v>
      </c>
      <c r="DZ71" s="20">
        <v>0</v>
      </c>
    </row>
    <row r="72" spans="9:130">
      <c r="I72" s="11">
        <v>70</v>
      </c>
      <c r="J72" s="40" t="s">
        <v>157</v>
      </c>
      <c r="K72" s="70"/>
      <c r="O72" s="56"/>
      <c r="DF72" s="18" t="s">
        <v>159</v>
      </c>
      <c r="DG72" s="18" t="s">
        <v>42</v>
      </c>
      <c r="DT72" s="58"/>
      <c r="DU72" s="58"/>
      <c r="DV72" s="58"/>
      <c r="DX72" s="11">
        <v>71</v>
      </c>
      <c r="DY72" s="40" t="s">
        <v>158</v>
      </c>
      <c r="DZ72" s="20">
        <v>0</v>
      </c>
    </row>
    <row r="73" spans="9:130">
      <c r="I73" s="11">
        <v>71</v>
      </c>
      <c r="J73" s="40" t="s">
        <v>158</v>
      </c>
      <c r="K73" s="70"/>
      <c r="O73" s="56"/>
      <c r="DF73" s="18" t="s">
        <v>43</v>
      </c>
      <c r="DG73" s="18" t="s">
        <v>44</v>
      </c>
      <c r="DT73" s="58"/>
      <c r="DU73" s="58"/>
      <c r="DV73" s="58"/>
      <c r="DX73" s="11">
        <v>72</v>
      </c>
      <c r="DY73" s="40" t="s">
        <v>159</v>
      </c>
      <c r="DZ73" s="20">
        <v>0</v>
      </c>
    </row>
    <row r="74" spans="9:130">
      <c r="I74" s="11">
        <v>72</v>
      </c>
      <c r="J74" s="40" t="s">
        <v>159</v>
      </c>
      <c r="K74" s="71"/>
      <c r="O74" s="56"/>
      <c r="DF74" s="18" t="s">
        <v>160</v>
      </c>
      <c r="DG74" s="18" t="s">
        <v>44</v>
      </c>
      <c r="DT74" s="58"/>
      <c r="DU74" s="58"/>
      <c r="DV74" s="58"/>
      <c r="DX74" s="11">
        <v>73</v>
      </c>
      <c r="DY74" s="41" t="s">
        <v>43</v>
      </c>
      <c r="DZ74" s="20">
        <v>60000</v>
      </c>
    </row>
    <row r="75" spans="9:130">
      <c r="I75" s="11">
        <v>73</v>
      </c>
      <c r="J75" s="41" t="s">
        <v>43</v>
      </c>
      <c r="K75" s="69">
        <v>60000</v>
      </c>
      <c r="O75" s="56"/>
      <c r="DF75" s="18" t="s">
        <v>161</v>
      </c>
      <c r="DG75" s="18" t="s">
        <v>44</v>
      </c>
      <c r="DT75" s="58"/>
      <c r="DU75" s="58"/>
      <c r="DV75" s="58"/>
      <c r="DX75" s="11">
        <v>74</v>
      </c>
      <c r="DY75" s="41" t="s">
        <v>160</v>
      </c>
      <c r="DZ75" s="20">
        <v>0</v>
      </c>
    </row>
    <row r="76" spans="9:130">
      <c r="I76" s="11">
        <v>74</v>
      </c>
      <c r="J76" s="41" t="s">
        <v>160</v>
      </c>
      <c r="K76" s="70"/>
      <c r="O76" s="56"/>
      <c r="DF76" s="18" t="s">
        <v>162</v>
      </c>
      <c r="DG76" s="18" t="s">
        <v>44</v>
      </c>
      <c r="DT76" s="58"/>
      <c r="DU76" s="58"/>
      <c r="DV76" s="58"/>
      <c r="DX76" s="11">
        <v>75</v>
      </c>
      <c r="DY76" s="41" t="s">
        <v>161</v>
      </c>
      <c r="DZ76" s="20">
        <v>0</v>
      </c>
    </row>
    <row r="77" spans="9:130">
      <c r="I77" s="11">
        <v>75</v>
      </c>
      <c r="J77" s="41" t="s">
        <v>161</v>
      </c>
      <c r="K77" s="70"/>
      <c r="O77" s="56"/>
      <c r="DF77" s="18" t="s">
        <v>45</v>
      </c>
      <c r="DG77" s="18" t="s">
        <v>46</v>
      </c>
      <c r="DT77" s="58"/>
      <c r="DU77" s="58"/>
      <c r="DV77" s="58"/>
      <c r="DX77" s="11">
        <v>76</v>
      </c>
      <c r="DY77" s="41" t="s">
        <v>162</v>
      </c>
      <c r="DZ77" s="20">
        <v>0</v>
      </c>
    </row>
    <row r="78" spans="9:130">
      <c r="I78" s="11">
        <v>76</v>
      </c>
      <c r="J78" s="41" t="s">
        <v>162</v>
      </c>
      <c r="K78" s="71"/>
      <c r="O78" s="56"/>
      <c r="DF78" s="18" t="s">
        <v>163</v>
      </c>
      <c r="DG78" s="18" t="s">
        <v>46</v>
      </c>
      <c r="DT78" s="58"/>
      <c r="DU78" s="58"/>
      <c r="DV78" s="58"/>
      <c r="DX78" s="11">
        <v>77</v>
      </c>
      <c r="DY78" s="46" t="s">
        <v>45</v>
      </c>
      <c r="DZ78" s="20">
        <v>800</v>
      </c>
    </row>
    <row r="79" spans="9:130">
      <c r="I79" s="11">
        <v>77</v>
      </c>
      <c r="J79" s="46" t="s">
        <v>45</v>
      </c>
      <c r="K79" s="69">
        <v>800</v>
      </c>
      <c r="O79" s="56"/>
      <c r="DF79" s="18" t="s">
        <v>164</v>
      </c>
      <c r="DG79" s="18" t="s">
        <v>46</v>
      </c>
      <c r="DT79" s="58"/>
      <c r="DU79" s="58"/>
      <c r="DV79" s="58"/>
      <c r="DX79" s="11">
        <v>78</v>
      </c>
      <c r="DY79" s="46" t="s">
        <v>163</v>
      </c>
      <c r="DZ79" s="20">
        <v>0</v>
      </c>
    </row>
    <row r="80" spans="9:130">
      <c r="I80" s="11">
        <v>78</v>
      </c>
      <c r="J80" s="46" t="s">
        <v>163</v>
      </c>
      <c r="K80" s="70"/>
      <c r="O80" s="56"/>
      <c r="DF80" s="18" t="s">
        <v>165</v>
      </c>
      <c r="DG80" s="18" t="s">
        <v>46</v>
      </c>
      <c r="DT80" s="58"/>
      <c r="DU80" s="58"/>
      <c r="DV80" s="58"/>
      <c r="DX80" s="11">
        <v>79</v>
      </c>
      <c r="DY80" s="46" t="s">
        <v>164</v>
      </c>
      <c r="DZ80" s="20">
        <v>0</v>
      </c>
    </row>
    <row r="81" spans="9:130">
      <c r="I81" s="11">
        <v>79</v>
      </c>
      <c r="J81" s="46" t="s">
        <v>164</v>
      </c>
      <c r="K81" s="70"/>
      <c r="O81" s="56"/>
      <c r="DF81" s="18" t="s">
        <v>47</v>
      </c>
      <c r="DG81" s="18" t="s">
        <v>48</v>
      </c>
      <c r="DT81" s="58"/>
      <c r="DU81" s="58"/>
      <c r="DV81" s="58"/>
      <c r="DX81" s="11">
        <v>80</v>
      </c>
      <c r="DY81" s="46" t="s">
        <v>165</v>
      </c>
      <c r="DZ81" s="20">
        <v>0</v>
      </c>
    </row>
    <row r="82" spans="9:130">
      <c r="I82" s="11">
        <v>80</v>
      </c>
      <c r="J82" s="46" t="s">
        <v>165</v>
      </c>
      <c r="K82" s="71"/>
      <c r="O82" s="56"/>
      <c r="DF82" s="18" t="s">
        <v>166</v>
      </c>
      <c r="DG82" s="18" t="s">
        <v>48</v>
      </c>
      <c r="DT82" s="58"/>
      <c r="DU82" s="58"/>
      <c r="DV82" s="58"/>
      <c r="DX82" s="11">
        <v>81</v>
      </c>
      <c r="DY82" s="38" t="s">
        <v>47</v>
      </c>
      <c r="DZ82" s="20">
        <v>15000</v>
      </c>
    </row>
    <row r="83" spans="9:130">
      <c r="I83" s="11">
        <v>81</v>
      </c>
      <c r="J83" s="38" t="s">
        <v>47</v>
      </c>
      <c r="K83" s="69">
        <v>15000</v>
      </c>
      <c r="O83" s="56"/>
      <c r="DF83" s="18" t="s">
        <v>167</v>
      </c>
      <c r="DG83" s="18" t="s">
        <v>48</v>
      </c>
      <c r="DT83" s="58"/>
      <c r="DU83" s="58"/>
      <c r="DV83" s="58"/>
      <c r="DX83" s="11">
        <v>82</v>
      </c>
      <c r="DY83" s="38" t="s">
        <v>166</v>
      </c>
      <c r="DZ83" s="20">
        <v>0</v>
      </c>
    </row>
    <row r="84" spans="9:130">
      <c r="I84" s="11">
        <v>82</v>
      </c>
      <c r="J84" s="38" t="s">
        <v>166</v>
      </c>
      <c r="K84" s="70"/>
      <c r="O84" s="56"/>
      <c r="DF84" s="18" t="s">
        <v>168</v>
      </c>
      <c r="DG84" s="18" t="s">
        <v>48</v>
      </c>
      <c r="DT84" s="58"/>
      <c r="DU84" s="58"/>
      <c r="DV84" s="58"/>
      <c r="DX84" s="11">
        <v>83</v>
      </c>
      <c r="DY84" s="38" t="s">
        <v>167</v>
      </c>
      <c r="DZ84" s="20">
        <v>0</v>
      </c>
    </row>
    <row r="85" spans="9:130">
      <c r="I85" s="11">
        <v>83</v>
      </c>
      <c r="J85" s="38" t="s">
        <v>167</v>
      </c>
      <c r="K85" s="70"/>
      <c r="O85" s="56"/>
      <c r="DF85" s="18" t="s">
        <v>49</v>
      </c>
      <c r="DG85" s="18" t="s">
        <v>50</v>
      </c>
      <c r="DT85" s="58"/>
      <c r="DU85" s="58"/>
      <c r="DV85" s="58"/>
      <c r="DX85" s="11">
        <v>84</v>
      </c>
      <c r="DY85" s="38" t="s">
        <v>168</v>
      </c>
      <c r="DZ85" s="20">
        <v>0</v>
      </c>
    </row>
    <row r="86" spans="9:130">
      <c r="I86" s="11">
        <v>84</v>
      </c>
      <c r="J86" s="38" t="s">
        <v>168</v>
      </c>
      <c r="K86" s="71"/>
      <c r="O86" s="56"/>
      <c r="DF86" s="18" t="s">
        <v>169</v>
      </c>
      <c r="DG86" s="18" t="s">
        <v>50</v>
      </c>
      <c r="DT86" s="58"/>
      <c r="DU86" s="58"/>
      <c r="DV86" s="58"/>
      <c r="DX86" s="11">
        <v>85</v>
      </c>
      <c r="DY86" s="47" t="s">
        <v>49</v>
      </c>
      <c r="DZ86" s="20">
        <v>30000</v>
      </c>
    </row>
    <row r="87" spans="9:130">
      <c r="I87" s="11">
        <v>85</v>
      </c>
      <c r="J87" s="47" t="s">
        <v>49</v>
      </c>
      <c r="K87" s="69">
        <v>30000</v>
      </c>
      <c r="O87" s="56"/>
      <c r="DF87" s="18" t="s">
        <v>170</v>
      </c>
      <c r="DG87" s="18" t="s">
        <v>50</v>
      </c>
      <c r="DT87" s="58"/>
      <c r="DU87" s="58"/>
      <c r="DV87" s="58"/>
      <c r="DX87" s="11">
        <v>86</v>
      </c>
      <c r="DY87" s="47" t="s">
        <v>169</v>
      </c>
      <c r="DZ87" s="20">
        <v>0</v>
      </c>
    </row>
    <row r="88" spans="9:130">
      <c r="I88" s="11">
        <v>86</v>
      </c>
      <c r="J88" s="47" t="s">
        <v>169</v>
      </c>
      <c r="K88" s="70"/>
      <c r="O88" s="56"/>
      <c r="DF88" s="18" t="s">
        <v>171</v>
      </c>
      <c r="DG88" s="18" t="s">
        <v>50</v>
      </c>
      <c r="DT88" s="58"/>
      <c r="DU88" s="58"/>
      <c r="DV88" s="58"/>
      <c r="DX88" s="11">
        <v>87</v>
      </c>
      <c r="DY88" s="47" t="s">
        <v>170</v>
      </c>
      <c r="DZ88" s="20">
        <v>0</v>
      </c>
    </row>
    <row r="89" spans="9:130">
      <c r="I89" s="11">
        <v>87</v>
      </c>
      <c r="J89" s="47" t="s">
        <v>170</v>
      </c>
      <c r="K89" s="70"/>
      <c r="O89" s="56"/>
      <c r="DF89" s="18" t="s">
        <v>51</v>
      </c>
      <c r="DG89" s="18" t="s">
        <v>52</v>
      </c>
      <c r="DT89" s="58"/>
      <c r="DU89" s="58"/>
      <c r="DV89" s="58"/>
      <c r="DX89" s="11">
        <v>88</v>
      </c>
      <c r="DY89" s="47" t="s">
        <v>171</v>
      </c>
      <c r="DZ89" s="20">
        <v>0</v>
      </c>
    </row>
    <row r="90" spans="9:130">
      <c r="I90" s="11">
        <v>88</v>
      </c>
      <c r="J90" s="47" t="s">
        <v>171</v>
      </c>
      <c r="K90" s="71"/>
      <c r="O90" s="56"/>
      <c r="DF90" s="18" t="s">
        <v>172</v>
      </c>
      <c r="DG90" s="18" t="s">
        <v>52</v>
      </c>
      <c r="DT90" s="58"/>
      <c r="DU90" s="58"/>
      <c r="DV90" s="58"/>
      <c r="DX90" s="11">
        <v>89</v>
      </c>
      <c r="DY90" s="50" t="s">
        <v>51</v>
      </c>
      <c r="DZ90" s="20">
        <v>3000</v>
      </c>
    </row>
    <row r="91" spans="9:130">
      <c r="I91" s="11">
        <v>89</v>
      </c>
      <c r="J91" s="50" t="s">
        <v>51</v>
      </c>
      <c r="K91" s="69">
        <v>3000</v>
      </c>
      <c r="O91" s="56"/>
      <c r="DF91" s="18" t="s">
        <v>173</v>
      </c>
      <c r="DG91" s="18" t="s">
        <v>52</v>
      </c>
      <c r="DT91" s="58"/>
      <c r="DU91" s="58"/>
      <c r="DV91" s="58"/>
      <c r="DX91" s="11">
        <v>90</v>
      </c>
      <c r="DY91" s="50" t="s">
        <v>172</v>
      </c>
      <c r="DZ91" s="20">
        <v>0</v>
      </c>
    </row>
    <row r="92" spans="9:130">
      <c r="I92" s="11">
        <v>90</v>
      </c>
      <c r="J92" s="50" t="s">
        <v>172</v>
      </c>
      <c r="K92" s="70"/>
      <c r="O92" s="56"/>
      <c r="DF92" s="18" t="s">
        <v>174</v>
      </c>
      <c r="DG92" s="18" t="s">
        <v>52</v>
      </c>
      <c r="DT92" s="58"/>
      <c r="DU92" s="58"/>
      <c r="DV92" s="58"/>
      <c r="DX92" s="11">
        <v>91</v>
      </c>
      <c r="DY92" s="50" t="s">
        <v>173</v>
      </c>
      <c r="DZ92" s="20">
        <v>0</v>
      </c>
    </row>
    <row r="93" spans="9:130">
      <c r="I93" s="11">
        <v>91</v>
      </c>
      <c r="J93" s="50" t="s">
        <v>173</v>
      </c>
      <c r="K93" s="70"/>
      <c r="O93" s="56"/>
      <c r="DF93" s="18" t="s">
        <v>53</v>
      </c>
      <c r="DG93" s="18" t="s">
        <v>54</v>
      </c>
      <c r="DT93" s="58"/>
      <c r="DU93" s="58"/>
      <c r="DV93" s="58"/>
      <c r="DX93" s="11">
        <v>92</v>
      </c>
      <c r="DY93" s="50" t="s">
        <v>174</v>
      </c>
      <c r="DZ93" s="20">
        <v>0</v>
      </c>
    </row>
    <row r="94" spans="9:130">
      <c r="I94" s="11">
        <v>92</v>
      </c>
      <c r="J94" s="50" t="s">
        <v>174</v>
      </c>
      <c r="K94" s="71"/>
      <c r="O94" s="56"/>
      <c r="DF94" s="18" t="s">
        <v>175</v>
      </c>
      <c r="DG94" s="18" t="s">
        <v>54</v>
      </c>
      <c r="DT94" s="58"/>
      <c r="DU94" s="58"/>
      <c r="DV94" s="58"/>
      <c r="DX94" s="11">
        <v>93</v>
      </c>
      <c r="DY94" s="41" t="s">
        <v>53</v>
      </c>
      <c r="DZ94" s="20">
        <v>11000</v>
      </c>
    </row>
    <row r="95" spans="9:130">
      <c r="I95" s="11">
        <v>93</v>
      </c>
      <c r="J95" s="41" t="s">
        <v>53</v>
      </c>
      <c r="K95" s="69">
        <v>11000</v>
      </c>
      <c r="O95" s="56"/>
      <c r="DF95" s="18" t="s">
        <v>176</v>
      </c>
      <c r="DG95" s="18" t="s">
        <v>54</v>
      </c>
      <c r="DT95" s="58"/>
      <c r="DU95" s="58"/>
      <c r="DV95" s="58"/>
      <c r="DX95" s="11">
        <v>94</v>
      </c>
      <c r="DY95" s="41" t="s">
        <v>175</v>
      </c>
      <c r="DZ95" s="20">
        <v>0</v>
      </c>
    </row>
    <row r="96" spans="9:130">
      <c r="I96" s="11">
        <v>94</v>
      </c>
      <c r="J96" s="41" t="s">
        <v>175</v>
      </c>
      <c r="K96" s="70"/>
      <c r="O96" s="56"/>
      <c r="DF96" s="18" t="s">
        <v>177</v>
      </c>
      <c r="DG96" s="18" t="s">
        <v>54</v>
      </c>
      <c r="DT96" s="58"/>
      <c r="DU96" s="58"/>
      <c r="DV96" s="58"/>
      <c r="DX96" s="11">
        <v>95</v>
      </c>
      <c r="DY96" s="41" t="s">
        <v>176</v>
      </c>
      <c r="DZ96" s="20">
        <v>0</v>
      </c>
    </row>
    <row r="97" spans="9:130">
      <c r="I97" s="11">
        <v>95</v>
      </c>
      <c r="J97" s="41" t="s">
        <v>176</v>
      </c>
      <c r="K97" s="70"/>
      <c r="O97" s="56"/>
      <c r="DF97" s="18" t="s">
        <v>55</v>
      </c>
      <c r="DG97" s="18" t="s">
        <v>56</v>
      </c>
      <c r="DT97" s="58"/>
      <c r="DU97" s="58"/>
      <c r="DV97" s="58"/>
      <c r="DX97" s="11">
        <v>96</v>
      </c>
      <c r="DY97" s="41" t="s">
        <v>177</v>
      </c>
      <c r="DZ97" s="20">
        <v>0</v>
      </c>
    </row>
    <row r="98" spans="9:130">
      <c r="I98" s="11">
        <v>96</v>
      </c>
      <c r="J98" s="41" t="s">
        <v>177</v>
      </c>
      <c r="K98" s="71"/>
      <c r="O98" s="56"/>
      <c r="DF98" s="18" t="s">
        <v>178</v>
      </c>
      <c r="DG98" s="19" t="s">
        <v>56</v>
      </c>
      <c r="DT98" s="58"/>
      <c r="DU98" s="58"/>
      <c r="DV98" s="58"/>
      <c r="DX98" s="11">
        <v>97</v>
      </c>
      <c r="DY98" s="51" t="s">
        <v>55</v>
      </c>
      <c r="DZ98" s="20">
        <v>2000</v>
      </c>
    </row>
    <row r="99" spans="9:130">
      <c r="I99" s="11">
        <v>97</v>
      </c>
      <c r="J99" s="51" t="s">
        <v>55</v>
      </c>
      <c r="K99" s="69">
        <v>2000</v>
      </c>
      <c r="O99" s="56"/>
      <c r="DF99" s="18" t="s">
        <v>179</v>
      </c>
      <c r="DG99" s="18" t="s">
        <v>56</v>
      </c>
      <c r="DT99" s="58"/>
      <c r="DU99" s="58"/>
      <c r="DV99" s="58"/>
      <c r="DX99" s="11">
        <v>98</v>
      </c>
      <c r="DY99" s="51" t="s">
        <v>178</v>
      </c>
      <c r="DZ99" s="20">
        <v>0</v>
      </c>
    </row>
    <row r="100" spans="9:130">
      <c r="I100" s="11">
        <v>98</v>
      </c>
      <c r="J100" s="51" t="s">
        <v>178</v>
      </c>
      <c r="K100" s="70"/>
      <c r="O100" s="56"/>
      <c r="DF100" s="18" t="s">
        <v>180</v>
      </c>
      <c r="DG100" s="18" t="s">
        <v>56</v>
      </c>
      <c r="DT100" s="58"/>
      <c r="DU100" s="58"/>
      <c r="DV100" s="58"/>
      <c r="DX100" s="11">
        <v>99</v>
      </c>
      <c r="DY100" s="51" t="s">
        <v>179</v>
      </c>
      <c r="DZ100" s="20">
        <v>0</v>
      </c>
    </row>
    <row r="101" spans="9:130">
      <c r="I101" s="11">
        <v>99</v>
      </c>
      <c r="J101" s="51" t="s">
        <v>179</v>
      </c>
      <c r="K101" s="70"/>
      <c r="O101" s="56"/>
      <c r="DF101" s="18" t="s">
        <v>57</v>
      </c>
      <c r="DG101" s="18" t="s">
        <v>58</v>
      </c>
      <c r="DT101" s="58"/>
      <c r="DU101" s="58"/>
      <c r="DV101" s="58"/>
      <c r="DX101" s="11">
        <v>100</v>
      </c>
      <c r="DY101" s="51" t="s">
        <v>180</v>
      </c>
      <c r="DZ101" s="20">
        <v>0</v>
      </c>
    </row>
    <row r="102" spans="9:130">
      <c r="I102" s="11">
        <v>100</v>
      </c>
      <c r="J102" s="51" t="s">
        <v>180</v>
      </c>
      <c r="K102" s="71"/>
      <c r="O102" s="56"/>
      <c r="DF102" s="18" t="s">
        <v>181</v>
      </c>
      <c r="DG102" s="18" t="s">
        <v>58</v>
      </c>
      <c r="DT102" s="58"/>
      <c r="DU102" s="58"/>
      <c r="DV102" s="58"/>
      <c r="DX102" s="11">
        <v>101</v>
      </c>
      <c r="DY102" s="34" t="s">
        <v>57</v>
      </c>
      <c r="DZ102" s="20">
        <v>68000</v>
      </c>
    </row>
    <row r="103" spans="9:130">
      <c r="I103" s="11">
        <v>101</v>
      </c>
      <c r="J103" s="34" t="s">
        <v>57</v>
      </c>
      <c r="K103" s="69">
        <v>68000</v>
      </c>
      <c r="O103" s="56"/>
      <c r="DF103" s="18" t="s">
        <v>182</v>
      </c>
      <c r="DG103" s="19" t="s">
        <v>58</v>
      </c>
      <c r="DT103" s="58"/>
      <c r="DU103" s="58"/>
      <c r="DV103" s="58"/>
      <c r="DX103" s="11">
        <v>102</v>
      </c>
      <c r="DY103" s="34" t="s">
        <v>181</v>
      </c>
      <c r="DZ103" s="20">
        <v>0</v>
      </c>
    </row>
    <row r="104" spans="9:130">
      <c r="I104" s="11">
        <v>102</v>
      </c>
      <c r="J104" s="34" t="s">
        <v>181</v>
      </c>
      <c r="K104" s="70"/>
      <c r="O104" s="56"/>
      <c r="DF104" s="18" t="s">
        <v>183</v>
      </c>
      <c r="DG104" s="18" t="s">
        <v>58</v>
      </c>
      <c r="DT104" s="58"/>
      <c r="DU104" s="58"/>
      <c r="DV104" s="58"/>
      <c r="DX104" s="11">
        <v>103</v>
      </c>
      <c r="DY104" s="34" t="s">
        <v>182</v>
      </c>
      <c r="DZ104" s="20">
        <v>0</v>
      </c>
    </row>
    <row r="105" spans="9:130">
      <c r="I105" s="11">
        <v>103</v>
      </c>
      <c r="J105" s="34" t="s">
        <v>182</v>
      </c>
      <c r="K105" s="70"/>
      <c r="O105" s="56"/>
      <c r="DF105" s="18" t="s">
        <v>59</v>
      </c>
      <c r="DG105" s="18" t="s">
        <v>11</v>
      </c>
      <c r="DT105" s="58"/>
      <c r="DU105" s="58"/>
      <c r="DV105" s="58"/>
      <c r="DX105" s="11">
        <v>104</v>
      </c>
      <c r="DY105" s="34" t="s">
        <v>183</v>
      </c>
      <c r="DZ105" s="20">
        <v>0</v>
      </c>
    </row>
    <row r="106" spans="9:130">
      <c r="I106" s="11">
        <v>104</v>
      </c>
      <c r="J106" s="34" t="s">
        <v>183</v>
      </c>
      <c r="K106" s="71"/>
      <c r="O106" s="56"/>
      <c r="DF106" s="18" t="s">
        <v>184</v>
      </c>
      <c r="DG106" s="18" t="s">
        <v>11</v>
      </c>
      <c r="DT106" s="58"/>
      <c r="DU106" s="58"/>
      <c r="DV106" s="58"/>
      <c r="DX106" s="11">
        <v>105</v>
      </c>
      <c r="DY106" s="52" t="s">
        <v>59</v>
      </c>
      <c r="DZ106" s="20">
        <v>0</v>
      </c>
    </row>
    <row r="107" spans="9:130">
      <c r="I107" s="11">
        <v>105</v>
      </c>
      <c r="J107" s="52" t="s">
        <v>59</v>
      </c>
      <c r="K107" s="69">
        <v>0</v>
      </c>
      <c r="O107" s="56"/>
      <c r="DF107" s="18" t="s">
        <v>185</v>
      </c>
      <c r="DG107" s="18" t="s">
        <v>11</v>
      </c>
      <c r="DT107" s="58"/>
      <c r="DU107" s="58"/>
      <c r="DV107" s="58"/>
      <c r="DX107" s="11">
        <v>106</v>
      </c>
      <c r="DY107" s="52" t="s">
        <v>184</v>
      </c>
      <c r="DZ107" s="20">
        <v>0</v>
      </c>
    </row>
    <row r="108" spans="9:130">
      <c r="I108" s="11">
        <v>106</v>
      </c>
      <c r="J108" s="52" t="s">
        <v>184</v>
      </c>
      <c r="K108" s="70"/>
      <c r="O108" s="56"/>
      <c r="DF108" s="18" t="s">
        <v>186</v>
      </c>
      <c r="DG108" s="18" t="s">
        <v>11</v>
      </c>
      <c r="DT108" s="58"/>
      <c r="DU108" s="58"/>
      <c r="DV108" s="58"/>
      <c r="DX108" s="11">
        <v>107</v>
      </c>
      <c r="DY108" s="52" t="s">
        <v>185</v>
      </c>
      <c r="DZ108" s="20">
        <v>0</v>
      </c>
    </row>
    <row r="109" spans="9:130">
      <c r="I109" s="11">
        <v>107</v>
      </c>
      <c r="J109" s="52" t="s">
        <v>185</v>
      </c>
      <c r="K109" s="70"/>
      <c r="O109" s="56"/>
      <c r="DF109" s="18" t="s">
        <v>60</v>
      </c>
      <c r="DG109" s="18" t="s">
        <v>61</v>
      </c>
      <c r="DT109" s="58"/>
      <c r="DU109" s="58"/>
      <c r="DV109" s="58"/>
      <c r="DX109" s="11">
        <v>108</v>
      </c>
      <c r="DY109" s="52" t="s">
        <v>186</v>
      </c>
      <c r="DZ109" s="20">
        <v>0</v>
      </c>
    </row>
    <row r="110" spans="9:130">
      <c r="I110" s="11">
        <v>108</v>
      </c>
      <c r="J110" s="52" t="s">
        <v>186</v>
      </c>
      <c r="K110" s="71"/>
      <c r="O110" s="56"/>
      <c r="DF110" s="18" t="s">
        <v>187</v>
      </c>
      <c r="DG110" s="18" t="s">
        <v>61</v>
      </c>
      <c r="DT110" s="58"/>
      <c r="DU110" s="58"/>
      <c r="DV110" s="58"/>
      <c r="DX110" s="11">
        <v>109</v>
      </c>
      <c r="DY110" s="31" t="s">
        <v>60</v>
      </c>
      <c r="DZ110" s="20">
        <v>500</v>
      </c>
    </row>
    <row r="111" spans="9:130">
      <c r="I111" s="11">
        <v>109</v>
      </c>
      <c r="J111" s="31" t="s">
        <v>60</v>
      </c>
      <c r="K111" s="69">
        <v>500</v>
      </c>
      <c r="O111" s="56"/>
      <c r="DF111" s="18" t="s">
        <v>188</v>
      </c>
      <c r="DG111" s="18" t="s">
        <v>61</v>
      </c>
      <c r="DT111" s="58"/>
      <c r="DU111" s="58"/>
      <c r="DV111" s="58"/>
      <c r="DX111" s="11">
        <v>110</v>
      </c>
      <c r="DY111" s="31" t="s">
        <v>187</v>
      </c>
      <c r="DZ111" s="20">
        <v>0</v>
      </c>
    </row>
    <row r="112" spans="9:130">
      <c r="I112" s="11">
        <v>110</v>
      </c>
      <c r="J112" s="31" t="s">
        <v>187</v>
      </c>
      <c r="K112" s="70"/>
      <c r="O112" s="56"/>
      <c r="DF112" s="18" t="s">
        <v>189</v>
      </c>
      <c r="DG112" s="18" t="s">
        <v>61</v>
      </c>
      <c r="DT112" s="58"/>
      <c r="DU112" s="58"/>
      <c r="DV112" s="58"/>
      <c r="DX112" s="11">
        <v>111</v>
      </c>
      <c r="DY112" s="31" t="s">
        <v>188</v>
      </c>
      <c r="DZ112" s="20">
        <v>0</v>
      </c>
    </row>
    <row r="113" spans="9:130">
      <c r="I113" s="11">
        <v>111</v>
      </c>
      <c r="J113" s="31" t="s">
        <v>188</v>
      </c>
      <c r="K113" s="70"/>
      <c r="O113" s="56"/>
      <c r="DF113" s="18" t="s">
        <v>62</v>
      </c>
      <c r="DG113" s="18" t="s">
        <v>63</v>
      </c>
      <c r="DT113" s="58"/>
      <c r="DU113" s="58"/>
      <c r="DV113" s="58"/>
      <c r="DX113" s="11">
        <v>112</v>
      </c>
      <c r="DY113" s="31" t="s">
        <v>189</v>
      </c>
      <c r="DZ113" s="20">
        <v>0</v>
      </c>
    </row>
    <row r="114" spans="9:130">
      <c r="I114" s="11">
        <v>112</v>
      </c>
      <c r="J114" s="31" t="s">
        <v>189</v>
      </c>
      <c r="K114" s="71"/>
      <c r="O114" s="56"/>
      <c r="DF114" s="18" t="s">
        <v>190</v>
      </c>
      <c r="DG114" s="18" t="s">
        <v>63</v>
      </c>
      <c r="DT114" s="58"/>
      <c r="DU114" s="58"/>
      <c r="DV114" s="58"/>
      <c r="DX114" s="11">
        <v>113</v>
      </c>
      <c r="DY114" s="53" t="s">
        <v>62</v>
      </c>
      <c r="DZ114" s="20">
        <v>1000</v>
      </c>
    </row>
    <row r="115" spans="9:130">
      <c r="I115" s="11">
        <v>113</v>
      </c>
      <c r="J115" s="53" t="s">
        <v>62</v>
      </c>
      <c r="K115" s="69">
        <v>1000</v>
      </c>
      <c r="O115" s="56"/>
      <c r="DF115" s="18" t="s">
        <v>191</v>
      </c>
      <c r="DG115" s="18" t="s">
        <v>63</v>
      </c>
      <c r="DT115" s="58"/>
      <c r="DU115" s="58"/>
      <c r="DV115" s="58"/>
      <c r="DX115" s="11">
        <v>114</v>
      </c>
      <c r="DY115" s="53" t="s">
        <v>190</v>
      </c>
      <c r="DZ115" s="20">
        <v>0</v>
      </c>
    </row>
    <row r="116" spans="9:130">
      <c r="I116" s="11">
        <v>114</v>
      </c>
      <c r="J116" s="53" t="s">
        <v>190</v>
      </c>
      <c r="K116" s="70"/>
      <c r="O116" s="56"/>
      <c r="DF116" s="18" t="s">
        <v>192</v>
      </c>
      <c r="DG116" s="18" t="s">
        <v>63</v>
      </c>
      <c r="DT116" s="58"/>
      <c r="DU116" s="58"/>
      <c r="DV116" s="58"/>
      <c r="DX116" s="11">
        <v>115</v>
      </c>
      <c r="DY116" s="53" t="s">
        <v>191</v>
      </c>
      <c r="DZ116" s="20">
        <v>0</v>
      </c>
    </row>
    <row r="117" spans="9:130">
      <c r="I117" s="11">
        <v>115</v>
      </c>
      <c r="J117" s="53" t="s">
        <v>191</v>
      </c>
      <c r="K117" s="70"/>
      <c r="O117" s="56"/>
      <c r="DF117" s="18" t="s">
        <v>64</v>
      </c>
      <c r="DG117" s="18" t="s">
        <v>65</v>
      </c>
      <c r="DT117" s="58"/>
      <c r="DU117" s="58"/>
      <c r="DV117" s="58"/>
      <c r="DX117" s="11">
        <v>116</v>
      </c>
      <c r="DY117" s="53" t="s">
        <v>192</v>
      </c>
      <c r="DZ117" s="20">
        <v>0</v>
      </c>
    </row>
    <row r="118" spans="9:130">
      <c r="I118" s="11">
        <v>116</v>
      </c>
      <c r="J118" s="53" t="s">
        <v>192</v>
      </c>
      <c r="K118" s="71"/>
      <c r="O118" s="56"/>
      <c r="DF118" s="18" t="s">
        <v>193</v>
      </c>
      <c r="DG118" s="18" t="s">
        <v>65</v>
      </c>
      <c r="DT118" s="58"/>
      <c r="DU118" s="58"/>
      <c r="DV118" s="58"/>
      <c r="DX118" s="11">
        <v>117</v>
      </c>
      <c r="DY118" s="38" t="s">
        <v>64</v>
      </c>
      <c r="DZ118" s="20">
        <v>0</v>
      </c>
    </row>
    <row r="119" spans="9:130">
      <c r="I119" s="11">
        <v>117</v>
      </c>
      <c r="J119" s="38" t="s">
        <v>64</v>
      </c>
      <c r="K119" s="69">
        <v>0</v>
      </c>
      <c r="O119" s="56"/>
      <c r="DF119" s="18" t="s">
        <v>194</v>
      </c>
      <c r="DG119" s="18" t="s">
        <v>65</v>
      </c>
      <c r="DT119" s="58"/>
      <c r="DU119" s="58"/>
      <c r="DV119" s="58"/>
      <c r="DX119" s="11">
        <v>118</v>
      </c>
      <c r="DY119" s="38" t="s">
        <v>193</v>
      </c>
      <c r="DZ119" s="20">
        <v>0</v>
      </c>
    </row>
    <row r="120" spans="9:130">
      <c r="I120" s="11">
        <v>118</v>
      </c>
      <c r="J120" s="38" t="s">
        <v>193</v>
      </c>
      <c r="K120" s="70"/>
      <c r="O120" s="56"/>
      <c r="DF120" s="18" t="s">
        <v>195</v>
      </c>
      <c r="DG120" s="18" t="s">
        <v>65</v>
      </c>
      <c r="DT120" s="58"/>
      <c r="DU120" s="58"/>
      <c r="DV120" s="58"/>
      <c r="DX120" s="11">
        <v>119</v>
      </c>
      <c r="DY120" s="38" t="s">
        <v>194</v>
      </c>
      <c r="DZ120" s="20">
        <v>0</v>
      </c>
    </row>
    <row r="121" spans="9:130">
      <c r="I121" s="11">
        <v>119</v>
      </c>
      <c r="J121" s="38" t="s">
        <v>194</v>
      </c>
      <c r="K121" s="70"/>
      <c r="O121" s="56"/>
      <c r="DF121" s="18" t="s">
        <v>66</v>
      </c>
      <c r="DG121" s="18" t="s">
        <v>67</v>
      </c>
      <c r="DT121" s="58"/>
      <c r="DU121" s="58"/>
      <c r="DV121" s="58"/>
      <c r="DX121" s="11">
        <v>120</v>
      </c>
      <c r="DY121" s="38" t="s">
        <v>195</v>
      </c>
      <c r="DZ121" s="20">
        <v>0</v>
      </c>
    </row>
    <row r="122" spans="9:130">
      <c r="I122" s="11">
        <v>120</v>
      </c>
      <c r="J122" s="38" t="s">
        <v>195</v>
      </c>
      <c r="K122" s="71"/>
      <c r="O122" s="56"/>
      <c r="DF122" s="18" t="s">
        <v>196</v>
      </c>
      <c r="DG122" s="18" t="s">
        <v>67</v>
      </c>
      <c r="DT122" s="58"/>
      <c r="DU122" s="58"/>
      <c r="DV122" s="58"/>
      <c r="DX122" s="11">
        <v>121</v>
      </c>
      <c r="DY122" s="49" t="s">
        <v>66</v>
      </c>
      <c r="DZ122" s="20">
        <v>1200</v>
      </c>
    </row>
    <row r="123" spans="9:130">
      <c r="I123" s="11">
        <v>121</v>
      </c>
      <c r="J123" s="49" t="s">
        <v>66</v>
      </c>
      <c r="K123" s="69">
        <v>1200</v>
      </c>
      <c r="O123" s="56"/>
      <c r="DF123" s="18" t="s">
        <v>197</v>
      </c>
      <c r="DG123" s="18" t="s">
        <v>67</v>
      </c>
      <c r="DT123" s="58"/>
      <c r="DU123" s="58"/>
      <c r="DV123" s="58"/>
      <c r="DX123" s="11">
        <v>122</v>
      </c>
      <c r="DY123" s="49" t="s">
        <v>196</v>
      </c>
      <c r="DZ123" s="20">
        <v>0</v>
      </c>
    </row>
    <row r="124" spans="9:130">
      <c r="I124" s="11">
        <v>122</v>
      </c>
      <c r="J124" s="49" t="s">
        <v>196</v>
      </c>
      <c r="K124" s="70"/>
      <c r="O124" s="56"/>
      <c r="DF124" s="18" t="s">
        <v>198</v>
      </c>
      <c r="DG124" s="18" t="s">
        <v>67</v>
      </c>
      <c r="DT124" s="58"/>
      <c r="DU124" s="58"/>
      <c r="DV124" s="58"/>
      <c r="DX124" s="11">
        <v>123</v>
      </c>
      <c r="DY124" s="49" t="s">
        <v>197</v>
      </c>
      <c r="DZ124" s="20">
        <v>0</v>
      </c>
    </row>
    <row r="125" spans="9:130">
      <c r="I125" s="11">
        <v>123</v>
      </c>
      <c r="J125" s="49" t="s">
        <v>197</v>
      </c>
      <c r="K125" s="70"/>
      <c r="O125" s="56"/>
      <c r="DF125" s="18" t="s">
        <v>68</v>
      </c>
      <c r="DG125" s="18" t="s">
        <v>7</v>
      </c>
      <c r="DT125" s="58"/>
      <c r="DU125" s="58"/>
      <c r="DV125" s="58"/>
      <c r="DX125" s="11">
        <v>124</v>
      </c>
      <c r="DY125" s="49" t="s">
        <v>198</v>
      </c>
      <c r="DZ125" s="20">
        <v>0</v>
      </c>
    </row>
    <row r="126" spans="9:130">
      <c r="I126" s="11">
        <v>124</v>
      </c>
      <c r="J126" s="49" t="s">
        <v>198</v>
      </c>
      <c r="K126" s="71"/>
      <c r="O126" s="56"/>
      <c r="DF126" s="18" t="s">
        <v>199</v>
      </c>
      <c r="DG126" s="18" t="s">
        <v>7</v>
      </c>
      <c r="DT126" s="58"/>
      <c r="DU126" s="58"/>
      <c r="DV126" s="58"/>
      <c r="DX126" s="11">
        <v>125</v>
      </c>
      <c r="DY126" s="44" t="s">
        <v>68</v>
      </c>
      <c r="DZ126" s="20">
        <v>5500</v>
      </c>
    </row>
    <row r="127" spans="9:130">
      <c r="I127" s="11">
        <v>125</v>
      </c>
      <c r="J127" s="44" t="s">
        <v>68</v>
      </c>
      <c r="K127" s="69">
        <v>5500</v>
      </c>
      <c r="O127" s="56"/>
      <c r="DF127" s="18" t="s">
        <v>200</v>
      </c>
      <c r="DG127" s="18" t="s">
        <v>7</v>
      </c>
      <c r="DT127" s="58"/>
      <c r="DU127" s="58"/>
      <c r="DV127" s="58"/>
      <c r="DX127" s="11">
        <v>126</v>
      </c>
      <c r="DY127" s="44" t="s">
        <v>199</v>
      </c>
      <c r="DZ127" s="20">
        <v>0</v>
      </c>
    </row>
    <row r="128" spans="9:130">
      <c r="I128" s="11">
        <v>126</v>
      </c>
      <c r="J128" s="44" t="s">
        <v>199</v>
      </c>
      <c r="K128" s="70"/>
      <c r="O128" s="56"/>
      <c r="DF128" s="18" t="s">
        <v>201</v>
      </c>
      <c r="DG128" s="18" t="s">
        <v>7</v>
      </c>
      <c r="DT128" s="58"/>
      <c r="DU128" s="58"/>
      <c r="DV128" s="58"/>
      <c r="DX128" s="11">
        <v>127</v>
      </c>
      <c r="DY128" s="44" t="s">
        <v>200</v>
      </c>
      <c r="DZ128" s="20">
        <v>0</v>
      </c>
    </row>
    <row r="129" spans="9:130">
      <c r="I129" s="11">
        <v>127</v>
      </c>
      <c r="J129" s="44" t="s">
        <v>200</v>
      </c>
      <c r="K129" s="70"/>
      <c r="O129" s="56"/>
      <c r="DF129" s="18" t="s">
        <v>69</v>
      </c>
      <c r="DG129" s="18" t="s">
        <v>70</v>
      </c>
      <c r="DT129" s="58"/>
      <c r="DU129" s="58"/>
      <c r="DV129" s="58"/>
      <c r="DX129" s="11">
        <v>128</v>
      </c>
      <c r="DY129" s="44" t="s">
        <v>201</v>
      </c>
      <c r="DZ129" s="20">
        <v>0</v>
      </c>
    </row>
    <row r="130" spans="9:130">
      <c r="I130" s="11">
        <v>128</v>
      </c>
      <c r="J130" s="44" t="s">
        <v>201</v>
      </c>
      <c r="K130" s="71"/>
      <c r="O130" s="56"/>
      <c r="DF130" s="18" t="s">
        <v>202</v>
      </c>
      <c r="DG130" s="18" t="s">
        <v>70</v>
      </c>
      <c r="DT130" s="58"/>
      <c r="DU130" s="58"/>
      <c r="DV130" s="58"/>
      <c r="DX130" s="11">
        <v>129</v>
      </c>
      <c r="DY130" s="45" t="s">
        <v>69</v>
      </c>
      <c r="DZ130" s="20">
        <v>3000</v>
      </c>
    </row>
    <row r="131" spans="9:130">
      <c r="I131" s="11">
        <v>129</v>
      </c>
      <c r="J131" s="45" t="s">
        <v>69</v>
      </c>
      <c r="K131" s="69">
        <v>3000</v>
      </c>
      <c r="O131" s="56"/>
      <c r="DF131" s="18" t="s">
        <v>203</v>
      </c>
      <c r="DG131" s="18" t="s">
        <v>70</v>
      </c>
      <c r="DT131" s="58"/>
      <c r="DU131" s="58"/>
      <c r="DV131" s="58"/>
      <c r="DX131" s="11">
        <v>130</v>
      </c>
      <c r="DY131" s="45" t="s">
        <v>202</v>
      </c>
      <c r="DZ131" s="20">
        <v>0</v>
      </c>
    </row>
    <row r="132" spans="9:130">
      <c r="I132" s="11">
        <v>130</v>
      </c>
      <c r="J132" s="45" t="s">
        <v>202</v>
      </c>
      <c r="K132" s="70"/>
      <c r="O132" s="56"/>
      <c r="DF132" s="18" t="s">
        <v>204</v>
      </c>
      <c r="DG132" s="18" t="s">
        <v>70</v>
      </c>
      <c r="DT132" s="58"/>
      <c r="DU132" s="58"/>
      <c r="DV132" s="58"/>
      <c r="DX132" s="11">
        <v>131</v>
      </c>
      <c r="DY132" s="45" t="s">
        <v>203</v>
      </c>
      <c r="DZ132" s="20">
        <v>0</v>
      </c>
    </row>
    <row r="133" spans="9:130">
      <c r="I133" s="11">
        <v>131</v>
      </c>
      <c r="J133" s="45" t="s">
        <v>203</v>
      </c>
      <c r="K133" s="70"/>
      <c r="O133" s="56"/>
      <c r="DF133" s="18" t="s">
        <v>71</v>
      </c>
      <c r="DG133" s="18" t="s">
        <v>72</v>
      </c>
      <c r="DT133" s="58"/>
      <c r="DU133" s="58"/>
      <c r="DV133" s="58"/>
      <c r="DX133" s="11">
        <v>132</v>
      </c>
      <c r="DY133" s="45" t="s">
        <v>204</v>
      </c>
      <c r="DZ133" s="20">
        <v>0</v>
      </c>
    </row>
    <row r="134" spans="9:130">
      <c r="I134" s="11">
        <v>132</v>
      </c>
      <c r="J134" s="45" t="s">
        <v>204</v>
      </c>
      <c r="K134" s="71"/>
      <c r="O134" s="56"/>
      <c r="DF134" s="18" t="s">
        <v>205</v>
      </c>
      <c r="DG134" s="18" t="s">
        <v>72</v>
      </c>
      <c r="DT134" s="58"/>
      <c r="DU134" s="58"/>
      <c r="DV134" s="58"/>
      <c r="DX134" s="11">
        <v>133</v>
      </c>
      <c r="DY134" s="41" t="s">
        <v>71</v>
      </c>
      <c r="DZ134" s="20">
        <v>1000</v>
      </c>
    </row>
    <row r="135" spans="9:130">
      <c r="I135" s="11">
        <v>133</v>
      </c>
      <c r="J135" s="41" t="s">
        <v>71</v>
      </c>
      <c r="K135" s="69">
        <v>1000</v>
      </c>
      <c r="O135" s="56"/>
      <c r="DF135" s="18" t="s">
        <v>206</v>
      </c>
      <c r="DG135" s="18" t="s">
        <v>72</v>
      </c>
      <c r="DT135" s="58"/>
      <c r="DU135" s="58"/>
      <c r="DV135" s="58"/>
      <c r="DX135" s="11">
        <v>134</v>
      </c>
      <c r="DY135" s="41" t="s">
        <v>205</v>
      </c>
      <c r="DZ135" s="20">
        <v>0</v>
      </c>
    </row>
    <row r="136" spans="9:130">
      <c r="I136" s="11">
        <v>134</v>
      </c>
      <c r="J136" s="41" t="s">
        <v>205</v>
      </c>
      <c r="K136" s="70"/>
      <c r="O136" s="56"/>
      <c r="DF136" s="18" t="s">
        <v>207</v>
      </c>
      <c r="DG136" s="18" t="s">
        <v>72</v>
      </c>
      <c r="DT136" s="58"/>
      <c r="DU136" s="58"/>
      <c r="DV136" s="58"/>
      <c r="DX136" s="11">
        <v>135</v>
      </c>
      <c r="DY136" s="41" t="s">
        <v>206</v>
      </c>
      <c r="DZ136" s="20">
        <v>0</v>
      </c>
    </row>
    <row r="137" spans="9:130">
      <c r="I137" s="11">
        <v>135</v>
      </c>
      <c r="J137" s="41" t="s">
        <v>206</v>
      </c>
      <c r="K137" s="70"/>
      <c r="O137" s="56"/>
      <c r="DF137" s="18" t="s">
        <v>73</v>
      </c>
      <c r="DG137" s="18" t="s">
        <v>74</v>
      </c>
      <c r="DT137" s="58"/>
      <c r="DU137" s="58"/>
      <c r="DV137" s="58"/>
      <c r="DX137" s="11">
        <v>136</v>
      </c>
      <c r="DY137" s="41" t="s">
        <v>207</v>
      </c>
      <c r="DZ137" s="20">
        <v>0</v>
      </c>
    </row>
    <row r="138" spans="9:130">
      <c r="I138" s="11">
        <v>136</v>
      </c>
      <c r="J138" s="41" t="s">
        <v>207</v>
      </c>
      <c r="K138" s="70"/>
      <c r="O138" s="56"/>
      <c r="DF138" s="18" t="s">
        <v>208</v>
      </c>
      <c r="DG138" s="18" t="s">
        <v>74</v>
      </c>
      <c r="DT138" s="58"/>
      <c r="DU138" s="58"/>
      <c r="DV138" s="58"/>
      <c r="DX138" s="11">
        <v>137</v>
      </c>
      <c r="DY138" s="41" t="s">
        <v>73</v>
      </c>
      <c r="DZ138" s="20">
        <v>0</v>
      </c>
    </row>
    <row r="139" spans="9:130">
      <c r="I139" s="11">
        <v>137</v>
      </c>
      <c r="J139" s="41" t="s">
        <v>73</v>
      </c>
      <c r="K139" s="70"/>
      <c r="O139" s="56"/>
      <c r="DF139" s="18" t="s">
        <v>209</v>
      </c>
      <c r="DG139" s="18" t="s">
        <v>74</v>
      </c>
      <c r="DT139" s="58"/>
      <c r="DU139" s="58"/>
      <c r="DV139" s="58"/>
      <c r="DX139" s="11">
        <v>138</v>
      </c>
      <c r="DY139" s="41" t="s">
        <v>208</v>
      </c>
      <c r="DZ139" s="20">
        <v>0</v>
      </c>
    </row>
    <row r="140" spans="9:130">
      <c r="I140" s="11">
        <v>138</v>
      </c>
      <c r="J140" s="41" t="s">
        <v>208</v>
      </c>
      <c r="K140" s="70"/>
      <c r="O140" s="56"/>
      <c r="DF140" s="18" t="s">
        <v>210</v>
      </c>
      <c r="DG140" s="18" t="s">
        <v>74</v>
      </c>
      <c r="DT140" s="58"/>
      <c r="DU140" s="58"/>
      <c r="DV140" s="58"/>
      <c r="DX140" s="11">
        <v>139</v>
      </c>
      <c r="DY140" s="41" t="s">
        <v>209</v>
      </c>
      <c r="DZ140" s="20">
        <v>0</v>
      </c>
    </row>
    <row r="141" spans="9:130">
      <c r="I141" s="11">
        <v>139</v>
      </c>
      <c r="J141" s="41" t="s">
        <v>209</v>
      </c>
      <c r="K141" s="70"/>
      <c r="O141" s="56"/>
      <c r="DF141" s="18" t="s">
        <v>75</v>
      </c>
      <c r="DG141" s="18" t="s">
        <v>76</v>
      </c>
      <c r="DT141" s="58"/>
      <c r="DU141" s="58"/>
      <c r="DV141" s="58"/>
      <c r="DX141" s="11">
        <v>140</v>
      </c>
      <c r="DY141" s="41" t="s">
        <v>210</v>
      </c>
      <c r="DZ141" s="20">
        <v>0</v>
      </c>
    </row>
    <row r="142" spans="9:130">
      <c r="I142" s="11">
        <v>140</v>
      </c>
      <c r="J142" s="41" t="s">
        <v>210</v>
      </c>
      <c r="K142" s="70"/>
      <c r="O142" s="56"/>
      <c r="DF142" s="18" t="s">
        <v>211</v>
      </c>
      <c r="DG142" s="18" t="s">
        <v>76</v>
      </c>
      <c r="DT142" s="58"/>
      <c r="DU142" s="58"/>
      <c r="DV142" s="58"/>
      <c r="DX142" s="11">
        <v>141</v>
      </c>
      <c r="DY142" s="41" t="s">
        <v>75</v>
      </c>
      <c r="DZ142" s="20">
        <v>0</v>
      </c>
    </row>
    <row r="143" spans="9:130">
      <c r="I143" s="11">
        <v>141</v>
      </c>
      <c r="J143" s="41" t="s">
        <v>75</v>
      </c>
      <c r="K143" s="70"/>
      <c r="O143" s="56"/>
      <c r="DF143" s="18" t="s">
        <v>212</v>
      </c>
      <c r="DG143" s="18" t="s">
        <v>76</v>
      </c>
      <c r="DT143" s="58"/>
      <c r="DU143" s="58"/>
      <c r="DV143" s="58"/>
      <c r="DX143" s="11">
        <v>142</v>
      </c>
      <c r="DY143" s="41" t="s">
        <v>211</v>
      </c>
      <c r="DZ143" s="20">
        <v>0</v>
      </c>
    </row>
    <row r="144" spans="9:130">
      <c r="I144" s="11">
        <v>142</v>
      </c>
      <c r="J144" s="41" t="s">
        <v>211</v>
      </c>
      <c r="K144" s="70"/>
      <c r="O144" s="56"/>
      <c r="DF144" s="18" t="s">
        <v>213</v>
      </c>
      <c r="DG144" s="18" t="s">
        <v>76</v>
      </c>
      <c r="DT144" s="58"/>
      <c r="DU144" s="58"/>
      <c r="DV144" s="58"/>
      <c r="DX144" s="11">
        <v>143</v>
      </c>
      <c r="DY144" s="41" t="s">
        <v>212</v>
      </c>
      <c r="DZ144" s="20">
        <v>0</v>
      </c>
    </row>
    <row r="145" spans="9:130">
      <c r="I145" s="11">
        <v>143</v>
      </c>
      <c r="J145" s="41" t="s">
        <v>212</v>
      </c>
      <c r="K145" s="70"/>
      <c r="O145" s="56"/>
      <c r="DF145" s="18" t="s">
        <v>77</v>
      </c>
      <c r="DG145" s="18" t="s">
        <v>78</v>
      </c>
      <c r="DT145" s="58"/>
      <c r="DU145" s="58"/>
      <c r="DV145" s="58"/>
      <c r="DX145" s="11">
        <v>144</v>
      </c>
      <c r="DY145" s="41" t="s">
        <v>213</v>
      </c>
      <c r="DZ145" s="20">
        <v>0</v>
      </c>
    </row>
    <row r="146" spans="9:130">
      <c r="I146" s="11">
        <v>144</v>
      </c>
      <c r="J146" s="41" t="s">
        <v>213</v>
      </c>
      <c r="K146" s="71"/>
      <c r="O146" s="56"/>
      <c r="DF146" s="18" t="s">
        <v>214</v>
      </c>
      <c r="DG146" s="18" t="s">
        <v>78</v>
      </c>
      <c r="DT146" s="58"/>
      <c r="DU146" s="58"/>
      <c r="DV146" s="58"/>
      <c r="DX146" s="11">
        <v>145</v>
      </c>
      <c r="DY146" s="49" t="s">
        <v>77</v>
      </c>
      <c r="DZ146" s="20">
        <v>20000</v>
      </c>
    </row>
    <row r="147" spans="9:130">
      <c r="I147" s="11">
        <v>145</v>
      </c>
      <c r="J147" s="49" t="s">
        <v>77</v>
      </c>
      <c r="K147" s="69">
        <v>20000</v>
      </c>
      <c r="O147" s="56"/>
      <c r="DF147" s="18" t="s">
        <v>215</v>
      </c>
      <c r="DG147" s="18" t="s">
        <v>78</v>
      </c>
      <c r="DT147" s="58"/>
      <c r="DU147" s="58"/>
      <c r="DV147" s="58"/>
      <c r="DX147" s="11">
        <v>146</v>
      </c>
      <c r="DY147" s="49" t="s">
        <v>214</v>
      </c>
      <c r="DZ147" s="20">
        <v>0</v>
      </c>
    </row>
    <row r="148" spans="9:130">
      <c r="I148" s="11">
        <v>146</v>
      </c>
      <c r="J148" s="49" t="s">
        <v>214</v>
      </c>
      <c r="K148" s="70"/>
      <c r="O148" s="56"/>
      <c r="DF148" s="18" t="s">
        <v>216</v>
      </c>
      <c r="DG148" s="19" t="s">
        <v>78</v>
      </c>
      <c r="DT148" s="58"/>
      <c r="DU148" s="58"/>
      <c r="DV148" s="58"/>
      <c r="DX148" s="11">
        <v>147</v>
      </c>
      <c r="DY148" s="49" t="s">
        <v>215</v>
      </c>
      <c r="DZ148" s="20">
        <v>0</v>
      </c>
    </row>
    <row r="149" spans="9:130">
      <c r="I149" s="11">
        <v>147</v>
      </c>
      <c r="J149" s="49" t="s">
        <v>215</v>
      </c>
      <c r="K149" s="70"/>
      <c r="O149" s="56"/>
      <c r="DF149" s="18" t="s">
        <v>79</v>
      </c>
      <c r="DG149" s="18" t="s">
        <v>80</v>
      </c>
      <c r="DT149" s="58"/>
      <c r="DU149" s="58"/>
      <c r="DV149" s="58"/>
      <c r="DX149" s="11">
        <v>148</v>
      </c>
      <c r="DY149" s="49" t="s">
        <v>216</v>
      </c>
      <c r="DZ149" s="20">
        <v>0</v>
      </c>
    </row>
    <row r="150" spans="9:130">
      <c r="I150" s="11">
        <v>148</v>
      </c>
      <c r="J150" s="49" t="s">
        <v>216</v>
      </c>
      <c r="K150" s="71"/>
      <c r="O150" s="56"/>
      <c r="DF150" s="18" t="s">
        <v>217</v>
      </c>
      <c r="DG150" s="18" t="s">
        <v>80</v>
      </c>
      <c r="DT150" s="58"/>
      <c r="DU150" s="58"/>
      <c r="DV150" s="58"/>
      <c r="DX150" s="11">
        <v>149</v>
      </c>
      <c r="DY150" s="43" t="s">
        <v>79</v>
      </c>
      <c r="DZ150" s="20">
        <v>3000</v>
      </c>
    </row>
    <row r="151" spans="9:130">
      <c r="I151" s="11">
        <v>149</v>
      </c>
      <c r="J151" s="43" t="s">
        <v>79</v>
      </c>
      <c r="K151" s="72">
        <v>3000</v>
      </c>
      <c r="O151" s="56"/>
      <c r="DF151" s="18" t="s">
        <v>218</v>
      </c>
      <c r="DG151" s="18" t="s">
        <v>80</v>
      </c>
      <c r="DT151" s="58"/>
      <c r="DU151" s="58"/>
      <c r="DV151" s="58"/>
      <c r="DX151" s="11">
        <v>150</v>
      </c>
      <c r="DY151" s="43" t="s">
        <v>217</v>
      </c>
      <c r="DZ151" s="20">
        <v>0</v>
      </c>
    </row>
    <row r="152" spans="9:130">
      <c r="I152" s="11">
        <v>150</v>
      </c>
      <c r="J152" s="43" t="s">
        <v>217</v>
      </c>
      <c r="K152" s="73"/>
      <c r="O152" s="56"/>
      <c r="DF152" s="18" t="s">
        <v>219</v>
      </c>
      <c r="DG152" s="18" t="s">
        <v>80</v>
      </c>
      <c r="DT152" s="58"/>
      <c r="DU152" s="58"/>
      <c r="DV152" s="58"/>
      <c r="DX152" s="11">
        <v>151</v>
      </c>
      <c r="DY152" s="43" t="s">
        <v>218</v>
      </c>
      <c r="DZ152" s="20">
        <v>0</v>
      </c>
    </row>
    <row r="153" spans="9:130">
      <c r="I153" s="11">
        <v>151</v>
      </c>
      <c r="J153" s="43" t="s">
        <v>218</v>
      </c>
      <c r="K153" s="73"/>
      <c r="O153" s="56"/>
      <c r="DF153" s="18" t="s">
        <v>81</v>
      </c>
      <c r="DG153" s="19" t="s">
        <v>82</v>
      </c>
      <c r="DT153" s="58"/>
      <c r="DU153" s="58"/>
      <c r="DV153" s="58"/>
      <c r="DX153" s="11">
        <v>152</v>
      </c>
      <c r="DY153" s="43" t="s">
        <v>219</v>
      </c>
      <c r="DZ153" s="20">
        <v>0</v>
      </c>
    </row>
    <row r="154" spans="9:130">
      <c r="I154" s="11">
        <v>152</v>
      </c>
      <c r="J154" s="43" t="s">
        <v>219</v>
      </c>
      <c r="K154" s="74"/>
      <c r="O154" s="56"/>
      <c r="DF154" s="18" t="s">
        <v>220</v>
      </c>
      <c r="DG154" s="18" t="s">
        <v>82</v>
      </c>
      <c r="DT154" s="58"/>
      <c r="DU154" s="58"/>
      <c r="DV154" s="58"/>
      <c r="DX154" s="11">
        <v>153</v>
      </c>
      <c r="DY154" s="54" t="s">
        <v>81</v>
      </c>
      <c r="DZ154" s="20">
        <v>500</v>
      </c>
    </row>
    <row r="155" spans="9:130">
      <c r="I155" s="11">
        <v>153</v>
      </c>
      <c r="J155" s="54" t="s">
        <v>81</v>
      </c>
      <c r="K155" s="69">
        <v>500</v>
      </c>
      <c r="O155" s="56"/>
      <c r="DF155" s="18" t="s">
        <v>221</v>
      </c>
      <c r="DG155" s="18" t="s">
        <v>82</v>
      </c>
      <c r="DT155" s="58"/>
      <c r="DU155" s="58"/>
      <c r="DV155" s="58"/>
      <c r="DX155" s="11">
        <v>154</v>
      </c>
      <c r="DY155" s="54" t="s">
        <v>220</v>
      </c>
      <c r="DZ155" s="20">
        <v>0</v>
      </c>
    </row>
    <row r="156" spans="9:130">
      <c r="I156" s="11">
        <v>154</v>
      </c>
      <c r="J156" s="54" t="s">
        <v>220</v>
      </c>
      <c r="K156" s="70"/>
      <c r="O156" s="56"/>
      <c r="DF156" s="18" t="s">
        <v>222</v>
      </c>
      <c r="DG156" s="18" t="s">
        <v>82</v>
      </c>
      <c r="DT156" s="58"/>
      <c r="DU156" s="58"/>
      <c r="DV156" s="58"/>
      <c r="DX156" s="11">
        <v>155</v>
      </c>
      <c r="DY156" s="54" t="s">
        <v>221</v>
      </c>
      <c r="DZ156" s="20">
        <v>0</v>
      </c>
    </row>
    <row r="157" spans="9:130">
      <c r="I157" s="11">
        <v>155</v>
      </c>
      <c r="J157" s="54" t="s">
        <v>221</v>
      </c>
      <c r="K157" s="70"/>
      <c r="O157" s="56"/>
      <c r="DF157" s="18" t="s">
        <v>83</v>
      </c>
      <c r="DG157" s="18" t="s">
        <v>84</v>
      </c>
      <c r="DT157" s="58"/>
      <c r="DU157" s="58"/>
      <c r="DV157" s="58"/>
      <c r="DX157" s="11">
        <v>156</v>
      </c>
      <c r="DY157" s="54" t="s">
        <v>222</v>
      </c>
      <c r="DZ157" s="20">
        <v>0</v>
      </c>
    </row>
    <row r="158" spans="9:130">
      <c r="I158" s="11">
        <v>156</v>
      </c>
      <c r="J158" s="54" t="s">
        <v>222</v>
      </c>
      <c r="K158" s="71"/>
      <c r="O158" s="56"/>
      <c r="DF158" s="18" t="s">
        <v>223</v>
      </c>
      <c r="DG158" s="18" t="s">
        <v>84</v>
      </c>
      <c r="DT158" s="58"/>
      <c r="DU158" s="58"/>
      <c r="DV158" s="58"/>
      <c r="DX158" s="11">
        <v>157</v>
      </c>
      <c r="DY158" s="39" t="s">
        <v>83</v>
      </c>
      <c r="DZ158" s="20">
        <v>1800</v>
      </c>
    </row>
    <row r="159" spans="9:130">
      <c r="I159" s="11">
        <v>157</v>
      </c>
      <c r="J159" s="39" t="s">
        <v>83</v>
      </c>
      <c r="K159" s="69">
        <v>1800</v>
      </c>
      <c r="O159" s="56"/>
      <c r="DF159" s="18" t="s">
        <v>224</v>
      </c>
      <c r="DG159" s="18" t="s">
        <v>84</v>
      </c>
      <c r="DT159" s="58"/>
      <c r="DU159" s="58"/>
      <c r="DV159" s="58"/>
      <c r="DX159" s="11">
        <v>158</v>
      </c>
      <c r="DY159" s="39" t="s">
        <v>223</v>
      </c>
      <c r="DZ159" s="20">
        <v>0</v>
      </c>
    </row>
    <row r="160" spans="9:130">
      <c r="I160" s="11">
        <v>158</v>
      </c>
      <c r="J160" s="39" t="s">
        <v>223</v>
      </c>
      <c r="K160" s="70"/>
      <c r="O160" s="56"/>
      <c r="DF160" s="18" t="s">
        <v>225</v>
      </c>
      <c r="DG160" s="18" t="s">
        <v>84</v>
      </c>
      <c r="DT160" s="58"/>
      <c r="DU160" s="58"/>
      <c r="DV160" s="58"/>
      <c r="DX160" s="11">
        <v>159</v>
      </c>
      <c r="DY160" s="39" t="s">
        <v>224</v>
      </c>
      <c r="DZ160" s="20">
        <v>0</v>
      </c>
    </row>
    <row r="161" spans="9:130">
      <c r="I161" s="11">
        <v>159</v>
      </c>
      <c r="J161" s="39" t="s">
        <v>224</v>
      </c>
      <c r="K161" s="70"/>
      <c r="O161" s="56"/>
      <c r="DF161" s="18" t="s">
        <v>85</v>
      </c>
      <c r="DG161" s="18" t="s">
        <v>86</v>
      </c>
      <c r="DT161" s="58"/>
      <c r="DU161" s="58"/>
      <c r="DV161" s="58"/>
      <c r="DX161" s="11">
        <v>160</v>
      </c>
      <c r="DY161" s="39" t="s">
        <v>225</v>
      </c>
      <c r="DZ161" s="20">
        <v>0</v>
      </c>
    </row>
    <row r="162" spans="9:130">
      <c r="I162" s="11">
        <v>160</v>
      </c>
      <c r="J162" s="39" t="s">
        <v>225</v>
      </c>
      <c r="K162" s="71"/>
      <c r="O162" s="56"/>
      <c r="DF162" s="18" t="s">
        <v>226</v>
      </c>
      <c r="DG162" s="18" t="s">
        <v>86</v>
      </c>
      <c r="DT162" s="58"/>
      <c r="DU162" s="58"/>
      <c r="DV162" s="58"/>
      <c r="DX162" s="11">
        <v>161</v>
      </c>
      <c r="DY162" s="49" t="s">
        <v>85</v>
      </c>
      <c r="DZ162" s="20">
        <v>1000</v>
      </c>
    </row>
    <row r="163" spans="9:130">
      <c r="I163" s="11">
        <v>161</v>
      </c>
      <c r="J163" s="49" t="s">
        <v>85</v>
      </c>
      <c r="K163" s="69">
        <v>1000</v>
      </c>
      <c r="O163" s="56"/>
      <c r="DF163" s="18" t="s">
        <v>227</v>
      </c>
      <c r="DG163" s="18" t="s">
        <v>86</v>
      </c>
      <c r="DT163" s="58"/>
      <c r="DU163" s="58"/>
      <c r="DV163" s="58"/>
      <c r="DX163" s="11">
        <v>162</v>
      </c>
      <c r="DY163" s="49" t="s">
        <v>226</v>
      </c>
      <c r="DZ163" s="20">
        <v>0</v>
      </c>
    </row>
    <row r="164" spans="9:130">
      <c r="I164" s="11">
        <v>162</v>
      </c>
      <c r="J164" s="49" t="s">
        <v>226</v>
      </c>
      <c r="K164" s="70"/>
      <c r="O164" s="56"/>
      <c r="DF164" s="18" t="s">
        <v>228</v>
      </c>
      <c r="DG164" s="18" t="s">
        <v>86</v>
      </c>
      <c r="DT164" s="58"/>
      <c r="DU164" s="58"/>
      <c r="DV164" s="58"/>
      <c r="DX164" s="11">
        <v>163</v>
      </c>
      <c r="DY164" s="49" t="s">
        <v>227</v>
      </c>
      <c r="DZ164" s="20">
        <v>0</v>
      </c>
    </row>
    <row r="165" spans="9:130">
      <c r="I165" s="11">
        <v>163</v>
      </c>
      <c r="J165" s="49" t="s">
        <v>227</v>
      </c>
      <c r="K165" s="70"/>
      <c r="O165" s="56"/>
      <c r="DF165" s="18" t="s">
        <v>87</v>
      </c>
      <c r="DG165" s="18" t="s">
        <v>88</v>
      </c>
      <c r="DT165" s="58"/>
      <c r="DU165" s="58"/>
      <c r="DV165" s="58"/>
      <c r="DX165" s="11">
        <v>164</v>
      </c>
      <c r="DY165" s="49" t="s">
        <v>228</v>
      </c>
      <c r="DZ165" s="20">
        <v>0</v>
      </c>
    </row>
    <row r="166" spans="9:130">
      <c r="I166" s="11">
        <v>164</v>
      </c>
      <c r="J166" s="49" t="s">
        <v>228</v>
      </c>
      <c r="K166" s="71"/>
      <c r="O166" s="56"/>
      <c r="DF166" s="18" t="s">
        <v>229</v>
      </c>
      <c r="DG166" s="18" t="s">
        <v>88</v>
      </c>
      <c r="DT166" s="58"/>
      <c r="DU166" s="58"/>
      <c r="DV166" s="58"/>
      <c r="DX166" s="11">
        <v>165</v>
      </c>
      <c r="DY166" s="41" t="s">
        <v>87</v>
      </c>
      <c r="DZ166" s="20">
        <v>2000</v>
      </c>
    </row>
    <row r="167" spans="9:130">
      <c r="I167" s="11">
        <v>165</v>
      </c>
      <c r="J167" s="41" t="s">
        <v>87</v>
      </c>
      <c r="K167" s="69">
        <v>2000</v>
      </c>
      <c r="O167" s="56"/>
      <c r="DF167" s="18" t="s">
        <v>230</v>
      </c>
      <c r="DG167" s="18" t="s">
        <v>88</v>
      </c>
      <c r="DT167" s="58"/>
      <c r="DU167" s="58"/>
      <c r="DV167" s="58"/>
      <c r="DX167" s="11">
        <v>166</v>
      </c>
      <c r="DY167" s="41" t="s">
        <v>229</v>
      </c>
      <c r="DZ167" s="20">
        <v>0</v>
      </c>
    </row>
    <row r="168" spans="9:130">
      <c r="I168" s="11">
        <v>166</v>
      </c>
      <c r="J168" s="41" t="s">
        <v>229</v>
      </c>
      <c r="K168" s="70"/>
      <c r="O168" s="56"/>
      <c r="DF168" s="18" t="s">
        <v>231</v>
      </c>
      <c r="DG168" s="18" t="s">
        <v>88</v>
      </c>
      <c r="DT168" s="58"/>
      <c r="DU168" s="58"/>
      <c r="DV168" s="58"/>
      <c r="DX168" s="11">
        <v>167</v>
      </c>
      <c r="DY168" s="41" t="s">
        <v>230</v>
      </c>
      <c r="DZ168" s="20">
        <v>0</v>
      </c>
    </row>
    <row r="169" spans="9:130">
      <c r="I169" s="11">
        <v>167</v>
      </c>
      <c r="J169" s="41" t="s">
        <v>230</v>
      </c>
      <c r="K169" s="70"/>
      <c r="O169" s="56"/>
      <c r="DF169" s="18" t="s">
        <v>89</v>
      </c>
      <c r="DG169" s="18" t="s">
        <v>90</v>
      </c>
      <c r="DT169" s="58"/>
      <c r="DU169" s="58"/>
      <c r="DV169" s="58"/>
      <c r="DX169" s="11">
        <v>168</v>
      </c>
      <c r="DY169" s="41" t="s">
        <v>231</v>
      </c>
      <c r="DZ169" s="20">
        <v>0</v>
      </c>
    </row>
    <row r="170" spans="9:130">
      <c r="I170" s="11">
        <v>168</v>
      </c>
      <c r="J170" s="41" t="s">
        <v>231</v>
      </c>
      <c r="K170" s="71"/>
      <c r="O170" s="56"/>
      <c r="DF170" s="18" t="s">
        <v>232</v>
      </c>
      <c r="DG170" s="18" t="s">
        <v>90</v>
      </c>
      <c r="DT170" s="58"/>
      <c r="DU170" s="58"/>
      <c r="DV170" s="58"/>
      <c r="DX170" s="11">
        <v>169</v>
      </c>
      <c r="DY170" s="42" t="s">
        <v>89</v>
      </c>
      <c r="DZ170" s="20">
        <v>2000</v>
      </c>
    </row>
    <row r="171" spans="9:130">
      <c r="I171" s="11">
        <v>169</v>
      </c>
      <c r="J171" s="42" t="s">
        <v>89</v>
      </c>
      <c r="K171" s="69">
        <v>2000</v>
      </c>
      <c r="O171" s="56"/>
      <c r="DF171" s="18" t="s">
        <v>233</v>
      </c>
      <c r="DG171" s="18" t="s">
        <v>90</v>
      </c>
      <c r="DT171" s="58"/>
      <c r="DU171" s="58"/>
      <c r="DV171" s="58"/>
      <c r="DX171" s="11">
        <v>170</v>
      </c>
      <c r="DY171" s="42" t="s">
        <v>232</v>
      </c>
      <c r="DZ171" s="20">
        <v>0</v>
      </c>
    </row>
    <row r="172" spans="9:130">
      <c r="I172" s="11">
        <v>170</v>
      </c>
      <c r="J172" s="42" t="s">
        <v>232</v>
      </c>
      <c r="K172" s="70"/>
      <c r="O172" s="56"/>
      <c r="DF172" s="18" t="s">
        <v>234</v>
      </c>
      <c r="DG172" s="18" t="s">
        <v>90</v>
      </c>
      <c r="DT172" s="58"/>
      <c r="DU172" s="58"/>
      <c r="DV172" s="58"/>
      <c r="DX172" s="11">
        <v>171</v>
      </c>
      <c r="DY172" s="42" t="s">
        <v>233</v>
      </c>
      <c r="DZ172" s="20">
        <v>0</v>
      </c>
    </row>
    <row r="173" spans="9:130">
      <c r="I173" s="11">
        <v>171</v>
      </c>
      <c r="J173" s="42" t="s">
        <v>233</v>
      </c>
      <c r="K173" s="70"/>
      <c r="O173" s="56"/>
      <c r="DF173" s="18" t="s">
        <v>91</v>
      </c>
      <c r="DG173" s="18" t="s">
        <v>92</v>
      </c>
      <c r="DT173" s="58"/>
      <c r="DU173" s="58"/>
      <c r="DV173" s="58"/>
      <c r="DX173" s="11">
        <v>172</v>
      </c>
      <c r="DY173" s="42" t="s">
        <v>234</v>
      </c>
      <c r="DZ173" s="20">
        <v>0</v>
      </c>
    </row>
    <row r="174" spans="9:130">
      <c r="I174" s="11">
        <v>172</v>
      </c>
      <c r="J174" s="42" t="s">
        <v>234</v>
      </c>
      <c r="K174" s="71"/>
      <c r="O174" s="56"/>
      <c r="DF174" s="18" t="s">
        <v>235</v>
      </c>
      <c r="DG174" s="18" t="s">
        <v>92</v>
      </c>
      <c r="DT174" s="58"/>
      <c r="DU174" s="58"/>
      <c r="DV174" s="58"/>
      <c r="DX174" s="11">
        <v>173</v>
      </c>
      <c r="DY174" s="36" t="s">
        <v>91</v>
      </c>
      <c r="DZ174" s="20">
        <v>8000</v>
      </c>
    </row>
    <row r="175" spans="9:130">
      <c r="I175" s="11">
        <v>173</v>
      </c>
      <c r="J175" s="36" t="s">
        <v>91</v>
      </c>
      <c r="K175" s="69">
        <v>8000</v>
      </c>
      <c r="O175" s="56"/>
      <c r="DF175" s="18" t="s">
        <v>236</v>
      </c>
      <c r="DG175" s="18" t="s">
        <v>92</v>
      </c>
      <c r="DT175" s="58"/>
      <c r="DU175" s="58"/>
      <c r="DV175" s="58"/>
      <c r="DX175" s="11">
        <v>174</v>
      </c>
      <c r="DY175" s="36" t="s">
        <v>235</v>
      </c>
      <c r="DZ175" s="20">
        <v>0</v>
      </c>
    </row>
    <row r="176" spans="9:130">
      <c r="I176" s="11">
        <v>174</v>
      </c>
      <c r="J176" s="36" t="s">
        <v>235</v>
      </c>
      <c r="K176" s="70"/>
      <c r="O176" s="56"/>
      <c r="DF176" s="18" t="s">
        <v>237</v>
      </c>
      <c r="DG176" s="18" t="s">
        <v>92</v>
      </c>
      <c r="DT176" s="58"/>
      <c r="DU176" s="58"/>
      <c r="DV176" s="58"/>
      <c r="DX176" s="11">
        <v>175</v>
      </c>
      <c r="DY176" s="36" t="s">
        <v>236</v>
      </c>
      <c r="DZ176" s="20">
        <v>0</v>
      </c>
    </row>
    <row r="177" spans="9:130">
      <c r="I177" s="11">
        <v>175</v>
      </c>
      <c r="J177" s="36" t="s">
        <v>236</v>
      </c>
      <c r="K177" s="70"/>
      <c r="O177" s="56"/>
      <c r="DF177" s="18" t="s">
        <v>93</v>
      </c>
      <c r="DG177" s="18" t="s">
        <v>94</v>
      </c>
      <c r="DT177" s="58"/>
      <c r="DU177" s="58"/>
      <c r="DV177" s="58"/>
      <c r="DX177" s="11">
        <v>176</v>
      </c>
      <c r="DY177" s="36" t="s">
        <v>237</v>
      </c>
      <c r="DZ177" s="20">
        <v>0</v>
      </c>
    </row>
    <row r="178" spans="9:130">
      <c r="I178" s="11">
        <v>176</v>
      </c>
      <c r="J178" s="36" t="s">
        <v>237</v>
      </c>
      <c r="K178" s="71"/>
      <c r="O178" s="56"/>
      <c r="DF178" s="18" t="s">
        <v>238</v>
      </c>
      <c r="DG178" s="18" t="s">
        <v>94</v>
      </c>
      <c r="DT178" s="58"/>
      <c r="DU178" s="58"/>
      <c r="DV178" s="58"/>
      <c r="DX178" s="11">
        <v>177</v>
      </c>
      <c r="DY178" s="45" t="s">
        <v>93</v>
      </c>
      <c r="DZ178" s="20">
        <v>0</v>
      </c>
    </row>
    <row r="179" spans="9:130">
      <c r="I179" s="11">
        <v>177</v>
      </c>
      <c r="J179" s="45" t="s">
        <v>93</v>
      </c>
      <c r="K179" s="69">
        <v>0</v>
      </c>
      <c r="O179" s="56"/>
      <c r="DF179" s="18" t="s">
        <v>239</v>
      </c>
      <c r="DG179" s="18" t="s">
        <v>94</v>
      </c>
      <c r="DT179" s="58"/>
      <c r="DU179" s="58"/>
      <c r="DV179" s="58"/>
      <c r="DX179" s="11">
        <v>178</v>
      </c>
      <c r="DY179" s="45" t="s">
        <v>238</v>
      </c>
      <c r="DZ179" s="20">
        <v>0</v>
      </c>
    </row>
    <row r="180" spans="9:130">
      <c r="I180" s="11">
        <v>178</v>
      </c>
      <c r="J180" s="45" t="s">
        <v>238</v>
      </c>
      <c r="K180" s="70"/>
      <c r="O180" s="56"/>
      <c r="DF180" s="18" t="s">
        <v>240</v>
      </c>
      <c r="DG180" s="18" t="s">
        <v>94</v>
      </c>
      <c r="DT180" s="58"/>
      <c r="DU180" s="58"/>
      <c r="DV180" s="58"/>
      <c r="DX180" s="11">
        <v>179</v>
      </c>
      <c r="DY180" s="45" t="s">
        <v>239</v>
      </c>
      <c r="DZ180" s="20">
        <v>0</v>
      </c>
    </row>
    <row r="181" spans="9:130">
      <c r="I181" s="11">
        <v>179</v>
      </c>
      <c r="J181" s="45" t="s">
        <v>239</v>
      </c>
      <c r="K181" s="70"/>
      <c r="O181" s="56"/>
      <c r="DF181" s="18" t="s">
        <v>95</v>
      </c>
      <c r="DG181" s="18" t="s">
        <v>96</v>
      </c>
      <c r="DT181" s="58"/>
      <c r="DU181" s="58"/>
      <c r="DV181" s="58"/>
      <c r="DX181" s="11">
        <v>180</v>
      </c>
      <c r="DY181" s="45" t="s">
        <v>240</v>
      </c>
      <c r="DZ181" s="20">
        <v>0</v>
      </c>
    </row>
    <row r="182" spans="9:130">
      <c r="I182" s="11">
        <v>180</v>
      </c>
      <c r="J182" s="45" t="s">
        <v>240</v>
      </c>
      <c r="K182" s="71"/>
      <c r="O182" s="56"/>
      <c r="DF182" s="18" t="s">
        <v>241</v>
      </c>
      <c r="DG182" s="18" t="s">
        <v>96</v>
      </c>
      <c r="DT182" s="58"/>
      <c r="DU182" s="58"/>
      <c r="DV182" s="58"/>
      <c r="DX182" s="11">
        <v>181</v>
      </c>
      <c r="DY182" s="36" t="s">
        <v>95</v>
      </c>
      <c r="DZ182" s="20">
        <v>0</v>
      </c>
    </row>
    <row r="183" spans="9:130">
      <c r="I183" s="11">
        <v>181</v>
      </c>
      <c r="J183" s="36" t="s">
        <v>95</v>
      </c>
      <c r="K183" s="69">
        <v>0</v>
      </c>
      <c r="O183" s="56"/>
      <c r="DF183" s="18" t="s">
        <v>242</v>
      </c>
      <c r="DG183" s="18" t="s">
        <v>96</v>
      </c>
      <c r="DT183" s="58"/>
      <c r="DU183" s="58"/>
      <c r="DV183" s="58"/>
      <c r="DX183" s="11">
        <v>182</v>
      </c>
      <c r="DY183" s="36" t="s">
        <v>241</v>
      </c>
      <c r="DZ183" s="20">
        <v>0</v>
      </c>
    </row>
    <row r="184" spans="9:130">
      <c r="I184" s="11">
        <v>182</v>
      </c>
      <c r="J184" s="36" t="s">
        <v>241</v>
      </c>
      <c r="K184" s="70"/>
      <c r="O184" s="56"/>
      <c r="DF184" s="18" t="s">
        <v>243</v>
      </c>
      <c r="DG184" s="18" t="s">
        <v>96</v>
      </c>
      <c r="DT184" s="58"/>
      <c r="DU184" s="58"/>
      <c r="DV184" s="58"/>
      <c r="DX184" s="11">
        <v>183</v>
      </c>
      <c r="DY184" s="36" t="s">
        <v>242</v>
      </c>
      <c r="DZ184" s="20">
        <v>0</v>
      </c>
    </row>
    <row r="185" spans="9:130">
      <c r="I185" s="11">
        <v>183</v>
      </c>
      <c r="J185" s="36" t="s">
        <v>242</v>
      </c>
      <c r="K185" s="70"/>
      <c r="O185" s="56"/>
      <c r="DF185" s="18" t="s">
        <v>97</v>
      </c>
      <c r="DG185" s="18" t="s">
        <v>98</v>
      </c>
      <c r="DT185" s="58"/>
      <c r="DU185" s="58"/>
      <c r="DV185" s="58"/>
      <c r="DX185" s="11">
        <v>184</v>
      </c>
      <c r="DY185" s="36" t="s">
        <v>243</v>
      </c>
      <c r="DZ185" s="20">
        <v>0</v>
      </c>
    </row>
    <row r="186" spans="9:130">
      <c r="I186" s="11">
        <v>184</v>
      </c>
      <c r="J186" s="36" t="s">
        <v>243</v>
      </c>
      <c r="K186" s="71"/>
      <c r="O186" s="56"/>
      <c r="DF186" s="18" t="s">
        <v>244</v>
      </c>
      <c r="DG186" s="18" t="s">
        <v>98</v>
      </c>
      <c r="DT186" s="58"/>
      <c r="DU186" s="58"/>
      <c r="DV186" s="58"/>
      <c r="DX186" s="11">
        <v>185</v>
      </c>
      <c r="DY186" s="34" t="s">
        <v>97</v>
      </c>
      <c r="DZ186" s="20">
        <v>0</v>
      </c>
    </row>
    <row r="187" spans="9:130">
      <c r="I187" s="11">
        <v>185</v>
      </c>
      <c r="J187" s="34" t="s">
        <v>97</v>
      </c>
      <c r="K187" s="69">
        <v>0</v>
      </c>
      <c r="O187" s="56"/>
      <c r="DF187" s="18" t="s">
        <v>245</v>
      </c>
      <c r="DG187" s="18" t="s">
        <v>98</v>
      </c>
      <c r="DT187" s="58"/>
      <c r="DU187" s="58"/>
      <c r="DV187" s="58"/>
      <c r="DX187" s="11">
        <v>186</v>
      </c>
      <c r="DY187" s="34" t="s">
        <v>244</v>
      </c>
      <c r="DZ187" s="20">
        <v>0</v>
      </c>
    </row>
    <row r="188" spans="9:130">
      <c r="I188" s="11">
        <v>186</v>
      </c>
      <c r="J188" s="34" t="s">
        <v>244</v>
      </c>
      <c r="K188" s="70"/>
      <c r="O188" s="56"/>
      <c r="DF188" s="18" t="s">
        <v>246</v>
      </c>
      <c r="DG188" s="18" t="s">
        <v>98</v>
      </c>
      <c r="DT188" s="58"/>
      <c r="DU188" s="58"/>
      <c r="DV188" s="58"/>
      <c r="DX188" s="11">
        <v>187</v>
      </c>
      <c r="DY188" s="34" t="s">
        <v>245</v>
      </c>
      <c r="DZ188" s="20">
        <v>0</v>
      </c>
    </row>
    <row r="189" spans="9:130">
      <c r="I189" s="11">
        <v>187</v>
      </c>
      <c r="J189" s="34" t="s">
        <v>245</v>
      </c>
      <c r="K189" s="70"/>
      <c r="O189" s="56"/>
      <c r="DF189" s="18" t="s">
        <v>99</v>
      </c>
      <c r="DG189" s="18" t="s">
        <v>100</v>
      </c>
      <c r="DT189" s="58"/>
      <c r="DU189" s="58"/>
      <c r="DV189" s="58"/>
      <c r="DX189" s="11">
        <v>188</v>
      </c>
      <c r="DY189" s="34" t="s">
        <v>246</v>
      </c>
      <c r="DZ189" s="20">
        <v>0</v>
      </c>
    </row>
    <row r="190" spans="9:130">
      <c r="I190" s="11">
        <v>188</v>
      </c>
      <c r="J190" s="34" t="s">
        <v>246</v>
      </c>
      <c r="K190" s="71"/>
      <c r="O190" s="56"/>
      <c r="DF190" s="18" t="s">
        <v>247</v>
      </c>
      <c r="DG190" s="18" t="s">
        <v>100</v>
      </c>
      <c r="DT190" s="58"/>
      <c r="DU190" s="58"/>
      <c r="DV190" s="58"/>
      <c r="DX190" s="11">
        <v>189</v>
      </c>
      <c r="DY190" s="48" t="s">
        <v>99</v>
      </c>
      <c r="DZ190" s="20">
        <v>5000</v>
      </c>
    </row>
    <row r="191" spans="9:130">
      <c r="I191" s="11">
        <v>189</v>
      </c>
      <c r="J191" s="48" t="s">
        <v>99</v>
      </c>
      <c r="K191" s="69">
        <v>5000</v>
      </c>
      <c r="O191" s="56"/>
      <c r="DF191" s="18" t="s">
        <v>248</v>
      </c>
      <c r="DG191" s="18" t="s">
        <v>100</v>
      </c>
      <c r="DT191" s="58"/>
      <c r="DU191" s="58"/>
      <c r="DV191" s="58"/>
      <c r="DX191" s="11">
        <v>190</v>
      </c>
      <c r="DY191" s="48" t="s">
        <v>247</v>
      </c>
      <c r="DZ191" s="20">
        <v>0</v>
      </c>
    </row>
    <row r="192" spans="9:130">
      <c r="I192" s="11">
        <v>190</v>
      </c>
      <c r="J192" s="48" t="s">
        <v>247</v>
      </c>
      <c r="K192" s="70"/>
      <c r="O192" s="56"/>
      <c r="DF192" s="18" t="s">
        <v>249</v>
      </c>
      <c r="DG192" s="18" t="s">
        <v>100</v>
      </c>
      <c r="DT192" s="58"/>
      <c r="DU192" s="58"/>
      <c r="DV192" s="58"/>
      <c r="DX192" s="11">
        <v>191</v>
      </c>
      <c r="DY192" s="48" t="s">
        <v>248</v>
      </c>
      <c r="DZ192" s="20">
        <v>0</v>
      </c>
    </row>
    <row r="193" spans="9:130">
      <c r="I193" s="11">
        <v>191</v>
      </c>
      <c r="J193" s="48" t="s">
        <v>248</v>
      </c>
      <c r="K193" s="70"/>
      <c r="O193" s="56"/>
      <c r="DF193" s="18" t="s">
        <v>101</v>
      </c>
      <c r="DG193" s="18" t="s">
        <v>102</v>
      </c>
      <c r="DT193" s="58"/>
      <c r="DU193" s="58"/>
      <c r="DV193" s="58"/>
      <c r="DX193" s="11">
        <v>192</v>
      </c>
      <c r="DY193" s="48" t="s">
        <v>249</v>
      </c>
      <c r="DZ193" s="20">
        <v>0</v>
      </c>
    </row>
    <row r="194" spans="9:130">
      <c r="I194" s="11">
        <v>192</v>
      </c>
      <c r="J194" s="48" t="s">
        <v>249</v>
      </c>
      <c r="K194" s="71"/>
      <c r="O194" s="56"/>
      <c r="DF194" s="18" t="s">
        <v>250</v>
      </c>
      <c r="DG194" s="18" t="s">
        <v>102</v>
      </c>
      <c r="DT194" s="58"/>
      <c r="DU194" s="58"/>
      <c r="DV194" s="58"/>
      <c r="DX194" s="11">
        <v>193</v>
      </c>
      <c r="DY194" s="33" t="s">
        <v>101</v>
      </c>
      <c r="DZ194" s="20">
        <v>24000</v>
      </c>
    </row>
    <row r="195" spans="9:130">
      <c r="I195" s="11">
        <v>193</v>
      </c>
      <c r="J195" s="33" t="s">
        <v>101</v>
      </c>
      <c r="K195" s="69">
        <v>24000</v>
      </c>
      <c r="O195" s="56"/>
      <c r="DF195" s="18" t="s">
        <v>251</v>
      </c>
      <c r="DG195" s="18" t="s">
        <v>102</v>
      </c>
      <c r="DT195" s="58"/>
      <c r="DU195" s="58"/>
      <c r="DV195" s="58"/>
      <c r="DX195" s="11">
        <v>194</v>
      </c>
      <c r="DY195" s="33" t="s">
        <v>250</v>
      </c>
      <c r="DZ195" s="20">
        <v>0</v>
      </c>
    </row>
    <row r="196" spans="9:130">
      <c r="I196" s="11">
        <v>194</v>
      </c>
      <c r="J196" s="33" t="s">
        <v>250</v>
      </c>
      <c r="K196" s="70"/>
      <c r="O196" s="56"/>
      <c r="DF196" s="18" t="s">
        <v>252</v>
      </c>
      <c r="DG196" s="18" t="s">
        <v>102</v>
      </c>
      <c r="DT196" s="58"/>
      <c r="DU196" s="58"/>
      <c r="DV196" s="58"/>
      <c r="DX196" s="11">
        <v>195</v>
      </c>
      <c r="DY196" s="33" t="s">
        <v>251</v>
      </c>
      <c r="DZ196" s="20">
        <v>0</v>
      </c>
    </row>
    <row r="197" spans="9:130">
      <c r="I197" s="11">
        <v>195</v>
      </c>
      <c r="J197" s="33" t="s">
        <v>251</v>
      </c>
      <c r="K197" s="70"/>
      <c r="O197" s="56"/>
      <c r="DF197" s="18" t="s">
        <v>103</v>
      </c>
      <c r="DG197" s="18" t="s">
        <v>104</v>
      </c>
      <c r="DT197" s="58"/>
      <c r="DU197" s="58"/>
      <c r="DV197" s="58"/>
      <c r="DX197" s="11">
        <v>196</v>
      </c>
      <c r="DY197" s="33" t="s">
        <v>252</v>
      </c>
      <c r="DZ197" s="20">
        <v>0</v>
      </c>
    </row>
    <row r="198" spans="9:130">
      <c r="I198" s="11">
        <v>196</v>
      </c>
      <c r="J198" s="33" t="s">
        <v>252</v>
      </c>
      <c r="K198" s="71"/>
      <c r="O198" s="56"/>
      <c r="DF198" s="18" t="s">
        <v>253</v>
      </c>
      <c r="DG198" s="19" t="s">
        <v>104</v>
      </c>
      <c r="DT198" s="58"/>
      <c r="DU198" s="58"/>
      <c r="DV198" s="58"/>
      <c r="DX198" s="11">
        <v>197</v>
      </c>
      <c r="DY198" s="42" t="s">
        <v>103</v>
      </c>
      <c r="DZ198" s="20">
        <v>3000</v>
      </c>
    </row>
    <row r="199" spans="9:130">
      <c r="I199" s="11">
        <v>197</v>
      </c>
      <c r="J199" s="42" t="s">
        <v>103</v>
      </c>
      <c r="K199" s="69">
        <v>3000</v>
      </c>
      <c r="O199" s="56"/>
      <c r="DF199" s="18" t="s">
        <v>254</v>
      </c>
      <c r="DG199" s="18" t="s">
        <v>104</v>
      </c>
      <c r="DT199" s="58"/>
      <c r="DU199" s="58"/>
      <c r="DV199" s="58"/>
      <c r="DX199" s="11">
        <v>198</v>
      </c>
      <c r="DY199" s="42" t="s">
        <v>253</v>
      </c>
      <c r="DZ199" s="20">
        <v>0</v>
      </c>
    </row>
    <row r="200" spans="9:130">
      <c r="I200" s="11">
        <v>198</v>
      </c>
      <c r="J200" s="42" t="s">
        <v>253</v>
      </c>
      <c r="K200" s="70"/>
      <c r="O200" s="56"/>
      <c r="DF200" s="18" t="s">
        <v>255</v>
      </c>
      <c r="DG200" s="18" t="s">
        <v>104</v>
      </c>
      <c r="DT200" s="58"/>
      <c r="DU200" s="58"/>
      <c r="DV200" s="58"/>
      <c r="DX200" s="11">
        <v>199</v>
      </c>
      <c r="DY200" s="42" t="s">
        <v>254</v>
      </c>
      <c r="DZ200" s="20">
        <v>0</v>
      </c>
    </row>
    <row r="201" spans="9:130">
      <c r="I201" s="11">
        <v>199</v>
      </c>
      <c r="J201" s="42" t="s">
        <v>254</v>
      </c>
      <c r="K201" s="70"/>
      <c r="O201" s="56"/>
      <c r="DT201" s="58"/>
      <c r="DU201" s="58"/>
      <c r="DV201" s="58"/>
      <c r="DX201" s="11">
        <v>200</v>
      </c>
      <c r="DY201" s="42" t="s">
        <v>255</v>
      </c>
      <c r="DZ201" s="20">
        <v>0</v>
      </c>
    </row>
    <row r="202" spans="9:130">
      <c r="I202" s="11">
        <v>200</v>
      </c>
      <c r="J202" s="42" t="s">
        <v>255</v>
      </c>
      <c r="K202" s="71"/>
      <c r="O202" s="56"/>
    </row>
    <row r="203" spans="9:130">
      <c r="O203" s="56"/>
    </row>
    <row r="204" spans="9:130">
      <c r="O204" s="56"/>
    </row>
    <row r="205" spans="9:130">
      <c r="O205" s="56"/>
    </row>
    <row r="206" spans="9:130">
      <c r="O206" s="56"/>
    </row>
    <row r="207" spans="9:130">
      <c r="O207" s="56"/>
    </row>
    <row r="208" spans="9:130">
      <c r="O208" s="56"/>
    </row>
  </sheetData>
  <mergeCells count="41">
    <mergeCell ref="K75:K78"/>
    <mergeCell ref="K3:K6"/>
    <mergeCell ref="K7:K10"/>
    <mergeCell ref="K11:K14"/>
    <mergeCell ref="K15:K18"/>
    <mergeCell ref="K19:K26"/>
    <mergeCell ref="K27:K30"/>
    <mergeCell ref="K31:K34"/>
    <mergeCell ref="K35:K62"/>
    <mergeCell ref="K63:K66"/>
    <mergeCell ref="K67:K70"/>
    <mergeCell ref="K71:K74"/>
    <mergeCell ref="K123:K126"/>
    <mergeCell ref="K79:K82"/>
    <mergeCell ref="K83:K86"/>
    <mergeCell ref="K87:K90"/>
    <mergeCell ref="K91:K94"/>
    <mergeCell ref="K95:K98"/>
    <mergeCell ref="K99:K102"/>
    <mergeCell ref="K103:K106"/>
    <mergeCell ref="K107:K110"/>
    <mergeCell ref="K111:K114"/>
    <mergeCell ref="K115:K118"/>
    <mergeCell ref="K119:K122"/>
    <mergeCell ref="K179:K182"/>
    <mergeCell ref="K127:K130"/>
    <mergeCell ref="K131:K134"/>
    <mergeCell ref="K135:K146"/>
    <mergeCell ref="K147:K150"/>
    <mergeCell ref="K151:K154"/>
    <mergeCell ref="K155:K158"/>
    <mergeCell ref="K159:K162"/>
    <mergeCell ref="K163:K166"/>
    <mergeCell ref="K167:K170"/>
    <mergeCell ref="K171:K174"/>
    <mergeCell ref="K175:K178"/>
    <mergeCell ref="K183:K186"/>
    <mergeCell ref="K187:K190"/>
    <mergeCell ref="K191:K194"/>
    <mergeCell ref="K195:K198"/>
    <mergeCell ref="K199:K202"/>
  </mergeCells>
  <phoneticPr fontId="10" type="noConversion"/>
  <dataValidations count="1">
    <dataValidation type="list" allowBlank="1" showInputMessage="1" showErrorMessage="1" sqref="B7" xr:uid="{00000000-0002-0000-0000-000000000000}">
      <formula1>$CW$1:$CW$12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D2BE81-B32A-41D5-A4C9-F1366273C4DD}">
  <sheetPr codeName="Sheet2"/>
  <dimension ref="A1:G6001"/>
  <sheetViews>
    <sheetView workbookViewId="0">
      <selection activeCell="E2" sqref="E2:E6001"/>
    </sheetView>
  </sheetViews>
  <sheetFormatPr defaultRowHeight="15"/>
  <cols>
    <col min="1" max="5" width="12.7109375" customWidth="1"/>
    <col min="6" max="7" width="9.140625" style="21"/>
  </cols>
  <sheetData>
    <row r="1" spans="1:7" s="3" customFormat="1">
      <c r="A1" s="60" t="s">
        <v>0</v>
      </c>
      <c r="B1" s="60" t="s">
        <v>376</v>
      </c>
      <c r="C1" s="60" t="s">
        <v>377</v>
      </c>
      <c r="D1" s="60" t="s">
        <v>378</v>
      </c>
      <c r="E1" s="60" t="s">
        <v>379</v>
      </c>
      <c r="F1" s="64"/>
      <c r="G1" s="64"/>
    </row>
    <row r="2" spans="1:7">
      <c r="A2" s="61" t="s">
        <v>8</v>
      </c>
      <c r="B2" s="61" t="s">
        <v>380</v>
      </c>
      <c r="C2" s="62">
        <v>44774</v>
      </c>
      <c r="D2" s="62">
        <v>44774</v>
      </c>
      <c r="E2" s="63">
        <v>0</v>
      </c>
    </row>
    <row r="3" spans="1:7">
      <c r="A3" s="61" t="s">
        <v>8</v>
      </c>
      <c r="B3" s="61" t="s">
        <v>380</v>
      </c>
      <c r="C3" s="62">
        <v>44775</v>
      </c>
      <c r="D3" s="62">
        <v>44775</v>
      </c>
      <c r="E3" s="63">
        <v>0</v>
      </c>
    </row>
    <row r="4" spans="1:7">
      <c r="A4" s="61" t="s">
        <v>8</v>
      </c>
      <c r="B4" s="61" t="s">
        <v>380</v>
      </c>
      <c r="C4" s="62">
        <v>44776</v>
      </c>
      <c r="D4" s="62">
        <v>44776</v>
      </c>
      <c r="E4" s="63">
        <v>0</v>
      </c>
    </row>
    <row r="5" spans="1:7">
      <c r="A5" s="61" t="s">
        <v>8</v>
      </c>
      <c r="B5" s="61" t="s">
        <v>380</v>
      </c>
      <c r="C5" s="62">
        <v>44777</v>
      </c>
      <c r="D5" s="62">
        <v>44777</v>
      </c>
      <c r="E5" s="63">
        <v>0</v>
      </c>
    </row>
    <row r="6" spans="1:7">
      <c r="A6" s="61" t="s">
        <v>8</v>
      </c>
      <c r="B6" s="61" t="s">
        <v>380</v>
      </c>
      <c r="C6" s="62">
        <v>44778</v>
      </c>
      <c r="D6" s="62">
        <v>44778</v>
      </c>
      <c r="E6" s="63">
        <v>0</v>
      </c>
    </row>
    <row r="7" spans="1:7">
      <c r="A7" s="61" t="s">
        <v>8</v>
      </c>
      <c r="B7" s="61" t="s">
        <v>380</v>
      </c>
      <c r="C7" s="62">
        <v>44779</v>
      </c>
      <c r="D7" s="62">
        <v>44779</v>
      </c>
      <c r="E7" s="63">
        <v>0</v>
      </c>
    </row>
    <row r="8" spans="1:7">
      <c r="A8" s="61" t="s">
        <v>8</v>
      </c>
      <c r="B8" s="61" t="s">
        <v>380</v>
      </c>
      <c r="C8" s="62">
        <v>44780</v>
      </c>
      <c r="D8" s="62">
        <v>44780</v>
      </c>
      <c r="E8" s="63">
        <v>0</v>
      </c>
    </row>
    <row r="9" spans="1:7">
      <c r="A9" s="61" t="s">
        <v>8</v>
      </c>
      <c r="B9" s="61" t="s">
        <v>380</v>
      </c>
      <c r="C9" s="62">
        <v>44781</v>
      </c>
      <c r="D9" s="62">
        <v>44781</v>
      </c>
      <c r="E9" s="63">
        <v>0</v>
      </c>
    </row>
    <row r="10" spans="1:7">
      <c r="A10" s="61" t="s">
        <v>8</v>
      </c>
      <c r="B10" s="61" t="s">
        <v>380</v>
      </c>
      <c r="C10" s="62">
        <v>44782</v>
      </c>
      <c r="D10" s="62">
        <v>44782</v>
      </c>
      <c r="E10" s="63">
        <v>0</v>
      </c>
    </row>
    <row r="11" spans="1:7">
      <c r="A11" s="61" t="s">
        <v>8</v>
      </c>
      <c r="B11" s="61" t="s">
        <v>380</v>
      </c>
      <c r="C11" s="62">
        <v>44783</v>
      </c>
      <c r="D11" s="62">
        <v>44783</v>
      </c>
      <c r="E11" s="63">
        <v>96.77</v>
      </c>
    </row>
    <row r="12" spans="1:7">
      <c r="A12" s="61" t="s">
        <v>8</v>
      </c>
      <c r="B12" s="61" t="s">
        <v>380</v>
      </c>
      <c r="C12" s="62">
        <v>44784</v>
      </c>
      <c r="D12" s="62">
        <v>44784</v>
      </c>
      <c r="E12" s="63">
        <v>0</v>
      </c>
    </row>
    <row r="13" spans="1:7">
      <c r="A13" s="61" t="s">
        <v>8</v>
      </c>
      <c r="B13" s="61" t="s">
        <v>380</v>
      </c>
      <c r="C13" s="62">
        <v>44785</v>
      </c>
      <c r="D13" s="62">
        <v>44785</v>
      </c>
      <c r="E13" s="63">
        <v>0</v>
      </c>
    </row>
    <row r="14" spans="1:7">
      <c r="A14" s="61" t="s">
        <v>8</v>
      </c>
      <c r="B14" s="61" t="s">
        <v>380</v>
      </c>
      <c r="C14" s="62">
        <v>44786</v>
      </c>
      <c r="D14" s="62">
        <v>44786</v>
      </c>
      <c r="E14" s="63">
        <v>0</v>
      </c>
    </row>
    <row r="15" spans="1:7">
      <c r="A15" s="61" t="s">
        <v>8</v>
      </c>
      <c r="B15" s="61" t="s">
        <v>380</v>
      </c>
      <c r="C15" s="62">
        <v>44787</v>
      </c>
      <c r="D15" s="62">
        <v>44787</v>
      </c>
      <c r="E15" s="63">
        <v>0</v>
      </c>
    </row>
    <row r="16" spans="1:7">
      <c r="A16" s="61" t="s">
        <v>8</v>
      </c>
      <c r="B16" s="61" t="s">
        <v>380</v>
      </c>
      <c r="C16" s="62">
        <v>44788</v>
      </c>
      <c r="D16" s="62">
        <v>44788</v>
      </c>
      <c r="E16" s="63">
        <v>0</v>
      </c>
    </row>
    <row r="17" spans="1:5">
      <c r="A17" s="61" t="s">
        <v>8</v>
      </c>
      <c r="B17" s="61" t="s">
        <v>380</v>
      </c>
      <c r="C17" s="62">
        <v>44789</v>
      </c>
      <c r="D17" s="62">
        <v>44789</v>
      </c>
      <c r="E17" s="63">
        <v>0</v>
      </c>
    </row>
    <row r="18" spans="1:5">
      <c r="A18" s="61" t="s">
        <v>8</v>
      </c>
      <c r="B18" s="61" t="s">
        <v>380</v>
      </c>
      <c r="C18" s="62">
        <v>44790</v>
      </c>
      <c r="D18" s="62">
        <v>44790</v>
      </c>
      <c r="E18" s="63">
        <v>0</v>
      </c>
    </row>
    <row r="19" spans="1:5">
      <c r="A19" s="61" t="s">
        <v>8</v>
      </c>
      <c r="B19" s="61" t="s">
        <v>380</v>
      </c>
      <c r="C19" s="62">
        <v>44791</v>
      </c>
      <c r="D19" s="62">
        <v>44791</v>
      </c>
      <c r="E19" s="63">
        <v>0</v>
      </c>
    </row>
    <row r="20" spans="1:5">
      <c r="A20" s="61" t="s">
        <v>8</v>
      </c>
      <c r="B20" s="61" t="s">
        <v>380</v>
      </c>
      <c r="C20" s="62">
        <v>44792</v>
      </c>
      <c r="D20" s="62">
        <v>44792</v>
      </c>
      <c r="E20" s="63">
        <v>0</v>
      </c>
    </row>
    <row r="21" spans="1:5">
      <c r="A21" s="61" t="s">
        <v>8</v>
      </c>
      <c r="B21" s="61" t="s">
        <v>380</v>
      </c>
      <c r="C21" s="62">
        <v>44793</v>
      </c>
      <c r="D21" s="62">
        <v>44793</v>
      </c>
      <c r="E21" s="63">
        <v>0</v>
      </c>
    </row>
    <row r="22" spans="1:5">
      <c r="A22" s="61" t="s">
        <v>8</v>
      </c>
      <c r="B22" s="61" t="s">
        <v>380</v>
      </c>
      <c r="C22" s="62">
        <v>44794</v>
      </c>
      <c r="D22" s="62">
        <v>44794</v>
      </c>
      <c r="E22" s="63">
        <v>0</v>
      </c>
    </row>
    <row r="23" spans="1:5">
      <c r="A23" s="61" t="s">
        <v>8</v>
      </c>
      <c r="B23" s="61" t="s">
        <v>380</v>
      </c>
      <c r="C23" s="62">
        <v>44795</v>
      </c>
      <c r="D23" s="62">
        <v>44795</v>
      </c>
      <c r="E23" s="63">
        <v>0</v>
      </c>
    </row>
    <row r="24" spans="1:5">
      <c r="A24" s="61" t="s">
        <v>8</v>
      </c>
      <c r="B24" s="61" t="s">
        <v>380</v>
      </c>
      <c r="C24" s="62">
        <v>44796</v>
      </c>
      <c r="D24" s="62">
        <v>44796</v>
      </c>
      <c r="E24" s="63">
        <v>0</v>
      </c>
    </row>
    <row r="25" spans="1:5">
      <c r="A25" s="61" t="s">
        <v>8</v>
      </c>
      <c r="B25" s="61" t="s">
        <v>380</v>
      </c>
      <c r="C25" s="62">
        <v>44797</v>
      </c>
      <c r="D25" s="62">
        <v>44797</v>
      </c>
      <c r="E25" s="63">
        <v>0</v>
      </c>
    </row>
    <row r="26" spans="1:5">
      <c r="A26" s="61" t="s">
        <v>8</v>
      </c>
      <c r="B26" s="61" t="s">
        <v>380</v>
      </c>
      <c r="C26" s="62">
        <v>44798</v>
      </c>
      <c r="D26" s="62">
        <v>44798</v>
      </c>
      <c r="E26" s="63">
        <v>0</v>
      </c>
    </row>
    <row r="27" spans="1:5">
      <c r="A27" s="61" t="s">
        <v>8</v>
      </c>
      <c r="B27" s="61" t="s">
        <v>380</v>
      </c>
      <c r="C27" s="62">
        <v>44799</v>
      </c>
      <c r="D27" s="62">
        <v>44799</v>
      </c>
      <c r="E27" s="63">
        <v>109035.55</v>
      </c>
    </row>
    <row r="28" spans="1:5">
      <c r="A28" s="61" t="s">
        <v>8</v>
      </c>
      <c r="B28" s="61" t="s">
        <v>380</v>
      </c>
      <c r="C28" s="62">
        <v>44800</v>
      </c>
      <c r="D28" s="62">
        <v>44800</v>
      </c>
      <c r="E28" s="63">
        <v>0</v>
      </c>
    </row>
    <row r="29" spans="1:5">
      <c r="A29" s="61" t="s">
        <v>8</v>
      </c>
      <c r="B29" s="61" t="s">
        <v>380</v>
      </c>
      <c r="C29" s="62">
        <v>44801</v>
      </c>
      <c r="D29" s="62">
        <v>44801</v>
      </c>
      <c r="E29" s="63">
        <v>0</v>
      </c>
    </row>
    <row r="30" spans="1:5">
      <c r="A30" s="61" t="s">
        <v>8</v>
      </c>
      <c r="B30" s="61" t="s">
        <v>380</v>
      </c>
      <c r="C30" s="62">
        <v>44802</v>
      </c>
      <c r="D30" s="62">
        <v>44802</v>
      </c>
      <c r="E30" s="63">
        <v>183.25</v>
      </c>
    </row>
    <row r="31" spans="1:5">
      <c r="A31" s="61" t="s">
        <v>8</v>
      </c>
      <c r="B31" s="61" t="s">
        <v>380</v>
      </c>
      <c r="C31" s="62">
        <v>44803</v>
      </c>
      <c r="D31" s="62">
        <v>44803</v>
      </c>
      <c r="E31" s="63">
        <v>20297.73</v>
      </c>
    </row>
    <row r="32" spans="1:5">
      <c r="A32" s="61" t="s">
        <v>106</v>
      </c>
      <c r="B32" s="61" t="s">
        <v>381</v>
      </c>
      <c r="C32" s="62">
        <v>44774</v>
      </c>
      <c r="D32" s="62">
        <v>44774</v>
      </c>
      <c r="E32" s="63">
        <v>0</v>
      </c>
    </row>
    <row r="33" spans="1:5">
      <c r="A33" s="61" t="s">
        <v>106</v>
      </c>
      <c r="B33" s="61" t="s">
        <v>381</v>
      </c>
      <c r="C33" s="62">
        <v>44775</v>
      </c>
      <c r="D33" s="62">
        <v>44775</v>
      </c>
      <c r="E33" s="63">
        <v>0</v>
      </c>
    </row>
    <row r="34" spans="1:5">
      <c r="A34" s="61" t="s">
        <v>106</v>
      </c>
      <c r="B34" s="61" t="s">
        <v>381</v>
      </c>
      <c r="C34" s="62">
        <v>44776</v>
      </c>
      <c r="D34" s="62">
        <v>44776</v>
      </c>
      <c r="E34" s="63">
        <v>0</v>
      </c>
    </row>
    <row r="35" spans="1:5">
      <c r="A35" s="61" t="s">
        <v>106</v>
      </c>
      <c r="B35" s="61" t="s">
        <v>381</v>
      </c>
      <c r="C35" s="62">
        <v>44777</v>
      </c>
      <c r="D35" s="62">
        <v>44777</v>
      </c>
      <c r="E35" s="63">
        <v>0</v>
      </c>
    </row>
    <row r="36" spans="1:5">
      <c r="A36" s="61" t="s">
        <v>106</v>
      </c>
      <c r="B36" s="61" t="s">
        <v>381</v>
      </c>
      <c r="C36" s="62">
        <v>44778</v>
      </c>
      <c r="D36" s="62">
        <v>44778</v>
      </c>
      <c r="E36" s="63">
        <v>0</v>
      </c>
    </row>
    <row r="37" spans="1:5">
      <c r="A37" s="61" t="s">
        <v>106</v>
      </c>
      <c r="B37" s="61" t="s">
        <v>381</v>
      </c>
      <c r="C37" s="62">
        <v>44779</v>
      </c>
      <c r="D37" s="62">
        <v>44779</v>
      </c>
      <c r="E37" s="63">
        <v>0</v>
      </c>
    </row>
    <row r="38" spans="1:5">
      <c r="A38" s="61" t="s">
        <v>106</v>
      </c>
      <c r="B38" s="61" t="s">
        <v>381</v>
      </c>
      <c r="C38" s="62">
        <v>44780</v>
      </c>
      <c r="D38" s="62">
        <v>44780</v>
      </c>
      <c r="E38" s="63">
        <v>0</v>
      </c>
    </row>
    <row r="39" spans="1:5">
      <c r="A39" s="61" t="s">
        <v>106</v>
      </c>
      <c r="B39" s="61" t="s">
        <v>381</v>
      </c>
      <c r="C39" s="62">
        <v>44781</v>
      </c>
      <c r="D39" s="62">
        <v>44781</v>
      </c>
      <c r="E39" s="63">
        <v>0</v>
      </c>
    </row>
    <row r="40" spans="1:5">
      <c r="A40" s="61" t="s">
        <v>106</v>
      </c>
      <c r="B40" s="61" t="s">
        <v>381</v>
      </c>
      <c r="C40" s="62">
        <v>44782</v>
      </c>
      <c r="D40" s="62">
        <v>44782</v>
      </c>
      <c r="E40" s="63">
        <v>0</v>
      </c>
    </row>
    <row r="41" spans="1:5">
      <c r="A41" s="61" t="s">
        <v>106</v>
      </c>
      <c r="B41" s="61" t="s">
        <v>381</v>
      </c>
      <c r="C41" s="62">
        <v>44783</v>
      </c>
      <c r="D41" s="62">
        <v>44783</v>
      </c>
      <c r="E41" s="63">
        <v>218.92</v>
      </c>
    </row>
    <row r="42" spans="1:5">
      <c r="A42" s="61" t="s">
        <v>106</v>
      </c>
      <c r="B42" s="61" t="s">
        <v>381</v>
      </c>
      <c r="C42" s="62">
        <v>44784</v>
      </c>
      <c r="D42" s="62">
        <v>44784</v>
      </c>
      <c r="E42" s="63">
        <v>0</v>
      </c>
    </row>
    <row r="43" spans="1:5">
      <c r="A43" s="61" t="s">
        <v>106</v>
      </c>
      <c r="B43" s="61" t="s">
        <v>381</v>
      </c>
      <c r="C43" s="62">
        <v>44785</v>
      </c>
      <c r="D43" s="62">
        <v>44785</v>
      </c>
      <c r="E43" s="63">
        <v>0</v>
      </c>
    </row>
    <row r="44" spans="1:5">
      <c r="A44" s="61" t="s">
        <v>106</v>
      </c>
      <c r="B44" s="61" t="s">
        <v>381</v>
      </c>
      <c r="C44" s="62">
        <v>44786</v>
      </c>
      <c r="D44" s="62">
        <v>44786</v>
      </c>
      <c r="E44" s="63">
        <v>0</v>
      </c>
    </row>
    <row r="45" spans="1:5">
      <c r="A45" s="61" t="s">
        <v>106</v>
      </c>
      <c r="B45" s="61" t="s">
        <v>381</v>
      </c>
      <c r="C45" s="62">
        <v>44787</v>
      </c>
      <c r="D45" s="62">
        <v>44787</v>
      </c>
      <c r="E45" s="63">
        <v>0</v>
      </c>
    </row>
    <row r="46" spans="1:5">
      <c r="A46" s="61" t="s">
        <v>106</v>
      </c>
      <c r="B46" s="61" t="s">
        <v>381</v>
      </c>
      <c r="C46" s="62">
        <v>44788</v>
      </c>
      <c r="D46" s="62">
        <v>44788</v>
      </c>
      <c r="E46" s="63">
        <v>0</v>
      </c>
    </row>
    <row r="47" spans="1:5">
      <c r="A47" s="61" t="s">
        <v>106</v>
      </c>
      <c r="B47" s="61" t="s">
        <v>381</v>
      </c>
      <c r="C47" s="62">
        <v>44789</v>
      </c>
      <c r="D47" s="62">
        <v>44789</v>
      </c>
      <c r="E47" s="63">
        <v>0</v>
      </c>
    </row>
    <row r="48" spans="1:5">
      <c r="A48" s="61" t="s">
        <v>106</v>
      </c>
      <c r="B48" s="61" t="s">
        <v>381</v>
      </c>
      <c r="C48" s="62">
        <v>44790</v>
      </c>
      <c r="D48" s="62">
        <v>44790</v>
      </c>
      <c r="E48" s="63">
        <v>0</v>
      </c>
    </row>
    <row r="49" spans="1:5">
      <c r="A49" s="61" t="s">
        <v>106</v>
      </c>
      <c r="B49" s="61" t="s">
        <v>381</v>
      </c>
      <c r="C49" s="62">
        <v>44791</v>
      </c>
      <c r="D49" s="62">
        <v>44791</v>
      </c>
      <c r="E49" s="63">
        <v>0</v>
      </c>
    </row>
    <row r="50" spans="1:5">
      <c r="A50" s="61" t="s">
        <v>106</v>
      </c>
      <c r="B50" s="61" t="s">
        <v>381</v>
      </c>
      <c r="C50" s="62">
        <v>44792</v>
      </c>
      <c r="D50" s="62">
        <v>44792</v>
      </c>
      <c r="E50" s="63">
        <v>0</v>
      </c>
    </row>
    <row r="51" spans="1:5">
      <c r="A51" s="61" t="s">
        <v>106</v>
      </c>
      <c r="B51" s="61" t="s">
        <v>381</v>
      </c>
      <c r="C51" s="62">
        <v>44793</v>
      </c>
      <c r="D51" s="62">
        <v>44793</v>
      </c>
      <c r="E51" s="63">
        <v>0</v>
      </c>
    </row>
    <row r="52" spans="1:5">
      <c r="A52" s="61" t="s">
        <v>106</v>
      </c>
      <c r="B52" s="61" t="s">
        <v>381</v>
      </c>
      <c r="C52" s="62">
        <v>44794</v>
      </c>
      <c r="D52" s="62">
        <v>44794</v>
      </c>
      <c r="E52" s="63">
        <v>0</v>
      </c>
    </row>
    <row r="53" spans="1:5">
      <c r="A53" s="61" t="s">
        <v>106</v>
      </c>
      <c r="B53" s="61" t="s">
        <v>381</v>
      </c>
      <c r="C53" s="62">
        <v>44795</v>
      </c>
      <c r="D53" s="62">
        <v>44795</v>
      </c>
      <c r="E53" s="63">
        <v>0</v>
      </c>
    </row>
    <row r="54" spans="1:5">
      <c r="A54" s="61" t="s">
        <v>106</v>
      </c>
      <c r="B54" s="61" t="s">
        <v>381</v>
      </c>
      <c r="C54" s="62">
        <v>44796</v>
      </c>
      <c r="D54" s="62">
        <v>44796</v>
      </c>
      <c r="E54" s="63">
        <v>0</v>
      </c>
    </row>
    <row r="55" spans="1:5">
      <c r="A55" s="61" t="s">
        <v>106</v>
      </c>
      <c r="B55" s="61" t="s">
        <v>381</v>
      </c>
      <c r="C55" s="62">
        <v>44797</v>
      </c>
      <c r="D55" s="62">
        <v>44797</v>
      </c>
      <c r="E55" s="63">
        <v>0</v>
      </c>
    </row>
    <row r="56" spans="1:5">
      <c r="A56" s="61" t="s">
        <v>106</v>
      </c>
      <c r="B56" s="61" t="s">
        <v>381</v>
      </c>
      <c r="C56" s="62">
        <v>44798</v>
      </c>
      <c r="D56" s="62">
        <v>44798</v>
      </c>
      <c r="E56" s="63">
        <v>0</v>
      </c>
    </row>
    <row r="57" spans="1:5">
      <c r="A57" s="61" t="s">
        <v>106</v>
      </c>
      <c r="B57" s="61" t="s">
        <v>381</v>
      </c>
      <c r="C57" s="62">
        <v>44799</v>
      </c>
      <c r="D57" s="62">
        <v>44799</v>
      </c>
      <c r="E57" s="63">
        <v>110607.21</v>
      </c>
    </row>
    <row r="58" spans="1:5">
      <c r="A58" s="61" t="s">
        <v>106</v>
      </c>
      <c r="B58" s="61" t="s">
        <v>381</v>
      </c>
      <c r="C58" s="62">
        <v>44800</v>
      </c>
      <c r="D58" s="62">
        <v>44800</v>
      </c>
      <c r="E58" s="63">
        <v>0</v>
      </c>
    </row>
    <row r="59" spans="1:5">
      <c r="A59" s="61" t="s">
        <v>106</v>
      </c>
      <c r="B59" s="61" t="s">
        <v>381</v>
      </c>
      <c r="C59" s="62">
        <v>44801</v>
      </c>
      <c r="D59" s="62">
        <v>44801</v>
      </c>
      <c r="E59" s="63">
        <v>0</v>
      </c>
    </row>
    <row r="60" spans="1:5">
      <c r="A60" s="61" t="s">
        <v>106</v>
      </c>
      <c r="B60" s="61" t="s">
        <v>381</v>
      </c>
      <c r="C60" s="62">
        <v>44802</v>
      </c>
      <c r="D60" s="62">
        <v>44802</v>
      </c>
      <c r="E60" s="63">
        <v>0</v>
      </c>
    </row>
    <row r="61" spans="1:5">
      <c r="A61" s="61" t="s">
        <v>106</v>
      </c>
      <c r="B61" s="61" t="s">
        <v>381</v>
      </c>
      <c r="C61" s="62">
        <v>44803</v>
      </c>
      <c r="D61" s="62">
        <v>44803</v>
      </c>
      <c r="E61" s="63">
        <v>5849.24</v>
      </c>
    </row>
    <row r="62" spans="1:5">
      <c r="A62" s="61" t="s">
        <v>107</v>
      </c>
      <c r="B62" s="61" t="s">
        <v>382</v>
      </c>
      <c r="C62" s="62">
        <v>44774</v>
      </c>
      <c r="D62" s="62">
        <v>44774</v>
      </c>
      <c r="E62" s="63">
        <v>0</v>
      </c>
    </row>
    <row r="63" spans="1:5">
      <c r="A63" s="61" t="s">
        <v>107</v>
      </c>
      <c r="B63" s="61" t="s">
        <v>382</v>
      </c>
      <c r="C63" s="62">
        <v>44775</v>
      </c>
      <c r="D63" s="62">
        <v>44775</v>
      </c>
      <c r="E63" s="63">
        <v>0</v>
      </c>
    </row>
    <row r="64" spans="1:5">
      <c r="A64" s="61" t="s">
        <v>107</v>
      </c>
      <c r="B64" s="61" t="s">
        <v>382</v>
      </c>
      <c r="C64" s="62">
        <v>44776</v>
      </c>
      <c r="D64" s="62">
        <v>44776</v>
      </c>
      <c r="E64" s="63">
        <v>0</v>
      </c>
    </row>
    <row r="65" spans="1:5">
      <c r="A65" s="61" t="s">
        <v>107</v>
      </c>
      <c r="B65" s="61" t="s">
        <v>382</v>
      </c>
      <c r="C65" s="62">
        <v>44777</v>
      </c>
      <c r="D65" s="62">
        <v>44777</v>
      </c>
      <c r="E65" s="63">
        <v>0</v>
      </c>
    </row>
    <row r="66" spans="1:5">
      <c r="A66" s="61" t="s">
        <v>107</v>
      </c>
      <c r="B66" s="61" t="s">
        <v>382</v>
      </c>
      <c r="C66" s="62">
        <v>44778</v>
      </c>
      <c r="D66" s="62">
        <v>44778</v>
      </c>
      <c r="E66" s="63">
        <v>0</v>
      </c>
    </row>
    <row r="67" spans="1:5">
      <c r="A67" s="61" t="s">
        <v>107</v>
      </c>
      <c r="B67" s="61" t="s">
        <v>382</v>
      </c>
      <c r="C67" s="62">
        <v>44779</v>
      </c>
      <c r="D67" s="62">
        <v>44779</v>
      </c>
      <c r="E67" s="63">
        <v>0</v>
      </c>
    </row>
    <row r="68" spans="1:5">
      <c r="A68" s="61" t="s">
        <v>107</v>
      </c>
      <c r="B68" s="61" t="s">
        <v>382</v>
      </c>
      <c r="C68" s="62">
        <v>44780</v>
      </c>
      <c r="D68" s="62">
        <v>44780</v>
      </c>
      <c r="E68" s="63">
        <v>0</v>
      </c>
    </row>
    <row r="69" spans="1:5">
      <c r="A69" s="61" t="s">
        <v>107</v>
      </c>
      <c r="B69" s="61" t="s">
        <v>382</v>
      </c>
      <c r="C69" s="62">
        <v>44781</v>
      </c>
      <c r="D69" s="62">
        <v>44781</v>
      </c>
      <c r="E69" s="63">
        <v>0</v>
      </c>
    </row>
    <row r="70" spans="1:5">
      <c r="A70" s="61" t="s">
        <v>107</v>
      </c>
      <c r="B70" s="61" t="s">
        <v>382</v>
      </c>
      <c r="C70" s="62">
        <v>44782</v>
      </c>
      <c r="D70" s="62">
        <v>44782</v>
      </c>
      <c r="E70" s="63">
        <v>0</v>
      </c>
    </row>
    <row r="71" spans="1:5">
      <c r="A71" s="61" t="s">
        <v>107</v>
      </c>
      <c r="B71" s="61" t="s">
        <v>382</v>
      </c>
      <c r="C71" s="62">
        <v>44783</v>
      </c>
      <c r="D71" s="62">
        <v>44783</v>
      </c>
      <c r="E71" s="63">
        <v>0</v>
      </c>
    </row>
    <row r="72" spans="1:5">
      <c r="A72" s="61" t="s">
        <v>107</v>
      </c>
      <c r="B72" s="61" t="s">
        <v>382</v>
      </c>
      <c r="C72" s="62">
        <v>44784</v>
      </c>
      <c r="D72" s="62">
        <v>44784</v>
      </c>
      <c r="E72" s="63">
        <v>0</v>
      </c>
    </row>
    <row r="73" spans="1:5">
      <c r="A73" s="61" t="s">
        <v>107</v>
      </c>
      <c r="B73" s="61" t="s">
        <v>382</v>
      </c>
      <c r="C73" s="62">
        <v>44785</v>
      </c>
      <c r="D73" s="62">
        <v>44785</v>
      </c>
      <c r="E73" s="63">
        <v>0</v>
      </c>
    </row>
    <row r="74" spans="1:5">
      <c r="A74" s="61" t="s">
        <v>107</v>
      </c>
      <c r="B74" s="61" t="s">
        <v>382</v>
      </c>
      <c r="C74" s="62">
        <v>44786</v>
      </c>
      <c r="D74" s="62">
        <v>44786</v>
      </c>
      <c r="E74" s="63">
        <v>0</v>
      </c>
    </row>
    <row r="75" spans="1:5">
      <c r="A75" s="61" t="s">
        <v>107</v>
      </c>
      <c r="B75" s="61" t="s">
        <v>382</v>
      </c>
      <c r="C75" s="62">
        <v>44787</v>
      </c>
      <c r="D75" s="62">
        <v>44787</v>
      </c>
      <c r="E75" s="63">
        <v>0</v>
      </c>
    </row>
    <row r="76" spans="1:5">
      <c r="A76" s="61" t="s">
        <v>107</v>
      </c>
      <c r="B76" s="61" t="s">
        <v>382</v>
      </c>
      <c r="C76" s="62">
        <v>44788</v>
      </c>
      <c r="D76" s="62">
        <v>44788</v>
      </c>
      <c r="E76" s="63">
        <v>0</v>
      </c>
    </row>
    <row r="77" spans="1:5">
      <c r="A77" s="61" t="s">
        <v>107</v>
      </c>
      <c r="B77" s="61" t="s">
        <v>382</v>
      </c>
      <c r="C77" s="62">
        <v>44789</v>
      </c>
      <c r="D77" s="62">
        <v>44789</v>
      </c>
      <c r="E77" s="63">
        <v>0</v>
      </c>
    </row>
    <row r="78" spans="1:5">
      <c r="A78" s="61" t="s">
        <v>107</v>
      </c>
      <c r="B78" s="61" t="s">
        <v>382</v>
      </c>
      <c r="C78" s="62">
        <v>44790</v>
      </c>
      <c r="D78" s="62">
        <v>44790</v>
      </c>
      <c r="E78" s="63">
        <v>0</v>
      </c>
    </row>
    <row r="79" spans="1:5">
      <c r="A79" s="61" t="s">
        <v>107</v>
      </c>
      <c r="B79" s="61" t="s">
        <v>382</v>
      </c>
      <c r="C79" s="62">
        <v>44791</v>
      </c>
      <c r="D79" s="62">
        <v>44791</v>
      </c>
      <c r="E79" s="63">
        <v>0</v>
      </c>
    </row>
    <row r="80" spans="1:5">
      <c r="A80" s="61" t="s">
        <v>107</v>
      </c>
      <c r="B80" s="61" t="s">
        <v>382</v>
      </c>
      <c r="C80" s="62">
        <v>44792</v>
      </c>
      <c r="D80" s="62">
        <v>44792</v>
      </c>
      <c r="E80" s="63">
        <v>0</v>
      </c>
    </row>
    <row r="81" spans="1:5">
      <c r="A81" s="61" t="s">
        <v>107</v>
      </c>
      <c r="B81" s="61" t="s">
        <v>382</v>
      </c>
      <c r="C81" s="62">
        <v>44793</v>
      </c>
      <c r="D81" s="62">
        <v>44793</v>
      </c>
      <c r="E81" s="63">
        <v>0</v>
      </c>
    </row>
    <row r="82" spans="1:5">
      <c r="A82" s="61" t="s">
        <v>107</v>
      </c>
      <c r="B82" s="61" t="s">
        <v>382</v>
      </c>
      <c r="C82" s="62">
        <v>44794</v>
      </c>
      <c r="D82" s="62">
        <v>44794</v>
      </c>
      <c r="E82" s="63">
        <v>0</v>
      </c>
    </row>
    <row r="83" spans="1:5">
      <c r="A83" s="61" t="s">
        <v>107</v>
      </c>
      <c r="B83" s="61" t="s">
        <v>382</v>
      </c>
      <c r="C83" s="62">
        <v>44795</v>
      </c>
      <c r="D83" s="62">
        <v>44795</v>
      </c>
      <c r="E83" s="63">
        <v>0</v>
      </c>
    </row>
    <row r="84" spans="1:5">
      <c r="A84" s="61" t="s">
        <v>107</v>
      </c>
      <c r="B84" s="61" t="s">
        <v>382</v>
      </c>
      <c r="C84" s="62">
        <v>44796</v>
      </c>
      <c r="D84" s="62">
        <v>44796</v>
      </c>
      <c r="E84" s="63">
        <v>0</v>
      </c>
    </row>
    <row r="85" spans="1:5">
      <c r="A85" s="61" t="s">
        <v>107</v>
      </c>
      <c r="B85" s="61" t="s">
        <v>382</v>
      </c>
      <c r="C85" s="62">
        <v>44797</v>
      </c>
      <c r="D85" s="62">
        <v>44797</v>
      </c>
      <c r="E85" s="63">
        <v>0</v>
      </c>
    </row>
    <row r="86" spans="1:5">
      <c r="A86" s="61" t="s">
        <v>107</v>
      </c>
      <c r="B86" s="61" t="s">
        <v>382</v>
      </c>
      <c r="C86" s="62">
        <v>44798</v>
      </c>
      <c r="D86" s="62">
        <v>44798</v>
      </c>
      <c r="E86" s="63">
        <v>0</v>
      </c>
    </row>
    <row r="87" spans="1:5">
      <c r="A87" s="61" t="s">
        <v>107</v>
      </c>
      <c r="B87" s="61" t="s">
        <v>382</v>
      </c>
      <c r="C87" s="62">
        <v>44799</v>
      </c>
      <c r="D87" s="62">
        <v>44799</v>
      </c>
      <c r="E87" s="63">
        <v>136754.91</v>
      </c>
    </row>
    <row r="88" spans="1:5">
      <c r="A88" s="61" t="s">
        <v>107</v>
      </c>
      <c r="B88" s="61" t="s">
        <v>382</v>
      </c>
      <c r="C88" s="62">
        <v>44800</v>
      </c>
      <c r="D88" s="62">
        <v>44800</v>
      </c>
      <c r="E88" s="63">
        <v>0</v>
      </c>
    </row>
    <row r="89" spans="1:5">
      <c r="A89" s="61" t="s">
        <v>107</v>
      </c>
      <c r="B89" s="61" t="s">
        <v>382</v>
      </c>
      <c r="C89" s="62">
        <v>44801</v>
      </c>
      <c r="D89" s="62">
        <v>44801</v>
      </c>
      <c r="E89" s="63">
        <v>0</v>
      </c>
    </row>
    <row r="90" spans="1:5">
      <c r="A90" s="61" t="s">
        <v>107</v>
      </c>
      <c r="B90" s="61" t="s">
        <v>382</v>
      </c>
      <c r="C90" s="62">
        <v>44802</v>
      </c>
      <c r="D90" s="62">
        <v>44802</v>
      </c>
      <c r="E90" s="63">
        <v>0</v>
      </c>
    </row>
    <row r="91" spans="1:5">
      <c r="A91" s="61" t="s">
        <v>107</v>
      </c>
      <c r="B91" s="61" t="s">
        <v>382</v>
      </c>
      <c r="C91" s="62">
        <v>44803</v>
      </c>
      <c r="D91" s="62">
        <v>44803</v>
      </c>
      <c r="E91" s="63">
        <v>9397.6200000000008</v>
      </c>
    </row>
    <row r="92" spans="1:5">
      <c r="A92" s="61" t="s">
        <v>108</v>
      </c>
      <c r="B92" s="61" t="s">
        <v>383</v>
      </c>
      <c r="C92" s="62">
        <v>44774</v>
      </c>
      <c r="D92" s="62">
        <v>44774</v>
      </c>
      <c r="E92" s="63">
        <v>0</v>
      </c>
    </row>
    <row r="93" spans="1:5">
      <c r="A93" s="61" t="s">
        <v>108</v>
      </c>
      <c r="B93" s="61" t="s">
        <v>383</v>
      </c>
      <c r="C93" s="62">
        <v>44775</v>
      </c>
      <c r="D93" s="62">
        <v>44775</v>
      </c>
      <c r="E93" s="63">
        <v>0</v>
      </c>
    </row>
    <row r="94" spans="1:5">
      <c r="A94" s="61" t="s">
        <v>108</v>
      </c>
      <c r="B94" s="61" t="s">
        <v>383</v>
      </c>
      <c r="C94" s="62">
        <v>44776</v>
      </c>
      <c r="D94" s="62">
        <v>44776</v>
      </c>
      <c r="E94" s="63">
        <v>0</v>
      </c>
    </row>
    <row r="95" spans="1:5">
      <c r="A95" s="61" t="s">
        <v>108</v>
      </c>
      <c r="B95" s="61" t="s">
        <v>383</v>
      </c>
      <c r="C95" s="62">
        <v>44777</v>
      </c>
      <c r="D95" s="62">
        <v>44777</v>
      </c>
      <c r="E95" s="63">
        <v>0</v>
      </c>
    </row>
    <row r="96" spans="1:5">
      <c r="A96" s="61" t="s">
        <v>108</v>
      </c>
      <c r="B96" s="61" t="s">
        <v>383</v>
      </c>
      <c r="C96" s="62">
        <v>44778</v>
      </c>
      <c r="D96" s="62">
        <v>44778</v>
      </c>
      <c r="E96" s="63">
        <v>0</v>
      </c>
    </row>
    <row r="97" spans="1:5">
      <c r="A97" s="61" t="s">
        <v>108</v>
      </c>
      <c r="B97" s="61" t="s">
        <v>383</v>
      </c>
      <c r="C97" s="62">
        <v>44779</v>
      </c>
      <c r="D97" s="62">
        <v>44779</v>
      </c>
      <c r="E97" s="63">
        <v>0</v>
      </c>
    </row>
    <row r="98" spans="1:5">
      <c r="A98" s="61" t="s">
        <v>108</v>
      </c>
      <c r="B98" s="61" t="s">
        <v>383</v>
      </c>
      <c r="C98" s="62">
        <v>44780</v>
      </c>
      <c r="D98" s="62">
        <v>44780</v>
      </c>
      <c r="E98" s="63">
        <v>0</v>
      </c>
    </row>
    <row r="99" spans="1:5">
      <c r="A99" s="61" t="s">
        <v>108</v>
      </c>
      <c r="B99" s="61" t="s">
        <v>383</v>
      </c>
      <c r="C99" s="62">
        <v>44781</v>
      </c>
      <c r="D99" s="62">
        <v>44781</v>
      </c>
      <c r="E99" s="63">
        <v>0</v>
      </c>
    </row>
    <row r="100" spans="1:5">
      <c r="A100" s="61" t="s">
        <v>108</v>
      </c>
      <c r="B100" s="61" t="s">
        <v>383</v>
      </c>
      <c r="C100" s="62">
        <v>44782</v>
      </c>
      <c r="D100" s="62">
        <v>44782</v>
      </c>
      <c r="E100" s="63">
        <v>0</v>
      </c>
    </row>
    <row r="101" spans="1:5">
      <c r="A101" s="61" t="s">
        <v>108</v>
      </c>
      <c r="B101" s="61" t="s">
        <v>383</v>
      </c>
      <c r="C101" s="62">
        <v>44783</v>
      </c>
      <c r="D101" s="62">
        <v>44783</v>
      </c>
      <c r="E101" s="63">
        <v>35.71</v>
      </c>
    </row>
    <row r="102" spans="1:5">
      <c r="A102" s="61" t="s">
        <v>108</v>
      </c>
      <c r="B102" s="61" t="s">
        <v>383</v>
      </c>
      <c r="C102" s="62">
        <v>44784</v>
      </c>
      <c r="D102" s="62">
        <v>44784</v>
      </c>
      <c r="E102" s="63">
        <v>0</v>
      </c>
    </row>
    <row r="103" spans="1:5">
      <c r="A103" s="61" t="s">
        <v>108</v>
      </c>
      <c r="B103" s="61" t="s">
        <v>383</v>
      </c>
      <c r="C103" s="62">
        <v>44785</v>
      </c>
      <c r="D103" s="62">
        <v>44785</v>
      </c>
      <c r="E103" s="63">
        <v>0</v>
      </c>
    </row>
    <row r="104" spans="1:5">
      <c r="A104" s="61" t="s">
        <v>108</v>
      </c>
      <c r="B104" s="61" t="s">
        <v>383</v>
      </c>
      <c r="C104" s="62">
        <v>44786</v>
      </c>
      <c r="D104" s="62">
        <v>44786</v>
      </c>
      <c r="E104" s="63">
        <v>0</v>
      </c>
    </row>
    <row r="105" spans="1:5">
      <c r="A105" s="61" t="s">
        <v>108</v>
      </c>
      <c r="B105" s="61" t="s">
        <v>383</v>
      </c>
      <c r="C105" s="62">
        <v>44787</v>
      </c>
      <c r="D105" s="62">
        <v>44787</v>
      </c>
      <c r="E105" s="63">
        <v>0</v>
      </c>
    </row>
    <row r="106" spans="1:5">
      <c r="A106" s="61" t="s">
        <v>108</v>
      </c>
      <c r="B106" s="61" t="s">
        <v>383</v>
      </c>
      <c r="C106" s="62">
        <v>44788</v>
      </c>
      <c r="D106" s="62">
        <v>44788</v>
      </c>
      <c r="E106" s="63">
        <v>0</v>
      </c>
    </row>
    <row r="107" spans="1:5">
      <c r="A107" s="61" t="s">
        <v>108</v>
      </c>
      <c r="B107" s="61" t="s">
        <v>383</v>
      </c>
      <c r="C107" s="62">
        <v>44789</v>
      </c>
      <c r="D107" s="62">
        <v>44789</v>
      </c>
      <c r="E107" s="63">
        <v>0</v>
      </c>
    </row>
    <row r="108" spans="1:5">
      <c r="A108" s="61" t="s">
        <v>108</v>
      </c>
      <c r="B108" s="61" t="s">
        <v>383</v>
      </c>
      <c r="C108" s="62">
        <v>44790</v>
      </c>
      <c r="D108" s="62">
        <v>44790</v>
      </c>
      <c r="E108" s="63">
        <v>0</v>
      </c>
    </row>
    <row r="109" spans="1:5">
      <c r="A109" s="61" t="s">
        <v>108</v>
      </c>
      <c r="B109" s="61" t="s">
        <v>383</v>
      </c>
      <c r="C109" s="62">
        <v>44791</v>
      </c>
      <c r="D109" s="62">
        <v>44791</v>
      </c>
      <c r="E109" s="63">
        <v>0</v>
      </c>
    </row>
    <row r="110" spans="1:5">
      <c r="A110" s="61" t="s">
        <v>108</v>
      </c>
      <c r="B110" s="61" t="s">
        <v>383</v>
      </c>
      <c r="C110" s="62">
        <v>44792</v>
      </c>
      <c r="D110" s="62">
        <v>44792</v>
      </c>
      <c r="E110" s="63">
        <v>0</v>
      </c>
    </row>
    <row r="111" spans="1:5">
      <c r="A111" s="61" t="s">
        <v>108</v>
      </c>
      <c r="B111" s="61" t="s">
        <v>383</v>
      </c>
      <c r="C111" s="62">
        <v>44793</v>
      </c>
      <c r="D111" s="62">
        <v>44793</v>
      </c>
      <c r="E111" s="63">
        <v>0</v>
      </c>
    </row>
    <row r="112" spans="1:5">
      <c r="A112" s="61" t="s">
        <v>108</v>
      </c>
      <c r="B112" s="61" t="s">
        <v>383</v>
      </c>
      <c r="C112" s="62">
        <v>44794</v>
      </c>
      <c r="D112" s="62">
        <v>44794</v>
      </c>
      <c r="E112" s="63">
        <v>0</v>
      </c>
    </row>
    <row r="113" spans="1:5">
      <c r="A113" s="61" t="s">
        <v>108</v>
      </c>
      <c r="B113" s="61" t="s">
        <v>383</v>
      </c>
      <c r="C113" s="62">
        <v>44795</v>
      </c>
      <c r="D113" s="62">
        <v>44795</v>
      </c>
      <c r="E113" s="63">
        <v>0</v>
      </c>
    </row>
    <row r="114" spans="1:5">
      <c r="A114" s="61" t="s">
        <v>108</v>
      </c>
      <c r="B114" s="61" t="s">
        <v>383</v>
      </c>
      <c r="C114" s="62">
        <v>44796</v>
      </c>
      <c r="D114" s="62">
        <v>44796</v>
      </c>
      <c r="E114" s="63">
        <v>0</v>
      </c>
    </row>
    <row r="115" spans="1:5">
      <c r="A115" s="61" t="s">
        <v>108</v>
      </c>
      <c r="B115" s="61" t="s">
        <v>383</v>
      </c>
      <c r="C115" s="62">
        <v>44797</v>
      </c>
      <c r="D115" s="62">
        <v>44797</v>
      </c>
      <c r="E115" s="63">
        <v>0</v>
      </c>
    </row>
    <row r="116" spans="1:5">
      <c r="A116" s="61" t="s">
        <v>108</v>
      </c>
      <c r="B116" s="61" t="s">
        <v>383</v>
      </c>
      <c r="C116" s="62">
        <v>44798</v>
      </c>
      <c r="D116" s="62">
        <v>44798</v>
      </c>
      <c r="E116" s="63">
        <v>0</v>
      </c>
    </row>
    <row r="117" spans="1:5">
      <c r="A117" s="61" t="s">
        <v>108</v>
      </c>
      <c r="B117" s="61" t="s">
        <v>383</v>
      </c>
      <c r="C117" s="62">
        <v>44799</v>
      </c>
      <c r="D117" s="62">
        <v>44799</v>
      </c>
      <c r="E117" s="63">
        <v>49009.34</v>
      </c>
    </row>
    <row r="118" spans="1:5">
      <c r="A118" s="61" t="s">
        <v>108</v>
      </c>
      <c r="B118" s="61" t="s">
        <v>383</v>
      </c>
      <c r="C118" s="62">
        <v>44800</v>
      </c>
      <c r="D118" s="62">
        <v>44800</v>
      </c>
      <c r="E118" s="63">
        <v>0</v>
      </c>
    </row>
    <row r="119" spans="1:5">
      <c r="A119" s="61" t="s">
        <v>108</v>
      </c>
      <c r="B119" s="61" t="s">
        <v>383</v>
      </c>
      <c r="C119" s="62">
        <v>44801</v>
      </c>
      <c r="D119" s="62">
        <v>44801</v>
      </c>
      <c r="E119" s="63">
        <v>0</v>
      </c>
    </row>
    <row r="120" spans="1:5">
      <c r="A120" s="61" t="s">
        <v>108</v>
      </c>
      <c r="B120" s="61" t="s">
        <v>383</v>
      </c>
      <c r="C120" s="62">
        <v>44802</v>
      </c>
      <c r="D120" s="62">
        <v>44802</v>
      </c>
      <c r="E120" s="63">
        <v>0</v>
      </c>
    </row>
    <row r="121" spans="1:5">
      <c r="A121" s="61" t="s">
        <v>108</v>
      </c>
      <c r="B121" s="61" t="s">
        <v>383</v>
      </c>
      <c r="C121" s="62">
        <v>44803</v>
      </c>
      <c r="D121" s="62">
        <v>44803</v>
      </c>
      <c r="E121" s="63">
        <v>3998.41</v>
      </c>
    </row>
    <row r="122" spans="1:5">
      <c r="A122" s="61" t="s">
        <v>10</v>
      </c>
      <c r="B122" s="61" t="s">
        <v>380</v>
      </c>
      <c r="C122" s="62">
        <v>44774</v>
      </c>
      <c r="D122" s="62">
        <v>44774</v>
      </c>
      <c r="E122" s="63">
        <v>482.13</v>
      </c>
    </row>
    <row r="123" spans="1:5">
      <c r="A123" s="61" t="s">
        <v>10</v>
      </c>
      <c r="B123" s="61" t="s">
        <v>380</v>
      </c>
      <c r="C123" s="62">
        <v>44775</v>
      </c>
      <c r="D123" s="62">
        <v>44775</v>
      </c>
      <c r="E123" s="63">
        <v>0</v>
      </c>
    </row>
    <row r="124" spans="1:5">
      <c r="A124" s="61" t="s">
        <v>10</v>
      </c>
      <c r="B124" s="61" t="s">
        <v>380</v>
      </c>
      <c r="C124" s="62">
        <v>44776</v>
      </c>
      <c r="D124" s="62">
        <v>44776</v>
      </c>
      <c r="E124" s="63">
        <v>0</v>
      </c>
    </row>
    <row r="125" spans="1:5">
      <c r="A125" s="61" t="s">
        <v>10</v>
      </c>
      <c r="B125" s="61" t="s">
        <v>380</v>
      </c>
      <c r="C125" s="62">
        <v>44777</v>
      </c>
      <c r="D125" s="62">
        <v>44777</v>
      </c>
      <c r="E125" s="63">
        <v>0</v>
      </c>
    </row>
    <row r="126" spans="1:5">
      <c r="A126" s="61" t="s">
        <v>10</v>
      </c>
      <c r="B126" s="61" t="s">
        <v>380</v>
      </c>
      <c r="C126" s="62">
        <v>44778</v>
      </c>
      <c r="D126" s="62">
        <v>44778</v>
      </c>
      <c r="E126" s="63">
        <v>7458.14</v>
      </c>
    </row>
    <row r="127" spans="1:5">
      <c r="A127" s="61" t="s">
        <v>10</v>
      </c>
      <c r="B127" s="61" t="s">
        <v>380</v>
      </c>
      <c r="C127" s="62">
        <v>44779</v>
      </c>
      <c r="D127" s="62">
        <v>44779</v>
      </c>
      <c r="E127" s="63">
        <v>0</v>
      </c>
    </row>
    <row r="128" spans="1:5">
      <c r="A128" s="61" t="s">
        <v>10</v>
      </c>
      <c r="B128" s="61" t="s">
        <v>380</v>
      </c>
      <c r="C128" s="62">
        <v>44780</v>
      </c>
      <c r="D128" s="62">
        <v>44780</v>
      </c>
      <c r="E128" s="63">
        <v>0</v>
      </c>
    </row>
    <row r="129" spans="1:5">
      <c r="A129" s="61" t="s">
        <v>10</v>
      </c>
      <c r="B129" s="61" t="s">
        <v>380</v>
      </c>
      <c r="C129" s="62">
        <v>44781</v>
      </c>
      <c r="D129" s="62">
        <v>44781</v>
      </c>
      <c r="E129" s="63">
        <v>0</v>
      </c>
    </row>
    <row r="130" spans="1:5">
      <c r="A130" s="61" t="s">
        <v>10</v>
      </c>
      <c r="B130" s="61" t="s">
        <v>380</v>
      </c>
      <c r="C130" s="62">
        <v>44782</v>
      </c>
      <c r="D130" s="62">
        <v>44782</v>
      </c>
      <c r="E130" s="63">
        <v>0</v>
      </c>
    </row>
    <row r="131" spans="1:5">
      <c r="A131" s="61" t="s">
        <v>10</v>
      </c>
      <c r="B131" s="61" t="s">
        <v>380</v>
      </c>
      <c r="C131" s="62">
        <v>44783</v>
      </c>
      <c r="D131" s="62">
        <v>44783</v>
      </c>
      <c r="E131" s="63">
        <v>0</v>
      </c>
    </row>
    <row r="132" spans="1:5">
      <c r="A132" s="61" t="s">
        <v>10</v>
      </c>
      <c r="B132" s="61" t="s">
        <v>380</v>
      </c>
      <c r="C132" s="62">
        <v>44784</v>
      </c>
      <c r="D132" s="62">
        <v>44784</v>
      </c>
      <c r="E132" s="63">
        <v>0</v>
      </c>
    </row>
    <row r="133" spans="1:5">
      <c r="A133" s="61" t="s">
        <v>10</v>
      </c>
      <c r="B133" s="61" t="s">
        <v>380</v>
      </c>
      <c r="C133" s="62">
        <v>44785</v>
      </c>
      <c r="D133" s="62">
        <v>44785</v>
      </c>
      <c r="E133" s="63">
        <v>0</v>
      </c>
    </row>
    <row r="134" spans="1:5">
      <c r="A134" s="61" t="s">
        <v>10</v>
      </c>
      <c r="B134" s="61" t="s">
        <v>380</v>
      </c>
      <c r="C134" s="62">
        <v>44786</v>
      </c>
      <c r="D134" s="62">
        <v>44786</v>
      </c>
      <c r="E134" s="63">
        <v>0</v>
      </c>
    </row>
    <row r="135" spans="1:5">
      <c r="A135" s="61" t="s">
        <v>10</v>
      </c>
      <c r="B135" s="61" t="s">
        <v>380</v>
      </c>
      <c r="C135" s="62">
        <v>44787</v>
      </c>
      <c r="D135" s="62">
        <v>44787</v>
      </c>
      <c r="E135" s="63">
        <v>0</v>
      </c>
    </row>
    <row r="136" spans="1:5">
      <c r="A136" s="61" t="s">
        <v>10</v>
      </c>
      <c r="B136" s="61" t="s">
        <v>380</v>
      </c>
      <c r="C136" s="62">
        <v>44788</v>
      </c>
      <c r="D136" s="62">
        <v>44788</v>
      </c>
      <c r="E136" s="63">
        <v>0</v>
      </c>
    </row>
    <row r="137" spans="1:5">
      <c r="A137" s="61" t="s">
        <v>10</v>
      </c>
      <c r="B137" s="61" t="s">
        <v>380</v>
      </c>
      <c r="C137" s="62">
        <v>44789</v>
      </c>
      <c r="D137" s="62">
        <v>44789</v>
      </c>
      <c r="E137" s="63">
        <v>0</v>
      </c>
    </row>
    <row r="138" spans="1:5">
      <c r="A138" s="61" t="s">
        <v>10</v>
      </c>
      <c r="B138" s="61" t="s">
        <v>380</v>
      </c>
      <c r="C138" s="62">
        <v>44790</v>
      </c>
      <c r="D138" s="62">
        <v>44790</v>
      </c>
      <c r="E138" s="63">
        <v>0</v>
      </c>
    </row>
    <row r="139" spans="1:5">
      <c r="A139" s="61" t="s">
        <v>10</v>
      </c>
      <c r="B139" s="61" t="s">
        <v>380</v>
      </c>
      <c r="C139" s="62">
        <v>44791</v>
      </c>
      <c r="D139" s="62">
        <v>44791</v>
      </c>
      <c r="E139" s="63">
        <v>0</v>
      </c>
    </row>
    <row r="140" spans="1:5">
      <c r="A140" s="61" t="s">
        <v>10</v>
      </c>
      <c r="B140" s="61" t="s">
        <v>380</v>
      </c>
      <c r="C140" s="62">
        <v>44792</v>
      </c>
      <c r="D140" s="62">
        <v>44792</v>
      </c>
      <c r="E140" s="63">
        <v>0</v>
      </c>
    </row>
    <row r="141" spans="1:5">
      <c r="A141" s="61" t="s">
        <v>10</v>
      </c>
      <c r="B141" s="61" t="s">
        <v>380</v>
      </c>
      <c r="C141" s="62">
        <v>44793</v>
      </c>
      <c r="D141" s="62">
        <v>44793</v>
      </c>
      <c r="E141" s="63">
        <v>0</v>
      </c>
    </row>
    <row r="142" spans="1:5">
      <c r="A142" s="61" t="s">
        <v>10</v>
      </c>
      <c r="B142" s="61" t="s">
        <v>380</v>
      </c>
      <c r="C142" s="62">
        <v>44794</v>
      </c>
      <c r="D142" s="62">
        <v>44794</v>
      </c>
      <c r="E142" s="63">
        <v>0</v>
      </c>
    </row>
    <row r="143" spans="1:5">
      <c r="A143" s="61" t="s">
        <v>10</v>
      </c>
      <c r="B143" s="61" t="s">
        <v>380</v>
      </c>
      <c r="C143" s="62">
        <v>44795</v>
      </c>
      <c r="D143" s="62">
        <v>44795</v>
      </c>
      <c r="E143" s="63">
        <v>0</v>
      </c>
    </row>
    <row r="144" spans="1:5">
      <c r="A144" s="61" t="s">
        <v>10</v>
      </c>
      <c r="B144" s="61" t="s">
        <v>380</v>
      </c>
      <c r="C144" s="62">
        <v>44796</v>
      </c>
      <c r="D144" s="62">
        <v>44796</v>
      </c>
      <c r="E144" s="63">
        <v>0</v>
      </c>
    </row>
    <row r="145" spans="1:5">
      <c r="A145" s="61" t="s">
        <v>10</v>
      </c>
      <c r="B145" s="61" t="s">
        <v>380</v>
      </c>
      <c r="C145" s="62">
        <v>44797</v>
      </c>
      <c r="D145" s="62">
        <v>44797</v>
      </c>
      <c r="E145" s="63">
        <v>0</v>
      </c>
    </row>
    <row r="146" spans="1:5">
      <c r="A146" s="61" t="s">
        <v>10</v>
      </c>
      <c r="B146" s="61" t="s">
        <v>380</v>
      </c>
      <c r="C146" s="62">
        <v>44798</v>
      </c>
      <c r="D146" s="62">
        <v>44798</v>
      </c>
      <c r="E146" s="63">
        <v>0</v>
      </c>
    </row>
    <row r="147" spans="1:5">
      <c r="A147" s="61" t="s">
        <v>10</v>
      </c>
      <c r="B147" s="61" t="s">
        <v>380</v>
      </c>
      <c r="C147" s="62">
        <v>44799</v>
      </c>
      <c r="D147" s="62">
        <v>44799</v>
      </c>
      <c r="E147" s="63">
        <v>0</v>
      </c>
    </row>
    <row r="148" spans="1:5">
      <c r="A148" s="61" t="s">
        <v>10</v>
      </c>
      <c r="B148" s="61" t="s">
        <v>380</v>
      </c>
      <c r="C148" s="62">
        <v>44800</v>
      </c>
      <c r="D148" s="62">
        <v>44800</v>
      </c>
      <c r="E148" s="63">
        <v>0</v>
      </c>
    </row>
    <row r="149" spans="1:5">
      <c r="A149" s="61" t="s">
        <v>10</v>
      </c>
      <c r="B149" s="61" t="s">
        <v>380</v>
      </c>
      <c r="C149" s="62">
        <v>44801</v>
      </c>
      <c r="D149" s="62">
        <v>44801</v>
      </c>
      <c r="E149" s="63">
        <v>0</v>
      </c>
    </row>
    <row r="150" spans="1:5">
      <c r="A150" s="61" t="s">
        <v>10</v>
      </c>
      <c r="B150" s="61" t="s">
        <v>380</v>
      </c>
      <c r="C150" s="62">
        <v>44802</v>
      </c>
      <c r="D150" s="62">
        <v>44802</v>
      </c>
      <c r="E150" s="63">
        <v>0</v>
      </c>
    </row>
    <row r="151" spans="1:5">
      <c r="A151" s="61" t="s">
        <v>10</v>
      </c>
      <c r="B151" s="61" t="s">
        <v>380</v>
      </c>
      <c r="C151" s="62">
        <v>44803</v>
      </c>
      <c r="D151" s="62">
        <v>44803</v>
      </c>
      <c r="E151" s="63">
        <v>-1215.8800000000001</v>
      </c>
    </row>
    <row r="152" spans="1:5">
      <c r="A152" s="61" t="s">
        <v>109</v>
      </c>
      <c r="B152" s="61" t="s">
        <v>381</v>
      </c>
      <c r="C152" s="62">
        <v>44774</v>
      </c>
      <c r="D152" s="62">
        <v>44774</v>
      </c>
      <c r="E152" s="63">
        <v>0</v>
      </c>
    </row>
    <row r="153" spans="1:5">
      <c r="A153" s="61" t="s">
        <v>109</v>
      </c>
      <c r="B153" s="61" t="s">
        <v>381</v>
      </c>
      <c r="C153" s="62">
        <v>44775</v>
      </c>
      <c r="D153" s="62">
        <v>44775</v>
      </c>
      <c r="E153" s="63">
        <v>0</v>
      </c>
    </row>
    <row r="154" spans="1:5">
      <c r="A154" s="61" t="s">
        <v>109</v>
      </c>
      <c r="B154" s="61" t="s">
        <v>381</v>
      </c>
      <c r="C154" s="62">
        <v>44776</v>
      </c>
      <c r="D154" s="62">
        <v>44776</v>
      </c>
      <c r="E154" s="63">
        <v>0</v>
      </c>
    </row>
    <row r="155" spans="1:5">
      <c r="A155" s="61" t="s">
        <v>109</v>
      </c>
      <c r="B155" s="61" t="s">
        <v>381</v>
      </c>
      <c r="C155" s="62">
        <v>44777</v>
      </c>
      <c r="D155" s="62">
        <v>44777</v>
      </c>
      <c r="E155" s="63">
        <v>0</v>
      </c>
    </row>
    <row r="156" spans="1:5">
      <c r="A156" s="61" t="s">
        <v>109</v>
      </c>
      <c r="B156" s="61" t="s">
        <v>381</v>
      </c>
      <c r="C156" s="62">
        <v>44778</v>
      </c>
      <c r="D156" s="62">
        <v>44778</v>
      </c>
      <c r="E156" s="63">
        <v>6370.78</v>
      </c>
    </row>
    <row r="157" spans="1:5">
      <c r="A157" s="61" t="s">
        <v>109</v>
      </c>
      <c r="B157" s="61" t="s">
        <v>381</v>
      </c>
      <c r="C157" s="62">
        <v>44779</v>
      </c>
      <c r="D157" s="62">
        <v>44779</v>
      </c>
      <c r="E157" s="63">
        <v>0</v>
      </c>
    </row>
    <row r="158" spans="1:5">
      <c r="A158" s="61" t="s">
        <v>109</v>
      </c>
      <c r="B158" s="61" t="s">
        <v>381</v>
      </c>
      <c r="C158" s="62">
        <v>44780</v>
      </c>
      <c r="D158" s="62">
        <v>44780</v>
      </c>
      <c r="E158" s="63">
        <v>0</v>
      </c>
    </row>
    <row r="159" spans="1:5">
      <c r="A159" s="61" t="s">
        <v>109</v>
      </c>
      <c r="B159" s="61" t="s">
        <v>381</v>
      </c>
      <c r="C159" s="62">
        <v>44781</v>
      </c>
      <c r="D159" s="62">
        <v>44781</v>
      </c>
      <c r="E159" s="63">
        <v>0</v>
      </c>
    </row>
    <row r="160" spans="1:5">
      <c r="A160" s="61" t="s">
        <v>109</v>
      </c>
      <c r="B160" s="61" t="s">
        <v>381</v>
      </c>
      <c r="C160" s="62">
        <v>44782</v>
      </c>
      <c r="D160" s="62">
        <v>44782</v>
      </c>
      <c r="E160" s="63">
        <v>0</v>
      </c>
    </row>
    <row r="161" spans="1:5">
      <c r="A161" s="61" t="s">
        <v>109</v>
      </c>
      <c r="B161" s="61" t="s">
        <v>381</v>
      </c>
      <c r="C161" s="62">
        <v>44783</v>
      </c>
      <c r="D161" s="62">
        <v>44783</v>
      </c>
      <c r="E161" s="63">
        <v>0</v>
      </c>
    </row>
    <row r="162" spans="1:5">
      <c r="A162" s="61" t="s">
        <v>109</v>
      </c>
      <c r="B162" s="61" t="s">
        <v>381</v>
      </c>
      <c r="C162" s="62">
        <v>44784</v>
      </c>
      <c r="D162" s="62">
        <v>44784</v>
      </c>
      <c r="E162" s="63">
        <v>0</v>
      </c>
    </row>
    <row r="163" spans="1:5">
      <c r="A163" s="61" t="s">
        <v>109</v>
      </c>
      <c r="B163" s="61" t="s">
        <v>381</v>
      </c>
      <c r="C163" s="62">
        <v>44785</v>
      </c>
      <c r="D163" s="62">
        <v>44785</v>
      </c>
      <c r="E163" s="63">
        <v>0</v>
      </c>
    </row>
    <row r="164" spans="1:5">
      <c r="A164" s="61" t="s">
        <v>109</v>
      </c>
      <c r="B164" s="61" t="s">
        <v>381</v>
      </c>
      <c r="C164" s="62">
        <v>44786</v>
      </c>
      <c r="D164" s="62">
        <v>44786</v>
      </c>
      <c r="E164" s="63">
        <v>0</v>
      </c>
    </row>
    <row r="165" spans="1:5">
      <c r="A165" s="61" t="s">
        <v>109</v>
      </c>
      <c r="B165" s="61" t="s">
        <v>381</v>
      </c>
      <c r="C165" s="62">
        <v>44787</v>
      </c>
      <c r="D165" s="62">
        <v>44787</v>
      </c>
      <c r="E165" s="63">
        <v>0</v>
      </c>
    </row>
    <row r="166" spans="1:5">
      <c r="A166" s="61" t="s">
        <v>109</v>
      </c>
      <c r="B166" s="61" t="s">
        <v>381</v>
      </c>
      <c r="C166" s="62">
        <v>44788</v>
      </c>
      <c r="D166" s="62">
        <v>44788</v>
      </c>
      <c r="E166" s="63">
        <v>0</v>
      </c>
    </row>
    <row r="167" spans="1:5">
      <c r="A167" s="61" t="s">
        <v>109</v>
      </c>
      <c r="B167" s="61" t="s">
        <v>381</v>
      </c>
      <c r="C167" s="62">
        <v>44789</v>
      </c>
      <c r="D167" s="62">
        <v>44789</v>
      </c>
      <c r="E167" s="63">
        <v>0</v>
      </c>
    </row>
    <row r="168" spans="1:5">
      <c r="A168" s="61" t="s">
        <v>109</v>
      </c>
      <c r="B168" s="61" t="s">
        <v>381</v>
      </c>
      <c r="C168" s="62">
        <v>44790</v>
      </c>
      <c r="D168" s="62">
        <v>44790</v>
      </c>
      <c r="E168" s="63">
        <v>0</v>
      </c>
    </row>
    <row r="169" spans="1:5">
      <c r="A169" s="61" t="s">
        <v>109</v>
      </c>
      <c r="B169" s="61" t="s">
        <v>381</v>
      </c>
      <c r="C169" s="62">
        <v>44791</v>
      </c>
      <c r="D169" s="62">
        <v>44791</v>
      </c>
      <c r="E169" s="63">
        <v>0</v>
      </c>
    </row>
    <row r="170" spans="1:5">
      <c r="A170" s="61" t="s">
        <v>109</v>
      </c>
      <c r="B170" s="61" t="s">
        <v>381</v>
      </c>
      <c r="C170" s="62">
        <v>44792</v>
      </c>
      <c r="D170" s="62">
        <v>44792</v>
      </c>
      <c r="E170" s="63">
        <v>0</v>
      </c>
    </row>
    <row r="171" spans="1:5">
      <c r="A171" s="61" t="s">
        <v>109</v>
      </c>
      <c r="B171" s="61" t="s">
        <v>381</v>
      </c>
      <c r="C171" s="62">
        <v>44793</v>
      </c>
      <c r="D171" s="62">
        <v>44793</v>
      </c>
      <c r="E171" s="63">
        <v>0</v>
      </c>
    </row>
    <row r="172" spans="1:5">
      <c r="A172" s="61" t="s">
        <v>109</v>
      </c>
      <c r="B172" s="61" t="s">
        <v>381</v>
      </c>
      <c r="C172" s="62">
        <v>44794</v>
      </c>
      <c r="D172" s="62">
        <v>44794</v>
      </c>
      <c r="E172" s="63">
        <v>0</v>
      </c>
    </row>
    <row r="173" spans="1:5">
      <c r="A173" s="61" t="s">
        <v>109</v>
      </c>
      <c r="B173" s="61" t="s">
        <v>381</v>
      </c>
      <c r="C173" s="62">
        <v>44795</v>
      </c>
      <c r="D173" s="62">
        <v>44795</v>
      </c>
      <c r="E173" s="63">
        <v>0</v>
      </c>
    </row>
    <row r="174" spans="1:5">
      <c r="A174" s="61" t="s">
        <v>109</v>
      </c>
      <c r="B174" s="61" t="s">
        <v>381</v>
      </c>
      <c r="C174" s="62">
        <v>44796</v>
      </c>
      <c r="D174" s="62">
        <v>44796</v>
      </c>
      <c r="E174" s="63">
        <v>0</v>
      </c>
    </row>
    <row r="175" spans="1:5">
      <c r="A175" s="61" t="s">
        <v>109</v>
      </c>
      <c r="B175" s="61" t="s">
        <v>381</v>
      </c>
      <c r="C175" s="62">
        <v>44797</v>
      </c>
      <c r="D175" s="62">
        <v>44797</v>
      </c>
      <c r="E175" s="63">
        <v>0</v>
      </c>
    </row>
    <row r="176" spans="1:5">
      <c r="A176" s="61" t="s">
        <v>109</v>
      </c>
      <c r="B176" s="61" t="s">
        <v>381</v>
      </c>
      <c r="C176" s="62">
        <v>44798</v>
      </c>
      <c r="D176" s="62">
        <v>44798</v>
      </c>
      <c r="E176" s="63">
        <v>0</v>
      </c>
    </row>
    <row r="177" spans="1:5">
      <c r="A177" s="61" t="s">
        <v>109</v>
      </c>
      <c r="B177" s="61" t="s">
        <v>381</v>
      </c>
      <c r="C177" s="62">
        <v>44799</v>
      </c>
      <c r="D177" s="62">
        <v>44799</v>
      </c>
      <c r="E177" s="63">
        <v>0</v>
      </c>
    </row>
    <row r="178" spans="1:5">
      <c r="A178" s="61" t="s">
        <v>109</v>
      </c>
      <c r="B178" s="61" t="s">
        <v>381</v>
      </c>
      <c r="C178" s="62">
        <v>44800</v>
      </c>
      <c r="D178" s="62">
        <v>44800</v>
      </c>
      <c r="E178" s="63">
        <v>0</v>
      </c>
    </row>
    <row r="179" spans="1:5">
      <c r="A179" s="61" t="s">
        <v>109</v>
      </c>
      <c r="B179" s="61" t="s">
        <v>381</v>
      </c>
      <c r="C179" s="62">
        <v>44801</v>
      </c>
      <c r="D179" s="62">
        <v>44801</v>
      </c>
      <c r="E179" s="63">
        <v>0</v>
      </c>
    </row>
    <row r="180" spans="1:5">
      <c r="A180" s="61" t="s">
        <v>109</v>
      </c>
      <c r="B180" s="61" t="s">
        <v>381</v>
      </c>
      <c r="C180" s="62">
        <v>44802</v>
      </c>
      <c r="D180" s="62">
        <v>44802</v>
      </c>
      <c r="E180" s="63">
        <v>0</v>
      </c>
    </row>
    <row r="181" spans="1:5">
      <c r="A181" s="61" t="s">
        <v>109</v>
      </c>
      <c r="B181" s="61" t="s">
        <v>381</v>
      </c>
      <c r="C181" s="62">
        <v>44803</v>
      </c>
      <c r="D181" s="62">
        <v>44803</v>
      </c>
      <c r="E181" s="63">
        <v>-1100.0899999999999</v>
      </c>
    </row>
    <row r="182" spans="1:5">
      <c r="A182" s="61" t="s">
        <v>110</v>
      </c>
      <c r="B182" s="61" t="s">
        <v>382</v>
      </c>
      <c r="C182" s="62">
        <v>44774</v>
      </c>
      <c r="D182" s="62">
        <v>44774</v>
      </c>
      <c r="E182" s="63">
        <v>0</v>
      </c>
    </row>
    <row r="183" spans="1:5">
      <c r="A183" s="61" t="s">
        <v>110</v>
      </c>
      <c r="B183" s="61" t="s">
        <v>382</v>
      </c>
      <c r="C183" s="62">
        <v>44775</v>
      </c>
      <c r="D183" s="62">
        <v>44775</v>
      </c>
      <c r="E183" s="63">
        <v>0</v>
      </c>
    </row>
    <row r="184" spans="1:5">
      <c r="A184" s="61" t="s">
        <v>110</v>
      </c>
      <c r="B184" s="61" t="s">
        <v>382</v>
      </c>
      <c r="C184" s="62">
        <v>44776</v>
      </c>
      <c r="D184" s="62">
        <v>44776</v>
      </c>
      <c r="E184" s="63">
        <v>0</v>
      </c>
    </row>
    <row r="185" spans="1:5">
      <c r="A185" s="61" t="s">
        <v>110</v>
      </c>
      <c r="B185" s="61" t="s">
        <v>382</v>
      </c>
      <c r="C185" s="62">
        <v>44777</v>
      </c>
      <c r="D185" s="62">
        <v>44777</v>
      </c>
      <c r="E185" s="63">
        <v>0</v>
      </c>
    </row>
    <row r="186" spans="1:5">
      <c r="A186" s="61" t="s">
        <v>110</v>
      </c>
      <c r="B186" s="61" t="s">
        <v>382</v>
      </c>
      <c r="C186" s="62">
        <v>44778</v>
      </c>
      <c r="D186" s="62">
        <v>44778</v>
      </c>
      <c r="E186" s="63">
        <v>6624.59</v>
      </c>
    </row>
    <row r="187" spans="1:5">
      <c r="A187" s="61" t="s">
        <v>110</v>
      </c>
      <c r="B187" s="61" t="s">
        <v>382</v>
      </c>
      <c r="C187" s="62">
        <v>44779</v>
      </c>
      <c r="D187" s="62">
        <v>44779</v>
      </c>
      <c r="E187" s="63">
        <v>0</v>
      </c>
    </row>
    <row r="188" spans="1:5">
      <c r="A188" s="61" t="s">
        <v>110</v>
      </c>
      <c r="B188" s="61" t="s">
        <v>382</v>
      </c>
      <c r="C188" s="62">
        <v>44780</v>
      </c>
      <c r="D188" s="62">
        <v>44780</v>
      </c>
      <c r="E188" s="63">
        <v>0</v>
      </c>
    </row>
    <row r="189" spans="1:5">
      <c r="A189" s="61" t="s">
        <v>110</v>
      </c>
      <c r="B189" s="61" t="s">
        <v>382</v>
      </c>
      <c r="C189" s="62">
        <v>44781</v>
      </c>
      <c r="D189" s="62">
        <v>44781</v>
      </c>
      <c r="E189" s="63">
        <v>0</v>
      </c>
    </row>
    <row r="190" spans="1:5">
      <c r="A190" s="61" t="s">
        <v>110</v>
      </c>
      <c r="B190" s="61" t="s">
        <v>382</v>
      </c>
      <c r="C190" s="62">
        <v>44782</v>
      </c>
      <c r="D190" s="62">
        <v>44782</v>
      </c>
      <c r="E190" s="63">
        <v>0</v>
      </c>
    </row>
    <row r="191" spans="1:5">
      <c r="A191" s="61" t="s">
        <v>110</v>
      </c>
      <c r="B191" s="61" t="s">
        <v>382</v>
      </c>
      <c r="C191" s="62">
        <v>44783</v>
      </c>
      <c r="D191" s="62">
        <v>44783</v>
      </c>
      <c r="E191" s="63">
        <v>0</v>
      </c>
    </row>
    <row r="192" spans="1:5">
      <c r="A192" s="61" t="s">
        <v>110</v>
      </c>
      <c r="B192" s="61" t="s">
        <v>382</v>
      </c>
      <c r="C192" s="62">
        <v>44784</v>
      </c>
      <c r="D192" s="62">
        <v>44784</v>
      </c>
      <c r="E192" s="63">
        <v>0</v>
      </c>
    </row>
    <row r="193" spans="1:5">
      <c r="A193" s="61" t="s">
        <v>110</v>
      </c>
      <c r="B193" s="61" t="s">
        <v>382</v>
      </c>
      <c r="C193" s="62">
        <v>44785</v>
      </c>
      <c r="D193" s="62">
        <v>44785</v>
      </c>
      <c r="E193" s="63">
        <v>0</v>
      </c>
    </row>
    <row r="194" spans="1:5">
      <c r="A194" s="61" t="s">
        <v>110</v>
      </c>
      <c r="B194" s="61" t="s">
        <v>382</v>
      </c>
      <c r="C194" s="62">
        <v>44786</v>
      </c>
      <c r="D194" s="62">
        <v>44786</v>
      </c>
      <c r="E194" s="63">
        <v>0</v>
      </c>
    </row>
    <row r="195" spans="1:5">
      <c r="A195" s="61" t="s">
        <v>110</v>
      </c>
      <c r="B195" s="61" t="s">
        <v>382</v>
      </c>
      <c r="C195" s="62">
        <v>44787</v>
      </c>
      <c r="D195" s="62">
        <v>44787</v>
      </c>
      <c r="E195" s="63">
        <v>0</v>
      </c>
    </row>
    <row r="196" spans="1:5">
      <c r="A196" s="61" t="s">
        <v>110</v>
      </c>
      <c r="B196" s="61" t="s">
        <v>382</v>
      </c>
      <c r="C196" s="62">
        <v>44788</v>
      </c>
      <c r="D196" s="62">
        <v>44788</v>
      </c>
      <c r="E196" s="63">
        <v>0</v>
      </c>
    </row>
    <row r="197" spans="1:5">
      <c r="A197" s="61" t="s">
        <v>110</v>
      </c>
      <c r="B197" s="61" t="s">
        <v>382</v>
      </c>
      <c r="C197" s="62">
        <v>44789</v>
      </c>
      <c r="D197" s="62">
        <v>44789</v>
      </c>
      <c r="E197" s="63">
        <v>0</v>
      </c>
    </row>
    <row r="198" spans="1:5">
      <c r="A198" s="61" t="s">
        <v>110</v>
      </c>
      <c r="B198" s="61" t="s">
        <v>382</v>
      </c>
      <c r="C198" s="62">
        <v>44790</v>
      </c>
      <c r="D198" s="62">
        <v>44790</v>
      </c>
      <c r="E198" s="63">
        <v>0</v>
      </c>
    </row>
    <row r="199" spans="1:5">
      <c r="A199" s="61" t="s">
        <v>110</v>
      </c>
      <c r="B199" s="61" t="s">
        <v>382</v>
      </c>
      <c r="C199" s="62">
        <v>44791</v>
      </c>
      <c r="D199" s="62">
        <v>44791</v>
      </c>
      <c r="E199" s="63">
        <v>0</v>
      </c>
    </row>
    <row r="200" spans="1:5">
      <c r="A200" s="61" t="s">
        <v>110</v>
      </c>
      <c r="B200" s="61" t="s">
        <v>382</v>
      </c>
      <c r="C200" s="62">
        <v>44792</v>
      </c>
      <c r="D200" s="62">
        <v>44792</v>
      </c>
      <c r="E200" s="63">
        <v>0</v>
      </c>
    </row>
    <row r="201" spans="1:5">
      <c r="A201" s="61" t="s">
        <v>110</v>
      </c>
      <c r="B201" s="61" t="s">
        <v>382</v>
      </c>
      <c r="C201" s="62">
        <v>44793</v>
      </c>
      <c r="D201" s="62">
        <v>44793</v>
      </c>
      <c r="E201" s="63">
        <v>0</v>
      </c>
    </row>
    <row r="202" spans="1:5">
      <c r="A202" s="61" t="s">
        <v>110</v>
      </c>
      <c r="B202" s="61" t="s">
        <v>382</v>
      </c>
      <c r="C202" s="62">
        <v>44794</v>
      </c>
      <c r="D202" s="62">
        <v>44794</v>
      </c>
      <c r="E202" s="63">
        <v>0</v>
      </c>
    </row>
    <row r="203" spans="1:5">
      <c r="A203" s="61" t="s">
        <v>110</v>
      </c>
      <c r="B203" s="61" t="s">
        <v>382</v>
      </c>
      <c r="C203" s="62">
        <v>44795</v>
      </c>
      <c r="D203" s="62">
        <v>44795</v>
      </c>
      <c r="E203" s="63">
        <v>0</v>
      </c>
    </row>
    <row r="204" spans="1:5">
      <c r="A204" s="61" t="s">
        <v>110</v>
      </c>
      <c r="B204" s="61" t="s">
        <v>382</v>
      </c>
      <c r="C204" s="62">
        <v>44796</v>
      </c>
      <c r="D204" s="62">
        <v>44796</v>
      </c>
      <c r="E204" s="63">
        <v>0</v>
      </c>
    </row>
    <row r="205" spans="1:5">
      <c r="A205" s="61" t="s">
        <v>110</v>
      </c>
      <c r="B205" s="61" t="s">
        <v>382</v>
      </c>
      <c r="C205" s="62">
        <v>44797</v>
      </c>
      <c r="D205" s="62">
        <v>44797</v>
      </c>
      <c r="E205" s="63">
        <v>0</v>
      </c>
    </row>
    <row r="206" spans="1:5">
      <c r="A206" s="61" t="s">
        <v>110</v>
      </c>
      <c r="B206" s="61" t="s">
        <v>382</v>
      </c>
      <c r="C206" s="62">
        <v>44798</v>
      </c>
      <c r="D206" s="62">
        <v>44798</v>
      </c>
      <c r="E206" s="63">
        <v>0</v>
      </c>
    </row>
    <row r="207" spans="1:5">
      <c r="A207" s="61" t="s">
        <v>110</v>
      </c>
      <c r="B207" s="61" t="s">
        <v>382</v>
      </c>
      <c r="C207" s="62">
        <v>44799</v>
      </c>
      <c r="D207" s="62">
        <v>44799</v>
      </c>
      <c r="E207" s="63">
        <v>0</v>
      </c>
    </row>
    <row r="208" spans="1:5">
      <c r="A208" s="61" t="s">
        <v>110</v>
      </c>
      <c r="B208" s="61" t="s">
        <v>382</v>
      </c>
      <c r="C208" s="62">
        <v>44800</v>
      </c>
      <c r="D208" s="62">
        <v>44800</v>
      </c>
      <c r="E208" s="63">
        <v>0</v>
      </c>
    </row>
    <row r="209" spans="1:5">
      <c r="A209" s="61" t="s">
        <v>110</v>
      </c>
      <c r="B209" s="61" t="s">
        <v>382</v>
      </c>
      <c r="C209" s="62">
        <v>44801</v>
      </c>
      <c r="D209" s="62">
        <v>44801</v>
      </c>
      <c r="E209" s="63">
        <v>0</v>
      </c>
    </row>
    <row r="210" spans="1:5">
      <c r="A210" s="61" t="s">
        <v>110</v>
      </c>
      <c r="B210" s="61" t="s">
        <v>382</v>
      </c>
      <c r="C210" s="62">
        <v>44802</v>
      </c>
      <c r="D210" s="62">
        <v>44802</v>
      </c>
      <c r="E210" s="63">
        <v>0</v>
      </c>
    </row>
    <row r="211" spans="1:5">
      <c r="A211" s="61" t="s">
        <v>110</v>
      </c>
      <c r="B211" s="61" t="s">
        <v>382</v>
      </c>
      <c r="C211" s="62">
        <v>44803</v>
      </c>
      <c r="D211" s="62">
        <v>44803</v>
      </c>
      <c r="E211" s="63">
        <v>-1331.05</v>
      </c>
    </row>
    <row r="212" spans="1:5">
      <c r="A212" s="61" t="s">
        <v>111</v>
      </c>
      <c r="B212" s="61" t="s">
        <v>383</v>
      </c>
      <c r="C212" s="62">
        <v>44774</v>
      </c>
      <c r="D212" s="62">
        <v>44774</v>
      </c>
      <c r="E212" s="63">
        <v>0</v>
      </c>
    </row>
    <row r="213" spans="1:5">
      <c r="A213" s="61" t="s">
        <v>111</v>
      </c>
      <c r="B213" s="61" t="s">
        <v>383</v>
      </c>
      <c r="C213" s="62">
        <v>44775</v>
      </c>
      <c r="D213" s="62">
        <v>44775</v>
      </c>
      <c r="E213" s="63">
        <v>0</v>
      </c>
    </row>
    <row r="214" spans="1:5">
      <c r="A214" s="61" t="s">
        <v>111</v>
      </c>
      <c r="B214" s="61" t="s">
        <v>383</v>
      </c>
      <c r="C214" s="62">
        <v>44776</v>
      </c>
      <c r="D214" s="62">
        <v>44776</v>
      </c>
      <c r="E214" s="63">
        <v>0</v>
      </c>
    </row>
    <row r="215" spans="1:5">
      <c r="A215" s="61" t="s">
        <v>111</v>
      </c>
      <c r="B215" s="61" t="s">
        <v>383</v>
      </c>
      <c r="C215" s="62">
        <v>44777</v>
      </c>
      <c r="D215" s="62">
        <v>44777</v>
      </c>
      <c r="E215" s="63">
        <v>0</v>
      </c>
    </row>
    <row r="216" spans="1:5">
      <c r="A216" s="61" t="s">
        <v>111</v>
      </c>
      <c r="B216" s="61" t="s">
        <v>383</v>
      </c>
      <c r="C216" s="62">
        <v>44778</v>
      </c>
      <c r="D216" s="62">
        <v>44778</v>
      </c>
      <c r="E216" s="63">
        <v>2535.4699999999998</v>
      </c>
    </row>
    <row r="217" spans="1:5">
      <c r="A217" s="61" t="s">
        <v>111</v>
      </c>
      <c r="B217" s="61" t="s">
        <v>383</v>
      </c>
      <c r="C217" s="62">
        <v>44779</v>
      </c>
      <c r="D217" s="62">
        <v>44779</v>
      </c>
      <c r="E217" s="63">
        <v>0</v>
      </c>
    </row>
    <row r="218" spans="1:5">
      <c r="A218" s="61" t="s">
        <v>111</v>
      </c>
      <c r="B218" s="61" t="s">
        <v>383</v>
      </c>
      <c r="C218" s="62">
        <v>44780</v>
      </c>
      <c r="D218" s="62">
        <v>44780</v>
      </c>
      <c r="E218" s="63">
        <v>0</v>
      </c>
    </row>
    <row r="219" spans="1:5">
      <c r="A219" s="61" t="s">
        <v>111</v>
      </c>
      <c r="B219" s="61" t="s">
        <v>383</v>
      </c>
      <c r="C219" s="62">
        <v>44781</v>
      </c>
      <c r="D219" s="62">
        <v>44781</v>
      </c>
      <c r="E219" s="63">
        <v>0</v>
      </c>
    </row>
    <row r="220" spans="1:5">
      <c r="A220" s="61" t="s">
        <v>111</v>
      </c>
      <c r="B220" s="61" t="s">
        <v>383</v>
      </c>
      <c r="C220" s="62">
        <v>44782</v>
      </c>
      <c r="D220" s="62">
        <v>44782</v>
      </c>
      <c r="E220" s="63">
        <v>0</v>
      </c>
    </row>
    <row r="221" spans="1:5">
      <c r="A221" s="61" t="s">
        <v>111</v>
      </c>
      <c r="B221" s="61" t="s">
        <v>383</v>
      </c>
      <c r="C221" s="62">
        <v>44783</v>
      </c>
      <c r="D221" s="62">
        <v>44783</v>
      </c>
      <c r="E221" s="63">
        <v>0</v>
      </c>
    </row>
    <row r="222" spans="1:5">
      <c r="A222" s="61" t="s">
        <v>111</v>
      </c>
      <c r="B222" s="61" t="s">
        <v>383</v>
      </c>
      <c r="C222" s="62">
        <v>44784</v>
      </c>
      <c r="D222" s="62">
        <v>44784</v>
      </c>
      <c r="E222" s="63">
        <v>0</v>
      </c>
    </row>
    <row r="223" spans="1:5">
      <c r="A223" s="61" t="s">
        <v>111</v>
      </c>
      <c r="B223" s="61" t="s">
        <v>383</v>
      </c>
      <c r="C223" s="62">
        <v>44785</v>
      </c>
      <c r="D223" s="62">
        <v>44785</v>
      </c>
      <c r="E223" s="63">
        <v>0</v>
      </c>
    </row>
    <row r="224" spans="1:5">
      <c r="A224" s="61" t="s">
        <v>111</v>
      </c>
      <c r="B224" s="61" t="s">
        <v>383</v>
      </c>
      <c r="C224" s="62">
        <v>44786</v>
      </c>
      <c r="D224" s="62">
        <v>44786</v>
      </c>
      <c r="E224" s="63">
        <v>0</v>
      </c>
    </row>
    <row r="225" spans="1:5">
      <c r="A225" s="61" t="s">
        <v>111</v>
      </c>
      <c r="B225" s="61" t="s">
        <v>383</v>
      </c>
      <c r="C225" s="62">
        <v>44787</v>
      </c>
      <c r="D225" s="62">
        <v>44787</v>
      </c>
      <c r="E225" s="63">
        <v>0</v>
      </c>
    </row>
    <row r="226" spans="1:5">
      <c r="A226" s="61" t="s">
        <v>111</v>
      </c>
      <c r="B226" s="61" t="s">
        <v>383</v>
      </c>
      <c r="C226" s="62">
        <v>44788</v>
      </c>
      <c r="D226" s="62">
        <v>44788</v>
      </c>
      <c r="E226" s="63">
        <v>0</v>
      </c>
    </row>
    <row r="227" spans="1:5">
      <c r="A227" s="61" t="s">
        <v>111</v>
      </c>
      <c r="B227" s="61" t="s">
        <v>383</v>
      </c>
      <c r="C227" s="62">
        <v>44789</v>
      </c>
      <c r="D227" s="62">
        <v>44789</v>
      </c>
      <c r="E227" s="63">
        <v>0</v>
      </c>
    </row>
    <row r="228" spans="1:5">
      <c r="A228" s="61" t="s">
        <v>111</v>
      </c>
      <c r="B228" s="61" t="s">
        <v>383</v>
      </c>
      <c r="C228" s="62">
        <v>44790</v>
      </c>
      <c r="D228" s="62">
        <v>44790</v>
      </c>
      <c r="E228" s="63">
        <v>0</v>
      </c>
    </row>
    <row r="229" spans="1:5">
      <c r="A229" s="61" t="s">
        <v>111</v>
      </c>
      <c r="B229" s="61" t="s">
        <v>383</v>
      </c>
      <c r="C229" s="62">
        <v>44791</v>
      </c>
      <c r="D229" s="62">
        <v>44791</v>
      </c>
      <c r="E229" s="63">
        <v>0</v>
      </c>
    </row>
    <row r="230" spans="1:5">
      <c r="A230" s="61" t="s">
        <v>111</v>
      </c>
      <c r="B230" s="61" t="s">
        <v>383</v>
      </c>
      <c r="C230" s="62">
        <v>44792</v>
      </c>
      <c r="D230" s="62">
        <v>44792</v>
      </c>
      <c r="E230" s="63">
        <v>0</v>
      </c>
    </row>
    <row r="231" spans="1:5">
      <c r="A231" s="61" t="s">
        <v>111</v>
      </c>
      <c r="B231" s="61" t="s">
        <v>383</v>
      </c>
      <c r="C231" s="62">
        <v>44793</v>
      </c>
      <c r="D231" s="62">
        <v>44793</v>
      </c>
      <c r="E231" s="63">
        <v>0</v>
      </c>
    </row>
    <row r="232" spans="1:5">
      <c r="A232" s="61" t="s">
        <v>111</v>
      </c>
      <c r="B232" s="61" t="s">
        <v>383</v>
      </c>
      <c r="C232" s="62">
        <v>44794</v>
      </c>
      <c r="D232" s="62">
        <v>44794</v>
      </c>
      <c r="E232" s="63">
        <v>0</v>
      </c>
    </row>
    <row r="233" spans="1:5">
      <c r="A233" s="61" t="s">
        <v>111</v>
      </c>
      <c r="B233" s="61" t="s">
        <v>383</v>
      </c>
      <c r="C233" s="62">
        <v>44795</v>
      </c>
      <c r="D233" s="62">
        <v>44795</v>
      </c>
      <c r="E233" s="63">
        <v>0</v>
      </c>
    </row>
    <row r="234" spans="1:5">
      <c r="A234" s="61" t="s">
        <v>111</v>
      </c>
      <c r="B234" s="61" t="s">
        <v>383</v>
      </c>
      <c r="C234" s="62">
        <v>44796</v>
      </c>
      <c r="D234" s="62">
        <v>44796</v>
      </c>
      <c r="E234" s="63">
        <v>0</v>
      </c>
    </row>
    <row r="235" spans="1:5">
      <c r="A235" s="61" t="s">
        <v>111</v>
      </c>
      <c r="B235" s="61" t="s">
        <v>383</v>
      </c>
      <c r="C235" s="62">
        <v>44797</v>
      </c>
      <c r="D235" s="62">
        <v>44797</v>
      </c>
      <c r="E235" s="63">
        <v>0</v>
      </c>
    </row>
    <row r="236" spans="1:5">
      <c r="A236" s="61" t="s">
        <v>111</v>
      </c>
      <c r="B236" s="61" t="s">
        <v>383</v>
      </c>
      <c r="C236" s="62">
        <v>44798</v>
      </c>
      <c r="D236" s="62">
        <v>44798</v>
      </c>
      <c r="E236" s="63">
        <v>0</v>
      </c>
    </row>
    <row r="237" spans="1:5">
      <c r="A237" s="61" t="s">
        <v>111</v>
      </c>
      <c r="B237" s="61" t="s">
        <v>383</v>
      </c>
      <c r="C237" s="62">
        <v>44799</v>
      </c>
      <c r="D237" s="62">
        <v>44799</v>
      </c>
      <c r="E237" s="63">
        <v>0</v>
      </c>
    </row>
    <row r="238" spans="1:5">
      <c r="A238" s="61" t="s">
        <v>111</v>
      </c>
      <c r="B238" s="61" t="s">
        <v>383</v>
      </c>
      <c r="C238" s="62">
        <v>44800</v>
      </c>
      <c r="D238" s="62">
        <v>44800</v>
      </c>
      <c r="E238" s="63">
        <v>0</v>
      </c>
    </row>
    <row r="239" spans="1:5">
      <c r="A239" s="61" t="s">
        <v>111</v>
      </c>
      <c r="B239" s="61" t="s">
        <v>383</v>
      </c>
      <c r="C239" s="62">
        <v>44801</v>
      </c>
      <c r="D239" s="62">
        <v>44801</v>
      </c>
      <c r="E239" s="63">
        <v>0</v>
      </c>
    </row>
    <row r="240" spans="1:5">
      <c r="A240" s="61" t="s">
        <v>111</v>
      </c>
      <c r="B240" s="61" t="s">
        <v>383</v>
      </c>
      <c r="C240" s="62">
        <v>44802</v>
      </c>
      <c r="D240" s="62">
        <v>44802</v>
      </c>
      <c r="E240" s="63">
        <v>0</v>
      </c>
    </row>
    <row r="241" spans="1:5">
      <c r="A241" s="61" t="s">
        <v>111</v>
      </c>
      <c r="B241" s="61" t="s">
        <v>383</v>
      </c>
      <c r="C241" s="62">
        <v>44803</v>
      </c>
      <c r="D241" s="62">
        <v>44803</v>
      </c>
      <c r="E241" s="63">
        <v>-513.07000000000005</v>
      </c>
    </row>
    <row r="242" spans="1:5">
      <c r="A242" s="61" t="s">
        <v>12</v>
      </c>
      <c r="B242" s="61" t="s">
        <v>380</v>
      </c>
      <c r="C242" s="62">
        <v>44774</v>
      </c>
      <c r="D242" s="62">
        <v>44774</v>
      </c>
      <c r="E242" s="63">
        <v>0</v>
      </c>
    </row>
    <row r="243" spans="1:5">
      <c r="A243" s="61" t="s">
        <v>12</v>
      </c>
      <c r="B243" s="61" t="s">
        <v>380</v>
      </c>
      <c r="C243" s="62">
        <v>44775</v>
      </c>
      <c r="D243" s="62">
        <v>44775</v>
      </c>
      <c r="E243" s="63">
        <v>0</v>
      </c>
    </row>
    <row r="244" spans="1:5">
      <c r="A244" s="61" t="s">
        <v>12</v>
      </c>
      <c r="B244" s="61" t="s">
        <v>380</v>
      </c>
      <c r="C244" s="62">
        <v>44776</v>
      </c>
      <c r="D244" s="62">
        <v>44776</v>
      </c>
      <c r="E244" s="63">
        <v>0</v>
      </c>
    </row>
    <row r="245" spans="1:5">
      <c r="A245" s="61" t="s">
        <v>12</v>
      </c>
      <c r="B245" s="61" t="s">
        <v>380</v>
      </c>
      <c r="C245" s="62">
        <v>44777</v>
      </c>
      <c r="D245" s="62">
        <v>44777</v>
      </c>
      <c r="E245" s="63">
        <v>0</v>
      </c>
    </row>
    <row r="246" spans="1:5">
      <c r="A246" s="61" t="s">
        <v>12</v>
      </c>
      <c r="B246" s="61" t="s">
        <v>380</v>
      </c>
      <c r="C246" s="62">
        <v>44778</v>
      </c>
      <c r="D246" s="62">
        <v>44778</v>
      </c>
      <c r="E246" s="63">
        <v>0</v>
      </c>
    </row>
    <row r="247" spans="1:5">
      <c r="A247" s="61" t="s">
        <v>12</v>
      </c>
      <c r="B247" s="61" t="s">
        <v>380</v>
      </c>
      <c r="C247" s="62">
        <v>44779</v>
      </c>
      <c r="D247" s="62">
        <v>44779</v>
      </c>
      <c r="E247" s="63">
        <v>0</v>
      </c>
    </row>
    <row r="248" spans="1:5">
      <c r="A248" s="61" t="s">
        <v>12</v>
      </c>
      <c r="B248" s="61" t="s">
        <v>380</v>
      </c>
      <c r="C248" s="62">
        <v>44780</v>
      </c>
      <c r="D248" s="62">
        <v>44780</v>
      </c>
      <c r="E248" s="63">
        <v>0</v>
      </c>
    </row>
    <row r="249" spans="1:5">
      <c r="A249" s="61" t="s">
        <v>12</v>
      </c>
      <c r="B249" s="61" t="s">
        <v>380</v>
      </c>
      <c r="C249" s="62">
        <v>44781</v>
      </c>
      <c r="D249" s="62">
        <v>44781</v>
      </c>
      <c r="E249" s="63">
        <v>0</v>
      </c>
    </row>
    <row r="250" spans="1:5">
      <c r="A250" s="61" t="s">
        <v>12</v>
      </c>
      <c r="B250" s="61" t="s">
        <v>380</v>
      </c>
      <c r="C250" s="62">
        <v>44782</v>
      </c>
      <c r="D250" s="62">
        <v>44782</v>
      </c>
      <c r="E250" s="63">
        <v>0</v>
      </c>
    </row>
    <row r="251" spans="1:5">
      <c r="A251" s="61" t="s">
        <v>12</v>
      </c>
      <c r="B251" s="61" t="s">
        <v>380</v>
      </c>
      <c r="C251" s="62">
        <v>44783</v>
      </c>
      <c r="D251" s="62">
        <v>44783</v>
      </c>
      <c r="E251" s="63">
        <v>0</v>
      </c>
    </row>
    <row r="252" spans="1:5">
      <c r="A252" s="61" t="s">
        <v>12</v>
      </c>
      <c r="B252" s="61" t="s">
        <v>380</v>
      </c>
      <c r="C252" s="62">
        <v>44784</v>
      </c>
      <c r="D252" s="62">
        <v>44784</v>
      </c>
      <c r="E252" s="63">
        <v>0</v>
      </c>
    </row>
    <row r="253" spans="1:5">
      <c r="A253" s="61" t="s">
        <v>12</v>
      </c>
      <c r="B253" s="61" t="s">
        <v>380</v>
      </c>
      <c r="C253" s="62">
        <v>44785</v>
      </c>
      <c r="D253" s="62">
        <v>44785</v>
      </c>
      <c r="E253" s="63">
        <v>0</v>
      </c>
    </row>
    <row r="254" spans="1:5">
      <c r="A254" s="61" t="s">
        <v>12</v>
      </c>
      <c r="B254" s="61" t="s">
        <v>380</v>
      </c>
      <c r="C254" s="62">
        <v>44786</v>
      </c>
      <c r="D254" s="62">
        <v>44786</v>
      </c>
      <c r="E254" s="63">
        <v>0</v>
      </c>
    </row>
    <row r="255" spans="1:5">
      <c r="A255" s="61" t="s">
        <v>12</v>
      </c>
      <c r="B255" s="61" t="s">
        <v>380</v>
      </c>
      <c r="C255" s="62">
        <v>44787</v>
      </c>
      <c r="D255" s="62">
        <v>44787</v>
      </c>
      <c r="E255" s="63">
        <v>0</v>
      </c>
    </row>
    <row r="256" spans="1:5">
      <c r="A256" s="61" t="s">
        <v>12</v>
      </c>
      <c r="B256" s="61" t="s">
        <v>380</v>
      </c>
      <c r="C256" s="62">
        <v>44788</v>
      </c>
      <c r="D256" s="62">
        <v>44788</v>
      </c>
      <c r="E256" s="63">
        <v>0</v>
      </c>
    </row>
    <row r="257" spans="1:5">
      <c r="A257" s="61" t="s">
        <v>12</v>
      </c>
      <c r="B257" s="61" t="s">
        <v>380</v>
      </c>
      <c r="C257" s="62">
        <v>44789</v>
      </c>
      <c r="D257" s="62">
        <v>44789</v>
      </c>
      <c r="E257" s="63">
        <v>0</v>
      </c>
    </row>
    <row r="258" spans="1:5">
      <c r="A258" s="61" t="s">
        <v>12</v>
      </c>
      <c r="B258" s="61" t="s">
        <v>380</v>
      </c>
      <c r="C258" s="62">
        <v>44790</v>
      </c>
      <c r="D258" s="62">
        <v>44790</v>
      </c>
      <c r="E258" s="63">
        <v>0</v>
      </c>
    </row>
    <row r="259" spans="1:5">
      <c r="A259" s="61" t="s">
        <v>12</v>
      </c>
      <c r="B259" s="61" t="s">
        <v>380</v>
      </c>
      <c r="C259" s="62">
        <v>44791</v>
      </c>
      <c r="D259" s="62">
        <v>44791</v>
      </c>
      <c r="E259" s="63">
        <v>0</v>
      </c>
    </row>
    <row r="260" spans="1:5">
      <c r="A260" s="61" t="s">
        <v>12</v>
      </c>
      <c r="B260" s="61" t="s">
        <v>380</v>
      </c>
      <c r="C260" s="62">
        <v>44792</v>
      </c>
      <c r="D260" s="62">
        <v>44792</v>
      </c>
      <c r="E260" s="63">
        <v>0</v>
      </c>
    </row>
    <row r="261" spans="1:5">
      <c r="A261" s="61" t="s">
        <v>12</v>
      </c>
      <c r="B261" s="61" t="s">
        <v>380</v>
      </c>
      <c r="C261" s="62">
        <v>44793</v>
      </c>
      <c r="D261" s="62">
        <v>44793</v>
      </c>
      <c r="E261" s="63">
        <v>0</v>
      </c>
    </row>
    <row r="262" spans="1:5">
      <c r="A262" s="61" t="s">
        <v>12</v>
      </c>
      <c r="B262" s="61" t="s">
        <v>380</v>
      </c>
      <c r="C262" s="62">
        <v>44794</v>
      </c>
      <c r="D262" s="62">
        <v>44794</v>
      </c>
      <c r="E262" s="63">
        <v>0</v>
      </c>
    </row>
    <row r="263" spans="1:5">
      <c r="A263" s="61" t="s">
        <v>12</v>
      </c>
      <c r="B263" s="61" t="s">
        <v>380</v>
      </c>
      <c r="C263" s="62">
        <v>44795</v>
      </c>
      <c r="D263" s="62">
        <v>44795</v>
      </c>
      <c r="E263" s="63">
        <v>0</v>
      </c>
    </row>
    <row r="264" spans="1:5">
      <c r="A264" s="61" t="s">
        <v>12</v>
      </c>
      <c r="B264" s="61" t="s">
        <v>380</v>
      </c>
      <c r="C264" s="62">
        <v>44796</v>
      </c>
      <c r="D264" s="62">
        <v>44796</v>
      </c>
      <c r="E264" s="63">
        <v>0</v>
      </c>
    </row>
    <row r="265" spans="1:5">
      <c r="A265" s="61" t="s">
        <v>12</v>
      </c>
      <c r="B265" s="61" t="s">
        <v>380</v>
      </c>
      <c r="C265" s="62">
        <v>44797</v>
      </c>
      <c r="D265" s="62">
        <v>44797</v>
      </c>
      <c r="E265" s="63">
        <v>0</v>
      </c>
    </row>
    <row r="266" spans="1:5">
      <c r="A266" s="61" t="s">
        <v>12</v>
      </c>
      <c r="B266" s="61" t="s">
        <v>380</v>
      </c>
      <c r="C266" s="62">
        <v>44798</v>
      </c>
      <c r="D266" s="62">
        <v>44798</v>
      </c>
      <c r="E266" s="63">
        <v>3750.87</v>
      </c>
    </row>
    <row r="267" spans="1:5">
      <c r="A267" s="61" t="s">
        <v>12</v>
      </c>
      <c r="B267" s="61" t="s">
        <v>380</v>
      </c>
      <c r="C267" s="62">
        <v>44799</v>
      </c>
      <c r="D267" s="62">
        <v>44799</v>
      </c>
      <c r="E267" s="63">
        <v>0</v>
      </c>
    </row>
    <row r="268" spans="1:5">
      <c r="A268" s="61" t="s">
        <v>12</v>
      </c>
      <c r="B268" s="61" t="s">
        <v>380</v>
      </c>
      <c r="C268" s="62">
        <v>44800</v>
      </c>
      <c r="D268" s="62">
        <v>44800</v>
      </c>
      <c r="E268" s="63">
        <v>0</v>
      </c>
    </row>
    <row r="269" spans="1:5">
      <c r="A269" s="61" t="s">
        <v>12</v>
      </c>
      <c r="B269" s="61" t="s">
        <v>380</v>
      </c>
      <c r="C269" s="62">
        <v>44801</v>
      </c>
      <c r="D269" s="62">
        <v>44801</v>
      </c>
      <c r="E269" s="63">
        <v>0</v>
      </c>
    </row>
    <row r="270" spans="1:5">
      <c r="A270" s="61" t="s">
        <v>12</v>
      </c>
      <c r="B270" s="61" t="s">
        <v>380</v>
      </c>
      <c r="C270" s="62">
        <v>44802</v>
      </c>
      <c r="D270" s="62">
        <v>44802</v>
      </c>
      <c r="E270" s="63">
        <v>0</v>
      </c>
    </row>
    <row r="271" spans="1:5">
      <c r="A271" s="61" t="s">
        <v>12</v>
      </c>
      <c r="B271" s="61" t="s">
        <v>380</v>
      </c>
      <c r="C271" s="62">
        <v>44803</v>
      </c>
      <c r="D271" s="62">
        <v>44803</v>
      </c>
      <c r="E271" s="63">
        <v>-870.95</v>
      </c>
    </row>
    <row r="272" spans="1:5">
      <c r="A272" s="61" t="s">
        <v>112</v>
      </c>
      <c r="B272" s="61" t="s">
        <v>381</v>
      </c>
      <c r="C272" s="62">
        <v>44774</v>
      </c>
      <c r="D272" s="62">
        <v>44774</v>
      </c>
      <c r="E272" s="63">
        <v>0</v>
      </c>
    </row>
    <row r="273" spans="1:5">
      <c r="A273" s="61" t="s">
        <v>112</v>
      </c>
      <c r="B273" s="61" t="s">
        <v>381</v>
      </c>
      <c r="C273" s="62">
        <v>44775</v>
      </c>
      <c r="D273" s="62">
        <v>44775</v>
      </c>
      <c r="E273" s="63">
        <v>0</v>
      </c>
    </row>
    <row r="274" spans="1:5">
      <c r="A274" s="61" t="s">
        <v>112</v>
      </c>
      <c r="B274" s="61" t="s">
        <v>381</v>
      </c>
      <c r="C274" s="62">
        <v>44776</v>
      </c>
      <c r="D274" s="62">
        <v>44776</v>
      </c>
      <c r="E274" s="63">
        <v>0</v>
      </c>
    </row>
    <row r="275" spans="1:5">
      <c r="A275" s="61" t="s">
        <v>112</v>
      </c>
      <c r="B275" s="61" t="s">
        <v>381</v>
      </c>
      <c r="C275" s="62">
        <v>44777</v>
      </c>
      <c r="D275" s="62">
        <v>44777</v>
      </c>
      <c r="E275" s="63">
        <v>0</v>
      </c>
    </row>
    <row r="276" spans="1:5">
      <c r="A276" s="61" t="s">
        <v>112</v>
      </c>
      <c r="B276" s="61" t="s">
        <v>381</v>
      </c>
      <c r="C276" s="62">
        <v>44778</v>
      </c>
      <c r="D276" s="62">
        <v>44778</v>
      </c>
      <c r="E276" s="63">
        <v>0</v>
      </c>
    </row>
    <row r="277" spans="1:5">
      <c r="A277" s="61" t="s">
        <v>112</v>
      </c>
      <c r="B277" s="61" t="s">
        <v>381</v>
      </c>
      <c r="C277" s="62">
        <v>44779</v>
      </c>
      <c r="D277" s="62">
        <v>44779</v>
      </c>
      <c r="E277" s="63">
        <v>0</v>
      </c>
    </row>
    <row r="278" spans="1:5">
      <c r="A278" s="61" t="s">
        <v>112</v>
      </c>
      <c r="B278" s="61" t="s">
        <v>381</v>
      </c>
      <c r="C278" s="62">
        <v>44780</v>
      </c>
      <c r="D278" s="62">
        <v>44780</v>
      </c>
      <c r="E278" s="63">
        <v>0</v>
      </c>
    </row>
    <row r="279" spans="1:5">
      <c r="A279" s="61" t="s">
        <v>112</v>
      </c>
      <c r="B279" s="61" t="s">
        <v>381</v>
      </c>
      <c r="C279" s="62">
        <v>44781</v>
      </c>
      <c r="D279" s="62">
        <v>44781</v>
      </c>
      <c r="E279" s="63">
        <v>0</v>
      </c>
    </row>
    <row r="280" spans="1:5">
      <c r="A280" s="61" t="s">
        <v>112</v>
      </c>
      <c r="B280" s="61" t="s">
        <v>381</v>
      </c>
      <c r="C280" s="62">
        <v>44782</v>
      </c>
      <c r="D280" s="62">
        <v>44782</v>
      </c>
      <c r="E280" s="63">
        <v>0</v>
      </c>
    </row>
    <row r="281" spans="1:5">
      <c r="A281" s="61" t="s">
        <v>112</v>
      </c>
      <c r="B281" s="61" t="s">
        <v>381</v>
      </c>
      <c r="C281" s="62">
        <v>44783</v>
      </c>
      <c r="D281" s="62">
        <v>44783</v>
      </c>
      <c r="E281" s="63">
        <v>0</v>
      </c>
    </row>
    <row r="282" spans="1:5">
      <c r="A282" s="61" t="s">
        <v>112</v>
      </c>
      <c r="B282" s="61" t="s">
        <v>381</v>
      </c>
      <c r="C282" s="62">
        <v>44784</v>
      </c>
      <c r="D282" s="62">
        <v>44784</v>
      </c>
      <c r="E282" s="63">
        <v>0</v>
      </c>
    </row>
    <row r="283" spans="1:5">
      <c r="A283" s="61" t="s">
        <v>112</v>
      </c>
      <c r="B283" s="61" t="s">
        <v>381</v>
      </c>
      <c r="C283" s="62">
        <v>44785</v>
      </c>
      <c r="D283" s="62">
        <v>44785</v>
      </c>
      <c r="E283" s="63">
        <v>0</v>
      </c>
    </row>
    <row r="284" spans="1:5">
      <c r="A284" s="61" t="s">
        <v>112</v>
      </c>
      <c r="B284" s="61" t="s">
        <v>381</v>
      </c>
      <c r="C284" s="62">
        <v>44786</v>
      </c>
      <c r="D284" s="62">
        <v>44786</v>
      </c>
      <c r="E284" s="63">
        <v>0</v>
      </c>
    </row>
    <row r="285" spans="1:5">
      <c r="A285" s="61" t="s">
        <v>112</v>
      </c>
      <c r="B285" s="61" t="s">
        <v>381</v>
      </c>
      <c r="C285" s="62">
        <v>44787</v>
      </c>
      <c r="D285" s="62">
        <v>44787</v>
      </c>
      <c r="E285" s="63">
        <v>0</v>
      </c>
    </row>
    <row r="286" spans="1:5">
      <c r="A286" s="61" t="s">
        <v>112</v>
      </c>
      <c r="B286" s="61" t="s">
        <v>381</v>
      </c>
      <c r="C286" s="62">
        <v>44788</v>
      </c>
      <c r="D286" s="62">
        <v>44788</v>
      </c>
      <c r="E286" s="63">
        <v>0</v>
      </c>
    </row>
    <row r="287" spans="1:5">
      <c r="A287" s="61" t="s">
        <v>112</v>
      </c>
      <c r="B287" s="61" t="s">
        <v>381</v>
      </c>
      <c r="C287" s="62">
        <v>44789</v>
      </c>
      <c r="D287" s="62">
        <v>44789</v>
      </c>
      <c r="E287" s="63">
        <v>0</v>
      </c>
    </row>
    <row r="288" spans="1:5">
      <c r="A288" s="61" t="s">
        <v>112</v>
      </c>
      <c r="B288" s="61" t="s">
        <v>381</v>
      </c>
      <c r="C288" s="62">
        <v>44790</v>
      </c>
      <c r="D288" s="62">
        <v>44790</v>
      </c>
      <c r="E288" s="63">
        <v>0</v>
      </c>
    </row>
    <row r="289" spans="1:5">
      <c r="A289" s="61" t="s">
        <v>112</v>
      </c>
      <c r="B289" s="61" t="s">
        <v>381</v>
      </c>
      <c r="C289" s="62">
        <v>44791</v>
      </c>
      <c r="D289" s="62">
        <v>44791</v>
      </c>
      <c r="E289" s="63">
        <v>0</v>
      </c>
    </row>
    <row r="290" spans="1:5">
      <c r="A290" s="61" t="s">
        <v>112</v>
      </c>
      <c r="B290" s="61" t="s">
        <v>381</v>
      </c>
      <c r="C290" s="62">
        <v>44792</v>
      </c>
      <c r="D290" s="62">
        <v>44792</v>
      </c>
      <c r="E290" s="63">
        <v>0</v>
      </c>
    </row>
    <row r="291" spans="1:5">
      <c r="A291" s="61" t="s">
        <v>112</v>
      </c>
      <c r="B291" s="61" t="s">
        <v>381</v>
      </c>
      <c r="C291" s="62">
        <v>44793</v>
      </c>
      <c r="D291" s="62">
        <v>44793</v>
      </c>
      <c r="E291" s="63">
        <v>0</v>
      </c>
    </row>
    <row r="292" spans="1:5">
      <c r="A292" s="61" t="s">
        <v>112</v>
      </c>
      <c r="B292" s="61" t="s">
        <v>381</v>
      </c>
      <c r="C292" s="62">
        <v>44794</v>
      </c>
      <c r="D292" s="62">
        <v>44794</v>
      </c>
      <c r="E292" s="63">
        <v>0</v>
      </c>
    </row>
    <row r="293" spans="1:5">
      <c r="A293" s="61" t="s">
        <v>112</v>
      </c>
      <c r="B293" s="61" t="s">
        <v>381</v>
      </c>
      <c r="C293" s="62">
        <v>44795</v>
      </c>
      <c r="D293" s="62">
        <v>44795</v>
      </c>
      <c r="E293" s="63">
        <v>0</v>
      </c>
    </row>
    <row r="294" spans="1:5">
      <c r="A294" s="61" t="s">
        <v>112</v>
      </c>
      <c r="B294" s="61" t="s">
        <v>381</v>
      </c>
      <c r="C294" s="62">
        <v>44796</v>
      </c>
      <c r="D294" s="62">
        <v>44796</v>
      </c>
      <c r="E294" s="63">
        <v>0</v>
      </c>
    </row>
    <row r="295" spans="1:5">
      <c r="A295" s="61" t="s">
        <v>112</v>
      </c>
      <c r="B295" s="61" t="s">
        <v>381</v>
      </c>
      <c r="C295" s="62">
        <v>44797</v>
      </c>
      <c r="D295" s="62">
        <v>44797</v>
      </c>
      <c r="E295" s="63">
        <v>0</v>
      </c>
    </row>
    <row r="296" spans="1:5">
      <c r="A296" s="61" t="s">
        <v>112</v>
      </c>
      <c r="B296" s="61" t="s">
        <v>381</v>
      </c>
      <c r="C296" s="62">
        <v>44798</v>
      </c>
      <c r="D296" s="62">
        <v>44798</v>
      </c>
      <c r="E296" s="63">
        <v>0</v>
      </c>
    </row>
    <row r="297" spans="1:5">
      <c r="A297" s="61" t="s">
        <v>112</v>
      </c>
      <c r="B297" s="61" t="s">
        <v>381</v>
      </c>
      <c r="C297" s="62">
        <v>44799</v>
      </c>
      <c r="D297" s="62">
        <v>44799</v>
      </c>
      <c r="E297" s="63">
        <v>0</v>
      </c>
    </row>
    <row r="298" spans="1:5">
      <c r="A298" s="61" t="s">
        <v>112</v>
      </c>
      <c r="B298" s="61" t="s">
        <v>381</v>
      </c>
      <c r="C298" s="62">
        <v>44800</v>
      </c>
      <c r="D298" s="62">
        <v>44800</v>
      </c>
      <c r="E298" s="63">
        <v>0</v>
      </c>
    </row>
    <row r="299" spans="1:5">
      <c r="A299" s="61" t="s">
        <v>112</v>
      </c>
      <c r="B299" s="61" t="s">
        <v>381</v>
      </c>
      <c r="C299" s="62">
        <v>44801</v>
      </c>
      <c r="D299" s="62">
        <v>44801</v>
      </c>
      <c r="E299" s="63">
        <v>0</v>
      </c>
    </row>
    <row r="300" spans="1:5">
      <c r="A300" s="61" t="s">
        <v>112</v>
      </c>
      <c r="B300" s="61" t="s">
        <v>381</v>
      </c>
      <c r="C300" s="62">
        <v>44802</v>
      </c>
      <c r="D300" s="62">
        <v>44802</v>
      </c>
      <c r="E300" s="63">
        <v>0</v>
      </c>
    </row>
    <row r="301" spans="1:5">
      <c r="A301" s="61" t="s">
        <v>112</v>
      </c>
      <c r="B301" s="61" t="s">
        <v>381</v>
      </c>
      <c r="C301" s="62">
        <v>44803</v>
      </c>
      <c r="D301" s="62">
        <v>44803</v>
      </c>
      <c r="E301" s="63">
        <v>-112.55</v>
      </c>
    </row>
    <row r="302" spans="1:5">
      <c r="A302" s="61" t="s">
        <v>113</v>
      </c>
      <c r="B302" s="61" t="s">
        <v>382</v>
      </c>
      <c r="C302" s="62">
        <v>44774</v>
      </c>
      <c r="D302" s="62">
        <v>44774</v>
      </c>
      <c r="E302" s="63">
        <v>0</v>
      </c>
    </row>
    <row r="303" spans="1:5">
      <c r="A303" s="61" t="s">
        <v>113</v>
      </c>
      <c r="B303" s="61" t="s">
        <v>382</v>
      </c>
      <c r="C303" s="62">
        <v>44775</v>
      </c>
      <c r="D303" s="62">
        <v>44775</v>
      </c>
      <c r="E303" s="63">
        <v>0</v>
      </c>
    </row>
    <row r="304" spans="1:5">
      <c r="A304" s="61" t="s">
        <v>113</v>
      </c>
      <c r="B304" s="61" t="s">
        <v>382</v>
      </c>
      <c r="C304" s="62">
        <v>44776</v>
      </c>
      <c r="D304" s="62">
        <v>44776</v>
      </c>
      <c r="E304" s="63">
        <v>0</v>
      </c>
    </row>
    <row r="305" spans="1:5">
      <c r="A305" s="61" t="s">
        <v>113</v>
      </c>
      <c r="B305" s="61" t="s">
        <v>382</v>
      </c>
      <c r="C305" s="62">
        <v>44777</v>
      </c>
      <c r="D305" s="62">
        <v>44777</v>
      </c>
      <c r="E305" s="63">
        <v>0</v>
      </c>
    </row>
    <row r="306" spans="1:5">
      <c r="A306" s="61" t="s">
        <v>113</v>
      </c>
      <c r="B306" s="61" t="s">
        <v>382</v>
      </c>
      <c r="C306" s="62">
        <v>44778</v>
      </c>
      <c r="D306" s="62">
        <v>44778</v>
      </c>
      <c r="E306" s="63">
        <v>0</v>
      </c>
    </row>
    <row r="307" spans="1:5">
      <c r="A307" s="61" t="s">
        <v>113</v>
      </c>
      <c r="B307" s="61" t="s">
        <v>382</v>
      </c>
      <c r="C307" s="62">
        <v>44779</v>
      </c>
      <c r="D307" s="62">
        <v>44779</v>
      </c>
      <c r="E307" s="63">
        <v>0</v>
      </c>
    </row>
    <row r="308" spans="1:5">
      <c r="A308" s="61" t="s">
        <v>113</v>
      </c>
      <c r="B308" s="61" t="s">
        <v>382</v>
      </c>
      <c r="C308" s="62">
        <v>44780</v>
      </c>
      <c r="D308" s="62">
        <v>44780</v>
      </c>
      <c r="E308" s="63">
        <v>0</v>
      </c>
    </row>
    <row r="309" spans="1:5">
      <c r="A309" s="61" t="s">
        <v>113</v>
      </c>
      <c r="B309" s="61" t="s">
        <v>382</v>
      </c>
      <c r="C309" s="62">
        <v>44781</v>
      </c>
      <c r="D309" s="62">
        <v>44781</v>
      </c>
      <c r="E309" s="63">
        <v>0</v>
      </c>
    </row>
    <row r="310" spans="1:5">
      <c r="A310" s="61" t="s">
        <v>113</v>
      </c>
      <c r="B310" s="61" t="s">
        <v>382</v>
      </c>
      <c r="C310" s="62">
        <v>44782</v>
      </c>
      <c r="D310" s="62">
        <v>44782</v>
      </c>
      <c r="E310" s="63">
        <v>0</v>
      </c>
    </row>
    <row r="311" spans="1:5">
      <c r="A311" s="61" t="s">
        <v>113</v>
      </c>
      <c r="B311" s="61" t="s">
        <v>382</v>
      </c>
      <c r="C311" s="62">
        <v>44783</v>
      </c>
      <c r="D311" s="62">
        <v>44783</v>
      </c>
      <c r="E311" s="63">
        <v>0</v>
      </c>
    </row>
    <row r="312" spans="1:5">
      <c r="A312" s="61" t="s">
        <v>113</v>
      </c>
      <c r="B312" s="61" t="s">
        <v>382</v>
      </c>
      <c r="C312" s="62">
        <v>44784</v>
      </c>
      <c r="D312" s="62">
        <v>44784</v>
      </c>
      <c r="E312" s="63">
        <v>0</v>
      </c>
    </row>
    <row r="313" spans="1:5">
      <c r="A313" s="61" t="s">
        <v>113</v>
      </c>
      <c r="B313" s="61" t="s">
        <v>382</v>
      </c>
      <c r="C313" s="62">
        <v>44785</v>
      </c>
      <c r="D313" s="62">
        <v>44785</v>
      </c>
      <c r="E313" s="63">
        <v>0</v>
      </c>
    </row>
    <row r="314" spans="1:5">
      <c r="A314" s="61" t="s">
        <v>113</v>
      </c>
      <c r="B314" s="61" t="s">
        <v>382</v>
      </c>
      <c r="C314" s="62">
        <v>44786</v>
      </c>
      <c r="D314" s="62">
        <v>44786</v>
      </c>
      <c r="E314" s="63">
        <v>0</v>
      </c>
    </row>
    <row r="315" spans="1:5">
      <c r="A315" s="61" t="s">
        <v>113</v>
      </c>
      <c r="B315" s="61" t="s">
        <v>382</v>
      </c>
      <c r="C315" s="62">
        <v>44787</v>
      </c>
      <c r="D315" s="62">
        <v>44787</v>
      </c>
      <c r="E315" s="63">
        <v>0</v>
      </c>
    </row>
    <row r="316" spans="1:5">
      <c r="A316" s="61" t="s">
        <v>113</v>
      </c>
      <c r="B316" s="61" t="s">
        <v>382</v>
      </c>
      <c r="C316" s="62">
        <v>44788</v>
      </c>
      <c r="D316" s="62">
        <v>44788</v>
      </c>
      <c r="E316" s="63">
        <v>0</v>
      </c>
    </row>
    <row r="317" spans="1:5">
      <c r="A317" s="61" t="s">
        <v>113</v>
      </c>
      <c r="B317" s="61" t="s">
        <v>382</v>
      </c>
      <c r="C317" s="62">
        <v>44789</v>
      </c>
      <c r="D317" s="62">
        <v>44789</v>
      </c>
      <c r="E317" s="63">
        <v>0</v>
      </c>
    </row>
    <row r="318" spans="1:5">
      <c r="A318" s="61" t="s">
        <v>113</v>
      </c>
      <c r="B318" s="61" t="s">
        <v>382</v>
      </c>
      <c r="C318" s="62">
        <v>44790</v>
      </c>
      <c r="D318" s="62">
        <v>44790</v>
      </c>
      <c r="E318" s="63">
        <v>0</v>
      </c>
    </row>
    <row r="319" spans="1:5">
      <c r="A319" s="61" t="s">
        <v>113</v>
      </c>
      <c r="B319" s="61" t="s">
        <v>382</v>
      </c>
      <c r="C319" s="62">
        <v>44791</v>
      </c>
      <c r="D319" s="62">
        <v>44791</v>
      </c>
      <c r="E319" s="63">
        <v>0</v>
      </c>
    </row>
    <row r="320" spans="1:5">
      <c r="A320" s="61" t="s">
        <v>113</v>
      </c>
      <c r="B320" s="61" t="s">
        <v>382</v>
      </c>
      <c r="C320" s="62">
        <v>44792</v>
      </c>
      <c r="D320" s="62">
        <v>44792</v>
      </c>
      <c r="E320" s="63">
        <v>0</v>
      </c>
    </row>
    <row r="321" spans="1:5">
      <c r="A321" s="61" t="s">
        <v>113</v>
      </c>
      <c r="B321" s="61" t="s">
        <v>382</v>
      </c>
      <c r="C321" s="62">
        <v>44793</v>
      </c>
      <c r="D321" s="62">
        <v>44793</v>
      </c>
      <c r="E321" s="63">
        <v>0</v>
      </c>
    </row>
    <row r="322" spans="1:5">
      <c r="A322" s="61" t="s">
        <v>113</v>
      </c>
      <c r="B322" s="61" t="s">
        <v>382</v>
      </c>
      <c r="C322" s="62">
        <v>44794</v>
      </c>
      <c r="D322" s="62">
        <v>44794</v>
      </c>
      <c r="E322" s="63">
        <v>0</v>
      </c>
    </row>
    <row r="323" spans="1:5">
      <c r="A323" s="61" t="s">
        <v>113</v>
      </c>
      <c r="B323" s="61" t="s">
        <v>382</v>
      </c>
      <c r="C323" s="62">
        <v>44795</v>
      </c>
      <c r="D323" s="62">
        <v>44795</v>
      </c>
      <c r="E323" s="63">
        <v>0</v>
      </c>
    </row>
    <row r="324" spans="1:5">
      <c r="A324" s="61" t="s">
        <v>113</v>
      </c>
      <c r="B324" s="61" t="s">
        <v>382</v>
      </c>
      <c r="C324" s="62">
        <v>44796</v>
      </c>
      <c r="D324" s="62">
        <v>44796</v>
      </c>
      <c r="E324" s="63">
        <v>0</v>
      </c>
    </row>
    <row r="325" spans="1:5">
      <c r="A325" s="61" t="s">
        <v>113</v>
      </c>
      <c r="B325" s="61" t="s">
        <v>382</v>
      </c>
      <c r="C325" s="62">
        <v>44797</v>
      </c>
      <c r="D325" s="62">
        <v>44797</v>
      </c>
      <c r="E325" s="63">
        <v>0</v>
      </c>
    </row>
    <row r="326" spans="1:5">
      <c r="A326" s="61" t="s">
        <v>113</v>
      </c>
      <c r="B326" s="61" t="s">
        <v>382</v>
      </c>
      <c r="C326" s="62">
        <v>44798</v>
      </c>
      <c r="D326" s="62">
        <v>44798</v>
      </c>
      <c r="E326" s="63">
        <v>0</v>
      </c>
    </row>
    <row r="327" spans="1:5">
      <c r="A327" s="61" t="s">
        <v>113</v>
      </c>
      <c r="B327" s="61" t="s">
        <v>382</v>
      </c>
      <c r="C327" s="62">
        <v>44799</v>
      </c>
      <c r="D327" s="62">
        <v>44799</v>
      </c>
      <c r="E327" s="63">
        <v>0</v>
      </c>
    </row>
    <row r="328" spans="1:5">
      <c r="A328" s="61" t="s">
        <v>113</v>
      </c>
      <c r="B328" s="61" t="s">
        <v>382</v>
      </c>
      <c r="C328" s="62">
        <v>44800</v>
      </c>
      <c r="D328" s="62">
        <v>44800</v>
      </c>
      <c r="E328" s="63">
        <v>0</v>
      </c>
    </row>
    <row r="329" spans="1:5">
      <c r="A329" s="61" t="s">
        <v>113</v>
      </c>
      <c r="B329" s="61" t="s">
        <v>382</v>
      </c>
      <c r="C329" s="62">
        <v>44801</v>
      </c>
      <c r="D329" s="62">
        <v>44801</v>
      </c>
      <c r="E329" s="63">
        <v>0</v>
      </c>
    </row>
    <row r="330" spans="1:5">
      <c r="A330" s="61" t="s">
        <v>113</v>
      </c>
      <c r="B330" s="61" t="s">
        <v>382</v>
      </c>
      <c r="C330" s="62">
        <v>44802</v>
      </c>
      <c r="D330" s="62">
        <v>44802</v>
      </c>
      <c r="E330" s="63">
        <v>0</v>
      </c>
    </row>
    <row r="331" spans="1:5">
      <c r="A331" s="61" t="s">
        <v>113</v>
      </c>
      <c r="B331" s="61" t="s">
        <v>382</v>
      </c>
      <c r="C331" s="62">
        <v>44803</v>
      </c>
      <c r="D331" s="62">
        <v>44803</v>
      </c>
      <c r="E331" s="63">
        <v>-230.62</v>
      </c>
    </row>
    <row r="332" spans="1:5">
      <c r="A332" s="61" t="s">
        <v>114</v>
      </c>
      <c r="B332" s="61" t="s">
        <v>383</v>
      </c>
      <c r="C332" s="62">
        <v>44774</v>
      </c>
      <c r="D332" s="62">
        <v>44774</v>
      </c>
      <c r="E332" s="63">
        <v>0</v>
      </c>
    </row>
    <row r="333" spans="1:5">
      <c r="A333" s="61" t="s">
        <v>114</v>
      </c>
      <c r="B333" s="61" t="s">
        <v>383</v>
      </c>
      <c r="C333" s="62">
        <v>44775</v>
      </c>
      <c r="D333" s="62">
        <v>44775</v>
      </c>
      <c r="E333" s="63">
        <v>0</v>
      </c>
    </row>
    <row r="334" spans="1:5">
      <c r="A334" s="61" t="s">
        <v>114</v>
      </c>
      <c r="B334" s="61" t="s">
        <v>383</v>
      </c>
      <c r="C334" s="62">
        <v>44776</v>
      </c>
      <c r="D334" s="62">
        <v>44776</v>
      </c>
      <c r="E334" s="63">
        <v>0</v>
      </c>
    </row>
    <row r="335" spans="1:5">
      <c r="A335" s="61" t="s">
        <v>114</v>
      </c>
      <c r="B335" s="61" t="s">
        <v>383</v>
      </c>
      <c r="C335" s="62">
        <v>44777</v>
      </c>
      <c r="D335" s="62">
        <v>44777</v>
      </c>
      <c r="E335" s="63">
        <v>0</v>
      </c>
    </row>
    <row r="336" spans="1:5">
      <c r="A336" s="61" t="s">
        <v>114</v>
      </c>
      <c r="B336" s="61" t="s">
        <v>383</v>
      </c>
      <c r="C336" s="62">
        <v>44778</v>
      </c>
      <c r="D336" s="62">
        <v>44778</v>
      </c>
      <c r="E336" s="63">
        <v>0</v>
      </c>
    </row>
    <row r="337" spans="1:5">
      <c r="A337" s="61" t="s">
        <v>114</v>
      </c>
      <c r="B337" s="61" t="s">
        <v>383</v>
      </c>
      <c r="C337" s="62">
        <v>44779</v>
      </c>
      <c r="D337" s="62">
        <v>44779</v>
      </c>
      <c r="E337" s="63">
        <v>0</v>
      </c>
    </row>
    <row r="338" spans="1:5">
      <c r="A338" s="61" t="s">
        <v>114</v>
      </c>
      <c r="B338" s="61" t="s">
        <v>383</v>
      </c>
      <c r="C338" s="62">
        <v>44780</v>
      </c>
      <c r="D338" s="62">
        <v>44780</v>
      </c>
      <c r="E338" s="63">
        <v>0</v>
      </c>
    </row>
    <row r="339" spans="1:5">
      <c r="A339" s="61" t="s">
        <v>114</v>
      </c>
      <c r="B339" s="61" t="s">
        <v>383</v>
      </c>
      <c r="C339" s="62">
        <v>44781</v>
      </c>
      <c r="D339" s="62">
        <v>44781</v>
      </c>
      <c r="E339" s="63">
        <v>0</v>
      </c>
    </row>
    <row r="340" spans="1:5">
      <c r="A340" s="61" t="s">
        <v>114</v>
      </c>
      <c r="B340" s="61" t="s">
        <v>383</v>
      </c>
      <c r="C340" s="62">
        <v>44782</v>
      </c>
      <c r="D340" s="62">
        <v>44782</v>
      </c>
      <c r="E340" s="63">
        <v>0</v>
      </c>
    </row>
    <row r="341" spans="1:5">
      <c r="A341" s="61" t="s">
        <v>114</v>
      </c>
      <c r="B341" s="61" t="s">
        <v>383</v>
      </c>
      <c r="C341" s="62">
        <v>44783</v>
      </c>
      <c r="D341" s="62">
        <v>44783</v>
      </c>
      <c r="E341" s="63">
        <v>0</v>
      </c>
    </row>
    <row r="342" spans="1:5">
      <c r="A342" s="61" t="s">
        <v>114</v>
      </c>
      <c r="B342" s="61" t="s">
        <v>383</v>
      </c>
      <c r="C342" s="62">
        <v>44784</v>
      </c>
      <c r="D342" s="62">
        <v>44784</v>
      </c>
      <c r="E342" s="63">
        <v>0</v>
      </c>
    </row>
    <row r="343" spans="1:5">
      <c r="A343" s="61" t="s">
        <v>114</v>
      </c>
      <c r="B343" s="61" t="s">
        <v>383</v>
      </c>
      <c r="C343" s="62">
        <v>44785</v>
      </c>
      <c r="D343" s="62">
        <v>44785</v>
      </c>
      <c r="E343" s="63">
        <v>0</v>
      </c>
    </row>
    <row r="344" spans="1:5">
      <c r="A344" s="61" t="s">
        <v>114</v>
      </c>
      <c r="B344" s="61" t="s">
        <v>383</v>
      </c>
      <c r="C344" s="62">
        <v>44786</v>
      </c>
      <c r="D344" s="62">
        <v>44786</v>
      </c>
      <c r="E344" s="63">
        <v>0</v>
      </c>
    </row>
    <row r="345" spans="1:5">
      <c r="A345" s="61" t="s">
        <v>114</v>
      </c>
      <c r="B345" s="61" t="s">
        <v>383</v>
      </c>
      <c r="C345" s="62">
        <v>44787</v>
      </c>
      <c r="D345" s="62">
        <v>44787</v>
      </c>
      <c r="E345" s="63">
        <v>0</v>
      </c>
    </row>
    <row r="346" spans="1:5">
      <c r="A346" s="61" t="s">
        <v>114</v>
      </c>
      <c r="B346" s="61" t="s">
        <v>383</v>
      </c>
      <c r="C346" s="62">
        <v>44788</v>
      </c>
      <c r="D346" s="62">
        <v>44788</v>
      </c>
      <c r="E346" s="63">
        <v>0</v>
      </c>
    </row>
    <row r="347" spans="1:5">
      <c r="A347" s="61" t="s">
        <v>114</v>
      </c>
      <c r="B347" s="61" t="s">
        <v>383</v>
      </c>
      <c r="C347" s="62">
        <v>44789</v>
      </c>
      <c r="D347" s="62">
        <v>44789</v>
      </c>
      <c r="E347" s="63">
        <v>0</v>
      </c>
    </row>
    <row r="348" spans="1:5">
      <c r="A348" s="61" t="s">
        <v>114</v>
      </c>
      <c r="B348" s="61" t="s">
        <v>383</v>
      </c>
      <c r="C348" s="62">
        <v>44790</v>
      </c>
      <c r="D348" s="62">
        <v>44790</v>
      </c>
      <c r="E348" s="63">
        <v>0</v>
      </c>
    </row>
    <row r="349" spans="1:5">
      <c r="A349" s="61" t="s">
        <v>114</v>
      </c>
      <c r="B349" s="61" t="s">
        <v>383</v>
      </c>
      <c r="C349" s="62">
        <v>44791</v>
      </c>
      <c r="D349" s="62">
        <v>44791</v>
      </c>
      <c r="E349" s="63">
        <v>0</v>
      </c>
    </row>
    <row r="350" spans="1:5">
      <c r="A350" s="61" t="s">
        <v>114</v>
      </c>
      <c r="B350" s="61" t="s">
        <v>383</v>
      </c>
      <c r="C350" s="62">
        <v>44792</v>
      </c>
      <c r="D350" s="62">
        <v>44792</v>
      </c>
      <c r="E350" s="63">
        <v>0</v>
      </c>
    </row>
    <row r="351" spans="1:5">
      <c r="A351" s="61" t="s">
        <v>114</v>
      </c>
      <c r="B351" s="61" t="s">
        <v>383</v>
      </c>
      <c r="C351" s="62">
        <v>44793</v>
      </c>
      <c r="D351" s="62">
        <v>44793</v>
      </c>
      <c r="E351" s="63">
        <v>0</v>
      </c>
    </row>
    <row r="352" spans="1:5">
      <c r="A352" s="61" t="s">
        <v>114</v>
      </c>
      <c r="B352" s="61" t="s">
        <v>383</v>
      </c>
      <c r="C352" s="62">
        <v>44794</v>
      </c>
      <c r="D352" s="62">
        <v>44794</v>
      </c>
      <c r="E352" s="63">
        <v>0</v>
      </c>
    </row>
    <row r="353" spans="1:5">
      <c r="A353" s="61" t="s">
        <v>114</v>
      </c>
      <c r="B353" s="61" t="s">
        <v>383</v>
      </c>
      <c r="C353" s="62">
        <v>44795</v>
      </c>
      <c r="D353" s="62">
        <v>44795</v>
      </c>
      <c r="E353" s="63">
        <v>0</v>
      </c>
    </row>
    <row r="354" spans="1:5">
      <c r="A354" s="61" t="s">
        <v>114</v>
      </c>
      <c r="B354" s="61" t="s">
        <v>383</v>
      </c>
      <c r="C354" s="62">
        <v>44796</v>
      </c>
      <c r="D354" s="62">
        <v>44796</v>
      </c>
      <c r="E354" s="63">
        <v>0</v>
      </c>
    </row>
    <row r="355" spans="1:5">
      <c r="A355" s="61" t="s">
        <v>114</v>
      </c>
      <c r="B355" s="61" t="s">
        <v>383</v>
      </c>
      <c r="C355" s="62">
        <v>44797</v>
      </c>
      <c r="D355" s="62">
        <v>44797</v>
      </c>
      <c r="E355" s="63">
        <v>0</v>
      </c>
    </row>
    <row r="356" spans="1:5">
      <c r="A356" s="61" t="s">
        <v>114</v>
      </c>
      <c r="B356" s="61" t="s">
        <v>383</v>
      </c>
      <c r="C356" s="62">
        <v>44798</v>
      </c>
      <c r="D356" s="62">
        <v>44798</v>
      </c>
      <c r="E356" s="63">
        <v>0</v>
      </c>
    </row>
    <row r="357" spans="1:5">
      <c r="A357" s="61" t="s">
        <v>114</v>
      </c>
      <c r="B357" s="61" t="s">
        <v>383</v>
      </c>
      <c r="C357" s="62">
        <v>44799</v>
      </c>
      <c r="D357" s="62">
        <v>44799</v>
      </c>
      <c r="E357" s="63">
        <v>0</v>
      </c>
    </row>
    <row r="358" spans="1:5">
      <c r="A358" s="61" t="s">
        <v>114</v>
      </c>
      <c r="B358" s="61" t="s">
        <v>383</v>
      </c>
      <c r="C358" s="62">
        <v>44800</v>
      </c>
      <c r="D358" s="62">
        <v>44800</v>
      </c>
      <c r="E358" s="63">
        <v>0</v>
      </c>
    </row>
    <row r="359" spans="1:5">
      <c r="A359" s="61" t="s">
        <v>114</v>
      </c>
      <c r="B359" s="61" t="s">
        <v>383</v>
      </c>
      <c r="C359" s="62">
        <v>44801</v>
      </c>
      <c r="D359" s="62">
        <v>44801</v>
      </c>
      <c r="E359" s="63">
        <v>0</v>
      </c>
    </row>
    <row r="360" spans="1:5">
      <c r="A360" s="61" t="s">
        <v>114</v>
      </c>
      <c r="B360" s="61" t="s">
        <v>383</v>
      </c>
      <c r="C360" s="62">
        <v>44802</v>
      </c>
      <c r="D360" s="62">
        <v>44802</v>
      </c>
      <c r="E360" s="63">
        <v>0</v>
      </c>
    </row>
    <row r="361" spans="1:5">
      <c r="A361" s="61" t="s">
        <v>114</v>
      </c>
      <c r="B361" s="61" t="s">
        <v>383</v>
      </c>
      <c r="C361" s="62">
        <v>44803</v>
      </c>
      <c r="D361" s="62">
        <v>44803</v>
      </c>
      <c r="E361" s="63">
        <v>-29.32</v>
      </c>
    </row>
    <row r="362" spans="1:5">
      <c r="A362" s="61" t="s">
        <v>14</v>
      </c>
      <c r="B362" s="61" t="s">
        <v>380</v>
      </c>
      <c r="C362" s="62">
        <v>44774</v>
      </c>
      <c r="D362" s="62">
        <v>44774</v>
      </c>
      <c r="E362" s="63">
        <v>0</v>
      </c>
    </row>
    <row r="363" spans="1:5">
      <c r="A363" s="61" t="s">
        <v>14</v>
      </c>
      <c r="B363" s="61" t="s">
        <v>380</v>
      </c>
      <c r="C363" s="62">
        <v>44775</v>
      </c>
      <c r="D363" s="62">
        <v>44775</v>
      </c>
      <c r="E363" s="63">
        <v>555.87</v>
      </c>
    </row>
    <row r="364" spans="1:5">
      <c r="A364" s="61" t="s">
        <v>14</v>
      </c>
      <c r="B364" s="61" t="s">
        <v>380</v>
      </c>
      <c r="C364" s="62">
        <v>44776</v>
      </c>
      <c r="D364" s="62">
        <v>44776</v>
      </c>
      <c r="E364" s="63">
        <v>0</v>
      </c>
    </row>
    <row r="365" spans="1:5">
      <c r="A365" s="61" t="s">
        <v>14</v>
      </c>
      <c r="B365" s="61" t="s">
        <v>380</v>
      </c>
      <c r="C365" s="62">
        <v>44777</v>
      </c>
      <c r="D365" s="62">
        <v>44777</v>
      </c>
      <c r="E365" s="63">
        <v>0</v>
      </c>
    </row>
    <row r="366" spans="1:5">
      <c r="A366" s="61" t="s">
        <v>14</v>
      </c>
      <c r="B366" s="61" t="s">
        <v>380</v>
      </c>
      <c r="C366" s="62">
        <v>44778</v>
      </c>
      <c r="D366" s="62">
        <v>44778</v>
      </c>
      <c r="E366" s="63">
        <v>0</v>
      </c>
    </row>
    <row r="367" spans="1:5">
      <c r="A367" s="61" t="s">
        <v>14</v>
      </c>
      <c r="B367" s="61" t="s">
        <v>380</v>
      </c>
      <c r="C367" s="62">
        <v>44779</v>
      </c>
      <c r="D367" s="62">
        <v>44779</v>
      </c>
      <c r="E367" s="63">
        <v>0</v>
      </c>
    </row>
    <row r="368" spans="1:5">
      <c r="A368" s="61" t="s">
        <v>14</v>
      </c>
      <c r="B368" s="61" t="s">
        <v>380</v>
      </c>
      <c r="C368" s="62">
        <v>44780</v>
      </c>
      <c r="D368" s="62">
        <v>44780</v>
      </c>
      <c r="E368" s="63">
        <v>0</v>
      </c>
    </row>
    <row r="369" spans="1:5">
      <c r="A369" s="61" t="s">
        <v>14</v>
      </c>
      <c r="B369" s="61" t="s">
        <v>380</v>
      </c>
      <c r="C369" s="62">
        <v>44781</v>
      </c>
      <c r="D369" s="62">
        <v>44781</v>
      </c>
      <c r="E369" s="63">
        <v>0</v>
      </c>
    </row>
    <row r="370" spans="1:5">
      <c r="A370" s="61" t="s">
        <v>14</v>
      </c>
      <c r="B370" s="61" t="s">
        <v>380</v>
      </c>
      <c r="C370" s="62">
        <v>44782</v>
      </c>
      <c r="D370" s="62">
        <v>44782</v>
      </c>
      <c r="E370" s="63">
        <v>526.58000000000004</v>
      </c>
    </row>
    <row r="371" spans="1:5">
      <c r="A371" s="61" t="s">
        <v>14</v>
      </c>
      <c r="B371" s="61" t="s">
        <v>380</v>
      </c>
      <c r="C371" s="62">
        <v>44783</v>
      </c>
      <c r="D371" s="62">
        <v>44783</v>
      </c>
      <c r="E371" s="63">
        <v>0</v>
      </c>
    </row>
    <row r="372" spans="1:5">
      <c r="A372" s="61" t="s">
        <v>14</v>
      </c>
      <c r="B372" s="61" t="s">
        <v>380</v>
      </c>
      <c r="C372" s="62">
        <v>44784</v>
      </c>
      <c r="D372" s="62">
        <v>44784</v>
      </c>
      <c r="E372" s="63">
        <v>0</v>
      </c>
    </row>
    <row r="373" spans="1:5">
      <c r="A373" s="61" t="s">
        <v>14</v>
      </c>
      <c r="B373" s="61" t="s">
        <v>380</v>
      </c>
      <c r="C373" s="62">
        <v>44785</v>
      </c>
      <c r="D373" s="62">
        <v>44785</v>
      </c>
      <c r="E373" s="63">
        <v>0</v>
      </c>
    </row>
    <row r="374" spans="1:5">
      <c r="A374" s="61" t="s">
        <v>14</v>
      </c>
      <c r="B374" s="61" t="s">
        <v>380</v>
      </c>
      <c r="C374" s="62">
        <v>44786</v>
      </c>
      <c r="D374" s="62">
        <v>44786</v>
      </c>
      <c r="E374" s="63">
        <v>0</v>
      </c>
    </row>
    <row r="375" spans="1:5">
      <c r="A375" s="61" t="s">
        <v>14</v>
      </c>
      <c r="B375" s="61" t="s">
        <v>380</v>
      </c>
      <c r="C375" s="62">
        <v>44787</v>
      </c>
      <c r="D375" s="62">
        <v>44787</v>
      </c>
      <c r="E375" s="63">
        <v>0</v>
      </c>
    </row>
    <row r="376" spans="1:5">
      <c r="A376" s="61" t="s">
        <v>14</v>
      </c>
      <c r="B376" s="61" t="s">
        <v>380</v>
      </c>
      <c r="C376" s="62">
        <v>44788</v>
      </c>
      <c r="D376" s="62">
        <v>44788</v>
      </c>
      <c r="E376" s="63">
        <v>0</v>
      </c>
    </row>
    <row r="377" spans="1:5">
      <c r="A377" s="61" t="s">
        <v>14</v>
      </c>
      <c r="B377" s="61" t="s">
        <v>380</v>
      </c>
      <c r="C377" s="62">
        <v>44789</v>
      </c>
      <c r="D377" s="62">
        <v>44789</v>
      </c>
      <c r="E377" s="63">
        <v>0</v>
      </c>
    </row>
    <row r="378" spans="1:5">
      <c r="A378" s="61" t="s">
        <v>14</v>
      </c>
      <c r="B378" s="61" t="s">
        <v>380</v>
      </c>
      <c r="C378" s="62">
        <v>44790</v>
      </c>
      <c r="D378" s="62">
        <v>44790</v>
      </c>
      <c r="E378" s="63">
        <v>0</v>
      </c>
    </row>
    <row r="379" spans="1:5">
      <c r="A379" s="61" t="s">
        <v>14</v>
      </c>
      <c r="B379" s="61" t="s">
        <v>380</v>
      </c>
      <c r="C379" s="62">
        <v>44791</v>
      </c>
      <c r="D379" s="62">
        <v>44791</v>
      </c>
      <c r="E379" s="63">
        <v>540.04</v>
      </c>
    </row>
    <row r="380" spans="1:5">
      <c r="A380" s="61" t="s">
        <v>14</v>
      </c>
      <c r="B380" s="61" t="s">
        <v>380</v>
      </c>
      <c r="C380" s="62">
        <v>44792</v>
      </c>
      <c r="D380" s="62">
        <v>44792</v>
      </c>
      <c r="E380" s="63">
        <v>0</v>
      </c>
    </row>
    <row r="381" spans="1:5">
      <c r="A381" s="61" t="s">
        <v>14</v>
      </c>
      <c r="B381" s="61" t="s">
        <v>380</v>
      </c>
      <c r="C381" s="62">
        <v>44793</v>
      </c>
      <c r="D381" s="62">
        <v>44793</v>
      </c>
      <c r="E381" s="63">
        <v>0</v>
      </c>
    </row>
    <row r="382" spans="1:5">
      <c r="A382" s="61" t="s">
        <v>14</v>
      </c>
      <c r="B382" s="61" t="s">
        <v>380</v>
      </c>
      <c r="C382" s="62">
        <v>44794</v>
      </c>
      <c r="D382" s="62">
        <v>44794</v>
      </c>
      <c r="E382" s="63">
        <v>0</v>
      </c>
    </row>
    <row r="383" spans="1:5">
      <c r="A383" s="61" t="s">
        <v>14</v>
      </c>
      <c r="B383" s="61" t="s">
        <v>380</v>
      </c>
      <c r="C383" s="62">
        <v>44795</v>
      </c>
      <c r="D383" s="62">
        <v>44795</v>
      </c>
      <c r="E383" s="63">
        <v>0</v>
      </c>
    </row>
    <row r="384" spans="1:5">
      <c r="A384" s="61" t="s">
        <v>14</v>
      </c>
      <c r="B384" s="61" t="s">
        <v>380</v>
      </c>
      <c r="C384" s="62">
        <v>44796</v>
      </c>
      <c r="D384" s="62">
        <v>44796</v>
      </c>
      <c r="E384" s="63">
        <v>423.96</v>
      </c>
    </row>
    <row r="385" spans="1:5">
      <c r="A385" s="61" t="s">
        <v>14</v>
      </c>
      <c r="B385" s="61" t="s">
        <v>380</v>
      </c>
      <c r="C385" s="62">
        <v>44797</v>
      </c>
      <c r="D385" s="62">
        <v>44797</v>
      </c>
      <c r="E385" s="63">
        <v>0</v>
      </c>
    </row>
    <row r="386" spans="1:5">
      <c r="A386" s="61" t="s">
        <v>14</v>
      </c>
      <c r="B386" s="61" t="s">
        <v>380</v>
      </c>
      <c r="C386" s="62">
        <v>44798</v>
      </c>
      <c r="D386" s="62">
        <v>44798</v>
      </c>
      <c r="E386" s="63">
        <v>0</v>
      </c>
    </row>
    <row r="387" spans="1:5">
      <c r="A387" s="61" t="s">
        <v>14</v>
      </c>
      <c r="B387" s="61" t="s">
        <v>380</v>
      </c>
      <c r="C387" s="62">
        <v>44799</v>
      </c>
      <c r="D387" s="62">
        <v>44799</v>
      </c>
      <c r="E387" s="63">
        <v>0</v>
      </c>
    </row>
    <row r="388" spans="1:5">
      <c r="A388" s="61" t="s">
        <v>14</v>
      </c>
      <c r="B388" s="61" t="s">
        <v>380</v>
      </c>
      <c r="C388" s="62">
        <v>44800</v>
      </c>
      <c r="D388" s="62">
        <v>44800</v>
      </c>
      <c r="E388" s="63">
        <v>0</v>
      </c>
    </row>
    <row r="389" spans="1:5">
      <c r="A389" s="61" t="s">
        <v>14</v>
      </c>
      <c r="B389" s="61" t="s">
        <v>380</v>
      </c>
      <c r="C389" s="62">
        <v>44801</v>
      </c>
      <c r="D389" s="62">
        <v>44801</v>
      </c>
      <c r="E389" s="63">
        <v>0</v>
      </c>
    </row>
    <row r="390" spans="1:5">
      <c r="A390" s="61" t="s">
        <v>14</v>
      </c>
      <c r="B390" s="61" t="s">
        <v>380</v>
      </c>
      <c r="C390" s="62">
        <v>44802</v>
      </c>
      <c r="D390" s="62">
        <v>44802</v>
      </c>
      <c r="E390" s="63">
        <v>0</v>
      </c>
    </row>
    <row r="391" spans="1:5">
      <c r="A391" s="61" t="s">
        <v>14</v>
      </c>
      <c r="B391" s="61" t="s">
        <v>380</v>
      </c>
      <c r="C391" s="62">
        <v>44803</v>
      </c>
      <c r="D391" s="62">
        <v>44803</v>
      </c>
      <c r="E391" s="63">
        <v>0</v>
      </c>
    </row>
    <row r="392" spans="1:5">
      <c r="A392" s="61" t="s">
        <v>115</v>
      </c>
      <c r="B392" s="61" t="s">
        <v>381</v>
      </c>
      <c r="C392" s="62">
        <v>44774</v>
      </c>
      <c r="D392" s="62">
        <v>44774</v>
      </c>
      <c r="E392" s="63">
        <v>0</v>
      </c>
    </row>
    <row r="393" spans="1:5">
      <c r="A393" s="61" t="s">
        <v>115</v>
      </c>
      <c r="B393" s="61" t="s">
        <v>381</v>
      </c>
      <c r="C393" s="62">
        <v>44775</v>
      </c>
      <c r="D393" s="62">
        <v>44775</v>
      </c>
      <c r="E393" s="63">
        <v>0</v>
      </c>
    </row>
    <row r="394" spans="1:5">
      <c r="A394" s="61" t="s">
        <v>115</v>
      </c>
      <c r="B394" s="61" t="s">
        <v>381</v>
      </c>
      <c r="C394" s="62">
        <v>44776</v>
      </c>
      <c r="D394" s="62">
        <v>44776</v>
      </c>
      <c r="E394" s="63">
        <v>0</v>
      </c>
    </row>
    <row r="395" spans="1:5">
      <c r="A395" s="61" t="s">
        <v>115</v>
      </c>
      <c r="B395" s="61" t="s">
        <v>381</v>
      </c>
      <c r="C395" s="62">
        <v>44777</v>
      </c>
      <c r="D395" s="62">
        <v>44777</v>
      </c>
      <c r="E395" s="63">
        <v>0</v>
      </c>
    </row>
    <row r="396" spans="1:5">
      <c r="A396" s="61" t="s">
        <v>115</v>
      </c>
      <c r="B396" s="61" t="s">
        <v>381</v>
      </c>
      <c r="C396" s="62">
        <v>44778</v>
      </c>
      <c r="D396" s="62">
        <v>44778</v>
      </c>
      <c r="E396" s="63">
        <v>0</v>
      </c>
    </row>
    <row r="397" spans="1:5">
      <c r="A397" s="61" t="s">
        <v>115</v>
      </c>
      <c r="B397" s="61" t="s">
        <v>381</v>
      </c>
      <c r="C397" s="62">
        <v>44779</v>
      </c>
      <c r="D397" s="62">
        <v>44779</v>
      </c>
      <c r="E397" s="63">
        <v>0</v>
      </c>
    </row>
    <row r="398" spans="1:5">
      <c r="A398" s="61" t="s">
        <v>115</v>
      </c>
      <c r="B398" s="61" t="s">
        <v>381</v>
      </c>
      <c r="C398" s="62">
        <v>44780</v>
      </c>
      <c r="D398" s="62">
        <v>44780</v>
      </c>
      <c r="E398" s="63">
        <v>0</v>
      </c>
    </row>
    <row r="399" spans="1:5">
      <c r="A399" s="61" t="s">
        <v>115</v>
      </c>
      <c r="B399" s="61" t="s">
        <v>381</v>
      </c>
      <c r="C399" s="62">
        <v>44781</v>
      </c>
      <c r="D399" s="62">
        <v>44781</v>
      </c>
      <c r="E399" s="63">
        <v>0</v>
      </c>
    </row>
    <row r="400" spans="1:5">
      <c r="A400" s="61" t="s">
        <v>115</v>
      </c>
      <c r="B400" s="61" t="s">
        <v>381</v>
      </c>
      <c r="C400" s="62">
        <v>44782</v>
      </c>
      <c r="D400" s="62">
        <v>44782</v>
      </c>
      <c r="E400" s="63">
        <v>0</v>
      </c>
    </row>
    <row r="401" spans="1:5">
      <c r="A401" s="61" t="s">
        <v>115</v>
      </c>
      <c r="B401" s="61" t="s">
        <v>381</v>
      </c>
      <c r="C401" s="62">
        <v>44783</v>
      </c>
      <c r="D401" s="62">
        <v>44783</v>
      </c>
      <c r="E401" s="63">
        <v>0</v>
      </c>
    </row>
    <row r="402" spans="1:5">
      <c r="A402" s="61" t="s">
        <v>115</v>
      </c>
      <c r="B402" s="61" t="s">
        <v>381</v>
      </c>
      <c r="C402" s="62">
        <v>44784</v>
      </c>
      <c r="D402" s="62">
        <v>44784</v>
      </c>
      <c r="E402" s="63">
        <v>536.5200000000001</v>
      </c>
    </row>
    <row r="403" spans="1:5">
      <c r="A403" s="61" t="s">
        <v>115</v>
      </c>
      <c r="B403" s="61" t="s">
        <v>381</v>
      </c>
      <c r="C403" s="62">
        <v>44785</v>
      </c>
      <c r="D403" s="62">
        <v>44785</v>
      </c>
      <c r="E403" s="63">
        <v>0</v>
      </c>
    </row>
    <row r="404" spans="1:5">
      <c r="A404" s="61" t="s">
        <v>115</v>
      </c>
      <c r="B404" s="61" t="s">
        <v>381</v>
      </c>
      <c r="C404" s="62">
        <v>44786</v>
      </c>
      <c r="D404" s="62">
        <v>44786</v>
      </c>
      <c r="E404" s="63">
        <v>0</v>
      </c>
    </row>
    <row r="405" spans="1:5">
      <c r="A405" s="61" t="s">
        <v>115</v>
      </c>
      <c r="B405" s="61" t="s">
        <v>381</v>
      </c>
      <c r="C405" s="62">
        <v>44787</v>
      </c>
      <c r="D405" s="62">
        <v>44787</v>
      </c>
      <c r="E405" s="63">
        <v>0</v>
      </c>
    </row>
    <row r="406" spans="1:5">
      <c r="A406" s="61" t="s">
        <v>115</v>
      </c>
      <c r="B406" s="61" t="s">
        <v>381</v>
      </c>
      <c r="C406" s="62">
        <v>44788</v>
      </c>
      <c r="D406" s="62">
        <v>44788</v>
      </c>
      <c r="E406" s="63">
        <v>0</v>
      </c>
    </row>
    <row r="407" spans="1:5">
      <c r="A407" s="61" t="s">
        <v>115</v>
      </c>
      <c r="B407" s="61" t="s">
        <v>381</v>
      </c>
      <c r="C407" s="62">
        <v>44789</v>
      </c>
      <c r="D407" s="62">
        <v>44789</v>
      </c>
      <c r="E407" s="63">
        <v>0</v>
      </c>
    </row>
    <row r="408" spans="1:5">
      <c r="A408" s="61" t="s">
        <v>115</v>
      </c>
      <c r="B408" s="61" t="s">
        <v>381</v>
      </c>
      <c r="C408" s="62">
        <v>44790</v>
      </c>
      <c r="D408" s="62">
        <v>44790</v>
      </c>
      <c r="E408" s="63">
        <v>0</v>
      </c>
    </row>
    <row r="409" spans="1:5">
      <c r="A409" s="61" t="s">
        <v>115</v>
      </c>
      <c r="B409" s="61" t="s">
        <v>381</v>
      </c>
      <c r="C409" s="62">
        <v>44791</v>
      </c>
      <c r="D409" s="62">
        <v>44791</v>
      </c>
      <c r="E409" s="63">
        <v>0</v>
      </c>
    </row>
    <row r="410" spans="1:5">
      <c r="A410" s="61" t="s">
        <v>115</v>
      </c>
      <c r="B410" s="61" t="s">
        <v>381</v>
      </c>
      <c r="C410" s="62">
        <v>44792</v>
      </c>
      <c r="D410" s="62">
        <v>44792</v>
      </c>
      <c r="E410" s="63">
        <v>0</v>
      </c>
    </row>
    <row r="411" spans="1:5">
      <c r="A411" s="61" t="s">
        <v>115</v>
      </c>
      <c r="B411" s="61" t="s">
        <v>381</v>
      </c>
      <c r="C411" s="62">
        <v>44793</v>
      </c>
      <c r="D411" s="62">
        <v>44793</v>
      </c>
      <c r="E411" s="63">
        <v>0</v>
      </c>
    </row>
    <row r="412" spans="1:5">
      <c r="A412" s="61" t="s">
        <v>115</v>
      </c>
      <c r="B412" s="61" t="s">
        <v>381</v>
      </c>
      <c r="C412" s="62">
        <v>44794</v>
      </c>
      <c r="D412" s="62">
        <v>44794</v>
      </c>
      <c r="E412" s="63">
        <v>0</v>
      </c>
    </row>
    <row r="413" spans="1:5">
      <c r="A413" s="61" t="s">
        <v>115</v>
      </c>
      <c r="B413" s="61" t="s">
        <v>381</v>
      </c>
      <c r="C413" s="62">
        <v>44795</v>
      </c>
      <c r="D413" s="62">
        <v>44795</v>
      </c>
      <c r="E413" s="63">
        <v>0</v>
      </c>
    </row>
    <row r="414" spans="1:5">
      <c r="A414" s="61" t="s">
        <v>115</v>
      </c>
      <c r="B414" s="61" t="s">
        <v>381</v>
      </c>
      <c r="C414" s="62">
        <v>44796</v>
      </c>
      <c r="D414" s="62">
        <v>44796</v>
      </c>
      <c r="E414" s="63">
        <v>466.6</v>
      </c>
    </row>
    <row r="415" spans="1:5">
      <c r="A415" s="61" t="s">
        <v>115</v>
      </c>
      <c r="B415" s="61" t="s">
        <v>381</v>
      </c>
      <c r="C415" s="62">
        <v>44797</v>
      </c>
      <c r="D415" s="62">
        <v>44797</v>
      </c>
      <c r="E415" s="63">
        <v>0</v>
      </c>
    </row>
    <row r="416" spans="1:5">
      <c r="A416" s="61" t="s">
        <v>115</v>
      </c>
      <c r="B416" s="61" t="s">
        <v>381</v>
      </c>
      <c r="C416" s="62">
        <v>44798</v>
      </c>
      <c r="D416" s="62">
        <v>44798</v>
      </c>
      <c r="E416" s="63">
        <v>0</v>
      </c>
    </row>
    <row r="417" spans="1:5">
      <c r="A417" s="61" t="s">
        <v>115</v>
      </c>
      <c r="B417" s="61" t="s">
        <v>381</v>
      </c>
      <c r="C417" s="62">
        <v>44799</v>
      </c>
      <c r="D417" s="62">
        <v>44799</v>
      </c>
      <c r="E417" s="63">
        <v>3759.32</v>
      </c>
    </row>
    <row r="418" spans="1:5">
      <c r="A418" s="61" t="s">
        <v>115</v>
      </c>
      <c r="B418" s="61" t="s">
        <v>381</v>
      </c>
      <c r="C418" s="62">
        <v>44800</v>
      </c>
      <c r="D418" s="62">
        <v>44800</v>
      </c>
      <c r="E418" s="63">
        <v>0</v>
      </c>
    </row>
    <row r="419" spans="1:5">
      <c r="A419" s="61" t="s">
        <v>115</v>
      </c>
      <c r="B419" s="61" t="s">
        <v>381</v>
      </c>
      <c r="C419" s="62">
        <v>44801</v>
      </c>
      <c r="D419" s="62">
        <v>44801</v>
      </c>
      <c r="E419" s="63">
        <v>0</v>
      </c>
    </row>
    <row r="420" spans="1:5">
      <c r="A420" s="61" t="s">
        <v>115</v>
      </c>
      <c r="B420" s="61" t="s">
        <v>381</v>
      </c>
      <c r="C420" s="62">
        <v>44802</v>
      </c>
      <c r="D420" s="62">
        <v>44802</v>
      </c>
      <c r="E420" s="63">
        <v>0</v>
      </c>
    </row>
    <row r="421" spans="1:5">
      <c r="A421" s="61" t="s">
        <v>115</v>
      </c>
      <c r="B421" s="61" t="s">
        <v>381</v>
      </c>
      <c r="C421" s="62">
        <v>44803</v>
      </c>
      <c r="D421" s="62">
        <v>44803</v>
      </c>
      <c r="E421" s="63">
        <v>0</v>
      </c>
    </row>
    <row r="422" spans="1:5">
      <c r="A422" s="61" t="s">
        <v>116</v>
      </c>
      <c r="B422" s="61" t="s">
        <v>382</v>
      </c>
      <c r="C422" s="62">
        <v>44774</v>
      </c>
      <c r="D422" s="62">
        <v>44774</v>
      </c>
      <c r="E422" s="63">
        <v>0</v>
      </c>
    </row>
    <row r="423" spans="1:5">
      <c r="A423" s="61" t="s">
        <v>116</v>
      </c>
      <c r="B423" s="61" t="s">
        <v>382</v>
      </c>
      <c r="C423" s="62">
        <v>44775</v>
      </c>
      <c r="D423" s="62">
        <v>44775</v>
      </c>
      <c r="E423" s="63">
        <v>0</v>
      </c>
    </row>
    <row r="424" spans="1:5">
      <c r="A424" s="61" t="s">
        <v>116</v>
      </c>
      <c r="B424" s="61" t="s">
        <v>382</v>
      </c>
      <c r="C424" s="62">
        <v>44776</v>
      </c>
      <c r="D424" s="62">
        <v>44776</v>
      </c>
      <c r="E424" s="63">
        <v>0</v>
      </c>
    </row>
    <row r="425" spans="1:5">
      <c r="A425" s="61" t="s">
        <v>116</v>
      </c>
      <c r="B425" s="61" t="s">
        <v>382</v>
      </c>
      <c r="C425" s="62">
        <v>44777</v>
      </c>
      <c r="D425" s="62">
        <v>44777</v>
      </c>
      <c r="E425" s="63">
        <v>0</v>
      </c>
    </row>
    <row r="426" spans="1:5">
      <c r="A426" s="61" t="s">
        <v>116</v>
      </c>
      <c r="B426" s="61" t="s">
        <v>382</v>
      </c>
      <c r="C426" s="62">
        <v>44778</v>
      </c>
      <c r="D426" s="62">
        <v>44778</v>
      </c>
      <c r="E426" s="63">
        <v>0</v>
      </c>
    </row>
    <row r="427" spans="1:5">
      <c r="A427" s="61" t="s">
        <v>116</v>
      </c>
      <c r="B427" s="61" t="s">
        <v>382</v>
      </c>
      <c r="C427" s="62">
        <v>44779</v>
      </c>
      <c r="D427" s="62">
        <v>44779</v>
      </c>
      <c r="E427" s="63">
        <v>0</v>
      </c>
    </row>
    <row r="428" spans="1:5">
      <c r="A428" s="61" t="s">
        <v>116</v>
      </c>
      <c r="B428" s="61" t="s">
        <v>382</v>
      </c>
      <c r="C428" s="62">
        <v>44780</v>
      </c>
      <c r="D428" s="62">
        <v>44780</v>
      </c>
      <c r="E428" s="63">
        <v>0</v>
      </c>
    </row>
    <row r="429" spans="1:5">
      <c r="A429" s="61" t="s">
        <v>116</v>
      </c>
      <c r="B429" s="61" t="s">
        <v>382</v>
      </c>
      <c r="C429" s="62">
        <v>44781</v>
      </c>
      <c r="D429" s="62">
        <v>44781</v>
      </c>
      <c r="E429" s="63">
        <v>0</v>
      </c>
    </row>
    <row r="430" spans="1:5">
      <c r="A430" s="61" t="s">
        <v>116</v>
      </c>
      <c r="B430" s="61" t="s">
        <v>382</v>
      </c>
      <c r="C430" s="62">
        <v>44782</v>
      </c>
      <c r="D430" s="62">
        <v>44782</v>
      </c>
      <c r="E430" s="63">
        <v>0</v>
      </c>
    </row>
    <row r="431" spans="1:5">
      <c r="A431" s="61" t="s">
        <v>116</v>
      </c>
      <c r="B431" s="61" t="s">
        <v>382</v>
      </c>
      <c r="C431" s="62">
        <v>44783</v>
      </c>
      <c r="D431" s="62">
        <v>44783</v>
      </c>
      <c r="E431" s="63">
        <v>0</v>
      </c>
    </row>
    <row r="432" spans="1:5">
      <c r="A432" s="61" t="s">
        <v>116</v>
      </c>
      <c r="B432" s="61" t="s">
        <v>382</v>
      </c>
      <c r="C432" s="62">
        <v>44784</v>
      </c>
      <c r="D432" s="62">
        <v>44784</v>
      </c>
      <c r="E432" s="63">
        <v>0</v>
      </c>
    </row>
    <row r="433" spans="1:5">
      <c r="A433" s="61" t="s">
        <v>116</v>
      </c>
      <c r="B433" s="61" t="s">
        <v>382</v>
      </c>
      <c r="C433" s="62">
        <v>44785</v>
      </c>
      <c r="D433" s="62">
        <v>44785</v>
      </c>
      <c r="E433" s="63">
        <v>0</v>
      </c>
    </row>
    <row r="434" spans="1:5">
      <c r="A434" s="61" t="s">
        <v>116</v>
      </c>
      <c r="B434" s="61" t="s">
        <v>382</v>
      </c>
      <c r="C434" s="62">
        <v>44786</v>
      </c>
      <c r="D434" s="62">
        <v>44786</v>
      </c>
      <c r="E434" s="63">
        <v>0</v>
      </c>
    </row>
    <row r="435" spans="1:5">
      <c r="A435" s="61" t="s">
        <v>116</v>
      </c>
      <c r="B435" s="61" t="s">
        <v>382</v>
      </c>
      <c r="C435" s="62">
        <v>44787</v>
      </c>
      <c r="D435" s="62">
        <v>44787</v>
      </c>
      <c r="E435" s="63">
        <v>0</v>
      </c>
    </row>
    <row r="436" spans="1:5">
      <c r="A436" s="61" t="s">
        <v>116</v>
      </c>
      <c r="B436" s="61" t="s">
        <v>382</v>
      </c>
      <c r="C436" s="62">
        <v>44788</v>
      </c>
      <c r="D436" s="62">
        <v>44788</v>
      </c>
      <c r="E436" s="63">
        <v>0</v>
      </c>
    </row>
    <row r="437" spans="1:5">
      <c r="A437" s="61" t="s">
        <v>116</v>
      </c>
      <c r="B437" s="61" t="s">
        <v>382</v>
      </c>
      <c r="C437" s="62">
        <v>44789</v>
      </c>
      <c r="D437" s="62">
        <v>44789</v>
      </c>
      <c r="E437" s="63">
        <v>0</v>
      </c>
    </row>
    <row r="438" spans="1:5">
      <c r="A438" s="61" t="s">
        <v>116</v>
      </c>
      <c r="B438" s="61" t="s">
        <v>382</v>
      </c>
      <c r="C438" s="62">
        <v>44790</v>
      </c>
      <c r="D438" s="62">
        <v>44790</v>
      </c>
      <c r="E438" s="63">
        <v>0</v>
      </c>
    </row>
    <row r="439" spans="1:5">
      <c r="A439" s="61" t="s">
        <v>116</v>
      </c>
      <c r="B439" s="61" t="s">
        <v>382</v>
      </c>
      <c r="C439" s="62">
        <v>44791</v>
      </c>
      <c r="D439" s="62">
        <v>44791</v>
      </c>
      <c r="E439" s="63">
        <v>0</v>
      </c>
    </row>
    <row r="440" spans="1:5">
      <c r="A440" s="61" t="s">
        <v>116</v>
      </c>
      <c r="B440" s="61" t="s">
        <v>382</v>
      </c>
      <c r="C440" s="62">
        <v>44792</v>
      </c>
      <c r="D440" s="62">
        <v>44792</v>
      </c>
      <c r="E440" s="63">
        <v>0</v>
      </c>
    </row>
    <row r="441" spans="1:5">
      <c r="A441" s="61" t="s">
        <v>116</v>
      </c>
      <c r="B441" s="61" t="s">
        <v>382</v>
      </c>
      <c r="C441" s="62">
        <v>44793</v>
      </c>
      <c r="D441" s="62">
        <v>44793</v>
      </c>
      <c r="E441" s="63">
        <v>0</v>
      </c>
    </row>
    <row r="442" spans="1:5">
      <c r="A442" s="61" t="s">
        <v>116</v>
      </c>
      <c r="B442" s="61" t="s">
        <v>382</v>
      </c>
      <c r="C442" s="62">
        <v>44794</v>
      </c>
      <c r="D442" s="62">
        <v>44794</v>
      </c>
      <c r="E442" s="63">
        <v>0</v>
      </c>
    </row>
    <row r="443" spans="1:5">
      <c r="A443" s="61" t="s">
        <v>116</v>
      </c>
      <c r="B443" s="61" t="s">
        <v>382</v>
      </c>
      <c r="C443" s="62">
        <v>44795</v>
      </c>
      <c r="D443" s="62">
        <v>44795</v>
      </c>
      <c r="E443" s="63">
        <v>0</v>
      </c>
    </row>
    <row r="444" spans="1:5">
      <c r="A444" s="61" t="s">
        <v>116</v>
      </c>
      <c r="B444" s="61" t="s">
        <v>382</v>
      </c>
      <c r="C444" s="62">
        <v>44796</v>
      </c>
      <c r="D444" s="62">
        <v>44796</v>
      </c>
      <c r="E444" s="63">
        <v>0</v>
      </c>
    </row>
    <row r="445" spans="1:5">
      <c r="A445" s="61" t="s">
        <v>116</v>
      </c>
      <c r="B445" s="61" t="s">
        <v>382</v>
      </c>
      <c r="C445" s="62">
        <v>44797</v>
      </c>
      <c r="D445" s="62">
        <v>44797</v>
      </c>
      <c r="E445" s="63">
        <v>0</v>
      </c>
    </row>
    <row r="446" spans="1:5">
      <c r="A446" s="61" t="s">
        <v>116</v>
      </c>
      <c r="B446" s="61" t="s">
        <v>382</v>
      </c>
      <c r="C446" s="62">
        <v>44798</v>
      </c>
      <c r="D446" s="62">
        <v>44798</v>
      </c>
      <c r="E446" s="63">
        <v>0</v>
      </c>
    </row>
    <row r="447" spans="1:5">
      <c r="A447" s="61" t="s">
        <v>116</v>
      </c>
      <c r="B447" s="61" t="s">
        <v>382</v>
      </c>
      <c r="C447" s="62">
        <v>44799</v>
      </c>
      <c r="D447" s="62">
        <v>44799</v>
      </c>
      <c r="E447" s="63">
        <v>4459.79</v>
      </c>
    </row>
    <row r="448" spans="1:5">
      <c r="A448" s="61" t="s">
        <v>116</v>
      </c>
      <c r="B448" s="61" t="s">
        <v>382</v>
      </c>
      <c r="C448" s="62">
        <v>44800</v>
      </c>
      <c r="D448" s="62">
        <v>44800</v>
      </c>
      <c r="E448" s="63">
        <v>0</v>
      </c>
    </row>
    <row r="449" spans="1:5">
      <c r="A449" s="61" t="s">
        <v>116</v>
      </c>
      <c r="B449" s="61" t="s">
        <v>382</v>
      </c>
      <c r="C449" s="62">
        <v>44801</v>
      </c>
      <c r="D449" s="62">
        <v>44801</v>
      </c>
      <c r="E449" s="63">
        <v>0</v>
      </c>
    </row>
    <row r="450" spans="1:5">
      <c r="A450" s="61" t="s">
        <v>116</v>
      </c>
      <c r="B450" s="61" t="s">
        <v>382</v>
      </c>
      <c r="C450" s="62">
        <v>44802</v>
      </c>
      <c r="D450" s="62">
        <v>44802</v>
      </c>
      <c r="E450" s="63">
        <v>0</v>
      </c>
    </row>
    <row r="451" spans="1:5">
      <c r="A451" s="61" t="s">
        <v>116</v>
      </c>
      <c r="B451" s="61" t="s">
        <v>382</v>
      </c>
      <c r="C451" s="62">
        <v>44803</v>
      </c>
      <c r="D451" s="62">
        <v>44803</v>
      </c>
      <c r="E451" s="63">
        <v>0</v>
      </c>
    </row>
    <row r="452" spans="1:5">
      <c r="A452" s="61" t="s">
        <v>117</v>
      </c>
      <c r="B452" s="61" t="s">
        <v>383</v>
      </c>
      <c r="C452" s="62">
        <v>44774</v>
      </c>
      <c r="D452" s="62">
        <v>44774</v>
      </c>
      <c r="E452" s="63">
        <v>0</v>
      </c>
    </row>
    <row r="453" spans="1:5">
      <c r="A453" s="61" t="s">
        <v>117</v>
      </c>
      <c r="B453" s="61" t="s">
        <v>383</v>
      </c>
      <c r="C453" s="62">
        <v>44775</v>
      </c>
      <c r="D453" s="62">
        <v>44775</v>
      </c>
      <c r="E453" s="63">
        <v>0</v>
      </c>
    </row>
    <row r="454" spans="1:5">
      <c r="A454" s="61" t="s">
        <v>117</v>
      </c>
      <c r="B454" s="61" t="s">
        <v>383</v>
      </c>
      <c r="C454" s="62">
        <v>44776</v>
      </c>
      <c r="D454" s="62">
        <v>44776</v>
      </c>
      <c r="E454" s="63">
        <v>0</v>
      </c>
    </row>
    <row r="455" spans="1:5">
      <c r="A455" s="61" t="s">
        <v>117</v>
      </c>
      <c r="B455" s="61" t="s">
        <v>383</v>
      </c>
      <c r="C455" s="62">
        <v>44777</v>
      </c>
      <c r="D455" s="62">
        <v>44777</v>
      </c>
      <c r="E455" s="63">
        <v>0</v>
      </c>
    </row>
    <row r="456" spans="1:5">
      <c r="A456" s="61" t="s">
        <v>117</v>
      </c>
      <c r="B456" s="61" t="s">
        <v>383</v>
      </c>
      <c r="C456" s="62">
        <v>44778</v>
      </c>
      <c r="D456" s="62">
        <v>44778</v>
      </c>
      <c r="E456" s="63">
        <v>0</v>
      </c>
    </row>
    <row r="457" spans="1:5">
      <c r="A457" s="61" t="s">
        <v>117</v>
      </c>
      <c r="B457" s="61" t="s">
        <v>383</v>
      </c>
      <c r="C457" s="62">
        <v>44779</v>
      </c>
      <c r="D457" s="62">
        <v>44779</v>
      </c>
      <c r="E457" s="63">
        <v>0</v>
      </c>
    </row>
    <row r="458" spans="1:5">
      <c r="A458" s="61" t="s">
        <v>117</v>
      </c>
      <c r="B458" s="61" t="s">
        <v>383</v>
      </c>
      <c r="C458" s="62">
        <v>44780</v>
      </c>
      <c r="D458" s="62">
        <v>44780</v>
      </c>
      <c r="E458" s="63">
        <v>0</v>
      </c>
    </row>
    <row r="459" spans="1:5">
      <c r="A459" s="61" t="s">
        <v>117</v>
      </c>
      <c r="B459" s="61" t="s">
        <v>383</v>
      </c>
      <c r="C459" s="62">
        <v>44781</v>
      </c>
      <c r="D459" s="62">
        <v>44781</v>
      </c>
      <c r="E459" s="63">
        <v>0</v>
      </c>
    </row>
    <row r="460" spans="1:5">
      <c r="A460" s="61" t="s">
        <v>117</v>
      </c>
      <c r="B460" s="61" t="s">
        <v>383</v>
      </c>
      <c r="C460" s="62">
        <v>44782</v>
      </c>
      <c r="D460" s="62">
        <v>44782</v>
      </c>
      <c r="E460" s="63">
        <v>0</v>
      </c>
    </row>
    <row r="461" spans="1:5">
      <c r="A461" s="61" t="s">
        <v>117</v>
      </c>
      <c r="B461" s="61" t="s">
        <v>383</v>
      </c>
      <c r="C461" s="62">
        <v>44783</v>
      </c>
      <c r="D461" s="62">
        <v>44783</v>
      </c>
      <c r="E461" s="63">
        <v>0</v>
      </c>
    </row>
    <row r="462" spans="1:5">
      <c r="A462" s="61" t="s">
        <v>117</v>
      </c>
      <c r="B462" s="61" t="s">
        <v>383</v>
      </c>
      <c r="C462" s="62">
        <v>44784</v>
      </c>
      <c r="D462" s="62">
        <v>44784</v>
      </c>
      <c r="E462" s="63">
        <v>0</v>
      </c>
    </row>
    <row r="463" spans="1:5">
      <c r="A463" s="61" t="s">
        <v>117</v>
      </c>
      <c r="B463" s="61" t="s">
        <v>383</v>
      </c>
      <c r="C463" s="62">
        <v>44785</v>
      </c>
      <c r="D463" s="62">
        <v>44785</v>
      </c>
      <c r="E463" s="63">
        <v>0</v>
      </c>
    </row>
    <row r="464" spans="1:5">
      <c r="A464" s="61" t="s">
        <v>117</v>
      </c>
      <c r="B464" s="61" t="s">
        <v>383</v>
      </c>
      <c r="C464" s="62">
        <v>44786</v>
      </c>
      <c r="D464" s="62">
        <v>44786</v>
      </c>
      <c r="E464" s="63">
        <v>0</v>
      </c>
    </row>
    <row r="465" spans="1:5">
      <c r="A465" s="61" t="s">
        <v>117</v>
      </c>
      <c r="B465" s="61" t="s">
        <v>383</v>
      </c>
      <c r="C465" s="62">
        <v>44787</v>
      </c>
      <c r="D465" s="62">
        <v>44787</v>
      </c>
      <c r="E465" s="63">
        <v>0</v>
      </c>
    </row>
    <row r="466" spans="1:5">
      <c r="A466" s="61" t="s">
        <v>117</v>
      </c>
      <c r="B466" s="61" t="s">
        <v>383</v>
      </c>
      <c r="C466" s="62">
        <v>44788</v>
      </c>
      <c r="D466" s="62">
        <v>44788</v>
      </c>
      <c r="E466" s="63">
        <v>0</v>
      </c>
    </row>
    <row r="467" spans="1:5">
      <c r="A467" s="61" t="s">
        <v>117</v>
      </c>
      <c r="B467" s="61" t="s">
        <v>383</v>
      </c>
      <c r="C467" s="62">
        <v>44789</v>
      </c>
      <c r="D467" s="62">
        <v>44789</v>
      </c>
      <c r="E467" s="63">
        <v>0</v>
      </c>
    </row>
    <row r="468" spans="1:5">
      <c r="A468" s="61" t="s">
        <v>117</v>
      </c>
      <c r="B468" s="61" t="s">
        <v>383</v>
      </c>
      <c r="C468" s="62">
        <v>44790</v>
      </c>
      <c r="D468" s="62">
        <v>44790</v>
      </c>
      <c r="E468" s="63">
        <v>0</v>
      </c>
    </row>
    <row r="469" spans="1:5">
      <c r="A469" s="61" t="s">
        <v>117</v>
      </c>
      <c r="B469" s="61" t="s">
        <v>383</v>
      </c>
      <c r="C469" s="62">
        <v>44791</v>
      </c>
      <c r="D469" s="62">
        <v>44791</v>
      </c>
      <c r="E469" s="63">
        <v>0</v>
      </c>
    </row>
    <row r="470" spans="1:5">
      <c r="A470" s="61" t="s">
        <v>117</v>
      </c>
      <c r="B470" s="61" t="s">
        <v>383</v>
      </c>
      <c r="C470" s="62">
        <v>44792</v>
      </c>
      <c r="D470" s="62">
        <v>44792</v>
      </c>
      <c r="E470" s="63">
        <v>0</v>
      </c>
    </row>
    <row r="471" spans="1:5">
      <c r="A471" s="61" t="s">
        <v>117</v>
      </c>
      <c r="B471" s="61" t="s">
        <v>383</v>
      </c>
      <c r="C471" s="62">
        <v>44793</v>
      </c>
      <c r="D471" s="62">
        <v>44793</v>
      </c>
      <c r="E471" s="63">
        <v>0</v>
      </c>
    </row>
    <row r="472" spans="1:5">
      <c r="A472" s="61" t="s">
        <v>117</v>
      </c>
      <c r="B472" s="61" t="s">
        <v>383</v>
      </c>
      <c r="C472" s="62">
        <v>44794</v>
      </c>
      <c r="D472" s="62">
        <v>44794</v>
      </c>
      <c r="E472" s="63">
        <v>0</v>
      </c>
    </row>
    <row r="473" spans="1:5">
      <c r="A473" s="61" t="s">
        <v>117</v>
      </c>
      <c r="B473" s="61" t="s">
        <v>383</v>
      </c>
      <c r="C473" s="62">
        <v>44795</v>
      </c>
      <c r="D473" s="62">
        <v>44795</v>
      </c>
      <c r="E473" s="63">
        <v>0</v>
      </c>
    </row>
    <row r="474" spans="1:5">
      <c r="A474" s="61" t="s">
        <v>117</v>
      </c>
      <c r="B474" s="61" t="s">
        <v>383</v>
      </c>
      <c r="C474" s="62">
        <v>44796</v>
      </c>
      <c r="D474" s="62">
        <v>44796</v>
      </c>
      <c r="E474" s="63">
        <v>0</v>
      </c>
    </row>
    <row r="475" spans="1:5">
      <c r="A475" s="61" t="s">
        <v>117</v>
      </c>
      <c r="B475" s="61" t="s">
        <v>383</v>
      </c>
      <c r="C475" s="62">
        <v>44797</v>
      </c>
      <c r="D475" s="62">
        <v>44797</v>
      </c>
      <c r="E475" s="63">
        <v>0</v>
      </c>
    </row>
    <row r="476" spans="1:5">
      <c r="A476" s="61" t="s">
        <v>117</v>
      </c>
      <c r="B476" s="61" t="s">
        <v>383</v>
      </c>
      <c r="C476" s="62">
        <v>44798</v>
      </c>
      <c r="D476" s="62">
        <v>44798</v>
      </c>
      <c r="E476" s="63">
        <v>0</v>
      </c>
    </row>
    <row r="477" spans="1:5">
      <c r="A477" s="61" t="s">
        <v>117</v>
      </c>
      <c r="B477" s="61" t="s">
        <v>383</v>
      </c>
      <c r="C477" s="62">
        <v>44799</v>
      </c>
      <c r="D477" s="62">
        <v>44799</v>
      </c>
      <c r="E477" s="63">
        <v>0</v>
      </c>
    </row>
    <row r="478" spans="1:5">
      <c r="A478" s="61" t="s">
        <v>117</v>
      </c>
      <c r="B478" s="61" t="s">
        <v>383</v>
      </c>
      <c r="C478" s="62">
        <v>44800</v>
      </c>
      <c r="D478" s="62">
        <v>44800</v>
      </c>
      <c r="E478" s="63">
        <v>0</v>
      </c>
    </row>
    <row r="479" spans="1:5">
      <c r="A479" s="61" t="s">
        <v>117</v>
      </c>
      <c r="B479" s="61" t="s">
        <v>383</v>
      </c>
      <c r="C479" s="62">
        <v>44801</v>
      </c>
      <c r="D479" s="62">
        <v>44801</v>
      </c>
      <c r="E479" s="63">
        <v>0</v>
      </c>
    </row>
    <row r="480" spans="1:5">
      <c r="A480" s="61" t="s">
        <v>117</v>
      </c>
      <c r="B480" s="61" t="s">
        <v>383</v>
      </c>
      <c r="C480" s="62">
        <v>44802</v>
      </c>
      <c r="D480" s="62">
        <v>44802</v>
      </c>
      <c r="E480" s="63">
        <v>0</v>
      </c>
    </row>
    <row r="481" spans="1:5">
      <c r="A481" s="61" t="s">
        <v>117</v>
      </c>
      <c r="B481" s="61" t="s">
        <v>383</v>
      </c>
      <c r="C481" s="62">
        <v>44803</v>
      </c>
      <c r="D481" s="62">
        <v>44803</v>
      </c>
      <c r="E481" s="63">
        <v>0</v>
      </c>
    </row>
    <row r="482" spans="1:5">
      <c r="A482" s="61" t="s">
        <v>16</v>
      </c>
      <c r="B482" s="61" t="s">
        <v>380</v>
      </c>
      <c r="C482" s="62">
        <v>44774</v>
      </c>
      <c r="D482" s="62">
        <v>44774</v>
      </c>
      <c r="E482" s="63">
        <v>0</v>
      </c>
    </row>
    <row r="483" spans="1:5">
      <c r="A483" s="61" t="s">
        <v>16</v>
      </c>
      <c r="B483" s="61" t="s">
        <v>380</v>
      </c>
      <c r="C483" s="62">
        <v>44775</v>
      </c>
      <c r="D483" s="62">
        <v>44775</v>
      </c>
      <c r="E483" s="63">
        <v>0</v>
      </c>
    </row>
    <row r="484" spans="1:5">
      <c r="A484" s="61" t="s">
        <v>16</v>
      </c>
      <c r="B484" s="61" t="s">
        <v>380</v>
      </c>
      <c r="C484" s="62">
        <v>44776</v>
      </c>
      <c r="D484" s="62">
        <v>44776</v>
      </c>
      <c r="E484" s="63">
        <v>0</v>
      </c>
    </row>
    <row r="485" spans="1:5">
      <c r="A485" s="61" t="s">
        <v>16</v>
      </c>
      <c r="B485" s="61" t="s">
        <v>380</v>
      </c>
      <c r="C485" s="62">
        <v>44777</v>
      </c>
      <c r="D485" s="62">
        <v>44777</v>
      </c>
      <c r="E485" s="63">
        <v>0</v>
      </c>
    </row>
    <row r="486" spans="1:5">
      <c r="A486" s="61" t="s">
        <v>16</v>
      </c>
      <c r="B486" s="61" t="s">
        <v>380</v>
      </c>
      <c r="C486" s="62">
        <v>44778</v>
      </c>
      <c r="D486" s="62">
        <v>44778</v>
      </c>
      <c r="E486" s="63">
        <v>0</v>
      </c>
    </row>
    <row r="487" spans="1:5">
      <c r="A487" s="61" t="s">
        <v>16</v>
      </c>
      <c r="B487" s="61" t="s">
        <v>380</v>
      </c>
      <c r="C487" s="62">
        <v>44779</v>
      </c>
      <c r="D487" s="62">
        <v>44779</v>
      </c>
      <c r="E487" s="63">
        <v>0</v>
      </c>
    </row>
    <row r="488" spans="1:5">
      <c r="A488" s="61" t="s">
        <v>16</v>
      </c>
      <c r="B488" s="61" t="s">
        <v>380</v>
      </c>
      <c r="C488" s="62">
        <v>44780</v>
      </c>
      <c r="D488" s="62">
        <v>44780</v>
      </c>
      <c r="E488" s="63">
        <v>0</v>
      </c>
    </row>
    <row r="489" spans="1:5">
      <c r="A489" s="61" t="s">
        <v>16</v>
      </c>
      <c r="B489" s="61" t="s">
        <v>380</v>
      </c>
      <c r="C489" s="62">
        <v>44781</v>
      </c>
      <c r="D489" s="62">
        <v>44781</v>
      </c>
      <c r="E489" s="63">
        <v>0</v>
      </c>
    </row>
    <row r="490" spans="1:5">
      <c r="A490" s="61" t="s">
        <v>16</v>
      </c>
      <c r="B490" s="61" t="s">
        <v>380</v>
      </c>
      <c r="C490" s="62">
        <v>44782</v>
      </c>
      <c r="D490" s="62">
        <v>44782</v>
      </c>
      <c r="E490" s="63">
        <v>0</v>
      </c>
    </row>
    <row r="491" spans="1:5">
      <c r="A491" s="61" t="s">
        <v>16</v>
      </c>
      <c r="B491" s="61" t="s">
        <v>380</v>
      </c>
      <c r="C491" s="62">
        <v>44783</v>
      </c>
      <c r="D491" s="62">
        <v>44783</v>
      </c>
      <c r="E491" s="63">
        <v>0</v>
      </c>
    </row>
    <row r="492" spans="1:5">
      <c r="A492" s="61" t="s">
        <v>16</v>
      </c>
      <c r="B492" s="61" t="s">
        <v>380</v>
      </c>
      <c r="C492" s="62">
        <v>44784</v>
      </c>
      <c r="D492" s="62">
        <v>44784</v>
      </c>
      <c r="E492" s="63">
        <v>0</v>
      </c>
    </row>
    <row r="493" spans="1:5">
      <c r="A493" s="61" t="s">
        <v>16</v>
      </c>
      <c r="B493" s="61" t="s">
        <v>380</v>
      </c>
      <c r="C493" s="62">
        <v>44785</v>
      </c>
      <c r="D493" s="62">
        <v>44785</v>
      </c>
      <c r="E493" s="63">
        <v>0</v>
      </c>
    </row>
    <row r="494" spans="1:5">
      <c r="A494" s="61" t="s">
        <v>16</v>
      </c>
      <c r="B494" s="61" t="s">
        <v>380</v>
      </c>
      <c r="C494" s="62">
        <v>44786</v>
      </c>
      <c r="D494" s="62">
        <v>44786</v>
      </c>
      <c r="E494" s="63">
        <v>0</v>
      </c>
    </row>
    <row r="495" spans="1:5">
      <c r="A495" s="61" t="s">
        <v>16</v>
      </c>
      <c r="B495" s="61" t="s">
        <v>380</v>
      </c>
      <c r="C495" s="62">
        <v>44787</v>
      </c>
      <c r="D495" s="62">
        <v>44787</v>
      </c>
      <c r="E495" s="63">
        <v>0</v>
      </c>
    </row>
    <row r="496" spans="1:5">
      <c r="A496" s="61" t="s">
        <v>16</v>
      </c>
      <c r="B496" s="61" t="s">
        <v>380</v>
      </c>
      <c r="C496" s="62">
        <v>44788</v>
      </c>
      <c r="D496" s="62">
        <v>44788</v>
      </c>
      <c r="E496" s="63">
        <v>0</v>
      </c>
    </row>
    <row r="497" spans="1:5">
      <c r="A497" s="61" t="s">
        <v>16</v>
      </c>
      <c r="B497" s="61" t="s">
        <v>380</v>
      </c>
      <c r="C497" s="62">
        <v>44789</v>
      </c>
      <c r="D497" s="62">
        <v>44789</v>
      </c>
      <c r="E497" s="63">
        <v>0</v>
      </c>
    </row>
    <row r="498" spans="1:5">
      <c r="A498" s="61" t="s">
        <v>16</v>
      </c>
      <c r="B498" s="61" t="s">
        <v>380</v>
      </c>
      <c r="C498" s="62">
        <v>44790</v>
      </c>
      <c r="D498" s="62">
        <v>44790</v>
      </c>
      <c r="E498" s="63">
        <v>0</v>
      </c>
    </row>
    <row r="499" spans="1:5">
      <c r="A499" s="61" t="s">
        <v>16</v>
      </c>
      <c r="B499" s="61" t="s">
        <v>380</v>
      </c>
      <c r="C499" s="62">
        <v>44791</v>
      </c>
      <c r="D499" s="62">
        <v>44791</v>
      </c>
      <c r="E499" s="63">
        <v>0</v>
      </c>
    </row>
    <row r="500" spans="1:5">
      <c r="A500" s="61" t="s">
        <v>16</v>
      </c>
      <c r="B500" s="61" t="s">
        <v>380</v>
      </c>
      <c r="C500" s="62">
        <v>44792</v>
      </c>
      <c r="D500" s="62">
        <v>44792</v>
      </c>
      <c r="E500" s="63">
        <v>0</v>
      </c>
    </row>
    <row r="501" spans="1:5">
      <c r="A501" s="61" t="s">
        <v>16</v>
      </c>
      <c r="B501" s="61" t="s">
        <v>380</v>
      </c>
      <c r="C501" s="62">
        <v>44793</v>
      </c>
      <c r="D501" s="62">
        <v>44793</v>
      </c>
      <c r="E501" s="63">
        <v>0</v>
      </c>
    </row>
    <row r="502" spans="1:5">
      <c r="A502" s="61" t="s">
        <v>16</v>
      </c>
      <c r="B502" s="61" t="s">
        <v>380</v>
      </c>
      <c r="C502" s="62">
        <v>44794</v>
      </c>
      <c r="D502" s="62">
        <v>44794</v>
      </c>
      <c r="E502" s="63">
        <v>0</v>
      </c>
    </row>
    <row r="503" spans="1:5">
      <c r="A503" s="61" t="s">
        <v>16</v>
      </c>
      <c r="B503" s="61" t="s">
        <v>380</v>
      </c>
      <c r="C503" s="62">
        <v>44795</v>
      </c>
      <c r="D503" s="62">
        <v>44795</v>
      </c>
      <c r="E503" s="63">
        <v>0</v>
      </c>
    </row>
    <row r="504" spans="1:5">
      <c r="A504" s="61" t="s">
        <v>16</v>
      </c>
      <c r="B504" s="61" t="s">
        <v>380</v>
      </c>
      <c r="C504" s="62">
        <v>44796</v>
      </c>
      <c r="D504" s="62">
        <v>44796</v>
      </c>
      <c r="E504" s="63">
        <v>0</v>
      </c>
    </row>
    <row r="505" spans="1:5">
      <c r="A505" s="61" t="s">
        <v>16</v>
      </c>
      <c r="B505" s="61" t="s">
        <v>380</v>
      </c>
      <c r="C505" s="62">
        <v>44797</v>
      </c>
      <c r="D505" s="62">
        <v>44797</v>
      </c>
      <c r="E505" s="63">
        <v>0</v>
      </c>
    </row>
    <row r="506" spans="1:5">
      <c r="A506" s="61" t="s">
        <v>16</v>
      </c>
      <c r="B506" s="61" t="s">
        <v>380</v>
      </c>
      <c r="C506" s="62">
        <v>44798</v>
      </c>
      <c r="D506" s="62">
        <v>44798</v>
      </c>
      <c r="E506" s="63">
        <v>0</v>
      </c>
    </row>
    <row r="507" spans="1:5">
      <c r="A507" s="61" t="s">
        <v>16</v>
      </c>
      <c r="B507" s="61" t="s">
        <v>380</v>
      </c>
      <c r="C507" s="62">
        <v>44799</v>
      </c>
      <c r="D507" s="62">
        <v>44799</v>
      </c>
      <c r="E507" s="63">
        <v>0</v>
      </c>
    </row>
    <row r="508" spans="1:5">
      <c r="A508" s="61" t="s">
        <v>16</v>
      </c>
      <c r="B508" s="61" t="s">
        <v>380</v>
      </c>
      <c r="C508" s="62">
        <v>44800</v>
      </c>
      <c r="D508" s="62">
        <v>44800</v>
      </c>
      <c r="E508" s="63">
        <v>0</v>
      </c>
    </row>
    <row r="509" spans="1:5">
      <c r="A509" s="61" t="s">
        <v>16</v>
      </c>
      <c r="B509" s="61" t="s">
        <v>380</v>
      </c>
      <c r="C509" s="62">
        <v>44801</v>
      </c>
      <c r="D509" s="62">
        <v>44801</v>
      </c>
      <c r="E509" s="63">
        <v>0</v>
      </c>
    </row>
    <row r="510" spans="1:5">
      <c r="A510" s="61" t="s">
        <v>16</v>
      </c>
      <c r="B510" s="61" t="s">
        <v>380</v>
      </c>
      <c r="C510" s="62">
        <v>44802</v>
      </c>
      <c r="D510" s="62">
        <v>44802</v>
      </c>
      <c r="E510" s="63">
        <v>0</v>
      </c>
    </row>
    <row r="511" spans="1:5">
      <c r="A511" s="61" t="s">
        <v>16</v>
      </c>
      <c r="B511" s="61" t="s">
        <v>380</v>
      </c>
      <c r="C511" s="62">
        <v>44803</v>
      </c>
      <c r="D511" s="62">
        <v>44803</v>
      </c>
      <c r="E511" s="63">
        <v>0</v>
      </c>
    </row>
    <row r="512" spans="1:5">
      <c r="A512" s="61" t="s">
        <v>118</v>
      </c>
      <c r="B512" s="61" t="s">
        <v>381</v>
      </c>
      <c r="C512" s="62">
        <v>44774</v>
      </c>
      <c r="D512" s="62">
        <v>44774</v>
      </c>
      <c r="E512" s="63">
        <v>161.6</v>
      </c>
    </row>
    <row r="513" spans="1:5">
      <c r="A513" s="61" t="s">
        <v>118</v>
      </c>
      <c r="B513" s="61" t="s">
        <v>381</v>
      </c>
      <c r="C513" s="62">
        <v>44775</v>
      </c>
      <c r="D513" s="62">
        <v>44775</v>
      </c>
      <c r="E513" s="63">
        <v>0</v>
      </c>
    </row>
    <row r="514" spans="1:5">
      <c r="A514" s="61" t="s">
        <v>118</v>
      </c>
      <c r="B514" s="61" t="s">
        <v>381</v>
      </c>
      <c r="C514" s="62">
        <v>44776</v>
      </c>
      <c r="D514" s="62">
        <v>44776</v>
      </c>
      <c r="E514" s="63">
        <v>0</v>
      </c>
    </row>
    <row r="515" spans="1:5">
      <c r="A515" s="61" t="s">
        <v>118</v>
      </c>
      <c r="B515" s="61" t="s">
        <v>381</v>
      </c>
      <c r="C515" s="62">
        <v>44777</v>
      </c>
      <c r="D515" s="62">
        <v>44777</v>
      </c>
      <c r="E515" s="63">
        <v>-0.09</v>
      </c>
    </row>
    <row r="516" spans="1:5">
      <c r="A516" s="61" t="s">
        <v>118</v>
      </c>
      <c r="B516" s="61" t="s">
        <v>381</v>
      </c>
      <c r="C516" s="62">
        <v>44778</v>
      </c>
      <c r="D516" s="62">
        <v>44778</v>
      </c>
      <c r="E516" s="63">
        <v>0</v>
      </c>
    </row>
    <row r="517" spans="1:5">
      <c r="A517" s="61" t="s">
        <v>118</v>
      </c>
      <c r="B517" s="61" t="s">
        <v>381</v>
      </c>
      <c r="C517" s="62">
        <v>44779</v>
      </c>
      <c r="D517" s="62">
        <v>44779</v>
      </c>
      <c r="E517" s="63">
        <v>0</v>
      </c>
    </row>
    <row r="518" spans="1:5">
      <c r="A518" s="61" t="s">
        <v>118</v>
      </c>
      <c r="B518" s="61" t="s">
        <v>381</v>
      </c>
      <c r="C518" s="62">
        <v>44780</v>
      </c>
      <c r="D518" s="62">
        <v>44780</v>
      </c>
      <c r="E518" s="63">
        <v>0</v>
      </c>
    </row>
    <row r="519" spans="1:5">
      <c r="A519" s="61" t="s">
        <v>118</v>
      </c>
      <c r="B519" s="61" t="s">
        <v>381</v>
      </c>
      <c r="C519" s="62">
        <v>44781</v>
      </c>
      <c r="D519" s="62">
        <v>44781</v>
      </c>
      <c r="E519" s="63">
        <v>0</v>
      </c>
    </row>
    <row r="520" spans="1:5">
      <c r="A520" s="61" t="s">
        <v>118</v>
      </c>
      <c r="B520" s="61" t="s">
        <v>381</v>
      </c>
      <c r="C520" s="62">
        <v>44782</v>
      </c>
      <c r="D520" s="62">
        <v>44782</v>
      </c>
      <c r="E520" s="63">
        <v>0</v>
      </c>
    </row>
    <row r="521" spans="1:5">
      <c r="A521" s="61" t="s">
        <v>118</v>
      </c>
      <c r="B521" s="61" t="s">
        <v>381</v>
      </c>
      <c r="C521" s="62">
        <v>44783</v>
      </c>
      <c r="D521" s="62">
        <v>44783</v>
      </c>
      <c r="E521" s="63">
        <v>0</v>
      </c>
    </row>
    <row r="522" spans="1:5">
      <c r="A522" s="61" t="s">
        <v>118</v>
      </c>
      <c r="B522" s="61" t="s">
        <v>381</v>
      </c>
      <c r="C522" s="62">
        <v>44784</v>
      </c>
      <c r="D522" s="62">
        <v>44784</v>
      </c>
      <c r="E522" s="63">
        <v>0</v>
      </c>
    </row>
    <row r="523" spans="1:5">
      <c r="A523" s="61" t="s">
        <v>118</v>
      </c>
      <c r="B523" s="61" t="s">
        <v>381</v>
      </c>
      <c r="C523" s="62">
        <v>44785</v>
      </c>
      <c r="D523" s="62">
        <v>44785</v>
      </c>
      <c r="E523" s="63">
        <v>0</v>
      </c>
    </row>
    <row r="524" spans="1:5">
      <c r="A524" s="61" t="s">
        <v>118</v>
      </c>
      <c r="B524" s="61" t="s">
        <v>381</v>
      </c>
      <c r="C524" s="62">
        <v>44786</v>
      </c>
      <c r="D524" s="62">
        <v>44786</v>
      </c>
      <c r="E524" s="63">
        <v>0</v>
      </c>
    </row>
    <row r="525" spans="1:5">
      <c r="A525" s="61" t="s">
        <v>118</v>
      </c>
      <c r="B525" s="61" t="s">
        <v>381</v>
      </c>
      <c r="C525" s="62">
        <v>44787</v>
      </c>
      <c r="D525" s="62">
        <v>44787</v>
      </c>
      <c r="E525" s="63">
        <v>0</v>
      </c>
    </row>
    <row r="526" spans="1:5">
      <c r="A526" s="61" t="s">
        <v>118</v>
      </c>
      <c r="B526" s="61" t="s">
        <v>381</v>
      </c>
      <c r="C526" s="62">
        <v>44788</v>
      </c>
      <c r="D526" s="62">
        <v>44788</v>
      </c>
      <c r="E526" s="63">
        <v>0</v>
      </c>
    </row>
    <row r="527" spans="1:5">
      <c r="A527" s="61" t="s">
        <v>118</v>
      </c>
      <c r="B527" s="61" t="s">
        <v>381</v>
      </c>
      <c r="C527" s="62">
        <v>44789</v>
      </c>
      <c r="D527" s="62">
        <v>44789</v>
      </c>
      <c r="E527" s="63">
        <v>0</v>
      </c>
    </row>
    <row r="528" spans="1:5">
      <c r="A528" s="61" t="s">
        <v>118</v>
      </c>
      <c r="B528" s="61" t="s">
        <v>381</v>
      </c>
      <c r="C528" s="62">
        <v>44790</v>
      </c>
      <c r="D528" s="62">
        <v>44790</v>
      </c>
      <c r="E528" s="63">
        <v>0</v>
      </c>
    </row>
    <row r="529" spans="1:5">
      <c r="A529" s="61" t="s">
        <v>118</v>
      </c>
      <c r="B529" s="61" t="s">
        <v>381</v>
      </c>
      <c r="C529" s="62">
        <v>44791</v>
      </c>
      <c r="D529" s="62">
        <v>44791</v>
      </c>
      <c r="E529" s="63">
        <v>0</v>
      </c>
    </row>
    <row r="530" spans="1:5">
      <c r="A530" s="61" t="s">
        <v>118</v>
      </c>
      <c r="B530" s="61" t="s">
        <v>381</v>
      </c>
      <c r="C530" s="62">
        <v>44792</v>
      </c>
      <c r="D530" s="62">
        <v>44792</v>
      </c>
      <c r="E530" s="63">
        <v>0</v>
      </c>
    </row>
    <row r="531" spans="1:5">
      <c r="A531" s="61" t="s">
        <v>118</v>
      </c>
      <c r="B531" s="61" t="s">
        <v>381</v>
      </c>
      <c r="C531" s="62">
        <v>44793</v>
      </c>
      <c r="D531" s="62">
        <v>44793</v>
      </c>
      <c r="E531" s="63">
        <v>0</v>
      </c>
    </row>
    <row r="532" spans="1:5">
      <c r="A532" s="61" t="s">
        <v>118</v>
      </c>
      <c r="B532" s="61" t="s">
        <v>381</v>
      </c>
      <c r="C532" s="62">
        <v>44794</v>
      </c>
      <c r="D532" s="62">
        <v>44794</v>
      </c>
      <c r="E532" s="63">
        <v>0</v>
      </c>
    </row>
    <row r="533" spans="1:5">
      <c r="A533" s="61" t="s">
        <v>118</v>
      </c>
      <c r="B533" s="61" t="s">
        <v>381</v>
      </c>
      <c r="C533" s="62">
        <v>44795</v>
      </c>
      <c r="D533" s="62">
        <v>44795</v>
      </c>
      <c r="E533" s="63">
        <v>0</v>
      </c>
    </row>
    <row r="534" spans="1:5">
      <c r="A534" s="61" t="s">
        <v>118</v>
      </c>
      <c r="B534" s="61" t="s">
        <v>381</v>
      </c>
      <c r="C534" s="62">
        <v>44796</v>
      </c>
      <c r="D534" s="62">
        <v>44796</v>
      </c>
      <c r="E534" s="63">
        <v>0</v>
      </c>
    </row>
    <row r="535" spans="1:5">
      <c r="A535" s="61" t="s">
        <v>118</v>
      </c>
      <c r="B535" s="61" t="s">
        <v>381</v>
      </c>
      <c r="C535" s="62">
        <v>44797</v>
      </c>
      <c r="D535" s="62">
        <v>44797</v>
      </c>
      <c r="E535" s="63">
        <v>0</v>
      </c>
    </row>
    <row r="536" spans="1:5">
      <c r="A536" s="61" t="s">
        <v>118</v>
      </c>
      <c r="B536" s="61" t="s">
        <v>381</v>
      </c>
      <c r="C536" s="62">
        <v>44798</v>
      </c>
      <c r="D536" s="62">
        <v>44798</v>
      </c>
      <c r="E536" s="63">
        <v>0</v>
      </c>
    </row>
    <row r="537" spans="1:5">
      <c r="A537" s="61" t="s">
        <v>118</v>
      </c>
      <c r="B537" s="61" t="s">
        <v>381</v>
      </c>
      <c r="C537" s="62">
        <v>44799</v>
      </c>
      <c r="D537" s="62">
        <v>44799</v>
      </c>
      <c r="E537" s="63">
        <v>0</v>
      </c>
    </row>
    <row r="538" spans="1:5">
      <c r="A538" s="61" t="s">
        <v>118</v>
      </c>
      <c r="B538" s="61" t="s">
        <v>381</v>
      </c>
      <c r="C538" s="62">
        <v>44800</v>
      </c>
      <c r="D538" s="62">
        <v>44800</v>
      </c>
      <c r="E538" s="63">
        <v>0</v>
      </c>
    </row>
    <row r="539" spans="1:5">
      <c r="A539" s="61" t="s">
        <v>118</v>
      </c>
      <c r="B539" s="61" t="s">
        <v>381</v>
      </c>
      <c r="C539" s="62">
        <v>44801</v>
      </c>
      <c r="D539" s="62">
        <v>44801</v>
      </c>
      <c r="E539" s="63">
        <v>0</v>
      </c>
    </row>
    <row r="540" spans="1:5">
      <c r="A540" s="61" t="s">
        <v>118</v>
      </c>
      <c r="B540" s="61" t="s">
        <v>381</v>
      </c>
      <c r="C540" s="62">
        <v>44802</v>
      </c>
      <c r="D540" s="62">
        <v>44802</v>
      </c>
      <c r="E540" s="63">
        <v>161.6</v>
      </c>
    </row>
    <row r="541" spans="1:5">
      <c r="A541" s="61" t="s">
        <v>118</v>
      </c>
      <c r="B541" s="61" t="s">
        <v>381</v>
      </c>
      <c r="C541" s="62">
        <v>44803</v>
      </c>
      <c r="D541" s="62">
        <v>44803</v>
      </c>
      <c r="E541" s="63">
        <v>0</v>
      </c>
    </row>
    <row r="542" spans="1:5">
      <c r="A542" s="61" t="s">
        <v>119</v>
      </c>
      <c r="B542" s="61" t="s">
        <v>382</v>
      </c>
      <c r="C542" s="62">
        <v>44774</v>
      </c>
      <c r="D542" s="62">
        <v>44774</v>
      </c>
      <c r="E542" s="63">
        <v>0</v>
      </c>
    </row>
    <row r="543" spans="1:5">
      <c r="A543" s="61" t="s">
        <v>119</v>
      </c>
      <c r="B543" s="61" t="s">
        <v>382</v>
      </c>
      <c r="C543" s="62">
        <v>44775</v>
      </c>
      <c r="D543" s="62">
        <v>44775</v>
      </c>
      <c r="E543" s="63">
        <v>0</v>
      </c>
    </row>
    <row r="544" spans="1:5">
      <c r="A544" s="61" t="s">
        <v>119</v>
      </c>
      <c r="B544" s="61" t="s">
        <v>382</v>
      </c>
      <c r="C544" s="62">
        <v>44776</v>
      </c>
      <c r="D544" s="62">
        <v>44776</v>
      </c>
      <c r="E544" s="63">
        <v>161.6</v>
      </c>
    </row>
    <row r="545" spans="1:5">
      <c r="A545" s="61" t="s">
        <v>119</v>
      </c>
      <c r="B545" s="61" t="s">
        <v>382</v>
      </c>
      <c r="C545" s="62">
        <v>44777</v>
      </c>
      <c r="D545" s="62">
        <v>44777</v>
      </c>
      <c r="E545" s="63">
        <v>0</v>
      </c>
    </row>
    <row r="546" spans="1:5">
      <c r="A546" s="61" t="s">
        <v>119</v>
      </c>
      <c r="B546" s="61" t="s">
        <v>382</v>
      </c>
      <c r="C546" s="62">
        <v>44778</v>
      </c>
      <c r="D546" s="62">
        <v>44778</v>
      </c>
      <c r="E546" s="63">
        <v>0</v>
      </c>
    </row>
    <row r="547" spans="1:5">
      <c r="A547" s="61" t="s">
        <v>119</v>
      </c>
      <c r="B547" s="61" t="s">
        <v>382</v>
      </c>
      <c r="C547" s="62">
        <v>44779</v>
      </c>
      <c r="D547" s="62">
        <v>44779</v>
      </c>
      <c r="E547" s="63">
        <v>0</v>
      </c>
    </row>
    <row r="548" spans="1:5">
      <c r="A548" s="61" t="s">
        <v>119</v>
      </c>
      <c r="B548" s="61" t="s">
        <v>382</v>
      </c>
      <c r="C548" s="62">
        <v>44780</v>
      </c>
      <c r="D548" s="62">
        <v>44780</v>
      </c>
      <c r="E548" s="63">
        <v>0</v>
      </c>
    </row>
    <row r="549" spans="1:5">
      <c r="A549" s="61" t="s">
        <v>119</v>
      </c>
      <c r="B549" s="61" t="s">
        <v>382</v>
      </c>
      <c r="C549" s="62">
        <v>44781</v>
      </c>
      <c r="D549" s="62">
        <v>44781</v>
      </c>
      <c r="E549" s="63">
        <v>0</v>
      </c>
    </row>
    <row r="550" spans="1:5">
      <c r="A550" s="61" t="s">
        <v>119</v>
      </c>
      <c r="B550" s="61" t="s">
        <v>382</v>
      </c>
      <c r="C550" s="62">
        <v>44782</v>
      </c>
      <c r="D550" s="62">
        <v>44782</v>
      </c>
      <c r="E550" s="63">
        <v>-0.09</v>
      </c>
    </row>
    <row r="551" spans="1:5">
      <c r="A551" s="61" t="s">
        <v>119</v>
      </c>
      <c r="B551" s="61" t="s">
        <v>382</v>
      </c>
      <c r="C551" s="62">
        <v>44783</v>
      </c>
      <c r="D551" s="62">
        <v>44783</v>
      </c>
      <c r="E551" s="63">
        <v>0</v>
      </c>
    </row>
    <row r="552" spans="1:5">
      <c r="A552" s="61" t="s">
        <v>119</v>
      </c>
      <c r="B552" s="61" t="s">
        <v>382</v>
      </c>
      <c r="C552" s="62">
        <v>44784</v>
      </c>
      <c r="D552" s="62">
        <v>44784</v>
      </c>
      <c r="E552" s="63">
        <v>0</v>
      </c>
    </row>
    <row r="553" spans="1:5">
      <c r="A553" s="61" t="s">
        <v>119</v>
      </c>
      <c r="B553" s="61" t="s">
        <v>382</v>
      </c>
      <c r="C553" s="62">
        <v>44785</v>
      </c>
      <c r="D553" s="62">
        <v>44785</v>
      </c>
      <c r="E553" s="63">
        <v>0</v>
      </c>
    </row>
    <row r="554" spans="1:5">
      <c r="A554" s="61" t="s">
        <v>119</v>
      </c>
      <c r="B554" s="61" t="s">
        <v>382</v>
      </c>
      <c r="C554" s="62">
        <v>44786</v>
      </c>
      <c r="D554" s="62">
        <v>44786</v>
      </c>
      <c r="E554" s="63">
        <v>0</v>
      </c>
    </row>
    <row r="555" spans="1:5">
      <c r="A555" s="61" t="s">
        <v>119</v>
      </c>
      <c r="B555" s="61" t="s">
        <v>382</v>
      </c>
      <c r="C555" s="62">
        <v>44787</v>
      </c>
      <c r="D555" s="62">
        <v>44787</v>
      </c>
      <c r="E555" s="63">
        <v>0</v>
      </c>
    </row>
    <row r="556" spans="1:5">
      <c r="A556" s="61" t="s">
        <v>119</v>
      </c>
      <c r="B556" s="61" t="s">
        <v>382</v>
      </c>
      <c r="C556" s="62">
        <v>44788</v>
      </c>
      <c r="D556" s="62">
        <v>44788</v>
      </c>
      <c r="E556" s="63">
        <v>0</v>
      </c>
    </row>
    <row r="557" spans="1:5">
      <c r="A557" s="61" t="s">
        <v>119</v>
      </c>
      <c r="B557" s="61" t="s">
        <v>382</v>
      </c>
      <c r="C557" s="62">
        <v>44789</v>
      </c>
      <c r="D557" s="62">
        <v>44789</v>
      </c>
      <c r="E557" s="63">
        <v>0</v>
      </c>
    </row>
    <row r="558" spans="1:5">
      <c r="A558" s="61" t="s">
        <v>119</v>
      </c>
      <c r="B558" s="61" t="s">
        <v>382</v>
      </c>
      <c r="C558" s="62">
        <v>44790</v>
      </c>
      <c r="D558" s="62">
        <v>44790</v>
      </c>
      <c r="E558" s="63">
        <v>0</v>
      </c>
    </row>
    <row r="559" spans="1:5">
      <c r="A559" s="61" t="s">
        <v>119</v>
      </c>
      <c r="B559" s="61" t="s">
        <v>382</v>
      </c>
      <c r="C559" s="62">
        <v>44791</v>
      </c>
      <c r="D559" s="62">
        <v>44791</v>
      </c>
      <c r="E559" s="63">
        <v>0</v>
      </c>
    </row>
    <row r="560" spans="1:5">
      <c r="A560" s="61" t="s">
        <v>119</v>
      </c>
      <c r="B560" s="61" t="s">
        <v>382</v>
      </c>
      <c r="C560" s="62">
        <v>44792</v>
      </c>
      <c r="D560" s="62">
        <v>44792</v>
      </c>
      <c r="E560" s="63">
        <v>0</v>
      </c>
    </row>
    <row r="561" spans="1:5">
      <c r="A561" s="61" t="s">
        <v>119</v>
      </c>
      <c r="B561" s="61" t="s">
        <v>382</v>
      </c>
      <c r="C561" s="62">
        <v>44793</v>
      </c>
      <c r="D561" s="62">
        <v>44793</v>
      </c>
      <c r="E561" s="63">
        <v>0</v>
      </c>
    </row>
    <row r="562" spans="1:5">
      <c r="A562" s="61" t="s">
        <v>119</v>
      </c>
      <c r="B562" s="61" t="s">
        <v>382</v>
      </c>
      <c r="C562" s="62">
        <v>44794</v>
      </c>
      <c r="D562" s="62">
        <v>44794</v>
      </c>
      <c r="E562" s="63">
        <v>0</v>
      </c>
    </row>
    <row r="563" spans="1:5">
      <c r="A563" s="61" t="s">
        <v>119</v>
      </c>
      <c r="B563" s="61" t="s">
        <v>382</v>
      </c>
      <c r="C563" s="62">
        <v>44795</v>
      </c>
      <c r="D563" s="62">
        <v>44795</v>
      </c>
      <c r="E563" s="63">
        <v>0</v>
      </c>
    </row>
    <row r="564" spans="1:5">
      <c r="A564" s="61" t="s">
        <v>119</v>
      </c>
      <c r="B564" s="61" t="s">
        <v>382</v>
      </c>
      <c r="C564" s="62">
        <v>44796</v>
      </c>
      <c r="D564" s="62">
        <v>44796</v>
      </c>
      <c r="E564" s="63">
        <v>0</v>
      </c>
    </row>
    <row r="565" spans="1:5">
      <c r="A565" s="61" t="s">
        <v>119</v>
      </c>
      <c r="B565" s="61" t="s">
        <v>382</v>
      </c>
      <c r="C565" s="62">
        <v>44797</v>
      </c>
      <c r="D565" s="62">
        <v>44797</v>
      </c>
      <c r="E565" s="63">
        <v>0</v>
      </c>
    </row>
    <row r="566" spans="1:5">
      <c r="A566" s="61" t="s">
        <v>119</v>
      </c>
      <c r="B566" s="61" t="s">
        <v>382</v>
      </c>
      <c r="C566" s="62">
        <v>44798</v>
      </c>
      <c r="D566" s="62">
        <v>44798</v>
      </c>
      <c r="E566" s="63">
        <v>0</v>
      </c>
    </row>
    <row r="567" spans="1:5">
      <c r="A567" s="61" t="s">
        <v>119</v>
      </c>
      <c r="B567" s="61" t="s">
        <v>382</v>
      </c>
      <c r="C567" s="62">
        <v>44799</v>
      </c>
      <c r="D567" s="62">
        <v>44799</v>
      </c>
      <c r="E567" s="63">
        <v>161.6</v>
      </c>
    </row>
    <row r="568" spans="1:5">
      <c r="A568" s="61" t="s">
        <v>119</v>
      </c>
      <c r="B568" s="61" t="s">
        <v>382</v>
      </c>
      <c r="C568" s="62">
        <v>44800</v>
      </c>
      <c r="D568" s="62">
        <v>44800</v>
      </c>
      <c r="E568" s="63">
        <v>0</v>
      </c>
    </row>
    <row r="569" spans="1:5">
      <c r="A569" s="61" t="s">
        <v>119</v>
      </c>
      <c r="B569" s="61" t="s">
        <v>382</v>
      </c>
      <c r="C569" s="62">
        <v>44801</v>
      </c>
      <c r="D569" s="62">
        <v>44801</v>
      </c>
      <c r="E569" s="63">
        <v>0</v>
      </c>
    </row>
    <row r="570" spans="1:5">
      <c r="A570" s="61" t="s">
        <v>119</v>
      </c>
      <c r="B570" s="61" t="s">
        <v>382</v>
      </c>
      <c r="C570" s="62">
        <v>44802</v>
      </c>
      <c r="D570" s="62">
        <v>44802</v>
      </c>
      <c r="E570" s="63">
        <v>0</v>
      </c>
    </row>
    <row r="571" spans="1:5">
      <c r="A571" s="61" t="s">
        <v>119</v>
      </c>
      <c r="B571" s="61" t="s">
        <v>382</v>
      </c>
      <c r="C571" s="62">
        <v>44803</v>
      </c>
      <c r="D571" s="62">
        <v>44803</v>
      </c>
      <c r="E571" s="63">
        <v>0</v>
      </c>
    </row>
    <row r="572" spans="1:5">
      <c r="A572" s="61" t="s">
        <v>120</v>
      </c>
      <c r="B572" s="61" t="s">
        <v>383</v>
      </c>
      <c r="C572" s="62">
        <v>44774</v>
      </c>
      <c r="D572" s="62">
        <v>44774</v>
      </c>
      <c r="E572" s="63">
        <v>0</v>
      </c>
    </row>
    <row r="573" spans="1:5">
      <c r="A573" s="61" t="s">
        <v>120</v>
      </c>
      <c r="B573" s="61" t="s">
        <v>383</v>
      </c>
      <c r="C573" s="62">
        <v>44775</v>
      </c>
      <c r="D573" s="62">
        <v>44775</v>
      </c>
      <c r="E573" s="63">
        <v>0</v>
      </c>
    </row>
    <row r="574" spans="1:5">
      <c r="A574" s="61" t="s">
        <v>120</v>
      </c>
      <c r="B574" s="61" t="s">
        <v>383</v>
      </c>
      <c r="C574" s="62">
        <v>44776</v>
      </c>
      <c r="D574" s="62">
        <v>44776</v>
      </c>
      <c r="E574" s="63">
        <v>0</v>
      </c>
    </row>
    <row r="575" spans="1:5">
      <c r="A575" s="61" t="s">
        <v>120</v>
      </c>
      <c r="B575" s="61" t="s">
        <v>383</v>
      </c>
      <c r="C575" s="62">
        <v>44777</v>
      </c>
      <c r="D575" s="62">
        <v>44777</v>
      </c>
      <c r="E575" s="63">
        <v>0</v>
      </c>
    </row>
    <row r="576" spans="1:5">
      <c r="A576" s="61" t="s">
        <v>120</v>
      </c>
      <c r="B576" s="61" t="s">
        <v>383</v>
      </c>
      <c r="C576" s="62">
        <v>44778</v>
      </c>
      <c r="D576" s="62">
        <v>44778</v>
      </c>
      <c r="E576" s="63">
        <v>0</v>
      </c>
    </row>
    <row r="577" spans="1:5">
      <c r="A577" s="61" t="s">
        <v>120</v>
      </c>
      <c r="B577" s="61" t="s">
        <v>383</v>
      </c>
      <c r="C577" s="62">
        <v>44779</v>
      </c>
      <c r="D577" s="62">
        <v>44779</v>
      </c>
      <c r="E577" s="63">
        <v>0</v>
      </c>
    </row>
    <row r="578" spans="1:5">
      <c r="A578" s="61" t="s">
        <v>120</v>
      </c>
      <c r="B578" s="61" t="s">
        <v>383</v>
      </c>
      <c r="C578" s="62">
        <v>44780</v>
      </c>
      <c r="D578" s="62">
        <v>44780</v>
      </c>
      <c r="E578" s="63">
        <v>0</v>
      </c>
    </row>
    <row r="579" spans="1:5">
      <c r="A579" s="61" t="s">
        <v>120</v>
      </c>
      <c r="B579" s="61" t="s">
        <v>383</v>
      </c>
      <c r="C579" s="62">
        <v>44781</v>
      </c>
      <c r="D579" s="62">
        <v>44781</v>
      </c>
      <c r="E579" s="63">
        <v>0</v>
      </c>
    </row>
    <row r="580" spans="1:5">
      <c r="A580" s="61" t="s">
        <v>120</v>
      </c>
      <c r="B580" s="61" t="s">
        <v>383</v>
      </c>
      <c r="C580" s="62">
        <v>44782</v>
      </c>
      <c r="D580" s="62">
        <v>44782</v>
      </c>
      <c r="E580" s="63">
        <v>0</v>
      </c>
    </row>
    <row r="581" spans="1:5">
      <c r="A581" s="61" t="s">
        <v>120</v>
      </c>
      <c r="B581" s="61" t="s">
        <v>383</v>
      </c>
      <c r="C581" s="62">
        <v>44783</v>
      </c>
      <c r="D581" s="62">
        <v>44783</v>
      </c>
      <c r="E581" s="63">
        <v>0</v>
      </c>
    </row>
    <row r="582" spans="1:5">
      <c r="A582" s="61" t="s">
        <v>120</v>
      </c>
      <c r="B582" s="61" t="s">
        <v>383</v>
      </c>
      <c r="C582" s="62">
        <v>44784</v>
      </c>
      <c r="D582" s="62">
        <v>44784</v>
      </c>
      <c r="E582" s="63">
        <v>0</v>
      </c>
    </row>
    <row r="583" spans="1:5">
      <c r="A583" s="61" t="s">
        <v>120</v>
      </c>
      <c r="B583" s="61" t="s">
        <v>383</v>
      </c>
      <c r="C583" s="62">
        <v>44785</v>
      </c>
      <c r="D583" s="62">
        <v>44785</v>
      </c>
      <c r="E583" s="63">
        <v>0</v>
      </c>
    </row>
    <row r="584" spans="1:5">
      <c r="A584" s="61" t="s">
        <v>120</v>
      </c>
      <c r="B584" s="61" t="s">
        <v>383</v>
      </c>
      <c r="C584" s="62">
        <v>44786</v>
      </c>
      <c r="D584" s="62">
        <v>44786</v>
      </c>
      <c r="E584" s="63">
        <v>0</v>
      </c>
    </row>
    <row r="585" spans="1:5">
      <c r="A585" s="61" t="s">
        <v>120</v>
      </c>
      <c r="B585" s="61" t="s">
        <v>383</v>
      </c>
      <c r="C585" s="62">
        <v>44787</v>
      </c>
      <c r="D585" s="62">
        <v>44787</v>
      </c>
      <c r="E585" s="63">
        <v>0</v>
      </c>
    </row>
    <row r="586" spans="1:5">
      <c r="A586" s="61" t="s">
        <v>120</v>
      </c>
      <c r="B586" s="61" t="s">
        <v>383</v>
      </c>
      <c r="C586" s="62">
        <v>44788</v>
      </c>
      <c r="D586" s="62">
        <v>44788</v>
      </c>
      <c r="E586" s="63">
        <v>0</v>
      </c>
    </row>
    <row r="587" spans="1:5">
      <c r="A587" s="61" t="s">
        <v>120</v>
      </c>
      <c r="B587" s="61" t="s">
        <v>383</v>
      </c>
      <c r="C587" s="62">
        <v>44789</v>
      </c>
      <c r="D587" s="62">
        <v>44789</v>
      </c>
      <c r="E587" s="63">
        <v>0</v>
      </c>
    </row>
    <row r="588" spans="1:5">
      <c r="A588" s="61" t="s">
        <v>120</v>
      </c>
      <c r="B588" s="61" t="s">
        <v>383</v>
      </c>
      <c r="C588" s="62">
        <v>44790</v>
      </c>
      <c r="D588" s="62">
        <v>44790</v>
      </c>
      <c r="E588" s="63">
        <v>0</v>
      </c>
    </row>
    <row r="589" spans="1:5">
      <c r="A589" s="61" t="s">
        <v>120</v>
      </c>
      <c r="B589" s="61" t="s">
        <v>383</v>
      </c>
      <c r="C589" s="62">
        <v>44791</v>
      </c>
      <c r="D589" s="62">
        <v>44791</v>
      </c>
      <c r="E589" s="63">
        <v>0</v>
      </c>
    </row>
    <row r="590" spans="1:5">
      <c r="A590" s="61" t="s">
        <v>120</v>
      </c>
      <c r="B590" s="61" t="s">
        <v>383</v>
      </c>
      <c r="C590" s="62">
        <v>44792</v>
      </c>
      <c r="D590" s="62">
        <v>44792</v>
      </c>
      <c r="E590" s="63">
        <v>0</v>
      </c>
    </row>
    <row r="591" spans="1:5">
      <c r="A591" s="61" t="s">
        <v>120</v>
      </c>
      <c r="B591" s="61" t="s">
        <v>383</v>
      </c>
      <c r="C591" s="62">
        <v>44793</v>
      </c>
      <c r="D591" s="62">
        <v>44793</v>
      </c>
      <c r="E591" s="63">
        <v>0</v>
      </c>
    </row>
    <row r="592" spans="1:5">
      <c r="A592" s="61" t="s">
        <v>120</v>
      </c>
      <c r="B592" s="61" t="s">
        <v>383</v>
      </c>
      <c r="C592" s="62">
        <v>44794</v>
      </c>
      <c r="D592" s="62">
        <v>44794</v>
      </c>
      <c r="E592" s="63">
        <v>0</v>
      </c>
    </row>
    <row r="593" spans="1:5">
      <c r="A593" s="61" t="s">
        <v>120</v>
      </c>
      <c r="B593" s="61" t="s">
        <v>383</v>
      </c>
      <c r="C593" s="62">
        <v>44795</v>
      </c>
      <c r="D593" s="62">
        <v>44795</v>
      </c>
      <c r="E593" s="63">
        <v>0</v>
      </c>
    </row>
    <row r="594" spans="1:5">
      <c r="A594" s="61" t="s">
        <v>120</v>
      </c>
      <c r="B594" s="61" t="s">
        <v>383</v>
      </c>
      <c r="C594" s="62">
        <v>44796</v>
      </c>
      <c r="D594" s="62">
        <v>44796</v>
      </c>
      <c r="E594" s="63">
        <v>0</v>
      </c>
    </row>
    <row r="595" spans="1:5">
      <c r="A595" s="61" t="s">
        <v>120</v>
      </c>
      <c r="B595" s="61" t="s">
        <v>383</v>
      </c>
      <c r="C595" s="62">
        <v>44797</v>
      </c>
      <c r="D595" s="62">
        <v>44797</v>
      </c>
      <c r="E595" s="63">
        <v>0</v>
      </c>
    </row>
    <row r="596" spans="1:5">
      <c r="A596" s="61" t="s">
        <v>120</v>
      </c>
      <c r="B596" s="61" t="s">
        <v>383</v>
      </c>
      <c r="C596" s="62">
        <v>44798</v>
      </c>
      <c r="D596" s="62">
        <v>44798</v>
      </c>
      <c r="E596" s="63">
        <v>0</v>
      </c>
    </row>
    <row r="597" spans="1:5">
      <c r="A597" s="61" t="s">
        <v>120</v>
      </c>
      <c r="B597" s="61" t="s">
        <v>383</v>
      </c>
      <c r="C597" s="62">
        <v>44799</v>
      </c>
      <c r="D597" s="62">
        <v>44799</v>
      </c>
      <c r="E597" s="63">
        <v>0</v>
      </c>
    </row>
    <row r="598" spans="1:5">
      <c r="A598" s="61" t="s">
        <v>120</v>
      </c>
      <c r="B598" s="61" t="s">
        <v>383</v>
      </c>
      <c r="C598" s="62">
        <v>44800</v>
      </c>
      <c r="D598" s="62">
        <v>44800</v>
      </c>
      <c r="E598" s="63">
        <v>0</v>
      </c>
    </row>
    <row r="599" spans="1:5">
      <c r="A599" s="61" t="s">
        <v>120</v>
      </c>
      <c r="B599" s="61" t="s">
        <v>383</v>
      </c>
      <c r="C599" s="62">
        <v>44801</v>
      </c>
      <c r="D599" s="62">
        <v>44801</v>
      </c>
      <c r="E599" s="63">
        <v>0</v>
      </c>
    </row>
    <row r="600" spans="1:5">
      <c r="A600" s="61" t="s">
        <v>120</v>
      </c>
      <c r="B600" s="61" t="s">
        <v>383</v>
      </c>
      <c r="C600" s="62">
        <v>44802</v>
      </c>
      <c r="D600" s="62">
        <v>44802</v>
      </c>
      <c r="E600" s="63">
        <v>0</v>
      </c>
    </row>
    <row r="601" spans="1:5">
      <c r="A601" s="61" t="s">
        <v>120</v>
      </c>
      <c r="B601" s="61" t="s">
        <v>383</v>
      </c>
      <c r="C601" s="62">
        <v>44803</v>
      </c>
      <c r="D601" s="62">
        <v>44803</v>
      </c>
      <c r="E601" s="63">
        <v>0</v>
      </c>
    </row>
    <row r="602" spans="1:5">
      <c r="A602" s="61" t="s">
        <v>105</v>
      </c>
      <c r="B602" s="61" t="s">
        <v>380</v>
      </c>
      <c r="C602" s="62">
        <v>44774</v>
      </c>
      <c r="D602" s="62">
        <v>44774</v>
      </c>
      <c r="E602" s="63">
        <v>0</v>
      </c>
    </row>
    <row r="603" spans="1:5">
      <c r="A603" s="61" t="s">
        <v>105</v>
      </c>
      <c r="B603" s="61" t="s">
        <v>380</v>
      </c>
      <c r="C603" s="62">
        <v>44775</v>
      </c>
      <c r="D603" s="62">
        <v>44775</v>
      </c>
      <c r="E603" s="63">
        <v>0</v>
      </c>
    </row>
    <row r="604" spans="1:5">
      <c r="A604" s="61" t="s">
        <v>105</v>
      </c>
      <c r="B604" s="61" t="s">
        <v>380</v>
      </c>
      <c r="C604" s="62">
        <v>44776</v>
      </c>
      <c r="D604" s="62">
        <v>44776</v>
      </c>
      <c r="E604" s="63">
        <v>0</v>
      </c>
    </row>
    <row r="605" spans="1:5">
      <c r="A605" s="61" t="s">
        <v>105</v>
      </c>
      <c r="B605" s="61" t="s">
        <v>380</v>
      </c>
      <c r="C605" s="62">
        <v>44777</v>
      </c>
      <c r="D605" s="62">
        <v>44777</v>
      </c>
      <c r="E605" s="63">
        <v>168.24</v>
      </c>
    </row>
    <row r="606" spans="1:5">
      <c r="A606" s="61" t="s">
        <v>105</v>
      </c>
      <c r="B606" s="61" t="s">
        <v>380</v>
      </c>
      <c r="C606" s="62">
        <v>44778</v>
      </c>
      <c r="D606" s="62">
        <v>44778</v>
      </c>
      <c r="E606" s="63">
        <v>0</v>
      </c>
    </row>
    <row r="607" spans="1:5">
      <c r="A607" s="61" t="s">
        <v>105</v>
      </c>
      <c r="B607" s="61" t="s">
        <v>380</v>
      </c>
      <c r="C607" s="62">
        <v>44779</v>
      </c>
      <c r="D607" s="62">
        <v>44779</v>
      </c>
      <c r="E607" s="63">
        <v>0</v>
      </c>
    </row>
    <row r="608" spans="1:5">
      <c r="A608" s="61" t="s">
        <v>105</v>
      </c>
      <c r="B608" s="61" t="s">
        <v>380</v>
      </c>
      <c r="C608" s="62">
        <v>44780</v>
      </c>
      <c r="D608" s="62">
        <v>44780</v>
      </c>
      <c r="E608" s="63">
        <v>0</v>
      </c>
    </row>
    <row r="609" spans="1:5">
      <c r="A609" s="61" t="s">
        <v>105</v>
      </c>
      <c r="B609" s="61" t="s">
        <v>380</v>
      </c>
      <c r="C609" s="62">
        <v>44781</v>
      </c>
      <c r="D609" s="62">
        <v>44781</v>
      </c>
      <c r="E609" s="63">
        <v>0</v>
      </c>
    </row>
    <row r="610" spans="1:5">
      <c r="A610" s="61" t="s">
        <v>105</v>
      </c>
      <c r="B610" s="61" t="s">
        <v>380</v>
      </c>
      <c r="C610" s="62">
        <v>44782</v>
      </c>
      <c r="D610" s="62">
        <v>44782</v>
      </c>
      <c r="E610" s="63">
        <v>3068.65</v>
      </c>
    </row>
    <row r="611" spans="1:5">
      <c r="A611" s="61" t="s">
        <v>105</v>
      </c>
      <c r="B611" s="61" t="s">
        <v>380</v>
      </c>
      <c r="C611" s="62">
        <v>44783</v>
      </c>
      <c r="D611" s="62">
        <v>44783</v>
      </c>
      <c r="E611" s="63">
        <v>0</v>
      </c>
    </row>
    <row r="612" spans="1:5">
      <c r="A612" s="61" t="s">
        <v>105</v>
      </c>
      <c r="B612" s="61" t="s">
        <v>380</v>
      </c>
      <c r="C612" s="62">
        <v>44784</v>
      </c>
      <c r="D612" s="62">
        <v>44784</v>
      </c>
      <c r="E612" s="63">
        <v>0</v>
      </c>
    </row>
    <row r="613" spans="1:5">
      <c r="A613" s="61" t="s">
        <v>105</v>
      </c>
      <c r="B613" s="61" t="s">
        <v>380</v>
      </c>
      <c r="C613" s="62">
        <v>44785</v>
      </c>
      <c r="D613" s="62">
        <v>44785</v>
      </c>
      <c r="E613" s="63">
        <v>0</v>
      </c>
    </row>
    <row r="614" spans="1:5">
      <c r="A614" s="61" t="s">
        <v>105</v>
      </c>
      <c r="B614" s="61" t="s">
        <v>380</v>
      </c>
      <c r="C614" s="62">
        <v>44786</v>
      </c>
      <c r="D614" s="62">
        <v>44786</v>
      </c>
      <c r="E614" s="63">
        <v>0</v>
      </c>
    </row>
    <row r="615" spans="1:5">
      <c r="A615" s="61" t="s">
        <v>105</v>
      </c>
      <c r="B615" s="61" t="s">
        <v>380</v>
      </c>
      <c r="C615" s="62">
        <v>44787</v>
      </c>
      <c r="D615" s="62">
        <v>44787</v>
      </c>
      <c r="E615" s="63">
        <v>0</v>
      </c>
    </row>
    <row r="616" spans="1:5">
      <c r="A616" s="61" t="s">
        <v>105</v>
      </c>
      <c r="B616" s="61" t="s">
        <v>380</v>
      </c>
      <c r="C616" s="62">
        <v>44788</v>
      </c>
      <c r="D616" s="62">
        <v>44788</v>
      </c>
      <c r="E616" s="63">
        <v>0</v>
      </c>
    </row>
    <row r="617" spans="1:5">
      <c r="A617" s="61" t="s">
        <v>105</v>
      </c>
      <c r="B617" s="61" t="s">
        <v>380</v>
      </c>
      <c r="C617" s="62">
        <v>44789</v>
      </c>
      <c r="D617" s="62">
        <v>44789</v>
      </c>
      <c r="E617" s="63">
        <v>834.46</v>
      </c>
    </row>
    <row r="618" spans="1:5">
      <c r="A618" s="61" t="s">
        <v>105</v>
      </c>
      <c r="B618" s="61" t="s">
        <v>380</v>
      </c>
      <c r="C618" s="62">
        <v>44790</v>
      </c>
      <c r="D618" s="62">
        <v>44790</v>
      </c>
      <c r="E618" s="63">
        <v>0</v>
      </c>
    </row>
    <row r="619" spans="1:5">
      <c r="A619" s="61" t="s">
        <v>105</v>
      </c>
      <c r="B619" s="61" t="s">
        <v>380</v>
      </c>
      <c r="C619" s="62">
        <v>44791</v>
      </c>
      <c r="D619" s="62">
        <v>44791</v>
      </c>
      <c r="E619" s="63">
        <v>0</v>
      </c>
    </row>
    <row r="620" spans="1:5">
      <c r="A620" s="61" t="s">
        <v>105</v>
      </c>
      <c r="B620" s="61" t="s">
        <v>380</v>
      </c>
      <c r="C620" s="62">
        <v>44792</v>
      </c>
      <c r="D620" s="62">
        <v>44792</v>
      </c>
      <c r="E620" s="63">
        <v>0</v>
      </c>
    </row>
    <row r="621" spans="1:5">
      <c r="A621" s="61" t="s">
        <v>105</v>
      </c>
      <c r="B621" s="61" t="s">
        <v>380</v>
      </c>
      <c r="C621" s="62">
        <v>44793</v>
      </c>
      <c r="D621" s="62">
        <v>44793</v>
      </c>
      <c r="E621" s="63">
        <v>0</v>
      </c>
    </row>
    <row r="622" spans="1:5">
      <c r="A622" s="61" t="s">
        <v>105</v>
      </c>
      <c r="B622" s="61" t="s">
        <v>380</v>
      </c>
      <c r="C622" s="62">
        <v>44794</v>
      </c>
      <c r="D622" s="62">
        <v>44794</v>
      </c>
      <c r="E622" s="63">
        <v>0</v>
      </c>
    </row>
    <row r="623" spans="1:5">
      <c r="A623" s="61" t="s">
        <v>105</v>
      </c>
      <c r="B623" s="61" t="s">
        <v>380</v>
      </c>
      <c r="C623" s="62">
        <v>44795</v>
      </c>
      <c r="D623" s="62">
        <v>44795</v>
      </c>
      <c r="E623" s="63">
        <v>0</v>
      </c>
    </row>
    <row r="624" spans="1:5">
      <c r="A624" s="61" t="s">
        <v>105</v>
      </c>
      <c r="B624" s="61" t="s">
        <v>380</v>
      </c>
      <c r="C624" s="62">
        <v>44796</v>
      </c>
      <c r="D624" s="62">
        <v>44796</v>
      </c>
      <c r="E624" s="63">
        <v>0</v>
      </c>
    </row>
    <row r="625" spans="1:5">
      <c r="A625" s="61" t="s">
        <v>105</v>
      </c>
      <c r="B625" s="61" t="s">
        <v>380</v>
      </c>
      <c r="C625" s="62">
        <v>44797</v>
      </c>
      <c r="D625" s="62">
        <v>44797</v>
      </c>
      <c r="E625" s="63">
        <v>0</v>
      </c>
    </row>
    <row r="626" spans="1:5">
      <c r="A626" s="61" t="s">
        <v>105</v>
      </c>
      <c r="B626" s="61" t="s">
        <v>380</v>
      </c>
      <c r="C626" s="62">
        <v>44798</v>
      </c>
      <c r="D626" s="62">
        <v>44798</v>
      </c>
      <c r="E626" s="63">
        <v>0</v>
      </c>
    </row>
    <row r="627" spans="1:5">
      <c r="A627" s="61" t="s">
        <v>105</v>
      </c>
      <c r="B627" s="61" t="s">
        <v>380</v>
      </c>
      <c r="C627" s="62">
        <v>44799</v>
      </c>
      <c r="D627" s="62">
        <v>44799</v>
      </c>
      <c r="E627" s="63">
        <v>0</v>
      </c>
    </row>
    <row r="628" spans="1:5">
      <c r="A628" s="61" t="s">
        <v>105</v>
      </c>
      <c r="B628" s="61" t="s">
        <v>380</v>
      </c>
      <c r="C628" s="62">
        <v>44800</v>
      </c>
      <c r="D628" s="62">
        <v>44800</v>
      </c>
      <c r="E628" s="63">
        <v>0</v>
      </c>
    </row>
    <row r="629" spans="1:5">
      <c r="A629" s="61" t="s">
        <v>105</v>
      </c>
      <c r="B629" s="61" t="s">
        <v>380</v>
      </c>
      <c r="C629" s="62">
        <v>44801</v>
      </c>
      <c r="D629" s="62">
        <v>44801</v>
      </c>
      <c r="E629" s="63">
        <v>0</v>
      </c>
    </row>
    <row r="630" spans="1:5">
      <c r="A630" s="61" t="s">
        <v>105</v>
      </c>
      <c r="B630" s="61" t="s">
        <v>380</v>
      </c>
      <c r="C630" s="62">
        <v>44802</v>
      </c>
      <c r="D630" s="62">
        <v>44802</v>
      </c>
      <c r="E630" s="63">
        <v>0</v>
      </c>
    </row>
    <row r="631" spans="1:5">
      <c r="A631" s="61" t="s">
        <v>105</v>
      </c>
      <c r="B631" s="61" t="s">
        <v>380</v>
      </c>
      <c r="C631" s="62">
        <v>44803</v>
      </c>
      <c r="D631" s="62">
        <v>44803</v>
      </c>
      <c r="E631" s="63">
        <v>0</v>
      </c>
    </row>
    <row r="632" spans="1:5">
      <c r="A632" s="61" t="s">
        <v>121</v>
      </c>
      <c r="B632" s="61" t="s">
        <v>381</v>
      </c>
      <c r="C632" s="62">
        <v>44774</v>
      </c>
      <c r="D632" s="62">
        <v>44774</v>
      </c>
      <c r="E632" s="63">
        <v>0</v>
      </c>
    </row>
    <row r="633" spans="1:5">
      <c r="A633" s="61" t="s">
        <v>121</v>
      </c>
      <c r="B633" s="61" t="s">
        <v>381</v>
      </c>
      <c r="C633" s="62">
        <v>44775</v>
      </c>
      <c r="D633" s="62">
        <v>44775</v>
      </c>
      <c r="E633" s="63">
        <v>0</v>
      </c>
    </row>
    <row r="634" spans="1:5">
      <c r="A634" s="61" t="s">
        <v>121</v>
      </c>
      <c r="B634" s="61" t="s">
        <v>381</v>
      </c>
      <c r="C634" s="62">
        <v>44776</v>
      </c>
      <c r="D634" s="62">
        <v>44776</v>
      </c>
      <c r="E634" s="63">
        <v>0</v>
      </c>
    </row>
    <row r="635" spans="1:5">
      <c r="A635" s="61" t="s">
        <v>121</v>
      </c>
      <c r="B635" s="61" t="s">
        <v>381</v>
      </c>
      <c r="C635" s="62">
        <v>44777</v>
      </c>
      <c r="D635" s="62">
        <v>44777</v>
      </c>
      <c r="E635" s="63">
        <v>0</v>
      </c>
    </row>
    <row r="636" spans="1:5">
      <c r="A636" s="61" t="s">
        <v>121</v>
      </c>
      <c r="B636" s="61" t="s">
        <v>381</v>
      </c>
      <c r="C636" s="62">
        <v>44778</v>
      </c>
      <c r="D636" s="62">
        <v>44778</v>
      </c>
      <c r="E636" s="63">
        <v>0</v>
      </c>
    </row>
    <row r="637" spans="1:5">
      <c r="A637" s="61" t="s">
        <v>121</v>
      </c>
      <c r="B637" s="61" t="s">
        <v>381</v>
      </c>
      <c r="C637" s="62">
        <v>44779</v>
      </c>
      <c r="D637" s="62">
        <v>44779</v>
      </c>
      <c r="E637" s="63">
        <v>0</v>
      </c>
    </row>
    <row r="638" spans="1:5">
      <c r="A638" s="61" t="s">
        <v>121</v>
      </c>
      <c r="B638" s="61" t="s">
        <v>381</v>
      </c>
      <c r="C638" s="62">
        <v>44780</v>
      </c>
      <c r="D638" s="62">
        <v>44780</v>
      </c>
      <c r="E638" s="63">
        <v>0</v>
      </c>
    </row>
    <row r="639" spans="1:5">
      <c r="A639" s="61" t="s">
        <v>121</v>
      </c>
      <c r="B639" s="61" t="s">
        <v>381</v>
      </c>
      <c r="C639" s="62">
        <v>44781</v>
      </c>
      <c r="D639" s="62">
        <v>44781</v>
      </c>
      <c r="E639" s="63">
        <v>0</v>
      </c>
    </row>
    <row r="640" spans="1:5">
      <c r="A640" s="61" t="s">
        <v>121</v>
      </c>
      <c r="B640" s="61" t="s">
        <v>381</v>
      </c>
      <c r="C640" s="62">
        <v>44782</v>
      </c>
      <c r="D640" s="62">
        <v>44782</v>
      </c>
      <c r="E640" s="63">
        <v>450.87</v>
      </c>
    </row>
    <row r="641" spans="1:5">
      <c r="A641" s="61" t="s">
        <v>121</v>
      </c>
      <c r="B641" s="61" t="s">
        <v>381</v>
      </c>
      <c r="C641" s="62">
        <v>44783</v>
      </c>
      <c r="D641" s="62">
        <v>44783</v>
      </c>
      <c r="E641" s="63">
        <v>0</v>
      </c>
    </row>
    <row r="642" spans="1:5">
      <c r="A642" s="61" t="s">
        <v>121</v>
      </c>
      <c r="B642" s="61" t="s">
        <v>381</v>
      </c>
      <c r="C642" s="62">
        <v>44784</v>
      </c>
      <c r="D642" s="62">
        <v>44784</v>
      </c>
      <c r="E642" s="63">
        <v>0</v>
      </c>
    </row>
    <row r="643" spans="1:5">
      <c r="A643" s="61" t="s">
        <v>121</v>
      </c>
      <c r="B643" s="61" t="s">
        <v>381</v>
      </c>
      <c r="C643" s="62">
        <v>44785</v>
      </c>
      <c r="D643" s="62">
        <v>44785</v>
      </c>
      <c r="E643" s="63">
        <v>8061.42</v>
      </c>
    </row>
    <row r="644" spans="1:5">
      <c r="A644" s="61" t="s">
        <v>121</v>
      </c>
      <c r="B644" s="61" t="s">
        <v>381</v>
      </c>
      <c r="C644" s="62">
        <v>44786</v>
      </c>
      <c r="D644" s="62">
        <v>44786</v>
      </c>
      <c r="E644" s="63">
        <v>0</v>
      </c>
    </row>
    <row r="645" spans="1:5">
      <c r="A645" s="61" t="s">
        <v>121</v>
      </c>
      <c r="B645" s="61" t="s">
        <v>381</v>
      </c>
      <c r="C645" s="62">
        <v>44787</v>
      </c>
      <c r="D645" s="62">
        <v>44787</v>
      </c>
      <c r="E645" s="63">
        <v>0</v>
      </c>
    </row>
    <row r="646" spans="1:5">
      <c r="A646" s="61" t="s">
        <v>121</v>
      </c>
      <c r="B646" s="61" t="s">
        <v>381</v>
      </c>
      <c r="C646" s="62">
        <v>44788</v>
      </c>
      <c r="D646" s="62">
        <v>44788</v>
      </c>
      <c r="E646" s="63">
        <v>0</v>
      </c>
    </row>
    <row r="647" spans="1:5">
      <c r="A647" s="61" t="s">
        <v>121</v>
      </c>
      <c r="B647" s="61" t="s">
        <v>381</v>
      </c>
      <c r="C647" s="62">
        <v>44789</v>
      </c>
      <c r="D647" s="62">
        <v>44789</v>
      </c>
      <c r="E647" s="63">
        <v>706.59</v>
      </c>
    </row>
    <row r="648" spans="1:5">
      <c r="A648" s="61" t="s">
        <v>121</v>
      </c>
      <c r="B648" s="61" t="s">
        <v>381</v>
      </c>
      <c r="C648" s="62">
        <v>44790</v>
      </c>
      <c r="D648" s="62">
        <v>44790</v>
      </c>
      <c r="E648" s="63">
        <v>0</v>
      </c>
    </row>
    <row r="649" spans="1:5">
      <c r="A649" s="61" t="s">
        <v>121</v>
      </c>
      <c r="B649" s="61" t="s">
        <v>381</v>
      </c>
      <c r="C649" s="62">
        <v>44791</v>
      </c>
      <c r="D649" s="62">
        <v>44791</v>
      </c>
      <c r="E649" s="63">
        <v>0</v>
      </c>
    </row>
    <row r="650" spans="1:5">
      <c r="A650" s="61" t="s">
        <v>121</v>
      </c>
      <c r="B650" s="61" t="s">
        <v>381</v>
      </c>
      <c r="C650" s="62">
        <v>44792</v>
      </c>
      <c r="D650" s="62">
        <v>44792</v>
      </c>
      <c r="E650" s="63">
        <v>0</v>
      </c>
    </row>
    <row r="651" spans="1:5">
      <c r="A651" s="61" t="s">
        <v>121</v>
      </c>
      <c r="B651" s="61" t="s">
        <v>381</v>
      </c>
      <c r="C651" s="62">
        <v>44793</v>
      </c>
      <c r="D651" s="62">
        <v>44793</v>
      </c>
      <c r="E651" s="63">
        <v>0</v>
      </c>
    </row>
    <row r="652" spans="1:5">
      <c r="A652" s="61" t="s">
        <v>121</v>
      </c>
      <c r="B652" s="61" t="s">
        <v>381</v>
      </c>
      <c r="C652" s="62">
        <v>44794</v>
      </c>
      <c r="D652" s="62">
        <v>44794</v>
      </c>
      <c r="E652" s="63">
        <v>0</v>
      </c>
    </row>
    <row r="653" spans="1:5">
      <c r="A653" s="61" t="s">
        <v>121</v>
      </c>
      <c r="B653" s="61" t="s">
        <v>381</v>
      </c>
      <c r="C653" s="62">
        <v>44795</v>
      </c>
      <c r="D653" s="62">
        <v>44795</v>
      </c>
      <c r="E653" s="63">
        <v>0</v>
      </c>
    </row>
    <row r="654" spans="1:5">
      <c r="A654" s="61" t="s">
        <v>121</v>
      </c>
      <c r="B654" s="61" t="s">
        <v>381</v>
      </c>
      <c r="C654" s="62">
        <v>44796</v>
      </c>
      <c r="D654" s="62">
        <v>44796</v>
      </c>
      <c r="E654" s="63">
        <v>0</v>
      </c>
    </row>
    <row r="655" spans="1:5">
      <c r="A655" s="61" t="s">
        <v>121</v>
      </c>
      <c r="B655" s="61" t="s">
        <v>381</v>
      </c>
      <c r="C655" s="62">
        <v>44797</v>
      </c>
      <c r="D655" s="62">
        <v>44797</v>
      </c>
      <c r="E655" s="63">
        <v>0</v>
      </c>
    </row>
    <row r="656" spans="1:5">
      <c r="A656" s="61" t="s">
        <v>121</v>
      </c>
      <c r="B656" s="61" t="s">
        <v>381</v>
      </c>
      <c r="C656" s="62">
        <v>44798</v>
      </c>
      <c r="D656" s="62">
        <v>44798</v>
      </c>
      <c r="E656" s="63">
        <v>0</v>
      </c>
    </row>
    <row r="657" spans="1:5">
      <c r="A657" s="61" t="s">
        <v>121</v>
      </c>
      <c r="B657" s="61" t="s">
        <v>381</v>
      </c>
      <c r="C657" s="62">
        <v>44799</v>
      </c>
      <c r="D657" s="62">
        <v>44799</v>
      </c>
      <c r="E657" s="63">
        <v>0</v>
      </c>
    </row>
    <row r="658" spans="1:5">
      <c r="A658" s="61" t="s">
        <v>121</v>
      </c>
      <c r="B658" s="61" t="s">
        <v>381</v>
      </c>
      <c r="C658" s="62">
        <v>44800</v>
      </c>
      <c r="D658" s="62">
        <v>44800</v>
      </c>
      <c r="E658" s="63">
        <v>0</v>
      </c>
    </row>
    <row r="659" spans="1:5">
      <c r="A659" s="61" t="s">
        <v>121</v>
      </c>
      <c r="B659" s="61" t="s">
        <v>381</v>
      </c>
      <c r="C659" s="62">
        <v>44801</v>
      </c>
      <c r="D659" s="62">
        <v>44801</v>
      </c>
      <c r="E659" s="63">
        <v>0</v>
      </c>
    </row>
    <row r="660" spans="1:5">
      <c r="A660" s="61" t="s">
        <v>121</v>
      </c>
      <c r="B660" s="61" t="s">
        <v>381</v>
      </c>
      <c r="C660" s="62">
        <v>44802</v>
      </c>
      <c r="D660" s="62">
        <v>44802</v>
      </c>
      <c r="E660" s="63">
        <v>0</v>
      </c>
    </row>
    <row r="661" spans="1:5">
      <c r="A661" s="61" t="s">
        <v>121</v>
      </c>
      <c r="B661" s="61" t="s">
        <v>381</v>
      </c>
      <c r="C661" s="62">
        <v>44803</v>
      </c>
      <c r="D661" s="62">
        <v>44803</v>
      </c>
      <c r="E661" s="63">
        <v>0</v>
      </c>
    </row>
    <row r="662" spans="1:5">
      <c r="A662" s="61" t="s">
        <v>122</v>
      </c>
      <c r="B662" s="61" t="s">
        <v>382</v>
      </c>
      <c r="C662" s="62">
        <v>44774</v>
      </c>
      <c r="D662" s="62">
        <v>44774</v>
      </c>
      <c r="E662" s="63">
        <v>0</v>
      </c>
    </row>
    <row r="663" spans="1:5">
      <c r="A663" s="61" t="s">
        <v>122</v>
      </c>
      <c r="B663" s="61" t="s">
        <v>382</v>
      </c>
      <c r="C663" s="62">
        <v>44775</v>
      </c>
      <c r="D663" s="62">
        <v>44775</v>
      </c>
      <c r="E663" s="63">
        <v>0</v>
      </c>
    </row>
    <row r="664" spans="1:5">
      <c r="A664" s="61" t="s">
        <v>122</v>
      </c>
      <c r="B664" s="61" t="s">
        <v>382</v>
      </c>
      <c r="C664" s="62">
        <v>44776</v>
      </c>
      <c r="D664" s="62">
        <v>44776</v>
      </c>
      <c r="E664" s="63">
        <v>0</v>
      </c>
    </row>
    <row r="665" spans="1:5">
      <c r="A665" s="61" t="s">
        <v>122</v>
      </c>
      <c r="B665" s="61" t="s">
        <v>382</v>
      </c>
      <c r="C665" s="62">
        <v>44777</v>
      </c>
      <c r="D665" s="62">
        <v>44777</v>
      </c>
      <c r="E665" s="63">
        <v>0</v>
      </c>
    </row>
    <row r="666" spans="1:5">
      <c r="A666" s="61" t="s">
        <v>122</v>
      </c>
      <c r="B666" s="61" t="s">
        <v>382</v>
      </c>
      <c r="C666" s="62">
        <v>44778</v>
      </c>
      <c r="D666" s="62">
        <v>44778</v>
      </c>
      <c r="E666" s="63">
        <v>0</v>
      </c>
    </row>
    <row r="667" spans="1:5">
      <c r="A667" s="61" t="s">
        <v>122</v>
      </c>
      <c r="B667" s="61" t="s">
        <v>382</v>
      </c>
      <c r="C667" s="62">
        <v>44779</v>
      </c>
      <c r="D667" s="62">
        <v>44779</v>
      </c>
      <c r="E667" s="63">
        <v>0</v>
      </c>
    </row>
    <row r="668" spans="1:5">
      <c r="A668" s="61" t="s">
        <v>122</v>
      </c>
      <c r="B668" s="61" t="s">
        <v>382</v>
      </c>
      <c r="C668" s="62">
        <v>44780</v>
      </c>
      <c r="D668" s="62">
        <v>44780</v>
      </c>
      <c r="E668" s="63">
        <v>0</v>
      </c>
    </row>
    <row r="669" spans="1:5">
      <c r="A669" s="61" t="s">
        <v>122</v>
      </c>
      <c r="B669" s="61" t="s">
        <v>382</v>
      </c>
      <c r="C669" s="62">
        <v>44781</v>
      </c>
      <c r="D669" s="62">
        <v>44781</v>
      </c>
      <c r="E669" s="63">
        <v>0</v>
      </c>
    </row>
    <row r="670" spans="1:5">
      <c r="A670" s="61" t="s">
        <v>122</v>
      </c>
      <c r="B670" s="61" t="s">
        <v>382</v>
      </c>
      <c r="C670" s="62">
        <v>44782</v>
      </c>
      <c r="D670" s="62">
        <v>44782</v>
      </c>
      <c r="E670" s="63">
        <v>0</v>
      </c>
    </row>
    <row r="671" spans="1:5">
      <c r="A671" s="61" t="s">
        <v>122</v>
      </c>
      <c r="B671" s="61" t="s">
        <v>382</v>
      </c>
      <c r="C671" s="62">
        <v>44783</v>
      </c>
      <c r="D671" s="62">
        <v>44783</v>
      </c>
      <c r="E671" s="63">
        <v>0</v>
      </c>
    </row>
    <row r="672" spans="1:5">
      <c r="A672" s="61" t="s">
        <v>122</v>
      </c>
      <c r="B672" s="61" t="s">
        <v>382</v>
      </c>
      <c r="C672" s="62">
        <v>44784</v>
      </c>
      <c r="D672" s="62">
        <v>44784</v>
      </c>
      <c r="E672" s="63">
        <v>0</v>
      </c>
    </row>
    <row r="673" spans="1:5">
      <c r="A673" s="61" t="s">
        <v>122</v>
      </c>
      <c r="B673" s="61" t="s">
        <v>382</v>
      </c>
      <c r="C673" s="62">
        <v>44785</v>
      </c>
      <c r="D673" s="62">
        <v>44785</v>
      </c>
      <c r="E673" s="63">
        <v>0</v>
      </c>
    </row>
    <row r="674" spans="1:5">
      <c r="A674" s="61" t="s">
        <v>122</v>
      </c>
      <c r="B674" s="61" t="s">
        <v>382</v>
      </c>
      <c r="C674" s="62">
        <v>44786</v>
      </c>
      <c r="D674" s="62">
        <v>44786</v>
      </c>
      <c r="E674" s="63">
        <v>0</v>
      </c>
    </row>
    <row r="675" spans="1:5">
      <c r="A675" s="61" t="s">
        <v>122</v>
      </c>
      <c r="B675" s="61" t="s">
        <v>382</v>
      </c>
      <c r="C675" s="62">
        <v>44787</v>
      </c>
      <c r="D675" s="62">
        <v>44787</v>
      </c>
      <c r="E675" s="63">
        <v>0</v>
      </c>
    </row>
    <row r="676" spans="1:5">
      <c r="A676" s="61" t="s">
        <v>122</v>
      </c>
      <c r="B676" s="61" t="s">
        <v>382</v>
      </c>
      <c r="C676" s="62">
        <v>44788</v>
      </c>
      <c r="D676" s="62">
        <v>44788</v>
      </c>
      <c r="E676" s="63">
        <v>0</v>
      </c>
    </row>
    <row r="677" spans="1:5">
      <c r="A677" s="61" t="s">
        <v>122</v>
      </c>
      <c r="B677" s="61" t="s">
        <v>382</v>
      </c>
      <c r="C677" s="62">
        <v>44789</v>
      </c>
      <c r="D677" s="62">
        <v>44789</v>
      </c>
      <c r="E677" s="63">
        <v>706.59</v>
      </c>
    </row>
    <row r="678" spans="1:5">
      <c r="A678" s="61" t="s">
        <v>122</v>
      </c>
      <c r="B678" s="61" t="s">
        <v>382</v>
      </c>
      <c r="C678" s="62">
        <v>44790</v>
      </c>
      <c r="D678" s="62">
        <v>44790</v>
      </c>
      <c r="E678" s="63">
        <v>0</v>
      </c>
    </row>
    <row r="679" spans="1:5">
      <c r="A679" s="61" t="s">
        <v>122</v>
      </c>
      <c r="B679" s="61" t="s">
        <v>382</v>
      </c>
      <c r="C679" s="62">
        <v>44791</v>
      </c>
      <c r="D679" s="62">
        <v>44791</v>
      </c>
      <c r="E679" s="63">
        <v>0</v>
      </c>
    </row>
    <row r="680" spans="1:5">
      <c r="A680" s="61" t="s">
        <v>122</v>
      </c>
      <c r="B680" s="61" t="s">
        <v>382</v>
      </c>
      <c r="C680" s="62">
        <v>44792</v>
      </c>
      <c r="D680" s="62">
        <v>44792</v>
      </c>
      <c r="E680" s="63">
        <v>0</v>
      </c>
    </row>
    <row r="681" spans="1:5">
      <c r="A681" s="61" t="s">
        <v>122</v>
      </c>
      <c r="B681" s="61" t="s">
        <v>382</v>
      </c>
      <c r="C681" s="62">
        <v>44793</v>
      </c>
      <c r="D681" s="62">
        <v>44793</v>
      </c>
      <c r="E681" s="63">
        <v>0</v>
      </c>
    </row>
    <row r="682" spans="1:5">
      <c r="A682" s="61" t="s">
        <v>122</v>
      </c>
      <c r="B682" s="61" t="s">
        <v>382</v>
      </c>
      <c r="C682" s="62">
        <v>44794</v>
      </c>
      <c r="D682" s="62">
        <v>44794</v>
      </c>
      <c r="E682" s="63">
        <v>0</v>
      </c>
    </row>
    <row r="683" spans="1:5">
      <c r="A683" s="61" t="s">
        <v>122</v>
      </c>
      <c r="B683" s="61" t="s">
        <v>382</v>
      </c>
      <c r="C683" s="62">
        <v>44795</v>
      </c>
      <c r="D683" s="62">
        <v>44795</v>
      </c>
      <c r="E683" s="63">
        <v>0</v>
      </c>
    </row>
    <row r="684" spans="1:5">
      <c r="A684" s="61" t="s">
        <v>122</v>
      </c>
      <c r="B684" s="61" t="s">
        <v>382</v>
      </c>
      <c r="C684" s="62">
        <v>44796</v>
      </c>
      <c r="D684" s="62">
        <v>44796</v>
      </c>
      <c r="E684" s="63">
        <v>0</v>
      </c>
    </row>
    <row r="685" spans="1:5">
      <c r="A685" s="61" t="s">
        <v>122</v>
      </c>
      <c r="B685" s="61" t="s">
        <v>382</v>
      </c>
      <c r="C685" s="62">
        <v>44797</v>
      </c>
      <c r="D685" s="62">
        <v>44797</v>
      </c>
      <c r="E685" s="63">
        <v>0</v>
      </c>
    </row>
    <row r="686" spans="1:5">
      <c r="A686" s="61" t="s">
        <v>122</v>
      </c>
      <c r="B686" s="61" t="s">
        <v>382</v>
      </c>
      <c r="C686" s="62">
        <v>44798</v>
      </c>
      <c r="D686" s="62">
        <v>44798</v>
      </c>
      <c r="E686" s="63">
        <v>0</v>
      </c>
    </row>
    <row r="687" spans="1:5">
      <c r="A687" s="61" t="s">
        <v>122</v>
      </c>
      <c r="B687" s="61" t="s">
        <v>382</v>
      </c>
      <c r="C687" s="62">
        <v>44799</v>
      </c>
      <c r="D687" s="62">
        <v>44799</v>
      </c>
      <c r="E687" s="63">
        <v>0</v>
      </c>
    </row>
    <row r="688" spans="1:5">
      <c r="A688" s="61" t="s">
        <v>122</v>
      </c>
      <c r="B688" s="61" t="s">
        <v>382</v>
      </c>
      <c r="C688" s="62">
        <v>44800</v>
      </c>
      <c r="D688" s="62">
        <v>44800</v>
      </c>
      <c r="E688" s="63">
        <v>0</v>
      </c>
    </row>
    <row r="689" spans="1:5">
      <c r="A689" s="61" t="s">
        <v>122</v>
      </c>
      <c r="B689" s="61" t="s">
        <v>382</v>
      </c>
      <c r="C689" s="62">
        <v>44801</v>
      </c>
      <c r="D689" s="62">
        <v>44801</v>
      </c>
      <c r="E689" s="63">
        <v>0</v>
      </c>
    </row>
    <row r="690" spans="1:5">
      <c r="A690" s="61" t="s">
        <v>122</v>
      </c>
      <c r="B690" s="61" t="s">
        <v>382</v>
      </c>
      <c r="C690" s="62">
        <v>44802</v>
      </c>
      <c r="D690" s="62">
        <v>44802</v>
      </c>
      <c r="E690" s="63">
        <v>0</v>
      </c>
    </row>
    <row r="691" spans="1:5">
      <c r="A691" s="61" t="s">
        <v>122</v>
      </c>
      <c r="B691" s="61" t="s">
        <v>382</v>
      </c>
      <c r="C691" s="62">
        <v>44803</v>
      </c>
      <c r="D691" s="62">
        <v>44803</v>
      </c>
      <c r="E691" s="63">
        <v>0</v>
      </c>
    </row>
    <row r="692" spans="1:5">
      <c r="A692" s="61" t="s">
        <v>123</v>
      </c>
      <c r="B692" s="61" t="s">
        <v>383</v>
      </c>
      <c r="C692" s="62">
        <v>44774</v>
      </c>
      <c r="D692" s="62">
        <v>44774</v>
      </c>
      <c r="E692" s="63">
        <v>0</v>
      </c>
    </row>
    <row r="693" spans="1:5">
      <c r="A693" s="61" t="s">
        <v>123</v>
      </c>
      <c r="B693" s="61" t="s">
        <v>383</v>
      </c>
      <c r="C693" s="62">
        <v>44775</v>
      </c>
      <c r="D693" s="62">
        <v>44775</v>
      </c>
      <c r="E693" s="63">
        <v>0</v>
      </c>
    </row>
    <row r="694" spans="1:5">
      <c r="A694" s="61" t="s">
        <v>123</v>
      </c>
      <c r="B694" s="61" t="s">
        <v>383</v>
      </c>
      <c r="C694" s="62">
        <v>44776</v>
      </c>
      <c r="D694" s="62">
        <v>44776</v>
      </c>
      <c r="E694" s="63">
        <v>0</v>
      </c>
    </row>
    <row r="695" spans="1:5">
      <c r="A695" s="61" t="s">
        <v>123</v>
      </c>
      <c r="B695" s="61" t="s">
        <v>383</v>
      </c>
      <c r="C695" s="62">
        <v>44777</v>
      </c>
      <c r="D695" s="62">
        <v>44777</v>
      </c>
      <c r="E695" s="63">
        <v>0</v>
      </c>
    </row>
    <row r="696" spans="1:5">
      <c r="A696" s="61" t="s">
        <v>123</v>
      </c>
      <c r="B696" s="61" t="s">
        <v>383</v>
      </c>
      <c r="C696" s="62">
        <v>44778</v>
      </c>
      <c r="D696" s="62">
        <v>44778</v>
      </c>
      <c r="E696" s="63">
        <v>0</v>
      </c>
    </row>
    <row r="697" spans="1:5">
      <c r="A697" s="61" t="s">
        <v>123</v>
      </c>
      <c r="B697" s="61" t="s">
        <v>383</v>
      </c>
      <c r="C697" s="62">
        <v>44779</v>
      </c>
      <c r="D697" s="62">
        <v>44779</v>
      </c>
      <c r="E697" s="63">
        <v>0</v>
      </c>
    </row>
    <row r="698" spans="1:5">
      <c r="A698" s="61" t="s">
        <v>123</v>
      </c>
      <c r="B698" s="61" t="s">
        <v>383</v>
      </c>
      <c r="C698" s="62">
        <v>44780</v>
      </c>
      <c r="D698" s="62">
        <v>44780</v>
      </c>
      <c r="E698" s="63">
        <v>0</v>
      </c>
    </row>
    <row r="699" spans="1:5">
      <c r="A699" s="61" t="s">
        <v>123</v>
      </c>
      <c r="B699" s="61" t="s">
        <v>383</v>
      </c>
      <c r="C699" s="62">
        <v>44781</v>
      </c>
      <c r="D699" s="62">
        <v>44781</v>
      </c>
      <c r="E699" s="63">
        <v>0</v>
      </c>
    </row>
    <row r="700" spans="1:5">
      <c r="A700" s="61" t="s">
        <v>123</v>
      </c>
      <c r="B700" s="61" t="s">
        <v>383</v>
      </c>
      <c r="C700" s="62">
        <v>44782</v>
      </c>
      <c r="D700" s="62">
        <v>44782</v>
      </c>
      <c r="E700" s="63">
        <v>0</v>
      </c>
    </row>
    <row r="701" spans="1:5">
      <c r="A701" s="61" t="s">
        <v>123</v>
      </c>
      <c r="B701" s="61" t="s">
        <v>383</v>
      </c>
      <c r="C701" s="62">
        <v>44783</v>
      </c>
      <c r="D701" s="62">
        <v>44783</v>
      </c>
      <c r="E701" s="63">
        <v>0</v>
      </c>
    </row>
    <row r="702" spans="1:5">
      <c r="A702" s="61" t="s">
        <v>123</v>
      </c>
      <c r="B702" s="61" t="s">
        <v>383</v>
      </c>
      <c r="C702" s="62">
        <v>44784</v>
      </c>
      <c r="D702" s="62">
        <v>44784</v>
      </c>
      <c r="E702" s="63">
        <v>0</v>
      </c>
    </row>
    <row r="703" spans="1:5">
      <c r="A703" s="61" t="s">
        <v>123</v>
      </c>
      <c r="B703" s="61" t="s">
        <v>383</v>
      </c>
      <c r="C703" s="62">
        <v>44785</v>
      </c>
      <c r="D703" s="62">
        <v>44785</v>
      </c>
      <c r="E703" s="63">
        <v>0</v>
      </c>
    </row>
    <row r="704" spans="1:5">
      <c r="A704" s="61" t="s">
        <v>123</v>
      </c>
      <c r="B704" s="61" t="s">
        <v>383</v>
      </c>
      <c r="C704" s="62">
        <v>44786</v>
      </c>
      <c r="D704" s="62">
        <v>44786</v>
      </c>
      <c r="E704" s="63">
        <v>0</v>
      </c>
    </row>
    <row r="705" spans="1:5">
      <c r="A705" s="61" t="s">
        <v>123</v>
      </c>
      <c r="B705" s="61" t="s">
        <v>383</v>
      </c>
      <c r="C705" s="62">
        <v>44787</v>
      </c>
      <c r="D705" s="62">
        <v>44787</v>
      </c>
      <c r="E705" s="63">
        <v>0</v>
      </c>
    </row>
    <row r="706" spans="1:5">
      <c r="A706" s="61" t="s">
        <v>123</v>
      </c>
      <c r="B706" s="61" t="s">
        <v>383</v>
      </c>
      <c r="C706" s="62">
        <v>44788</v>
      </c>
      <c r="D706" s="62">
        <v>44788</v>
      </c>
      <c r="E706" s="63">
        <v>0</v>
      </c>
    </row>
    <row r="707" spans="1:5">
      <c r="A707" s="61" t="s">
        <v>123</v>
      </c>
      <c r="B707" s="61" t="s">
        <v>383</v>
      </c>
      <c r="C707" s="62">
        <v>44789</v>
      </c>
      <c r="D707" s="62">
        <v>44789</v>
      </c>
      <c r="E707" s="63">
        <v>773.89</v>
      </c>
    </row>
    <row r="708" spans="1:5">
      <c r="A708" s="61" t="s">
        <v>123</v>
      </c>
      <c r="B708" s="61" t="s">
        <v>383</v>
      </c>
      <c r="C708" s="62">
        <v>44790</v>
      </c>
      <c r="D708" s="62">
        <v>44790</v>
      </c>
      <c r="E708" s="63">
        <v>0</v>
      </c>
    </row>
    <row r="709" spans="1:5">
      <c r="A709" s="61" t="s">
        <v>123</v>
      </c>
      <c r="B709" s="61" t="s">
        <v>383</v>
      </c>
      <c r="C709" s="62">
        <v>44791</v>
      </c>
      <c r="D709" s="62">
        <v>44791</v>
      </c>
      <c r="E709" s="63">
        <v>0</v>
      </c>
    </row>
    <row r="710" spans="1:5">
      <c r="A710" s="61" t="s">
        <v>123</v>
      </c>
      <c r="B710" s="61" t="s">
        <v>383</v>
      </c>
      <c r="C710" s="62">
        <v>44792</v>
      </c>
      <c r="D710" s="62">
        <v>44792</v>
      </c>
      <c r="E710" s="63">
        <v>0</v>
      </c>
    </row>
    <row r="711" spans="1:5">
      <c r="A711" s="61" t="s">
        <v>123</v>
      </c>
      <c r="B711" s="61" t="s">
        <v>383</v>
      </c>
      <c r="C711" s="62">
        <v>44793</v>
      </c>
      <c r="D711" s="62">
        <v>44793</v>
      </c>
      <c r="E711" s="63">
        <v>0</v>
      </c>
    </row>
    <row r="712" spans="1:5">
      <c r="A712" s="61" t="s">
        <v>123</v>
      </c>
      <c r="B712" s="61" t="s">
        <v>383</v>
      </c>
      <c r="C712" s="62">
        <v>44794</v>
      </c>
      <c r="D712" s="62">
        <v>44794</v>
      </c>
      <c r="E712" s="63">
        <v>0</v>
      </c>
    </row>
    <row r="713" spans="1:5">
      <c r="A713" s="61" t="s">
        <v>123</v>
      </c>
      <c r="B713" s="61" t="s">
        <v>383</v>
      </c>
      <c r="C713" s="62">
        <v>44795</v>
      </c>
      <c r="D713" s="62">
        <v>44795</v>
      </c>
      <c r="E713" s="63">
        <v>0</v>
      </c>
    </row>
    <row r="714" spans="1:5">
      <c r="A714" s="61" t="s">
        <v>123</v>
      </c>
      <c r="B714" s="61" t="s">
        <v>383</v>
      </c>
      <c r="C714" s="62">
        <v>44796</v>
      </c>
      <c r="D714" s="62">
        <v>44796</v>
      </c>
      <c r="E714" s="63">
        <v>0</v>
      </c>
    </row>
    <row r="715" spans="1:5">
      <c r="A715" s="61" t="s">
        <v>123</v>
      </c>
      <c r="B715" s="61" t="s">
        <v>383</v>
      </c>
      <c r="C715" s="62">
        <v>44797</v>
      </c>
      <c r="D715" s="62">
        <v>44797</v>
      </c>
      <c r="E715" s="63">
        <v>0</v>
      </c>
    </row>
    <row r="716" spans="1:5">
      <c r="A716" s="61" t="s">
        <v>123</v>
      </c>
      <c r="B716" s="61" t="s">
        <v>383</v>
      </c>
      <c r="C716" s="62">
        <v>44798</v>
      </c>
      <c r="D716" s="62">
        <v>44798</v>
      </c>
      <c r="E716" s="63">
        <v>0</v>
      </c>
    </row>
    <row r="717" spans="1:5">
      <c r="A717" s="61" t="s">
        <v>123</v>
      </c>
      <c r="B717" s="61" t="s">
        <v>383</v>
      </c>
      <c r="C717" s="62">
        <v>44799</v>
      </c>
      <c r="D717" s="62">
        <v>44799</v>
      </c>
      <c r="E717" s="63">
        <v>0</v>
      </c>
    </row>
    <row r="718" spans="1:5">
      <c r="A718" s="61" t="s">
        <v>123</v>
      </c>
      <c r="B718" s="61" t="s">
        <v>383</v>
      </c>
      <c r="C718" s="62">
        <v>44800</v>
      </c>
      <c r="D718" s="62">
        <v>44800</v>
      </c>
      <c r="E718" s="63">
        <v>0</v>
      </c>
    </row>
    <row r="719" spans="1:5">
      <c r="A719" s="61" t="s">
        <v>123</v>
      </c>
      <c r="B719" s="61" t="s">
        <v>383</v>
      </c>
      <c r="C719" s="62">
        <v>44801</v>
      </c>
      <c r="D719" s="62">
        <v>44801</v>
      </c>
      <c r="E719" s="63">
        <v>0</v>
      </c>
    </row>
    <row r="720" spans="1:5">
      <c r="A720" s="61" t="s">
        <v>123</v>
      </c>
      <c r="B720" s="61" t="s">
        <v>383</v>
      </c>
      <c r="C720" s="62">
        <v>44802</v>
      </c>
      <c r="D720" s="62">
        <v>44802</v>
      </c>
      <c r="E720" s="63">
        <v>0</v>
      </c>
    </row>
    <row r="721" spans="1:5">
      <c r="A721" s="61" t="s">
        <v>123</v>
      </c>
      <c r="B721" s="61" t="s">
        <v>383</v>
      </c>
      <c r="C721" s="62">
        <v>44803</v>
      </c>
      <c r="D721" s="62">
        <v>44803</v>
      </c>
      <c r="E721" s="63">
        <v>0</v>
      </c>
    </row>
    <row r="722" spans="1:5">
      <c r="A722" s="61" t="s">
        <v>19</v>
      </c>
      <c r="B722" s="61" t="s">
        <v>380</v>
      </c>
      <c r="C722" s="62">
        <v>44774</v>
      </c>
      <c r="D722" s="62">
        <v>44774</v>
      </c>
      <c r="E722" s="63">
        <v>0</v>
      </c>
    </row>
    <row r="723" spans="1:5">
      <c r="A723" s="61" t="s">
        <v>19</v>
      </c>
      <c r="B723" s="61" t="s">
        <v>380</v>
      </c>
      <c r="C723" s="62">
        <v>44775</v>
      </c>
      <c r="D723" s="62">
        <v>44775</v>
      </c>
      <c r="E723" s="63">
        <v>2393.73</v>
      </c>
    </row>
    <row r="724" spans="1:5">
      <c r="A724" s="61" t="s">
        <v>19</v>
      </c>
      <c r="B724" s="61" t="s">
        <v>380</v>
      </c>
      <c r="C724" s="62">
        <v>44776</v>
      </c>
      <c r="D724" s="62">
        <v>44776</v>
      </c>
      <c r="E724" s="63">
        <v>0</v>
      </c>
    </row>
    <row r="725" spans="1:5">
      <c r="A725" s="61" t="s">
        <v>19</v>
      </c>
      <c r="B725" s="61" t="s">
        <v>380</v>
      </c>
      <c r="C725" s="62">
        <v>44777</v>
      </c>
      <c r="D725" s="62">
        <v>44777</v>
      </c>
      <c r="E725" s="63">
        <v>0</v>
      </c>
    </row>
    <row r="726" spans="1:5">
      <c r="A726" s="61" t="s">
        <v>19</v>
      </c>
      <c r="B726" s="61" t="s">
        <v>380</v>
      </c>
      <c r="C726" s="62">
        <v>44778</v>
      </c>
      <c r="D726" s="62">
        <v>44778</v>
      </c>
      <c r="E726" s="63">
        <v>0</v>
      </c>
    </row>
    <row r="727" spans="1:5">
      <c r="A727" s="61" t="s">
        <v>19</v>
      </c>
      <c r="B727" s="61" t="s">
        <v>380</v>
      </c>
      <c r="C727" s="62">
        <v>44779</v>
      </c>
      <c r="D727" s="62">
        <v>44779</v>
      </c>
      <c r="E727" s="63">
        <v>0</v>
      </c>
    </row>
    <row r="728" spans="1:5">
      <c r="A728" s="61" t="s">
        <v>19</v>
      </c>
      <c r="B728" s="61" t="s">
        <v>380</v>
      </c>
      <c r="C728" s="62">
        <v>44780</v>
      </c>
      <c r="D728" s="62">
        <v>44780</v>
      </c>
      <c r="E728" s="63">
        <v>0</v>
      </c>
    </row>
    <row r="729" spans="1:5">
      <c r="A729" s="61" t="s">
        <v>19</v>
      </c>
      <c r="B729" s="61" t="s">
        <v>380</v>
      </c>
      <c r="C729" s="62">
        <v>44781</v>
      </c>
      <c r="D729" s="62">
        <v>44781</v>
      </c>
      <c r="E729" s="63">
        <v>215.64</v>
      </c>
    </row>
    <row r="730" spans="1:5">
      <c r="A730" s="61" t="s">
        <v>19</v>
      </c>
      <c r="B730" s="61" t="s">
        <v>380</v>
      </c>
      <c r="C730" s="62">
        <v>44782</v>
      </c>
      <c r="D730" s="62">
        <v>44782</v>
      </c>
      <c r="E730" s="63">
        <v>0</v>
      </c>
    </row>
    <row r="731" spans="1:5">
      <c r="A731" s="61" t="s">
        <v>19</v>
      </c>
      <c r="B731" s="61" t="s">
        <v>380</v>
      </c>
      <c r="C731" s="62">
        <v>44783</v>
      </c>
      <c r="D731" s="62">
        <v>44783</v>
      </c>
      <c r="E731" s="63">
        <v>0</v>
      </c>
    </row>
    <row r="732" spans="1:5">
      <c r="A732" s="61" t="s">
        <v>19</v>
      </c>
      <c r="B732" s="61" t="s">
        <v>380</v>
      </c>
      <c r="C732" s="62">
        <v>44784</v>
      </c>
      <c r="D732" s="62">
        <v>44784</v>
      </c>
      <c r="E732" s="63">
        <v>0</v>
      </c>
    </row>
    <row r="733" spans="1:5">
      <c r="A733" s="61" t="s">
        <v>19</v>
      </c>
      <c r="B733" s="61" t="s">
        <v>380</v>
      </c>
      <c r="C733" s="62">
        <v>44785</v>
      </c>
      <c r="D733" s="62">
        <v>44785</v>
      </c>
      <c r="E733" s="63">
        <v>0</v>
      </c>
    </row>
    <row r="734" spans="1:5">
      <c r="A734" s="61" t="s">
        <v>19</v>
      </c>
      <c r="B734" s="61" t="s">
        <v>380</v>
      </c>
      <c r="C734" s="62">
        <v>44786</v>
      </c>
      <c r="D734" s="62">
        <v>44786</v>
      </c>
      <c r="E734" s="63">
        <v>0</v>
      </c>
    </row>
    <row r="735" spans="1:5">
      <c r="A735" s="61" t="s">
        <v>19</v>
      </c>
      <c r="B735" s="61" t="s">
        <v>380</v>
      </c>
      <c r="C735" s="62">
        <v>44787</v>
      </c>
      <c r="D735" s="62">
        <v>44787</v>
      </c>
      <c r="E735" s="63">
        <v>0</v>
      </c>
    </row>
    <row r="736" spans="1:5">
      <c r="A736" s="61" t="s">
        <v>19</v>
      </c>
      <c r="B736" s="61" t="s">
        <v>380</v>
      </c>
      <c r="C736" s="62">
        <v>44788</v>
      </c>
      <c r="D736" s="62">
        <v>44788</v>
      </c>
      <c r="E736" s="63">
        <v>0</v>
      </c>
    </row>
    <row r="737" spans="1:5">
      <c r="A737" s="61" t="s">
        <v>19</v>
      </c>
      <c r="B737" s="61" t="s">
        <v>380</v>
      </c>
      <c r="C737" s="62">
        <v>44789</v>
      </c>
      <c r="D737" s="62">
        <v>44789</v>
      </c>
      <c r="E737" s="63">
        <v>0</v>
      </c>
    </row>
    <row r="738" spans="1:5">
      <c r="A738" s="61" t="s">
        <v>19</v>
      </c>
      <c r="B738" s="61" t="s">
        <v>380</v>
      </c>
      <c r="C738" s="62">
        <v>44790</v>
      </c>
      <c r="D738" s="62">
        <v>44790</v>
      </c>
      <c r="E738" s="63">
        <v>0</v>
      </c>
    </row>
    <row r="739" spans="1:5">
      <c r="A739" s="61" t="s">
        <v>19</v>
      </c>
      <c r="B739" s="61" t="s">
        <v>380</v>
      </c>
      <c r="C739" s="62">
        <v>44791</v>
      </c>
      <c r="D739" s="62">
        <v>44791</v>
      </c>
      <c r="E739" s="63">
        <v>0</v>
      </c>
    </row>
    <row r="740" spans="1:5">
      <c r="A740" s="61" t="s">
        <v>19</v>
      </c>
      <c r="B740" s="61" t="s">
        <v>380</v>
      </c>
      <c r="C740" s="62">
        <v>44792</v>
      </c>
      <c r="D740" s="62">
        <v>44792</v>
      </c>
      <c r="E740" s="63">
        <v>0</v>
      </c>
    </row>
    <row r="741" spans="1:5">
      <c r="A741" s="61" t="s">
        <v>19</v>
      </c>
      <c r="B741" s="61" t="s">
        <v>380</v>
      </c>
      <c r="C741" s="62">
        <v>44793</v>
      </c>
      <c r="D741" s="62">
        <v>44793</v>
      </c>
      <c r="E741" s="63">
        <v>0</v>
      </c>
    </row>
    <row r="742" spans="1:5">
      <c r="A742" s="61" t="s">
        <v>19</v>
      </c>
      <c r="B742" s="61" t="s">
        <v>380</v>
      </c>
      <c r="C742" s="62">
        <v>44794</v>
      </c>
      <c r="D742" s="62">
        <v>44794</v>
      </c>
      <c r="E742" s="63">
        <v>0</v>
      </c>
    </row>
    <row r="743" spans="1:5">
      <c r="A743" s="61" t="s">
        <v>19</v>
      </c>
      <c r="B743" s="61" t="s">
        <v>380</v>
      </c>
      <c r="C743" s="62">
        <v>44795</v>
      </c>
      <c r="D743" s="62">
        <v>44795</v>
      </c>
      <c r="E743" s="63">
        <v>0</v>
      </c>
    </row>
    <row r="744" spans="1:5">
      <c r="A744" s="61" t="s">
        <v>19</v>
      </c>
      <c r="B744" s="61" t="s">
        <v>380</v>
      </c>
      <c r="C744" s="62">
        <v>44796</v>
      </c>
      <c r="D744" s="62">
        <v>44796</v>
      </c>
      <c r="E744" s="63">
        <v>0</v>
      </c>
    </row>
    <row r="745" spans="1:5">
      <c r="A745" s="61" t="s">
        <v>19</v>
      </c>
      <c r="B745" s="61" t="s">
        <v>380</v>
      </c>
      <c r="C745" s="62">
        <v>44797</v>
      </c>
      <c r="D745" s="62">
        <v>44797</v>
      </c>
      <c r="E745" s="63">
        <v>0</v>
      </c>
    </row>
    <row r="746" spans="1:5">
      <c r="A746" s="61" t="s">
        <v>19</v>
      </c>
      <c r="B746" s="61" t="s">
        <v>380</v>
      </c>
      <c r="C746" s="62">
        <v>44798</v>
      </c>
      <c r="D746" s="62">
        <v>44798</v>
      </c>
      <c r="E746" s="63">
        <v>0</v>
      </c>
    </row>
    <row r="747" spans="1:5">
      <c r="A747" s="61" t="s">
        <v>19</v>
      </c>
      <c r="B747" s="61" t="s">
        <v>380</v>
      </c>
      <c r="C747" s="62">
        <v>44799</v>
      </c>
      <c r="D747" s="62">
        <v>44799</v>
      </c>
      <c r="E747" s="63">
        <v>0</v>
      </c>
    </row>
    <row r="748" spans="1:5">
      <c r="A748" s="61" t="s">
        <v>19</v>
      </c>
      <c r="B748" s="61" t="s">
        <v>380</v>
      </c>
      <c r="C748" s="62">
        <v>44800</v>
      </c>
      <c r="D748" s="62">
        <v>44800</v>
      </c>
      <c r="E748" s="63">
        <v>0</v>
      </c>
    </row>
    <row r="749" spans="1:5">
      <c r="A749" s="61" t="s">
        <v>19</v>
      </c>
      <c r="B749" s="61" t="s">
        <v>380</v>
      </c>
      <c r="C749" s="62">
        <v>44801</v>
      </c>
      <c r="D749" s="62">
        <v>44801</v>
      </c>
      <c r="E749" s="63">
        <v>0</v>
      </c>
    </row>
    <row r="750" spans="1:5">
      <c r="A750" s="61" t="s">
        <v>19</v>
      </c>
      <c r="B750" s="61" t="s">
        <v>380</v>
      </c>
      <c r="C750" s="62">
        <v>44802</v>
      </c>
      <c r="D750" s="62">
        <v>44802</v>
      </c>
      <c r="E750" s="63">
        <v>0</v>
      </c>
    </row>
    <row r="751" spans="1:5">
      <c r="A751" s="61" t="s">
        <v>19</v>
      </c>
      <c r="B751" s="61" t="s">
        <v>380</v>
      </c>
      <c r="C751" s="62">
        <v>44803</v>
      </c>
      <c r="D751" s="62">
        <v>44803</v>
      </c>
      <c r="E751" s="63">
        <v>0</v>
      </c>
    </row>
    <row r="752" spans="1:5">
      <c r="A752" s="61" t="s">
        <v>124</v>
      </c>
      <c r="B752" s="61" t="s">
        <v>381</v>
      </c>
      <c r="C752" s="62">
        <v>44774</v>
      </c>
      <c r="D752" s="62">
        <v>44774</v>
      </c>
      <c r="E752" s="63">
        <v>0</v>
      </c>
    </row>
    <row r="753" spans="1:5">
      <c r="A753" s="61" t="s">
        <v>124</v>
      </c>
      <c r="B753" s="61" t="s">
        <v>381</v>
      </c>
      <c r="C753" s="62">
        <v>44775</v>
      </c>
      <c r="D753" s="62">
        <v>44775</v>
      </c>
      <c r="E753" s="63">
        <v>0</v>
      </c>
    </row>
    <row r="754" spans="1:5">
      <c r="A754" s="61" t="s">
        <v>124</v>
      </c>
      <c r="B754" s="61" t="s">
        <v>381</v>
      </c>
      <c r="C754" s="62">
        <v>44776</v>
      </c>
      <c r="D754" s="62">
        <v>44776</v>
      </c>
      <c r="E754" s="63">
        <v>0</v>
      </c>
    </row>
    <row r="755" spans="1:5">
      <c r="A755" s="61" t="s">
        <v>124</v>
      </c>
      <c r="B755" s="61" t="s">
        <v>381</v>
      </c>
      <c r="C755" s="62">
        <v>44777</v>
      </c>
      <c r="D755" s="62">
        <v>44777</v>
      </c>
      <c r="E755" s="63">
        <v>0</v>
      </c>
    </row>
    <row r="756" spans="1:5">
      <c r="A756" s="61" t="s">
        <v>124</v>
      </c>
      <c r="B756" s="61" t="s">
        <v>381</v>
      </c>
      <c r="C756" s="62">
        <v>44778</v>
      </c>
      <c r="D756" s="62">
        <v>44778</v>
      </c>
      <c r="E756" s="63">
        <v>0</v>
      </c>
    </row>
    <row r="757" spans="1:5">
      <c r="A757" s="61" t="s">
        <v>124</v>
      </c>
      <c r="B757" s="61" t="s">
        <v>381</v>
      </c>
      <c r="C757" s="62">
        <v>44779</v>
      </c>
      <c r="D757" s="62">
        <v>44779</v>
      </c>
      <c r="E757" s="63">
        <v>0</v>
      </c>
    </row>
    <row r="758" spans="1:5">
      <c r="A758" s="61" t="s">
        <v>124</v>
      </c>
      <c r="B758" s="61" t="s">
        <v>381</v>
      </c>
      <c r="C758" s="62">
        <v>44780</v>
      </c>
      <c r="D758" s="62">
        <v>44780</v>
      </c>
      <c r="E758" s="63">
        <v>0</v>
      </c>
    </row>
    <row r="759" spans="1:5">
      <c r="A759" s="61" t="s">
        <v>124</v>
      </c>
      <c r="B759" s="61" t="s">
        <v>381</v>
      </c>
      <c r="C759" s="62">
        <v>44781</v>
      </c>
      <c r="D759" s="62">
        <v>44781</v>
      </c>
      <c r="E759" s="63">
        <v>0</v>
      </c>
    </row>
    <row r="760" spans="1:5">
      <c r="A760" s="61" t="s">
        <v>124</v>
      </c>
      <c r="B760" s="61" t="s">
        <v>381</v>
      </c>
      <c r="C760" s="62">
        <v>44782</v>
      </c>
      <c r="D760" s="62">
        <v>44782</v>
      </c>
      <c r="E760" s="63">
        <v>39719.609999999957</v>
      </c>
    </row>
    <row r="761" spans="1:5">
      <c r="A761" s="61" t="s">
        <v>124</v>
      </c>
      <c r="B761" s="61" t="s">
        <v>381</v>
      </c>
      <c r="C761" s="62">
        <v>44783</v>
      </c>
      <c r="D761" s="62">
        <v>44783</v>
      </c>
      <c r="E761" s="63">
        <v>0</v>
      </c>
    </row>
    <row r="762" spans="1:5">
      <c r="A762" s="61" t="s">
        <v>124</v>
      </c>
      <c r="B762" s="61" t="s">
        <v>381</v>
      </c>
      <c r="C762" s="62">
        <v>44784</v>
      </c>
      <c r="D762" s="62">
        <v>44784</v>
      </c>
      <c r="E762" s="63">
        <v>0</v>
      </c>
    </row>
    <row r="763" spans="1:5">
      <c r="A763" s="61" t="s">
        <v>124</v>
      </c>
      <c r="B763" s="61" t="s">
        <v>381</v>
      </c>
      <c r="C763" s="62">
        <v>44785</v>
      </c>
      <c r="D763" s="62">
        <v>44785</v>
      </c>
      <c r="E763" s="63">
        <v>0</v>
      </c>
    </row>
    <row r="764" spans="1:5">
      <c r="A764" s="61" t="s">
        <v>124</v>
      </c>
      <c r="B764" s="61" t="s">
        <v>381</v>
      </c>
      <c r="C764" s="62">
        <v>44786</v>
      </c>
      <c r="D764" s="62">
        <v>44786</v>
      </c>
      <c r="E764" s="63">
        <v>0</v>
      </c>
    </row>
    <row r="765" spans="1:5">
      <c r="A765" s="61" t="s">
        <v>124</v>
      </c>
      <c r="B765" s="61" t="s">
        <v>381</v>
      </c>
      <c r="C765" s="62">
        <v>44787</v>
      </c>
      <c r="D765" s="62">
        <v>44787</v>
      </c>
      <c r="E765" s="63">
        <v>0</v>
      </c>
    </row>
    <row r="766" spans="1:5">
      <c r="A766" s="61" t="s">
        <v>124</v>
      </c>
      <c r="B766" s="61" t="s">
        <v>381</v>
      </c>
      <c r="C766" s="62">
        <v>44788</v>
      </c>
      <c r="D766" s="62">
        <v>44788</v>
      </c>
      <c r="E766" s="63">
        <v>0</v>
      </c>
    </row>
    <row r="767" spans="1:5">
      <c r="A767" s="61" t="s">
        <v>124</v>
      </c>
      <c r="B767" s="61" t="s">
        <v>381</v>
      </c>
      <c r="C767" s="62">
        <v>44789</v>
      </c>
      <c r="D767" s="62">
        <v>44789</v>
      </c>
      <c r="E767" s="63">
        <v>0</v>
      </c>
    </row>
    <row r="768" spans="1:5">
      <c r="A768" s="61" t="s">
        <v>124</v>
      </c>
      <c r="B768" s="61" t="s">
        <v>381</v>
      </c>
      <c r="C768" s="62">
        <v>44790</v>
      </c>
      <c r="D768" s="62">
        <v>44790</v>
      </c>
      <c r="E768" s="63">
        <v>0</v>
      </c>
    </row>
    <row r="769" spans="1:5">
      <c r="A769" s="61" t="s">
        <v>124</v>
      </c>
      <c r="B769" s="61" t="s">
        <v>381</v>
      </c>
      <c r="C769" s="62">
        <v>44791</v>
      </c>
      <c r="D769" s="62">
        <v>44791</v>
      </c>
      <c r="E769" s="63">
        <v>0</v>
      </c>
    </row>
    <row r="770" spans="1:5">
      <c r="A770" s="61" t="s">
        <v>124</v>
      </c>
      <c r="B770" s="61" t="s">
        <v>381</v>
      </c>
      <c r="C770" s="62">
        <v>44792</v>
      </c>
      <c r="D770" s="62">
        <v>44792</v>
      </c>
      <c r="E770" s="63">
        <v>1359.9</v>
      </c>
    </row>
    <row r="771" spans="1:5">
      <c r="A771" s="61" t="s">
        <v>124</v>
      </c>
      <c r="B771" s="61" t="s">
        <v>381</v>
      </c>
      <c r="C771" s="62">
        <v>44793</v>
      </c>
      <c r="D771" s="62">
        <v>44793</v>
      </c>
      <c r="E771" s="63">
        <v>0</v>
      </c>
    </row>
    <row r="772" spans="1:5">
      <c r="A772" s="61" t="s">
        <v>124</v>
      </c>
      <c r="B772" s="61" t="s">
        <v>381</v>
      </c>
      <c r="C772" s="62">
        <v>44794</v>
      </c>
      <c r="D772" s="62">
        <v>44794</v>
      </c>
      <c r="E772" s="63">
        <v>0</v>
      </c>
    </row>
    <row r="773" spans="1:5">
      <c r="A773" s="61" t="s">
        <v>124</v>
      </c>
      <c r="B773" s="61" t="s">
        <v>381</v>
      </c>
      <c r="C773" s="62">
        <v>44795</v>
      </c>
      <c r="D773" s="62">
        <v>44795</v>
      </c>
      <c r="E773" s="63">
        <v>0</v>
      </c>
    </row>
    <row r="774" spans="1:5">
      <c r="A774" s="61" t="s">
        <v>124</v>
      </c>
      <c r="B774" s="61" t="s">
        <v>381</v>
      </c>
      <c r="C774" s="62">
        <v>44796</v>
      </c>
      <c r="D774" s="62">
        <v>44796</v>
      </c>
      <c r="E774" s="63">
        <v>-20.74</v>
      </c>
    </row>
    <row r="775" spans="1:5">
      <c r="A775" s="61" t="s">
        <v>124</v>
      </c>
      <c r="B775" s="61" t="s">
        <v>381</v>
      </c>
      <c r="C775" s="62">
        <v>44797</v>
      </c>
      <c r="D775" s="62">
        <v>44797</v>
      </c>
      <c r="E775" s="63">
        <v>0</v>
      </c>
    </row>
    <row r="776" spans="1:5">
      <c r="A776" s="61" t="s">
        <v>124</v>
      </c>
      <c r="B776" s="61" t="s">
        <v>381</v>
      </c>
      <c r="C776" s="62">
        <v>44798</v>
      </c>
      <c r="D776" s="62">
        <v>44798</v>
      </c>
      <c r="E776" s="63">
        <v>0</v>
      </c>
    </row>
    <row r="777" spans="1:5">
      <c r="A777" s="61" t="s">
        <v>124</v>
      </c>
      <c r="B777" s="61" t="s">
        <v>381</v>
      </c>
      <c r="C777" s="62">
        <v>44799</v>
      </c>
      <c r="D777" s="62">
        <v>44799</v>
      </c>
      <c r="E777" s="63">
        <v>0</v>
      </c>
    </row>
    <row r="778" spans="1:5">
      <c r="A778" s="61" t="s">
        <v>124</v>
      </c>
      <c r="B778" s="61" t="s">
        <v>381</v>
      </c>
      <c r="C778" s="62">
        <v>44800</v>
      </c>
      <c r="D778" s="62">
        <v>44800</v>
      </c>
      <c r="E778" s="63">
        <v>0</v>
      </c>
    </row>
    <row r="779" spans="1:5">
      <c r="A779" s="61" t="s">
        <v>124</v>
      </c>
      <c r="B779" s="61" t="s">
        <v>381</v>
      </c>
      <c r="C779" s="62">
        <v>44801</v>
      </c>
      <c r="D779" s="62">
        <v>44801</v>
      </c>
      <c r="E779" s="63">
        <v>0</v>
      </c>
    </row>
    <row r="780" spans="1:5">
      <c r="A780" s="61" t="s">
        <v>124</v>
      </c>
      <c r="B780" s="61" t="s">
        <v>381</v>
      </c>
      <c r="C780" s="62">
        <v>44802</v>
      </c>
      <c r="D780" s="62">
        <v>44802</v>
      </c>
      <c r="E780" s="63">
        <v>0</v>
      </c>
    </row>
    <row r="781" spans="1:5">
      <c r="A781" s="61" t="s">
        <v>124</v>
      </c>
      <c r="B781" s="61" t="s">
        <v>381</v>
      </c>
      <c r="C781" s="62">
        <v>44803</v>
      </c>
      <c r="D781" s="62">
        <v>44803</v>
      </c>
      <c r="E781" s="63">
        <v>0</v>
      </c>
    </row>
    <row r="782" spans="1:5">
      <c r="A782" s="61" t="s">
        <v>125</v>
      </c>
      <c r="B782" s="61" t="s">
        <v>382</v>
      </c>
      <c r="C782" s="62">
        <v>44774</v>
      </c>
      <c r="D782" s="62">
        <v>44774</v>
      </c>
      <c r="E782" s="63">
        <v>6145.5299999999988</v>
      </c>
    </row>
    <row r="783" spans="1:5">
      <c r="A783" s="61" t="s">
        <v>125</v>
      </c>
      <c r="B783" s="61" t="s">
        <v>382</v>
      </c>
      <c r="C783" s="62">
        <v>44775</v>
      </c>
      <c r="D783" s="62">
        <v>44775</v>
      </c>
      <c r="E783" s="63">
        <v>0</v>
      </c>
    </row>
    <row r="784" spans="1:5">
      <c r="A784" s="61" t="s">
        <v>125</v>
      </c>
      <c r="B784" s="61" t="s">
        <v>382</v>
      </c>
      <c r="C784" s="62">
        <v>44776</v>
      </c>
      <c r="D784" s="62">
        <v>44776</v>
      </c>
      <c r="E784" s="63">
        <v>20.22</v>
      </c>
    </row>
    <row r="785" spans="1:5">
      <c r="A785" s="61" t="s">
        <v>125</v>
      </c>
      <c r="B785" s="61" t="s">
        <v>382</v>
      </c>
      <c r="C785" s="62">
        <v>44777</v>
      </c>
      <c r="D785" s="62">
        <v>44777</v>
      </c>
      <c r="E785" s="63">
        <v>0</v>
      </c>
    </row>
    <row r="786" spans="1:5">
      <c r="A786" s="61" t="s">
        <v>125</v>
      </c>
      <c r="B786" s="61" t="s">
        <v>382</v>
      </c>
      <c r="C786" s="62">
        <v>44778</v>
      </c>
      <c r="D786" s="62">
        <v>44778</v>
      </c>
      <c r="E786" s="63">
        <v>25.99</v>
      </c>
    </row>
    <row r="787" spans="1:5">
      <c r="A787" s="61" t="s">
        <v>125</v>
      </c>
      <c r="B787" s="61" t="s">
        <v>382</v>
      </c>
      <c r="C787" s="62">
        <v>44779</v>
      </c>
      <c r="D787" s="62">
        <v>44779</v>
      </c>
      <c r="E787" s="63">
        <v>0</v>
      </c>
    </row>
    <row r="788" spans="1:5">
      <c r="A788" s="61" t="s">
        <v>125</v>
      </c>
      <c r="B788" s="61" t="s">
        <v>382</v>
      </c>
      <c r="C788" s="62">
        <v>44780</v>
      </c>
      <c r="D788" s="62">
        <v>44780</v>
      </c>
      <c r="E788" s="63">
        <v>0</v>
      </c>
    </row>
    <row r="789" spans="1:5">
      <c r="A789" s="61" t="s">
        <v>125</v>
      </c>
      <c r="B789" s="61" t="s">
        <v>382</v>
      </c>
      <c r="C789" s="62">
        <v>44781</v>
      </c>
      <c r="D789" s="62">
        <v>44781</v>
      </c>
      <c r="E789" s="63">
        <v>40.840000000000003</v>
      </c>
    </row>
    <row r="790" spans="1:5">
      <c r="A790" s="61" t="s">
        <v>125</v>
      </c>
      <c r="B790" s="61" t="s">
        <v>382</v>
      </c>
      <c r="C790" s="62">
        <v>44782</v>
      </c>
      <c r="D790" s="62">
        <v>44782</v>
      </c>
      <c r="E790" s="63">
        <v>2593.0699999999997</v>
      </c>
    </row>
    <row r="791" spans="1:5">
      <c r="A791" s="61" t="s">
        <v>125</v>
      </c>
      <c r="B791" s="61" t="s">
        <v>382</v>
      </c>
      <c r="C791" s="62">
        <v>44783</v>
      </c>
      <c r="D791" s="62">
        <v>44783</v>
      </c>
      <c r="E791" s="63">
        <v>-2.89</v>
      </c>
    </row>
    <row r="792" spans="1:5">
      <c r="A792" s="61" t="s">
        <v>125</v>
      </c>
      <c r="B792" s="61" t="s">
        <v>382</v>
      </c>
      <c r="C792" s="62">
        <v>44784</v>
      </c>
      <c r="D792" s="62">
        <v>44784</v>
      </c>
      <c r="E792" s="63">
        <v>0</v>
      </c>
    </row>
    <row r="793" spans="1:5">
      <c r="A793" s="61" t="s">
        <v>125</v>
      </c>
      <c r="B793" s="61" t="s">
        <v>382</v>
      </c>
      <c r="C793" s="62">
        <v>44785</v>
      </c>
      <c r="D793" s="62">
        <v>44785</v>
      </c>
      <c r="E793" s="63">
        <v>0</v>
      </c>
    </row>
    <row r="794" spans="1:5">
      <c r="A794" s="61" t="s">
        <v>125</v>
      </c>
      <c r="B794" s="61" t="s">
        <v>382</v>
      </c>
      <c r="C794" s="62">
        <v>44786</v>
      </c>
      <c r="D794" s="62">
        <v>44786</v>
      </c>
      <c r="E794" s="63">
        <v>0</v>
      </c>
    </row>
    <row r="795" spans="1:5">
      <c r="A795" s="61" t="s">
        <v>125</v>
      </c>
      <c r="B795" s="61" t="s">
        <v>382</v>
      </c>
      <c r="C795" s="62">
        <v>44787</v>
      </c>
      <c r="D795" s="62">
        <v>44787</v>
      </c>
      <c r="E795" s="63">
        <v>0</v>
      </c>
    </row>
    <row r="796" spans="1:5">
      <c r="A796" s="61" t="s">
        <v>125</v>
      </c>
      <c r="B796" s="61" t="s">
        <v>382</v>
      </c>
      <c r="C796" s="62">
        <v>44788</v>
      </c>
      <c r="D796" s="62">
        <v>44788</v>
      </c>
      <c r="E796" s="63">
        <v>56.769999999999996</v>
      </c>
    </row>
    <row r="797" spans="1:5">
      <c r="A797" s="61" t="s">
        <v>125</v>
      </c>
      <c r="B797" s="61" t="s">
        <v>382</v>
      </c>
      <c r="C797" s="62">
        <v>44789</v>
      </c>
      <c r="D797" s="62">
        <v>44789</v>
      </c>
      <c r="E797" s="63">
        <v>0</v>
      </c>
    </row>
    <row r="798" spans="1:5">
      <c r="A798" s="61" t="s">
        <v>125</v>
      </c>
      <c r="B798" s="61" t="s">
        <v>382</v>
      </c>
      <c r="C798" s="62">
        <v>44790</v>
      </c>
      <c r="D798" s="62">
        <v>44790</v>
      </c>
      <c r="E798" s="63">
        <v>0</v>
      </c>
    </row>
    <row r="799" spans="1:5">
      <c r="A799" s="61" t="s">
        <v>125</v>
      </c>
      <c r="B799" s="61" t="s">
        <v>382</v>
      </c>
      <c r="C799" s="62">
        <v>44791</v>
      </c>
      <c r="D799" s="62">
        <v>44791</v>
      </c>
      <c r="E799" s="63">
        <v>5812.88</v>
      </c>
    </row>
    <row r="800" spans="1:5">
      <c r="A800" s="61" t="s">
        <v>125</v>
      </c>
      <c r="B800" s="61" t="s">
        <v>382</v>
      </c>
      <c r="C800" s="62">
        <v>44792</v>
      </c>
      <c r="D800" s="62">
        <v>44792</v>
      </c>
      <c r="E800" s="63">
        <v>0</v>
      </c>
    </row>
    <row r="801" spans="1:5">
      <c r="A801" s="61" t="s">
        <v>125</v>
      </c>
      <c r="B801" s="61" t="s">
        <v>382</v>
      </c>
      <c r="C801" s="62">
        <v>44793</v>
      </c>
      <c r="D801" s="62">
        <v>44793</v>
      </c>
      <c r="E801" s="63">
        <v>0</v>
      </c>
    </row>
    <row r="802" spans="1:5">
      <c r="A802" s="61" t="s">
        <v>125</v>
      </c>
      <c r="B802" s="61" t="s">
        <v>382</v>
      </c>
      <c r="C802" s="62">
        <v>44794</v>
      </c>
      <c r="D802" s="62">
        <v>44794</v>
      </c>
      <c r="E802" s="63">
        <v>0</v>
      </c>
    </row>
    <row r="803" spans="1:5">
      <c r="A803" s="61" t="s">
        <v>125</v>
      </c>
      <c r="B803" s="61" t="s">
        <v>382</v>
      </c>
      <c r="C803" s="62">
        <v>44795</v>
      </c>
      <c r="D803" s="62">
        <v>44795</v>
      </c>
      <c r="E803" s="63">
        <v>0</v>
      </c>
    </row>
    <row r="804" spans="1:5">
      <c r="A804" s="61" t="s">
        <v>125</v>
      </c>
      <c r="B804" s="61" t="s">
        <v>382</v>
      </c>
      <c r="C804" s="62">
        <v>44796</v>
      </c>
      <c r="D804" s="62">
        <v>44796</v>
      </c>
      <c r="E804" s="63">
        <v>0</v>
      </c>
    </row>
    <row r="805" spans="1:5">
      <c r="A805" s="61" t="s">
        <v>125</v>
      </c>
      <c r="B805" s="61" t="s">
        <v>382</v>
      </c>
      <c r="C805" s="62">
        <v>44797</v>
      </c>
      <c r="D805" s="62">
        <v>44797</v>
      </c>
      <c r="E805" s="63">
        <v>0</v>
      </c>
    </row>
    <row r="806" spans="1:5">
      <c r="A806" s="61" t="s">
        <v>125</v>
      </c>
      <c r="B806" s="61" t="s">
        <v>382</v>
      </c>
      <c r="C806" s="62">
        <v>44798</v>
      </c>
      <c r="D806" s="62">
        <v>44798</v>
      </c>
      <c r="E806" s="63">
        <v>0</v>
      </c>
    </row>
    <row r="807" spans="1:5">
      <c r="A807" s="61" t="s">
        <v>125</v>
      </c>
      <c r="B807" s="61" t="s">
        <v>382</v>
      </c>
      <c r="C807" s="62">
        <v>44799</v>
      </c>
      <c r="D807" s="62">
        <v>44799</v>
      </c>
      <c r="E807" s="63">
        <v>0</v>
      </c>
    </row>
    <row r="808" spans="1:5">
      <c r="A808" s="61" t="s">
        <v>125</v>
      </c>
      <c r="B808" s="61" t="s">
        <v>382</v>
      </c>
      <c r="C808" s="62">
        <v>44800</v>
      </c>
      <c r="D808" s="62">
        <v>44800</v>
      </c>
      <c r="E808" s="63">
        <v>0</v>
      </c>
    </row>
    <row r="809" spans="1:5">
      <c r="A809" s="61" t="s">
        <v>125</v>
      </c>
      <c r="B809" s="61" t="s">
        <v>382</v>
      </c>
      <c r="C809" s="62">
        <v>44801</v>
      </c>
      <c r="D809" s="62">
        <v>44801</v>
      </c>
      <c r="E809" s="63">
        <v>0</v>
      </c>
    </row>
    <row r="810" spans="1:5">
      <c r="A810" s="61" t="s">
        <v>125</v>
      </c>
      <c r="B810" s="61" t="s">
        <v>382</v>
      </c>
      <c r="C810" s="62">
        <v>44802</v>
      </c>
      <c r="D810" s="62">
        <v>44802</v>
      </c>
      <c r="E810" s="63">
        <v>0</v>
      </c>
    </row>
    <row r="811" spans="1:5">
      <c r="A811" s="61" t="s">
        <v>125</v>
      </c>
      <c r="B811" s="61" t="s">
        <v>382</v>
      </c>
      <c r="C811" s="62">
        <v>44803</v>
      </c>
      <c r="D811" s="62">
        <v>44803</v>
      </c>
      <c r="E811" s="63">
        <v>0</v>
      </c>
    </row>
    <row r="812" spans="1:5">
      <c r="A812" s="61" t="s">
        <v>126</v>
      </c>
      <c r="B812" s="61" t="s">
        <v>383</v>
      </c>
      <c r="C812" s="62">
        <v>44774</v>
      </c>
      <c r="D812" s="62">
        <v>44774</v>
      </c>
      <c r="E812" s="63">
        <v>0</v>
      </c>
    </row>
    <row r="813" spans="1:5">
      <c r="A813" s="61" t="s">
        <v>126</v>
      </c>
      <c r="B813" s="61" t="s">
        <v>383</v>
      </c>
      <c r="C813" s="62">
        <v>44775</v>
      </c>
      <c r="D813" s="62">
        <v>44775</v>
      </c>
      <c r="E813" s="63">
        <v>0</v>
      </c>
    </row>
    <row r="814" spans="1:5">
      <c r="A814" s="61" t="s">
        <v>126</v>
      </c>
      <c r="B814" s="61" t="s">
        <v>383</v>
      </c>
      <c r="C814" s="62">
        <v>44776</v>
      </c>
      <c r="D814" s="62">
        <v>44776</v>
      </c>
      <c r="E814" s="63">
        <v>0</v>
      </c>
    </row>
    <row r="815" spans="1:5">
      <c r="A815" s="61" t="s">
        <v>126</v>
      </c>
      <c r="B815" s="61" t="s">
        <v>383</v>
      </c>
      <c r="C815" s="62">
        <v>44777</v>
      </c>
      <c r="D815" s="62">
        <v>44777</v>
      </c>
      <c r="E815" s="63">
        <v>0</v>
      </c>
    </row>
    <row r="816" spans="1:5">
      <c r="A816" s="61" t="s">
        <v>126</v>
      </c>
      <c r="B816" s="61" t="s">
        <v>383</v>
      </c>
      <c r="C816" s="62">
        <v>44778</v>
      </c>
      <c r="D816" s="62">
        <v>44778</v>
      </c>
      <c r="E816" s="63">
        <v>0</v>
      </c>
    </row>
    <row r="817" spans="1:5">
      <c r="A817" s="61" t="s">
        <v>126</v>
      </c>
      <c r="B817" s="61" t="s">
        <v>383</v>
      </c>
      <c r="C817" s="62">
        <v>44779</v>
      </c>
      <c r="D817" s="62">
        <v>44779</v>
      </c>
      <c r="E817" s="63">
        <v>0</v>
      </c>
    </row>
    <row r="818" spans="1:5">
      <c r="A818" s="61" t="s">
        <v>126</v>
      </c>
      <c r="B818" s="61" t="s">
        <v>383</v>
      </c>
      <c r="C818" s="62">
        <v>44780</v>
      </c>
      <c r="D818" s="62">
        <v>44780</v>
      </c>
      <c r="E818" s="63">
        <v>0</v>
      </c>
    </row>
    <row r="819" spans="1:5">
      <c r="A819" s="61" t="s">
        <v>126</v>
      </c>
      <c r="B819" s="61" t="s">
        <v>383</v>
      </c>
      <c r="C819" s="62">
        <v>44781</v>
      </c>
      <c r="D819" s="62">
        <v>44781</v>
      </c>
      <c r="E819" s="63">
        <v>0</v>
      </c>
    </row>
    <row r="820" spans="1:5">
      <c r="A820" s="61" t="s">
        <v>126</v>
      </c>
      <c r="B820" s="61" t="s">
        <v>383</v>
      </c>
      <c r="C820" s="62">
        <v>44782</v>
      </c>
      <c r="D820" s="62">
        <v>44782</v>
      </c>
      <c r="E820" s="63">
        <v>0</v>
      </c>
    </row>
    <row r="821" spans="1:5">
      <c r="A821" s="61" t="s">
        <v>126</v>
      </c>
      <c r="B821" s="61" t="s">
        <v>383</v>
      </c>
      <c r="C821" s="62">
        <v>44783</v>
      </c>
      <c r="D821" s="62">
        <v>44783</v>
      </c>
      <c r="E821" s="63">
        <v>0</v>
      </c>
    </row>
    <row r="822" spans="1:5">
      <c r="A822" s="61" t="s">
        <v>126</v>
      </c>
      <c r="B822" s="61" t="s">
        <v>383</v>
      </c>
      <c r="C822" s="62">
        <v>44784</v>
      </c>
      <c r="D822" s="62">
        <v>44784</v>
      </c>
      <c r="E822" s="63">
        <v>0</v>
      </c>
    </row>
    <row r="823" spans="1:5">
      <c r="A823" s="61" t="s">
        <v>126</v>
      </c>
      <c r="B823" s="61" t="s">
        <v>383</v>
      </c>
      <c r="C823" s="62">
        <v>44785</v>
      </c>
      <c r="D823" s="62">
        <v>44785</v>
      </c>
      <c r="E823" s="63">
        <v>0</v>
      </c>
    </row>
    <row r="824" spans="1:5">
      <c r="A824" s="61" t="s">
        <v>126</v>
      </c>
      <c r="B824" s="61" t="s">
        <v>383</v>
      </c>
      <c r="C824" s="62">
        <v>44786</v>
      </c>
      <c r="D824" s="62">
        <v>44786</v>
      </c>
      <c r="E824" s="63">
        <v>0</v>
      </c>
    </row>
    <row r="825" spans="1:5">
      <c r="A825" s="61" t="s">
        <v>126</v>
      </c>
      <c r="B825" s="61" t="s">
        <v>383</v>
      </c>
      <c r="C825" s="62">
        <v>44787</v>
      </c>
      <c r="D825" s="62">
        <v>44787</v>
      </c>
      <c r="E825" s="63">
        <v>0</v>
      </c>
    </row>
    <row r="826" spans="1:5">
      <c r="A826" s="61" t="s">
        <v>126</v>
      </c>
      <c r="B826" s="61" t="s">
        <v>383</v>
      </c>
      <c r="C826" s="62">
        <v>44788</v>
      </c>
      <c r="D826" s="62">
        <v>44788</v>
      </c>
      <c r="E826" s="63">
        <v>0</v>
      </c>
    </row>
    <row r="827" spans="1:5">
      <c r="A827" s="61" t="s">
        <v>126</v>
      </c>
      <c r="B827" s="61" t="s">
        <v>383</v>
      </c>
      <c r="C827" s="62">
        <v>44789</v>
      </c>
      <c r="D827" s="62">
        <v>44789</v>
      </c>
      <c r="E827" s="63">
        <v>0</v>
      </c>
    </row>
    <row r="828" spans="1:5">
      <c r="A828" s="61" t="s">
        <v>126</v>
      </c>
      <c r="B828" s="61" t="s">
        <v>383</v>
      </c>
      <c r="C828" s="62">
        <v>44790</v>
      </c>
      <c r="D828" s="62">
        <v>44790</v>
      </c>
      <c r="E828" s="63">
        <v>0</v>
      </c>
    </row>
    <row r="829" spans="1:5">
      <c r="A829" s="61" t="s">
        <v>126</v>
      </c>
      <c r="B829" s="61" t="s">
        <v>383</v>
      </c>
      <c r="C829" s="62">
        <v>44791</v>
      </c>
      <c r="D829" s="62">
        <v>44791</v>
      </c>
      <c r="E829" s="63">
        <v>0</v>
      </c>
    </row>
    <row r="830" spans="1:5">
      <c r="A830" s="61" t="s">
        <v>126</v>
      </c>
      <c r="B830" s="61" t="s">
        <v>383</v>
      </c>
      <c r="C830" s="62">
        <v>44792</v>
      </c>
      <c r="D830" s="62">
        <v>44792</v>
      </c>
      <c r="E830" s="63">
        <v>0</v>
      </c>
    </row>
    <row r="831" spans="1:5">
      <c r="A831" s="61" t="s">
        <v>126</v>
      </c>
      <c r="B831" s="61" t="s">
        <v>383</v>
      </c>
      <c r="C831" s="62">
        <v>44793</v>
      </c>
      <c r="D831" s="62">
        <v>44793</v>
      </c>
      <c r="E831" s="63">
        <v>0</v>
      </c>
    </row>
    <row r="832" spans="1:5">
      <c r="A832" s="61" t="s">
        <v>126</v>
      </c>
      <c r="B832" s="61" t="s">
        <v>383</v>
      </c>
      <c r="C832" s="62">
        <v>44794</v>
      </c>
      <c r="D832" s="62">
        <v>44794</v>
      </c>
      <c r="E832" s="63">
        <v>0</v>
      </c>
    </row>
    <row r="833" spans="1:5">
      <c r="A833" s="61" t="s">
        <v>126</v>
      </c>
      <c r="B833" s="61" t="s">
        <v>383</v>
      </c>
      <c r="C833" s="62">
        <v>44795</v>
      </c>
      <c r="D833" s="62">
        <v>44795</v>
      </c>
      <c r="E833" s="63">
        <v>0</v>
      </c>
    </row>
    <row r="834" spans="1:5">
      <c r="A834" s="61" t="s">
        <v>126</v>
      </c>
      <c r="B834" s="61" t="s">
        <v>383</v>
      </c>
      <c r="C834" s="62">
        <v>44796</v>
      </c>
      <c r="D834" s="62">
        <v>44796</v>
      </c>
      <c r="E834" s="63">
        <v>0</v>
      </c>
    </row>
    <row r="835" spans="1:5">
      <c r="A835" s="61" t="s">
        <v>126</v>
      </c>
      <c r="B835" s="61" t="s">
        <v>383</v>
      </c>
      <c r="C835" s="62">
        <v>44797</v>
      </c>
      <c r="D835" s="62">
        <v>44797</v>
      </c>
      <c r="E835" s="63">
        <v>0</v>
      </c>
    </row>
    <row r="836" spans="1:5">
      <c r="A836" s="61" t="s">
        <v>126</v>
      </c>
      <c r="B836" s="61" t="s">
        <v>383</v>
      </c>
      <c r="C836" s="62">
        <v>44798</v>
      </c>
      <c r="D836" s="62">
        <v>44798</v>
      </c>
      <c r="E836" s="63">
        <v>0</v>
      </c>
    </row>
    <row r="837" spans="1:5">
      <c r="A837" s="61" t="s">
        <v>126</v>
      </c>
      <c r="B837" s="61" t="s">
        <v>383</v>
      </c>
      <c r="C837" s="62">
        <v>44799</v>
      </c>
      <c r="D837" s="62">
        <v>44799</v>
      </c>
      <c r="E837" s="63">
        <v>0</v>
      </c>
    </row>
    <row r="838" spans="1:5">
      <c r="A838" s="61" t="s">
        <v>126</v>
      </c>
      <c r="B838" s="61" t="s">
        <v>383</v>
      </c>
      <c r="C838" s="62">
        <v>44800</v>
      </c>
      <c r="D838" s="62">
        <v>44800</v>
      </c>
      <c r="E838" s="63">
        <v>0</v>
      </c>
    </row>
    <row r="839" spans="1:5">
      <c r="A839" s="61" t="s">
        <v>126</v>
      </c>
      <c r="B839" s="61" t="s">
        <v>383</v>
      </c>
      <c r="C839" s="62">
        <v>44801</v>
      </c>
      <c r="D839" s="62">
        <v>44801</v>
      </c>
      <c r="E839" s="63">
        <v>0</v>
      </c>
    </row>
    <row r="840" spans="1:5">
      <c r="A840" s="61" t="s">
        <v>126</v>
      </c>
      <c r="B840" s="61" t="s">
        <v>383</v>
      </c>
      <c r="C840" s="62">
        <v>44802</v>
      </c>
      <c r="D840" s="62">
        <v>44802</v>
      </c>
      <c r="E840" s="63">
        <v>0</v>
      </c>
    </row>
    <row r="841" spans="1:5">
      <c r="A841" s="61" t="s">
        <v>126</v>
      </c>
      <c r="B841" s="61" t="s">
        <v>383</v>
      </c>
      <c r="C841" s="62">
        <v>44803</v>
      </c>
      <c r="D841" s="62">
        <v>44803</v>
      </c>
      <c r="E841" s="63">
        <v>0</v>
      </c>
    </row>
    <row r="842" spans="1:5">
      <c r="A842" s="61" t="s">
        <v>21</v>
      </c>
      <c r="B842" s="61" t="s">
        <v>380</v>
      </c>
      <c r="C842" s="62">
        <v>44774</v>
      </c>
      <c r="D842" s="62">
        <v>44774</v>
      </c>
      <c r="E842" s="63">
        <v>0</v>
      </c>
    </row>
    <row r="843" spans="1:5">
      <c r="A843" s="61" t="s">
        <v>21</v>
      </c>
      <c r="B843" s="61" t="s">
        <v>380</v>
      </c>
      <c r="C843" s="62">
        <v>44775</v>
      </c>
      <c r="D843" s="62">
        <v>44775</v>
      </c>
      <c r="E843" s="63">
        <v>0</v>
      </c>
    </row>
    <row r="844" spans="1:5">
      <c r="A844" s="61" t="s">
        <v>21</v>
      </c>
      <c r="B844" s="61" t="s">
        <v>380</v>
      </c>
      <c r="C844" s="62">
        <v>44776</v>
      </c>
      <c r="D844" s="62">
        <v>44776</v>
      </c>
      <c r="E844" s="63">
        <v>0</v>
      </c>
    </row>
    <row r="845" spans="1:5">
      <c r="A845" s="61" t="s">
        <v>21</v>
      </c>
      <c r="B845" s="61" t="s">
        <v>380</v>
      </c>
      <c r="C845" s="62">
        <v>44777</v>
      </c>
      <c r="D845" s="62">
        <v>44777</v>
      </c>
      <c r="E845" s="63">
        <v>0</v>
      </c>
    </row>
    <row r="846" spans="1:5">
      <c r="A846" s="61" t="s">
        <v>21</v>
      </c>
      <c r="B846" s="61" t="s">
        <v>380</v>
      </c>
      <c r="C846" s="62">
        <v>44778</v>
      </c>
      <c r="D846" s="62">
        <v>44778</v>
      </c>
      <c r="E846" s="63">
        <v>0</v>
      </c>
    </row>
    <row r="847" spans="1:5">
      <c r="A847" s="61" t="s">
        <v>21</v>
      </c>
      <c r="B847" s="61" t="s">
        <v>380</v>
      </c>
      <c r="C847" s="62">
        <v>44779</v>
      </c>
      <c r="D847" s="62">
        <v>44779</v>
      </c>
      <c r="E847" s="63">
        <v>0</v>
      </c>
    </row>
    <row r="848" spans="1:5">
      <c r="A848" s="61" t="s">
        <v>21</v>
      </c>
      <c r="B848" s="61" t="s">
        <v>380</v>
      </c>
      <c r="C848" s="62">
        <v>44780</v>
      </c>
      <c r="D848" s="62">
        <v>44780</v>
      </c>
      <c r="E848" s="63">
        <v>0</v>
      </c>
    </row>
    <row r="849" spans="1:5">
      <c r="A849" s="61" t="s">
        <v>21</v>
      </c>
      <c r="B849" s="61" t="s">
        <v>380</v>
      </c>
      <c r="C849" s="62">
        <v>44781</v>
      </c>
      <c r="D849" s="62">
        <v>44781</v>
      </c>
      <c r="E849" s="63">
        <v>0</v>
      </c>
    </row>
    <row r="850" spans="1:5">
      <c r="A850" s="61" t="s">
        <v>21</v>
      </c>
      <c r="B850" s="61" t="s">
        <v>380</v>
      </c>
      <c r="C850" s="62">
        <v>44782</v>
      </c>
      <c r="D850" s="62">
        <v>44782</v>
      </c>
      <c r="E850" s="63">
        <v>0</v>
      </c>
    </row>
    <row r="851" spans="1:5">
      <c r="A851" s="61" t="s">
        <v>21</v>
      </c>
      <c r="B851" s="61" t="s">
        <v>380</v>
      </c>
      <c r="C851" s="62">
        <v>44783</v>
      </c>
      <c r="D851" s="62">
        <v>44783</v>
      </c>
      <c r="E851" s="63">
        <v>0</v>
      </c>
    </row>
    <row r="852" spans="1:5">
      <c r="A852" s="61" t="s">
        <v>21</v>
      </c>
      <c r="B852" s="61" t="s">
        <v>380</v>
      </c>
      <c r="C852" s="62">
        <v>44784</v>
      </c>
      <c r="D852" s="62">
        <v>44784</v>
      </c>
      <c r="E852" s="63">
        <v>3803.44</v>
      </c>
    </row>
    <row r="853" spans="1:5">
      <c r="A853" s="61" t="s">
        <v>21</v>
      </c>
      <c r="B853" s="61" t="s">
        <v>380</v>
      </c>
      <c r="C853" s="62">
        <v>44785</v>
      </c>
      <c r="D853" s="62">
        <v>44785</v>
      </c>
      <c r="E853" s="63">
        <v>0</v>
      </c>
    </row>
    <row r="854" spans="1:5">
      <c r="A854" s="61" t="s">
        <v>21</v>
      </c>
      <c r="B854" s="61" t="s">
        <v>380</v>
      </c>
      <c r="C854" s="62">
        <v>44786</v>
      </c>
      <c r="D854" s="62">
        <v>44786</v>
      </c>
      <c r="E854" s="63">
        <v>0</v>
      </c>
    </row>
    <row r="855" spans="1:5">
      <c r="A855" s="61" t="s">
        <v>21</v>
      </c>
      <c r="B855" s="61" t="s">
        <v>380</v>
      </c>
      <c r="C855" s="62">
        <v>44787</v>
      </c>
      <c r="D855" s="62">
        <v>44787</v>
      </c>
      <c r="E855" s="63">
        <v>0</v>
      </c>
    </row>
    <row r="856" spans="1:5">
      <c r="A856" s="61" t="s">
        <v>21</v>
      </c>
      <c r="B856" s="61" t="s">
        <v>380</v>
      </c>
      <c r="C856" s="62">
        <v>44788</v>
      </c>
      <c r="D856" s="62">
        <v>44788</v>
      </c>
      <c r="E856" s="63">
        <v>0</v>
      </c>
    </row>
    <row r="857" spans="1:5">
      <c r="A857" s="61" t="s">
        <v>21</v>
      </c>
      <c r="B857" s="61" t="s">
        <v>380</v>
      </c>
      <c r="C857" s="62">
        <v>44789</v>
      </c>
      <c r="D857" s="62">
        <v>44789</v>
      </c>
      <c r="E857" s="63">
        <v>0</v>
      </c>
    </row>
    <row r="858" spans="1:5">
      <c r="A858" s="61" t="s">
        <v>21</v>
      </c>
      <c r="B858" s="61" t="s">
        <v>380</v>
      </c>
      <c r="C858" s="62">
        <v>44790</v>
      </c>
      <c r="D858" s="62">
        <v>44790</v>
      </c>
      <c r="E858" s="63">
        <v>0</v>
      </c>
    </row>
    <row r="859" spans="1:5">
      <c r="A859" s="61" t="s">
        <v>21</v>
      </c>
      <c r="B859" s="61" t="s">
        <v>380</v>
      </c>
      <c r="C859" s="62">
        <v>44791</v>
      </c>
      <c r="D859" s="62">
        <v>44791</v>
      </c>
      <c r="E859" s="63">
        <v>0</v>
      </c>
    </row>
    <row r="860" spans="1:5">
      <c r="A860" s="61" t="s">
        <v>21</v>
      </c>
      <c r="B860" s="61" t="s">
        <v>380</v>
      </c>
      <c r="C860" s="62">
        <v>44792</v>
      </c>
      <c r="D860" s="62">
        <v>44792</v>
      </c>
      <c r="E860" s="63">
        <v>0</v>
      </c>
    </row>
    <row r="861" spans="1:5">
      <c r="A861" s="61" t="s">
        <v>21</v>
      </c>
      <c r="B861" s="61" t="s">
        <v>380</v>
      </c>
      <c r="C861" s="62">
        <v>44793</v>
      </c>
      <c r="D861" s="62">
        <v>44793</v>
      </c>
      <c r="E861" s="63">
        <v>0</v>
      </c>
    </row>
    <row r="862" spans="1:5">
      <c r="A862" s="61" t="s">
        <v>21</v>
      </c>
      <c r="B862" s="61" t="s">
        <v>380</v>
      </c>
      <c r="C862" s="62">
        <v>44794</v>
      </c>
      <c r="D862" s="62">
        <v>44794</v>
      </c>
      <c r="E862" s="63">
        <v>0</v>
      </c>
    </row>
    <row r="863" spans="1:5">
      <c r="A863" s="61" t="s">
        <v>21</v>
      </c>
      <c r="B863" s="61" t="s">
        <v>380</v>
      </c>
      <c r="C863" s="62">
        <v>44795</v>
      </c>
      <c r="D863" s="62">
        <v>44795</v>
      </c>
      <c r="E863" s="63">
        <v>0</v>
      </c>
    </row>
    <row r="864" spans="1:5">
      <c r="A864" s="61" t="s">
        <v>21</v>
      </c>
      <c r="B864" s="61" t="s">
        <v>380</v>
      </c>
      <c r="C864" s="62">
        <v>44796</v>
      </c>
      <c r="D864" s="62">
        <v>44796</v>
      </c>
      <c r="E864" s="63">
        <v>0</v>
      </c>
    </row>
    <row r="865" spans="1:5">
      <c r="A865" s="61" t="s">
        <v>21</v>
      </c>
      <c r="B865" s="61" t="s">
        <v>380</v>
      </c>
      <c r="C865" s="62">
        <v>44797</v>
      </c>
      <c r="D865" s="62">
        <v>44797</v>
      </c>
      <c r="E865" s="63">
        <v>0</v>
      </c>
    </row>
    <row r="866" spans="1:5">
      <c r="A866" s="61" t="s">
        <v>21</v>
      </c>
      <c r="B866" s="61" t="s">
        <v>380</v>
      </c>
      <c r="C866" s="62">
        <v>44798</v>
      </c>
      <c r="D866" s="62">
        <v>44798</v>
      </c>
      <c r="E866" s="63">
        <v>0</v>
      </c>
    </row>
    <row r="867" spans="1:5">
      <c r="A867" s="61" t="s">
        <v>21</v>
      </c>
      <c r="B867" s="61" t="s">
        <v>380</v>
      </c>
      <c r="C867" s="62">
        <v>44799</v>
      </c>
      <c r="D867" s="62">
        <v>44799</v>
      </c>
      <c r="E867" s="63">
        <v>0</v>
      </c>
    </row>
    <row r="868" spans="1:5">
      <c r="A868" s="61" t="s">
        <v>21</v>
      </c>
      <c r="B868" s="61" t="s">
        <v>380</v>
      </c>
      <c r="C868" s="62">
        <v>44800</v>
      </c>
      <c r="D868" s="62">
        <v>44800</v>
      </c>
      <c r="E868" s="63">
        <v>0</v>
      </c>
    </row>
    <row r="869" spans="1:5">
      <c r="A869" s="61" t="s">
        <v>21</v>
      </c>
      <c r="B869" s="61" t="s">
        <v>380</v>
      </c>
      <c r="C869" s="62">
        <v>44801</v>
      </c>
      <c r="D869" s="62">
        <v>44801</v>
      </c>
      <c r="E869" s="63">
        <v>0</v>
      </c>
    </row>
    <row r="870" spans="1:5">
      <c r="A870" s="61" t="s">
        <v>21</v>
      </c>
      <c r="B870" s="61" t="s">
        <v>380</v>
      </c>
      <c r="C870" s="62">
        <v>44802</v>
      </c>
      <c r="D870" s="62">
        <v>44802</v>
      </c>
      <c r="E870" s="63">
        <v>0</v>
      </c>
    </row>
    <row r="871" spans="1:5">
      <c r="A871" s="61" t="s">
        <v>21</v>
      </c>
      <c r="B871" s="61" t="s">
        <v>380</v>
      </c>
      <c r="C871" s="62">
        <v>44803</v>
      </c>
      <c r="D871" s="62">
        <v>44803</v>
      </c>
      <c r="E871" s="63">
        <v>0</v>
      </c>
    </row>
    <row r="872" spans="1:5">
      <c r="A872" s="61" t="s">
        <v>127</v>
      </c>
      <c r="B872" s="61" t="s">
        <v>381</v>
      </c>
      <c r="C872" s="62">
        <v>44774</v>
      </c>
      <c r="D872" s="62">
        <v>44774</v>
      </c>
      <c r="E872" s="63">
        <v>0</v>
      </c>
    </row>
    <row r="873" spans="1:5">
      <c r="A873" s="61" t="s">
        <v>127</v>
      </c>
      <c r="B873" s="61" t="s">
        <v>381</v>
      </c>
      <c r="C873" s="62">
        <v>44775</v>
      </c>
      <c r="D873" s="62">
        <v>44775</v>
      </c>
      <c r="E873" s="63">
        <v>0</v>
      </c>
    </row>
    <row r="874" spans="1:5">
      <c r="A874" s="61" t="s">
        <v>127</v>
      </c>
      <c r="B874" s="61" t="s">
        <v>381</v>
      </c>
      <c r="C874" s="62">
        <v>44776</v>
      </c>
      <c r="D874" s="62">
        <v>44776</v>
      </c>
      <c r="E874" s="63">
        <v>0</v>
      </c>
    </row>
    <row r="875" spans="1:5">
      <c r="A875" s="61" t="s">
        <v>127</v>
      </c>
      <c r="B875" s="61" t="s">
        <v>381</v>
      </c>
      <c r="C875" s="62">
        <v>44777</v>
      </c>
      <c r="D875" s="62">
        <v>44777</v>
      </c>
      <c r="E875" s="63">
        <v>0</v>
      </c>
    </row>
    <row r="876" spans="1:5">
      <c r="A876" s="61" t="s">
        <v>127</v>
      </c>
      <c r="B876" s="61" t="s">
        <v>381</v>
      </c>
      <c r="C876" s="62">
        <v>44778</v>
      </c>
      <c r="D876" s="62">
        <v>44778</v>
      </c>
      <c r="E876" s="63">
        <v>0</v>
      </c>
    </row>
    <row r="877" spans="1:5">
      <c r="A877" s="61" t="s">
        <v>127</v>
      </c>
      <c r="B877" s="61" t="s">
        <v>381</v>
      </c>
      <c r="C877" s="62">
        <v>44779</v>
      </c>
      <c r="D877" s="62">
        <v>44779</v>
      </c>
      <c r="E877" s="63">
        <v>0</v>
      </c>
    </row>
    <row r="878" spans="1:5">
      <c r="A878" s="61" t="s">
        <v>127</v>
      </c>
      <c r="B878" s="61" t="s">
        <v>381</v>
      </c>
      <c r="C878" s="62">
        <v>44780</v>
      </c>
      <c r="D878" s="62">
        <v>44780</v>
      </c>
      <c r="E878" s="63">
        <v>0</v>
      </c>
    </row>
    <row r="879" spans="1:5">
      <c r="A879" s="61" t="s">
        <v>127</v>
      </c>
      <c r="B879" s="61" t="s">
        <v>381</v>
      </c>
      <c r="C879" s="62">
        <v>44781</v>
      </c>
      <c r="D879" s="62">
        <v>44781</v>
      </c>
      <c r="E879" s="63">
        <v>0</v>
      </c>
    </row>
    <row r="880" spans="1:5">
      <c r="A880" s="61" t="s">
        <v>127</v>
      </c>
      <c r="B880" s="61" t="s">
        <v>381</v>
      </c>
      <c r="C880" s="62">
        <v>44782</v>
      </c>
      <c r="D880" s="62">
        <v>44782</v>
      </c>
      <c r="E880" s="63">
        <v>0</v>
      </c>
    </row>
    <row r="881" spans="1:5">
      <c r="A881" s="61" t="s">
        <v>127</v>
      </c>
      <c r="B881" s="61" t="s">
        <v>381</v>
      </c>
      <c r="C881" s="62">
        <v>44783</v>
      </c>
      <c r="D881" s="62">
        <v>44783</v>
      </c>
      <c r="E881" s="63">
        <v>0</v>
      </c>
    </row>
    <row r="882" spans="1:5">
      <c r="A882" s="61" t="s">
        <v>127</v>
      </c>
      <c r="B882" s="61" t="s">
        <v>381</v>
      </c>
      <c r="C882" s="62">
        <v>44784</v>
      </c>
      <c r="D882" s="62">
        <v>44784</v>
      </c>
      <c r="E882" s="63">
        <v>4186.82</v>
      </c>
    </row>
    <row r="883" spans="1:5">
      <c r="A883" s="61" t="s">
        <v>127</v>
      </c>
      <c r="B883" s="61" t="s">
        <v>381</v>
      </c>
      <c r="C883" s="62">
        <v>44785</v>
      </c>
      <c r="D883" s="62">
        <v>44785</v>
      </c>
      <c r="E883" s="63">
        <v>0</v>
      </c>
    </row>
    <row r="884" spans="1:5">
      <c r="A884" s="61" t="s">
        <v>127</v>
      </c>
      <c r="B884" s="61" t="s">
        <v>381</v>
      </c>
      <c r="C884" s="62">
        <v>44786</v>
      </c>
      <c r="D884" s="62">
        <v>44786</v>
      </c>
      <c r="E884" s="63">
        <v>0</v>
      </c>
    </row>
    <row r="885" spans="1:5">
      <c r="A885" s="61" t="s">
        <v>127</v>
      </c>
      <c r="B885" s="61" t="s">
        <v>381</v>
      </c>
      <c r="C885" s="62">
        <v>44787</v>
      </c>
      <c r="D885" s="62">
        <v>44787</v>
      </c>
      <c r="E885" s="63">
        <v>0</v>
      </c>
    </row>
    <row r="886" spans="1:5">
      <c r="A886" s="61" t="s">
        <v>127</v>
      </c>
      <c r="B886" s="61" t="s">
        <v>381</v>
      </c>
      <c r="C886" s="62">
        <v>44788</v>
      </c>
      <c r="D886" s="62">
        <v>44788</v>
      </c>
      <c r="E886" s="63">
        <v>0</v>
      </c>
    </row>
    <row r="887" spans="1:5">
      <c r="A887" s="61" t="s">
        <v>127</v>
      </c>
      <c r="B887" s="61" t="s">
        <v>381</v>
      </c>
      <c r="C887" s="62">
        <v>44789</v>
      </c>
      <c r="D887" s="62">
        <v>44789</v>
      </c>
      <c r="E887" s="63">
        <v>0</v>
      </c>
    </row>
    <row r="888" spans="1:5">
      <c r="A888" s="61" t="s">
        <v>127</v>
      </c>
      <c r="B888" s="61" t="s">
        <v>381</v>
      </c>
      <c r="C888" s="62">
        <v>44790</v>
      </c>
      <c r="D888" s="62">
        <v>44790</v>
      </c>
      <c r="E888" s="63">
        <v>0</v>
      </c>
    </row>
    <row r="889" spans="1:5">
      <c r="A889" s="61" t="s">
        <v>127</v>
      </c>
      <c r="B889" s="61" t="s">
        <v>381</v>
      </c>
      <c r="C889" s="62">
        <v>44791</v>
      </c>
      <c r="D889" s="62">
        <v>44791</v>
      </c>
      <c r="E889" s="63">
        <v>0</v>
      </c>
    </row>
    <row r="890" spans="1:5">
      <c r="A890" s="61" t="s">
        <v>127</v>
      </c>
      <c r="B890" s="61" t="s">
        <v>381</v>
      </c>
      <c r="C890" s="62">
        <v>44792</v>
      </c>
      <c r="D890" s="62">
        <v>44792</v>
      </c>
      <c r="E890" s="63">
        <v>0</v>
      </c>
    </row>
    <row r="891" spans="1:5">
      <c r="A891" s="61" t="s">
        <v>127</v>
      </c>
      <c r="B891" s="61" t="s">
        <v>381</v>
      </c>
      <c r="C891" s="62">
        <v>44793</v>
      </c>
      <c r="D891" s="62">
        <v>44793</v>
      </c>
      <c r="E891" s="63">
        <v>0</v>
      </c>
    </row>
    <row r="892" spans="1:5">
      <c r="A892" s="61" t="s">
        <v>127</v>
      </c>
      <c r="B892" s="61" t="s">
        <v>381</v>
      </c>
      <c r="C892" s="62">
        <v>44794</v>
      </c>
      <c r="D892" s="62">
        <v>44794</v>
      </c>
      <c r="E892" s="63">
        <v>0</v>
      </c>
    </row>
    <row r="893" spans="1:5">
      <c r="A893" s="61" t="s">
        <v>127</v>
      </c>
      <c r="B893" s="61" t="s">
        <v>381</v>
      </c>
      <c r="C893" s="62">
        <v>44795</v>
      </c>
      <c r="D893" s="62">
        <v>44795</v>
      </c>
      <c r="E893" s="63">
        <v>0</v>
      </c>
    </row>
    <row r="894" spans="1:5">
      <c r="A894" s="61" t="s">
        <v>127</v>
      </c>
      <c r="B894" s="61" t="s">
        <v>381</v>
      </c>
      <c r="C894" s="62">
        <v>44796</v>
      </c>
      <c r="D894" s="62">
        <v>44796</v>
      </c>
      <c r="E894" s="63">
        <v>0</v>
      </c>
    </row>
    <row r="895" spans="1:5">
      <c r="A895" s="61" t="s">
        <v>127</v>
      </c>
      <c r="B895" s="61" t="s">
        <v>381</v>
      </c>
      <c r="C895" s="62">
        <v>44797</v>
      </c>
      <c r="D895" s="62">
        <v>44797</v>
      </c>
      <c r="E895" s="63">
        <v>0</v>
      </c>
    </row>
    <row r="896" spans="1:5">
      <c r="A896" s="61" t="s">
        <v>127</v>
      </c>
      <c r="B896" s="61" t="s">
        <v>381</v>
      </c>
      <c r="C896" s="62">
        <v>44798</v>
      </c>
      <c r="D896" s="62">
        <v>44798</v>
      </c>
      <c r="E896" s="63">
        <v>0</v>
      </c>
    </row>
    <row r="897" spans="1:5">
      <c r="A897" s="61" t="s">
        <v>127</v>
      </c>
      <c r="B897" s="61" t="s">
        <v>381</v>
      </c>
      <c r="C897" s="62">
        <v>44799</v>
      </c>
      <c r="D897" s="62">
        <v>44799</v>
      </c>
      <c r="E897" s="63">
        <v>0</v>
      </c>
    </row>
    <row r="898" spans="1:5">
      <c r="A898" s="61" t="s">
        <v>127</v>
      </c>
      <c r="B898" s="61" t="s">
        <v>381</v>
      </c>
      <c r="C898" s="62">
        <v>44800</v>
      </c>
      <c r="D898" s="62">
        <v>44800</v>
      </c>
      <c r="E898" s="63">
        <v>0</v>
      </c>
    </row>
    <row r="899" spans="1:5">
      <c r="A899" s="61" t="s">
        <v>127</v>
      </c>
      <c r="B899" s="61" t="s">
        <v>381</v>
      </c>
      <c r="C899" s="62">
        <v>44801</v>
      </c>
      <c r="D899" s="62">
        <v>44801</v>
      </c>
      <c r="E899" s="63">
        <v>0</v>
      </c>
    </row>
    <row r="900" spans="1:5">
      <c r="A900" s="61" t="s">
        <v>127</v>
      </c>
      <c r="B900" s="61" t="s">
        <v>381</v>
      </c>
      <c r="C900" s="62">
        <v>44802</v>
      </c>
      <c r="D900" s="62">
        <v>44802</v>
      </c>
      <c r="E900" s="63">
        <v>0</v>
      </c>
    </row>
    <row r="901" spans="1:5">
      <c r="A901" s="61" t="s">
        <v>127</v>
      </c>
      <c r="B901" s="61" t="s">
        <v>381</v>
      </c>
      <c r="C901" s="62">
        <v>44803</v>
      </c>
      <c r="D901" s="62">
        <v>44803</v>
      </c>
      <c r="E901" s="63">
        <v>0</v>
      </c>
    </row>
    <row r="902" spans="1:5">
      <c r="A902" s="61" t="s">
        <v>128</v>
      </c>
      <c r="B902" s="61" t="s">
        <v>382</v>
      </c>
      <c r="C902" s="62">
        <v>44774</v>
      </c>
      <c r="D902" s="62">
        <v>44774</v>
      </c>
      <c r="E902" s="63">
        <v>0</v>
      </c>
    </row>
    <row r="903" spans="1:5">
      <c r="A903" s="61" t="s">
        <v>128</v>
      </c>
      <c r="B903" s="61" t="s">
        <v>382</v>
      </c>
      <c r="C903" s="62">
        <v>44775</v>
      </c>
      <c r="D903" s="62">
        <v>44775</v>
      </c>
      <c r="E903" s="63">
        <v>0</v>
      </c>
    </row>
    <row r="904" spans="1:5">
      <c r="A904" s="61" t="s">
        <v>128</v>
      </c>
      <c r="B904" s="61" t="s">
        <v>382</v>
      </c>
      <c r="C904" s="62">
        <v>44776</v>
      </c>
      <c r="D904" s="62">
        <v>44776</v>
      </c>
      <c r="E904" s="63">
        <v>0</v>
      </c>
    </row>
    <row r="905" spans="1:5">
      <c r="A905" s="61" t="s">
        <v>128</v>
      </c>
      <c r="B905" s="61" t="s">
        <v>382</v>
      </c>
      <c r="C905" s="62">
        <v>44777</v>
      </c>
      <c r="D905" s="62">
        <v>44777</v>
      </c>
      <c r="E905" s="63">
        <v>0</v>
      </c>
    </row>
    <row r="906" spans="1:5">
      <c r="A906" s="61" t="s">
        <v>128</v>
      </c>
      <c r="B906" s="61" t="s">
        <v>382</v>
      </c>
      <c r="C906" s="62">
        <v>44778</v>
      </c>
      <c r="D906" s="62">
        <v>44778</v>
      </c>
      <c r="E906" s="63">
        <v>0</v>
      </c>
    </row>
    <row r="907" spans="1:5">
      <c r="A907" s="61" t="s">
        <v>128</v>
      </c>
      <c r="B907" s="61" t="s">
        <v>382</v>
      </c>
      <c r="C907" s="62">
        <v>44779</v>
      </c>
      <c r="D907" s="62">
        <v>44779</v>
      </c>
      <c r="E907" s="63">
        <v>0</v>
      </c>
    </row>
    <row r="908" spans="1:5">
      <c r="A908" s="61" t="s">
        <v>128</v>
      </c>
      <c r="B908" s="61" t="s">
        <v>382</v>
      </c>
      <c r="C908" s="62">
        <v>44780</v>
      </c>
      <c r="D908" s="62">
        <v>44780</v>
      </c>
      <c r="E908" s="63">
        <v>0</v>
      </c>
    </row>
    <row r="909" spans="1:5">
      <c r="A909" s="61" t="s">
        <v>128</v>
      </c>
      <c r="B909" s="61" t="s">
        <v>382</v>
      </c>
      <c r="C909" s="62">
        <v>44781</v>
      </c>
      <c r="D909" s="62">
        <v>44781</v>
      </c>
      <c r="E909" s="63">
        <v>0</v>
      </c>
    </row>
    <row r="910" spans="1:5">
      <c r="A910" s="61" t="s">
        <v>128</v>
      </c>
      <c r="B910" s="61" t="s">
        <v>382</v>
      </c>
      <c r="C910" s="62">
        <v>44782</v>
      </c>
      <c r="D910" s="62">
        <v>44782</v>
      </c>
      <c r="E910" s="63">
        <v>0</v>
      </c>
    </row>
    <row r="911" spans="1:5">
      <c r="A911" s="61" t="s">
        <v>128</v>
      </c>
      <c r="B911" s="61" t="s">
        <v>382</v>
      </c>
      <c r="C911" s="62">
        <v>44783</v>
      </c>
      <c r="D911" s="62">
        <v>44783</v>
      </c>
      <c r="E911" s="63">
        <v>0</v>
      </c>
    </row>
    <row r="912" spans="1:5">
      <c r="A912" s="61" t="s">
        <v>128</v>
      </c>
      <c r="B912" s="61" t="s">
        <v>382</v>
      </c>
      <c r="C912" s="62">
        <v>44784</v>
      </c>
      <c r="D912" s="62">
        <v>44784</v>
      </c>
      <c r="E912" s="63">
        <v>4728.28</v>
      </c>
    </row>
    <row r="913" spans="1:5">
      <c r="A913" s="61" t="s">
        <v>128</v>
      </c>
      <c r="B913" s="61" t="s">
        <v>382</v>
      </c>
      <c r="C913" s="62">
        <v>44785</v>
      </c>
      <c r="D913" s="62">
        <v>44785</v>
      </c>
      <c r="E913" s="63">
        <v>0</v>
      </c>
    </row>
    <row r="914" spans="1:5">
      <c r="A914" s="61" t="s">
        <v>128</v>
      </c>
      <c r="B914" s="61" t="s">
        <v>382</v>
      </c>
      <c r="C914" s="62">
        <v>44786</v>
      </c>
      <c r="D914" s="62">
        <v>44786</v>
      </c>
      <c r="E914" s="63">
        <v>0</v>
      </c>
    </row>
    <row r="915" spans="1:5">
      <c r="A915" s="61" t="s">
        <v>128</v>
      </c>
      <c r="B915" s="61" t="s">
        <v>382</v>
      </c>
      <c r="C915" s="62">
        <v>44787</v>
      </c>
      <c r="D915" s="62">
        <v>44787</v>
      </c>
      <c r="E915" s="63">
        <v>0</v>
      </c>
    </row>
    <row r="916" spans="1:5">
      <c r="A916" s="61" t="s">
        <v>128</v>
      </c>
      <c r="B916" s="61" t="s">
        <v>382</v>
      </c>
      <c r="C916" s="62">
        <v>44788</v>
      </c>
      <c r="D916" s="62">
        <v>44788</v>
      </c>
      <c r="E916" s="63">
        <v>0</v>
      </c>
    </row>
    <row r="917" spans="1:5">
      <c r="A917" s="61" t="s">
        <v>128</v>
      </c>
      <c r="B917" s="61" t="s">
        <v>382</v>
      </c>
      <c r="C917" s="62">
        <v>44789</v>
      </c>
      <c r="D917" s="62">
        <v>44789</v>
      </c>
      <c r="E917" s="63">
        <v>0</v>
      </c>
    </row>
    <row r="918" spans="1:5">
      <c r="A918" s="61" t="s">
        <v>128</v>
      </c>
      <c r="B918" s="61" t="s">
        <v>382</v>
      </c>
      <c r="C918" s="62">
        <v>44790</v>
      </c>
      <c r="D918" s="62">
        <v>44790</v>
      </c>
      <c r="E918" s="63">
        <v>0</v>
      </c>
    </row>
    <row r="919" spans="1:5">
      <c r="A919" s="61" t="s">
        <v>128</v>
      </c>
      <c r="B919" s="61" t="s">
        <v>382</v>
      </c>
      <c r="C919" s="62">
        <v>44791</v>
      </c>
      <c r="D919" s="62">
        <v>44791</v>
      </c>
      <c r="E919" s="63">
        <v>0</v>
      </c>
    </row>
    <row r="920" spans="1:5">
      <c r="A920" s="61" t="s">
        <v>128</v>
      </c>
      <c r="B920" s="61" t="s">
        <v>382</v>
      </c>
      <c r="C920" s="62">
        <v>44792</v>
      </c>
      <c r="D920" s="62">
        <v>44792</v>
      </c>
      <c r="E920" s="63">
        <v>0</v>
      </c>
    </row>
    <row r="921" spans="1:5">
      <c r="A921" s="61" t="s">
        <v>128</v>
      </c>
      <c r="B921" s="61" t="s">
        <v>382</v>
      </c>
      <c r="C921" s="62">
        <v>44793</v>
      </c>
      <c r="D921" s="62">
        <v>44793</v>
      </c>
      <c r="E921" s="63">
        <v>0</v>
      </c>
    </row>
    <row r="922" spans="1:5">
      <c r="A922" s="61" t="s">
        <v>128</v>
      </c>
      <c r="B922" s="61" t="s">
        <v>382</v>
      </c>
      <c r="C922" s="62">
        <v>44794</v>
      </c>
      <c r="D922" s="62">
        <v>44794</v>
      </c>
      <c r="E922" s="63">
        <v>0</v>
      </c>
    </row>
    <row r="923" spans="1:5">
      <c r="A923" s="61" t="s">
        <v>128</v>
      </c>
      <c r="B923" s="61" t="s">
        <v>382</v>
      </c>
      <c r="C923" s="62">
        <v>44795</v>
      </c>
      <c r="D923" s="62">
        <v>44795</v>
      </c>
      <c r="E923" s="63">
        <v>0</v>
      </c>
    </row>
    <row r="924" spans="1:5">
      <c r="A924" s="61" t="s">
        <v>128</v>
      </c>
      <c r="B924" s="61" t="s">
        <v>382</v>
      </c>
      <c r="C924" s="62">
        <v>44796</v>
      </c>
      <c r="D924" s="62">
        <v>44796</v>
      </c>
      <c r="E924" s="63">
        <v>0</v>
      </c>
    </row>
    <row r="925" spans="1:5">
      <c r="A925" s="61" t="s">
        <v>128</v>
      </c>
      <c r="B925" s="61" t="s">
        <v>382</v>
      </c>
      <c r="C925" s="62">
        <v>44797</v>
      </c>
      <c r="D925" s="62">
        <v>44797</v>
      </c>
      <c r="E925" s="63">
        <v>0</v>
      </c>
    </row>
    <row r="926" spans="1:5">
      <c r="A926" s="61" t="s">
        <v>128</v>
      </c>
      <c r="B926" s="61" t="s">
        <v>382</v>
      </c>
      <c r="C926" s="62">
        <v>44798</v>
      </c>
      <c r="D926" s="62">
        <v>44798</v>
      </c>
      <c r="E926" s="63">
        <v>0</v>
      </c>
    </row>
    <row r="927" spans="1:5">
      <c r="A927" s="61" t="s">
        <v>128</v>
      </c>
      <c r="B927" s="61" t="s">
        <v>382</v>
      </c>
      <c r="C927" s="62">
        <v>44799</v>
      </c>
      <c r="D927" s="62">
        <v>44799</v>
      </c>
      <c r="E927" s="63">
        <v>0</v>
      </c>
    </row>
    <row r="928" spans="1:5">
      <c r="A928" s="61" t="s">
        <v>128</v>
      </c>
      <c r="B928" s="61" t="s">
        <v>382</v>
      </c>
      <c r="C928" s="62">
        <v>44800</v>
      </c>
      <c r="D928" s="62">
        <v>44800</v>
      </c>
      <c r="E928" s="63">
        <v>0</v>
      </c>
    </row>
    <row r="929" spans="1:5">
      <c r="A929" s="61" t="s">
        <v>128</v>
      </c>
      <c r="B929" s="61" t="s">
        <v>382</v>
      </c>
      <c r="C929" s="62">
        <v>44801</v>
      </c>
      <c r="D929" s="62">
        <v>44801</v>
      </c>
      <c r="E929" s="63">
        <v>0</v>
      </c>
    </row>
    <row r="930" spans="1:5">
      <c r="A930" s="61" t="s">
        <v>128</v>
      </c>
      <c r="B930" s="61" t="s">
        <v>382</v>
      </c>
      <c r="C930" s="62">
        <v>44802</v>
      </c>
      <c r="D930" s="62">
        <v>44802</v>
      </c>
      <c r="E930" s="63">
        <v>0</v>
      </c>
    </row>
    <row r="931" spans="1:5">
      <c r="A931" s="61" t="s">
        <v>128</v>
      </c>
      <c r="B931" s="61" t="s">
        <v>382</v>
      </c>
      <c r="C931" s="62">
        <v>44803</v>
      </c>
      <c r="D931" s="62">
        <v>44803</v>
      </c>
      <c r="E931" s="63">
        <v>0</v>
      </c>
    </row>
    <row r="932" spans="1:5">
      <c r="A932" s="61" t="s">
        <v>129</v>
      </c>
      <c r="B932" s="61" t="s">
        <v>383</v>
      </c>
      <c r="C932" s="62">
        <v>44774</v>
      </c>
      <c r="D932" s="62">
        <v>44774</v>
      </c>
      <c r="E932" s="63">
        <v>0</v>
      </c>
    </row>
    <row r="933" spans="1:5">
      <c r="A933" s="61" t="s">
        <v>129</v>
      </c>
      <c r="B933" s="61" t="s">
        <v>383</v>
      </c>
      <c r="C933" s="62">
        <v>44775</v>
      </c>
      <c r="D933" s="62">
        <v>44775</v>
      </c>
      <c r="E933" s="63">
        <v>0</v>
      </c>
    </row>
    <row r="934" spans="1:5">
      <c r="A934" s="61" t="s">
        <v>129</v>
      </c>
      <c r="B934" s="61" t="s">
        <v>383</v>
      </c>
      <c r="C934" s="62">
        <v>44776</v>
      </c>
      <c r="D934" s="62">
        <v>44776</v>
      </c>
      <c r="E934" s="63">
        <v>0</v>
      </c>
    </row>
    <row r="935" spans="1:5">
      <c r="A935" s="61" t="s">
        <v>129</v>
      </c>
      <c r="B935" s="61" t="s">
        <v>383</v>
      </c>
      <c r="C935" s="62">
        <v>44777</v>
      </c>
      <c r="D935" s="62">
        <v>44777</v>
      </c>
      <c r="E935" s="63">
        <v>0</v>
      </c>
    </row>
    <row r="936" spans="1:5">
      <c r="A936" s="61" t="s">
        <v>129</v>
      </c>
      <c r="B936" s="61" t="s">
        <v>383</v>
      </c>
      <c r="C936" s="62">
        <v>44778</v>
      </c>
      <c r="D936" s="62">
        <v>44778</v>
      </c>
      <c r="E936" s="63">
        <v>0</v>
      </c>
    </row>
    <row r="937" spans="1:5">
      <c r="A937" s="61" t="s">
        <v>129</v>
      </c>
      <c r="B937" s="61" t="s">
        <v>383</v>
      </c>
      <c r="C937" s="62">
        <v>44779</v>
      </c>
      <c r="D937" s="62">
        <v>44779</v>
      </c>
      <c r="E937" s="63">
        <v>0</v>
      </c>
    </row>
    <row r="938" spans="1:5">
      <c r="A938" s="61" t="s">
        <v>129</v>
      </c>
      <c r="B938" s="61" t="s">
        <v>383</v>
      </c>
      <c r="C938" s="62">
        <v>44780</v>
      </c>
      <c r="D938" s="62">
        <v>44780</v>
      </c>
      <c r="E938" s="63">
        <v>0</v>
      </c>
    </row>
    <row r="939" spans="1:5">
      <c r="A939" s="61" t="s">
        <v>129</v>
      </c>
      <c r="B939" s="61" t="s">
        <v>383</v>
      </c>
      <c r="C939" s="62">
        <v>44781</v>
      </c>
      <c r="D939" s="62">
        <v>44781</v>
      </c>
      <c r="E939" s="63">
        <v>0</v>
      </c>
    </row>
    <row r="940" spans="1:5">
      <c r="A940" s="61" t="s">
        <v>129</v>
      </c>
      <c r="B940" s="61" t="s">
        <v>383</v>
      </c>
      <c r="C940" s="62">
        <v>44782</v>
      </c>
      <c r="D940" s="62">
        <v>44782</v>
      </c>
      <c r="E940" s="63">
        <v>0</v>
      </c>
    </row>
    <row r="941" spans="1:5">
      <c r="A941" s="61" t="s">
        <v>129</v>
      </c>
      <c r="B941" s="61" t="s">
        <v>383</v>
      </c>
      <c r="C941" s="62">
        <v>44783</v>
      </c>
      <c r="D941" s="62">
        <v>44783</v>
      </c>
      <c r="E941" s="63">
        <v>0</v>
      </c>
    </row>
    <row r="942" spans="1:5">
      <c r="A942" s="61" t="s">
        <v>129</v>
      </c>
      <c r="B942" s="61" t="s">
        <v>383</v>
      </c>
      <c r="C942" s="62">
        <v>44784</v>
      </c>
      <c r="D942" s="62">
        <v>44784</v>
      </c>
      <c r="E942" s="63">
        <v>2817.01</v>
      </c>
    </row>
    <row r="943" spans="1:5">
      <c r="A943" s="61" t="s">
        <v>129</v>
      </c>
      <c r="B943" s="61" t="s">
        <v>383</v>
      </c>
      <c r="C943" s="62">
        <v>44785</v>
      </c>
      <c r="D943" s="62">
        <v>44785</v>
      </c>
      <c r="E943" s="63">
        <v>0</v>
      </c>
    </row>
    <row r="944" spans="1:5">
      <c r="A944" s="61" t="s">
        <v>129</v>
      </c>
      <c r="B944" s="61" t="s">
        <v>383</v>
      </c>
      <c r="C944" s="62">
        <v>44786</v>
      </c>
      <c r="D944" s="62">
        <v>44786</v>
      </c>
      <c r="E944" s="63">
        <v>0</v>
      </c>
    </row>
    <row r="945" spans="1:5">
      <c r="A945" s="61" t="s">
        <v>129</v>
      </c>
      <c r="B945" s="61" t="s">
        <v>383</v>
      </c>
      <c r="C945" s="62">
        <v>44787</v>
      </c>
      <c r="D945" s="62">
        <v>44787</v>
      </c>
      <c r="E945" s="63">
        <v>0</v>
      </c>
    </row>
    <row r="946" spans="1:5">
      <c r="A946" s="61" t="s">
        <v>129</v>
      </c>
      <c r="B946" s="61" t="s">
        <v>383</v>
      </c>
      <c r="C946" s="62">
        <v>44788</v>
      </c>
      <c r="D946" s="62">
        <v>44788</v>
      </c>
      <c r="E946" s="63">
        <v>0</v>
      </c>
    </row>
    <row r="947" spans="1:5">
      <c r="A947" s="61" t="s">
        <v>129</v>
      </c>
      <c r="B947" s="61" t="s">
        <v>383</v>
      </c>
      <c r="C947" s="62">
        <v>44789</v>
      </c>
      <c r="D947" s="62">
        <v>44789</v>
      </c>
      <c r="E947" s="63">
        <v>0</v>
      </c>
    </row>
    <row r="948" spans="1:5">
      <c r="A948" s="61" t="s">
        <v>129</v>
      </c>
      <c r="B948" s="61" t="s">
        <v>383</v>
      </c>
      <c r="C948" s="62">
        <v>44790</v>
      </c>
      <c r="D948" s="62">
        <v>44790</v>
      </c>
      <c r="E948" s="63">
        <v>0</v>
      </c>
    </row>
    <row r="949" spans="1:5">
      <c r="A949" s="61" t="s">
        <v>129</v>
      </c>
      <c r="B949" s="61" t="s">
        <v>383</v>
      </c>
      <c r="C949" s="62">
        <v>44791</v>
      </c>
      <c r="D949" s="62">
        <v>44791</v>
      </c>
      <c r="E949" s="63">
        <v>0</v>
      </c>
    </row>
    <row r="950" spans="1:5">
      <c r="A950" s="61" t="s">
        <v>129</v>
      </c>
      <c r="B950" s="61" t="s">
        <v>383</v>
      </c>
      <c r="C950" s="62">
        <v>44792</v>
      </c>
      <c r="D950" s="62">
        <v>44792</v>
      </c>
      <c r="E950" s="63">
        <v>0</v>
      </c>
    </row>
    <row r="951" spans="1:5">
      <c r="A951" s="61" t="s">
        <v>129</v>
      </c>
      <c r="B951" s="61" t="s">
        <v>383</v>
      </c>
      <c r="C951" s="62">
        <v>44793</v>
      </c>
      <c r="D951" s="62">
        <v>44793</v>
      </c>
      <c r="E951" s="63">
        <v>0</v>
      </c>
    </row>
    <row r="952" spans="1:5">
      <c r="A952" s="61" t="s">
        <v>129</v>
      </c>
      <c r="B952" s="61" t="s">
        <v>383</v>
      </c>
      <c r="C952" s="62">
        <v>44794</v>
      </c>
      <c r="D952" s="62">
        <v>44794</v>
      </c>
      <c r="E952" s="63">
        <v>0</v>
      </c>
    </row>
    <row r="953" spans="1:5">
      <c r="A953" s="61" t="s">
        <v>129</v>
      </c>
      <c r="B953" s="61" t="s">
        <v>383</v>
      </c>
      <c r="C953" s="62">
        <v>44795</v>
      </c>
      <c r="D953" s="62">
        <v>44795</v>
      </c>
      <c r="E953" s="63">
        <v>0</v>
      </c>
    </row>
    <row r="954" spans="1:5">
      <c r="A954" s="61" t="s">
        <v>129</v>
      </c>
      <c r="B954" s="61" t="s">
        <v>383</v>
      </c>
      <c r="C954" s="62">
        <v>44796</v>
      </c>
      <c r="D954" s="62">
        <v>44796</v>
      </c>
      <c r="E954" s="63">
        <v>0</v>
      </c>
    </row>
    <row r="955" spans="1:5">
      <c r="A955" s="61" t="s">
        <v>129</v>
      </c>
      <c r="B955" s="61" t="s">
        <v>383</v>
      </c>
      <c r="C955" s="62">
        <v>44797</v>
      </c>
      <c r="D955" s="62">
        <v>44797</v>
      </c>
      <c r="E955" s="63">
        <v>0</v>
      </c>
    </row>
    <row r="956" spans="1:5">
      <c r="A956" s="61" t="s">
        <v>129</v>
      </c>
      <c r="B956" s="61" t="s">
        <v>383</v>
      </c>
      <c r="C956" s="62">
        <v>44798</v>
      </c>
      <c r="D956" s="62">
        <v>44798</v>
      </c>
      <c r="E956" s="63">
        <v>0</v>
      </c>
    </row>
    <row r="957" spans="1:5">
      <c r="A957" s="61" t="s">
        <v>129</v>
      </c>
      <c r="B957" s="61" t="s">
        <v>383</v>
      </c>
      <c r="C957" s="62">
        <v>44799</v>
      </c>
      <c r="D957" s="62">
        <v>44799</v>
      </c>
      <c r="E957" s="63">
        <v>0</v>
      </c>
    </row>
    <row r="958" spans="1:5">
      <c r="A958" s="61" t="s">
        <v>129</v>
      </c>
      <c r="B958" s="61" t="s">
        <v>383</v>
      </c>
      <c r="C958" s="62">
        <v>44800</v>
      </c>
      <c r="D958" s="62">
        <v>44800</v>
      </c>
      <c r="E958" s="63">
        <v>0</v>
      </c>
    </row>
    <row r="959" spans="1:5">
      <c r="A959" s="61" t="s">
        <v>129</v>
      </c>
      <c r="B959" s="61" t="s">
        <v>383</v>
      </c>
      <c r="C959" s="62">
        <v>44801</v>
      </c>
      <c r="D959" s="62">
        <v>44801</v>
      </c>
      <c r="E959" s="63">
        <v>0</v>
      </c>
    </row>
    <row r="960" spans="1:5">
      <c r="A960" s="61" t="s">
        <v>129</v>
      </c>
      <c r="B960" s="61" t="s">
        <v>383</v>
      </c>
      <c r="C960" s="62">
        <v>44802</v>
      </c>
      <c r="D960" s="62">
        <v>44802</v>
      </c>
      <c r="E960" s="63">
        <v>0</v>
      </c>
    </row>
    <row r="961" spans="1:5">
      <c r="A961" s="61" t="s">
        <v>129</v>
      </c>
      <c r="B961" s="61" t="s">
        <v>383</v>
      </c>
      <c r="C961" s="62">
        <v>44803</v>
      </c>
      <c r="D961" s="62">
        <v>44803</v>
      </c>
      <c r="E961" s="63">
        <v>0</v>
      </c>
    </row>
    <row r="962" spans="1:5">
      <c r="A962" s="61" t="s">
        <v>23</v>
      </c>
      <c r="B962" s="61" t="s">
        <v>380</v>
      </c>
      <c r="C962" s="62">
        <v>44774</v>
      </c>
      <c r="D962" s="62">
        <v>44774</v>
      </c>
      <c r="E962" s="63">
        <v>0</v>
      </c>
    </row>
    <row r="963" spans="1:5">
      <c r="A963" s="61" t="s">
        <v>23</v>
      </c>
      <c r="B963" s="61" t="s">
        <v>380</v>
      </c>
      <c r="C963" s="62">
        <v>44775</v>
      </c>
      <c r="D963" s="62">
        <v>44775</v>
      </c>
      <c r="E963" s="63">
        <v>1644.94</v>
      </c>
    </row>
    <row r="964" spans="1:5">
      <c r="A964" s="61" t="s">
        <v>23</v>
      </c>
      <c r="B964" s="61" t="s">
        <v>380</v>
      </c>
      <c r="C964" s="62">
        <v>44776</v>
      </c>
      <c r="D964" s="62">
        <v>44776</v>
      </c>
      <c r="E964" s="63">
        <v>0</v>
      </c>
    </row>
    <row r="965" spans="1:5">
      <c r="A965" s="61" t="s">
        <v>23</v>
      </c>
      <c r="B965" s="61" t="s">
        <v>380</v>
      </c>
      <c r="C965" s="62">
        <v>44777</v>
      </c>
      <c r="D965" s="62">
        <v>44777</v>
      </c>
      <c r="E965" s="63">
        <v>398.96</v>
      </c>
    </row>
    <row r="966" spans="1:5">
      <c r="A966" s="61" t="s">
        <v>23</v>
      </c>
      <c r="B966" s="61" t="s">
        <v>380</v>
      </c>
      <c r="C966" s="62">
        <v>44778</v>
      </c>
      <c r="D966" s="62">
        <v>44778</v>
      </c>
      <c r="E966" s="63">
        <v>0</v>
      </c>
    </row>
    <row r="967" spans="1:5">
      <c r="A967" s="61" t="s">
        <v>23</v>
      </c>
      <c r="B967" s="61" t="s">
        <v>380</v>
      </c>
      <c r="C967" s="62">
        <v>44779</v>
      </c>
      <c r="D967" s="62">
        <v>44779</v>
      </c>
      <c r="E967" s="63">
        <v>0</v>
      </c>
    </row>
    <row r="968" spans="1:5">
      <c r="A968" s="61" t="s">
        <v>23</v>
      </c>
      <c r="B968" s="61" t="s">
        <v>380</v>
      </c>
      <c r="C968" s="62">
        <v>44780</v>
      </c>
      <c r="D968" s="62">
        <v>44780</v>
      </c>
      <c r="E968" s="63">
        <v>0</v>
      </c>
    </row>
    <row r="969" spans="1:5">
      <c r="A969" s="61" t="s">
        <v>23</v>
      </c>
      <c r="B969" s="61" t="s">
        <v>380</v>
      </c>
      <c r="C969" s="62">
        <v>44781</v>
      </c>
      <c r="D969" s="62">
        <v>44781</v>
      </c>
      <c r="E969" s="63">
        <v>1129.21</v>
      </c>
    </row>
    <row r="970" spans="1:5">
      <c r="A970" s="61" t="s">
        <v>23</v>
      </c>
      <c r="B970" s="61" t="s">
        <v>380</v>
      </c>
      <c r="C970" s="62">
        <v>44782</v>
      </c>
      <c r="D970" s="62">
        <v>44782</v>
      </c>
      <c r="E970" s="63">
        <v>0</v>
      </c>
    </row>
    <row r="971" spans="1:5">
      <c r="A971" s="61" t="s">
        <v>23</v>
      </c>
      <c r="B971" s="61" t="s">
        <v>380</v>
      </c>
      <c r="C971" s="62">
        <v>44783</v>
      </c>
      <c r="D971" s="62">
        <v>44783</v>
      </c>
      <c r="E971" s="63">
        <v>0</v>
      </c>
    </row>
    <row r="972" spans="1:5">
      <c r="A972" s="61" t="s">
        <v>23</v>
      </c>
      <c r="B972" s="61" t="s">
        <v>380</v>
      </c>
      <c r="C972" s="62">
        <v>44784</v>
      </c>
      <c r="D972" s="62">
        <v>44784</v>
      </c>
      <c r="E972" s="63">
        <v>0</v>
      </c>
    </row>
    <row r="973" spans="1:5">
      <c r="A973" s="61" t="s">
        <v>23</v>
      </c>
      <c r="B973" s="61" t="s">
        <v>380</v>
      </c>
      <c r="C973" s="62">
        <v>44785</v>
      </c>
      <c r="D973" s="62">
        <v>44785</v>
      </c>
      <c r="E973" s="63">
        <v>0</v>
      </c>
    </row>
    <row r="974" spans="1:5">
      <c r="A974" s="61" t="s">
        <v>23</v>
      </c>
      <c r="B974" s="61" t="s">
        <v>380</v>
      </c>
      <c r="C974" s="62">
        <v>44786</v>
      </c>
      <c r="D974" s="62">
        <v>44786</v>
      </c>
      <c r="E974" s="63">
        <v>0</v>
      </c>
    </row>
    <row r="975" spans="1:5">
      <c r="A975" s="61" t="s">
        <v>23</v>
      </c>
      <c r="B975" s="61" t="s">
        <v>380</v>
      </c>
      <c r="C975" s="62">
        <v>44787</v>
      </c>
      <c r="D975" s="62">
        <v>44787</v>
      </c>
      <c r="E975" s="63">
        <v>0</v>
      </c>
    </row>
    <row r="976" spans="1:5">
      <c r="A976" s="61" t="s">
        <v>23</v>
      </c>
      <c r="B976" s="61" t="s">
        <v>380</v>
      </c>
      <c r="C976" s="62">
        <v>44788</v>
      </c>
      <c r="D976" s="62">
        <v>44788</v>
      </c>
      <c r="E976" s="63">
        <v>0</v>
      </c>
    </row>
    <row r="977" spans="1:5">
      <c r="A977" s="61" t="s">
        <v>23</v>
      </c>
      <c r="B977" s="61" t="s">
        <v>380</v>
      </c>
      <c r="C977" s="62">
        <v>44789</v>
      </c>
      <c r="D977" s="62">
        <v>44789</v>
      </c>
      <c r="E977" s="63">
        <v>1066.76</v>
      </c>
    </row>
    <row r="978" spans="1:5">
      <c r="A978" s="61" t="s">
        <v>23</v>
      </c>
      <c r="B978" s="61" t="s">
        <v>380</v>
      </c>
      <c r="C978" s="62">
        <v>44790</v>
      </c>
      <c r="D978" s="62">
        <v>44790</v>
      </c>
      <c r="E978" s="63">
        <v>0</v>
      </c>
    </row>
    <row r="979" spans="1:5">
      <c r="A979" s="61" t="s">
        <v>23</v>
      </c>
      <c r="B979" s="61" t="s">
        <v>380</v>
      </c>
      <c r="C979" s="62">
        <v>44791</v>
      </c>
      <c r="D979" s="62">
        <v>44791</v>
      </c>
      <c r="E979" s="63">
        <v>0</v>
      </c>
    </row>
    <row r="980" spans="1:5">
      <c r="A980" s="61" t="s">
        <v>23</v>
      </c>
      <c r="B980" s="61" t="s">
        <v>380</v>
      </c>
      <c r="C980" s="62">
        <v>44792</v>
      </c>
      <c r="D980" s="62">
        <v>44792</v>
      </c>
      <c r="E980" s="63">
        <v>0</v>
      </c>
    </row>
    <row r="981" spans="1:5">
      <c r="A981" s="61" t="s">
        <v>23</v>
      </c>
      <c r="B981" s="61" t="s">
        <v>380</v>
      </c>
      <c r="C981" s="62">
        <v>44793</v>
      </c>
      <c r="D981" s="62">
        <v>44793</v>
      </c>
      <c r="E981" s="63">
        <v>0</v>
      </c>
    </row>
    <row r="982" spans="1:5">
      <c r="A982" s="61" t="s">
        <v>23</v>
      </c>
      <c r="B982" s="61" t="s">
        <v>380</v>
      </c>
      <c r="C982" s="62">
        <v>44794</v>
      </c>
      <c r="D982" s="62">
        <v>44794</v>
      </c>
      <c r="E982" s="63">
        <v>0</v>
      </c>
    </row>
    <row r="983" spans="1:5">
      <c r="A983" s="61" t="s">
        <v>23</v>
      </c>
      <c r="B983" s="61" t="s">
        <v>380</v>
      </c>
      <c r="C983" s="62">
        <v>44795</v>
      </c>
      <c r="D983" s="62">
        <v>44795</v>
      </c>
      <c r="E983" s="63">
        <v>0</v>
      </c>
    </row>
    <row r="984" spans="1:5">
      <c r="A984" s="61" t="s">
        <v>23</v>
      </c>
      <c r="B984" s="61" t="s">
        <v>380</v>
      </c>
      <c r="C984" s="62">
        <v>44796</v>
      </c>
      <c r="D984" s="62">
        <v>44796</v>
      </c>
      <c r="E984" s="63">
        <v>972.21</v>
      </c>
    </row>
    <row r="985" spans="1:5">
      <c r="A985" s="61" t="s">
        <v>23</v>
      </c>
      <c r="B985" s="61" t="s">
        <v>380</v>
      </c>
      <c r="C985" s="62">
        <v>44797</v>
      </c>
      <c r="D985" s="62">
        <v>44797</v>
      </c>
      <c r="E985" s="63">
        <v>0</v>
      </c>
    </row>
    <row r="986" spans="1:5">
      <c r="A986" s="61" t="s">
        <v>23</v>
      </c>
      <c r="B986" s="61" t="s">
        <v>380</v>
      </c>
      <c r="C986" s="62">
        <v>44798</v>
      </c>
      <c r="D986" s="62">
        <v>44798</v>
      </c>
      <c r="E986" s="63">
        <v>0</v>
      </c>
    </row>
    <row r="987" spans="1:5">
      <c r="A987" s="61" t="s">
        <v>23</v>
      </c>
      <c r="B987" s="61" t="s">
        <v>380</v>
      </c>
      <c r="C987" s="62">
        <v>44799</v>
      </c>
      <c r="D987" s="62">
        <v>44799</v>
      </c>
      <c r="E987" s="63">
        <v>0</v>
      </c>
    </row>
    <row r="988" spans="1:5">
      <c r="A988" s="61" t="s">
        <v>23</v>
      </c>
      <c r="B988" s="61" t="s">
        <v>380</v>
      </c>
      <c r="C988" s="62">
        <v>44800</v>
      </c>
      <c r="D988" s="62">
        <v>44800</v>
      </c>
      <c r="E988" s="63">
        <v>0</v>
      </c>
    </row>
    <row r="989" spans="1:5">
      <c r="A989" s="61" t="s">
        <v>23</v>
      </c>
      <c r="B989" s="61" t="s">
        <v>380</v>
      </c>
      <c r="C989" s="62">
        <v>44801</v>
      </c>
      <c r="D989" s="62">
        <v>44801</v>
      </c>
      <c r="E989" s="63">
        <v>0</v>
      </c>
    </row>
    <row r="990" spans="1:5">
      <c r="A990" s="61" t="s">
        <v>23</v>
      </c>
      <c r="B990" s="61" t="s">
        <v>380</v>
      </c>
      <c r="C990" s="62">
        <v>44802</v>
      </c>
      <c r="D990" s="62">
        <v>44802</v>
      </c>
      <c r="E990" s="63">
        <v>0</v>
      </c>
    </row>
    <row r="991" spans="1:5">
      <c r="A991" s="61" t="s">
        <v>23</v>
      </c>
      <c r="B991" s="61" t="s">
        <v>380</v>
      </c>
      <c r="C991" s="62">
        <v>44803</v>
      </c>
      <c r="D991" s="62">
        <v>44803</v>
      </c>
      <c r="E991" s="63">
        <v>1395.36</v>
      </c>
    </row>
    <row r="992" spans="1:5">
      <c r="A992" s="61" t="s">
        <v>130</v>
      </c>
      <c r="B992" s="61" t="s">
        <v>381</v>
      </c>
      <c r="C992" s="62">
        <v>44774</v>
      </c>
      <c r="D992" s="62">
        <v>44774</v>
      </c>
      <c r="E992" s="63">
        <v>0</v>
      </c>
    </row>
    <row r="993" spans="1:5">
      <c r="A993" s="61" t="s">
        <v>130</v>
      </c>
      <c r="B993" s="61" t="s">
        <v>381</v>
      </c>
      <c r="C993" s="62">
        <v>44775</v>
      </c>
      <c r="D993" s="62">
        <v>44775</v>
      </c>
      <c r="E993" s="63">
        <v>0</v>
      </c>
    </row>
    <row r="994" spans="1:5">
      <c r="A994" s="61" t="s">
        <v>130</v>
      </c>
      <c r="B994" s="61" t="s">
        <v>381</v>
      </c>
      <c r="C994" s="62">
        <v>44776</v>
      </c>
      <c r="D994" s="62">
        <v>44776</v>
      </c>
      <c r="E994" s="63">
        <v>0</v>
      </c>
    </row>
    <row r="995" spans="1:5">
      <c r="A995" s="61" t="s">
        <v>130</v>
      </c>
      <c r="B995" s="61" t="s">
        <v>381</v>
      </c>
      <c r="C995" s="62">
        <v>44777</v>
      </c>
      <c r="D995" s="62">
        <v>44777</v>
      </c>
      <c r="E995" s="63">
        <v>0</v>
      </c>
    </row>
    <row r="996" spans="1:5">
      <c r="A996" s="61" t="s">
        <v>130</v>
      </c>
      <c r="B996" s="61" t="s">
        <v>381</v>
      </c>
      <c r="C996" s="62">
        <v>44778</v>
      </c>
      <c r="D996" s="62">
        <v>44778</v>
      </c>
      <c r="E996" s="63">
        <v>0</v>
      </c>
    </row>
    <row r="997" spans="1:5">
      <c r="A997" s="61" t="s">
        <v>130</v>
      </c>
      <c r="B997" s="61" t="s">
        <v>381</v>
      </c>
      <c r="C997" s="62">
        <v>44779</v>
      </c>
      <c r="D997" s="62">
        <v>44779</v>
      </c>
      <c r="E997" s="63">
        <v>0</v>
      </c>
    </row>
    <row r="998" spans="1:5">
      <c r="A998" s="61" t="s">
        <v>130</v>
      </c>
      <c r="B998" s="61" t="s">
        <v>381</v>
      </c>
      <c r="C998" s="62">
        <v>44780</v>
      </c>
      <c r="D998" s="62">
        <v>44780</v>
      </c>
      <c r="E998" s="63">
        <v>0</v>
      </c>
    </row>
    <row r="999" spans="1:5">
      <c r="A999" s="61" t="s">
        <v>130</v>
      </c>
      <c r="B999" s="61" t="s">
        <v>381</v>
      </c>
      <c r="C999" s="62">
        <v>44781</v>
      </c>
      <c r="D999" s="62">
        <v>44781</v>
      </c>
      <c r="E999" s="63">
        <v>0</v>
      </c>
    </row>
    <row r="1000" spans="1:5">
      <c r="A1000" s="61" t="s">
        <v>130</v>
      </c>
      <c r="B1000" s="61" t="s">
        <v>381</v>
      </c>
      <c r="C1000" s="62">
        <v>44782</v>
      </c>
      <c r="D1000" s="62">
        <v>44782</v>
      </c>
      <c r="E1000" s="63">
        <v>0</v>
      </c>
    </row>
    <row r="1001" spans="1:5">
      <c r="A1001" s="61" t="s">
        <v>130</v>
      </c>
      <c r="B1001" s="61" t="s">
        <v>381</v>
      </c>
      <c r="C1001" s="62">
        <v>44783</v>
      </c>
      <c r="D1001" s="62">
        <v>44783</v>
      </c>
      <c r="E1001" s="63">
        <v>0</v>
      </c>
    </row>
    <row r="1002" spans="1:5">
      <c r="A1002" s="61" t="s">
        <v>130</v>
      </c>
      <c r="B1002" s="61" t="s">
        <v>381</v>
      </c>
      <c r="C1002" s="62">
        <v>44784</v>
      </c>
      <c r="D1002" s="62">
        <v>44784</v>
      </c>
      <c r="E1002" s="63">
        <v>0</v>
      </c>
    </row>
    <row r="1003" spans="1:5">
      <c r="A1003" s="61" t="s">
        <v>130</v>
      </c>
      <c r="B1003" s="61" t="s">
        <v>381</v>
      </c>
      <c r="C1003" s="62">
        <v>44785</v>
      </c>
      <c r="D1003" s="62">
        <v>44785</v>
      </c>
      <c r="E1003" s="63">
        <v>0</v>
      </c>
    </row>
    <row r="1004" spans="1:5">
      <c r="A1004" s="61" t="s">
        <v>130</v>
      </c>
      <c r="B1004" s="61" t="s">
        <v>381</v>
      </c>
      <c r="C1004" s="62">
        <v>44786</v>
      </c>
      <c r="D1004" s="62">
        <v>44786</v>
      </c>
      <c r="E1004" s="63">
        <v>0</v>
      </c>
    </row>
    <row r="1005" spans="1:5">
      <c r="A1005" s="61" t="s">
        <v>130</v>
      </c>
      <c r="B1005" s="61" t="s">
        <v>381</v>
      </c>
      <c r="C1005" s="62">
        <v>44787</v>
      </c>
      <c r="D1005" s="62">
        <v>44787</v>
      </c>
      <c r="E1005" s="63">
        <v>0</v>
      </c>
    </row>
    <row r="1006" spans="1:5">
      <c r="A1006" s="61" t="s">
        <v>130</v>
      </c>
      <c r="B1006" s="61" t="s">
        <v>381</v>
      </c>
      <c r="C1006" s="62">
        <v>44788</v>
      </c>
      <c r="D1006" s="62">
        <v>44788</v>
      </c>
      <c r="E1006" s="63">
        <v>0</v>
      </c>
    </row>
    <row r="1007" spans="1:5">
      <c r="A1007" s="61" t="s">
        <v>130</v>
      </c>
      <c r="B1007" s="61" t="s">
        <v>381</v>
      </c>
      <c r="C1007" s="62">
        <v>44789</v>
      </c>
      <c r="D1007" s="62">
        <v>44789</v>
      </c>
      <c r="E1007" s="63">
        <v>0</v>
      </c>
    </row>
    <row r="1008" spans="1:5">
      <c r="A1008" s="61" t="s">
        <v>130</v>
      </c>
      <c r="B1008" s="61" t="s">
        <v>381</v>
      </c>
      <c r="C1008" s="62">
        <v>44790</v>
      </c>
      <c r="D1008" s="62">
        <v>44790</v>
      </c>
      <c r="E1008" s="63">
        <v>0</v>
      </c>
    </row>
    <row r="1009" spans="1:5">
      <c r="A1009" s="61" t="s">
        <v>130</v>
      </c>
      <c r="B1009" s="61" t="s">
        <v>381</v>
      </c>
      <c r="C1009" s="62">
        <v>44791</v>
      </c>
      <c r="D1009" s="62">
        <v>44791</v>
      </c>
      <c r="E1009" s="63">
        <v>0</v>
      </c>
    </row>
    <row r="1010" spans="1:5">
      <c r="A1010" s="61" t="s">
        <v>130</v>
      </c>
      <c r="B1010" s="61" t="s">
        <v>381</v>
      </c>
      <c r="C1010" s="62">
        <v>44792</v>
      </c>
      <c r="D1010" s="62">
        <v>44792</v>
      </c>
      <c r="E1010" s="63">
        <v>0</v>
      </c>
    </row>
    <row r="1011" spans="1:5">
      <c r="A1011" s="61" t="s">
        <v>130</v>
      </c>
      <c r="B1011" s="61" t="s">
        <v>381</v>
      </c>
      <c r="C1011" s="62">
        <v>44793</v>
      </c>
      <c r="D1011" s="62">
        <v>44793</v>
      </c>
      <c r="E1011" s="63">
        <v>0</v>
      </c>
    </row>
    <row r="1012" spans="1:5">
      <c r="A1012" s="61" t="s">
        <v>130</v>
      </c>
      <c r="B1012" s="61" t="s">
        <v>381</v>
      </c>
      <c r="C1012" s="62">
        <v>44794</v>
      </c>
      <c r="D1012" s="62">
        <v>44794</v>
      </c>
      <c r="E1012" s="63">
        <v>0</v>
      </c>
    </row>
    <row r="1013" spans="1:5">
      <c r="A1013" s="61" t="s">
        <v>130</v>
      </c>
      <c r="B1013" s="61" t="s">
        <v>381</v>
      </c>
      <c r="C1013" s="62">
        <v>44795</v>
      </c>
      <c r="D1013" s="62">
        <v>44795</v>
      </c>
      <c r="E1013" s="63">
        <v>80.75</v>
      </c>
    </row>
    <row r="1014" spans="1:5">
      <c r="A1014" s="61" t="s">
        <v>130</v>
      </c>
      <c r="B1014" s="61" t="s">
        <v>381</v>
      </c>
      <c r="C1014" s="62">
        <v>44796</v>
      </c>
      <c r="D1014" s="62">
        <v>44796</v>
      </c>
      <c r="E1014" s="63">
        <v>90.85</v>
      </c>
    </row>
    <row r="1015" spans="1:5">
      <c r="A1015" s="61" t="s">
        <v>130</v>
      </c>
      <c r="B1015" s="61" t="s">
        <v>381</v>
      </c>
      <c r="C1015" s="62">
        <v>44797</v>
      </c>
      <c r="D1015" s="62">
        <v>44797</v>
      </c>
      <c r="E1015" s="63">
        <v>0</v>
      </c>
    </row>
    <row r="1016" spans="1:5">
      <c r="A1016" s="61" t="s">
        <v>130</v>
      </c>
      <c r="B1016" s="61" t="s">
        <v>381</v>
      </c>
      <c r="C1016" s="62">
        <v>44798</v>
      </c>
      <c r="D1016" s="62">
        <v>44798</v>
      </c>
      <c r="E1016" s="63">
        <v>0</v>
      </c>
    </row>
    <row r="1017" spans="1:5">
      <c r="A1017" s="61" t="s">
        <v>130</v>
      </c>
      <c r="B1017" s="61" t="s">
        <v>381</v>
      </c>
      <c r="C1017" s="62">
        <v>44799</v>
      </c>
      <c r="D1017" s="62">
        <v>44799</v>
      </c>
      <c r="E1017" s="63">
        <v>0</v>
      </c>
    </row>
    <row r="1018" spans="1:5">
      <c r="A1018" s="61" t="s">
        <v>130</v>
      </c>
      <c r="B1018" s="61" t="s">
        <v>381</v>
      </c>
      <c r="C1018" s="62">
        <v>44800</v>
      </c>
      <c r="D1018" s="62">
        <v>44800</v>
      </c>
      <c r="E1018" s="63">
        <v>0</v>
      </c>
    </row>
    <row r="1019" spans="1:5">
      <c r="A1019" s="61" t="s">
        <v>130</v>
      </c>
      <c r="B1019" s="61" t="s">
        <v>381</v>
      </c>
      <c r="C1019" s="62">
        <v>44801</v>
      </c>
      <c r="D1019" s="62">
        <v>44801</v>
      </c>
      <c r="E1019" s="63">
        <v>0</v>
      </c>
    </row>
    <row r="1020" spans="1:5">
      <c r="A1020" s="61" t="s">
        <v>130</v>
      </c>
      <c r="B1020" s="61" t="s">
        <v>381</v>
      </c>
      <c r="C1020" s="62">
        <v>44802</v>
      </c>
      <c r="D1020" s="62">
        <v>44802</v>
      </c>
      <c r="E1020" s="63">
        <v>0</v>
      </c>
    </row>
    <row r="1021" spans="1:5">
      <c r="A1021" s="61" t="s">
        <v>130</v>
      </c>
      <c r="B1021" s="61" t="s">
        <v>381</v>
      </c>
      <c r="C1021" s="62">
        <v>44803</v>
      </c>
      <c r="D1021" s="62">
        <v>44803</v>
      </c>
      <c r="E1021" s="63">
        <v>0</v>
      </c>
    </row>
    <row r="1022" spans="1:5">
      <c r="A1022" s="61" t="s">
        <v>131</v>
      </c>
      <c r="B1022" s="61" t="s">
        <v>382</v>
      </c>
      <c r="C1022" s="62">
        <v>44774</v>
      </c>
      <c r="D1022" s="62">
        <v>44774</v>
      </c>
      <c r="E1022" s="63">
        <v>0</v>
      </c>
    </row>
    <row r="1023" spans="1:5">
      <c r="A1023" s="61" t="s">
        <v>131</v>
      </c>
      <c r="B1023" s="61" t="s">
        <v>382</v>
      </c>
      <c r="C1023" s="62">
        <v>44775</v>
      </c>
      <c r="D1023" s="62">
        <v>44775</v>
      </c>
      <c r="E1023" s="63">
        <v>0</v>
      </c>
    </row>
    <row r="1024" spans="1:5">
      <c r="A1024" s="61" t="s">
        <v>131</v>
      </c>
      <c r="B1024" s="61" t="s">
        <v>382</v>
      </c>
      <c r="C1024" s="62">
        <v>44776</v>
      </c>
      <c r="D1024" s="62">
        <v>44776</v>
      </c>
      <c r="E1024" s="63">
        <v>0</v>
      </c>
    </row>
    <row r="1025" spans="1:5">
      <c r="A1025" s="61" t="s">
        <v>131</v>
      </c>
      <c r="B1025" s="61" t="s">
        <v>382</v>
      </c>
      <c r="C1025" s="62">
        <v>44777</v>
      </c>
      <c r="D1025" s="62">
        <v>44777</v>
      </c>
      <c r="E1025" s="63">
        <v>0</v>
      </c>
    </row>
    <row r="1026" spans="1:5">
      <c r="A1026" s="61" t="s">
        <v>131</v>
      </c>
      <c r="B1026" s="61" t="s">
        <v>382</v>
      </c>
      <c r="C1026" s="62">
        <v>44778</v>
      </c>
      <c r="D1026" s="62">
        <v>44778</v>
      </c>
      <c r="E1026" s="63">
        <v>0</v>
      </c>
    </row>
    <row r="1027" spans="1:5">
      <c r="A1027" s="61" t="s">
        <v>131</v>
      </c>
      <c r="B1027" s="61" t="s">
        <v>382</v>
      </c>
      <c r="C1027" s="62">
        <v>44779</v>
      </c>
      <c r="D1027" s="62">
        <v>44779</v>
      </c>
      <c r="E1027" s="63">
        <v>0</v>
      </c>
    </row>
    <row r="1028" spans="1:5">
      <c r="A1028" s="61" t="s">
        <v>131</v>
      </c>
      <c r="B1028" s="61" t="s">
        <v>382</v>
      </c>
      <c r="C1028" s="62">
        <v>44780</v>
      </c>
      <c r="D1028" s="62">
        <v>44780</v>
      </c>
      <c r="E1028" s="63">
        <v>0</v>
      </c>
    </row>
    <row r="1029" spans="1:5">
      <c r="A1029" s="61" t="s">
        <v>131</v>
      </c>
      <c r="B1029" s="61" t="s">
        <v>382</v>
      </c>
      <c r="C1029" s="62">
        <v>44781</v>
      </c>
      <c r="D1029" s="62">
        <v>44781</v>
      </c>
      <c r="E1029" s="63">
        <v>0</v>
      </c>
    </row>
    <row r="1030" spans="1:5">
      <c r="A1030" s="61" t="s">
        <v>131</v>
      </c>
      <c r="B1030" s="61" t="s">
        <v>382</v>
      </c>
      <c r="C1030" s="62">
        <v>44782</v>
      </c>
      <c r="D1030" s="62">
        <v>44782</v>
      </c>
      <c r="E1030" s="63">
        <v>0</v>
      </c>
    </row>
    <row r="1031" spans="1:5">
      <c r="A1031" s="61" t="s">
        <v>131</v>
      </c>
      <c r="B1031" s="61" t="s">
        <v>382</v>
      </c>
      <c r="C1031" s="62">
        <v>44783</v>
      </c>
      <c r="D1031" s="62">
        <v>44783</v>
      </c>
      <c r="E1031" s="63">
        <v>0</v>
      </c>
    </row>
    <row r="1032" spans="1:5">
      <c r="A1032" s="61" t="s">
        <v>131</v>
      </c>
      <c r="B1032" s="61" t="s">
        <v>382</v>
      </c>
      <c r="C1032" s="62">
        <v>44784</v>
      </c>
      <c r="D1032" s="62">
        <v>44784</v>
      </c>
      <c r="E1032" s="63">
        <v>0</v>
      </c>
    </row>
    <row r="1033" spans="1:5">
      <c r="A1033" s="61" t="s">
        <v>131</v>
      </c>
      <c r="B1033" s="61" t="s">
        <v>382</v>
      </c>
      <c r="C1033" s="62">
        <v>44785</v>
      </c>
      <c r="D1033" s="62">
        <v>44785</v>
      </c>
      <c r="E1033" s="63">
        <v>0</v>
      </c>
    </row>
    <row r="1034" spans="1:5">
      <c r="A1034" s="61" t="s">
        <v>131</v>
      </c>
      <c r="B1034" s="61" t="s">
        <v>382</v>
      </c>
      <c r="C1034" s="62">
        <v>44786</v>
      </c>
      <c r="D1034" s="62">
        <v>44786</v>
      </c>
      <c r="E1034" s="63">
        <v>0</v>
      </c>
    </row>
    <row r="1035" spans="1:5">
      <c r="A1035" s="61" t="s">
        <v>131</v>
      </c>
      <c r="B1035" s="61" t="s">
        <v>382</v>
      </c>
      <c r="C1035" s="62">
        <v>44787</v>
      </c>
      <c r="D1035" s="62">
        <v>44787</v>
      </c>
      <c r="E1035" s="63">
        <v>0</v>
      </c>
    </row>
    <row r="1036" spans="1:5">
      <c r="A1036" s="61" t="s">
        <v>131</v>
      </c>
      <c r="B1036" s="61" t="s">
        <v>382</v>
      </c>
      <c r="C1036" s="62">
        <v>44788</v>
      </c>
      <c r="D1036" s="62">
        <v>44788</v>
      </c>
      <c r="E1036" s="63">
        <v>0</v>
      </c>
    </row>
    <row r="1037" spans="1:5">
      <c r="A1037" s="61" t="s">
        <v>131</v>
      </c>
      <c r="B1037" s="61" t="s">
        <v>382</v>
      </c>
      <c r="C1037" s="62">
        <v>44789</v>
      </c>
      <c r="D1037" s="62">
        <v>44789</v>
      </c>
      <c r="E1037" s="63">
        <v>0</v>
      </c>
    </row>
    <row r="1038" spans="1:5">
      <c r="A1038" s="61" t="s">
        <v>131</v>
      </c>
      <c r="B1038" s="61" t="s">
        <v>382</v>
      </c>
      <c r="C1038" s="62">
        <v>44790</v>
      </c>
      <c r="D1038" s="62">
        <v>44790</v>
      </c>
      <c r="E1038" s="63">
        <v>0</v>
      </c>
    </row>
    <row r="1039" spans="1:5">
      <c r="A1039" s="61" t="s">
        <v>131</v>
      </c>
      <c r="B1039" s="61" t="s">
        <v>382</v>
      </c>
      <c r="C1039" s="62">
        <v>44791</v>
      </c>
      <c r="D1039" s="62">
        <v>44791</v>
      </c>
      <c r="E1039" s="63">
        <v>0</v>
      </c>
    </row>
    <row r="1040" spans="1:5">
      <c r="A1040" s="61" t="s">
        <v>131</v>
      </c>
      <c r="B1040" s="61" t="s">
        <v>382</v>
      </c>
      <c r="C1040" s="62">
        <v>44792</v>
      </c>
      <c r="D1040" s="62">
        <v>44792</v>
      </c>
      <c r="E1040" s="63">
        <v>0</v>
      </c>
    </row>
    <row r="1041" spans="1:5">
      <c r="A1041" s="61" t="s">
        <v>131</v>
      </c>
      <c r="B1041" s="61" t="s">
        <v>382</v>
      </c>
      <c r="C1041" s="62">
        <v>44793</v>
      </c>
      <c r="D1041" s="62">
        <v>44793</v>
      </c>
      <c r="E1041" s="63">
        <v>0</v>
      </c>
    </row>
    <row r="1042" spans="1:5">
      <c r="A1042" s="61" t="s">
        <v>131</v>
      </c>
      <c r="B1042" s="61" t="s">
        <v>382</v>
      </c>
      <c r="C1042" s="62">
        <v>44794</v>
      </c>
      <c r="D1042" s="62">
        <v>44794</v>
      </c>
      <c r="E1042" s="63">
        <v>0</v>
      </c>
    </row>
    <row r="1043" spans="1:5">
      <c r="A1043" s="61" t="s">
        <v>131</v>
      </c>
      <c r="B1043" s="61" t="s">
        <v>382</v>
      </c>
      <c r="C1043" s="62">
        <v>44795</v>
      </c>
      <c r="D1043" s="62">
        <v>44795</v>
      </c>
      <c r="E1043" s="63">
        <v>0</v>
      </c>
    </row>
    <row r="1044" spans="1:5">
      <c r="A1044" s="61" t="s">
        <v>131</v>
      </c>
      <c r="B1044" s="61" t="s">
        <v>382</v>
      </c>
      <c r="C1044" s="62">
        <v>44796</v>
      </c>
      <c r="D1044" s="62">
        <v>44796</v>
      </c>
      <c r="E1044" s="63">
        <v>0</v>
      </c>
    </row>
    <row r="1045" spans="1:5">
      <c r="A1045" s="61" t="s">
        <v>131</v>
      </c>
      <c r="B1045" s="61" t="s">
        <v>382</v>
      </c>
      <c r="C1045" s="62">
        <v>44797</v>
      </c>
      <c r="D1045" s="62">
        <v>44797</v>
      </c>
      <c r="E1045" s="63">
        <v>63.59</v>
      </c>
    </row>
    <row r="1046" spans="1:5">
      <c r="A1046" s="61" t="s">
        <v>131</v>
      </c>
      <c r="B1046" s="61" t="s">
        <v>382</v>
      </c>
      <c r="C1046" s="62">
        <v>44798</v>
      </c>
      <c r="D1046" s="62">
        <v>44798</v>
      </c>
      <c r="E1046" s="63">
        <v>0</v>
      </c>
    </row>
    <row r="1047" spans="1:5">
      <c r="A1047" s="61" t="s">
        <v>131</v>
      </c>
      <c r="B1047" s="61" t="s">
        <v>382</v>
      </c>
      <c r="C1047" s="62">
        <v>44799</v>
      </c>
      <c r="D1047" s="62">
        <v>44799</v>
      </c>
      <c r="E1047" s="63">
        <v>0</v>
      </c>
    </row>
    <row r="1048" spans="1:5">
      <c r="A1048" s="61" t="s">
        <v>131</v>
      </c>
      <c r="B1048" s="61" t="s">
        <v>382</v>
      </c>
      <c r="C1048" s="62">
        <v>44800</v>
      </c>
      <c r="D1048" s="62">
        <v>44800</v>
      </c>
      <c r="E1048" s="63">
        <v>0</v>
      </c>
    </row>
    <row r="1049" spans="1:5">
      <c r="A1049" s="61" t="s">
        <v>131</v>
      </c>
      <c r="B1049" s="61" t="s">
        <v>382</v>
      </c>
      <c r="C1049" s="62">
        <v>44801</v>
      </c>
      <c r="D1049" s="62">
        <v>44801</v>
      </c>
      <c r="E1049" s="63">
        <v>0</v>
      </c>
    </row>
    <row r="1050" spans="1:5">
      <c r="A1050" s="61" t="s">
        <v>131</v>
      </c>
      <c r="B1050" s="61" t="s">
        <v>382</v>
      </c>
      <c r="C1050" s="62">
        <v>44802</v>
      </c>
      <c r="D1050" s="62">
        <v>44802</v>
      </c>
      <c r="E1050" s="63">
        <v>0</v>
      </c>
    </row>
    <row r="1051" spans="1:5">
      <c r="A1051" s="61" t="s">
        <v>131</v>
      </c>
      <c r="B1051" s="61" t="s">
        <v>382</v>
      </c>
      <c r="C1051" s="62">
        <v>44803</v>
      </c>
      <c r="D1051" s="62">
        <v>44803</v>
      </c>
      <c r="E1051" s="63">
        <v>0</v>
      </c>
    </row>
    <row r="1052" spans="1:5">
      <c r="A1052" s="61" t="s">
        <v>132</v>
      </c>
      <c r="B1052" s="61" t="s">
        <v>383</v>
      </c>
      <c r="C1052" s="62">
        <v>44774</v>
      </c>
      <c r="D1052" s="62">
        <v>44774</v>
      </c>
      <c r="E1052" s="63">
        <v>0</v>
      </c>
    </row>
    <row r="1053" spans="1:5">
      <c r="A1053" s="61" t="s">
        <v>132</v>
      </c>
      <c r="B1053" s="61" t="s">
        <v>383</v>
      </c>
      <c r="C1053" s="62">
        <v>44775</v>
      </c>
      <c r="D1053" s="62">
        <v>44775</v>
      </c>
      <c r="E1053" s="63">
        <v>0</v>
      </c>
    </row>
    <row r="1054" spans="1:5">
      <c r="A1054" s="61" t="s">
        <v>132</v>
      </c>
      <c r="B1054" s="61" t="s">
        <v>383</v>
      </c>
      <c r="C1054" s="62">
        <v>44776</v>
      </c>
      <c r="D1054" s="62">
        <v>44776</v>
      </c>
      <c r="E1054" s="63">
        <v>0</v>
      </c>
    </row>
    <row r="1055" spans="1:5">
      <c r="A1055" s="61" t="s">
        <v>132</v>
      </c>
      <c r="B1055" s="61" t="s">
        <v>383</v>
      </c>
      <c r="C1055" s="62">
        <v>44777</v>
      </c>
      <c r="D1055" s="62">
        <v>44777</v>
      </c>
      <c r="E1055" s="63">
        <v>0</v>
      </c>
    </row>
    <row r="1056" spans="1:5">
      <c r="A1056" s="61" t="s">
        <v>132</v>
      </c>
      <c r="B1056" s="61" t="s">
        <v>383</v>
      </c>
      <c r="C1056" s="62">
        <v>44778</v>
      </c>
      <c r="D1056" s="62">
        <v>44778</v>
      </c>
      <c r="E1056" s="63">
        <v>0</v>
      </c>
    </row>
    <row r="1057" spans="1:5">
      <c r="A1057" s="61" t="s">
        <v>132</v>
      </c>
      <c r="B1057" s="61" t="s">
        <v>383</v>
      </c>
      <c r="C1057" s="62">
        <v>44779</v>
      </c>
      <c r="D1057" s="62">
        <v>44779</v>
      </c>
      <c r="E1057" s="63">
        <v>0</v>
      </c>
    </row>
    <row r="1058" spans="1:5">
      <c r="A1058" s="61" t="s">
        <v>132</v>
      </c>
      <c r="B1058" s="61" t="s">
        <v>383</v>
      </c>
      <c r="C1058" s="62">
        <v>44780</v>
      </c>
      <c r="D1058" s="62">
        <v>44780</v>
      </c>
      <c r="E1058" s="63">
        <v>0</v>
      </c>
    </row>
    <row r="1059" spans="1:5">
      <c r="A1059" s="61" t="s">
        <v>132</v>
      </c>
      <c r="B1059" s="61" t="s">
        <v>383</v>
      </c>
      <c r="C1059" s="62">
        <v>44781</v>
      </c>
      <c r="D1059" s="62">
        <v>44781</v>
      </c>
      <c r="E1059" s="63">
        <v>0</v>
      </c>
    </row>
    <row r="1060" spans="1:5">
      <c r="A1060" s="61" t="s">
        <v>132</v>
      </c>
      <c r="B1060" s="61" t="s">
        <v>383</v>
      </c>
      <c r="C1060" s="62">
        <v>44782</v>
      </c>
      <c r="D1060" s="62">
        <v>44782</v>
      </c>
      <c r="E1060" s="63">
        <v>0</v>
      </c>
    </row>
    <row r="1061" spans="1:5">
      <c r="A1061" s="61" t="s">
        <v>132</v>
      </c>
      <c r="B1061" s="61" t="s">
        <v>383</v>
      </c>
      <c r="C1061" s="62">
        <v>44783</v>
      </c>
      <c r="D1061" s="62">
        <v>44783</v>
      </c>
      <c r="E1061" s="63">
        <v>0</v>
      </c>
    </row>
    <row r="1062" spans="1:5">
      <c r="A1062" s="61" t="s">
        <v>132</v>
      </c>
      <c r="B1062" s="61" t="s">
        <v>383</v>
      </c>
      <c r="C1062" s="62">
        <v>44784</v>
      </c>
      <c r="D1062" s="62">
        <v>44784</v>
      </c>
      <c r="E1062" s="63">
        <v>0</v>
      </c>
    </row>
    <row r="1063" spans="1:5">
      <c r="A1063" s="61" t="s">
        <v>132</v>
      </c>
      <c r="B1063" s="61" t="s">
        <v>383</v>
      </c>
      <c r="C1063" s="62">
        <v>44785</v>
      </c>
      <c r="D1063" s="62">
        <v>44785</v>
      </c>
      <c r="E1063" s="63">
        <v>0</v>
      </c>
    </row>
    <row r="1064" spans="1:5">
      <c r="A1064" s="61" t="s">
        <v>132</v>
      </c>
      <c r="B1064" s="61" t="s">
        <v>383</v>
      </c>
      <c r="C1064" s="62">
        <v>44786</v>
      </c>
      <c r="D1064" s="62">
        <v>44786</v>
      </c>
      <c r="E1064" s="63">
        <v>0</v>
      </c>
    </row>
    <row r="1065" spans="1:5">
      <c r="A1065" s="61" t="s">
        <v>132</v>
      </c>
      <c r="B1065" s="61" t="s">
        <v>383</v>
      </c>
      <c r="C1065" s="62">
        <v>44787</v>
      </c>
      <c r="D1065" s="62">
        <v>44787</v>
      </c>
      <c r="E1065" s="63">
        <v>0</v>
      </c>
    </row>
    <row r="1066" spans="1:5">
      <c r="A1066" s="61" t="s">
        <v>132</v>
      </c>
      <c r="B1066" s="61" t="s">
        <v>383</v>
      </c>
      <c r="C1066" s="62">
        <v>44788</v>
      </c>
      <c r="D1066" s="62">
        <v>44788</v>
      </c>
      <c r="E1066" s="63">
        <v>0</v>
      </c>
    </row>
    <row r="1067" spans="1:5">
      <c r="A1067" s="61" t="s">
        <v>132</v>
      </c>
      <c r="B1067" s="61" t="s">
        <v>383</v>
      </c>
      <c r="C1067" s="62">
        <v>44789</v>
      </c>
      <c r="D1067" s="62">
        <v>44789</v>
      </c>
      <c r="E1067" s="63">
        <v>0</v>
      </c>
    </row>
    <row r="1068" spans="1:5">
      <c r="A1068" s="61" t="s">
        <v>132</v>
      </c>
      <c r="B1068" s="61" t="s">
        <v>383</v>
      </c>
      <c r="C1068" s="62">
        <v>44790</v>
      </c>
      <c r="D1068" s="62">
        <v>44790</v>
      </c>
      <c r="E1068" s="63">
        <v>0</v>
      </c>
    </row>
    <row r="1069" spans="1:5">
      <c r="A1069" s="61" t="s">
        <v>132</v>
      </c>
      <c r="B1069" s="61" t="s">
        <v>383</v>
      </c>
      <c r="C1069" s="62">
        <v>44791</v>
      </c>
      <c r="D1069" s="62">
        <v>44791</v>
      </c>
      <c r="E1069" s="63">
        <v>0</v>
      </c>
    </row>
    <row r="1070" spans="1:5">
      <c r="A1070" s="61" t="s">
        <v>132</v>
      </c>
      <c r="B1070" s="61" t="s">
        <v>383</v>
      </c>
      <c r="C1070" s="62">
        <v>44792</v>
      </c>
      <c r="D1070" s="62">
        <v>44792</v>
      </c>
      <c r="E1070" s="63">
        <v>0</v>
      </c>
    </row>
    <row r="1071" spans="1:5">
      <c r="A1071" s="61" t="s">
        <v>132</v>
      </c>
      <c r="B1071" s="61" t="s">
        <v>383</v>
      </c>
      <c r="C1071" s="62">
        <v>44793</v>
      </c>
      <c r="D1071" s="62">
        <v>44793</v>
      </c>
      <c r="E1071" s="63">
        <v>0</v>
      </c>
    </row>
    <row r="1072" spans="1:5">
      <c r="A1072" s="61" t="s">
        <v>132</v>
      </c>
      <c r="B1072" s="61" t="s">
        <v>383</v>
      </c>
      <c r="C1072" s="62">
        <v>44794</v>
      </c>
      <c r="D1072" s="62">
        <v>44794</v>
      </c>
      <c r="E1072" s="63">
        <v>0</v>
      </c>
    </row>
    <row r="1073" spans="1:5">
      <c r="A1073" s="61" t="s">
        <v>132</v>
      </c>
      <c r="B1073" s="61" t="s">
        <v>383</v>
      </c>
      <c r="C1073" s="62">
        <v>44795</v>
      </c>
      <c r="D1073" s="62">
        <v>44795</v>
      </c>
      <c r="E1073" s="63">
        <v>0</v>
      </c>
    </row>
    <row r="1074" spans="1:5">
      <c r="A1074" s="61" t="s">
        <v>132</v>
      </c>
      <c r="B1074" s="61" t="s">
        <v>383</v>
      </c>
      <c r="C1074" s="62">
        <v>44796</v>
      </c>
      <c r="D1074" s="62">
        <v>44796</v>
      </c>
      <c r="E1074" s="63">
        <v>0</v>
      </c>
    </row>
    <row r="1075" spans="1:5">
      <c r="A1075" s="61" t="s">
        <v>132</v>
      </c>
      <c r="B1075" s="61" t="s">
        <v>383</v>
      </c>
      <c r="C1075" s="62">
        <v>44797</v>
      </c>
      <c r="D1075" s="62">
        <v>44797</v>
      </c>
      <c r="E1075" s="63">
        <v>0</v>
      </c>
    </row>
    <row r="1076" spans="1:5">
      <c r="A1076" s="61" t="s">
        <v>132</v>
      </c>
      <c r="B1076" s="61" t="s">
        <v>383</v>
      </c>
      <c r="C1076" s="62">
        <v>44798</v>
      </c>
      <c r="D1076" s="62">
        <v>44798</v>
      </c>
      <c r="E1076" s="63">
        <v>0</v>
      </c>
    </row>
    <row r="1077" spans="1:5">
      <c r="A1077" s="61" t="s">
        <v>132</v>
      </c>
      <c r="B1077" s="61" t="s">
        <v>383</v>
      </c>
      <c r="C1077" s="62">
        <v>44799</v>
      </c>
      <c r="D1077" s="62">
        <v>44799</v>
      </c>
      <c r="E1077" s="63">
        <v>0</v>
      </c>
    </row>
    <row r="1078" spans="1:5">
      <c r="A1078" s="61" t="s">
        <v>132</v>
      </c>
      <c r="B1078" s="61" t="s">
        <v>383</v>
      </c>
      <c r="C1078" s="62">
        <v>44800</v>
      </c>
      <c r="D1078" s="62">
        <v>44800</v>
      </c>
      <c r="E1078" s="63">
        <v>0</v>
      </c>
    </row>
    <row r="1079" spans="1:5">
      <c r="A1079" s="61" t="s">
        <v>132</v>
      </c>
      <c r="B1079" s="61" t="s">
        <v>383</v>
      </c>
      <c r="C1079" s="62">
        <v>44801</v>
      </c>
      <c r="D1079" s="62">
        <v>44801</v>
      </c>
      <c r="E1079" s="63">
        <v>0</v>
      </c>
    </row>
    <row r="1080" spans="1:5">
      <c r="A1080" s="61" t="s">
        <v>132</v>
      </c>
      <c r="B1080" s="61" t="s">
        <v>383</v>
      </c>
      <c r="C1080" s="62">
        <v>44802</v>
      </c>
      <c r="D1080" s="62">
        <v>44802</v>
      </c>
      <c r="E1080" s="63">
        <v>0</v>
      </c>
    </row>
    <row r="1081" spans="1:5">
      <c r="A1081" s="61" t="s">
        <v>132</v>
      </c>
      <c r="B1081" s="61" t="s">
        <v>383</v>
      </c>
      <c r="C1081" s="62">
        <v>44803</v>
      </c>
      <c r="D1081" s="62">
        <v>44803</v>
      </c>
      <c r="E1081" s="63">
        <v>0</v>
      </c>
    </row>
    <row r="1082" spans="1:5">
      <c r="A1082" s="61" t="s">
        <v>25</v>
      </c>
      <c r="B1082" s="61" t="s">
        <v>380</v>
      </c>
      <c r="C1082" s="62">
        <v>44774</v>
      </c>
      <c r="D1082" s="62">
        <v>44774</v>
      </c>
      <c r="E1082" s="63">
        <v>100.79</v>
      </c>
    </row>
    <row r="1083" spans="1:5">
      <c r="A1083" s="61" t="s">
        <v>25</v>
      </c>
      <c r="B1083" s="61" t="s">
        <v>380</v>
      </c>
      <c r="C1083" s="62">
        <v>44775</v>
      </c>
      <c r="D1083" s="62">
        <v>44775</v>
      </c>
      <c r="E1083" s="63">
        <v>0</v>
      </c>
    </row>
    <row r="1084" spans="1:5">
      <c r="A1084" s="61" t="s">
        <v>25</v>
      </c>
      <c r="B1084" s="61" t="s">
        <v>380</v>
      </c>
      <c r="C1084" s="62">
        <v>44776</v>
      </c>
      <c r="D1084" s="62">
        <v>44776</v>
      </c>
      <c r="E1084" s="63">
        <v>0</v>
      </c>
    </row>
    <row r="1085" spans="1:5">
      <c r="A1085" s="61" t="s">
        <v>25</v>
      </c>
      <c r="B1085" s="61" t="s">
        <v>380</v>
      </c>
      <c r="C1085" s="62">
        <v>44777</v>
      </c>
      <c r="D1085" s="62">
        <v>44777</v>
      </c>
      <c r="E1085" s="63">
        <v>0</v>
      </c>
    </row>
    <row r="1086" spans="1:5">
      <c r="A1086" s="61" t="s">
        <v>25</v>
      </c>
      <c r="B1086" s="61" t="s">
        <v>380</v>
      </c>
      <c r="C1086" s="62">
        <v>44778</v>
      </c>
      <c r="D1086" s="62">
        <v>44778</v>
      </c>
      <c r="E1086" s="63">
        <v>0</v>
      </c>
    </row>
    <row r="1087" spans="1:5">
      <c r="A1087" s="61" t="s">
        <v>25</v>
      </c>
      <c r="B1087" s="61" t="s">
        <v>380</v>
      </c>
      <c r="C1087" s="62">
        <v>44779</v>
      </c>
      <c r="D1087" s="62">
        <v>44779</v>
      </c>
      <c r="E1087" s="63">
        <v>0</v>
      </c>
    </row>
    <row r="1088" spans="1:5">
      <c r="A1088" s="61" t="s">
        <v>25</v>
      </c>
      <c r="B1088" s="61" t="s">
        <v>380</v>
      </c>
      <c r="C1088" s="62">
        <v>44780</v>
      </c>
      <c r="D1088" s="62">
        <v>44780</v>
      </c>
      <c r="E1088" s="63">
        <v>0</v>
      </c>
    </row>
    <row r="1089" spans="1:5">
      <c r="A1089" s="61" t="s">
        <v>25</v>
      </c>
      <c r="B1089" s="61" t="s">
        <v>380</v>
      </c>
      <c r="C1089" s="62">
        <v>44781</v>
      </c>
      <c r="D1089" s="62">
        <v>44781</v>
      </c>
      <c r="E1089" s="63">
        <v>0</v>
      </c>
    </row>
    <row r="1090" spans="1:5">
      <c r="A1090" s="61" t="s">
        <v>25</v>
      </c>
      <c r="B1090" s="61" t="s">
        <v>380</v>
      </c>
      <c r="C1090" s="62">
        <v>44782</v>
      </c>
      <c r="D1090" s="62">
        <v>44782</v>
      </c>
      <c r="E1090" s="63">
        <v>0.48</v>
      </c>
    </row>
    <row r="1091" spans="1:5">
      <c r="A1091" s="61" t="s">
        <v>25</v>
      </c>
      <c r="B1091" s="61" t="s">
        <v>380</v>
      </c>
      <c r="C1091" s="62">
        <v>44783</v>
      </c>
      <c r="D1091" s="62">
        <v>44783</v>
      </c>
      <c r="E1091" s="63">
        <v>0</v>
      </c>
    </row>
    <row r="1092" spans="1:5">
      <c r="A1092" s="61" t="s">
        <v>25</v>
      </c>
      <c r="B1092" s="61" t="s">
        <v>380</v>
      </c>
      <c r="C1092" s="62">
        <v>44784</v>
      </c>
      <c r="D1092" s="62">
        <v>44784</v>
      </c>
      <c r="E1092" s="63">
        <v>0</v>
      </c>
    </row>
    <row r="1093" spans="1:5">
      <c r="A1093" s="61" t="s">
        <v>25</v>
      </c>
      <c r="B1093" s="61" t="s">
        <v>380</v>
      </c>
      <c r="C1093" s="62">
        <v>44785</v>
      </c>
      <c r="D1093" s="62">
        <v>44785</v>
      </c>
      <c r="E1093" s="63">
        <v>0</v>
      </c>
    </row>
    <row r="1094" spans="1:5">
      <c r="A1094" s="61" t="s">
        <v>25</v>
      </c>
      <c r="B1094" s="61" t="s">
        <v>380</v>
      </c>
      <c r="C1094" s="62">
        <v>44786</v>
      </c>
      <c r="D1094" s="62">
        <v>44786</v>
      </c>
      <c r="E1094" s="63">
        <v>0</v>
      </c>
    </row>
    <row r="1095" spans="1:5">
      <c r="A1095" s="61" t="s">
        <v>25</v>
      </c>
      <c r="B1095" s="61" t="s">
        <v>380</v>
      </c>
      <c r="C1095" s="62">
        <v>44787</v>
      </c>
      <c r="D1095" s="62">
        <v>44787</v>
      </c>
      <c r="E1095" s="63">
        <v>0</v>
      </c>
    </row>
    <row r="1096" spans="1:5">
      <c r="A1096" s="61" t="s">
        <v>25</v>
      </c>
      <c r="B1096" s="61" t="s">
        <v>380</v>
      </c>
      <c r="C1096" s="62">
        <v>44788</v>
      </c>
      <c r="D1096" s="62">
        <v>44788</v>
      </c>
      <c r="E1096" s="63">
        <v>0</v>
      </c>
    </row>
    <row r="1097" spans="1:5">
      <c r="A1097" s="61" t="s">
        <v>25</v>
      </c>
      <c r="B1097" s="61" t="s">
        <v>380</v>
      </c>
      <c r="C1097" s="62">
        <v>44789</v>
      </c>
      <c r="D1097" s="62">
        <v>44789</v>
      </c>
      <c r="E1097" s="63">
        <v>0</v>
      </c>
    </row>
    <row r="1098" spans="1:5">
      <c r="A1098" s="61" t="s">
        <v>25</v>
      </c>
      <c r="B1098" s="61" t="s">
        <v>380</v>
      </c>
      <c r="C1098" s="62">
        <v>44790</v>
      </c>
      <c r="D1098" s="62">
        <v>44790</v>
      </c>
      <c r="E1098" s="63">
        <v>0</v>
      </c>
    </row>
    <row r="1099" spans="1:5">
      <c r="A1099" s="61" t="s">
        <v>25</v>
      </c>
      <c r="B1099" s="61" t="s">
        <v>380</v>
      </c>
      <c r="C1099" s="62">
        <v>44791</v>
      </c>
      <c r="D1099" s="62">
        <v>44791</v>
      </c>
      <c r="E1099" s="63">
        <v>0</v>
      </c>
    </row>
    <row r="1100" spans="1:5">
      <c r="A1100" s="61" t="s">
        <v>25</v>
      </c>
      <c r="B1100" s="61" t="s">
        <v>380</v>
      </c>
      <c r="C1100" s="62">
        <v>44792</v>
      </c>
      <c r="D1100" s="62">
        <v>44792</v>
      </c>
      <c r="E1100" s="63">
        <v>0</v>
      </c>
    </row>
    <row r="1101" spans="1:5">
      <c r="A1101" s="61" t="s">
        <v>25</v>
      </c>
      <c r="B1101" s="61" t="s">
        <v>380</v>
      </c>
      <c r="C1101" s="62">
        <v>44793</v>
      </c>
      <c r="D1101" s="62">
        <v>44793</v>
      </c>
      <c r="E1101" s="63">
        <v>0</v>
      </c>
    </row>
    <row r="1102" spans="1:5">
      <c r="A1102" s="61" t="s">
        <v>25</v>
      </c>
      <c r="B1102" s="61" t="s">
        <v>380</v>
      </c>
      <c r="C1102" s="62">
        <v>44794</v>
      </c>
      <c r="D1102" s="62">
        <v>44794</v>
      </c>
      <c r="E1102" s="63">
        <v>0</v>
      </c>
    </row>
    <row r="1103" spans="1:5">
      <c r="A1103" s="61" t="s">
        <v>25</v>
      </c>
      <c r="B1103" s="61" t="s">
        <v>380</v>
      </c>
      <c r="C1103" s="62">
        <v>44795</v>
      </c>
      <c r="D1103" s="62">
        <v>44795</v>
      </c>
      <c r="E1103" s="63">
        <v>0</v>
      </c>
    </row>
    <row r="1104" spans="1:5">
      <c r="A1104" s="61" t="s">
        <v>25</v>
      </c>
      <c r="B1104" s="61" t="s">
        <v>380</v>
      </c>
      <c r="C1104" s="62">
        <v>44796</v>
      </c>
      <c r="D1104" s="62">
        <v>44796</v>
      </c>
      <c r="E1104" s="63">
        <v>0</v>
      </c>
    </row>
    <row r="1105" spans="1:5">
      <c r="A1105" s="61" t="s">
        <v>25</v>
      </c>
      <c r="B1105" s="61" t="s">
        <v>380</v>
      </c>
      <c r="C1105" s="62">
        <v>44797</v>
      </c>
      <c r="D1105" s="62">
        <v>44797</v>
      </c>
      <c r="E1105" s="63">
        <v>0</v>
      </c>
    </row>
    <row r="1106" spans="1:5">
      <c r="A1106" s="61" t="s">
        <v>25</v>
      </c>
      <c r="B1106" s="61" t="s">
        <v>380</v>
      </c>
      <c r="C1106" s="62">
        <v>44798</v>
      </c>
      <c r="D1106" s="62">
        <v>44798</v>
      </c>
      <c r="E1106" s="63">
        <v>0</v>
      </c>
    </row>
    <row r="1107" spans="1:5">
      <c r="A1107" s="61" t="s">
        <v>25</v>
      </c>
      <c r="B1107" s="61" t="s">
        <v>380</v>
      </c>
      <c r="C1107" s="62">
        <v>44799</v>
      </c>
      <c r="D1107" s="62">
        <v>44799</v>
      </c>
      <c r="E1107" s="63">
        <v>0</v>
      </c>
    </row>
    <row r="1108" spans="1:5">
      <c r="A1108" s="61" t="s">
        <v>25</v>
      </c>
      <c r="B1108" s="61" t="s">
        <v>380</v>
      </c>
      <c r="C1108" s="62">
        <v>44800</v>
      </c>
      <c r="D1108" s="62">
        <v>44800</v>
      </c>
      <c r="E1108" s="63">
        <v>0</v>
      </c>
    </row>
    <row r="1109" spans="1:5">
      <c r="A1109" s="61" t="s">
        <v>25</v>
      </c>
      <c r="B1109" s="61" t="s">
        <v>380</v>
      </c>
      <c r="C1109" s="62">
        <v>44801</v>
      </c>
      <c r="D1109" s="62">
        <v>44801</v>
      </c>
      <c r="E1109" s="63">
        <v>0</v>
      </c>
    </row>
    <row r="1110" spans="1:5">
      <c r="A1110" s="61" t="s">
        <v>25</v>
      </c>
      <c r="B1110" s="61" t="s">
        <v>380</v>
      </c>
      <c r="C1110" s="62">
        <v>44802</v>
      </c>
      <c r="D1110" s="62">
        <v>44802</v>
      </c>
      <c r="E1110" s="63">
        <v>0</v>
      </c>
    </row>
    <row r="1111" spans="1:5">
      <c r="A1111" s="61" t="s">
        <v>25</v>
      </c>
      <c r="B1111" s="61" t="s">
        <v>380</v>
      </c>
      <c r="C1111" s="62">
        <v>44803</v>
      </c>
      <c r="D1111" s="62">
        <v>44803</v>
      </c>
      <c r="E1111" s="63">
        <v>0</v>
      </c>
    </row>
    <row r="1112" spans="1:5">
      <c r="A1112" s="61" t="s">
        <v>133</v>
      </c>
      <c r="B1112" s="61" t="s">
        <v>381</v>
      </c>
      <c r="C1112" s="62">
        <v>44774</v>
      </c>
      <c r="D1112" s="62">
        <v>44774</v>
      </c>
      <c r="E1112" s="63">
        <v>0</v>
      </c>
    </row>
    <row r="1113" spans="1:5">
      <c r="A1113" s="61" t="s">
        <v>133</v>
      </c>
      <c r="B1113" s="61" t="s">
        <v>381</v>
      </c>
      <c r="C1113" s="62">
        <v>44775</v>
      </c>
      <c r="D1113" s="62">
        <v>44775</v>
      </c>
      <c r="E1113" s="63">
        <v>0</v>
      </c>
    </row>
    <row r="1114" spans="1:5">
      <c r="A1114" s="61" t="s">
        <v>133</v>
      </c>
      <c r="B1114" s="61" t="s">
        <v>381</v>
      </c>
      <c r="C1114" s="62">
        <v>44776</v>
      </c>
      <c r="D1114" s="62">
        <v>44776</v>
      </c>
      <c r="E1114" s="63">
        <v>0</v>
      </c>
    </row>
    <row r="1115" spans="1:5">
      <c r="A1115" s="61" t="s">
        <v>133</v>
      </c>
      <c r="B1115" s="61" t="s">
        <v>381</v>
      </c>
      <c r="C1115" s="62">
        <v>44777</v>
      </c>
      <c r="D1115" s="62">
        <v>44777</v>
      </c>
      <c r="E1115" s="63">
        <v>0</v>
      </c>
    </row>
    <row r="1116" spans="1:5">
      <c r="A1116" s="61" t="s">
        <v>133</v>
      </c>
      <c r="B1116" s="61" t="s">
        <v>381</v>
      </c>
      <c r="C1116" s="62">
        <v>44778</v>
      </c>
      <c r="D1116" s="62">
        <v>44778</v>
      </c>
      <c r="E1116" s="63">
        <v>0</v>
      </c>
    </row>
    <row r="1117" spans="1:5">
      <c r="A1117" s="61" t="s">
        <v>133</v>
      </c>
      <c r="B1117" s="61" t="s">
        <v>381</v>
      </c>
      <c r="C1117" s="62">
        <v>44779</v>
      </c>
      <c r="D1117" s="62">
        <v>44779</v>
      </c>
      <c r="E1117" s="63">
        <v>0</v>
      </c>
    </row>
    <row r="1118" spans="1:5">
      <c r="A1118" s="61" t="s">
        <v>133</v>
      </c>
      <c r="B1118" s="61" t="s">
        <v>381</v>
      </c>
      <c r="C1118" s="62">
        <v>44780</v>
      </c>
      <c r="D1118" s="62">
        <v>44780</v>
      </c>
      <c r="E1118" s="63">
        <v>0</v>
      </c>
    </row>
    <row r="1119" spans="1:5">
      <c r="A1119" s="61" t="s">
        <v>133</v>
      </c>
      <c r="B1119" s="61" t="s">
        <v>381</v>
      </c>
      <c r="C1119" s="62">
        <v>44781</v>
      </c>
      <c r="D1119" s="62">
        <v>44781</v>
      </c>
      <c r="E1119" s="63">
        <v>0</v>
      </c>
    </row>
    <row r="1120" spans="1:5">
      <c r="A1120" s="61" t="s">
        <v>133</v>
      </c>
      <c r="B1120" s="61" t="s">
        <v>381</v>
      </c>
      <c r="C1120" s="62">
        <v>44782</v>
      </c>
      <c r="D1120" s="62">
        <v>44782</v>
      </c>
      <c r="E1120" s="63">
        <v>0</v>
      </c>
    </row>
    <row r="1121" spans="1:5">
      <c r="A1121" s="61" t="s">
        <v>133</v>
      </c>
      <c r="B1121" s="61" t="s">
        <v>381</v>
      </c>
      <c r="C1121" s="62">
        <v>44783</v>
      </c>
      <c r="D1121" s="62">
        <v>44783</v>
      </c>
      <c r="E1121" s="63">
        <v>0</v>
      </c>
    </row>
    <row r="1122" spans="1:5">
      <c r="A1122" s="61" t="s">
        <v>133</v>
      </c>
      <c r="B1122" s="61" t="s">
        <v>381</v>
      </c>
      <c r="C1122" s="62">
        <v>44784</v>
      </c>
      <c r="D1122" s="62">
        <v>44784</v>
      </c>
      <c r="E1122" s="63">
        <v>0</v>
      </c>
    </row>
    <row r="1123" spans="1:5">
      <c r="A1123" s="61" t="s">
        <v>133</v>
      </c>
      <c r="B1123" s="61" t="s">
        <v>381</v>
      </c>
      <c r="C1123" s="62">
        <v>44785</v>
      </c>
      <c r="D1123" s="62">
        <v>44785</v>
      </c>
      <c r="E1123" s="63">
        <v>0</v>
      </c>
    </row>
    <row r="1124" spans="1:5">
      <c r="A1124" s="61" t="s">
        <v>133</v>
      </c>
      <c r="B1124" s="61" t="s">
        <v>381</v>
      </c>
      <c r="C1124" s="62">
        <v>44786</v>
      </c>
      <c r="D1124" s="62">
        <v>44786</v>
      </c>
      <c r="E1124" s="63">
        <v>0</v>
      </c>
    </row>
    <row r="1125" spans="1:5">
      <c r="A1125" s="61" t="s">
        <v>133</v>
      </c>
      <c r="B1125" s="61" t="s">
        <v>381</v>
      </c>
      <c r="C1125" s="62">
        <v>44787</v>
      </c>
      <c r="D1125" s="62">
        <v>44787</v>
      </c>
      <c r="E1125" s="63">
        <v>0</v>
      </c>
    </row>
    <row r="1126" spans="1:5">
      <c r="A1126" s="61" t="s">
        <v>133</v>
      </c>
      <c r="B1126" s="61" t="s">
        <v>381</v>
      </c>
      <c r="C1126" s="62">
        <v>44788</v>
      </c>
      <c r="D1126" s="62">
        <v>44788</v>
      </c>
      <c r="E1126" s="63">
        <v>0</v>
      </c>
    </row>
    <row r="1127" spans="1:5">
      <c r="A1127" s="61" t="s">
        <v>133</v>
      </c>
      <c r="B1127" s="61" t="s">
        <v>381</v>
      </c>
      <c r="C1127" s="62">
        <v>44789</v>
      </c>
      <c r="D1127" s="62">
        <v>44789</v>
      </c>
      <c r="E1127" s="63">
        <v>0</v>
      </c>
    </row>
    <row r="1128" spans="1:5">
      <c r="A1128" s="61" t="s">
        <v>133</v>
      </c>
      <c r="B1128" s="61" t="s">
        <v>381</v>
      </c>
      <c r="C1128" s="62">
        <v>44790</v>
      </c>
      <c r="D1128" s="62">
        <v>44790</v>
      </c>
      <c r="E1128" s="63">
        <v>0</v>
      </c>
    </row>
    <row r="1129" spans="1:5">
      <c r="A1129" s="61" t="s">
        <v>133</v>
      </c>
      <c r="B1129" s="61" t="s">
        <v>381</v>
      </c>
      <c r="C1129" s="62">
        <v>44791</v>
      </c>
      <c r="D1129" s="62">
        <v>44791</v>
      </c>
      <c r="E1129" s="63">
        <v>0</v>
      </c>
    </row>
    <row r="1130" spans="1:5">
      <c r="A1130" s="61" t="s">
        <v>133</v>
      </c>
      <c r="B1130" s="61" t="s">
        <v>381</v>
      </c>
      <c r="C1130" s="62">
        <v>44792</v>
      </c>
      <c r="D1130" s="62">
        <v>44792</v>
      </c>
      <c r="E1130" s="63">
        <v>0</v>
      </c>
    </row>
    <row r="1131" spans="1:5">
      <c r="A1131" s="61" t="s">
        <v>133</v>
      </c>
      <c r="B1131" s="61" t="s">
        <v>381</v>
      </c>
      <c r="C1131" s="62">
        <v>44793</v>
      </c>
      <c r="D1131" s="62">
        <v>44793</v>
      </c>
      <c r="E1131" s="63">
        <v>0</v>
      </c>
    </row>
    <row r="1132" spans="1:5">
      <c r="A1132" s="61" t="s">
        <v>133</v>
      </c>
      <c r="B1132" s="61" t="s">
        <v>381</v>
      </c>
      <c r="C1132" s="62">
        <v>44794</v>
      </c>
      <c r="D1132" s="62">
        <v>44794</v>
      </c>
      <c r="E1132" s="63">
        <v>0</v>
      </c>
    </row>
    <row r="1133" spans="1:5">
      <c r="A1133" s="61" t="s">
        <v>133</v>
      </c>
      <c r="B1133" s="61" t="s">
        <v>381</v>
      </c>
      <c r="C1133" s="62">
        <v>44795</v>
      </c>
      <c r="D1133" s="62">
        <v>44795</v>
      </c>
      <c r="E1133" s="63">
        <v>0</v>
      </c>
    </row>
    <row r="1134" spans="1:5">
      <c r="A1134" s="61" t="s">
        <v>133</v>
      </c>
      <c r="B1134" s="61" t="s">
        <v>381</v>
      </c>
      <c r="C1134" s="62">
        <v>44796</v>
      </c>
      <c r="D1134" s="62">
        <v>44796</v>
      </c>
      <c r="E1134" s="63">
        <v>0</v>
      </c>
    </row>
    <row r="1135" spans="1:5">
      <c r="A1135" s="61" t="s">
        <v>133</v>
      </c>
      <c r="B1135" s="61" t="s">
        <v>381</v>
      </c>
      <c r="C1135" s="62">
        <v>44797</v>
      </c>
      <c r="D1135" s="62">
        <v>44797</v>
      </c>
      <c r="E1135" s="63">
        <v>0</v>
      </c>
    </row>
    <row r="1136" spans="1:5">
      <c r="A1136" s="61" t="s">
        <v>133</v>
      </c>
      <c r="B1136" s="61" t="s">
        <v>381</v>
      </c>
      <c r="C1136" s="62">
        <v>44798</v>
      </c>
      <c r="D1136" s="62">
        <v>44798</v>
      </c>
      <c r="E1136" s="63">
        <v>0</v>
      </c>
    </row>
    <row r="1137" spans="1:5">
      <c r="A1137" s="61" t="s">
        <v>133</v>
      </c>
      <c r="B1137" s="61" t="s">
        <v>381</v>
      </c>
      <c r="C1137" s="62">
        <v>44799</v>
      </c>
      <c r="D1137" s="62">
        <v>44799</v>
      </c>
      <c r="E1137" s="63">
        <v>0</v>
      </c>
    </row>
    <row r="1138" spans="1:5">
      <c r="A1138" s="61" t="s">
        <v>133</v>
      </c>
      <c r="B1138" s="61" t="s">
        <v>381</v>
      </c>
      <c r="C1138" s="62">
        <v>44800</v>
      </c>
      <c r="D1138" s="62">
        <v>44800</v>
      </c>
      <c r="E1138" s="63">
        <v>0</v>
      </c>
    </row>
    <row r="1139" spans="1:5">
      <c r="A1139" s="61" t="s">
        <v>133</v>
      </c>
      <c r="B1139" s="61" t="s">
        <v>381</v>
      </c>
      <c r="C1139" s="62">
        <v>44801</v>
      </c>
      <c r="D1139" s="62">
        <v>44801</v>
      </c>
      <c r="E1139" s="63">
        <v>0</v>
      </c>
    </row>
    <row r="1140" spans="1:5">
      <c r="A1140" s="61" t="s">
        <v>133</v>
      </c>
      <c r="B1140" s="61" t="s">
        <v>381</v>
      </c>
      <c r="C1140" s="62">
        <v>44802</v>
      </c>
      <c r="D1140" s="62">
        <v>44802</v>
      </c>
      <c r="E1140" s="63">
        <v>0</v>
      </c>
    </row>
    <row r="1141" spans="1:5">
      <c r="A1141" s="61" t="s">
        <v>133</v>
      </c>
      <c r="B1141" s="61" t="s">
        <v>381</v>
      </c>
      <c r="C1141" s="62">
        <v>44803</v>
      </c>
      <c r="D1141" s="62">
        <v>44803</v>
      </c>
      <c r="E1141" s="63">
        <v>0</v>
      </c>
    </row>
    <row r="1142" spans="1:5">
      <c r="A1142" s="61" t="s">
        <v>134</v>
      </c>
      <c r="B1142" s="61" t="s">
        <v>382</v>
      </c>
      <c r="C1142" s="62">
        <v>44774</v>
      </c>
      <c r="D1142" s="62">
        <v>44774</v>
      </c>
      <c r="E1142" s="63">
        <v>0</v>
      </c>
    </row>
    <row r="1143" spans="1:5">
      <c r="A1143" s="61" t="s">
        <v>134</v>
      </c>
      <c r="B1143" s="61" t="s">
        <v>382</v>
      </c>
      <c r="C1143" s="62">
        <v>44775</v>
      </c>
      <c r="D1143" s="62">
        <v>44775</v>
      </c>
      <c r="E1143" s="63">
        <v>0</v>
      </c>
    </row>
    <row r="1144" spans="1:5">
      <c r="A1144" s="61" t="s">
        <v>134</v>
      </c>
      <c r="B1144" s="61" t="s">
        <v>382</v>
      </c>
      <c r="C1144" s="62">
        <v>44776</v>
      </c>
      <c r="D1144" s="62">
        <v>44776</v>
      </c>
      <c r="E1144" s="63">
        <v>0</v>
      </c>
    </row>
    <row r="1145" spans="1:5">
      <c r="A1145" s="61" t="s">
        <v>134</v>
      </c>
      <c r="B1145" s="61" t="s">
        <v>382</v>
      </c>
      <c r="C1145" s="62">
        <v>44777</v>
      </c>
      <c r="D1145" s="62">
        <v>44777</v>
      </c>
      <c r="E1145" s="63">
        <v>0</v>
      </c>
    </row>
    <row r="1146" spans="1:5">
      <c r="A1146" s="61" t="s">
        <v>134</v>
      </c>
      <c r="B1146" s="61" t="s">
        <v>382</v>
      </c>
      <c r="C1146" s="62">
        <v>44778</v>
      </c>
      <c r="D1146" s="62">
        <v>44778</v>
      </c>
      <c r="E1146" s="63">
        <v>0</v>
      </c>
    </row>
    <row r="1147" spans="1:5">
      <c r="A1147" s="61" t="s">
        <v>134</v>
      </c>
      <c r="B1147" s="61" t="s">
        <v>382</v>
      </c>
      <c r="C1147" s="62">
        <v>44779</v>
      </c>
      <c r="D1147" s="62">
        <v>44779</v>
      </c>
      <c r="E1147" s="63">
        <v>0</v>
      </c>
    </row>
    <row r="1148" spans="1:5">
      <c r="A1148" s="61" t="s">
        <v>134</v>
      </c>
      <c r="B1148" s="61" t="s">
        <v>382</v>
      </c>
      <c r="C1148" s="62">
        <v>44780</v>
      </c>
      <c r="D1148" s="62">
        <v>44780</v>
      </c>
      <c r="E1148" s="63">
        <v>0</v>
      </c>
    </row>
    <row r="1149" spans="1:5">
      <c r="A1149" s="61" t="s">
        <v>134</v>
      </c>
      <c r="B1149" s="61" t="s">
        <v>382</v>
      </c>
      <c r="C1149" s="62">
        <v>44781</v>
      </c>
      <c r="D1149" s="62">
        <v>44781</v>
      </c>
      <c r="E1149" s="63">
        <v>0</v>
      </c>
    </row>
    <row r="1150" spans="1:5">
      <c r="A1150" s="61" t="s">
        <v>134</v>
      </c>
      <c r="B1150" s="61" t="s">
        <v>382</v>
      </c>
      <c r="C1150" s="62">
        <v>44782</v>
      </c>
      <c r="D1150" s="62">
        <v>44782</v>
      </c>
      <c r="E1150" s="63">
        <v>0.27</v>
      </c>
    </row>
    <row r="1151" spans="1:5">
      <c r="A1151" s="61" t="s">
        <v>134</v>
      </c>
      <c r="B1151" s="61" t="s">
        <v>382</v>
      </c>
      <c r="C1151" s="62">
        <v>44783</v>
      </c>
      <c r="D1151" s="62">
        <v>44783</v>
      </c>
      <c r="E1151" s="63">
        <v>0</v>
      </c>
    </row>
    <row r="1152" spans="1:5">
      <c r="A1152" s="61" t="s">
        <v>134</v>
      </c>
      <c r="B1152" s="61" t="s">
        <v>382</v>
      </c>
      <c r="C1152" s="62">
        <v>44784</v>
      </c>
      <c r="D1152" s="62">
        <v>44784</v>
      </c>
      <c r="E1152" s="63">
        <v>0</v>
      </c>
    </row>
    <row r="1153" spans="1:5">
      <c r="A1153" s="61" t="s">
        <v>134</v>
      </c>
      <c r="B1153" s="61" t="s">
        <v>382</v>
      </c>
      <c r="C1153" s="62">
        <v>44785</v>
      </c>
      <c r="D1153" s="62">
        <v>44785</v>
      </c>
      <c r="E1153" s="63">
        <v>0</v>
      </c>
    </row>
    <row r="1154" spans="1:5">
      <c r="A1154" s="61" t="s">
        <v>134</v>
      </c>
      <c r="B1154" s="61" t="s">
        <v>382</v>
      </c>
      <c r="C1154" s="62">
        <v>44786</v>
      </c>
      <c r="D1154" s="62">
        <v>44786</v>
      </c>
      <c r="E1154" s="63">
        <v>0</v>
      </c>
    </row>
    <row r="1155" spans="1:5">
      <c r="A1155" s="61" t="s">
        <v>134</v>
      </c>
      <c r="B1155" s="61" t="s">
        <v>382</v>
      </c>
      <c r="C1155" s="62">
        <v>44787</v>
      </c>
      <c r="D1155" s="62">
        <v>44787</v>
      </c>
      <c r="E1155" s="63">
        <v>0</v>
      </c>
    </row>
    <row r="1156" spans="1:5">
      <c r="A1156" s="61" t="s">
        <v>134</v>
      </c>
      <c r="B1156" s="61" t="s">
        <v>382</v>
      </c>
      <c r="C1156" s="62">
        <v>44788</v>
      </c>
      <c r="D1156" s="62">
        <v>44788</v>
      </c>
      <c r="E1156" s="63">
        <v>0</v>
      </c>
    </row>
    <row r="1157" spans="1:5">
      <c r="A1157" s="61" t="s">
        <v>134</v>
      </c>
      <c r="B1157" s="61" t="s">
        <v>382</v>
      </c>
      <c r="C1157" s="62">
        <v>44789</v>
      </c>
      <c r="D1157" s="62">
        <v>44789</v>
      </c>
      <c r="E1157" s="63">
        <v>0</v>
      </c>
    </row>
    <row r="1158" spans="1:5">
      <c r="A1158" s="61" t="s">
        <v>134</v>
      </c>
      <c r="B1158" s="61" t="s">
        <v>382</v>
      </c>
      <c r="C1158" s="62">
        <v>44790</v>
      </c>
      <c r="D1158" s="62">
        <v>44790</v>
      </c>
      <c r="E1158" s="63">
        <v>0</v>
      </c>
    </row>
    <row r="1159" spans="1:5">
      <c r="A1159" s="61" t="s">
        <v>134</v>
      </c>
      <c r="B1159" s="61" t="s">
        <v>382</v>
      </c>
      <c r="C1159" s="62">
        <v>44791</v>
      </c>
      <c r="D1159" s="62">
        <v>44791</v>
      </c>
      <c r="E1159" s="63">
        <v>0</v>
      </c>
    </row>
    <row r="1160" spans="1:5">
      <c r="A1160" s="61" t="s">
        <v>134</v>
      </c>
      <c r="B1160" s="61" t="s">
        <v>382</v>
      </c>
      <c r="C1160" s="62">
        <v>44792</v>
      </c>
      <c r="D1160" s="62">
        <v>44792</v>
      </c>
      <c r="E1160" s="63">
        <v>0</v>
      </c>
    </row>
    <row r="1161" spans="1:5">
      <c r="A1161" s="61" t="s">
        <v>134</v>
      </c>
      <c r="B1161" s="61" t="s">
        <v>382</v>
      </c>
      <c r="C1161" s="62">
        <v>44793</v>
      </c>
      <c r="D1161" s="62">
        <v>44793</v>
      </c>
      <c r="E1161" s="63">
        <v>0</v>
      </c>
    </row>
    <row r="1162" spans="1:5">
      <c r="A1162" s="61" t="s">
        <v>134</v>
      </c>
      <c r="B1162" s="61" t="s">
        <v>382</v>
      </c>
      <c r="C1162" s="62">
        <v>44794</v>
      </c>
      <c r="D1162" s="62">
        <v>44794</v>
      </c>
      <c r="E1162" s="63">
        <v>0</v>
      </c>
    </row>
    <row r="1163" spans="1:5">
      <c r="A1163" s="61" t="s">
        <v>134</v>
      </c>
      <c r="B1163" s="61" t="s">
        <v>382</v>
      </c>
      <c r="C1163" s="62">
        <v>44795</v>
      </c>
      <c r="D1163" s="62">
        <v>44795</v>
      </c>
      <c r="E1163" s="63">
        <v>0</v>
      </c>
    </row>
    <row r="1164" spans="1:5">
      <c r="A1164" s="61" t="s">
        <v>134</v>
      </c>
      <c r="B1164" s="61" t="s">
        <v>382</v>
      </c>
      <c r="C1164" s="62">
        <v>44796</v>
      </c>
      <c r="D1164" s="62">
        <v>44796</v>
      </c>
      <c r="E1164" s="63">
        <v>0</v>
      </c>
    </row>
    <row r="1165" spans="1:5">
      <c r="A1165" s="61" t="s">
        <v>134</v>
      </c>
      <c r="B1165" s="61" t="s">
        <v>382</v>
      </c>
      <c r="C1165" s="62">
        <v>44797</v>
      </c>
      <c r="D1165" s="62">
        <v>44797</v>
      </c>
      <c r="E1165" s="63">
        <v>0</v>
      </c>
    </row>
    <row r="1166" spans="1:5">
      <c r="A1166" s="61" t="s">
        <v>134</v>
      </c>
      <c r="B1166" s="61" t="s">
        <v>382</v>
      </c>
      <c r="C1166" s="62">
        <v>44798</v>
      </c>
      <c r="D1166" s="62">
        <v>44798</v>
      </c>
      <c r="E1166" s="63">
        <v>0</v>
      </c>
    </row>
    <row r="1167" spans="1:5">
      <c r="A1167" s="61" t="s">
        <v>134</v>
      </c>
      <c r="B1167" s="61" t="s">
        <v>382</v>
      </c>
      <c r="C1167" s="62">
        <v>44799</v>
      </c>
      <c r="D1167" s="62">
        <v>44799</v>
      </c>
      <c r="E1167" s="63">
        <v>0</v>
      </c>
    </row>
    <row r="1168" spans="1:5">
      <c r="A1168" s="61" t="s">
        <v>134</v>
      </c>
      <c r="B1168" s="61" t="s">
        <v>382</v>
      </c>
      <c r="C1168" s="62">
        <v>44800</v>
      </c>
      <c r="D1168" s="62">
        <v>44800</v>
      </c>
      <c r="E1168" s="63">
        <v>0</v>
      </c>
    </row>
    <row r="1169" spans="1:5">
      <c r="A1169" s="61" t="s">
        <v>134</v>
      </c>
      <c r="B1169" s="61" t="s">
        <v>382</v>
      </c>
      <c r="C1169" s="62">
        <v>44801</v>
      </c>
      <c r="D1169" s="62">
        <v>44801</v>
      </c>
      <c r="E1169" s="63">
        <v>0</v>
      </c>
    </row>
    <row r="1170" spans="1:5">
      <c r="A1170" s="61" t="s">
        <v>134</v>
      </c>
      <c r="B1170" s="61" t="s">
        <v>382</v>
      </c>
      <c r="C1170" s="62">
        <v>44802</v>
      </c>
      <c r="D1170" s="62">
        <v>44802</v>
      </c>
      <c r="E1170" s="63">
        <v>0</v>
      </c>
    </row>
    <row r="1171" spans="1:5">
      <c r="A1171" s="61" t="s">
        <v>134</v>
      </c>
      <c r="B1171" s="61" t="s">
        <v>382</v>
      </c>
      <c r="C1171" s="62">
        <v>44803</v>
      </c>
      <c r="D1171" s="62">
        <v>44803</v>
      </c>
      <c r="E1171" s="63">
        <v>0</v>
      </c>
    </row>
    <row r="1172" spans="1:5">
      <c r="A1172" s="61" t="s">
        <v>135</v>
      </c>
      <c r="B1172" s="61" t="s">
        <v>383</v>
      </c>
      <c r="C1172" s="62">
        <v>44774</v>
      </c>
      <c r="D1172" s="62">
        <v>44774</v>
      </c>
      <c r="E1172" s="63">
        <v>0</v>
      </c>
    </row>
    <row r="1173" spans="1:5">
      <c r="A1173" s="61" t="s">
        <v>135</v>
      </c>
      <c r="B1173" s="61" t="s">
        <v>383</v>
      </c>
      <c r="C1173" s="62">
        <v>44775</v>
      </c>
      <c r="D1173" s="62">
        <v>44775</v>
      </c>
      <c r="E1173" s="63">
        <v>0</v>
      </c>
    </row>
    <row r="1174" spans="1:5">
      <c r="A1174" s="61" t="s">
        <v>135</v>
      </c>
      <c r="B1174" s="61" t="s">
        <v>383</v>
      </c>
      <c r="C1174" s="62">
        <v>44776</v>
      </c>
      <c r="D1174" s="62">
        <v>44776</v>
      </c>
      <c r="E1174" s="63">
        <v>0</v>
      </c>
    </row>
    <row r="1175" spans="1:5">
      <c r="A1175" s="61" t="s">
        <v>135</v>
      </c>
      <c r="B1175" s="61" t="s">
        <v>383</v>
      </c>
      <c r="C1175" s="62">
        <v>44777</v>
      </c>
      <c r="D1175" s="62">
        <v>44777</v>
      </c>
      <c r="E1175" s="63">
        <v>0.28999999999999998</v>
      </c>
    </row>
    <row r="1176" spans="1:5">
      <c r="A1176" s="61" t="s">
        <v>135</v>
      </c>
      <c r="B1176" s="61" t="s">
        <v>383</v>
      </c>
      <c r="C1176" s="62">
        <v>44778</v>
      </c>
      <c r="D1176" s="62">
        <v>44778</v>
      </c>
      <c r="E1176" s="63">
        <v>0</v>
      </c>
    </row>
    <row r="1177" spans="1:5">
      <c r="A1177" s="61" t="s">
        <v>135</v>
      </c>
      <c r="B1177" s="61" t="s">
        <v>383</v>
      </c>
      <c r="C1177" s="62">
        <v>44779</v>
      </c>
      <c r="D1177" s="62">
        <v>44779</v>
      </c>
      <c r="E1177" s="63">
        <v>0</v>
      </c>
    </row>
    <row r="1178" spans="1:5">
      <c r="A1178" s="61" t="s">
        <v>135</v>
      </c>
      <c r="B1178" s="61" t="s">
        <v>383</v>
      </c>
      <c r="C1178" s="62">
        <v>44780</v>
      </c>
      <c r="D1178" s="62">
        <v>44780</v>
      </c>
      <c r="E1178" s="63">
        <v>0</v>
      </c>
    </row>
    <row r="1179" spans="1:5">
      <c r="A1179" s="61" t="s">
        <v>135</v>
      </c>
      <c r="B1179" s="61" t="s">
        <v>383</v>
      </c>
      <c r="C1179" s="62">
        <v>44781</v>
      </c>
      <c r="D1179" s="62">
        <v>44781</v>
      </c>
      <c r="E1179" s="63">
        <v>0</v>
      </c>
    </row>
    <row r="1180" spans="1:5">
      <c r="A1180" s="61" t="s">
        <v>135</v>
      </c>
      <c r="B1180" s="61" t="s">
        <v>383</v>
      </c>
      <c r="C1180" s="62">
        <v>44782</v>
      </c>
      <c r="D1180" s="62">
        <v>44782</v>
      </c>
      <c r="E1180" s="63">
        <v>0</v>
      </c>
    </row>
    <row r="1181" spans="1:5">
      <c r="A1181" s="61" t="s">
        <v>135</v>
      </c>
      <c r="B1181" s="61" t="s">
        <v>383</v>
      </c>
      <c r="C1181" s="62">
        <v>44783</v>
      </c>
      <c r="D1181" s="62">
        <v>44783</v>
      </c>
      <c r="E1181" s="63">
        <v>0</v>
      </c>
    </row>
    <row r="1182" spans="1:5">
      <c r="A1182" s="61" t="s">
        <v>135</v>
      </c>
      <c r="B1182" s="61" t="s">
        <v>383</v>
      </c>
      <c r="C1182" s="62">
        <v>44784</v>
      </c>
      <c r="D1182" s="62">
        <v>44784</v>
      </c>
      <c r="E1182" s="63">
        <v>0</v>
      </c>
    </row>
    <row r="1183" spans="1:5">
      <c r="A1183" s="61" t="s">
        <v>135</v>
      </c>
      <c r="B1183" s="61" t="s">
        <v>383</v>
      </c>
      <c r="C1183" s="62">
        <v>44785</v>
      </c>
      <c r="D1183" s="62">
        <v>44785</v>
      </c>
      <c r="E1183" s="63">
        <v>0</v>
      </c>
    </row>
    <row r="1184" spans="1:5">
      <c r="A1184" s="61" t="s">
        <v>135</v>
      </c>
      <c r="B1184" s="61" t="s">
        <v>383</v>
      </c>
      <c r="C1184" s="62">
        <v>44786</v>
      </c>
      <c r="D1184" s="62">
        <v>44786</v>
      </c>
      <c r="E1184" s="63">
        <v>0</v>
      </c>
    </row>
    <row r="1185" spans="1:5">
      <c r="A1185" s="61" t="s">
        <v>135</v>
      </c>
      <c r="B1185" s="61" t="s">
        <v>383</v>
      </c>
      <c r="C1185" s="62">
        <v>44787</v>
      </c>
      <c r="D1185" s="62">
        <v>44787</v>
      </c>
      <c r="E1185" s="63">
        <v>0</v>
      </c>
    </row>
    <row r="1186" spans="1:5">
      <c r="A1186" s="61" t="s">
        <v>135</v>
      </c>
      <c r="B1186" s="61" t="s">
        <v>383</v>
      </c>
      <c r="C1186" s="62">
        <v>44788</v>
      </c>
      <c r="D1186" s="62">
        <v>44788</v>
      </c>
      <c r="E1186" s="63">
        <v>0</v>
      </c>
    </row>
    <row r="1187" spans="1:5">
      <c r="A1187" s="61" t="s">
        <v>135</v>
      </c>
      <c r="B1187" s="61" t="s">
        <v>383</v>
      </c>
      <c r="C1187" s="62">
        <v>44789</v>
      </c>
      <c r="D1187" s="62">
        <v>44789</v>
      </c>
      <c r="E1187" s="63">
        <v>0</v>
      </c>
    </row>
    <row r="1188" spans="1:5">
      <c r="A1188" s="61" t="s">
        <v>135</v>
      </c>
      <c r="B1188" s="61" t="s">
        <v>383</v>
      </c>
      <c r="C1188" s="62">
        <v>44790</v>
      </c>
      <c r="D1188" s="62">
        <v>44790</v>
      </c>
      <c r="E1188" s="63">
        <v>0</v>
      </c>
    </row>
    <row r="1189" spans="1:5">
      <c r="A1189" s="61" t="s">
        <v>135</v>
      </c>
      <c r="B1189" s="61" t="s">
        <v>383</v>
      </c>
      <c r="C1189" s="62">
        <v>44791</v>
      </c>
      <c r="D1189" s="62">
        <v>44791</v>
      </c>
      <c r="E1189" s="63">
        <v>0</v>
      </c>
    </row>
    <row r="1190" spans="1:5">
      <c r="A1190" s="61" t="s">
        <v>135</v>
      </c>
      <c r="B1190" s="61" t="s">
        <v>383</v>
      </c>
      <c r="C1190" s="62">
        <v>44792</v>
      </c>
      <c r="D1190" s="62">
        <v>44792</v>
      </c>
      <c r="E1190" s="63">
        <v>0</v>
      </c>
    </row>
    <row r="1191" spans="1:5">
      <c r="A1191" s="61" t="s">
        <v>135</v>
      </c>
      <c r="B1191" s="61" t="s">
        <v>383</v>
      </c>
      <c r="C1191" s="62">
        <v>44793</v>
      </c>
      <c r="D1191" s="62">
        <v>44793</v>
      </c>
      <c r="E1191" s="63">
        <v>0</v>
      </c>
    </row>
    <row r="1192" spans="1:5">
      <c r="A1192" s="61" t="s">
        <v>135</v>
      </c>
      <c r="B1192" s="61" t="s">
        <v>383</v>
      </c>
      <c r="C1192" s="62">
        <v>44794</v>
      </c>
      <c r="D1192" s="62">
        <v>44794</v>
      </c>
      <c r="E1192" s="63">
        <v>0</v>
      </c>
    </row>
    <row r="1193" spans="1:5">
      <c r="A1193" s="61" t="s">
        <v>135</v>
      </c>
      <c r="B1193" s="61" t="s">
        <v>383</v>
      </c>
      <c r="C1193" s="62">
        <v>44795</v>
      </c>
      <c r="D1193" s="62">
        <v>44795</v>
      </c>
      <c r="E1193" s="63">
        <v>0</v>
      </c>
    </row>
    <row r="1194" spans="1:5">
      <c r="A1194" s="61" t="s">
        <v>135</v>
      </c>
      <c r="B1194" s="61" t="s">
        <v>383</v>
      </c>
      <c r="C1194" s="62">
        <v>44796</v>
      </c>
      <c r="D1194" s="62">
        <v>44796</v>
      </c>
      <c r="E1194" s="63">
        <v>0</v>
      </c>
    </row>
    <row r="1195" spans="1:5">
      <c r="A1195" s="61" t="s">
        <v>135</v>
      </c>
      <c r="B1195" s="61" t="s">
        <v>383</v>
      </c>
      <c r="C1195" s="62">
        <v>44797</v>
      </c>
      <c r="D1195" s="62">
        <v>44797</v>
      </c>
      <c r="E1195" s="63">
        <v>0</v>
      </c>
    </row>
    <row r="1196" spans="1:5">
      <c r="A1196" s="61" t="s">
        <v>135</v>
      </c>
      <c r="B1196" s="61" t="s">
        <v>383</v>
      </c>
      <c r="C1196" s="62">
        <v>44798</v>
      </c>
      <c r="D1196" s="62">
        <v>44798</v>
      </c>
      <c r="E1196" s="63">
        <v>0</v>
      </c>
    </row>
    <row r="1197" spans="1:5">
      <c r="A1197" s="61" t="s">
        <v>135</v>
      </c>
      <c r="B1197" s="61" t="s">
        <v>383</v>
      </c>
      <c r="C1197" s="62">
        <v>44799</v>
      </c>
      <c r="D1197" s="62">
        <v>44799</v>
      </c>
      <c r="E1197" s="63">
        <v>0</v>
      </c>
    </row>
    <row r="1198" spans="1:5">
      <c r="A1198" s="61" t="s">
        <v>135</v>
      </c>
      <c r="B1198" s="61" t="s">
        <v>383</v>
      </c>
      <c r="C1198" s="62">
        <v>44800</v>
      </c>
      <c r="D1198" s="62">
        <v>44800</v>
      </c>
      <c r="E1198" s="63">
        <v>0</v>
      </c>
    </row>
    <row r="1199" spans="1:5">
      <c r="A1199" s="61" t="s">
        <v>135</v>
      </c>
      <c r="B1199" s="61" t="s">
        <v>383</v>
      </c>
      <c r="C1199" s="62">
        <v>44801</v>
      </c>
      <c r="D1199" s="62">
        <v>44801</v>
      </c>
      <c r="E1199" s="63">
        <v>0</v>
      </c>
    </row>
    <row r="1200" spans="1:5">
      <c r="A1200" s="61" t="s">
        <v>135</v>
      </c>
      <c r="B1200" s="61" t="s">
        <v>383</v>
      </c>
      <c r="C1200" s="62">
        <v>44802</v>
      </c>
      <c r="D1200" s="62">
        <v>44802</v>
      </c>
      <c r="E1200" s="63">
        <v>0</v>
      </c>
    </row>
    <row r="1201" spans="1:5">
      <c r="A1201" s="61" t="s">
        <v>135</v>
      </c>
      <c r="B1201" s="61" t="s">
        <v>383</v>
      </c>
      <c r="C1201" s="62">
        <v>44803</v>
      </c>
      <c r="D1201" s="62">
        <v>44803</v>
      </c>
      <c r="E1201" s="63">
        <v>0</v>
      </c>
    </row>
    <row r="1202" spans="1:5">
      <c r="A1202" s="61" t="s">
        <v>27</v>
      </c>
      <c r="B1202" s="61" t="s">
        <v>380</v>
      </c>
      <c r="C1202" s="62">
        <v>44774</v>
      </c>
      <c r="D1202" s="62">
        <v>44774</v>
      </c>
      <c r="E1202" s="63">
        <v>0</v>
      </c>
    </row>
    <row r="1203" spans="1:5">
      <c r="A1203" s="61" t="s">
        <v>27</v>
      </c>
      <c r="B1203" s="61" t="s">
        <v>380</v>
      </c>
      <c r="C1203" s="62">
        <v>44775</v>
      </c>
      <c r="D1203" s="62">
        <v>44775</v>
      </c>
      <c r="E1203" s="63">
        <v>0</v>
      </c>
    </row>
    <row r="1204" spans="1:5">
      <c r="A1204" s="61" t="s">
        <v>27</v>
      </c>
      <c r="B1204" s="61" t="s">
        <v>380</v>
      </c>
      <c r="C1204" s="62">
        <v>44776</v>
      </c>
      <c r="D1204" s="62">
        <v>44776</v>
      </c>
      <c r="E1204" s="63">
        <v>0</v>
      </c>
    </row>
    <row r="1205" spans="1:5">
      <c r="A1205" s="61" t="s">
        <v>27</v>
      </c>
      <c r="B1205" s="61" t="s">
        <v>380</v>
      </c>
      <c r="C1205" s="62">
        <v>44777</v>
      </c>
      <c r="D1205" s="62">
        <v>44777</v>
      </c>
      <c r="E1205" s="63">
        <v>259.06</v>
      </c>
    </row>
    <row r="1206" spans="1:5">
      <c r="A1206" s="61" t="s">
        <v>27</v>
      </c>
      <c r="B1206" s="61" t="s">
        <v>380</v>
      </c>
      <c r="C1206" s="62">
        <v>44778</v>
      </c>
      <c r="D1206" s="62">
        <v>44778</v>
      </c>
      <c r="E1206" s="63">
        <v>0</v>
      </c>
    </row>
    <row r="1207" spans="1:5">
      <c r="A1207" s="61" t="s">
        <v>27</v>
      </c>
      <c r="B1207" s="61" t="s">
        <v>380</v>
      </c>
      <c r="C1207" s="62">
        <v>44779</v>
      </c>
      <c r="D1207" s="62">
        <v>44779</v>
      </c>
      <c r="E1207" s="63">
        <v>0</v>
      </c>
    </row>
    <row r="1208" spans="1:5">
      <c r="A1208" s="61" t="s">
        <v>27</v>
      </c>
      <c r="B1208" s="61" t="s">
        <v>380</v>
      </c>
      <c r="C1208" s="62">
        <v>44780</v>
      </c>
      <c r="D1208" s="62">
        <v>44780</v>
      </c>
      <c r="E1208" s="63">
        <v>0</v>
      </c>
    </row>
    <row r="1209" spans="1:5">
      <c r="A1209" s="61" t="s">
        <v>27</v>
      </c>
      <c r="B1209" s="61" t="s">
        <v>380</v>
      </c>
      <c r="C1209" s="62">
        <v>44781</v>
      </c>
      <c r="D1209" s="62">
        <v>44781</v>
      </c>
      <c r="E1209" s="63">
        <v>0</v>
      </c>
    </row>
    <row r="1210" spans="1:5">
      <c r="A1210" s="61" t="s">
        <v>27</v>
      </c>
      <c r="B1210" s="61" t="s">
        <v>380</v>
      </c>
      <c r="C1210" s="62">
        <v>44782</v>
      </c>
      <c r="D1210" s="62">
        <v>44782</v>
      </c>
      <c r="E1210" s="63">
        <v>0</v>
      </c>
    </row>
    <row r="1211" spans="1:5">
      <c r="A1211" s="61" t="s">
        <v>27</v>
      </c>
      <c r="B1211" s="61" t="s">
        <v>380</v>
      </c>
      <c r="C1211" s="62">
        <v>44783</v>
      </c>
      <c r="D1211" s="62">
        <v>44783</v>
      </c>
      <c r="E1211" s="63">
        <v>0</v>
      </c>
    </row>
    <row r="1212" spans="1:5">
      <c r="A1212" s="61" t="s">
        <v>27</v>
      </c>
      <c r="B1212" s="61" t="s">
        <v>380</v>
      </c>
      <c r="C1212" s="62">
        <v>44784</v>
      </c>
      <c r="D1212" s="62">
        <v>44784</v>
      </c>
      <c r="E1212" s="63">
        <v>0</v>
      </c>
    </row>
    <row r="1213" spans="1:5">
      <c r="A1213" s="61" t="s">
        <v>27</v>
      </c>
      <c r="B1213" s="61" t="s">
        <v>380</v>
      </c>
      <c r="C1213" s="62">
        <v>44785</v>
      </c>
      <c r="D1213" s="62">
        <v>44785</v>
      </c>
      <c r="E1213" s="63">
        <v>0</v>
      </c>
    </row>
    <row r="1214" spans="1:5">
      <c r="A1214" s="61" t="s">
        <v>27</v>
      </c>
      <c r="B1214" s="61" t="s">
        <v>380</v>
      </c>
      <c r="C1214" s="62">
        <v>44786</v>
      </c>
      <c r="D1214" s="62">
        <v>44786</v>
      </c>
      <c r="E1214" s="63">
        <v>0</v>
      </c>
    </row>
    <row r="1215" spans="1:5">
      <c r="A1215" s="61" t="s">
        <v>27</v>
      </c>
      <c r="B1215" s="61" t="s">
        <v>380</v>
      </c>
      <c r="C1215" s="62">
        <v>44787</v>
      </c>
      <c r="D1215" s="62">
        <v>44787</v>
      </c>
      <c r="E1215" s="63">
        <v>0</v>
      </c>
    </row>
    <row r="1216" spans="1:5">
      <c r="A1216" s="61" t="s">
        <v>27</v>
      </c>
      <c r="B1216" s="61" t="s">
        <v>380</v>
      </c>
      <c r="C1216" s="62">
        <v>44788</v>
      </c>
      <c r="D1216" s="62">
        <v>44788</v>
      </c>
      <c r="E1216" s="63">
        <v>0</v>
      </c>
    </row>
    <row r="1217" spans="1:5">
      <c r="A1217" s="61" t="s">
        <v>27</v>
      </c>
      <c r="B1217" s="61" t="s">
        <v>380</v>
      </c>
      <c r="C1217" s="62">
        <v>44789</v>
      </c>
      <c r="D1217" s="62">
        <v>44789</v>
      </c>
      <c r="E1217" s="63">
        <v>0</v>
      </c>
    </row>
    <row r="1218" spans="1:5">
      <c r="A1218" s="61" t="s">
        <v>27</v>
      </c>
      <c r="B1218" s="61" t="s">
        <v>380</v>
      </c>
      <c r="C1218" s="62">
        <v>44790</v>
      </c>
      <c r="D1218" s="62">
        <v>44790</v>
      </c>
      <c r="E1218" s="63">
        <v>0</v>
      </c>
    </row>
    <row r="1219" spans="1:5">
      <c r="A1219" s="61" t="s">
        <v>27</v>
      </c>
      <c r="B1219" s="61" t="s">
        <v>380</v>
      </c>
      <c r="C1219" s="62">
        <v>44791</v>
      </c>
      <c r="D1219" s="62">
        <v>44791</v>
      </c>
      <c r="E1219" s="63">
        <v>0</v>
      </c>
    </row>
    <row r="1220" spans="1:5">
      <c r="A1220" s="61" t="s">
        <v>27</v>
      </c>
      <c r="B1220" s="61" t="s">
        <v>380</v>
      </c>
      <c r="C1220" s="62">
        <v>44792</v>
      </c>
      <c r="D1220" s="62">
        <v>44792</v>
      </c>
      <c r="E1220" s="63">
        <v>0</v>
      </c>
    </row>
    <row r="1221" spans="1:5">
      <c r="A1221" s="61" t="s">
        <v>27</v>
      </c>
      <c r="B1221" s="61" t="s">
        <v>380</v>
      </c>
      <c r="C1221" s="62">
        <v>44793</v>
      </c>
      <c r="D1221" s="62">
        <v>44793</v>
      </c>
      <c r="E1221" s="63">
        <v>0</v>
      </c>
    </row>
    <row r="1222" spans="1:5">
      <c r="A1222" s="61" t="s">
        <v>27</v>
      </c>
      <c r="B1222" s="61" t="s">
        <v>380</v>
      </c>
      <c r="C1222" s="62">
        <v>44794</v>
      </c>
      <c r="D1222" s="62">
        <v>44794</v>
      </c>
      <c r="E1222" s="63">
        <v>0</v>
      </c>
    </row>
    <row r="1223" spans="1:5">
      <c r="A1223" s="61" t="s">
        <v>27</v>
      </c>
      <c r="B1223" s="61" t="s">
        <v>380</v>
      </c>
      <c r="C1223" s="62">
        <v>44795</v>
      </c>
      <c r="D1223" s="62">
        <v>44795</v>
      </c>
      <c r="E1223" s="63">
        <v>0</v>
      </c>
    </row>
    <row r="1224" spans="1:5">
      <c r="A1224" s="61" t="s">
        <v>27</v>
      </c>
      <c r="B1224" s="61" t="s">
        <v>380</v>
      </c>
      <c r="C1224" s="62">
        <v>44796</v>
      </c>
      <c r="D1224" s="62">
        <v>44796</v>
      </c>
      <c r="E1224" s="63">
        <v>0</v>
      </c>
    </row>
    <row r="1225" spans="1:5">
      <c r="A1225" s="61" t="s">
        <v>27</v>
      </c>
      <c r="B1225" s="61" t="s">
        <v>380</v>
      </c>
      <c r="C1225" s="62">
        <v>44797</v>
      </c>
      <c r="D1225" s="62">
        <v>44797</v>
      </c>
      <c r="E1225" s="63">
        <v>0</v>
      </c>
    </row>
    <row r="1226" spans="1:5">
      <c r="A1226" s="61" t="s">
        <v>27</v>
      </c>
      <c r="B1226" s="61" t="s">
        <v>380</v>
      </c>
      <c r="C1226" s="62">
        <v>44798</v>
      </c>
      <c r="D1226" s="62">
        <v>44798</v>
      </c>
      <c r="E1226" s="63">
        <v>0</v>
      </c>
    </row>
    <row r="1227" spans="1:5">
      <c r="A1227" s="61" t="s">
        <v>27</v>
      </c>
      <c r="B1227" s="61" t="s">
        <v>380</v>
      </c>
      <c r="C1227" s="62">
        <v>44799</v>
      </c>
      <c r="D1227" s="62">
        <v>44799</v>
      </c>
      <c r="E1227" s="63">
        <v>0</v>
      </c>
    </row>
    <row r="1228" spans="1:5">
      <c r="A1228" s="61" t="s">
        <v>27</v>
      </c>
      <c r="B1228" s="61" t="s">
        <v>380</v>
      </c>
      <c r="C1228" s="62">
        <v>44800</v>
      </c>
      <c r="D1228" s="62">
        <v>44800</v>
      </c>
      <c r="E1228" s="63">
        <v>0</v>
      </c>
    </row>
    <row r="1229" spans="1:5">
      <c r="A1229" s="61" t="s">
        <v>27</v>
      </c>
      <c r="B1229" s="61" t="s">
        <v>380</v>
      </c>
      <c r="C1229" s="62">
        <v>44801</v>
      </c>
      <c r="D1229" s="62">
        <v>44801</v>
      </c>
      <c r="E1229" s="63">
        <v>0</v>
      </c>
    </row>
    <row r="1230" spans="1:5">
      <c r="A1230" s="61" t="s">
        <v>27</v>
      </c>
      <c r="B1230" s="61" t="s">
        <v>380</v>
      </c>
      <c r="C1230" s="62">
        <v>44802</v>
      </c>
      <c r="D1230" s="62">
        <v>44802</v>
      </c>
      <c r="E1230" s="63">
        <v>572.01</v>
      </c>
    </row>
    <row r="1231" spans="1:5">
      <c r="A1231" s="61" t="s">
        <v>27</v>
      </c>
      <c r="B1231" s="61" t="s">
        <v>380</v>
      </c>
      <c r="C1231" s="62">
        <v>44803</v>
      </c>
      <c r="D1231" s="62">
        <v>44803</v>
      </c>
      <c r="E1231" s="63">
        <v>0</v>
      </c>
    </row>
    <row r="1232" spans="1:5">
      <c r="A1232" s="61" t="s">
        <v>136</v>
      </c>
      <c r="B1232" s="61" t="s">
        <v>381</v>
      </c>
      <c r="C1232" s="62">
        <v>44774</v>
      </c>
      <c r="D1232" s="62">
        <v>44774</v>
      </c>
      <c r="E1232" s="63">
        <v>0</v>
      </c>
    </row>
    <row r="1233" spans="1:5">
      <c r="A1233" s="61" t="s">
        <v>136</v>
      </c>
      <c r="B1233" s="61" t="s">
        <v>381</v>
      </c>
      <c r="C1233" s="62">
        <v>44775</v>
      </c>
      <c r="D1233" s="62">
        <v>44775</v>
      </c>
      <c r="E1233" s="63">
        <v>0</v>
      </c>
    </row>
    <row r="1234" spans="1:5">
      <c r="A1234" s="61" t="s">
        <v>136</v>
      </c>
      <c r="B1234" s="61" t="s">
        <v>381</v>
      </c>
      <c r="C1234" s="62">
        <v>44776</v>
      </c>
      <c r="D1234" s="62">
        <v>44776</v>
      </c>
      <c r="E1234" s="63">
        <v>0</v>
      </c>
    </row>
    <row r="1235" spans="1:5">
      <c r="A1235" s="61" t="s">
        <v>136</v>
      </c>
      <c r="B1235" s="61" t="s">
        <v>381</v>
      </c>
      <c r="C1235" s="62">
        <v>44777</v>
      </c>
      <c r="D1235" s="62">
        <v>44777</v>
      </c>
      <c r="E1235" s="63">
        <v>0</v>
      </c>
    </row>
    <row r="1236" spans="1:5">
      <c r="A1236" s="61" t="s">
        <v>136</v>
      </c>
      <c r="B1236" s="61" t="s">
        <v>381</v>
      </c>
      <c r="C1236" s="62">
        <v>44778</v>
      </c>
      <c r="D1236" s="62">
        <v>44778</v>
      </c>
      <c r="E1236" s="63">
        <v>0</v>
      </c>
    </row>
    <row r="1237" spans="1:5">
      <c r="A1237" s="61" t="s">
        <v>136</v>
      </c>
      <c r="B1237" s="61" t="s">
        <v>381</v>
      </c>
      <c r="C1237" s="62">
        <v>44779</v>
      </c>
      <c r="D1237" s="62">
        <v>44779</v>
      </c>
      <c r="E1237" s="63">
        <v>0</v>
      </c>
    </row>
    <row r="1238" spans="1:5">
      <c r="A1238" s="61" t="s">
        <v>136</v>
      </c>
      <c r="B1238" s="61" t="s">
        <v>381</v>
      </c>
      <c r="C1238" s="62">
        <v>44780</v>
      </c>
      <c r="D1238" s="62">
        <v>44780</v>
      </c>
      <c r="E1238" s="63">
        <v>0</v>
      </c>
    </row>
    <row r="1239" spans="1:5">
      <c r="A1239" s="61" t="s">
        <v>136</v>
      </c>
      <c r="B1239" s="61" t="s">
        <v>381</v>
      </c>
      <c r="C1239" s="62">
        <v>44781</v>
      </c>
      <c r="D1239" s="62">
        <v>44781</v>
      </c>
      <c r="E1239" s="63">
        <v>0</v>
      </c>
    </row>
    <row r="1240" spans="1:5">
      <c r="A1240" s="61" t="s">
        <v>136</v>
      </c>
      <c r="B1240" s="61" t="s">
        <v>381</v>
      </c>
      <c r="C1240" s="62">
        <v>44782</v>
      </c>
      <c r="D1240" s="62">
        <v>44782</v>
      </c>
      <c r="E1240" s="63">
        <v>0</v>
      </c>
    </row>
    <row r="1241" spans="1:5">
      <c r="A1241" s="61" t="s">
        <v>136</v>
      </c>
      <c r="B1241" s="61" t="s">
        <v>381</v>
      </c>
      <c r="C1241" s="62">
        <v>44783</v>
      </c>
      <c r="D1241" s="62">
        <v>44783</v>
      </c>
      <c r="E1241" s="63">
        <v>0</v>
      </c>
    </row>
    <row r="1242" spans="1:5">
      <c r="A1242" s="61" t="s">
        <v>136</v>
      </c>
      <c r="B1242" s="61" t="s">
        <v>381</v>
      </c>
      <c r="C1242" s="62">
        <v>44784</v>
      </c>
      <c r="D1242" s="62">
        <v>44784</v>
      </c>
      <c r="E1242" s="63">
        <v>0</v>
      </c>
    </row>
    <row r="1243" spans="1:5">
      <c r="A1243" s="61" t="s">
        <v>136</v>
      </c>
      <c r="B1243" s="61" t="s">
        <v>381</v>
      </c>
      <c r="C1243" s="62">
        <v>44785</v>
      </c>
      <c r="D1243" s="62">
        <v>44785</v>
      </c>
      <c r="E1243" s="63">
        <v>0</v>
      </c>
    </row>
    <row r="1244" spans="1:5">
      <c r="A1244" s="61" t="s">
        <v>136</v>
      </c>
      <c r="B1244" s="61" t="s">
        <v>381</v>
      </c>
      <c r="C1244" s="62">
        <v>44786</v>
      </c>
      <c r="D1244" s="62">
        <v>44786</v>
      </c>
      <c r="E1244" s="63">
        <v>0</v>
      </c>
    </row>
    <row r="1245" spans="1:5">
      <c r="A1245" s="61" t="s">
        <v>136</v>
      </c>
      <c r="B1245" s="61" t="s">
        <v>381</v>
      </c>
      <c r="C1245" s="62">
        <v>44787</v>
      </c>
      <c r="D1245" s="62">
        <v>44787</v>
      </c>
      <c r="E1245" s="63">
        <v>0</v>
      </c>
    </row>
    <row r="1246" spans="1:5">
      <c r="A1246" s="61" t="s">
        <v>136</v>
      </c>
      <c r="B1246" s="61" t="s">
        <v>381</v>
      </c>
      <c r="C1246" s="62">
        <v>44788</v>
      </c>
      <c r="D1246" s="62">
        <v>44788</v>
      </c>
      <c r="E1246" s="63">
        <v>0</v>
      </c>
    </row>
    <row r="1247" spans="1:5">
      <c r="A1247" s="61" t="s">
        <v>136</v>
      </c>
      <c r="B1247" s="61" t="s">
        <v>381</v>
      </c>
      <c r="C1247" s="62">
        <v>44789</v>
      </c>
      <c r="D1247" s="62">
        <v>44789</v>
      </c>
      <c r="E1247" s="63">
        <v>0</v>
      </c>
    </row>
    <row r="1248" spans="1:5">
      <c r="A1248" s="61" t="s">
        <v>136</v>
      </c>
      <c r="B1248" s="61" t="s">
        <v>381</v>
      </c>
      <c r="C1248" s="62">
        <v>44790</v>
      </c>
      <c r="D1248" s="62">
        <v>44790</v>
      </c>
      <c r="E1248" s="63">
        <v>0</v>
      </c>
    </row>
    <row r="1249" spans="1:5">
      <c r="A1249" s="61" t="s">
        <v>136</v>
      </c>
      <c r="B1249" s="61" t="s">
        <v>381</v>
      </c>
      <c r="C1249" s="62">
        <v>44791</v>
      </c>
      <c r="D1249" s="62">
        <v>44791</v>
      </c>
      <c r="E1249" s="63">
        <v>0</v>
      </c>
    </row>
    <row r="1250" spans="1:5">
      <c r="A1250" s="61" t="s">
        <v>136</v>
      </c>
      <c r="B1250" s="61" t="s">
        <v>381</v>
      </c>
      <c r="C1250" s="62">
        <v>44792</v>
      </c>
      <c r="D1250" s="62">
        <v>44792</v>
      </c>
      <c r="E1250" s="63">
        <v>0</v>
      </c>
    </row>
    <row r="1251" spans="1:5">
      <c r="A1251" s="61" t="s">
        <v>136</v>
      </c>
      <c r="B1251" s="61" t="s">
        <v>381</v>
      </c>
      <c r="C1251" s="62">
        <v>44793</v>
      </c>
      <c r="D1251" s="62">
        <v>44793</v>
      </c>
      <c r="E1251" s="63">
        <v>0</v>
      </c>
    </row>
    <row r="1252" spans="1:5">
      <c r="A1252" s="61" t="s">
        <v>136</v>
      </c>
      <c r="B1252" s="61" t="s">
        <v>381</v>
      </c>
      <c r="C1252" s="62">
        <v>44794</v>
      </c>
      <c r="D1252" s="62">
        <v>44794</v>
      </c>
      <c r="E1252" s="63">
        <v>0</v>
      </c>
    </row>
    <row r="1253" spans="1:5">
      <c r="A1253" s="61" t="s">
        <v>136</v>
      </c>
      <c r="B1253" s="61" t="s">
        <v>381</v>
      </c>
      <c r="C1253" s="62">
        <v>44795</v>
      </c>
      <c r="D1253" s="62">
        <v>44795</v>
      </c>
      <c r="E1253" s="63">
        <v>0</v>
      </c>
    </row>
    <row r="1254" spans="1:5">
      <c r="A1254" s="61" t="s">
        <v>136</v>
      </c>
      <c r="B1254" s="61" t="s">
        <v>381</v>
      </c>
      <c r="C1254" s="62">
        <v>44796</v>
      </c>
      <c r="D1254" s="62">
        <v>44796</v>
      </c>
      <c r="E1254" s="63">
        <v>0</v>
      </c>
    </row>
    <row r="1255" spans="1:5">
      <c r="A1255" s="61" t="s">
        <v>136</v>
      </c>
      <c r="B1255" s="61" t="s">
        <v>381</v>
      </c>
      <c r="C1255" s="62">
        <v>44797</v>
      </c>
      <c r="D1255" s="62">
        <v>44797</v>
      </c>
      <c r="E1255" s="63">
        <v>0</v>
      </c>
    </row>
    <row r="1256" spans="1:5">
      <c r="A1256" s="61" t="s">
        <v>136</v>
      </c>
      <c r="B1256" s="61" t="s">
        <v>381</v>
      </c>
      <c r="C1256" s="62">
        <v>44798</v>
      </c>
      <c r="D1256" s="62">
        <v>44798</v>
      </c>
      <c r="E1256" s="63">
        <v>0</v>
      </c>
    </row>
    <row r="1257" spans="1:5">
      <c r="A1257" s="61" t="s">
        <v>136</v>
      </c>
      <c r="B1257" s="61" t="s">
        <v>381</v>
      </c>
      <c r="C1257" s="62">
        <v>44799</v>
      </c>
      <c r="D1257" s="62">
        <v>44799</v>
      </c>
      <c r="E1257" s="63">
        <v>0</v>
      </c>
    </row>
    <row r="1258" spans="1:5">
      <c r="A1258" s="61" t="s">
        <v>136</v>
      </c>
      <c r="B1258" s="61" t="s">
        <v>381</v>
      </c>
      <c r="C1258" s="62">
        <v>44800</v>
      </c>
      <c r="D1258" s="62">
        <v>44800</v>
      </c>
      <c r="E1258" s="63">
        <v>0</v>
      </c>
    </row>
    <row r="1259" spans="1:5">
      <c r="A1259" s="61" t="s">
        <v>136</v>
      </c>
      <c r="B1259" s="61" t="s">
        <v>381</v>
      </c>
      <c r="C1259" s="62">
        <v>44801</v>
      </c>
      <c r="D1259" s="62">
        <v>44801</v>
      </c>
      <c r="E1259" s="63">
        <v>0</v>
      </c>
    </row>
    <row r="1260" spans="1:5">
      <c r="A1260" s="61" t="s">
        <v>136</v>
      </c>
      <c r="B1260" s="61" t="s">
        <v>381</v>
      </c>
      <c r="C1260" s="62">
        <v>44802</v>
      </c>
      <c r="D1260" s="62">
        <v>44802</v>
      </c>
      <c r="E1260" s="63">
        <v>0</v>
      </c>
    </row>
    <row r="1261" spans="1:5">
      <c r="A1261" s="61" t="s">
        <v>136</v>
      </c>
      <c r="B1261" s="61" t="s">
        <v>381</v>
      </c>
      <c r="C1261" s="62">
        <v>44803</v>
      </c>
      <c r="D1261" s="62">
        <v>44803</v>
      </c>
      <c r="E1261" s="63">
        <v>0</v>
      </c>
    </row>
    <row r="1262" spans="1:5">
      <c r="A1262" s="61" t="s">
        <v>137</v>
      </c>
      <c r="B1262" s="61" t="s">
        <v>382</v>
      </c>
      <c r="C1262" s="62">
        <v>44774</v>
      </c>
      <c r="D1262" s="62">
        <v>44774</v>
      </c>
      <c r="E1262" s="63">
        <v>0</v>
      </c>
    </row>
    <row r="1263" spans="1:5">
      <c r="A1263" s="61" t="s">
        <v>137</v>
      </c>
      <c r="B1263" s="61" t="s">
        <v>382</v>
      </c>
      <c r="C1263" s="62">
        <v>44775</v>
      </c>
      <c r="D1263" s="62">
        <v>44775</v>
      </c>
      <c r="E1263" s="63">
        <v>0</v>
      </c>
    </row>
    <row r="1264" spans="1:5">
      <c r="A1264" s="61" t="s">
        <v>137</v>
      </c>
      <c r="B1264" s="61" t="s">
        <v>382</v>
      </c>
      <c r="C1264" s="62">
        <v>44776</v>
      </c>
      <c r="D1264" s="62">
        <v>44776</v>
      </c>
      <c r="E1264" s="63">
        <v>0</v>
      </c>
    </row>
    <row r="1265" spans="1:5">
      <c r="A1265" s="61" t="s">
        <v>137</v>
      </c>
      <c r="B1265" s="61" t="s">
        <v>382</v>
      </c>
      <c r="C1265" s="62">
        <v>44777</v>
      </c>
      <c r="D1265" s="62">
        <v>44777</v>
      </c>
      <c r="E1265" s="63">
        <v>0</v>
      </c>
    </row>
    <row r="1266" spans="1:5">
      <c r="A1266" s="61" t="s">
        <v>137</v>
      </c>
      <c r="B1266" s="61" t="s">
        <v>382</v>
      </c>
      <c r="C1266" s="62">
        <v>44778</v>
      </c>
      <c r="D1266" s="62">
        <v>44778</v>
      </c>
      <c r="E1266" s="63">
        <v>0</v>
      </c>
    </row>
    <row r="1267" spans="1:5">
      <c r="A1267" s="61" t="s">
        <v>137</v>
      </c>
      <c r="B1267" s="61" t="s">
        <v>382</v>
      </c>
      <c r="C1267" s="62">
        <v>44779</v>
      </c>
      <c r="D1267" s="62">
        <v>44779</v>
      </c>
      <c r="E1267" s="63">
        <v>0</v>
      </c>
    </row>
    <row r="1268" spans="1:5">
      <c r="A1268" s="61" t="s">
        <v>137</v>
      </c>
      <c r="B1268" s="61" t="s">
        <v>382</v>
      </c>
      <c r="C1268" s="62">
        <v>44780</v>
      </c>
      <c r="D1268" s="62">
        <v>44780</v>
      </c>
      <c r="E1268" s="63">
        <v>0</v>
      </c>
    </row>
    <row r="1269" spans="1:5">
      <c r="A1269" s="61" t="s">
        <v>137</v>
      </c>
      <c r="B1269" s="61" t="s">
        <v>382</v>
      </c>
      <c r="C1269" s="62">
        <v>44781</v>
      </c>
      <c r="D1269" s="62">
        <v>44781</v>
      </c>
      <c r="E1269" s="63">
        <v>0</v>
      </c>
    </row>
    <row r="1270" spans="1:5">
      <c r="A1270" s="61" t="s">
        <v>137</v>
      </c>
      <c r="B1270" s="61" t="s">
        <v>382</v>
      </c>
      <c r="C1270" s="62">
        <v>44782</v>
      </c>
      <c r="D1270" s="62">
        <v>44782</v>
      </c>
      <c r="E1270" s="63">
        <v>0</v>
      </c>
    </row>
    <row r="1271" spans="1:5">
      <c r="A1271" s="61" t="s">
        <v>137</v>
      </c>
      <c r="B1271" s="61" t="s">
        <v>382</v>
      </c>
      <c r="C1271" s="62">
        <v>44783</v>
      </c>
      <c r="D1271" s="62">
        <v>44783</v>
      </c>
      <c r="E1271" s="63">
        <v>0</v>
      </c>
    </row>
    <row r="1272" spans="1:5">
      <c r="A1272" s="61" t="s">
        <v>137</v>
      </c>
      <c r="B1272" s="61" t="s">
        <v>382</v>
      </c>
      <c r="C1272" s="62">
        <v>44784</v>
      </c>
      <c r="D1272" s="62">
        <v>44784</v>
      </c>
      <c r="E1272" s="63">
        <v>0</v>
      </c>
    </row>
    <row r="1273" spans="1:5">
      <c r="A1273" s="61" t="s">
        <v>137</v>
      </c>
      <c r="B1273" s="61" t="s">
        <v>382</v>
      </c>
      <c r="C1273" s="62">
        <v>44785</v>
      </c>
      <c r="D1273" s="62">
        <v>44785</v>
      </c>
      <c r="E1273" s="63">
        <v>0</v>
      </c>
    </row>
    <row r="1274" spans="1:5">
      <c r="A1274" s="61" t="s">
        <v>137</v>
      </c>
      <c r="B1274" s="61" t="s">
        <v>382</v>
      </c>
      <c r="C1274" s="62">
        <v>44786</v>
      </c>
      <c r="D1274" s="62">
        <v>44786</v>
      </c>
      <c r="E1274" s="63">
        <v>0</v>
      </c>
    </row>
    <row r="1275" spans="1:5">
      <c r="A1275" s="61" t="s">
        <v>137</v>
      </c>
      <c r="B1275" s="61" t="s">
        <v>382</v>
      </c>
      <c r="C1275" s="62">
        <v>44787</v>
      </c>
      <c r="D1275" s="62">
        <v>44787</v>
      </c>
      <c r="E1275" s="63">
        <v>0</v>
      </c>
    </row>
    <row r="1276" spans="1:5">
      <c r="A1276" s="61" t="s">
        <v>137</v>
      </c>
      <c r="B1276" s="61" t="s">
        <v>382</v>
      </c>
      <c r="C1276" s="62">
        <v>44788</v>
      </c>
      <c r="D1276" s="62">
        <v>44788</v>
      </c>
      <c r="E1276" s="63">
        <v>0</v>
      </c>
    </row>
    <row r="1277" spans="1:5">
      <c r="A1277" s="61" t="s">
        <v>137</v>
      </c>
      <c r="B1277" s="61" t="s">
        <v>382</v>
      </c>
      <c r="C1277" s="62">
        <v>44789</v>
      </c>
      <c r="D1277" s="62">
        <v>44789</v>
      </c>
      <c r="E1277" s="63">
        <v>0</v>
      </c>
    </row>
    <row r="1278" spans="1:5">
      <c r="A1278" s="61" t="s">
        <v>137</v>
      </c>
      <c r="B1278" s="61" t="s">
        <v>382</v>
      </c>
      <c r="C1278" s="62">
        <v>44790</v>
      </c>
      <c r="D1278" s="62">
        <v>44790</v>
      </c>
      <c r="E1278" s="63">
        <v>0</v>
      </c>
    </row>
    <row r="1279" spans="1:5">
      <c r="A1279" s="61" t="s">
        <v>137</v>
      </c>
      <c r="B1279" s="61" t="s">
        <v>382</v>
      </c>
      <c r="C1279" s="62">
        <v>44791</v>
      </c>
      <c r="D1279" s="62">
        <v>44791</v>
      </c>
      <c r="E1279" s="63">
        <v>0</v>
      </c>
    </row>
    <row r="1280" spans="1:5">
      <c r="A1280" s="61" t="s">
        <v>137</v>
      </c>
      <c r="B1280" s="61" t="s">
        <v>382</v>
      </c>
      <c r="C1280" s="62">
        <v>44792</v>
      </c>
      <c r="D1280" s="62">
        <v>44792</v>
      </c>
      <c r="E1280" s="63">
        <v>0</v>
      </c>
    </row>
    <row r="1281" spans="1:5">
      <c r="A1281" s="61" t="s">
        <v>137</v>
      </c>
      <c r="B1281" s="61" t="s">
        <v>382</v>
      </c>
      <c r="C1281" s="62">
        <v>44793</v>
      </c>
      <c r="D1281" s="62">
        <v>44793</v>
      </c>
      <c r="E1281" s="63">
        <v>0</v>
      </c>
    </row>
    <row r="1282" spans="1:5">
      <c r="A1282" s="61" t="s">
        <v>137</v>
      </c>
      <c r="B1282" s="61" t="s">
        <v>382</v>
      </c>
      <c r="C1282" s="62">
        <v>44794</v>
      </c>
      <c r="D1282" s="62">
        <v>44794</v>
      </c>
      <c r="E1282" s="63">
        <v>0</v>
      </c>
    </row>
    <row r="1283" spans="1:5">
      <c r="A1283" s="61" t="s">
        <v>137</v>
      </c>
      <c r="B1283" s="61" t="s">
        <v>382</v>
      </c>
      <c r="C1283" s="62">
        <v>44795</v>
      </c>
      <c r="D1283" s="62">
        <v>44795</v>
      </c>
      <c r="E1283" s="63">
        <v>0</v>
      </c>
    </row>
    <row r="1284" spans="1:5">
      <c r="A1284" s="61" t="s">
        <v>137</v>
      </c>
      <c r="B1284" s="61" t="s">
        <v>382</v>
      </c>
      <c r="C1284" s="62">
        <v>44796</v>
      </c>
      <c r="D1284" s="62">
        <v>44796</v>
      </c>
      <c r="E1284" s="63">
        <v>0</v>
      </c>
    </row>
    <row r="1285" spans="1:5">
      <c r="A1285" s="61" t="s">
        <v>137</v>
      </c>
      <c r="B1285" s="61" t="s">
        <v>382</v>
      </c>
      <c r="C1285" s="62">
        <v>44797</v>
      </c>
      <c r="D1285" s="62">
        <v>44797</v>
      </c>
      <c r="E1285" s="63">
        <v>0</v>
      </c>
    </row>
    <row r="1286" spans="1:5">
      <c r="A1286" s="61" t="s">
        <v>137</v>
      </c>
      <c r="B1286" s="61" t="s">
        <v>382</v>
      </c>
      <c r="C1286" s="62">
        <v>44798</v>
      </c>
      <c r="D1286" s="62">
        <v>44798</v>
      </c>
      <c r="E1286" s="63">
        <v>0</v>
      </c>
    </row>
    <row r="1287" spans="1:5">
      <c r="A1287" s="61" t="s">
        <v>137</v>
      </c>
      <c r="B1287" s="61" t="s">
        <v>382</v>
      </c>
      <c r="C1287" s="62">
        <v>44799</v>
      </c>
      <c r="D1287" s="62">
        <v>44799</v>
      </c>
      <c r="E1287" s="63">
        <v>0</v>
      </c>
    </row>
    <row r="1288" spans="1:5">
      <c r="A1288" s="61" t="s">
        <v>137</v>
      </c>
      <c r="B1288" s="61" t="s">
        <v>382</v>
      </c>
      <c r="C1288" s="62">
        <v>44800</v>
      </c>
      <c r="D1288" s="62">
        <v>44800</v>
      </c>
      <c r="E1288" s="63">
        <v>0</v>
      </c>
    </row>
    <row r="1289" spans="1:5">
      <c r="A1289" s="61" t="s">
        <v>137</v>
      </c>
      <c r="B1289" s="61" t="s">
        <v>382</v>
      </c>
      <c r="C1289" s="62">
        <v>44801</v>
      </c>
      <c r="D1289" s="62">
        <v>44801</v>
      </c>
      <c r="E1289" s="63">
        <v>0</v>
      </c>
    </row>
    <row r="1290" spans="1:5">
      <c r="A1290" s="61" t="s">
        <v>137</v>
      </c>
      <c r="B1290" s="61" t="s">
        <v>382</v>
      </c>
      <c r="C1290" s="62">
        <v>44802</v>
      </c>
      <c r="D1290" s="62">
        <v>44802</v>
      </c>
      <c r="E1290" s="63">
        <v>0</v>
      </c>
    </row>
    <row r="1291" spans="1:5">
      <c r="A1291" s="61" t="s">
        <v>137</v>
      </c>
      <c r="B1291" s="61" t="s">
        <v>382</v>
      </c>
      <c r="C1291" s="62">
        <v>44803</v>
      </c>
      <c r="D1291" s="62">
        <v>44803</v>
      </c>
      <c r="E1291" s="63">
        <v>0</v>
      </c>
    </row>
    <row r="1292" spans="1:5">
      <c r="A1292" s="61" t="s">
        <v>138</v>
      </c>
      <c r="B1292" s="61" t="s">
        <v>383</v>
      </c>
      <c r="C1292" s="62">
        <v>44774</v>
      </c>
      <c r="D1292" s="62">
        <v>44774</v>
      </c>
      <c r="E1292" s="63">
        <v>0</v>
      </c>
    </row>
    <row r="1293" spans="1:5">
      <c r="A1293" s="61" t="s">
        <v>138</v>
      </c>
      <c r="B1293" s="61" t="s">
        <v>383</v>
      </c>
      <c r="C1293" s="62">
        <v>44775</v>
      </c>
      <c r="D1293" s="62">
        <v>44775</v>
      </c>
      <c r="E1293" s="63">
        <v>0</v>
      </c>
    </row>
    <row r="1294" spans="1:5">
      <c r="A1294" s="61" t="s">
        <v>138</v>
      </c>
      <c r="B1294" s="61" t="s">
        <v>383</v>
      </c>
      <c r="C1294" s="62">
        <v>44776</v>
      </c>
      <c r="D1294" s="62">
        <v>44776</v>
      </c>
      <c r="E1294" s="63">
        <v>0</v>
      </c>
    </row>
    <row r="1295" spans="1:5">
      <c r="A1295" s="61" t="s">
        <v>138</v>
      </c>
      <c r="B1295" s="61" t="s">
        <v>383</v>
      </c>
      <c r="C1295" s="62">
        <v>44777</v>
      </c>
      <c r="D1295" s="62">
        <v>44777</v>
      </c>
      <c r="E1295" s="63">
        <v>0</v>
      </c>
    </row>
    <row r="1296" spans="1:5">
      <c r="A1296" s="61" t="s">
        <v>138</v>
      </c>
      <c r="B1296" s="61" t="s">
        <v>383</v>
      </c>
      <c r="C1296" s="62">
        <v>44778</v>
      </c>
      <c r="D1296" s="62">
        <v>44778</v>
      </c>
      <c r="E1296" s="63">
        <v>0</v>
      </c>
    </row>
    <row r="1297" spans="1:5">
      <c r="A1297" s="61" t="s">
        <v>138</v>
      </c>
      <c r="B1297" s="61" t="s">
        <v>383</v>
      </c>
      <c r="C1297" s="62">
        <v>44779</v>
      </c>
      <c r="D1297" s="62">
        <v>44779</v>
      </c>
      <c r="E1297" s="63">
        <v>0</v>
      </c>
    </row>
    <row r="1298" spans="1:5">
      <c r="A1298" s="61" t="s">
        <v>138</v>
      </c>
      <c r="B1298" s="61" t="s">
        <v>383</v>
      </c>
      <c r="C1298" s="62">
        <v>44780</v>
      </c>
      <c r="D1298" s="62">
        <v>44780</v>
      </c>
      <c r="E1298" s="63">
        <v>0</v>
      </c>
    </row>
    <row r="1299" spans="1:5">
      <c r="A1299" s="61" t="s">
        <v>138</v>
      </c>
      <c r="B1299" s="61" t="s">
        <v>383</v>
      </c>
      <c r="C1299" s="62">
        <v>44781</v>
      </c>
      <c r="D1299" s="62">
        <v>44781</v>
      </c>
      <c r="E1299" s="63">
        <v>0</v>
      </c>
    </row>
    <row r="1300" spans="1:5">
      <c r="A1300" s="61" t="s">
        <v>138</v>
      </c>
      <c r="B1300" s="61" t="s">
        <v>383</v>
      </c>
      <c r="C1300" s="62">
        <v>44782</v>
      </c>
      <c r="D1300" s="62">
        <v>44782</v>
      </c>
      <c r="E1300" s="63">
        <v>0</v>
      </c>
    </row>
    <row r="1301" spans="1:5">
      <c r="A1301" s="61" t="s">
        <v>138</v>
      </c>
      <c r="B1301" s="61" t="s">
        <v>383</v>
      </c>
      <c r="C1301" s="62">
        <v>44783</v>
      </c>
      <c r="D1301" s="62">
        <v>44783</v>
      </c>
      <c r="E1301" s="63">
        <v>0</v>
      </c>
    </row>
    <row r="1302" spans="1:5">
      <c r="A1302" s="61" t="s">
        <v>138</v>
      </c>
      <c r="B1302" s="61" t="s">
        <v>383</v>
      </c>
      <c r="C1302" s="62">
        <v>44784</v>
      </c>
      <c r="D1302" s="62">
        <v>44784</v>
      </c>
      <c r="E1302" s="63">
        <v>0</v>
      </c>
    </row>
    <row r="1303" spans="1:5">
      <c r="A1303" s="61" t="s">
        <v>138</v>
      </c>
      <c r="B1303" s="61" t="s">
        <v>383</v>
      </c>
      <c r="C1303" s="62">
        <v>44785</v>
      </c>
      <c r="D1303" s="62">
        <v>44785</v>
      </c>
      <c r="E1303" s="63">
        <v>0</v>
      </c>
    </row>
    <row r="1304" spans="1:5">
      <c r="A1304" s="61" t="s">
        <v>138</v>
      </c>
      <c r="B1304" s="61" t="s">
        <v>383</v>
      </c>
      <c r="C1304" s="62">
        <v>44786</v>
      </c>
      <c r="D1304" s="62">
        <v>44786</v>
      </c>
      <c r="E1304" s="63">
        <v>0</v>
      </c>
    </row>
    <row r="1305" spans="1:5">
      <c r="A1305" s="61" t="s">
        <v>138</v>
      </c>
      <c r="B1305" s="61" t="s">
        <v>383</v>
      </c>
      <c r="C1305" s="62">
        <v>44787</v>
      </c>
      <c r="D1305" s="62">
        <v>44787</v>
      </c>
      <c r="E1305" s="63">
        <v>0</v>
      </c>
    </row>
    <row r="1306" spans="1:5">
      <c r="A1306" s="61" t="s">
        <v>138</v>
      </c>
      <c r="B1306" s="61" t="s">
        <v>383</v>
      </c>
      <c r="C1306" s="62">
        <v>44788</v>
      </c>
      <c r="D1306" s="62">
        <v>44788</v>
      </c>
      <c r="E1306" s="63">
        <v>0</v>
      </c>
    </row>
    <row r="1307" spans="1:5">
      <c r="A1307" s="61" t="s">
        <v>138</v>
      </c>
      <c r="B1307" s="61" t="s">
        <v>383</v>
      </c>
      <c r="C1307" s="62">
        <v>44789</v>
      </c>
      <c r="D1307" s="62">
        <v>44789</v>
      </c>
      <c r="E1307" s="63">
        <v>0</v>
      </c>
    </row>
    <row r="1308" spans="1:5">
      <c r="A1308" s="61" t="s">
        <v>138</v>
      </c>
      <c r="B1308" s="61" t="s">
        <v>383</v>
      </c>
      <c r="C1308" s="62">
        <v>44790</v>
      </c>
      <c r="D1308" s="62">
        <v>44790</v>
      </c>
      <c r="E1308" s="63">
        <v>0</v>
      </c>
    </row>
    <row r="1309" spans="1:5">
      <c r="A1309" s="61" t="s">
        <v>138</v>
      </c>
      <c r="B1309" s="61" t="s">
        <v>383</v>
      </c>
      <c r="C1309" s="62">
        <v>44791</v>
      </c>
      <c r="D1309" s="62">
        <v>44791</v>
      </c>
      <c r="E1309" s="63">
        <v>0</v>
      </c>
    </row>
    <row r="1310" spans="1:5">
      <c r="A1310" s="61" t="s">
        <v>138</v>
      </c>
      <c r="B1310" s="61" t="s">
        <v>383</v>
      </c>
      <c r="C1310" s="62">
        <v>44792</v>
      </c>
      <c r="D1310" s="62">
        <v>44792</v>
      </c>
      <c r="E1310" s="63">
        <v>0</v>
      </c>
    </row>
    <row r="1311" spans="1:5">
      <c r="A1311" s="61" t="s">
        <v>138</v>
      </c>
      <c r="B1311" s="61" t="s">
        <v>383</v>
      </c>
      <c r="C1311" s="62">
        <v>44793</v>
      </c>
      <c r="D1311" s="62">
        <v>44793</v>
      </c>
      <c r="E1311" s="63">
        <v>0</v>
      </c>
    </row>
    <row r="1312" spans="1:5">
      <c r="A1312" s="61" t="s">
        <v>138</v>
      </c>
      <c r="B1312" s="61" t="s">
        <v>383</v>
      </c>
      <c r="C1312" s="62">
        <v>44794</v>
      </c>
      <c r="D1312" s="62">
        <v>44794</v>
      </c>
      <c r="E1312" s="63">
        <v>0</v>
      </c>
    </row>
    <row r="1313" spans="1:5">
      <c r="A1313" s="61" t="s">
        <v>138</v>
      </c>
      <c r="B1313" s="61" t="s">
        <v>383</v>
      </c>
      <c r="C1313" s="62">
        <v>44795</v>
      </c>
      <c r="D1313" s="62">
        <v>44795</v>
      </c>
      <c r="E1313" s="63">
        <v>0</v>
      </c>
    </row>
    <row r="1314" spans="1:5">
      <c r="A1314" s="61" t="s">
        <v>138</v>
      </c>
      <c r="B1314" s="61" t="s">
        <v>383</v>
      </c>
      <c r="C1314" s="62">
        <v>44796</v>
      </c>
      <c r="D1314" s="62">
        <v>44796</v>
      </c>
      <c r="E1314" s="63">
        <v>0</v>
      </c>
    </row>
    <row r="1315" spans="1:5">
      <c r="A1315" s="61" t="s">
        <v>138</v>
      </c>
      <c r="B1315" s="61" t="s">
        <v>383</v>
      </c>
      <c r="C1315" s="62">
        <v>44797</v>
      </c>
      <c r="D1315" s="62">
        <v>44797</v>
      </c>
      <c r="E1315" s="63">
        <v>0</v>
      </c>
    </row>
    <row r="1316" spans="1:5">
      <c r="A1316" s="61" t="s">
        <v>138</v>
      </c>
      <c r="B1316" s="61" t="s">
        <v>383</v>
      </c>
      <c r="C1316" s="62">
        <v>44798</v>
      </c>
      <c r="D1316" s="62">
        <v>44798</v>
      </c>
      <c r="E1316" s="63">
        <v>0</v>
      </c>
    </row>
    <row r="1317" spans="1:5">
      <c r="A1317" s="61" t="s">
        <v>138</v>
      </c>
      <c r="B1317" s="61" t="s">
        <v>383</v>
      </c>
      <c r="C1317" s="62">
        <v>44799</v>
      </c>
      <c r="D1317" s="62">
        <v>44799</v>
      </c>
      <c r="E1317" s="63">
        <v>0</v>
      </c>
    </row>
    <row r="1318" spans="1:5">
      <c r="A1318" s="61" t="s">
        <v>138</v>
      </c>
      <c r="B1318" s="61" t="s">
        <v>383</v>
      </c>
      <c r="C1318" s="62">
        <v>44800</v>
      </c>
      <c r="D1318" s="62">
        <v>44800</v>
      </c>
      <c r="E1318" s="63">
        <v>0</v>
      </c>
    </row>
    <row r="1319" spans="1:5">
      <c r="A1319" s="61" t="s">
        <v>138</v>
      </c>
      <c r="B1319" s="61" t="s">
        <v>383</v>
      </c>
      <c r="C1319" s="62">
        <v>44801</v>
      </c>
      <c r="D1319" s="62">
        <v>44801</v>
      </c>
      <c r="E1319" s="63">
        <v>0</v>
      </c>
    </row>
    <row r="1320" spans="1:5">
      <c r="A1320" s="61" t="s">
        <v>138</v>
      </c>
      <c r="B1320" s="61" t="s">
        <v>383</v>
      </c>
      <c r="C1320" s="62">
        <v>44802</v>
      </c>
      <c r="D1320" s="62">
        <v>44802</v>
      </c>
      <c r="E1320" s="63">
        <v>0</v>
      </c>
    </row>
    <row r="1321" spans="1:5">
      <c r="A1321" s="61" t="s">
        <v>138</v>
      </c>
      <c r="B1321" s="61" t="s">
        <v>383</v>
      </c>
      <c r="C1321" s="62">
        <v>44803</v>
      </c>
      <c r="D1321" s="62">
        <v>44803</v>
      </c>
      <c r="E1321" s="63">
        <v>0</v>
      </c>
    </row>
    <row r="1322" spans="1:5">
      <c r="A1322" s="61" t="s">
        <v>29</v>
      </c>
      <c r="B1322" s="61" t="s">
        <v>380</v>
      </c>
      <c r="C1322" s="62">
        <v>44774</v>
      </c>
      <c r="D1322" s="62">
        <v>44774</v>
      </c>
      <c r="E1322" s="63">
        <v>0</v>
      </c>
    </row>
    <row r="1323" spans="1:5">
      <c r="A1323" s="61" t="s">
        <v>29</v>
      </c>
      <c r="B1323" s="61" t="s">
        <v>380</v>
      </c>
      <c r="C1323" s="62">
        <v>44775</v>
      </c>
      <c r="D1323" s="62">
        <v>44775</v>
      </c>
      <c r="E1323" s="63">
        <v>0</v>
      </c>
    </row>
    <row r="1324" spans="1:5">
      <c r="A1324" s="61" t="s">
        <v>29</v>
      </c>
      <c r="B1324" s="61" t="s">
        <v>380</v>
      </c>
      <c r="C1324" s="62">
        <v>44776</v>
      </c>
      <c r="D1324" s="62">
        <v>44776</v>
      </c>
      <c r="E1324" s="63">
        <v>0</v>
      </c>
    </row>
    <row r="1325" spans="1:5">
      <c r="A1325" s="61" t="s">
        <v>29</v>
      </c>
      <c r="B1325" s="61" t="s">
        <v>380</v>
      </c>
      <c r="C1325" s="62">
        <v>44777</v>
      </c>
      <c r="D1325" s="62">
        <v>44777</v>
      </c>
      <c r="E1325" s="63">
        <v>0</v>
      </c>
    </row>
    <row r="1326" spans="1:5">
      <c r="A1326" s="61" t="s">
        <v>29</v>
      </c>
      <c r="B1326" s="61" t="s">
        <v>380</v>
      </c>
      <c r="C1326" s="62">
        <v>44778</v>
      </c>
      <c r="D1326" s="62">
        <v>44778</v>
      </c>
      <c r="E1326" s="63">
        <v>0</v>
      </c>
    </row>
    <row r="1327" spans="1:5">
      <c r="A1327" s="61" t="s">
        <v>29</v>
      </c>
      <c r="B1327" s="61" t="s">
        <v>380</v>
      </c>
      <c r="C1327" s="62">
        <v>44779</v>
      </c>
      <c r="D1327" s="62">
        <v>44779</v>
      </c>
      <c r="E1327" s="63">
        <v>0</v>
      </c>
    </row>
    <row r="1328" spans="1:5">
      <c r="A1328" s="61" t="s">
        <v>29</v>
      </c>
      <c r="B1328" s="61" t="s">
        <v>380</v>
      </c>
      <c r="C1328" s="62">
        <v>44780</v>
      </c>
      <c r="D1328" s="62">
        <v>44780</v>
      </c>
      <c r="E1328" s="63">
        <v>0</v>
      </c>
    </row>
    <row r="1329" spans="1:5">
      <c r="A1329" s="61" t="s">
        <v>29</v>
      </c>
      <c r="B1329" s="61" t="s">
        <v>380</v>
      </c>
      <c r="C1329" s="62">
        <v>44781</v>
      </c>
      <c r="D1329" s="62">
        <v>44781</v>
      </c>
      <c r="E1329" s="63">
        <v>0</v>
      </c>
    </row>
    <row r="1330" spans="1:5">
      <c r="A1330" s="61" t="s">
        <v>29</v>
      </c>
      <c r="B1330" s="61" t="s">
        <v>380</v>
      </c>
      <c r="C1330" s="62">
        <v>44782</v>
      </c>
      <c r="D1330" s="62">
        <v>44782</v>
      </c>
      <c r="E1330" s="63">
        <v>0</v>
      </c>
    </row>
    <row r="1331" spans="1:5">
      <c r="A1331" s="61" t="s">
        <v>29</v>
      </c>
      <c r="B1331" s="61" t="s">
        <v>380</v>
      </c>
      <c r="C1331" s="62">
        <v>44783</v>
      </c>
      <c r="D1331" s="62">
        <v>44783</v>
      </c>
      <c r="E1331" s="63">
        <v>0</v>
      </c>
    </row>
    <row r="1332" spans="1:5">
      <c r="A1332" s="61" t="s">
        <v>29</v>
      </c>
      <c r="B1332" s="61" t="s">
        <v>380</v>
      </c>
      <c r="C1332" s="62">
        <v>44784</v>
      </c>
      <c r="D1332" s="62">
        <v>44784</v>
      </c>
      <c r="E1332" s="63">
        <v>0</v>
      </c>
    </row>
    <row r="1333" spans="1:5">
      <c r="A1333" s="61" t="s">
        <v>29</v>
      </c>
      <c r="B1333" s="61" t="s">
        <v>380</v>
      </c>
      <c r="C1333" s="62">
        <v>44785</v>
      </c>
      <c r="D1333" s="62">
        <v>44785</v>
      </c>
      <c r="E1333" s="63">
        <v>0</v>
      </c>
    </row>
    <row r="1334" spans="1:5">
      <c r="A1334" s="61" t="s">
        <v>29</v>
      </c>
      <c r="B1334" s="61" t="s">
        <v>380</v>
      </c>
      <c r="C1334" s="62">
        <v>44786</v>
      </c>
      <c r="D1334" s="62">
        <v>44786</v>
      </c>
      <c r="E1334" s="63">
        <v>0</v>
      </c>
    </row>
    <row r="1335" spans="1:5">
      <c r="A1335" s="61" t="s">
        <v>29</v>
      </c>
      <c r="B1335" s="61" t="s">
        <v>380</v>
      </c>
      <c r="C1335" s="62">
        <v>44787</v>
      </c>
      <c r="D1335" s="62">
        <v>44787</v>
      </c>
      <c r="E1335" s="63">
        <v>0</v>
      </c>
    </row>
    <row r="1336" spans="1:5">
      <c r="A1336" s="61" t="s">
        <v>29</v>
      </c>
      <c r="B1336" s="61" t="s">
        <v>380</v>
      </c>
      <c r="C1336" s="62">
        <v>44788</v>
      </c>
      <c r="D1336" s="62">
        <v>44788</v>
      </c>
      <c r="E1336" s="63">
        <v>0</v>
      </c>
    </row>
    <row r="1337" spans="1:5">
      <c r="A1337" s="61" t="s">
        <v>29</v>
      </c>
      <c r="B1337" s="61" t="s">
        <v>380</v>
      </c>
      <c r="C1337" s="62">
        <v>44789</v>
      </c>
      <c r="D1337" s="62">
        <v>44789</v>
      </c>
      <c r="E1337" s="63">
        <v>0</v>
      </c>
    </row>
    <row r="1338" spans="1:5">
      <c r="A1338" s="61" t="s">
        <v>29</v>
      </c>
      <c r="B1338" s="61" t="s">
        <v>380</v>
      </c>
      <c r="C1338" s="62">
        <v>44790</v>
      </c>
      <c r="D1338" s="62">
        <v>44790</v>
      </c>
      <c r="E1338" s="63">
        <v>0</v>
      </c>
    </row>
    <row r="1339" spans="1:5">
      <c r="A1339" s="61" t="s">
        <v>29</v>
      </c>
      <c r="B1339" s="61" t="s">
        <v>380</v>
      </c>
      <c r="C1339" s="62">
        <v>44791</v>
      </c>
      <c r="D1339" s="62">
        <v>44791</v>
      </c>
      <c r="E1339" s="63">
        <v>0</v>
      </c>
    </row>
    <row r="1340" spans="1:5">
      <c r="A1340" s="61" t="s">
        <v>29</v>
      </c>
      <c r="B1340" s="61" t="s">
        <v>380</v>
      </c>
      <c r="C1340" s="62">
        <v>44792</v>
      </c>
      <c r="D1340" s="62">
        <v>44792</v>
      </c>
      <c r="E1340" s="63">
        <v>0</v>
      </c>
    </row>
    <row r="1341" spans="1:5">
      <c r="A1341" s="61" t="s">
        <v>29</v>
      </c>
      <c r="B1341" s="61" t="s">
        <v>380</v>
      </c>
      <c r="C1341" s="62">
        <v>44793</v>
      </c>
      <c r="D1341" s="62">
        <v>44793</v>
      </c>
      <c r="E1341" s="63">
        <v>0</v>
      </c>
    </row>
    <row r="1342" spans="1:5">
      <c r="A1342" s="61" t="s">
        <v>29</v>
      </c>
      <c r="B1342" s="61" t="s">
        <v>380</v>
      </c>
      <c r="C1342" s="62">
        <v>44794</v>
      </c>
      <c r="D1342" s="62">
        <v>44794</v>
      </c>
      <c r="E1342" s="63">
        <v>0</v>
      </c>
    </row>
    <row r="1343" spans="1:5">
      <c r="A1343" s="61" t="s">
        <v>29</v>
      </c>
      <c r="B1343" s="61" t="s">
        <v>380</v>
      </c>
      <c r="C1343" s="62">
        <v>44795</v>
      </c>
      <c r="D1343" s="62">
        <v>44795</v>
      </c>
      <c r="E1343" s="63">
        <v>0</v>
      </c>
    </row>
    <row r="1344" spans="1:5">
      <c r="A1344" s="61" t="s">
        <v>29</v>
      </c>
      <c r="B1344" s="61" t="s">
        <v>380</v>
      </c>
      <c r="C1344" s="62">
        <v>44796</v>
      </c>
      <c r="D1344" s="62">
        <v>44796</v>
      </c>
      <c r="E1344" s="63">
        <v>0</v>
      </c>
    </row>
    <row r="1345" spans="1:5">
      <c r="A1345" s="61" t="s">
        <v>29</v>
      </c>
      <c r="B1345" s="61" t="s">
        <v>380</v>
      </c>
      <c r="C1345" s="62">
        <v>44797</v>
      </c>
      <c r="D1345" s="62">
        <v>44797</v>
      </c>
      <c r="E1345" s="63">
        <v>0</v>
      </c>
    </row>
    <row r="1346" spans="1:5">
      <c r="A1346" s="61" t="s">
        <v>29</v>
      </c>
      <c r="B1346" s="61" t="s">
        <v>380</v>
      </c>
      <c r="C1346" s="62">
        <v>44798</v>
      </c>
      <c r="D1346" s="62">
        <v>44798</v>
      </c>
      <c r="E1346" s="63">
        <v>0</v>
      </c>
    </row>
    <row r="1347" spans="1:5">
      <c r="A1347" s="61" t="s">
        <v>29</v>
      </c>
      <c r="B1347" s="61" t="s">
        <v>380</v>
      </c>
      <c r="C1347" s="62">
        <v>44799</v>
      </c>
      <c r="D1347" s="62">
        <v>44799</v>
      </c>
      <c r="E1347" s="63">
        <v>0</v>
      </c>
    </row>
    <row r="1348" spans="1:5">
      <c r="A1348" s="61" t="s">
        <v>29</v>
      </c>
      <c r="B1348" s="61" t="s">
        <v>380</v>
      </c>
      <c r="C1348" s="62">
        <v>44800</v>
      </c>
      <c r="D1348" s="62">
        <v>44800</v>
      </c>
      <c r="E1348" s="63">
        <v>0</v>
      </c>
    </row>
    <row r="1349" spans="1:5">
      <c r="A1349" s="61" t="s">
        <v>29</v>
      </c>
      <c r="B1349" s="61" t="s">
        <v>380</v>
      </c>
      <c r="C1349" s="62">
        <v>44801</v>
      </c>
      <c r="D1349" s="62">
        <v>44801</v>
      </c>
      <c r="E1349" s="63">
        <v>0</v>
      </c>
    </row>
    <row r="1350" spans="1:5">
      <c r="A1350" s="61" t="s">
        <v>29</v>
      </c>
      <c r="B1350" s="61" t="s">
        <v>380</v>
      </c>
      <c r="C1350" s="62">
        <v>44802</v>
      </c>
      <c r="D1350" s="62">
        <v>44802</v>
      </c>
      <c r="E1350" s="63">
        <v>0</v>
      </c>
    </row>
    <row r="1351" spans="1:5">
      <c r="A1351" s="61" t="s">
        <v>29</v>
      </c>
      <c r="B1351" s="61" t="s">
        <v>380</v>
      </c>
      <c r="C1351" s="62">
        <v>44803</v>
      </c>
      <c r="D1351" s="62">
        <v>44803</v>
      </c>
      <c r="E1351" s="63">
        <v>0</v>
      </c>
    </row>
    <row r="1352" spans="1:5">
      <c r="A1352" s="61" t="s">
        <v>139</v>
      </c>
      <c r="B1352" s="61" t="s">
        <v>381</v>
      </c>
      <c r="C1352" s="62">
        <v>44774</v>
      </c>
      <c r="D1352" s="62">
        <v>44774</v>
      </c>
      <c r="E1352" s="63">
        <v>0</v>
      </c>
    </row>
    <row r="1353" spans="1:5">
      <c r="A1353" s="61" t="s">
        <v>139</v>
      </c>
      <c r="B1353" s="61" t="s">
        <v>381</v>
      </c>
      <c r="C1353" s="62">
        <v>44775</v>
      </c>
      <c r="D1353" s="62">
        <v>44775</v>
      </c>
      <c r="E1353" s="63">
        <v>0</v>
      </c>
    </row>
    <row r="1354" spans="1:5">
      <c r="A1354" s="61" t="s">
        <v>139</v>
      </c>
      <c r="B1354" s="61" t="s">
        <v>381</v>
      </c>
      <c r="C1354" s="62">
        <v>44776</v>
      </c>
      <c r="D1354" s="62">
        <v>44776</v>
      </c>
      <c r="E1354" s="63">
        <v>0</v>
      </c>
    </row>
    <row r="1355" spans="1:5">
      <c r="A1355" s="61" t="s">
        <v>139</v>
      </c>
      <c r="B1355" s="61" t="s">
        <v>381</v>
      </c>
      <c r="C1355" s="62">
        <v>44777</v>
      </c>
      <c r="D1355" s="62">
        <v>44777</v>
      </c>
      <c r="E1355" s="63">
        <v>0</v>
      </c>
    </row>
    <row r="1356" spans="1:5">
      <c r="A1356" s="61" t="s">
        <v>139</v>
      </c>
      <c r="B1356" s="61" t="s">
        <v>381</v>
      </c>
      <c r="C1356" s="62">
        <v>44778</v>
      </c>
      <c r="D1356" s="62">
        <v>44778</v>
      </c>
      <c r="E1356" s="63">
        <v>0</v>
      </c>
    </row>
    <row r="1357" spans="1:5">
      <c r="A1357" s="61" t="s">
        <v>139</v>
      </c>
      <c r="B1357" s="61" t="s">
        <v>381</v>
      </c>
      <c r="C1357" s="62">
        <v>44779</v>
      </c>
      <c r="D1357" s="62">
        <v>44779</v>
      </c>
      <c r="E1357" s="63">
        <v>0</v>
      </c>
    </row>
    <row r="1358" spans="1:5">
      <c r="A1358" s="61" t="s">
        <v>139</v>
      </c>
      <c r="B1358" s="61" t="s">
        <v>381</v>
      </c>
      <c r="C1358" s="62">
        <v>44780</v>
      </c>
      <c r="D1358" s="62">
        <v>44780</v>
      </c>
      <c r="E1358" s="63">
        <v>0</v>
      </c>
    </row>
    <row r="1359" spans="1:5">
      <c r="A1359" s="61" t="s">
        <v>139</v>
      </c>
      <c r="B1359" s="61" t="s">
        <v>381</v>
      </c>
      <c r="C1359" s="62">
        <v>44781</v>
      </c>
      <c r="D1359" s="62">
        <v>44781</v>
      </c>
      <c r="E1359" s="63">
        <v>0</v>
      </c>
    </row>
    <row r="1360" spans="1:5">
      <c r="A1360" s="61" t="s">
        <v>139</v>
      </c>
      <c r="B1360" s="61" t="s">
        <v>381</v>
      </c>
      <c r="C1360" s="62">
        <v>44782</v>
      </c>
      <c r="D1360" s="62">
        <v>44782</v>
      </c>
      <c r="E1360" s="63">
        <v>0</v>
      </c>
    </row>
    <row r="1361" spans="1:5">
      <c r="A1361" s="61" t="s">
        <v>139</v>
      </c>
      <c r="B1361" s="61" t="s">
        <v>381</v>
      </c>
      <c r="C1361" s="62">
        <v>44783</v>
      </c>
      <c r="D1361" s="62">
        <v>44783</v>
      </c>
      <c r="E1361" s="63">
        <v>0</v>
      </c>
    </row>
    <row r="1362" spans="1:5">
      <c r="A1362" s="61" t="s">
        <v>139</v>
      </c>
      <c r="B1362" s="61" t="s">
        <v>381</v>
      </c>
      <c r="C1362" s="62">
        <v>44784</v>
      </c>
      <c r="D1362" s="62">
        <v>44784</v>
      </c>
      <c r="E1362" s="63">
        <v>0</v>
      </c>
    </row>
    <row r="1363" spans="1:5">
      <c r="A1363" s="61" t="s">
        <v>139</v>
      </c>
      <c r="B1363" s="61" t="s">
        <v>381</v>
      </c>
      <c r="C1363" s="62">
        <v>44785</v>
      </c>
      <c r="D1363" s="62">
        <v>44785</v>
      </c>
      <c r="E1363" s="63">
        <v>0</v>
      </c>
    </row>
    <row r="1364" spans="1:5">
      <c r="A1364" s="61" t="s">
        <v>139</v>
      </c>
      <c r="B1364" s="61" t="s">
        <v>381</v>
      </c>
      <c r="C1364" s="62">
        <v>44786</v>
      </c>
      <c r="D1364" s="62">
        <v>44786</v>
      </c>
      <c r="E1364" s="63">
        <v>0</v>
      </c>
    </row>
    <row r="1365" spans="1:5">
      <c r="A1365" s="61" t="s">
        <v>139</v>
      </c>
      <c r="B1365" s="61" t="s">
        <v>381</v>
      </c>
      <c r="C1365" s="62">
        <v>44787</v>
      </c>
      <c r="D1365" s="62">
        <v>44787</v>
      </c>
      <c r="E1365" s="63">
        <v>0</v>
      </c>
    </row>
    <row r="1366" spans="1:5">
      <c r="A1366" s="61" t="s">
        <v>139</v>
      </c>
      <c r="B1366" s="61" t="s">
        <v>381</v>
      </c>
      <c r="C1366" s="62">
        <v>44788</v>
      </c>
      <c r="D1366" s="62">
        <v>44788</v>
      </c>
      <c r="E1366" s="63">
        <v>0</v>
      </c>
    </row>
    <row r="1367" spans="1:5">
      <c r="A1367" s="61" t="s">
        <v>139</v>
      </c>
      <c r="B1367" s="61" t="s">
        <v>381</v>
      </c>
      <c r="C1367" s="62">
        <v>44789</v>
      </c>
      <c r="D1367" s="62">
        <v>44789</v>
      </c>
      <c r="E1367" s="63">
        <v>0</v>
      </c>
    </row>
    <row r="1368" spans="1:5">
      <c r="A1368" s="61" t="s">
        <v>139</v>
      </c>
      <c r="B1368" s="61" t="s">
        <v>381</v>
      </c>
      <c r="C1368" s="62">
        <v>44790</v>
      </c>
      <c r="D1368" s="62">
        <v>44790</v>
      </c>
      <c r="E1368" s="63">
        <v>0</v>
      </c>
    </row>
    <row r="1369" spans="1:5">
      <c r="A1369" s="61" t="s">
        <v>139</v>
      </c>
      <c r="B1369" s="61" t="s">
        <v>381</v>
      </c>
      <c r="C1369" s="62">
        <v>44791</v>
      </c>
      <c r="D1369" s="62">
        <v>44791</v>
      </c>
      <c r="E1369" s="63">
        <v>0</v>
      </c>
    </row>
    <row r="1370" spans="1:5">
      <c r="A1370" s="61" t="s">
        <v>139</v>
      </c>
      <c r="B1370" s="61" t="s">
        <v>381</v>
      </c>
      <c r="C1370" s="62">
        <v>44792</v>
      </c>
      <c r="D1370" s="62">
        <v>44792</v>
      </c>
      <c r="E1370" s="63">
        <v>0</v>
      </c>
    </row>
    <row r="1371" spans="1:5">
      <c r="A1371" s="61" t="s">
        <v>139</v>
      </c>
      <c r="B1371" s="61" t="s">
        <v>381</v>
      </c>
      <c r="C1371" s="62">
        <v>44793</v>
      </c>
      <c r="D1371" s="62">
        <v>44793</v>
      </c>
      <c r="E1371" s="63">
        <v>0</v>
      </c>
    </row>
    <row r="1372" spans="1:5">
      <c r="A1372" s="61" t="s">
        <v>139</v>
      </c>
      <c r="B1372" s="61" t="s">
        <v>381</v>
      </c>
      <c r="C1372" s="62">
        <v>44794</v>
      </c>
      <c r="D1372" s="62">
        <v>44794</v>
      </c>
      <c r="E1372" s="63">
        <v>0</v>
      </c>
    </row>
    <row r="1373" spans="1:5">
      <c r="A1373" s="61" t="s">
        <v>139</v>
      </c>
      <c r="B1373" s="61" t="s">
        <v>381</v>
      </c>
      <c r="C1373" s="62">
        <v>44795</v>
      </c>
      <c r="D1373" s="62">
        <v>44795</v>
      </c>
      <c r="E1373" s="63">
        <v>0</v>
      </c>
    </row>
    <row r="1374" spans="1:5">
      <c r="A1374" s="61" t="s">
        <v>139</v>
      </c>
      <c r="B1374" s="61" t="s">
        <v>381</v>
      </c>
      <c r="C1374" s="62">
        <v>44796</v>
      </c>
      <c r="D1374" s="62">
        <v>44796</v>
      </c>
      <c r="E1374" s="63">
        <v>0</v>
      </c>
    </row>
    <row r="1375" spans="1:5">
      <c r="A1375" s="61" t="s">
        <v>139</v>
      </c>
      <c r="B1375" s="61" t="s">
        <v>381</v>
      </c>
      <c r="C1375" s="62">
        <v>44797</v>
      </c>
      <c r="D1375" s="62">
        <v>44797</v>
      </c>
      <c r="E1375" s="63">
        <v>0</v>
      </c>
    </row>
    <row r="1376" spans="1:5">
      <c r="A1376" s="61" t="s">
        <v>139</v>
      </c>
      <c r="B1376" s="61" t="s">
        <v>381</v>
      </c>
      <c r="C1376" s="62">
        <v>44798</v>
      </c>
      <c r="D1376" s="62">
        <v>44798</v>
      </c>
      <c r="E1376" s="63">
        <v>0</v>
      </c>
    </row>
    <row r="1377" spans="1:5">
      <c r="A1377" s="61" t="s">
        <v>139</v>
      </c>
      <c r="B1377" s="61" t="s">
        <v>381</v>
      </c>
      <c r="C1377" s="62">
        <v>44799</v>
      </c>
      <c r="D1377" s="62">
        <v>44799</v>
      </c>
      <c r="E1377" s="63">
        <v>0</v>
      </c>
    </row>
    <row r="1378" spans="1:5">
      <c r="A1378" s="61" t="s">
        <v>139</v>
      </c>
      <c r="B1378" s="61" t="s">
        <v>381</v>
      </c>
      <c r="C1378" s="62">
        <v>44800</v>
      </c>
      <c r="D1378" s="62">
        <v>44800</v>
      </c>
      <c r="E1378" s="63">
        <v>0</v>
      </c>
    </row>
    <row r="1379" spans="1:5">
      <c r="A1379" s="61" t="s">
        <v>139</v>
      </c>
      <c r="B1379" s="61" t="s">
        <v>381</v>
      </c>
      <c r="C1379" s="62">
        <v>44801</v>
      </c>
      <c r="D1379" s="62">
        <v>44801</v>
      </c>
      <c r="E1379" s="63">
        <v>0</v>
      </c>
    </row>
    <row r="1380" spans="1:5">
      <c r="A1380" s="61" t="s">
        <v>139</v>
      </c>
      <c r="B1380" s="61" t="s">
        <v>381</v>
      </c>
      <c r="C1380" s="62">
        <v>44802</v>
      </c>
      <c r="D1380" s="62">
        <v>44802</v>
      </c>
      <c r="E1380" s="63">
        <v>0</v>
      </c>
    </row>
    <row r="1381" spans="1:5">
      <c r="A1381" s="61" t="s">
        <v>139</v>
      </c>
      <c r="B1381" s="61" t="s">
        <v>381</v>
      </c>
      <c r="C1381" s="62">
        <v>44803</v>
      </c>
      <c r="D1381" s="62">
        <v>44803</v>
      </c>
      <c r="E1381" s="63">
        <v>0</v>
      </c>
    </row>
    <row r="1382" spans="1:5">
      <c r="A1382" s="61" t="s">
        <v>140</v>
      </c>
      <c r="B1382" s="61" t="s">
        <v>382</v>
      </c>
      <c r="C1382" s="62">
        <v>44774</v>
      </c>
      <c r="D1382" s="62">
        <v>44774</v>
      </c>
      <c r="E1382" s="63">
        <v>0</v>
      </c>
    </row>
    <row r="1383" spans="1:5">
      <c r="A1383" s="61" t="s">
        <v>140</v>
      </c>
      <c r="B1383" s="61" t="s">
        <v>382</v>
      </c>
      <c r="C1383" s="62">
        <v>44775</v>
      </c>
      <c r="D1383" s="62">
        <v>44775</v>
      </c>
      <c r="E1383" s="63">
        <v>0</v>
      </c>
    </row>
    <row r="1384" spans="1:5">
      <c r="A1384" s="61" t="s">
        <v>140</v>
      </c>
      <c r="B1384" s="61" t="s">
        <v>382</v>
      </c>
      <c r="C1384" s="62">
        <v>44776</v>
      </c>
      <c r="D1384" s="62">
        <v>44776</v>
      </c>
      <c r="E1384" s="63">
        <v>0</v>
      </c>
    </row>
    <row r="1385" spans="1:5">
      <c r="A1385" s="61" t="s">
        <v>140</v>
      </c>
      <c r="B1385" s="61" t="s">
        <v>382</v>
      </c>
      <c r="C1385" s="62">
        <v>44777</v>
      </c>
      <c r="D1385" s="62">
        <v>44777</v>
      </c>
      <c r="E1385" s="63">
        <v>0</v>
      </c>
    </row>
    <row r="1386" spans="1:5">
      <c r="A1386" s="61" t="s">
        <v>140</v>
      </c>
      <c r="B1386" s="61" t="s">
        <v>382</v>
      </c>
      <c r="C1386" s="62">
        <v>44778</v>
      </c>
      <c r="D1386" s="62">
        <v>44778</v>
      </c>
      <c r="E1386" s="63">
        <v>0</v>
      </c>
    </row>
    <row r="1387" spans="1:5">
      <c r="A1387" s="61" t="s">
        <v>140</v>
      </c>
      <c r="B1387" s="61" t="s">
        <v>382</v>
      </c>
      <c r="C1387" s="62">
        <v>44779</v>
      </c>
      <c r="D1387" s="62">
        <v>44779</v>
      </c>
      <c r="E1387" s="63">
        <v>0</v>
      </c>
    </row>
    <row r="1388" spans="1:5">
      <c r="A1388" s="61" t="s">
        <v>140</v>
      </c>
      <c r="B1388" s="61" t="s">
        <v>382</v>
      </c>
      <c r="C1388" s="62">
        <v>44780</v>
      </c>
      <c r="D1388" s="62">
        <v>44780</v>
      </c>
      <c r="E1388" s="63">
        <v>0</v>
      </c>
    </row>
    <row r="1389" spans="1:5">
      <c r="A1389" s="61" t="s">
        <v>140</v>
      </c>
      <c r="B1389" s="61" t="s">
        <v>382</v>
      </c>
      <c r="C1389" s="62">
        <v>44781</v>
      </c>
      <c r="D1389" s="62">
        <v>44781</v>
      </c>
      <c r="E1389" s="63">
        <v>0</v>
      </c>
    </row>
    <row r="1390" spans="1:5">
      <c r="A1390" s="61" t="s">
        <v>140</v>
      </c>
      <c r="B1390" s="61" t="s">
        <v>382</v>
      </c>
      <c r="C1390" s="62">
        <v>44782</v>
      </c>
      <c r="D1390" s="62">
        <v>44782</v>
      </c>
      <c r="E1390" s="63">
        <v>0</v>
      </c>
    </row>
    <row r="1391" spans="1:5">
      <c r="A1391" s="61" t="s">
        <v>140</v>
      </c>
      <c r="B1391" s="61" t="s">
        <v>382</v>
      </c>
      <c r="C1391" s="62">
        <v>44783</v>
      </c>
      <c r="D1391" s="62">
        <v>44783</v>
      </c>
      <c r="E1391" s="63">
        <v>0</v>
      </c>
    </row>
    <row r="1392" spans="1:5">
      <c r="A1392" s="61" t="s">
        <v>140</v>
      </c>
      <c r="B1392" s="61" t="s">
        <v>382</v>
      </c>
      <c r="C1392" s="62">
        <v>44784</v>
      </c>
      <c r="D1392" s="62">
        <v>44784</v>
      </c>
      <c r="E1392" s="63">
        <v>0</v>
      </c>
    </row>
    <row r="1393" spans="1:5">
      <c r="A1393" s="61" t="s">
        <v>140</v>
      </c>
      <c r="B1393" s="61" t="s">
        <v>382</v>
      </c>
      <c r="C1393" s="62">
        <v>44785</v>
      </c>
      <c r="D1393" s="62">
        <v>44785</v>
      </c>
      <c r="E1393" s="63">
        <v>0</v>
      </c>
    </row>
    <row r="1394" spans="1:5">
      <c r="A1394" s="61" t="s">
        <v>140</v>
      </c>
      <c r="B1394" s="61" t="s">
        <v>382</v>
      </c>
      <c r="C1394" s="62">
        <v>44786</v>
      </c>
      <c r="D1394" s="62">
        <v>44786</v>
      </c>
      <c r="E1394" s="63">
        <v>0</v>
      </c>
    </row>
    <row r="1395" spans="1:5">
      <c r="A1395" s="61" t="s">
        <v>140</v>
      </c>
      <c r="B1395" s="61" t="s">
        <v>382</v>
      </c>
      <c r="C1395" s="62">
        <v>44787</v>
      </c>
      <c r="D1395" s="62">
        <v>44787</v>
      </c>
      <c r="E1395" s="63">
        <v>0</v>
      </c>
    </row>
    <row r="1396" spans="1:5">
      <c r="A1396" s="61" t="s">
        <v>140</v>
      </c>
      <c r="B1396" s="61" t="s">
        <v>382</v>
      </c>
      <c r="C1396" s="62">
        <v>44788</v>
      </c>
      <c r="D1396" s="62">
        <v>44788</v>
      </c>
      <c r="E1396" s="63">
        <v>0</v>
      </c>
    </row>
    <row r="1397" spans="1:5">
      <c r="A1397" s="61" t="s">
        <v>140</v>
      </c>
      <c r="B1397" s="61" t="s">
        <v>382</v>
      </c>
      <c r="C1397" s="62">
        <v>44789</v>
      </c>
      <c r="D1397" s="62">
        <v>44789</v>
      </c>
      <c r="E1397" s="63">
        <v>0</v>
      </c>
    </row>
    <row r="1398" spans="1:5">
      <c r="A1398" s="61" t="s">
        <v>140</v>
      </c>
      <c r="B1398" s="61" t="s">
        <v>382</v>
      </c>
      <c r="C1398" s="62">
        <v>44790</v>
      </c>
      <c r="D1398" s="62">
        <v>44790</v>
      </c>
      <c r="E1398" s="63">
        <v>0</v>
      </c>
    </row>
    <row r="1399" spans="1:5">
      <c r="A1399" s="61" t="s">
        <v>140</v>
      </c>
      <c r="B1399" s="61" t="s">
        <v>382</v>
      </c>
      <c r="C1399" s="62">
        <v>44791</v>
      </c>
      <c r="D1399" s="62">
        <v>44791</v>
      </c>
      <c r="E1399" s="63">
        <v>0</v>
      </c>
    </row>
    <row r="1400" spans="1:5">
      <c r="A1400" s="61" t="s">
        <v>140</v>
      </c>
      <c r="B1400" s="61" t="s">
        <v>382</v>
      </c>
      <c r="C1400" s="62">
        <v>44792</v>
      </c>
      <c r="D1400" s="62">
        <v>44792</v>
      </c>
      <c r="E1400" s="63">
        <v>0</v>
      </c>
    </row>
    <row r="1401" spans="1:5">
      <c r="A1401" s="61" t="s">
        <v>140</v>
      </c>
      <c r="B1401" s="61" t="s">
        <v>382</v>
      </c>
      <c r="C1401" s="62">
        <v>44793</v>
      </c>
      <c r="D1401" s="62">
        <v>44793</v>
      </c>
      <c r="E1401" s="63">
        <v>0</v>
      </c>
    </row>
    <row r="1402" spans="1:5">
      <c r="A1402" s="61" t="s">
        <v>140</v>
      </c>
      <c r="B1402" s="61" t="s">
        <v>382</v>
      </c>
      <c r="C1402" s="62">
        <v>44794</v>
      </c>
      <c r="D1402" s="62">
        <v>44794</v>
      </c>
      <c r="E1402" s="63">
        <v>0</v>
      </c>
    </row>
    <row r="1403" spans="1:5">
      <c r="A1403" s="61" t="s">
        <v>140</v>
      </c>
      <c r="B1403" s="61" t="s">
        <v>382</v>
      </c>
      <c r="C1403" s="62">
        <v>44795</v>
      </c>
      <c r="D1403" s="62">
        <v>44795</v>
      </c>
      <c r="E1403" s="63">
        <v>0</v>
      </c>
    </row>
    <row r="1404" spans="1:5">
      <c r="A1404" s="61" t="s">
        <v>140</v>
      </c>
      <c r="B1404" s="61" t="s">
        <v>382</v>
      </c>
      <c r="C1404" s="62">
        <v>44796</v>
      </c>
      <c r="D1404" s="62">
        <v>44796</v>
      </c>
      <c r="E1404" s="63">
        <v>0</v>
      </c>
    </row>
    <row r="1405" spans="1:5">
      <c r="A1405" s="61" t="s">
        <v>140</v>
      </c>
      <c r="B1405" s="61" t="s">
        <v>382</v>
      </c>
      <c r="C1405" s="62">
        <v>44797</v>
      </c>
      <c r="D1405" s="62">
        <v>44797</v>
      </c>
      <c r="E1405" s="63">
        <v>0</v>
      </c>
    </row>
    <row r="1406" spans="1:5">
      <c r="A1406" s="61" t="s">
        <v>140</v>
      </c>
      <c r="B1406" s="61" t="s">
        <v>382</v>
      </c>
      <c r="C1406" s="62">
        <v>44798</v>
      </c>
      <c r="D1406" s="62">
        <v>44798</v>
      </c>
      <c r="E1406" s="63">
        <v>0</v>
      </c>
    </row>
    <row r="1407" spans="1:5">
      <c r="A1407" s="61" t="s">
        <v>140</v>
      </c>
      <c r="B1407" s="61" t="s">
        <v>382</v>
      </c>
      <c r="C1407" s="62">
        <v>44799</v>
      </c>
      <c r="D1407" s="62">
        <v>44799</v>
      </c>
      <c r="E1407" s="63">
        <v>0</v>
      </c>
    </row>
    <row r="1408" spans="1:5">
      <c r="A1408" s="61" t="s">
        <v>140</v>
      </c>
      <c r="B1408" s="61" t="s">
        <v>382</v>
      </c>
      <c r="C1408" s="62">
        <v>44800</v>
      </c>
      <c r="D1408" s="62">
        <v>44800</v>
      </c>
      <c r="E1408" s="63">
        <v>0</v>
      </c>
    </row>
    <row r="1409" spans="1:5">
      <c r="A1409" s="61" t="s">
        <v>140</v>
      </c>
      <c r="B1409" s="61" t="s">
        <v>382</v>
      </c>
      <c r="C1409" s="62">
        <v>44801</v>
      </c>
      <c r="D1409" s="62">
        <v>44801</v>
      </c>
      <c r="E1409" s="63">
        <v>0</v>
      </c>
    </row>
    <row r="1410" spans="1:5">
      <c r="A1410" s="61" t="s">
        <v>140</v>
      </c>
      <c r="B1410" s="61" t="s">
        <v>382</v>
      </c>
      <c r="C1410" s="62">
        <v>44802</v>
      </c>
      <c r="D1410" s="62">
        <v>44802</v>
      </c>
      <c r="E1410" s="63">
        <v>0</v>
      </c>
    </row>
    <row r="1411" spans="1:5">
      <c r="A1411" s="61" t="s">
        <v>140</v>
      </c>
      <c r="B1411" s="61" t="s">
        <v>382</v>
      </c>
      <c r="C1411" s="62">
        <v>44803</v>
      </c>
      <c r="D1411" s="62">
        <v>44803</v>
      </c>
      <c r="E1411" s="63">
        <v>0</v>
      </c>
    </row>
    <row r="1412" spans="1:5">
      <c r="A1412" s="61" t="s">
        <v>141</v>
      </c>
      <c r="B1412" s="61" t="s">
        <v>383</v>
      </c>
      <c r="C1412" s="62">
        <v>44774</v>
      </c>
      <c r="D1412" s="62">
        <v>44774</v>
      </c>
      <c r="E1412" s="63">
        <v>0</v>
      </c>
    </row>
    <row r="1413" spans="1:5">
      <c r="A1413" s="61" t="s">
        <v>141</v>
      </c>
      <c r="B1413" s="61" t="s">
        <v>383</v>
      </c>
      <c r="C1413" s="62">
        <v>44775</v>
      </c>
      <c r="D1413" s="62">
        <v>44775</v>
      </c>
      <c r="E1413" s="63">
        <v>0</v>
      </c>
    </row>
    <row r="1414" spans="1:5">
      <c r="A1414" s="61" t="s">
        <v>141</v>
      </c>
      <c r="B1414" s="61" t="s">
        <v>383</v>
      </c>
      <c r="C1414" s="62">
        <v>44776</v>
      </c>
      <c r="D1414" s="62">
        <v>44776</v>
      </c>
      <c r="E1414" s="63">
        <v>0</v>
      </c>
    </row>
    <row r="1415" spans="1:5">
      <c r="A1415" s="61" t="s">
        <v>141</v>
      </c>
      <c r="B1415" s="61" t="s">
        <v>383</v>
      </c>
      <c r="C1415" s="62">
        <v>44777</v>
      </c>
      <c r="D1415" s="62">
        <v>44777</v>
      </c>
      <c r="E1415" s="63">
        <v>0</v>
      </c>
    </row>
    <row r="1416" spans="1:5">
      <c r="A1416" s="61" t="s">
        <v>141</v>
      </c>
      <c r="B1416" s="61" t="s">
        <v>383</v>
      </c>
      <c r="C1416" s="62">
        <v>44778</v>
      </c>
      <c r="D1416" s="62">
        <v>44778</v>
      </c>
      <c r="E1416" s="63">
        <v>0</v>
      </c>
    </row>
    <row r="1417" spans="1:5">
      <c r="A1417" s="61" t="s">
        <v>141</v>
      </c>
      <c r="B1417" s="61" t="s">
        <v>383</v>
      </c>
      <c r="C1417" s="62">
        <v>44779</v>
      </c>
      <c r="D1417" s="62">
        <v>44779</v>
      </c>
      <c r="E1417" s="63">
        <v>0</v>
      </c>
    </row>
    <row r="1418" spans="1:5">
      <c r="A1418" s="61" t="s">
        <v>141</v>
      </c>
      <c r="B1418" s="61" t="s">
        <v>383</v>
      </c>
      <c r="C1418" s="62">
        <v>44780</v>
      </c>
      <c r="D1418" s="62">
        <v>44780</v>
      </c>
      <c r="E1418" s="63">
        <v>0</v>
      </c>
    </row>
    <row r="1419" spans="1:5">
      <c r="A1419" s="61" t="s">
        <v>141</v>
      </c>
      <c r="B1419" s="61" t="s">
        <v>383</v>
      </c>
      <c r="C1419" s="62">
        <v>44781</v>
      </c>
      <c r="D1419" s="62">
        <v>44781</v>
      </c>
      <c r="E1419" s="63">
        <v>0</v>
      </c>
    </row>
    <row r="1420" spans="1:5">
      <c r="A1420" s="61" t="s">
        <v>141</v>
      </c>
      <c r="B1420" s="61" t="s">
        <v>383</v>
      </c>
      <c r="C1420" s="62">
        <v>44782</v>
      </c>
      <c r="D1420" s="62">
        <v>44782</v>
      </c>
      <c r="E1420" s="63">
        <v>0</v>
      </c>
    </row>
    <row r="1421" spans="1:5">
      <c r="A1421" s="61" t="s">
        <v>141</v>
      </c>
      <c r="B1421" s="61" t="s">
        <v>383</v>
      </c>
      <c r="C1421" s="62">
        <v>44783</v>
      </c>
      <c r="D1421" s="62">
        <v>44783</v>
      </c>
      <c r="E1421" s="63">
        <v>0</v>
      </c>
    </row>
    <row r="1422" spans="1:5">
      <c r="A1422" s="61" t="s">
        <v>141</v>
      </c>
      <c r="B1422" s="61" t="s">
        <v>383</v>
      </c>
      <c r="C1422" s="62">
        <v>44784</v>
      </c>
      <c r="D1422" s="62">
        <v>44784</v>
      </c>
      <c r="E1422" s="63">
        <v>0</v>
      </c>
    </row>
    <row r="1423" spans="1:5">
      <c r="A1423" s="61" t="s">
        <v>141</v>
      </c>
      <c r="B1423" s="61" t="s">
        <v>383</v>
      </c>
      <c r="C1423" s="62">
        <v>44785</v>
      </c>
      <c r="D1423" s="62">
        <v>44785</v>
      </c>
      <c r="E1423" s="63">
        <v>0</v>
      </c>
    </row>
    <row r="1424" spans="1:5">
      <c r="A1424" s="61" t="s">
        <v>141</v>
      </c>
      <c r="B1424" s="61" t="s">
        <v>383</v>
      </c>
      <c r="C1424" s="62">
        <v>44786</v>
      </c>
      <c r="D1424" s="62">
        <v>44786</v>
      </c>
      <c r="E1424" s="63">
        <v>0</v>
      </c>
    </row>
    <row r="1425" spans="1:5">
      <c r="A1425" s="61" t="s">
        <v>141</v>
      </c>
      <c r="B1425" s="61" t="s">
        <v>383</v>
      </c>
      <c r="C1425" s="62">
        <v>44787</v>
      </c>
      <c r="D1425" s="62">
        <v>44787</v>
      </c>
      <c r="E1425" s="63">
        <v>0</v>
      </c>
    </row>
    <row r="1426" spans="1:5">
      <c r="A1426" s="61" t="s">
        <v>141</v>
      </c>
      <c r="B1426" s="61" t="s">
        <v>383</v>
      </c>
      <c r="C1426" s="62">
        <v>44788</v>
      </c>
      <c r="D1426" s="62">
        <v>44788</v>
      </c>
      <c r="E1426" s="63">
        <v>0</v>
      </c>
    </row>
    <row r="1427" spans="1:5">
      <c r="A1427" s="61" t="s">
        <v>141</v>
      </c>
      <c r="B1427" s="61" t="s">
        <v>383</v>
      </c>
      <c r="C1427" s="62">
        <v>44789</v>
      </c>
      <c r="D1427" s="62">
        <v>44789</v>
      </c>
      <c r="E1427" s="63">
        <v>0</v>
      </c>
    </row>
    <row r="1428" spans="1:5">
      <c r="A1428" s="61" t="s">
        <v>141</v>
      </c>
      <c r="B1428" s="61" t="s">
        <v>383</v>
      </c>
      <c r="C1428" s="62">
        <v>44790</v>
      </c>
      <c r="D1428" s="62">
        <v>44790</v>
      </c>
      <c r="E1428" s="63">
        <v>0</v>
      </c>
    </row>
    <row r="1429" spans="1:5">
      <c r="A1429" s="61" t="s">
        <v>141</v>
      </c>
      <c r="B1429" s="61" t="s">
        <v>383</v>
      </c>
      <c r="C1429" s="62">
        <v>44791</v>
      </c>
      <c r="D1429" s="62">
        <v>44791</v>
      </c>
      <c r="E1429" s="63">
        <v>0</v>
      </c>
    </row>
    <row r="1430" spans="1:5">
      <c r="A1430" s="61" t="s">
        <v>141</v>
      </c>
      <c r="B1430" s="61" t="s">
        <v>383</v>
      </c>
      <c r="C1430" s="62">
        <v>44792</v>
      </c>
      <c r="D1430" s="62">
        <v>44792</v>
      </c>
      <c r="E1430" s="63">
        <v>0</v>
      </c>
    </row>
    <row r="1431" spans="1:5">
      <c r="A1431" s="61" t="s">
        <v>141</v>
      </c>
      <c r="B1431" s="61" t="s">
        <v>383</v>
      </c>
      <c r="C1431" s="62">
        <v>44793</v>
      </c>
      <c r="D1431" s="62">
        <v>44793</v>
      </c>
      <c r="E1431" s="63">
        <v>0</v>
      </c>
    </row>
    <row r="1432" spans="1:5">
      <c r="A1432" s="61" t="s">
        <v>141</v>
      </c>
      <c r="B1432" s="61" t="s">
        <v>383</v>
      </c>
      <c r="C1432" s="62">
        <v>44794</v>
      </c>
      <c r="D1432" s="62">
        <v>44794</v>
      </c>
      <c r="E1432" s="63">
        <v>0</v>
      </c>
    </row>
    <row r="1433" spans="1:5">
      <c r="A1433" s="61" t="s">
        <v>141</v>
      </c>
      <c r="B1433" s="61" t="s">
        <v>383</v>
      </c>
      <c r="C1433" s="62">
        <v>44795</v>
      </c>
      <c r="D1433" s="62">
        <v>44795</v>
      </c>
      <c r="E1433" s="63">
        <v>0</v>
      </c>
    </row>
    <row r="1434" spans="1:5">
      <c r="A1434" s="61" t="s">
        <v>141</v>
      </c>
      <c r="B1434" s="61" t="s">
        <v>383</v>
      </c>
      <c r="C1434" s="62">
        <v>44796</v>
      </c>
      <c r="D1434" s="62">
        <v>44796</v>
      </c>
      <c r="E1434" s="63">
        <v>0</v>
      </c>
    </row>
    <row r="1435" spans="1:5">
      <c r="A1435" s="61" t="s">
        <v>141</v>
      </c>
      <c r="B1435" s="61" t="s">
        <v>383</v>
      </c>
      <c r="C1435" s="62">
        <v>44797</v>
      </c>
      <c r="D1435" s="62">
        <v>44797</v>
      </c>
      <c r="E1435" s="63">
        <v>0</v>
      </c>
    </row>
    <row r="1436" spans="1:5">
      <c r="A1436" s="61" t="s">
        <v>141</v>
      </c>
      <c r="B1436" s="61" t="s">
        <v>383</v>
      </c>
      <c r="C1436" s="62">
        <v>44798</v>
      </c>
      <c r="D1436" s="62">
        <v>44798</v>
      </c>
      <c r="E1436" s="63">
        <v>0</v>
      </c>
    </row>
    <row r="1437" spans="1:5">
      <c r="A1437" s="61" t="s">
        <v>141</v>
      </c>
      <c r="B1437" s="61" t="s">
        <v>383</v>
      </c>
      <c r="C1437" s="62">
        <v>44799</v>
      </c>
      <c r="D1437" s="62">
        <v>44799</v>
      </c>
      <c r="E1437" s="63">
        <v>0</v>
      </c>
    </row>
    <row r="1438" spans="1:5">
      <c r="A1438" s="61" t="s">
        <v>141</v>
      </c>
      <c r="B1438" s="61" t="s">
        <v>383</v>
      </c>
      <c r="C1438" s="62">
        <v>44800</v>
      </c>
      <c r="D1438" s="62">
        <v>44800</v>
      </c>
      <c r="E1438" s="63">
        <v>0</v>
      </c>
    </row>
    <row r="1439" spans="1:5">
      <c r="A1439" s="61" t="s">
        <v>141</v>
      </c>
      <c r="B1439" s="61" t="s">
        <v>383</v>
      </c>
      <c r="C1439" s="62">
        <v>44801</v>
      </c>
      <c r="D1439" s="62">
        <v>44801</v>
      </c>
      <c r="E1439" s="63">
        <v>0</v>
      </c>
    </row>
    <row r="1440" spans="1:5">
      <c r="A1440" s="61" t="s">
        <v>141</v>
      </c>
      <c r="B1440" s="61" t="s">
        <v>383</v>
      </c>
      <c r="C1440" s="62">
        <v>44802</v>
      </c>
      <c r="D1440" s="62">
        <v>44802</v>
      </c>
      <c r="E1440" s="63">
        <v>0</v>
      </c>
    </row>
    <row r="1441" spans="1:5">
      <c r="A1441" s="61" t="s">
        <v>141</v>
      </c>
      <c r="B1441" s="61" t="s">
        <v>383</v>
      </c>
      <c r="C1441" s="62">
        <v>44803</v>
      </c>
      <c r="D1441" s="62">
        <v>44803</v>
      </c>
      <c r="E1441" s="63">
        <v>0</v>
      </c>
    </row>
    <row r="1442" spans="1:5">
      <c r="A1442" s="61" t="s">
        <v>31</v>
      </c>
      <c r="B1442" s="61" t="s">
        <v>380</v>
      </c>
      <c r="C1442" s="62">
        <v>44774</v>
      </c>
      <c r="D1442" s="62">
        <v>44774</v>
      </c>
      <c r="E1442" s="63">
        <v>0</v>
      </c>
    </row>
    <row r="1443" spans="1:5">
      <c r="A1443" s="61" t="s">
        <v>31</v>
      </c>
      <c r="B1443" s="61" t="s">
        <v>380</v>
      </c>
      <c r="C1443" s="62">
        <v>44775</v>
      </c>
      <c r="D1443" s="62">
        <v>44775</v>
      </c>
      <c r="E1443" s="63">
        <v>0</v>
      </c>
    </row>
    <row r="1444" spans="1:5">
      <c r="A1444" s="61" t="s">
        <v>31</v>
      </c>
      <c r="B1444" s="61" t="s">
        <v>380</v>
      </c>
      <c r="C1444" s="62">
        <v>44776</v>
      </c>
      <c r="D1444" s="62">
        <v>44776</v>
      </c>
      <c r="E1444" s="63">
        <v>0</v>
      </c>
    </row>
    <row r="1445" spans="1:5">
      <c r="A1445" s="61" t="s">
        <v>31</v>
      </c>
      <c r="B1445" s="61" t="s">
        <v>380</v>
      </c>
      <c r="C1445" s="62">
        <v>44777</v>
      </c>
      <c r="D1445" s="62">
        <v>44777</v>
      </c>
      <c r="E1445" s="63">
        <v>0</v>
      </c>
    </row>
    <row r="1446" spans="1:5">
      <c r="A1446" s="61" t="s">
        <v>31</v>
      </c>
      <c r="B1446" s="61" t="s">
        <v>380</v>
      </c>
      <c r="C1446" s="62">
        <v>44778</v>
      </c>
      <c r="D1446" s="62">
        <v>44778</v>
      </c>
      <c r="E1446" s="63">
        <v>0</v>
      </c>
    </row>
    <row r="1447" spans="1:5">
      <c r="A1447" s="61" t="s">
        <v>31</v>
      </c>
      <c r="B1447" s="61" t="s">
        <v>380</v>
      </c>
      <c r="C1447" s="62">
        <v>44779</v>
      </c>
      <c r="D1447" s="62">
        <v>44779</v>
      </c>
      <c r="E1447" s="63">
        <v>0</v>
      </c>
    </row>
    <row r="1448" spans="1:5">
      <c r="A1448" s="61" t="s">
        <v>31</v>
      </c>
      <c r="B1448" s="61" t="s">
        <v>380</v>
      </c>
      <c r="C1448" s="62">
        <v>44780</v>
      </c>
      <c r="D1448" s="62">
        <v>44780</v>
      </c>
      <c r="E1448" s="63">
        <v>0</v>
      </c>
    </row>
    <row r="1449" spans="1:5">
      <c r="A1449" s="61" t="s">
        <v>31</v>
      </c>
      <c r="B1449" s="61" t="s">
        <v>380</v>
      </c>
      <c r="C1449" s="62">
        <v>44781</v>
      </c>
      <c r="D1449" s="62">
        <v>44781</v>
      </c>
      <c r="E1449" s="63">
        <v>0</v>
      </c>
    </row>
    <row r="1450" spans="1:5">
      <c r="A1450" s="61" t="s">
        <v>31</v>
      </c>
      <c r="B1450" s="61" t="s">
        <v>380</v>
      </c>
      <c r="C1450" s="62">
        <v>44782</v>
      </c>
      <c r="D1450" s="62">
        <v>44782</v>
      </c>
      <c r="E1450" s="63">
        <v>0</v>
      </c>
    </row>
    <row r="1451" spans="1:5">
      <c r="A1451" s="61" t="s">
        <v>31</v>
      </c>
      <c r="B1451" s="61" t="s">
        <v>380</v>
      </c>
      <c r="C1451" s="62">
        <v>44783</v>
      </c>
      <c r="D1451" s="62">
        <v>44783</v>
      </c>
      <c r="E1451" s="63">
        <v>0</v>
      </c>
    </row>
    <row r="1452" spans="1:5">
      <c r="A1452" s="61" t="s">
        <v>31</v>
      </c>
      <c r="B1452" s="61" t="s">
        <v>380</v>
      </c>
      <c r="C1452" s="62">
        <v>44784</v>
      </c>
      <c r="D1452" s="62">
        <v>44784</v>
      </c>
      <c r="E1452" s="63">
        <v>0</v>
      </c>
    </row>
    <row r="1453" spans="1:5">
      <c r="A1453" s="61" t="s">
        <v>31</v>
      </c>
      <c r="B1453" s="61" t="s">
        <v>380</v>
      </c>
      <c r="C1453" s="62">
        <v>44785</v>
      </c>
      <c r="D1453" s="62">
        <v>44785</v>
      </c>
      <c r="E1453" s="63">
        <v>0</v>
      </c>
    </row>
    <row r="1454" spans="1:5">
      <c r="A1454" s="61" t="s">
        <v>31</v>
      </c>
      <c r="B1454" s="61" t="s">
        <v>380</v>
      </c>
      <c r="C1454" s="62">
        <v>44786</v>
      </c>
      <c r="D1454" s="62">
        <v>44786</v>
      </c>
      <c r="E1454" s="63">
        <v>0</v>
      </c>
    </row>
    <row r="1455" spans="1:5">
      <c r="A1455" s="61" t="s">
        <v>31</v>
      </c>
      <c r="B1455" s="61" t="s">
        <v>380</v>
      </c>
      <c r="C1455" s="62">
        <v>44787</v>
      </c>
      <c r="D1455" s="62">
        <v>44787</v>
      </c>
      <c r="E1455" s="63">
        <v>0</v>
      </c>
    </row>
    <row r="1456" spans="1:5">
      <c r="A1456" s="61" t="s">
        <v>31</v>
      </c>
      <c r="B1456" s="61" t="s">
        <v>380</v>
      </c>
      <c r="C1456" s="62">
        <v>44788</v>
      </c>
      <c r="D1456" s="62">
        <v>44788</v>
      </c>
      <c r="E1456" s="63">
        <v>0</v>
      </c>
    </row>
    <row r="1457" spans="1:5">
      <c r="A1457" s="61" t="s">
        <v>31</v>
      </c>
      <c r="B1457" s="61" t="s">
        <v>380</v>
      </c>
      <c r="C1457" s="62">
        <v>44789</v>
      </c>
      <c r="D1457" s="62">
        <v>44789</v>
      </c>
      <c r="E1457" s="63">
        <v>0</v>
      </c>
    </row>
    <row r="1458" spans="1:5">
      <c r="A1458" s="61" t="s">
        <v>31</v>
      </c>
      <c r="B1458" s="61" t="s">
        <v>380</v>
      </c>
      <c r="C1458" s="62">
        <v>44790</v>
      </c>
      <c r="D1458" s="62">
        <v>44790</v>
      </c>
      <c r="E1458" s="63">
        <v>0</v>
      </c>
    </row>
    <row r="1459" spans="1:5">
      <c r="A1459" s="61" t="s">
        <v>31</v>
      </c>
      <c r="B1459" s="61" t="s">
        <v>380</v>
      </c>
      <c r="C1459" s="62">
        <v>44791</v>
      </c>
      <c r="D1459" s="62">
        <v>44791</v>
      </c>
      <c r="E1459" s="63">
        <v>0</v>
      </c>
    </row>
    <row r="1460" spans="1:5">
      <c r="A1460" s="61" t="s">
        <v>31</v>
      </c>
      <c r="B1460" s="61" t="s">
        <v>380</v>
      </c>
      <c r="C1460" s="62">
        <v>44792</v>
      </c>
      <c r="D1460" s="62">
        <v>44792</v>
      </c>
      <c r="E1460" s="63">
        <v>0</v>
      </c>
    </row>
    <row r="1461" spans="1:5">
      <c r="A1461" s="61" t="s">
        <v>31</v>
      </c>
      <c r="B1461" s="61" t="s">
        <v>380</v>
      </c>
      <c r="C1461" s="62">
        <v>44793</v>
      </c>
      <c r="D1461" s="62">
        <v>44793</v>
      </c>
      <c r="E1461" s="63">
        <v>0</v>
      </c>
    </row>
    <row r="1462" spans="1:5">
      <c r="A1462" s="61" t="s">
        <v>31</v>
      </c>
      <c r="B1462" s="61" t="s">
        <v>380</v>
      </c>
      <c r="C1462" s="62">
        <v>44794</v>
      </c>
      <c r="D1462" s="62">
        <v>44794</v>
      </c>
      <c r="E1462" s="63">
        <v>0</v>
      </c>
    </row>
    <row r="1463" spans="1:5">
      <c r="A1463" s="61" t="s">
        <v>31</v>
      </c>
      <c r="B1463" s="61" t="s">
        <v>380</v>
      </c>
      <c r="C1463" s="62">
        <v>44795</v>
      </c>
      <c r="D1463" s="62">
        <v>44795</v>
      </c>
      <c r="E1463" s="63">
        <v>0</v>
      </c>
    </row>
    <row r="1464" spans="1:5">
      <c r="A1464" s="61" t="s">
        <v>31</v>
      </c>
      <c r="B1464" s="61" t="s">
        <v>380</v>
      </c>
      <c r="C1464" s="62">
        <v>44796</v>
      </c>
      <c r="D1464" s="62">
        <v>44796</v>
      </c>
      <c r="E1464" s="63">
        <v>0</v>
      </c>
    </row>
    <row r="1465" spans="1:5">
      <c r="A1465" s="61" t="s">
        <v>31</v>
      </c>
      <c r="B1465" s="61" t="s">
        <v>380</v>
      </c>
      <c r="C1465" s="62">
        <v>44797</v>
      </c>
      <c r="D1465" s="62">
        <v>44797</v>
      </c>
      <c r="E1465" s="63">
        <v>0</v>
      </c>
    </row>
    <row r="1466" spans="1:5">
      <c r="A1466" s="61" t="s">
        <v>31</v>
      </c>
      <c r="B1466" s="61" t="s">
        <v>380</v>
      </c>
      <c r="C1466" s="62">
        <v>44798</v>
      </c>
      <c r="D1466" s="62">
        <v>44798</v>
      </c>
      <c r="E1466" s="63">
        <v>0</v>
      </c>
    </row>
    <row r="1467" spans="1:5">
      <c r="A1467" s="61" t="s">
        <v>31</v>
      </c>
      <c r="B1467" s="61" t="s">
        <v>380</v>
      </c>
      <c r="C1467" s="62">
        <v>44799</v>
      </c>
      <c r="D1467" s="62">
        <v>44799</v>
      </c>
      <c r="E1467" s="63">
        <v>0</v>
      </c>
    </row>
    <row r="1468" spans="1:5">
      <c r="A1468" s="61" t="s">
        <v>31</v>
      </c>
      <c r="B1468" s="61" t="s">
        <v>380</v>
      </c>
      <c r="C1468" s="62">
        <v>44800</v>
      </c>
      <c r="D1468" s="62">
        <v>44800</v>
      </c>
      <c r="E1468" s="63">
        <v>0</v>
      </c>
    </row>
    <row r="1469" spans="1:5">
      <c r="A1469" s="61" t="s">
        <v>31</v>
      </c>
      <c r="B1469" s="61" t="s">
        <v>380</v>
      </c>
      <c r="C1469" s="62">
        <v>44801</v>
      </c>
      <c r="D1469" s="62">
        <v>44801</v>
      </c>
      <c r="E1469" s="63">
        <v>0</v>
      </c>
    </row>
    <row r="1470" spans="1:5">
      <c r="A1470" s="61" t="s">
        <v>31</v>
      </c>
      <c r="B1470" s="61" t="s">
        <v>380</v>
      </c>
      <c r="C1470" s="62">
        <v>44802</v>
      </c>
      <c r="D1470" s="62">
        <v>44802</v>
      </c>
      <c r="E1470" s="63">
        <v>0</v>
      </c>
    </row>
    <row r="1471" spans="1:5">
      <c r="A1471" s="61" t="s">
        <v>31</v>
      </c>
      <c r="B1471" s="61" t="s">
        <v>380</v>
      </c>
      <c r="C1471" s="62">
        <v>44803</v>
      </c>
      <c r="D1471" s="62">
        <v>44803</v>
      </c>
      <c r="E1471" s="63">
        <v>0</v>
      </c>
    </row>
    <row r="1472" spans="1:5">
      <c r="A1472" s="61" t="s">
        <v>142</v>
      </c>
      <c r="B1472" s="61" t="s">
        <v>381</v>
      </c>
      <c r="C1472" s="62">
        <v>44774</v>
      </c>
      <c r="D1472" s="62">
        <v>44774</v>
      </c>
      <c r="E1472" s="63">
        <v>0</v>
      </c>
    </row>
    <row r="1473" spans="1:5">
      <c r="A1473" s="61" t="s">
        <v>142</v>
      </c>
      <c r="B1473" s="61" t="s">
        <v>381</v>
      </c>
      <c r="C1473" s="62">
        <v>44775</v>
      </c>
      <c r="D1473" s="62">
        <v>44775</v>
      </c>
      <c r="E1473" s="63">
        <v>0</v>
      </c>
    </row>
    <row r="1474" spans="1:5">
      <c r="A1474" s="61" t="s">
        <v>142</v>
      </c>
      <c r="B1474" s="61" t="s">
        <v>381</v>
      </c>
      <c r="C1474" s="62">
        <v>44776</v>
      </c>
      <c r="D1474" s="62">
        <v>44776</v>
      </c>
      <c r="E1474" s="63">
        <v>0</v>
      </c>
    </row>
    <row r="1475" spans="1:5">
      <c r="A1475" s="61" t="s">
        <v>142</v>
      </c>
      <c r="B1475" s="61" t="s">
        <v>381</v>
      </c>
      <c r="C1475" s="62">
        <v>44777</v>
      </c>
      <c r="D1475" s="62">
        <v>44777</v>
      </c>
      <c r="E1475" s="63">
        <v>0</v>
      </c>
    </row>
    <row r="1476" spans="1:5">
      <c r="A1476" s="61" t="s">
        <v>142</v>
      </c>
      <c r="B1476" s="61" t="s">
        <v>381</v>
      </c>
      <c r="C1476" s="62">
        <v>44778</v>
      </c>
      <c r="D1476" s="62">
        <v>44778</v>
      </c>
      <c r="E1476" s="63">
        <v>0</v>
      </c>
    </row>
    <row r="1477" spans="1:5">
      <c r="A1477" s="61" t="s">
        <v>142</v>
      </c>
      <c r="B1477" s="61" t="s">
        <v>381</v>
      </c>
      <c r="C1477" s="62">
        <v>44779</v>
      </c>
      <c r="D1477" s="62">
        <v>44779</v>
      </c>
      <c r="E1477" s="63">
        <v>0</v>
      </c>
    </row>
    <row r="1478" spans="1:5">
      <c r="A1478" s="61" t="s">
        <v>142</v>
      </c>
      <c r="B1478" s="61" t="s">
        <v>381</v>
      </c>
      <c r="C1478" s="62">
        <v>44780</v>
      </c>
      <c r="D1478" s="62">
        <v>44780</v>
      </c>
      <c r="E1478" s="63">
        <v>0</v>
      </c>
    </row>
    <row r="1479" spans="1:5">
      <c r="A1479" s="61" t="s">
        <v>142</v>
      </c>
      <c r="B1479" s="61" t="s">
        <v>381</v>
      </c>
      <c r="C1479" s="62">
        <v>44781</v>
      </c>
      <c r="D1479" s="62">
        <v>44781</v>
      </c>
      <c r="E1479" s="63">
        <v>0</v>
      </c>
    </row>
    <row r="1480" spans="1:5">
      <c r="A1480" s="61" t="s">
        <v>142</v>
      </c>
      <c r="B1480" s="61" t="s">
        <v>381</v>
      </c>
      <c r="C1480" s="62">
        <v>44782</v>
      </c>
      <c r="D1480" s="62">
        <v>44782</v>
      </c>
      <c r="E1480" s="63">
        <v>0</v>
      </c>
    </row>
    <row r="1481" spans="1:5">
      <c r="A1481" s="61" t="s">
        <v>142</v>
      </c>
      <c r="B1481" s="61" t="s">
        <v>381</v>
      </c>
      <c r="C1481" s="62">
        <v>44783</v>
      </c>
      <c r="D1481" s="62">
        <v>44783</v>
      </c>
      <c r="E1481" s="63">
        <v>0</v>
      </c>
    </row>
    <row r="1482" spans="1:5">
      <c r="A1482" s="61" t="s">
        <v>142</v>
      </c>
      <c r="B1482" s="61" t="s">
        <v>381</v>
      </c>
      <c r="C1482" s="62">
        <v>44784</v>
      </c>
      <c r="D1482" s="62">
        <v>44784</v>
      </c>
      <c r="E1482" s="63">
        <v>0</v>
      </c>
    </row>
    <row r="1483" spans="1:5">
      <c r="A1483" s="61" t="s">
        <v>142</v>
      </c>
      <c r="B1483" s="61" t="s">
        <v>381</v>
      </c>
      <c r="C1483" s="62">
        <v>44785</v>
      </c>
      <c r="D1483" s="62">
        <v>44785</v>
      </c>
      <c r="E1483" s="63">
        <v>0</v>
      </c>
    </row>
    <row r="1484" spans="1:5">
      <c r="A1484" s="61" t="s">
        <v>142</v>
      </c>
      <c r="B1484" s="61" t="s">
        <v>381</v>
      </c>
      <c r="C1484" s="62">
        <v>44786</v>
      </c>
      <c r="D1484" s="62">
        <v>44786</v>
      </c>
      <c r="E1484" s="63">
        <v>0</v>
      </c>
    </row>
    <row r="1485" spans="1:5">
      <c r="A1485" s="61" t="s">
        <v>142</v>
      </c>
      <c r="B1485" s="61" t="s">
        <v>381</v>
      </c>
      <c r="C1485" s="62">
        <v>44787</v>
      </c>
      <c r="D1485" s="62">
        <v>44787</v>
      </c>
      <c r="E1485" s="63">
        <v>0</v>
      </c>
    </row>
    <row r="1486" spans="1:5">
      <c r="A1486" s="61" t="s">
        <v>142</v>
      </c>
      <c r="B1486" s="61" t="s">
        <v>381</v>
      </c>
      <c r="C1486" s="62">
        <v>44788</v>
      </c>
      <c r="D1486" s="62">
        <v>44788</v>
      </c>
      <c r="E1486" s="63">
        <v>0</v>
      </c>
    </row>
    <row r="1487" spans="1:5">
      <c r="A1487" s="61" t="s">
        <v>142</v>
      </c>
      <c r="B1487" s="61" t="s">
        <v>381</v>
      </c>
      <c r="C1487" s="62">
        <v>44789</v>
      </c>
      <c r="D1487" s="62">
        <v>44789</v>
      </c>
      <c r="E1487" s="63">
        <v>0</v>
      </c>
    </row>
    <row r="1488" spans="1:5">
      <c r="A1488" s="61" t="s">
        <v>142</v>
      </c>
      <c r="B1488" s="61" t="s">
        <v>381</v>
      </c>
      <c r="C1488" s="62">
        <v>44790</v>
      </c>
      <c r="D1488" s="62">
        <v>44790</v>
      </c>
      <c r="E1488" s="63">
        <v>0</v>
      </c>
    </row>
    <row r="1489" spans="1:5">
      <c r="A1489" s="61" t="s">
        <v>142</v>
      </c>
      <c r="B1489" s="61" t="s">
        <v>381</v>
      </c>
      <c r="C1489" s="62">
        <v>44791</v>
      </c>
      <c r="D1489" s="62">
        <v>44791</v>
      </c>
      <c r="E1489" s="63">
        <v>0</v>
      </c>
    </row>
    <row r="1490" spans="1:5">
      <c r="A1490" s="61" t="s">
        <v>142</v>
      </c>
      <c r="B1490" s="61" t="s">
        <v>381</v>
      </c>
      <c r="C1490" s="62">
        <v>44792</v>
      </c>
      <c r="D1490" s="62">
        <v>44792</v>
      </c>
      <c r="E1490" s="63">
        <v>0</v>
      </c>
    </row>
    <row r="1491" spans="1:5">
      <c r="A1491" s="61" t="s">
        <v>142</v>
      </c>
      <c r="B1491" s="61" t="s">
        <v>381</v>
      </c>
      <c r="C1491" s="62">
        <v>44793</v>
      </c>
      <c r="D1491" s="62">
        <v>44793</v>
      </c>
      <c r="E1491" s="63">
        <v>0</v>
      </c>
    </row>
    <row r="1492" spans="1:5">
      <c r="A1492" s="61" t="s">
        <v>142</v>
      </c>
      <c r="B1492" s="61" t="s">
        <v>381</v>
      </c>
      <c r="C1492" s="62">
        <v>44794</v>
      </c>
      <c r="D1492" s="62">
        <v>44794</v>
      </c>
      <c r="E1492" s="63">
        <v>0</v>
      </c>
    </row>
    <row r="1493" spans="1:5">
      <c r="A1493" s="61" t="s">
        <v>142</v>
      </c>
      <c r="B1493" s="61" t="s">
        <v>381</v>
      </c>
      <c r="C1493" s="62">
        <v>44795</v>
      </c>
      <c r="D1493" s="62">
        <v>44795</v>
      </c>
      <c r="E1493" s="63">
        <v>0</v>
      </c>
    </row>
    <row r="1494" spans="1:5">
      <c r="A1494" s="61" t="s">
        <v>142</v>
      </c>
      <c r="B1494" s="61" t="s">
        <v>381</v>
      </c>
      <c r="C1494" s="62">
        <v>44796</v>
      </c>
      <c r="D1494" s="62">
        <v>44796</v>
      </c>
      <c r="E1494" s="63">
        <v>0</v>
      </c>
    </row>
    <row r="1495" spans="1:5">
      <c r="A1495" s="61" t="s">
        <v>142</v>
      </c>
      <c r="B1495" s="61" t="s">
        <v>381</v>
      </c>
      <c r="C1495" s="62">
        <v>44797</v>
      </c>
      <c r="D1495" s="62">
        <v>44797</v>
      </c>
      <c r="E1495" s="63">
        <v>0</v>
      </c>
    </row>
    <row r="1496" spans="1:5">
      <c r="A1496" s="61" t="s">
        <v>142</v>
      </c>
      <c r="B1496" s="61" t="s">
        <v>381</v>
      </c>
      <c r="C1496" s="62">
        <v>44798</v>
      </c>
      <c r="D1496" s="62">
        <v>44798</v>
      </c>
      <c r="E1496" s="63">
        <v>0</v>
      </c>
    </row>
    <row r="1497" spans="1:5">
      <c r="A1497" s="61" t="s">
        <v>142</v>
      </c>
      <c r="B1497" s="61" t="s">
        <v>381</v>
      </c>
      <c r="C1497" s="62">
        <v>44799</v>
      </c>
      <c r="D1497" s="62">
        <v>44799</v>
      </c>
      <c r="E1497" s="63">
        <v>0</v>
      </c>
    </row>
    <row r="1498" spans="1:5">
      <c r="A1498" s="61" t="s">
        <v>142</v>
      </c>
      <c r="B1498" s="61" t="s">
        <v>381</v>
      </c>
      <c r="C1498" s="62">
        <v>44800</v>
      </c>
      <c r="D1498" s="62">
        <v>44800</v>
      </c>
      <c r="E1498" s="63">
        <v>0</v>
      </c>
    </row>
    <row r="1499" spans="1:5">
      <c r="A1499" s="61" t="s">
        <v>142</v>
      </c>
      <c r="B1499" s="61" t="s">
        <v>381</v>
      </c>
      <c r="C1499" s="62">
        <v>44801</v>
      </c>
      <c r="D1499" s="62">
        <v>44801</v>
      </c>
      <c r="E1499" s="63">
        <v>0</v>
      </c>
    </row>
    <row r="1500" spans="1:5">
      <c r="A1500" s="61" t="s">
        <v>142</v>
      </c>
      <c r="B1500" s="61" t="s">
        <v>381</v>
      </c>
      <c r="C1500" s="62">
        <v>44802</v>
      </c>
      <c r="D1500" s="62">
        <v>44802</v>
      </c>
      <c r="E1500" s="63">
        <v>0</v>
      </c>
    </row>
    <row r="1501" spans="1:5">
      <c r="A1501" s="61" t="s">
        <v>142</v>
      </c>
      <c r="B1501" s="61" t="s">
        <v>381</v>
      </c>
      <c r="C1501" s="62">
        <v>44803</v>
      </c>
      <c r="D1501" s="62">
        <v>44803</v>
      </c>
      <c r="E1501" s="63">
        <v>0</v>
      </c>
    </row>
    <row r="1502" spans="1:5">
      <c r="A1502" s="61" t="s">
        <v>143</v>
      </c>
      <c r="B1502" s="61" t="s">
        <v>382</v>
      </c>
      <c r="C1502" s="62">
        <v>44774</v>
      </c>
      <c r="D1502" s="62">
        <v>44774</v>
      </c>
      <c r="E1502" s="63">
        <v>0</v>
      </c>
    </row>
    <row r="1503" spans="1:5">
      <c r="A1503" s="61" t="s">
        <v>143</v>
      </c>
      <c r="B1503" s="61" t="s">
        <v>382</v>
      </c>
      <c r="C1503" s="62">
        <v>44775</v>
      </c>
      <c r="D1503" s="62">
        <v>44775</v>
      </c>
      <c r="E1503" s="63">
        <v>0</v>
      </c>
    </row>
    <row r="1504" spans="1:5">
      <c r="A1504" s="61" t="s">
        <v>143</v>
      </c>
      <c r="B1504" s="61" t="s">
        <v>382</v>
      </c>
      <c r="C1504" s="62">
        <v>44776</v>
      </c>
      <c r="D1504" s="62">
        <v>44776</v>
      </c>
      <c r="E1504" s="63">
        <v>0</v>
      </c>
    </row>
    <row r="1505" spans="1:5">
      <c r="A1505" s="61" t="s">
        <v>143</v>
      </c>
      <c r="B1505" s="61" t="s">
        <v>382</v>
      </c>
      <c r="C1505" s="62">
        <v>44777</v>
      </c>
      <c r="D1505" s="62">
        <v>44777</v>
      </c>
      <c r="E1505" s="63">
        <v>0</v>
      </c>
    </row>
    <row r="1506" spans="1:5">
      <c r="A1506" s="61" t="s">
        <v>143</v>
      </c>
      <c r="B1506" s="61" t="s">
        <v>382</v>
      </c>
      <c r="C1506" s="62">
        <v>44778</v>
      </c>
      <c r="D1506" s="62">
        <v>44778</v>
      </c>
      <c r="E1506" s="63">
        <v>0</v>
      </c>
    </row>
    <row r="1507" spans="1:5">
      <c r="A1507" s="61" t="s">
        <v>143</v>
      </c>
      <c r="B1507" s="61" t="s">
        <v>382</v>
      </c>
      <c r="C1507" s="62">
        <v>44779</v>
      </c>
      <c r="D1507" s="62">
        <v>44779</v>
      </c>
      <c r="E1507" s="63">
        <v>0</v>
      </c>
    </row>
    <row r="1508" spans="1:5">
      <c r="A1508" s="61" t="s">
        <v>143</v>
      </c>
      <c r="B1508" s="61" t="s">
        <v>382</v>
      </c>
      <c r="C1508" s="62">
        <v>44780</v>
      </c>
      <c r="D1508" s="62">
        <v>44780</v>
      </c>
      <c r="E1508" s="63">
        <v>0</v>
      </c>
    </row>
    <row r="1509" spans="1:5">
      <c r="A1509" s="61" t="s">
        <v>143</v>
      </c>
      <c r="B1509" s="61" t="s">
        <v>382</v>
      </c>
      <c r="C1509" s="62">
        <v>44781</v>
      </c>
      <c r="D1509" s="62">
        <v>44781</v>
      </c>
      <c r="E1509" s="63">
        <v>0</v>
      </c>
    </row>
    <row r="1510" spans="1:5">
      <c r="A1510" s="61" t="s">
        <v>143</v>
      </c>
      <c r="B1510" s="61" t="s">
        <v>382</v>
      </c>
      <c r="C1510" s="62">
        <v>44782</v>
      </c>
      <c r="D1510" s="62">
        <v>44782</v>
      </c>
      <c r="E1510" s="63">
        <v>0</v>
      </c>
    </row>
    <row r="1511" spans="1:5">
      <c r="A1511" s="61" t="s">
        <v>143</v>
      </c>
      <c r="B1511" s="61" t="s">
        <v>382</v>
      </c>
      <c r="C1511" s="62">
        <v>44783</v>
      </c>
      <c r="D1511" s="62">
        <v>44783</v>
      </c>
      <c r="E1511" s="63">
        <v>0</v>
      </c>
    </row>
    <row r="1512" spans="1:5">
      <c r="A1512" s="61" t="s">
        <v>143</v>
      </c>
      <c r="B1512" s="61" t="s">
        <v>382</v>
      </c>
      <c r="C1512" s="62">
        <v>44784</v>
      </c>
      <c r="D1512" s="62">
        <v>44784</v>
      </c>
      <c r="E1512" s="63">
        <v>0</v>
      </c>
    </row>
    <row r="1513" spans="1:5">
      <c r="A1513" s="61" t="s">
        <v>143</v>
      </c>
      <c r="B1513" s="61" t="s">
        <v>382</v>
      </c>
      <c r="C1513" s="62">
        <v>44785</v>
      </c>
      <c r="D1513" s="62">
        <v>44785</v>
      </c>
      <c r="E1513" s="63">
        <v>0</v>
      </c>
    </row>
    <row r="1514" spans="1:5">
      <c r="A1514" s="61" t="s">
        <v>143</v>
      </c>
      <c r="B1514" s="61" t="s">
        <v>382</v>
      </c>
      <c r="C1514" s="62">
        <v>44786</v>
      </c>
      <c r="D1514" s="62">
        <v>44786</v>
      </c>
      <c r="E1514" s="63">
        <v>0</v>
      </c>
    </row>
    <row r="1515" spans="1:5">
      <c r="A1515" s="61" t="s">
        <v>143</v>
      </c>
      <c r="B1515" s="61" t="s">
        <v>382</v>
      </c>
      <c r="C1515" s="62">
        <v>44787</v>
      </c>
      <c r="D1515" s="62">
        <v>44787</v>
      </c>
      <c r="E1515" s="63">
        <v>0</v>
      </c>
    </row>
    <row r="1516" spans="1:5">
      <c r="A1516" s="61" t="s">
        <v>143</v>
      </c>
      <c r="B1516" s="61" t="s">
        <v>382</v>
      </c>
      <c r="C1516" s="62">
        <v>44788</v>
      </c>
      <c r="D1516" s="62">
        <v>44788</v>
      </c>
      <c r="E1516" s="63">
        <v>0</v>
      </c>
    </row>
    <row r="1517" spans="1:5">
      <c r="A1517" s="61" t="s">
        <v>143</v>
      </c>
      <c r="B1517" s="61" t="s">
        <v>382</v>
      </c>
      <c r="C1517" s="62">
        <v>44789</v>
      </c>
      <c r="D1517" s="62">
        <v>44789</v>
      </c>
      <c r="E1517" s="63">
        <v>0</v>
      </c>
    </row>
    <row r="1518" spans="1:5">
      <c r="A1518" s="61" t="s">
        <v>143</v>
      </c>
      <c r="B1518" s="61" t="s">
        <v>382</v>
      </c>
      <c r="C1518" s="62">
        <v>44790</v>
      </c>
      <c r="D1518" s="62">
        <v>44790</v>
      </c>
      <c r="E1518" s="63">
        <v>0</v>
      </c>
    </row>
    <row r="1519" spans="1:5">
      <c r="A1519" s="61" t="s">
        <v>143</v>
      </c>
      <c r="B1519" s="61" t="s">
        <v>382</v>
      </c>
      <c r="C1519" s="62">
        <v>44791</v>
      </c>
      <c r="D1519" s="62">
        <v>44791</v>
      </c>
      <c r="E1519" s="63">
        <v>0</v>
      </c>
    </row>
    <row r="1520" spans="1:5">
      <c r="A1520" s="61" t="s">
        <v>143</v>
      </c>
      <c r="B1520" s="61" t="s">
        <v>382</v>
      </c>
      <c r="C1520" s="62">
        <v>44792</v>
      </c>
      <c r="D1520" s="62">
        <v>44792</v>
      </c>
      <c r="E1520" s="63">
        <v>0</v>
      </c>
    </row>
    <row r="1521" spans="1:5">
      <c r="A1521" s="61" t="s">
        <v>143</v>
      </c>
      <c r="B1521" s="61" t="s">
        <v>382</v>
      </c>
      <c r="C1521" s="62">
        <v>44793</v>
      </c>
      <c r="D1521" s="62">
        <v>44793</v>
      </c>
      <c r="E1521" s="63">
        <v>0</v>
      </c>
    </row>
    <row r="1522" spans="1:5">
      <c r="A1522" s="61" t="s">
        <v>143</v>
      </c>
      <c r="B1522" s="61" t="s">
        <v>382</v>
      </c>
      <c r="C1522" s="62">
        <v>44794</v>
      </c>
      <c r="D1522" s="62">
        <v>44794</v>
      </c>
      <c r="E1522" s="63">
        <v>0</v>
      </c>
    </row>
    <row r="1523" spans="1:5">
      <c r="A1523" s="61" t="s">
        <v>143</v>
      </c>
      <c r="B1523" s="61" t="s">
        <v>382</v>
      </c>
      <c r="C1523" s="62">
        <v>44795</v>
      </c>
      <c r="D1523" s="62">
        <v>44795</v>
      </c>
      <c r="E1523" s="63">
        <v>0</v>
      </c>
    </row>
    <row r="1524" spans="1:5">
      <c r="A1524" s="61" t="s">
        <v>143</v>
      </c>
      <c r="B1524" s="61" t="s">
        <v>382</v>
      </c>
      <c r="C1524" s="62">
        <v>44796</v>
      </c>
      <c r="D1524" s="62">
        <v>44796</v>
      </c>
      <c r="E1524" s="63">
        <v>0</v>
      </c>
    </row>
    <row r="1525" spans="1:5">
      <c r="A1525" s="61" t="s">
        <v>143</v>
      </c>
      <c r="B1525" s="61" t="s">
        <v>382</v>
      </c>
      <c r="C1525" s="62">
        <v>44797</v>
      </c>
      <c r="D1525" s="62">
        <v>44797</v>
      </c>
      <c r="E1525" s="63">
        <v>0</v>
      </c>
    </row>
    <row r="1526" spans="1:5">
      <c r="A1526" s="61" t="s">
        <v>143</v>
      </c>
      <c r="B1526" s="61" t="s">
        <v>382</v>
      </c>
      <c r="C1526" s="62">
        <v>44798</v>
      </c>
      <c r="D1526" s="62">
        <v>44798</v>
      </c>
      <c r="E1526" s="63">
        <v>0</v>
      </c>
    </row>
    <row r="1527" spans="1:5">
      <c r="A1527" s="61" t="s">
        <v>143</v>
      </c>
      <c r="B1527" s="61" t="s">
        <v>382</v>
      </c>
      <c r="C1527" s="62">
        <v>44799</v>
      </c>
      <c r="D1527" s="62">
        <v>44799</v>
      </c>
      <c r="E1527" s="63">
        <v>0</v>
      </c>
    </row>
    <row r="1528" spans="1:5">
      <c r="A1528" s="61" t="s">
        <v>143</v>
      </c>
      <c r="B1528" s="61" t="s">
        <v>382</v>
      </c>
      <c r="C1528" s="62">
        <v>44800</v>
      </c>
      <c r="D1528" s="62">
        <v>44800</v>
      </c>
      <c r="E1528" s="63">
        <v>0</v>
      </c>
    </row>
    <row r="1529" spans="1:5">
      <c r="A1529" s="61" t="s">
        <v>143</v>
      </c>
      <c r="B1529" s="61" t="s">
        <v>382</v>
      </c>
      <c r="C1529" s="62">
        <v>44801</v>
      </c>
      <c r="D1529" s="62">
        <v>44801</v>
      </c>
      <c r="E1529" s="63">
        <v>0</v>
      </c>
    </row>
    <row r="1530" spans="1:5">
      <c r="A1530" s="61" t="s">
        <v>143</v>
      </c>
      <c r="B1530" s="61" t="s">
        <v>382</v>
      </c>
      <c r="C1530" s="62">
        <v>44802</v>
      </c>
      <c r="D1530" s="62">
        <v>44802</v>
      </c>
      <c r="E1530" s="63">
        <v>0</v>
      </c>
    </row>
    <row r="1531" spans="1:5">
      <c r="A1531" s="61" t="s">
        <v>143</v>
      </c>
      <c r="B1531" s="61" t="s">
        <v>382</v>
      </c>
      <c r="C1531" s="62">
        <v>44803</v>
      </c>
      <c r="D1531" s="62">
        <v>44803</v>
      </c>
      <c r="E1531" s="63">
        <v>0</v>
      </c>
    </row>
    <row r="1532" spans="1:5">
      <c r="A1532" s="61" t="s">
        <v>144</v>
      </c>
      <c r="B1532" s="61" t="s">
        <v>383</v>
      </c>
      <c r="C1532" s="62">
        <v>44774</v>
      </c>
      <c r="D1532" s="62">
        <v>44774</v>
      </c>
      <c r="E1532" s="63">
        <v>0</v>
      </c>
    </row>
    <row r="1533" spans="1:5">
      <c r="A1533" s="61" t="s">
        <v>144</v>
      </c>
      <c r="B1533" s="61" t="s">
        <v>383</v>
      </c>
      <c r="C1533" s="62">
        <v>44775</v>
      </c>
      <c r="D1533" s="62">
        <v>44775</v>
      </c>
      <c r="E1533" s="63">
        <v>0</v>
      </c>
    </row>
    <row r="1534" spans="1:5">
      <c r="A1534" s="61" t="s">
        <v>144</v>
      </c>
      <c r="B1534" s="61" t="s">
        <v>383</v>
      </c>
      <c r="C1534" s="62">
        <v>44776</v>
      </c>
      <c r="D1534" s="62">
        <v>44776</v>
      </c>
      <c r="E1534" s="63">
        <v>0</v>
      </c>
    </row>
    <row r="1535" spans="1:5">
      <c r="A1535" s="61" t="s">
        <v>144</v>
      </c>
      <c r="B1535" s="61" t="s">
        <v>383</v>
      </c>
      <c r="C1535" s="62">
        <v>44777</v>
      </c>
      <c r="D1535" s="62">
        <v>44777</v>
      </c>
      <c r="E1535" s="63">
        <v>0</v>
      </c>
    </row>
    <row r="1536" spans="1:5">
      <c r="A1536" s="61" t="s">
        <v>144</v>
      </c>
      <c r="B1536" s="61" t="s">
        <v>383</v>
      </c>
      <c r="C1536" s="62">
        <v>44778</v>
      </c>
      <c r="D1536" s="62">
        <v>44778</v>
      </c>
      <c r="E1536" s="63">
        <v>0</v>
      </c>
    </row>
    <row r="1537" spans="1:5">
      <c r="A1537" s="61" t="s">
        <v>144</v>
      </c>
      <c r="B1537" s="61" t="s">
        <v>383</v>
      </c>
      <c r="C1537" s="62">
        <v>44779</v>
      </c>
      <c r="D1537" s="62">
        <v>44779</v>
      </c>
      <c r="E1537" s="63">
        <v>0</v>
      </c>
    </row>
    <row r="1538" spans="1:5">
      <c r="A1538" s="61" t="s">
        <v>144</v>
      </c>
      <c r="B1538" s="61" t="s">
        <v>383</v>
      </c>
      <c r="C1538" s="62">
        <v>44780</v>
      </c>
      <c r="D1538" s="62">
        <v>44780</v>
      </c>
      <c r="E1538" s="63">
        <v>0</v>
      </c>
    </row>
    <row r="1539" spans="1:5">
      <c r="A1539" s="61" t="s">
        <v>144</v>
      </c>
      <c r="B1539" s="61" t="s">
        <v>383</v>
      </c>
      <c r="C1539" s="62">
        <v>44781</v>
      </c>
      <c r="D1539" s="62">
        <v>44781</v>
      </c>
      <c r="E1539" s="63">
        <v>0</v>
      </c>
    </row>
    <row r="1540" spans="1:5">
      <c r="A1540" s="61" t="s">
        <v>144</v>
      </c>
      <c r="B1540" s="61" t="s">
        <v>383</v>
      </c>
      <c r="C1540" s="62">
        <v>44782</v>
      </c>
      <c r="D1540" s="62">
        <v>44782</v>
      </c>
      <c r="E1540" s="63">
        <v>0</v>
      </c>
    </row>
    <row r="1541" spans="1:5">
      <c r="A1541" s="61" t="s">
        <v>144</v>
      </c>
      <c r="B1541" s="61" t="s">
        <v>383</v>
      </c>
      <c r="C1541" s="62">
        <v>44783</v>
      </c>
      <c r="D1541" s="62">
        <v>44783</v>
      </c>
      <c r="E1541" s="63">
        <v>0</v>
      </c>
    </row>
    <row r="1542" spans="1:5">
      <c r="A1542" s="61" t="s">
        <v>144</v>
      </c>
      <c r="B1542" s="61" t="s">
        <v>383</v>
      </c>
      <c r="C1542" s="62">
        <v>44784</v>
      </c>
      <c r="D1542" s="62">
        <v>44784</v>
      </c>
      <c r="E1542" s="63">
        <v>0</v>
      </c>
    </row>
    <row r="1543" spans="1:5">
      <c r="A1543" s="61" t="s">
        <v>144</v>
      </c>
      <c r="B1543" s="61" t="s">
        <v>383</v>
      </c>
      <c r="C1543" s="62">
        <v>44785</v>
      </c>
      <c r="D1543" s="62">
        <v>44785</v>
      </c>
      <c r="E1543" s="63">
        <v>0</v>
      </c>
    </row>
    <row r="1544" spans="1:5">
      <c r="A1544" s="61" t="s">
        <v>144</v>
      </c>
      <c r="B1544" s="61" t="s">
        <v>383</v>
      </c>
      <c r="C1544" s="62">
        <v>44786</v>
      </c>
      <c r="D1544" s="62">
        <v>44786</v>
      </c>
      <c r="E1544" s="63">
        <v>0</v>
      </c>
    </row>
    <row r="1545" spans="1:5">
      <c r="A1545" s="61" t="s">
        <v>144</v>
      </c>
      <c r="B1545" s="61" t="s">
        <v>383</v>
      </c>
      <c r="C1545" s="62">
        <v>44787</v>
      </c>
      <c r="D1545" s="62">
        <v>44787</v>
      </c>
      <c r="E1545" s="63">
        <v>0</v>
      </c>
    </row>
    <row r="1546" spans="1:5">
      <c r="A1546" s="61" t="s">
        <v>144</v>
      </c>
      <c r="B1546" s="61" t="s">
        <v>383</v>
      </c>
      <c r="C1546" s="62">
        <v>44788</v>
      </c>
      <c r="D1546" s="62">
        <v>44788</v>
      </c>
      <c r="E1546" s="63">
        <v>0</v>
      </c>
    </row>
    <row r="1547" spans="1:5">
      <c r="A1547" s="61" t="s">
        <v>144</v>
      </c>
      <c r="B1547" s="61" t="s">
        <v>383</v>
      </c>
      <c r="C1547" s="62">
        <v>44789</v>
      </c>
      <c r="D1547" s="62">
        <v>44789</v>
      </c>
      <c r="E1547" s="63">
        <v>0</v>
      </c>
    </row>
    <row r="1548" spans="1:5">
      <c r="A1548" s="61" t="s">
        <v>144</v>
      </c>
      <c r="B1548" s="61" t="s">
        <v>383</v>
      </c>
      <c r="C1548" s="62">
        <v>44790</v>
      </c>
      <c r="D1548" s="62">
        <v>44790</v>
      </c>
      <c r="E1548" s="63">
        <v>0</v>
      </c>
    </row>
    <row r="1549" spans="1:5">
      <c r="A1549" s="61" t="s">
        <v>144</v>
      </c>
      <c r="B1549" s="61" t="s">
        <v>383</v>
      </c>
      <c r="C1549" s="62">
        <v>44791</v>
      </c>
      <c r="D1549" s="62">
        <v>44791</v>
      </c>
      <c r="E1549" s="63">
        <v>0</v>
      </c>
    </row>
    <row r="1550" spans="1:5">
      <c r="A1550" s="61" t="s">
        <v>144</v>
      </c>
      <c r="B1550" s="61" t="s">
        <v>383</v>
      </c>
      <c r="C1550" s="62">
        <v>44792</v>
      </c>
      <c r="D1550" s="62">
        <v>44792</v>
      </c>
      <c r="E1550" s="63">
        <v>0</v>
      </c>
    </row>
    <row r="1551" spans="1:5">
      <c r="A1551" s="61" t="s">
        <v>144</v>
      </c>
      <c r="B1551" s="61" t="s">
        <v>383</v>
      </c>
      <c r="C1551" s="62">
        <v>44793</v>
      </c>
      <c r="D1551" s="62">
        <v>44793</v>
      </c>
      <c r="E1551" s="63">
        <v>0</v>
      </c>
    </row>
    <row r="1552" spans="1:5">
      <c r="A1552" s="61" t="s">
        <v>144</v>
      </c>
      <c r="B1552" s="61" t="s">
        <v>383</v>
      </c>
      <c r="C1552" s="62">
        <v>44794</v>
      </c>
      <c r="D1552" s="62">
        <v>44794</v>
      </c>
      <c r="E1552" s="63">
        <v>0</v>
      </c>
    </row>
    <row r="1553" spans="1:5">
      <c r="A1553" s="61" t="s">
        <v>144</v>
      </c>
      <c r="B1553" s="61" t="s">
        <v>383</v>
      </c>
      <c r="C1553" s="62">
        <v>44795</v>
      </c>
      <c r="D1553" s="62">
        <v>44795</v>
      </c>
      <c r="E1553" s="63">
        <v>0</v>
      </c>
    </row>
    <row r="1554" spans="1:5">
      <c r="A1554" s="61" t="s">
        <v>144</v>
      </c>
      <c r="B1554" s="61" t="s">
        <v>383</v>
      </c>
      <c r="C1554" s="62">
        <v>44796</v>
      </c>
      <c r="D1554" s="62">
        <v>44796</v>
      </c>
      <c r="E1554" s="63">
        <v>0</v>
      </c>
    </row>
    <row r="1555" spans="1:5">
      <c r="A1555" s="61" t="s">
        <v>144</v>
      </c>
      <c r="B1555" s="61" t="s">
        <v>383</v>
      </c>
      <c r="C1555" s="62">
        <v>44797</v>
      </c>
      <c r="D1555" s="62">
        <v>44797</v>
      </c>
      <c r="E1555" s="63">
        <v>0</v>
      </c>
    </row>
    <row r="1556" spans="1:5">
      <c r="A1556" s="61" t="s">
        <v>144</v>
      </c>
      <c r="B1556" s="61" t="s">
        <v>383</v>
      </c>
      <c r="C1556" s="62">
        <v>44798</v>
      </c>
      <c r="D1556" s="62">
        <v>44798</v>
      </c>
      <c r="E1556" s="63">
        <v>201.88</v>
      </c>
    </row>
    <row r="1557" spans="1:5">
      <c r="A1557" s="61" t="s">
        <v>144</v>
      </c>
      <c r="B1557" s="61" t="s">
        <v>383</v>
      </c>
      <c r="C1557" s="62">
        <v>44799</v>
      </c>
      <c r="D1557" s="62">
        <v>44799</v>
      </c>
      <c r="E1557" s="63">
        <v>0</v>
      </c>
    </row>
    <row r="1558" spans="1:5">
      <c r="A1558" s="61" t="s">
        <v>144</v>
      </c>
      <c r="B1558" s="61" t="s">
        <v>383</v>
      </c>
      <c r="C1558" s="62">
        <v>44800</v>
      </c>
      <c r="D1558" s="62">
        <v>44800</v>
      </c>
      <c r="E1558" s="63">
        <v>0</v>
      </c>
    </row>
    <row r="1559" spans="1:5">
      <c r="A1559" s="61" t="s">
        <v>144</v>
      </c>
      <c r="B1559" s="61" t="s">
        <v>383</v>
      </c>
      <c r="C1559" s="62">
        <v>44801</v>
      </c>
      <c r="D1559" s="62">
        <v>44801</v>
      </c>
      <c r="E1559" s="63">
        <v>0</v>
      </c>
    </row>
    <row r="1560" spans="1:5">
      <c r="A1560" s="61" t="s">
        <v>144</v>
      </c>
      <c r="B1560" s="61" t="s">
        <v>383</v>
      </c>
      <c r="C1560" s="62">
        <v>44802</v>
      </c>
      <c r="D1560" s="62">
        <v>44802</v>
      </c>
      <c r="E1560" s="63">
        <v>0</v>
      </c>
    </row>
    <row r="1561" spans="1:5">
      <c r="A1561" s="61" t="s">
        <v>144</v>
      </c>
      <c r="B1561" s="61" t="s">
        <v>383</v>
      </c>
      <c r="C1561" s="62">
        <v>44803</v>
      </c>
      <c r="D1561" s="62">
        <v>44803</v>
      </c>
      <c r="E1561" s="63">
        <v>0</v>
      </c>
    </row>
    <row r="1562" spans="1:5">
      <c r="A1562" s="61" t="s">
        <v>33</v>
      </c>
      <c r="B1562" s="61" t="s">
        <v>380</v>
      </c>
      <c r="C1562" s="62">
        <v>44774</v>
      </c>
      <c r="D1562" s="62">
        <v>44774</v>
      </c>
      <c r="E1562" s="63">
        <v>0</v>
      </c>
    </row>
    <row r="1563" spans="1:5">
      <c r="A1563" s="61" t="s">
        <v>33</v>
      </c>
      <c r="B1563" s="61" t="s">
        <v>380</v>
      </c>
      <c r="C1563" s="62">
        <v>44775</v>
      </c>
      <c r="D1563" s="62">
        <v>44775</v>
      </c>
      <c r="E1563" s="63">
        <v>0</v>
      </c>
    </row>
    <row r="1564" spans="1:5">
      <c r="A1564" s="61" t="s">
        <v>33</v>
      </c>
      <c r="B1564" s="61" t="s">
        <v>380</v>
      </c>
      <c r="C1564" s="62">
        <v>44776</v>
      </c>
      <c r="D1564" s="62">
        <v>44776</v>
      </c>
      <c r="E1564" s="63">
        <v>0</v>
      </c>
    </row>
    <row r="1565" spans="1:5">
      <c r="A1565" s="61" t="s">
        <v>33</v>
      </c>
      <c r="B1565" s="61" t="s">
        <v>380</v>
      </c>
      <c r="C1565" s="62">
        <v>44777</v>
      </c>
      <c r="D1565" s="62">
        <v>44777</v>
      </c>
      <c r="E1565" s="63">
        <v>0</v>
      </c>
    </row>
    <row r="1566" spans="1:5">
      <c r="A1566" s="61" t="s">
        <v>33</v>
      </c>
      <c r="B1566" s="61" t="s">
        <v>380</v>
      </c>
      <c r="C1566" s="62">
        <v>44778</v>
      </c>
      <c r="D1566" s="62">
        <v>44778</v>
      </c>
      <c r="E1566" s="63">
        <v>0</v>
      </c>
    </row>
    <row r="1567" spans="1:5">
      <c r="A1567" s="61" t="s">
        <v>33</v>
      </c>
      <c r="B1567" s="61" t="s">
        <v>380</v>
      </c>
      <c r="C1567" s="62">
        <v>44779</v>
      </c>
      <c r="D1567" s="62">
        <v>44779</v>
      </c>
      <c r="E1567" s="63">
        <v>0</v>
      </c>
    </row>
    <row r="1568" spans="1:5">
      <c r="A1568" s="61" t="s">
        <v>33</v>
      </c>
      <c r="B1568" s="61" t="s">
        <v>380</v>
      </c>
      <c r="C1568" s="62">
        <v>44780</v>
      </c>
      <c r="D1568" s="62">
        <v>44780</v>
      </c>
      <c r="E1568" s="63">
        <v>0</v>
      </c>
    </row>
    <row r="1569" spans="1:5">
      <c r="A1569" s="61" t="s">
        <v>33</v>
      </c>
      <c r="B1569" s="61" t="s">
        <v>380</v>
      </c>
      <c r="C1569" s="62">
        <v>44781</v>
      </c>
      <c r="D1569" s="62">
        <v>44781</v>
      </c>
      <c r="E1569" s="63">
        <v>0</v>
      </c>
    </row>
    <row r="1570" spans="1:5">
      <c r="A1570" s="61" t="s">
        <v>33</v>
      </c>
      <c r="B1570" s="61" t="s">
        <v>380</v>
      </c>
      <c r="C1570" s="62">
        <v>44782</v>
      </c>
      <c r="D1570" s="62">
        <v>44782</v>
      </c>
      <c r="E1570" s="63">
        <v>0</v>
      </c>
    </row>
    <row r="1571" spans="1:5">
      <c r="A1571" s="61" t="s">
        <v>33</v>
      </c>
      <c r="B1571" s="61" t="s">
        <v>380</v>
      </c>
      <c r="C1571" s="62">
        <v>44783</v>
      </c>
      <c r="D1571" s="62">
        <v>44783</v>
      </c>
      <c r="E1571" s="63">
        <v>0</v>
      </c>
    </row>
    <row r="1572" spans="1:5">
      <c r="A1572" s="61" t="s">
        <v>33</v>
      </c>
      <c r="B1572" s="61" t="s">
        <v>380</v>
      </c>
      <c r="C1572" s="62">
        <v>44784</v>
      </c>
      <c r="D1572" s="62">
        <v>44784</v>
      </c>
      <c r="E1572" s="63">
        <v>0</v>
      </c>
    </row>
    <row r="1573" spans="1:5">
      <c r="A1573" s="61" t="s">
        <v>33</v>
      </c>
      <c r="B1573" s="61" t="s">
        <v>380</v>
      </c>
      <c r="C1573" s="62">
        <v>44785</v>
      </c>
      <c r="D1573" s="62">
        <v>44785</v>
      </c>
      <c r="E1573" s="63">
        <v>0</v>
      </c>
    </row>
    <row r="1574" spans="1:5">
      <c r="A1574" s="61" t="s">
        <v>33</v>
      </c>
      <c r="B1574" s="61" t="s">
        <v>380</v>
      </c>
      <c r="C1574" s="62">
        <v>44786</v>
      </c>
      <c r="D1574" s="62">
        <v>44786</v>
      </c>
      <c r="E1574" s="63">
        <v>0</v>
      </c>
    </row>
    <row r="1575" spans="1:5">
      <c r="A1575" s="61" t="s">
        <v>33</v>
      </c>
      <c r="B1575" s="61" t="s">
        <v>380</v>
      </c>
      <c r="C1575" s="62">
        <v>44787</v>
      </c>
      <c r="D1575" s="62">
        <v>44787</v>
      </c>
      <c r="E1575" s="63">
        <v>0</v>
      </c>
    </row>
    <row r="1576" spans="1:5">
      <c r="A1576" s="61" t="s">
        <v>33</v>
      </c>
      <c r="B1576" s="61" t="s">
        <v>380</v>
      </c>
      <c r="C1576" s="62">
        <v>44788</v>
      </c>
      <c r="D1576" s="62">
        <v>44788</v>
      </c>
      <c r="E1576" s="63">
        <v>0</v>
      </c>
    </row>
    <row r="1577" spans="1:5">
      <c r="A1577" s="61" t="s">
        <v>33</v>
      </c>
      <c r="B1577" s="61" t="s">
        <v>380</v>
      </c>
      <c r="C1577" s="62">
        <v>44789</v>
      </c>
      <c r="D1577" s="62">
        <v>44789</v>
      </c>
      <c r="E1577" s="63">
        <v>0</v>
      </c>
    </row>
    <row r="1578" spans="1:5">
      <c r="A1578" s="61" t="s">
        <v>33</v>
      </c>
      <c r="B1578" s="61" t="s">
        <v>380</v>
      </c>
      <c r="C1578" s="62">
        <v>44790</v>
      </c>
      <c r="D1578" s="62">
        <v>44790</v>
      </c>
      <c r="E1578" s="63">
        <v>0</v>
      </c>
    </row>
    <row r="1579" spans="1:5">
      <c r="A1579" s="61" t="s">
        <v>33</v>
      </c>
      <c r="B1579" s="61" t="s">
        <v>380</v>
      </c>
      <c r="C1579" s="62">
        <v>44791</v>
      </c>
      <c r="D1579" s="62">
        <v>44791</v>
      </c>
      <c r="E1579" s="63">
        <v>0</v>
      </c>
    </row>
    <row r="1580" spans="1:5">
      <c r="A1580" s="61" t="s">
        <v>33</v>
      </c>
      <c r="B1580" s="61" t="s">
        <v>380</v>
      </c>
      <c r="C1580" s="62">
        <v>44792</v>
      </c>
      <c r="D1580" s="62">
        <v>44792</v>
      </c>
      <c r="E1580" s="63">
        <v>0</v>
      </c>
    </row>
    <row r="1581" spans="1:5">
      <c r="A1581" s="61" t="s">
        <v>33</v>
      </c>
      <c r="B1581" s="61" t="s">
        <v>380</v>
      </c>
      <c r="C1581" s="62">
        <v>44793</v>
      </c>
      <c r="D1581" s="62">
        <v>44793</v>
      </c>
      <c r="E1581" s="63">
        <v>0</v>
      </c>
    </row>
    <row r="1582" spans="1:5">
      <c r="A1582" s="61" t="s">
        <v>33</v>
      </c>
      <c r="B1582" s="61" t="s">
        <v>380</v>
      </c>
      <c r="C1582" s="62">
        <v>44794</v>
      </c>
      <c r="D1582" s="62">
        <v>44794</v>
      </c>
      <c r="E1582" s="63">
        <v>0</v>
      </c>
    </row>
    <row r="1583" spans="1:5">
      <c r="A1583" s="61" t="s">
        <v>33</v>
      </c>
      <c r="B1583" s="61" t="s">
        <v>380</v>
      </c>
      <c r="C1583" s="62">
        <v>44795</v>
      </c>
      <c r="D1583" s="62">
        <v>44795</v>
      </c>
      <c r="E1583" s="63">
        <v>0</v>
      </c>
    </row>
    <row r="1584" spans="1:5">
      <c r="A1584" s="61" t="s">
        <v>33</v>
      </c>
      <c r="B1584" s="61" t="s">
        <v>380</v>
      </c>
      <c r="C1584" s="62">
        <v>44796</v>
      </c>
      <c r="D1584" s="62">
        <v>44796</v>
      </c>
      <c r="E1584" s="63">
        <v>0</v>
      </c>
    </row>
    <row r="1585" spans="1:5">
      <c r="A1585" s="61" t="s">
        <v>33</v>
      </c>
      <c r="B1585" s="61" t="s">
        <v>380</v>
      </c>
      <c r="C1585" s="62">
        <v>44797</v>
      </c>
      <c r="D1585" s="62">
        <v>44797</v>
      </c>
      <c r="E1585" s="63">
        <v>492.6</v>
      </c>
    </row>
    <row r="1586" spans="1:5">
      <c r="A1586" s="61" t="s">
        <v>33</v>
      </c>
      <c r="B1586" s="61" t="s">
        <v>380</v>
      </c>
      <c r="C1586" s="62">
        <v>44798</v>
      </c>
      <c r="D1586" s="62">
        <v>44798</v>
      </c>
      <c r="E1586" s="63">
        <v>0</v>
      </c>
    </row>
    <row r="1587" spans="1:5">
      <c r="A1587" s="61" t="s">
        <v>33</v>
      </c>
      <c r="B1587" s="61" t="s">
        <v>380</v>
      </c>
      <c r="C1587" s="62">
        <v>44799</v>
      </c>
      <c r="D1587" s="62">
        <v>44799</v>
      </c>
      <c r="E1587" s="63">
        <v>0</v>
      </c>
    </row>
    <row r="1588" spans="1:5">
      <c r="A1588" s="61" t="s">
        <v>33</v>
      </c>
      <c r="B1588" s="61" t="s">
        <v>380</v>
      </c>
      <c r="C1588" s="62">
        <v>44800</v>
      </c>
      <c r="D1588" s="62">
        <v>44800</v>
      </c>
      <c r="E1588" s="63">
        <v>0</v>
      </c>
    </row>
    <row r="1589" spans="1:5">
      <c r="A1589" s="61" t="s">
        <v>33</v>
      </c>
      <c r="B1589" s="61" t="s">
        <v>380</v>
      </c>
      <c r="C1589" s="62">
        <v>44801</v>
      </c>
      <c r="D1589" s="62">
        <v>44801</v>
      </c>
      <c r="E1589" s="63">
        <v>0</v>
      </c>
    </row>
    <row r="1590" spans="1:5">
      <c r="A1590" s="61" t="s">
        <v>33</v>
      </c>
      <c r="B1590" s="61" t="s">
        <v>380</v>
      </c>
      <c r="C1590" s="62">
        <v>44802</v>
      </c>
      <c r="D1590" s="62">
        <v>44802</v>
      </c>
      <c r="E1590" s="63">
        <v>0</v>
      </c>
    </row>
    <row r="1591" spans="1:5">
      <c r="A1591" s="61" t="s">
        <v>33</v>
      </c>
      <c r="B1591" s="61" t="s">
        <v>380</v>
      </c>
      <c r="C1591" s="62">
        <v>44803</v>
      </c>
      <c r="D1591" s="62">
        <v>44803</v>
      </c>
      <c r="E1591" s="63">
        <v>0</v>
      </c>
    </row>
    <row r="1592" spans="1:5">
      <c r="A1592" s="61" t="s">
        <v>145</v>
      </c>
      <c r="B1592" s="61" t="s">
        <v>381</v>
      </c>
      <c r="C1592" s="62">
        <v>44774</v>
      </c>
      <c r="D1592" s="62">
        <v>44774</v>
      </c>
      <c r="E1592" s="63">
        <v>0</v>
      </c>
    </row>
    <row r="1593" spans="1:5">
      <c r="A1593" s="61" t="s">
        <v>145</v>
      </c>
      <c r="B1593" s="61" t="s">
        <v>381</v>
      </c>
      <c r="C1593" s="62">
        <v>44775</v>
      </c>
      <c r="D1593" s="62">
        <v>44775</v>
      </c>
      <c r="E1593" s="63">
        <v>0</v>
      </c>
    </row>
    <row r="1594" spans="1:5">
      <c r="A1594" s="61" t="s">
        <v>145</v>
      </c>
      <c r="B1594" s="61" t="s">
        <v>381</v>
      </c>
      <c r="C1594" s="62">
        <v>44776</v>
      </c>
      <c r="D1594" s="62">
        <v>44776</v>
      </c>
      <c r="E1594" s="63">
        <v>0</v>
      </c>
    </row>
    <row r="1595" spans="1:5">
      <c r="A1595" s="61" t="s">
        <v>145</v>
      </c>
      <c r="B1595" s="61" t="s">
        <v>381</v>
      </c>
      <c r="C1595" s="62">
        <v>44777</v>
      </c>
      <c r="D1595" s="62">
        <v>44777</v>
      </c>
      <c r="E1595" s="63">
        <v>0</v>
      </c>
    </row>
    <row r="1596" spans="1:5">
      <c r="A1596" s="61" t="s">
        <v>145</v>
      </c>
      <c r="B1596" s="61" t="s">
        <v>381</v>
      </c>
      <c r="C1596" s="62">
        <v>44778</v>
      </c>
      <c r="D1596" s="62">
        <v>44778</v>
      </c>
      <c r="E1596" s="63">
        <v>0</v>
      </c>
    </row>
    <row r="1597" spans="1:5">
      <c r="A1597" s="61" t="s">
        <v>145</v>
      </c>
      <c r="B1597" s="61" t="s">
        <v>381</v>
      </c>
      <c r="C1597" s="62">
        <v>44779</v>
      </c>
      <c r="D1597" s="62">
        <v>44779</v>
      </c>
      <c r="E1597" s="63">
        <v>0</v>
      </c>
    </row>
    <row r="1598" spans="1:5">
      <c r="A1598" s="61" t="s">
        <v>145</v>
      </c>
      <c r="B1598" s="61" t="s">
        <v>381</v>
      </c>
      <c r="C1598" s="62">
        <v>44780</v>
      </c>
      <c r="D1598" s="62">
        <v>44780</v>
      </c>
      <c r="E1598" s="63">
        <v>0</v>
      </c>
    </row>
    <row r="1599" spans="1:5">
      <c r="A1599" s="61" t="s">
        <v>145</v>
      </c>
      <c r="B1599" s="61" t="s">
        <v>381</v>
      </c>
      <c r="C1599" s="62">
        <v>44781</v>
      </c>
      <c r="D1599" s="62">
        <v>44781</v>
      </c>
      <c r="E1599" s="63">
        <v>0</v>
      </c>
    </row>
    <row r="1600" spans="1:5">
      <c r="A1600" s="61" t="s">
        <v>145</v>
      </c>
      <c r="B1600" s="61" t="s">
        <v>381</v>
      </c>
      <c r="C1600" s="62">
        <v>44782</v>
      </c>
      <c r="D1600" s="62">
        <v>44782</v>
      </c>
      <c r="E1600" s="63">
        <v>0</v>
      </c>
    </row>
    <row r="1601" spans="1:5">
      <c r="A1601" s="61" t="s">
        <v>145</v>
      </c>
      <c r="B1601" s="61" t="s">
        <v>381</v>
      </c>
      <c r="C1601" s="62">
        <v>44783</v>
      </c>
      <c r="D1601" s="62">
        <v>44783</v>
      </c>
      <c r="E1601" s="63">
        <v>0</v>
      </c>
    </row>
    <row r="1602" spans="1:5">
      <c r="A1602" s="61" t="s">
        <v>145</v>
      </c>
      <c r="B1602" s="61" t="s">
        <v>381</v>
      </c>
      <c r="C1602" s="62">
        <v>44784</v>
      </c>
      <c r="D1602" s="62">
        <v>44784</v>
      </c>
      <c r="E1602" s="63">
        <v>0</v>
      </c>
    </row>
    <row r="1603" spans="1:5">
      <c r="A1603" s="61" t="s">
        <v>145</v>
      </c>
      <c r="B1603" s="61" t="s">
        <v>381</v>
      </c>
      <c r="C1603" s="62">
        <v>44785</v>
      </c>
      <c r="D1603" s="62">
        <v>44785</v>
      </c>
      <c r="E1603" s="63">
        <v>0</v>
      </c>
    </row>
    <row r="1604" spans="1:5">
      <c r="A1604" s="61" t="s">
        <v>145</v>
      </c>
      <c r="B1604" s="61" t="s">
        <v>381</v>
      </c>
      <c r="C1604" s="62">
        <v>44786</v>
      </c>
      <c r="D1604" s="62">
        <v>44786</v>
      </c>
      <c r="E1604" s="63">
        <v>0</v>
      </c>
    </row>
    <row r="1605" spans="1:5">
      <c r="A1605" s="61" t="s">
        <v>145</v>
      </c>
      <c r="B1605" s="61" t="s">
        <v>381</v>
      </c>
      <c r="C1605" s="62">
        <v>44787</v>
      </c>
      <c r="D1605" s="62">
        <v>44787</v>
      </c>
      <c r="E1605" s="63">
        <v>0</v>
      </c>
    </row>
    <row r="1606" spans="1:5">
      <c r="A1606" s="61" t="s">
        <v>145</v>
      </c>
      <c r="B1606" s="61" t="s">
        <v>381</v>
      </c>
      <c r="C1606" s="62">
        <v>44788</v>
      </c>
      <c r="D1606" s="62">
        <v>44788</v>
      </c>
      <c r="E1606" s="63">
        <v>0</v>
      </c>
    </row>
    <row r="1607" spans="1:5">
      <c r="A1607" s="61" t="s">
        <v>145</v>
      </c>
      <c r="B1607" s="61" t="s">
        <v>381</v>
      </c>
      <c r="C1607" s="62">
        <v>44789</v>
      </c>
      <c r="D1607" s="62">
        <v>44789</v>
      </c>
      <c r="E1607" s="63">
        <v>0</v>
      </c>
    </row>
    <row r="1608" spans="1:5">
      <c r="A1608" s="61" t="s">
        <v>145</v>
      </c>
      <c r="B1608" s="61" t="s">
        <v>381</v>
      </c>
      <c r="C1608" s="62">
        <v>44790</v>
      </c>
      <c r="D1608" s="62">
        <v>44790</v>
      </c>
      <c r="E1608" s="63">
        <v>0</v>
      </c>
    </row>
    <row r="1609" spans="1:5">
      <c r="A1609" s="61" t="s">
        <v>145</v>
      </c>
      <c r="B1609" s="61" t="s">
        <v>381</v>
      </c>
      <c r="C1609" s="62">
        <v>44791</v>
      </c>
      <c r="D1609" s="62">
        <v>44791</v>
      </c>
      <c r="E1609" s="63">
        <v>0</v>
      </c>
    </row>
    <row r="1610" spans="1:5">
      <c r="A1610" s="61" t="s">
        <v>145</v>
      </c>
      <c r="B1610" s="61" t="s">
        <v>381</v>
      </c>
      <c r="C1610" s="62">
        <v>44792</v>
      </c>
      <c r="D1610" s="62">
        <v>44792</v>
      </c>
      <c r="E1610" s="63">
        <v>0</v>
      </c>
    </row>
    <row r="1611" spans="1:5">
      <c r="A1611" s="61" t="s">
        <v>145</v>
      </c>
      <c r="B1611" s="61" t="s">
        <v>381</v>
      </c>
      <c r="C1611" s="62">
        <v>44793</v>
      </c>
      <c r="D1611" s="62">
        <v>44793</v>
      </c>
      <c r="E1611" s="63">
        <v>0</v>
      </c>
    </row>
    <row r="1612" spans="1:5">
      <c r="A1612" s="61" t="s">
        <v>145</v>
      </c>
      <c r="B1612" s="61" t="s">
        <v>381</v>
      </c>
      <c r="C1612" s="62">
        <v>44794</v>
      </c>
      <c r="D1612" s="62">
        <v>44794</v>
      </c>
      <c r="E1612" s="63">
        <v>0</v>
      </c>
    </row>
    <row r="1613" spans="1:5">
      <c r="A1613" s="61" t="s">
        <v>145</v>
      </c>
      <c r="B1613" s="61" t="s">
        <v>381</v>
      </c>
      <c r="C1613" s="62">
        <v>44795</v>
      </c>
      <c r="D1613" s="62">
        <v>44795</v>
      </c>
      <c r="E1613" s="63">
        <v>0</v>
      </c>
    </row>
    <row r="1614" spans="1:5">
      <c r="A1614" s="61" t="s">
        <v>145</v>
      </c>
      <c r="B1614" s="61" t="s">
        <v>381</v>
      </c>
      <c r="C1614" s="62">
        <v>44796</v>
      </c>
      <c r="D1614" s="62">
        <v>44796</v>
      </c>
      <c r="E1614" s="63">
        <v>0</v>
      </c>
    </row>
    <row r="1615" spans="1:5">
      <c r="A1615" s="61" t="s">
        <v>145</v>
      </c>
      <c r="B1615" s="61" t="s">
        <v>381</v>
      </c>
      <c r="C1615" s="62">
        <v>44797</v>
      </c>
      <c r="D1615" s="62">
        <v>44797</v>
      </c>
      <c r="E1615" s="63">
        <v>0</v>
      </c>
    </row>
    <row r="1616" spans="1:5">
      <c r="A1616" s="61" t="s">
        <v>145</v>
      </c>
      <c r="B1616" s="61" t="s">
        <v>381</v>
      </c>
      <c r="C1616" s="62">
        <v>44798</v>
      </c>
      <c r="D1616" s="62">
        <v>44798</v>
      </c>
      <c r="E1616" s="63">
        <v>0</v>
      </c>
    </row>
    <row r="1617" spans="1:5">
      <c r="A1617" s="61" t="s">
        <v>145</v>
      </c>
      <c r="B1617" s="61" t="s">
        <v>381</v>
      </c>
      <c r="C1617" s="62">
        <v>44799</v>
      </c>
      <c r="D1617" s="62">
        <v>44799</v>
      </c>
      <c r="E1617" s="63">
        <v>0</v>
      </c>
    </row>
    <row r="1618" spans="1:5">
      <c r="A1618" s="61" t="s">
        <v>145</v>
      </c>
      <c r="B1618" s="61" t="s">
        <v>381</v>
      </c>
      <c r="C1618" s="62">
        <v>44800</v>
      </c>
      <c r="D1618" s="62">
        <v>44800</v>
      </c>
      <c r="E1618" s="63">
        <v>0</v>
      </c>
    </row>
    <row r="1619" spans="1:5">
      <c r="A1619" s="61" t="s">
        <v>145</v>
      </c>
      <c r="B1619" s="61" t="s">
        <v>381</v>
      </c>
      <c r="C1619" s="62">
        <v>44801</v>
      </c>
      <c r="D1619" s="62">
        <v>44801</v>
      </c>
      <c r="E1619" s="63">
        <v>0</v>
      </c>
    </row>
    <row r="1620" spans="1:5">
      <c r="A1620" s="61" t="s">
        <v>145</v>
      </c>
      <c r="B1620" s="61" t="s">
        <v>381</v>
      </c>
      <c r="C1620" s="62">
        <v>44802</v>
      </c>
      <c r="D1620" s="62">
        <v>44802</v>
      </c>
      <c r="E1620" s="63">
        <v>0</v>
      </c>
    </row>
    <row r="1621" spans="1:5">
      <c r="A1621" s="61" t="s">
        <v>145</v>
      </c>
      <c r="B1621" s="61" t="s">
        <v>381</v>
      </c>
      <c r="C1621" s="62">
        <v>44803</v>
      </c>
      <c r="D1621" s="62">
        <v>44803</v>
      </c>
      <c r="E1621" s="63">
        <v>0</v>
      </c>
    </row>
    <row r="1622" spans="1:5">
      <c r="A1622" s="61" t="s">
        <v>146</v>
      </c>
      <c r="B1622" s="61" t="s">
        <v>382</v>
      </c>
      <c r="C1622" s="62">
        <v>44774</v>
      </c>
      <c r="D1622" s="62">
        <v>44774</v>
      </c>
      <c r="E1622" s="63">
        <v>0</v>
      </c>
    </row>
    <row r="1623" spans="1:5">
      <c r="A1623" s="61" t="s">
        <v>146</v>
      </c>
      <c r="B1623" s="61" t="s">
        <v>382</v>
      </c>
      <c r="C1623" s="62">
        <v>44775</v>
      </c>
      <c r="D1623" s="62">
        <v>44775</v>
      </c>
      <c r="E1623" s="63">
        <v>0</v>
      </c>
    </row>
    <row r="1624" spans="1:5">
      <c r="A1624" s="61" t="s">
        <v>146</v>
      </c>
      <c r="B1624" s="61" t="s">
        <v>382</v>
      </c>
      <c r="C1624" s="62">
        <v>44776</v>
      </c>
      <c r="D1624" s="62">
        <v>44776</v>
      </c>
      <c r="E1624" s="63">
        <v>0</v>
      </c>
    </row>
    <row r="1625" spans="1:5">
      <c r="A1625" s="61" t="s">
        <v>146</v>
      </c>
      <c r="B1625" s="61" t="s">
        <v>382</v>
      </c>
      <c r="C1625" s="62">
        <v>44777</v>
      </c>
      <c r="D1625" s="62">
        <v>44777</v>
      </c>
      <c r="E1625" s="63">
        <v>0</v>
      </c>
    </row>
    <row r="1626" spans="1:5">
      <c r="A1626" s="61" t="s">
        <v>146</v>
      </c>
      <c r="B1626" s="61" t="s">
        <v>382</v>
      </c>
      <c r="C1626" s="62">
        <v>44778</v>
      </c>
      <c r="D1626" s="62">
        <v>44778</v>
      </c>
      <c r="E1626" s="63">
        <v>0</v>
      </c>
    </row>
    <row r="1627" spans="1:5">
      <c r="A1627" s="61" t="s">
        <v>146</v>
      </c>
      <c r="B1627" s="61" t="s">
        <v>382</v>
      </c>
      <c r="C1627" s="62">
        <v>44779</v>
      </c>
      <c r="D1627" s="62">
        <v>44779</v>
      </c>
      <c r="E1627" s="63">
        <v>0</v>
      </c>
    </row>
    <row r="1628" spans="1:5">
      <c r="A1628" s="61" t="s">
        <v>146</v>
      </c>
      <c r="B1628" s="61" t="s">
        <v>382</v>
      </c>
      <c r="C1628" s="62">
        <v>44780</v>
      </c>
      <c r="D1628" s="62">
        <v>44780</v>
      </c>
      <c r="E1628" s="63">
        <v>0</v>
      </c>
    </row>
    <row r="1629" spans="1:5">
      <c r="A1629" s="61" t="s">
        <v>146</v>
      </c>
      <c r="B1629" s="61" t="s">
        <v>382</v>
      </c>
      <c r="C1629" s="62">
        <v>44781</v>
      </c>
      <c r="D1629" s="62">
        <v>44781</v>
      </c>
      <c r="E1629" s="63">
        <v>0</v>
      </c>
    </row>
    <row r="1630" spans="1:5">
      <c r="A1630" s="61" t="s">
        <v>146</v>
      </c>
      <c r="B1630" s="61" t="s">
        <v>382</v>
      </c>
      <c r="C1630" s="62">
        <v>44782</v>
      </c>
      <c r="D1630" s="62">
        <v>44782</v>
      </c>
      <c r="E1630" s="63">
        <v>0</v>
      </c>
    </row>
    <row r="1631" spans="1:5">
      <c r="A1631" s="61" t="s">
        <v>146</v>
      </c>
      <c r="B1631" s="61" t="s">
        <v>382</v>
      </c>
      <c r="C1631" s="62">
        <v>44783</v>
      </c>
      <c r="D1631" s="62">
        <v>44783</v>
      </c>
      <c r="E1631" s="63">
        <v>0</v>
      </c>
    </row>
    <row r="1632" spans="1:5">
      <c r="A1632" s="61" t="s">
        <v>146</v>
      </c>
      <c r="B1632" s="61" t="s">
        <v>382</v>
      </c>
      <c r="C1632" s="62">
        <v>44784</v>
      </c>
      <c r="D1632" s="62">
        <v>44784</v>
      </c>
      <c r="E1632" s="63">
        <v>0</v>
      </c>
    </row>
    <row r="1633" spans="1:5">
      <c r="A1633" s="61" t="s">
        <v>146</v>
      </c>
      <c r="B1633" s="61" t="s">
        <v>382</v>
      </c>
      <c r="C1633" s="62">
        <v>44785</v>
      </c>
      <c r="D1633" s="62">
        <v>44785</v>
      </c>
      <c r="E1633" s="63">
        <v>0</v>
      </c>
    </row>
    <row r="1634" spans="1:5">
      <c r="A1634" s="61" t="s">
        <v>146</v>
      </c>
      <c r="B1634" s="61" t="s">
        <v>382</v>
      </c>
      <c r="C1634" s="62">
        <v>44786</v>
      </c>
      <c r="D1634" s="62">
        <v>44786</v>
      </c>
      <c r="E1634" s="63">
        <v>0</v>
      </c>
    </row>
    <row r="1635" spans="1:5">
      <c r="A1635" s="61" t="s">
        <v>146</v>
      </c>
      <c r="B1635" s="61" t="s">
        <v>382</v>
      </c>
      <c r="C1635" s="62">
        <v>44787</v>
      </c>
      <c r="D1635" s="62">
        <v>44787</v>
      </c>
      <c r="E1635" s="63">
        <v>0</v>
      </c>
    </row>
    <row r="1636" spans="1:5">
      <c r="A1636" s="61" t="s">
        <v>146</v>
      </c>
      <c r="B1636" s="61" t="s">
        <v>382</v>
      </c>
      <c r="C1636" s="62">
        <v>44788</v>
      </c>
      <c r="D1636" s="62">
        <v>44788</v>
      </c>
      <c r="E1636" s="63">
        <v>0</v>
      </c>
    </row>
    <row r="1637" spans="1:5">
      <c r="A1637" s="61" t="s">
        <v>146</v>
      </c>
      <c r="B1637" s="61" t="s">
        <v>382</v>
      </c>
      <c r="C1637" s="62">
        <v>44789</v>
      </c>
      <c r="D1637" s="62">
        <v>44789</v>
      </c>
      <c r="E1637" s="63">
        <v>0</v>
      </c>
    </row>
    <row r="1638" spans="1:5">
      <c r="A1638" s="61" t="s">
        <v>146</v>
      </c>
      <c r="B1638" s="61" t="s">
        <v>382</v>
      </c>
      <c r="C1638" s="62">
        <v>44790</v>
      </c>
      <c r="D1638" s="62">
        <v>44790</v>
      </c>
      <c r="E1638" s="63">
        <v>0</v>
      </c>
    </row>
    <row r="1639" spans="1:5">
      <c r="A1639" s="61" t="s">
        <v>146</v>
      </c>
      <c r="B1639" s="61" t="s">
        <v>382</v>
      </c>
      <c r="C1639" s="62">
        <v>44791</v>
      </c>
      <c r="D1639" s="62">
        <v>44791</v>
      </c>
      <c r="E1639" s="63">
        <v>0</v>
      </c>
    </row>
    <row r="1640" spans="1:5">
      <c r="A1640" s="61" t="s">
        <v>146</v>
      </c>
      <c r="B1640" s="61" t="s">
        <v>382</v>
      </c>
      <c r="C1640" s="62">
        <v>44792</v>
      </c>
      <c r="D1640" s="62">
        <v>44792</v>
      </c>
      <c r="E1640" s="63">
        <v>0</v>
      </c>
    </row>
    <row r="1641" spans="1:5">
      <c r="A1641" s="61" t="s">
        <v>146</v>
      </c>
      <c r="B1641" s="61" t="s">
        <v>382</v>
      </c>
      <c r="C1641" s="62">
        <v>44793</v>
      </c>
      <c r="D1641" s="62">
        <v>44793</v>
      </c>
      <c r="E1641" s="63">
        <v>0</v>
      </c>
    </row>
    <row r="1642" spans="1:5">
      <c r="A1642" s="61" t="s">
        <v>146</v>
      </c>
      <c r="B1642" s="61" t="s">
        <v>382</v>
      </c>
      <c r="C1642" s="62">
        <v>44794</v>
      </c>
      <c r="D1642" s="62">
        <v>44794</v>
      </c>
      <c r="E1642" s="63">
        <v>0</v>
      </c>
    </row>
    <row r="1643" spans="1:5">
      <c r="A1643" s="61" t="s">
        <v>146</v>
      </c>
      <c r="B1643" s="61" t="s">
        <v>382</v>
      </c>
      <c r="C1643" s="62">
        <v>44795</v>
      </c>
      <c r="D1643" s="62">
        <v>44795</v>
      </c>
      <c r="E1643" s="63">
        <v>0</v>
      </c>
    </row>
    <row r="1644" spans="1:5">
      <c r="A1644" s="61" t="s">
        <v>146</v>
      </c>
      <c r="B1644" s="61" t="s">
        <v>382</v>
      </c>
      <c r="C1644" s="62">
        <v>44796</v>
      </c>
      <c r="D1644" s="62">
        <v>44796</v>
      </c>
      <c r="E1644" s="63">
        <v>0</v>
      </c>
    </row>
    <row r="1645" spans="1:5">
      <c r="A1645" s="61" t="s">
        <v>146</v>
      </c>
      <c r="B1645" s="61" t="s">
        <v>382</v>
      </c>
      <c r="C1645" s="62">
        <v>44797</v>
      </c>
      <c r="D1645" s="62">
        <v>44797</v>
      </c>
      <c r="E1645" s="63">
        <v>0</v>
      </c>
    </row>
    <row r="1646" spans="1:5">
      <c r="A1646" s="61" t="s">
        <v>146</v>
      </c>
      <c r="B1646" s="61" t="s">
        <v>382</v>
      </c>
      <c r="C1646" s="62">
        <v>44798</v>
      </c>
      <c r="D1646" s="62">
        <v>44798</v>
      </c>
      <c r="E1646" s="63">
        <v>0</v>
      </c>
    </row>
    <row r="1647" spans="1:5">
      <c r="A1647" s="61" t="s">
        <v>146</v>
      </c>
      <c r="B1647" s="61" t="s">
        <v>382</v>
      </c>
      <c r="C1647" s="62">
        <v>44799</v>
      </c>
      <c r="D1647" s="62">
        <v>44799</v>
      </c>
      <c r="E1647" s="63">
        <v>0</v>
      </c>
    </row>
    <row r="1648" spans="1:5">
      <c r="A1648" s="61" t="s">
        <v>146</v>
      </c>
      <c r="B1648" s="61" t="s">
        <v>382</v>
      </c>
      <c r="C1648" s="62">
        <v>44800</v>
      </c>
      <c r="D1648" s="62">
        <v>44800</v>
      </c>
      <c r="E1648" s="63">
        <v>0</v>
      </c>
    </row>
    <row r="1649" spans="1:5">
      <c r="A1649" s="61" t="s">
        <v>146</v>
      </c>
      <c r="B1649" s="61" t="s">
        <v>382</v>
      </c>
      <c r="C1649" s="62">
        <v>44801</v>
      </c>
      <c r="D1649" s="62">
        <v>44801</v>
      </c>
      <c r="E1649" s="63">
        <v>0</v>
      </c>
    </row>
    <row r="1650" spans="1:5">
      <c r="A1650" s="61" t="s">
        <v>146</v>
      </c>
      <c r="B1650" s="61" t="s">
        <v>382</v>
      </c>
      <c r="C1650" s="62">
        <v>44802</v>
      </c>
      <c r="D1650" s="62">
        <v>44802</v>
      </c>
      <c r="E1650" s="63">
        <v>0</v>
      </c>
    </row>
    <row r="1651" spans="1:5">
      <c r="A1651" s="61" t="s">
        <v>146</v>
      </c>
      <c r="B1651" s="61" t="s">
        <v>382</v>
      </c>
      <c r="C1651" s="62">
        <v>44803</v>
      </c>
      <c r="D1651" s="62">
        <v>44803</v>
      </c>
      <c r="E1651" s="63">
        <v>0</v>
      </c>
    </row>
    <row r="1652" spans="1:5">
      <c r="A1652" s="61" t="s">
        <v>147</v>
      </c>
      <c r="B1652" s="61" t="s">
        <v>383</v>
      </c>
      <c r="C1652" s="62">
        <v>44774</v>
      </c>
      <c r="D1652" s="62">
        <v>44774</v>
      </c>
      <c r="E1652" s="63">
        <v>0</v>
      </c>
    </row>
    <row r="1653" spans="1:5">
      <c r="A1653" s="61" t="s">
        <v>147</v>
      </c>
      <c r="B1653" s="61" t="s">
        <v>383</v>
      </c>
      <c r="C1653" s="62">
        <v>44775</v>
      </c>
      <c r="D1653" s="62">
        <v>44775</v>
      </c>
      <c r="E1653" s="63">
        <v>0</v>
      </c>
    </row>
    <row r="1654" spans="1:5">
      <c r="A1654" s="61" t="s">
        <v>147</v>
      </c>
      <c r="B1654" s="61" t="s">
        <v>383</v>
      </c>
      <c r="C1654" s="62">
        <v>44776</v>
      </c>
      <c r="D1654" s="62">
        <v>44776</v>
      </c>
      <c r="E1654" s="63">
        <v>0</v>
      </c>
    </row>
    <row r="1655" spans="1:5">
      <c r="A1655" s="61" t="s">
        <v>147</v>
      </c>
      <c r="B1655" s="61" t="s">
        <v>383</v>
      </c>
      <c r="C1655" s="62">
        <v>44777</v>
      </c>
      <c r="D1655" s="62">
        <v>44777</v>
      </c>
      <c r="E1655" s="63">
        <v>0</v>
      </c>
    </row>
    <row r="1656" spans="1:5">
      <c r="A1656" s="61" t="s">
        <v>147</v>
      </c>
      <c r="B1656" s="61" t="s">
        <v>383</v>
      </c>
      <c r="C1656" s="62">
        <v>44778</v>
      </c>
      <c r="D1656" s="62">
        <v>44778</v>
      </c>
      <c r="E1656" s="63">
        <v>0</v>
      </c>
    </row>
    <row r="1657" spans="1:5">
      <c r="A1657" s="61" t="s">
        <v>147</v>
      </c>
      <c r="B1657" s="61" t="s">
        <v>383</v>
      </c>
      <c r="C1657" s="62">
        <v>44779</v>
      </c>
      <c r="D1657" s="62">
        <v>44779</v>
      </c>
      <c r="E1657" s="63">
        <v>0</v>
      </c>
    </row>
    <row r="1658" spans="1:5">
      <c r="A1658" s="61" t="s">
        <v>147</v>
      </c>
      <c r="B1658" s="61" t="s">
        <v>383</v>
      </c>
      <c r="C1658" s="62">
        <v>44780</v>
      </c>
      <c r="D1658" s="62">
        <v>44780</v>
      </c>
      <c r="E1658" s="63">
        <v>0</v>
      </c>
    </row>
    <row r="1659" spans="1:5">
      <c r="A1659" s="61" t="s">
        <v>147</v>
      </c>
      <c r="B1659" s="61" t="s">
        <v>383</v>
      </c>
      <c r="C1659" s="62">
        <v>44781</v>
      </c>
      <c r="D1659" s="62">
        <v>44781</v>
      </c>
      <c r="E1659" s="63">
        <v>0</v>
      </c>
    </row>
    <row r="1660" spans="1:5">
      <c r="A1660" s="61" t="s">
        <v>147</v>
      </c>
      <c r="B1660" s="61" t="s">
        <v>383</v>
      </c>
      <c r="C1660" s="62">
        <v>44782</v>
      </c>
      <c r="D1660" s="62">
        <v>44782</v>
      </c>
      <c r="E1660" s="63">
        <v>0</v>
      </c>
    </row>
    <row r="1661" spans="1:5">
      <c r="A1661" s="61" t="s">
        <v>147</v>
      </c>
      <c r="B1661" s="61" t="s">
        <v>383</v>
      </c>
      <c r="C1661" s="62">
        <v>44783</v>
      </c>
      <c r="D1661" s="62">
        <v>44783</v>
      </c>
      <c r="E1661" s="63">
        <v>0</v>
      </c>
    </row>
    <row r="1662" spans="1:5">
      <c r="A1662" s="61" t="s">
        <v>147</v>
      </c>
      <c r="B1662" s="61" t="s">
        <v>383</v>
      </c>
      <c r="C1662" s="62">
        <v>44784</v>
      </c>
      <c r="D1662" s="62">
        <v>44784</v>
      </c>
      <c r="E1662" s="63">
        <v>0</v>
      </c>
    </row>
    <row r="1663" spans="1:5">
      <c r="A1663" s="61" t="s">
        <v>147</v>
      </c>
      <c r="B1663" s="61" t="s">
        <v>383</v>
      </c>
      <c r="C1663" s="62">
        <v>44785</v>
      </c>
      <c r="D1663" s="62">
        <v>44785</v>
      </c>
      <c r="E1663" s="63">
        <v>0</v>
      </c>
    </row>
    <row r="1664" spans="1:5">
      <c r="A1664" s="61" t="s">
        <v>147</v>
      </c>
      <c r="B1664" s="61" t="s">
        <v>383</v>
      </c>
      <c r="C1664" s="62">
        <v>44786</v>
      </c>
      <c r="D1664" s="62">
        <v>44786</v>
      </c>
      <c r="E1664" s="63">
        <v>0</v>
      </c>
    </row>
    <row r="1665" spans="1:5">
      <c r="A1665" s="61" t="s">
        <v>147</v>
      </c>
      <c r="B1665" s="61" t="s">
        <v>383</v>
      </c>
      <c r="C1665" s="62">
        <v>44787</v>
      </c>
      <c r="D1665" s="62">
        <v>44787</v>
      </c>
      <c r="E1665" s="63">
        <v>0</v>
      </c>
    </row>
    <row r="1666" spans="1:5">
      <c r="A1666" s="61" t="s">
        <v>147</v>
      </c>
      <c r="B1666" s="61" t="s">
        <v>383</v>
      </c>
      <c r="C1666" s="62">
        <v>44788</v>
      </c>
      <c r="D1666" s="62">
        <v>44788</v>
      </c>
      <c r="E1666" s="63">
        <v>0</v>
      </c>
    </row>
    <row r="1667" spans="1:5">
      <c r="A1667" s="61" t="s">
        <v>147</v>
      </c>
      <c r="B1667" s="61" t="s">
        <v>383</v>
      </c>
      <c r="C1667" s="62">
        <v>44789</v>
      </c>
      <c r="D1667" s="62">
        <v>44789</v>
      </c>
      <c r="E1667" s="63">
        <v>0</v>
      </c>
    </row>
    <row r="1668" spans="1:5">
      <c r="A1668" s="61" t="s">
        <v>147</v>
      </c>
      <c r="B1668" s="61" t="s">
        <v>383</v>
      </c>
      <c r="C1668" s="62">
        <v>44790</v>
      </c>
      <c r="D1668" s="62">
        <v>44790</v>
      </c>
      <c r="E1668" s="63">
        <v>0</v>
      </c>
    </row>
    <row r="1669" spans="1:5">
      <c r="A1669" s="61" t="s">
        <v>147</v>
      </c>
      <c r="B1669" s="61" t="s">
        <v>383</v>
      </c>
      <c r="C1669" s="62">
        <v>44791</v>
      </c>
      <c r="D1669" s="62">
        <v>44791</v>
      </c>
      <c r="E1669" s="63">
        <v>0</v>
      </c>
    </row>
    <row r="1670" spans="1:5">
      <c r="A1670" s="61" t="s">
        <v>147</v>
      </c>
      <c r="B1670" s="61" t="s">
        <v>383</v>
      </c>
      <c r="C1670" s="62">
        <v>44792</v>
      </c>
      <c r="D1670" s="62">
        <v>44792</v>
      </c>
      <c r="E1670" s="63">
        <v>0</v>
      </c>
    </row>
    <row r="1671" spans="1:5">
      <c r="A1671" s="61" t="s">
        <v>147</v>
      </c>
      <c r="B1671" s="61" t="s">
        <v>383</v>
      </c>
      <c r="C1671" s="62">
        <v>44793</v>
      </c>
      <c r="D1671" s="62">
        <v>44793</v>
      </c>
      <c r="E1671" s="63">
        <v>0</v>
      </c>
    </row>
    <row r="1672" spans="1:5">
      <c r="A1672" s="61" t="s">
        <v>147</v>
      </c>
      <c r="B1672" s="61" t="s">
        <v>383</v>
      </c>
      <c r="C1672" s="62">
        <v>44794</v>
      </c>
      <c r="D1672" s="62">
        <v>44794</v>
      </c>
      <c r="E1672" s="63">
        <v>0</v>
      </c>
    </row>
    <row r="1673" spans="1:5">
      <c r="A1673" s="61" t="s">
        <v>147</v>
      </c>
      <c r="B1673" s="61" t="s">
        <v>383</v>
      </c>
      <c r="C1673" s="62">
        <v>44795</v>
      </c>
      <c r="D1673" s="62">
        <v>44795</v>
      </c>
      <c r="E1673" s="63">
        <v>0</v>
      </c>
    </row>
    <row r="1674" spans="1:5">
      <c r="A1674" s="61" t="s">
        <v>147</v>
      </c>
      <c r="B1674" s="61" t="s">
        <v>383</v>
      </c>
      <c r="C1674" s="62">
        <v>44796</v>
      </c>
      <c r="D1674" s="62">
        <v>44796</v>
      </c>
      <c r="E1674" s="63">
        <v>0</v>
      </c>
    </row>
    <row r="1675" spans="1:5">
      <c r="A1675" s="61" t="s">
        <v>147</v>
      </c>
      <c r="B1675" s="61" t="s">
        <v>383</v>
      </c>
      <c r="C1675" s="62">
        <v>44797</v>
      </c>
      <c r="D1675" s="62">
        <v>44797</v>
      </c>
      <c r="E1675" s="63">
        <v>0</v>
      </c>
    </row>
    <row r="1676" spans="1:5">
      <c r="A1676" s="61" t="s">
        <v>147</v>
      </c>
      <c r="B1676" s="61" t="s">
        <v>383</v>
      </c>
      <c r="C1676" s="62">
        <v>44798</v>
      </c>
      <c r="D1676" s="62">
        <v>44798</v>
      </c>
      <c r="E1676" s="63">
        <v>0</v>
      </c>
    </row>
    <row r="1677" spans="1:5">
      <c r="A1677" s="61" t="s">
        <v>147</v>
      </c>
      <c r="B1677" s="61" t="s">
        <v>383</v>
      </c>
      <c r="C1677" s="62">
        <v>44799</v>
      </c>
      <c r="D1677" s="62">
        <v>44799</v>
      </c>
      <c r="E1677" s="63">
        <v>0</v>
      </c>
    </row>
    <row r="1678" spans="1:5">
      <c r="A1678" s="61" t="s">
        <v>147</v>
      </c>
      <c r="B1678" s="61" t="s">
        <v>383</v>
      </c>
      <c r="C1678" s="62">
        <v>44800</v>
      </c>
      <c r="D1678" s="62">
        <v>44800</v>
      </c>
      <c r="E1678" s="63">
        <v>0</v>
      </c>
    </row>
    <row r="1679" spans="1:5">
      <c r="A1679" s="61" t="s">
        <v>147</v>
      </c>
      <c r="B1679" s="61" t="s">
        <v>383</v>
      </c>
      <c r="C1679" s="62">
        <v>44801</v>
      </c>
      <c r="D1679" s="62">
        <v>44801</v>
      </c>
      <c r="E1679" s="63">
        <v>0</v>
      </c>
    </row>
    <row r="1680" spans="1:5">
      <c r="A1680" s="61" t="s">
        <v>147</v>
      </c>
      <c r="B1680" s="61" t="s">
        <v>383</v>
      </c>
      <c r="C1680" s="62">
        <v>44802</v>
      </c>
      <c r="D1680" s="62">
        <v>44802</v>
      </c>
      <c r="E1680" s="63">
        <v>0</v>
      </c>
    </row>
    <row r="1681" spans="1:5">
      <c r="A1681" s="61" t="s">
        <v>147</v>
      </c>
      <c r="B1681" s="61" t="s">
        <v>383</v>
      </c>
      <c r="C1681" s="62">
        <v>44803</v>
      </c>
      <c r="D1681" s="62">
        <v>44803</v>
      </c>
      <c r="E1681" s="63">
        <v>0</v>
      </c>
    </row>
    <row r="1682" spans="1:5">
      <c r="A1682" s="61" t="s">
        <v>35</v>
      </c>
      <c r="B1682" s="61" t="s">
        <v>380</v>
      </c>
      <c r="C1682" s="62">
        <v>44774</v>
      </c>
      <c r="D1682" s="62">
        <v>44774</v>
      </c>
      <c r="E1682" s="63">
        <v>0</v>
      </c>
    </row>
    <row r="1683" spans="1:5">
      <c r="A1683" s="61" t="s">
        <v>35</v>
      </c>
      <c r="B1683" s="61" t="s">
        <v>380</v>
      </c>
      <c r="C1683" s="62">
        <v>44775</v>
      </c>
      <c r="D1683" s="62">
        <v>44775</v>
      </c>
      <c r="E1683" s="63">
        <v>0</v>
      </c>
    </row>
    <row r="1684" spans="1:5">
      <c r="A1684" s="61" t="s">
        <v>35</v>
      </c>
      <c r="B1684" s="61" t="s">
        <v>380</v>
      </c>
      <c r="C1684" s="62">
        <v>44776</v>
      </c>
      <c r="D1684" s="62">
        <v>44776</v>
      </c>
      <c r="E1684" s="63">
        <v>0</v>
      </c>
    </row>
    <row r="1685" spans="1:5">
      <c r="A1685" s="61" t="s">
        <v>35</v>
      </c>
      <c r="B1685" s="61" t="s">
        <v>380</v>
      </c>
      <c r="C1685" s="62">
        <v>44777</v>
      </c>
      <c r="D1685" s="62">
        <v>44777</v>
      </c>
      <c r="E1685" s="63">
        <v>0</v>
      </c>
    </row>
    <row r="1686" spans="1:5">
      <c r="A1686" s="61" t="s">
        <v>35</v>
      </c>
      <c r="B1686" s="61" t="s">
        <v>380</v>
      </c>
      <c r="C1686" s="62">
        <v>44778</v>
      </c>
      <c r="D1686" s="62">
        <v>44778</v>
      </c>
      <c r="E1686" s="63">
        <v>0</v>
      </c>
    </row>
    <row r="1687" spans="1:5">
      <c r="A1687" s="61" t="s">
        <v>35</v>
      </c>
      <c r="B1687" s="61" t="s">
        <v>380</v>
      </c>
      <c r="C1687" s="62">
        <v>44779</v>
      </c>
      <c r="D1687" s="62">
        <v>44779</v>
      </c>
      <c r="E1687" s="63">
        <v>0</v>
      </c>
    </row>
    <row r="1688" spans="1:5">
      <c r="A1688" s="61" t="s">
        <v>35</v>
      </c>
      <c r="B1688" s="61" t="s">
        <v>380</v>
      </c>
      <c r="C1688" s="62">
        <v>44780</v>
      </c>
      <c r="D1688" s="62">
        <v>44780</v>
      </c>
      <c r="E1688" s="63">
        <v>0</v>
      </c>
    </row>
    <row r="1689" spans="1:5">
      <c r="A1689" s="61" t="s">
        <v>35</v>
      </c>
      <c r="B1689" s="61" t="s">
        <v>380</v>
      </c>
      <c r="C1689" s="62">
        <v>44781</v>
      </c>
      <c r="D1689" s="62">
        <v>44781</v>
      </c>
      <c r="E1689" s="63">
        <v>0</v>
      </c>
    </row>
    <row r="1690" spans="1:5">
      <c r="A1690" s="61" t="s">
        <v>35</v>
      </c>
      <c r="B1690" s="61" t="s">
        <v>380</v>
      </c>
      <c r="C1690" s="62">
        <v>44782</v>
      </c>
      <c r="D1690" s="62">
        <v>44782</v>
      </c>
      <c r="E1690" s="63">
        <v>0</v>
      </c>
    </row>
    <row r="1691" spans="1:5">
      <c r="A1691" s="61" t="s">
        <v>35</v>
      </c>
      <c r="B1691" s="61" t="s">
        <v>380</v>
      </c>
      <c r="C1691" s="62">
        <v>44783</v>
      </c>
      <c r="D1691" s="62">
        <v>44783</v>
      </c>
      <c r="E1691" s="63">
        <v>0</v>
      </c>
    </row>
    <row r="1692" spans="1:5">
      <c r="A1692" s="61" t="s">
        <v>35</v>
      </c>
      <c r="B1692" s="61" t="s">
        <v>380</v>
      </c>
      <c r="C1692" s="62">
        <v>44784</v>
      </c>
      <c r="D1692" s="62">
        <v>44784</v>
      </c>
      <c r="E1692" s="63">
        <v>0</v>
      </c>
    </row>
    <row r="1693" spans="1:5">
      <c r="A1693" s="61" t="s">
        <v>35</v>
      </c>
      <c r="B1693" s="61" t="s">
        <v>380</v>
      </c>
      <c r="C1693" s="62">
        <v>44785</v>
      </c>
      <c r="D1693" s="62">
        <v>44785</v>
      </c>
      <c r="E1693" s="63">
        <v>0</v>
      </c>
    </row>
    <row r="1694" spans="1:5">
      <c r="A1694" s="61" t="s">
        <v>35</v>
      </c>
      <c r="B1694" s="61" t="s">
        <v>380</v>
      </c>
      <c r="C1694" s="62">
        <v>44786</v>
      </c>
      <c r="D1694" s="62">
        <v>44786</v>
      </c>
      <c r="E1694" s="63">
        <v>0</v>
      </c>
    </row>
    <row r="1695" spans="1:5">
      <c r="A1695" s="61" t="s">
        <v>35</v>
      </c>
      <c r="B1695" s="61" t="s">
        <v>380</v>
      </c>
      <c r="C1695" s="62">
        <v>44787</v>
      </c>
      <c r="D1695" s="62">
        <v>44787</v>
      </c>
      <c r="E1695" s="63">
        <v>0</v>
      </c>
    </row>
    <row r="1696" spans="1:5">
      <c r="A1696" s="61" t="s">
        <v>35</v>
      </c>
      <c r="B1696" s="61" t="s">
        <v>380</v>
      </c>
      <c r="C1696" s="62">
        <v>44788</v>
      </c>
      <c r="D1696" s="62">
        <v>44788</v>
      </c>
      <c r="E1696" s="63">
        <v>0</v>
      </c>
    </row>
    <row r="1697" spans="1:5">
      <c r="A1697" s="61" t="s">
        <v>35</v>
      </c>
      <c r="B1697" s="61" t="s">
        <v>380</v>
      </c>
      <c r="C1697" s="62">
        <v>44789</v>
      </c>
      <c r="D1697" s="62">
        <v>44789</v>
      </c>
      <c r="E1697" s="63">
        <v>0</v>
      </c>
    </row>
    <row r="1698" spans="1:5">
      <c r="A1698" s="61" t="s">
        <v>35</v>
      </c>
      <c r="B1698" s="61" t="s">
        <v>380</v>
      </c>
      <c r="C1698" s="62">
        <v>44790</v>
      </c>
      <c r="D1698" s="62">
        <v>44790</v>
      </c>
      <c r="E1698" s="63">
        <v>0</v>
      </c>
    </row>
    <row r="1699" spans="1:5">
      <c r="A1699" s="61" t="s">
        <v>35</v>
      </c>
      <c r="B1699" s="61" t="s">
        <v>380</v>
      </c>
      <c r="C1699" s="62">
        <v>44791</v>
      </c>
      <c r="D1699" s="62">
        <v>44791</v>
      </c>
      <c r="E1699" s="63">
        <v>0</v>
      </c>
    </row>
    <row r="1700" spans="1:5">
      <c r="A1700" s="61" t="s">
        <v>35</v>
      </c>
      <c r="B1700" s="61" t="s">
        <v>380</v>
      </c>
      <c r="C1700" s="62">
        <v>44792</v>
      </c>
      <c r="D1700" s="62">
        <v>44792</v>
      </c>
      <c r="E1700" s="63">
        <v>0</v>
      </c>
    </row>
    <row r="1701" spans="1:5">
      <c r="A1701" s="61" t="s">
        <v>35</v>
      </c>
      <c r="B1701" s="61" t="s">
        <v>380</v>
      </c>
      <c r="C1701" s="62">
        <v>44793</v>
      </c>
      <c r="D1701" s="62">
        <v>44793</v>
      </c>
      <c r="E1701" s="63">
        <v>0</v>
      </c>
    </row>
    <row r="1702" spans="1:5">
      <c r="A1702" s="61" t="s">
        <v>35</v>
      </c>
      <c r="B1702" s="61" t="s">
        <v>380</v>
      </c>
      <c r="C1702" s="62">
        <v>44794</v>
      </c>
      <c r="D1702" s="62">
        <v>44794</v>
      </c>
      <c r="E1702" s="63">
        <v>0</v>
      </c>
    </row>
    <row r="1703" spans="1:5">
      <c r="A1703" s="61" t="s">
        <v>35</v>
      </c>
      <c r="B1703" s="61" t="s">
        <v>380</v>
      </c>
      <c r="C1703" s="62">
        <v>44795</v>
      </c>
      <c r="D1703" s="62">
        <v>44795</v>
      </c>
      <c r="E1703" s="63">
        <v>0</v>
      </c>
    </row>
    <row r="1704" spans="1:5">
      <c r="A1704" s="61" t="s">
        <v>35</v>
      </c>
      <c r="B1704" s="61" t="s">
        <v>380</v>
      </c>
      <c r="C1704" s="62">
        <v>44796</v>
      </c>
      <c r="D1704" s="62">
        <v>44796</v>
      </c>
      <c r="E1704" s="63">
        <v>0</v>
      </c>
    </row>
    <row r="1705" spans="1:5">
      <c r="A1705" s="61" t="s">
        <v>35</v>
      </c>
      <c r="B1705" s="61" t="s">
        <v>380</v>
      </c>
      <c r="C1705" s="62">
        <v>44797</v>
      </c>
      <c r="D1705" s="62">
        <v>44797</v>
      </c>
      <c r="E1705" s="63">
        <v>0</v>
      </c>
    </row>
    <row r="1706" spans="1:5">
      <c r="A1706" s="61" t="s">
        <v>35</v>
      </c>
      <c r="B1706" s="61" t="s">
        <v>380</v>
      </c>
      <c r="C1706" s="62">
        <v>44798</v>
      </c>
      <c r="D1706" s="62">
        <v>44798</v>
      </c>
      <c r="E1706" s="63">
        <v>0</v>
      </c>
    </row>
    <row r="1707" spans="1:5">
      <c r="A1707" s="61" t="s">
        <v>35</v>
      </c>
      <c r="B1707" s="61" t="s">
        <v>380</v>
      </c>
      <c r="C1707" s="62">
        <v>44799</v>
      </c>
      <c r="D1707" s="62">
        <v>44799</v>
      </c>
      <c r="E1707" s="63">
        <v>0</v>
      </c>
    </row>
    <row r="1708" spans="1:5">
      <c r="A1708" s="61" t="s">
        <v>35</v>
      </c>
      <c r="B1708" s="61" t="s">
        <v>380</v>
      </c>
      <c r="C1708" s="62">
        <v>44800</v>
      </c>
      <c r="D1708" s="62">
        <v>44800</v>
      </c>
      <c r="E1708" s="63">
        <v>0</v>
      </c>
    </row>
    <row r="1709" spans="1:5">
      <c r="A1709" s="61" t="s">
        <v>35</v>
      </c>
      <c r="B1709" s="61" t="s">
        <v>380</v>
      </c>
      <c r="C1709" s="62">
        <v>44801</v>
      </c>
      <c r="D1709" s="62">
        <v>44801</v>
      </c>
      <c r="E1709" s="63">
        <v>0</v>
      </c>
    </row>
    <row r="1710" spans="1:5">
      <c r="A1710" s="61" t="s">
        <v>35</v>
      </c>
      <c r="B1710" s="61" t="s">
        <v>380</v>
      </c>
      <c r="C1710" s="62">
        <v>44802</v>
      </c>
      <c r="D1710" s="62">
        <v>44802</v>
      </c>
      <c r="E1710" s="63">
        <v>0</v>
      </c>
    </row>
    <row r="1711" spans="1:5">
      <c r="A1711" s="61" t="s">
        <v>35</v>
      </c>
      <c r="B1711" s="61" t="s">
        <v>380</v>
      </c>
      <c r="C1711" s="62">
        <v>44803</v>
      </c>
      <c r="D1711" s="62">
        <v>44803</v>
      </c>
      <c r="E1711" s="63">
        <v>0</v>
      </c>
    </row>
    <row r="1712" spans="1:5">
      <c r="A1712" s="61" t="s">
        <v>148</v>
      </c>
      <c r="B1712" s="61" t="s">
        <v>381</v>
      </c>
      <c r="C1712" s="62">
        <v>44774</v>
      </c>
      <c r="D1712" s="62">
        <v>44774</v>
      </c>
      <c r="E1712" s="63">
        <v>0</v>
      </c>
    </row>
    <row r="1713" spans="1:5">
      <c r="A1713" s="61" t="s">
        <v>148</v>
      </c>
      <c r="B1713" s="61" t="s">
        <v>381</v>
      </c>
      <c r="C1713" s="62">
        <v>44775</v>
      </c>
      <c r="D1713" s="62">
        <v>44775</v>
      </c>
      <c r="E1713" s="63">
        <v>0</v>
      </c>
    </row>
    <row r="1714" spans="1:5">
      <c r="A1714" s="61" t="s">
        <v>148</v>
      </c>
      <c r="B1714" s="61" t="s">
        <v>381</v>
      </c>
      <c r="C1714" s="62">
        <v>44776</v>
      </c>
      <c r="D1714" s="62">
        <v>44776</v>
      </c>
      <c r="E1714" s="63">
        <v>0</v>
      </c>
    </row>
    <row r="1715" spans="1:5">
      <c r="A1715" s="61" t="s">
        <v>148</v>
      </c>
      <c r="B1715" s="61" t="s">
        <v>381</v>
      </c>
      <c r="C1715" s="62">
        <v>44777</v>
      </c>
      <c r="D1715" s="62">
        <v>44777</v>
      </c>
      <c r="E1715" s="63">
        <v>0</v>
      </c>
    </row>
    <row r="1716" spans="1:5">
      <c r="A1716" s="61" t="s">
        <v>148</v>
      </c>
      <c r="B1716" s="61" t="s">
        <v>381</v>
      </c>
      <c r="C1716" s="62">
        <v>44778</v>
      </c>
      <c r="D1716" s="62">
        <v>44778</v>
      </c>
      <c r="E1716" s="63">
        <v>0</v>
      </c>
    </row>
    <row r="1717" spans="1:5">
      <c r="A1717" s="61" t="s">
        <v>148</v>
      </c>
      <c r="B1717" s="61" t="s">
        <v>381</v>
      </c>
      <c r="C1717" s="62">
        <v>44779</v>
      </c>
      <c r="D1717" s="62">
        <v>44779</v>
      </c>
      <c r="E1717" s="63">
        <v>0</v>
      </c>
    </row>
    <row r="1718" spans="1:5">
      <c r="A1718" s="61" t="s">
        <v>148</v>
      </c>
      <c r="B1718" s="61" t="s">
        <v>381</v>
      </c>
      <c r="C1718" s="62">
        <v>44780</v>
      </c>
      <c r="D1718" s="62">
        <v>44780</v>
      </c>
      <c r="E1718" s="63">
        <v>0</v>
      </c>
    </row>
    <row r="1719" spans="1:5">
      <c r="A1719" s="61" t="s">
        <v>148</v>
      </c>
      <c r="B1719" s="61" t="s">
        <v>381</v>
      </c>
      <c r="C1719" s="62">
        <v>44781</v>
      </c>
      <c r="D1719" s="62">
        <v>44781</v>
      </c>
      <c r="E1719" s="63">
        <v>0</v>
      </c>
    </row>
    <row r="1720" spans="1:5">
      <c r="A1720" s="61" t="s">
        <v>148</v>
      </c>
      <c r="B1720" s="61" t="s">
        <v>381</v>
      </c>
      <c r="C1720" s="62">
        <v>44782</v>
      </c>
      <c r="D1720" s="62">
        <v>44782</v>
      </c>
      <c r="E1720" s="63">
        <v>0</v>
      </c>
    </row>
    <row r="1721" spans="1:5">
      <c r="A1721" s="61" t="s">
        <v>148</v>
      </c>
      <c r="B1721" s="61" t="s">
        <v>381</v>
      </c>
      <c r="C1721" s="62">
        <v>44783</v>
      </c>
      <c r="D1721" s="62">
        <v>44783</v>
      </c>
      <c r="E1721" s="63">
        <v>0</v>
      </c>
    </row>
    <row r="1722" spans="1:5">
      <c r="A1722" s="61" t="s">
        <v>148</v>
      </c>
      <c r="B1722" s="61" t="s">
        <v>381</v>
      </c>
      <c r="C1722" s="62">
        <v>44784</v>
      </c>
      <c r="D1722" s="62">
        <v>44784</v>
      </c>
      <c r="E1722" s="63">
        <v>0</v>
      </c>
    </row>
    <row r="1723" spans="1:5">
      <c r="A1723" s="61" t="s">
        <v>148</v>
      </c>
      <c r="B1723" s="61" t="s">
        <v>381</v>
      </c>
      <c r="C1723" s="62">
        <v>44785</v>
      </c>
      <c r="D1723" s="62">
        <v>44785</v>
      </c>
      <c r="E1723" s="63">
        <v>0</v>
      </c>
    </row>
    <row r="1724" spans="1:5">
      <c r="A1724" s="61" t="s">
        <v>148</v>
      </c>
      <c r="B1724" s="61" t="s">
        <v>381</v>
      </c>
      <c r="C1724" s="62">
        <v>44786</v>
      </c>
      <c r="D1724" s="62">
        <v>44786</v>
      </c>
      <c r="E1724" s="63">
        <v>0</v>
      </c>
    </row>
    <row r="1725" spans="1:5">
      <c r="A1725" s="61" t="s">
        <v>148</v>
      </c>
      <c r="B1725" s="61" t="s">
        <v>381</v>
      </c>
      <c r="C1725" s="62">
        <v>44787</v>
      </c>
      <c r="D1725" s="62">
        <v>44787</v>
      </c>
      <c r="E1725" s="63">
        <v>0</v>
      </c>
    </row>
    <row r="1726" spans="1:5">
      <c r="A1726" s="61" t="s">
        <v>148</v>
      </c>
      <c r="B1726" s="61" t="s">
        <v>381</v>
      </c>
      <c r="C1726" s="62">
        <v>44788</v>
      </c>
      <c r="D1726" s="62">
        <v>44788</v>
      </c>
      <c r="E1726" s="63">
        <v>0</v>
      </c>
    </row>
    <row r="1727" spans="1:5">
      <c r="A1727" s="61" t="s">
        <v>148</v>
      </c>
      <c r="B1727" s="61" t="s">
        <v>381</v>
      </c>
      <c r="C1727" s="62">
        <v>44789</v>
      </c>
      <c r="D1727" s="62">
        <v>44789</v>
      </c>
      <c r="E1727" s="63">
        <v>0</v>
      </c>
    </row>
    <row r="1728" spans="1:5">
      <c r="A1728" s="61" t="s">
        <v>148</v>
      </c>
      <c r="B1728" s="61" t="s">
        <v>381</v>
      </c>
      <c r="C1728" s="62">
        <v>44790</v>
      </c>
      <c r="D1728" s="62">
        <v>44790</v>
      </c>
      <c r="E1728" s="63">
        <v>0</v>
      </c>
    </row>
    <row r="1729" spans="1:5">
      <c r="A1729" s="61" t="s">
        <v>148</v>
      </c>
      <c r="B1729" s="61" t="s">
        <v>381</v>
      </c>
      <c r="C1729" s="62">
        <v>44791</v>
      </c>
      <c r="D1729" s="62">
        <v>44791</v>
      </c>
      <c r="E1729" s="63">
        <v>0</v>
      </c>
    </row>
    <row r="1730" spans="1:5">
      <c r="A1730" s="61" t="s">
        <v>148</v>
      </c>
      <c r="B1730" s="61" t="s">
        <v>381</v>
      </c>
      <c r="C1730" s="62">
        <v>44792</v>
      </c>
      <c r="D1730" s="62">
        <v>44792</v>
      </c>
      <c r="E1730" s="63">
        <v>0</v>
      </c>
    </row>
    <row r="1731" spans="1:5">
      <c r="A1731" s="61" t="s">
        <v>148</v>
      </c>
      <c r="B1731" s="61" t="s">
        <v>381</v>
      </c>
      <c r="C1731" s="62">
        <v>44793</v>
      </c>
      <c r="D1731" s="62">
        <v>44793</v>
      </c>
      <c r="E1731" s="63">
        <v>0</v>
      </c>
    </row>
    <row r="1732" spans="1:5">
      <c r="A1732" s="61" t="s">
        <v>148</v>
      </c>
      <c r="B1732" s="61" t="s">
        <v>381</v>
      </c>
      <c r="C1732" s="62">
        <v>44794</v>
      </c>
      <c r="D1732" s="62">
        <v>44794</v>
      </c>
      <c r="E1732" s="63">
        <v>0</v>
      </c>
    </row>
    <row r="1733" spans="1:5">
      <c r="A1733" s="61" t="s">
        <v>148</v>
      </c>
      <c r="B1733" s="61" t="s">
        <v>381</v>
      </c>
      <c r="C1733" s="62">
        <v>44795</v>
      </c>
      <c r="D1733" s="62">
        <v>44795</v>
      </c>
      <c r="E1733" s="63">
        <v>0</v>
      </c>
    </row>
    <row r="1734" spans="1:5">
      <c r="A1734" s="61" t="s">
        <v>148</v>
      </c>
      <c r="B1734" s="61" t="s">
        <v>381</v>
      </c>
      <c r="C1734" s="62">
        <v>44796</v>
      </c>
      <c r="D1734" s="62">
        <v>44796</v>
      </c>
      <c r="E1734" s="63">
        <v>0</v>
      </c>
    </row>
    <row r="1735" spans="1:5">
      <c r="A1735" s="61" t="s">
        <v>148</v>
      </c>
      <c r="B1735" s="61" t="s">
        <v>381</v>
      </c>
      <c r="C1735" s="62">
        <v>44797</v>
      </c>
      <c r="D1735" s="62">
        <v>44797</v>
      </c>
      <c r="E1735" s="63">
        <v>0</v>
      </c>
    </row>
    <row r="1736" spans="1:5">
      <c r="A1736" s="61" t="s">
        <v>148</v>
      </c>
      <c r="B1736" s="61" t="s">
        <v>381</v>
      </c>
      <c r="C1736" s="62">
        <v>44798</v>
      </c>
      <c r="D1736" s="62">
        <v>44798</v>
      </c>
      <c r="E1736" s="63">
        <v>0</v>
      </c>
    </row>
    <row r="1737" spans="1:5">
      <c r="A1737" s="61" t="s">
        <v>148</v>
      </c>
      <c r="B1737" s="61" t="s">
        <v>381</v>
      </c>
      <c r="C1737" s="62">
        <v>44799</v>
      </c>
      <c r="D1737" s="62">
        <v>44799</v>
      </c>
      <c r="E1737" s="63">
        <v>0</v>
      </c>
    </row>
    <row r="1738" spans="1:5">
      <c r="A1738" s="61" t="s">
        <v>148</v>
      </c>
      <c r="B1738" s="61" t="s">
        <v>381</v>
      </c>
      <c r="C1738" s="62">
        <v>44800</v>
      </c>
      <c r="D1738" s="62">
        <v>44800</v>
      </c>
      <c r="E1738" s="63">
        <v>0</v>
      </c>
    </row>
    <row r="1739" spans="1:5">
      <c r="A1739" s="61" t="s">
        <v>148</v>
      </c>
      <c r="B1739" s="61" t="s">
        <v>381</v>
      </c>
      <c r="C1739" s="62">
        <v>44801</v>
      </c>
      <c r="D1739" s="62">
        <v>44801</v>
      </c>
      <c r="E1739" s="63">
        <v>0</v>
      </c>
    </row>
    <row r="1740" spans="1:5">
      <c r="A1740" s="61" t="s">
        <v>148</v>
      </c>
      <c r="B1740" s="61" t="s">
        <v>381</v>
      </c>
      <c r="C1740" s="62">
        <v>44802</v>
      </c>
      <c r="D1740" s="62">
        <v>44802</v>
      </c>
      <c r="E1740" s="63">
        <v>0</v>
      </c>
    </row>
    <row r="1741" spans="1:5">
      <c r="A1741" s="61" t="s">
        <v>148</v>
      </c>
      <c r="B1741" s="61" t="s">
        <v>381</v>
      </c>
      <c r="C1741" s="62">
        <v>44803</v>
      </c>
      <c r="D1741" s="62">
        <v>44803</v>
      </c>
      <c r="E1741" s="63">
        <v>0</v>
      </c>
    </row>
    <row r="1742" spans="1:5">
      <c r="A1742" s="61" t="s">
        <v>149</v>
      </c>
      <c r="B1742" s="61" t="s">
        <v>382</v>
      </c>
      <c r="C1742" s="62">
        <v>44774</v>
      </c>
      <c r="D1742" s="62">
        <v>44774</v>
      </c>
      <c r="E1742" s="63">
        <v>0</v>
      </c>
    </row>
    <row r="1743" spans="1:5">
      <c r="A1743" s="61" t="s">
        <v>149</v>
      </c>
      <c r="B1743" s="61" t="s">
        <v>382</v>
      </c>
      <c r="C1743" s="62">
        <v>44775</v>
      </c>
      <c r="D1743" s="62">
        <v>44775</v>
      </c>
      <c r="E1743" s="63">
        <v>0</v>
      </c>
    </row>
    <row r="1744" spans="1:5">
      <c r="A1744" s="61" t="s">
        <v>149</v>
      </c>
      <c r="B1744" s="61" t="s">
        <v>382</v>
      </c>
      <c r="C1744" s="62">
        <v>44776</v>
      </c>
      <c r="D1744" s="62">
        <v>44776</v>
      </c>
      <c r="E1744" s="63">
        <v>0</v>
      </c>
    </row>
    <row r="1745" spans="1:5">
      <c r="A1745" s="61" t="s">
        <v>149</v>
      </c>
      <c r="B1745" s="61" t="s">
        <v>382</v>
      </c>
      <c r="C1745" s="62">
        <v>44777</v>
      </c>
      <c r="D1745" s="62">
        <v>44777</v>
      </c>
      <c r="E1745" s="63">
        <v>0</v>
      </c>
    </row>
    <row r="1746" spans="1:5">
      <c r="A1746" s="61" t="s">
        <v>149</v>
      </c>
      <c r="B1746" s="61" t="s">
        <v>382</v>
      </c>
      <c r="C1746" s="62">
        <v>44778</v>
      </c>
      <c r="D1746" s="62">
        <v>44778</v>
      </c>
      <c r="E1746" s="63">
        <v>0</v>
      </c>
    </row>
    <row r="1747" spans="1:5">
      <c r="A1747" s="61" t="s">
        <v>149</v>
      </c>
      <c r="B1747" s="61" t="s">
        <v>382</v>
      </c>
      <c r="C1747" s="62">
        <v>44779</v>
      </c>
      <c r="D1747" s="62">
        <v>44779</v>
      </c>
      <c r="E1747" s="63">
        <v>0</v>
      </c>
    </row>
    <row r="1748" spans="1:5">
      <c r="A1748" s="61" t="s">
        <v>149</v>
      </c>
      <c r="B1748" s="61" t="s">
        <v>382</v>
      </c>
      <c r="C1748" s="62">
        <v>44780</v>
      </c>
      <c r="D1748" s="62">
        <v>44780</v>
      </c>
      <c r="E1748" s="63">
        <v>0</v>
      </c>
    </row>
    <row r="1749" spans="1:5">
      <c r="A1749" s="61" t="s">
        <v>149</v>
      </c>
      <c r="B1749" s="61" t="s">
        <v>382</v>
      </c>
      <c r="C1749" s="62">
        <v>44781</v>
      </c>
      <c r="D1749" s="62">
        <v>44781</v>
      </c>
      <c r="E1749" s="63">
        <v>0</v>
      </c>
    </row>
    <row r="1750" spans="1:5">
      <c r="A1750" s="61" t="s">
        <v>149</v>
      </c>
      <c r="B1750" s="61" t="s">
        <v>382</v>
      </c>
      <c r="C1750" s="62">
        <v>44782</v>
      </c>
      <c r="D1750" s="62">
        <v>44782</v>
      </c>
      <c r="E1750" s="63">
        <v>0</v>
      </c>
    </row>
    <row r="1751" spans="1:5">
      <c r="A1751" s="61" t="s">
        <v>149</v>
      </c>
      <c r="B1751" s="61" t="s">
        <v>382</v>
      </c>
      <c r="C1751" s="62">
        <v>44783</v>
      </c>
      <c r="D1751" s="62">
        <v>44783</v>
      </c>
      <c r="E1751" s="63">
        <v>0</v>
      </c>
    </row>
    <row r="1752" spans="1:5">
      <c r="A1752" s="61" t="s">
        <v>149</v>
      </c>
      <c r="B1752" s="61" t="s">
        <v>382</v>
      </c>
      <c r="C1752" s="62">
        <v>44784</v>
      </c>
      <c r="D1752" s="62">
        <v>44784</v>
      </c>
      <c r="E1752" s="63">
        <v>0</v>
      </c>
    </row>
    <row r="1753" spans="1:5">
      <c r="A1753" s="61" t="s">
        <v>149</v>
      </c>
      <c r="B1753" s="61" t="s">
        <v>382</v>
      </c>
      <c r="C1753" s="62">
        <v>44785</v>
      </c>
      <c r="D1753" s="62">
        <v>44785</v>
      </c>
      <c r="E1753" s="63">
        <v>0</v>
      </c>
    </row>
    <row r="1754" spans="1:5">
      <c r="A1754" s="61" t="s">
        <v>149</v>
      </c>
      <c r="B1754" s="61" t="s">
        <v>382</v>
      </c>
      <c r="C1754" s="62">
        <v>44786</v>
      </c>
      <c r="D1754" s="62">
        <v>44786</v>
      </c>
      <c r="E1754" s="63">
        <v>0</v>
      </c>
    </row>
    <row r="1755" spans="1:5">
      <c r="A1755" s="61" t="s">
        <v>149</v>
      </c>
      <c r="B1755" s="61" t="s">
        <v>382</v>
      </c>
      <c r="C1755" s="62">
        <v>44787</v>
      </c>
      <c r="D1755" s="62">
        <v>44787</v>
      </c>
      <c r="E1755" s="63">
        <v>0</v>
      </c>
    </row>
    <row r="1756" spans="1:5">
      <c r="A1756" s="61" t="s">
        <v>149</v>
      </c>
      <c r="B1756" s="61" t="s">
        <v>382</v>
      </c>
      <c r="C1756" s="62">
        <v>44788</v>
      </c>
      <c r="D1756" s="62">
        <v>44788</v>
      </c>
      <c r="E1756" s="63">
        <v>0</v>
      </c>
    </row>
    <row r="1757" spans="1:5">
      <c r="A1757" s="61" t="s">
        <v>149</v>
      </c>
      <c r="B1757" s="61" t="s">
        <v>382</v>
      </c>
      <c r="C1757" s="62">
        <v>44789</v>
      </c>
      <c r="D1757" s="62">
        <v>44789</v>
      </c>
      <c r="E1757" s="63">
        <v>0</v>
      </c>
    </row>
    <row r="1758" spans="1:5">
      <c r="A1758" s="61" t="s">
        <v>149</v>
      </c>
      <c r="B1758" s="61" t="s">
        <v>382</v>
      </c>
      <c r="C1758" s="62">
        <v>44790</v>
      </c>
      <c r="D1758" s="62">
        <v>44790</v>
      </c>
      <c r="E1758" s="63">
        <v>0</v>
      </c>
    </row>
    <row r="1759" spans="1:5">
      <c r="A1759" s="61" t="s">
        <v>149</v>
      </c>
      <c r="B1759" s="61" t="s">
        <v>382</v>
      </c>
      <c r="C1759" s="62">
        <v>44791</v>
      </c>
      <c r="D1759" s="62">
        <v>44791</v>
      </c>
      <c r="E1759" s="63">
        <v>0</v>
      </c>
    </row>
    <row r="1760" spans="1:5">
      <c r="A1760" s="61" t="s">
        <v>149</v>
      </c>
      <c r="B1760" s="61" t="s">
        <v>382</v>
      </c>
      <c r="C1760" s="62">
        <v>44792</v>
      </c>
      <c r="D1760" s="62">
        <v>44792</v>
      </c>
      <c r="E1760" s="63">
        <v>0</v>
      </c>
    </row>
    <row r="1761" spans="1:5">
      <c r="A1761" s="61" t="s">
        <v>149</v>
      </c>
      <c r="B1761" s="61" t="s">
        <v>382</v>
      </c>
      <c r="C1761" s="62">
        <v>44793</v>
      </c>
      <c r="D1761" s="62">
        <v>44793</v>
      </c>
      <c r="E1761" s="63">
        <v>0</v>
      </c>
    </row>
    <row r="1762" spans="1:5">
      <c r="A1762" s="61" t="s">
        <v>149</v>
      </c>
      <c r="B1762" s="61" t="s">
        <v>382</v>
      </c>
      <c r="C1762" s="62">
        <v>44794</v>
      </c>
      <c r="D1762" s="62">
        <v>44794</v>
      </c>
      <c r="E1762" s="63">
        <v>0</v>
      </c>
    </row>
    <row r="1763" spans="1:5">
      <c r="A1763" s="61" t="s">
        <v>149</v>
      </c>
      <c r="B1763" s="61" t="s">
        <v>382</v>
      </c>
      <c r="C1763" s="62">
        <v>44795</v>
      </c>
      <c r="D1763" s="62">
        <v>44795</v>
      </c>
      <c r="E1763" s="63">
        <v>0</v>
      </c>
    </row>
    <row r="1764" spans="1:5">
      <c r="A1764" s="61" t="s">
        <v>149</v>
      </c>
      <c r="B1764" s="61" t="s">
        <v>382</v>
      </c>
      <c r="C1764" s="62">
        <v>44796</v>
      </c>
      <c r="D1764" s="62">
        <v>44796</v>
      </c>
      <c r="E1764" s="63">
        <v>0</v>
      </c>
    </row>
    <row r="1765" spans="1:5">
      <c r="A1765" s="61" t="s">
        <v>149</v>
      </c>
      <c r="B1765" s="61" t="s">
        <v>382</v>
      </c>
      <c r="C1765" s="62">
        <v>44797</v>
      </c>
      <c r="D1765" s="62">
        <v>44797</v>
      </c>
      <c r="E1765" s="63">
        <v>0</v>
      </c>
    </row>
    <row r="1766" spans="1:5">
      <c r="A1766" s="61" t="s">
        <v>149</v>
      </c>
      <c r="B1766" s="61" t="s">
        <v>382</v>
      </c>
      <c r="C1766" s="62">
        <v>44798</v>
      </c>
      <c r="D1766" s="62">
        <v>44798</v>
      </c>
      <c r="E1766" s="63">
        <v>0</v>
      </c>
    </row>
    <row r="1767" spans="1:5">
      <c r="A1767" s="61" t="s">
        <v>149</v>
      </c>
      <c r="B1767" s="61" t="s">
        <v>382</v>
      </c>
      <c r="C1767" s="62">
        <v>44799</v>
      </c>
      <c r="D1767" s="62">
        <v>44799</v>
      </c>
      <c r="E1767" s="63">
        <v>0</v>
      </c>
    </row>
    <row r="1768" spans="1:5">
      <c r="A1768" s="61" t="s">
        <v>149</v>
      </c>
      <c r="B1768" s="61" t="s">
        <v>382</v>
      </c>
      <c r="C1768" s="62">
        <v>44800</v>
      </c>
      <c r="D1768" s="62">
        <v>44800</v>
      </c>
      <c r="E1768" s="63">
        <v>0</v>
      </c>
    </row>
    <row r="1769" spans="1:5">
      <c r="A1769" s="61" t="s">
        <v>149</v>
      </c>
      <c r="B1769" s="61" t="s">
        <v>382</v>
      </c>
      <c r="C1769" s="62">
        <v>44801</v>
      </c>
      <c r="D1769" s="62">
        <v>44801</v>
      </c>
      <c r="E1769" s="63">
        <v>0</v>
      </c>
    </row>
    <row r="1770" spans="1:5">
      <c r="A1770" s="61" t="s">
        <v>149</v>
      </c>
      <c r="B1770" s="61" t="s">
        <v>382</v>
      </c>
      <c r="C1770" s="62">
        <v>44802</v>
      </c>
      <c r="D1770" s="62">
        <v>44802</v>
      </c>
      <c r="E1770" s="63">
        <v>0</v>
      </c>
    </row>
    <row r="1771" spans="1:5">
      <c r="A1771" s="61" t="s">
        <v>149</v>
      </c>
      <c r="B1771" s="61" t="s">
        <v>382</v>
      </c>
      <c r="C1771" s="62">
        <v>44803</v>
      </c>
      <c r="D1771" s="62">
        <v>44803</v>
      </c>
      <c r="E1771" s="63">
        <v>0</v>
      </c>
    </row>
    <row r="1772" spans="1:5">
      <c r="A1772" s="61" t="s">
        <v>150</v>
      </c>
      <c r="B1772" s="61" t="s">
        <v>383</v>
      </c>
      <c r="C1772" s="62">
        <v>44774</v>
      </c>
      <c r="D1772" s="62">
        <v>44774</v>
      </c>
      <c r="E1772" s="63">
        <v>0</v>
      </c>
    </row>
    <row r="1773" spans="1:5">
      <c r="A1773" s="61" t="s">
        <v>150</v>
      </c>
      <c r="B1773" s="61" t="s">
        <v>383</v>
      </c>
      <c r="C1773" s="62">
        <v>44775</v>
      </c>
      <c r="D1773" s="62">
        <v>44775</v>
      </c>
      <c r="E1773" s="63">
        <v>0</v>
      </c>
    </row>
    <row r="1774" spans="1:5">
      <c r="A1774" s="61" t="s">
        <v>150</v>
      </c>
      <c r="B1774" s="61" t="s">
        <v>383</v>
      </c>
      <c r="C1774" s="62">
        <v>44776</v>
      </c>
      <c r="D1774" s="62">
        <v>44776</v>
      </c>
      <c r="E1774" s="63">
        <v>0</v>
      </c>
    </row>
    <row r="1775" spans="1:5">
      <c r="A1775" s="61" t="s">
        <v>150</v>
      </c>
      <c r="B1775" s="61" t="s">
        <v>383</v>
      </c>
      <c r="C1775" s="62">
        <v>44777</v>
      </c>
      <c r="D1775" s="62">
        <v>44777</v>
      </c>
      <c r="E1775" s="63">
        <v>0</v>
      </c>
    </row>
    <row r="1776" spans="1:5">
      <c r="A1776" s="61" t="s">
        <v>150</v>
      </c>
      <c r="B1776" s="61" t="s">
        <v>383</v>
      </c>
      <c r="C1776" s="62">
        <v>44778</v>
      </c>
      <c r="D1776" s="62">
        <v>44778</v>
      </c>
      <c r="E1776" s="63">
        <v>0</v>
      </c>
    </row>
    <row r="1777" spans="1:5">
      <c r="A1777" s="61" t="s">
        <v>150</v>
      </c>
      <c r="B1777" s="61" t="s">
        <v>383</v>
      </c>
      <c r="C1777" s="62">
        <v>44779</v>
      </c>
      <c r="D1777" s="62">
        <v>44779</v>
      </c>
      <c r="E1777" s="63">
        <v>0</v>
      </c>
    </row>
    <row r="1778" spans="1:5">
      <c r="A1778" s="61" t="s">
        <v>150</v>
      </c>
      <c r="B1778" s="61" t="s">
        <v>383</v>
      </c>
      <c r="C1778" s="62">
        <v>44780</v>
      </c>
      <c r="D1778" s="62">
        <v>44780</v>
      </c>
      <c r="E1778" s="63">
        <v>0</v>
      </c>
    </row>
    <row r="1779" spans="1:5">
      <c r="A1779" s="61" t="s">
        <v>150</v>
      </c>
      <c r="B1779" s="61" t="s">
        <v>383</v>
      </c>
      <c r="C1779" s="62">
        <v>44781</v>
      </c>
      <c r="D1779" s="62">
        <v>44781</v>
      </c>
      <c r="E1779" s="63">
        <v>0</v>
      </c>
    </row>
    <row r="1780" spans="1:5">
      <c r="A1780" s="61" t="s">
        <v>150</v>
      </c>
      <c r="B1780" s="61" t="s">
        <v>383</v>
      </c>
      <c r="C1780" s="62">
        <v>44782</v>
      </c>
      <c r="D1780" s="62">
        <v>44782</v>
      </c>
      <c r="E1780" s="63">
        <v>0</v>
      </c>
    </row>
    <row r="1781" spans="1:5">
      <c r="A1781" s="61" t="s">
        <v>150</v>
      </c>
      <c r="B1781" s="61" t="s">
        <v>383</v>
      </c>
      <c r="C1781" s="62">
        <v>44783</v>
      </c>
      <c r="D1781" s="62">
        <v>44783</v>
      </c>
      <c r="E1781" s="63">
        <v>0</v>
      </c>
    </row>
    <row r="1782" spans="1:5">
      <c r="A1782" s="61" t="s">
        <v>150</v>
      </c>
      <c r="B1782" s="61" t="s">
        <v>383</v>
      </c>
      <c r="C1782" s="62">
        <v>44784</v>
      </c>
      <c r="D1782" s="62">
        <v>44784</v>
      </c>
      <c r="E1782" s="63">
        <v>0</v>
      </c>
    </row>
    <row r="1783" spans="1:5">
      <c r="A1783" s="61" t="s">
        <v>150</v>
      </c>
      <c r="B1783" s="61" t="s">
        <v>383</v>
      </c>
      <c r="C1783" s="62">
        <v>44785</v>
      </c>
      <c r="D1783" s="62">
        <v>44785</v>
      </c>
      <c r="E1783" s="63">
        <v>0</v>
      </c>
    </row>
    <row r="1784" spans="1:5">
      <c r="A1784" s="61" t="s">
        <v>150</v>
      </c>
      <c r="B1784" s="61" t="s">
        <v>383</v>
      </c>
      <c r="C1784" s="62">
        <v>44786</v>
      </c>
      <c r="D1784" s="62">
        <v>44786</v>
      </c>
      <c r="E1784" s="63">
        <v>0</v>
      </c>
    </row>
    <row r="1785" spans="1:5">
      <c r="A1785" s="61" t="s">
        <v>150</v>
      </c>
      <c r="B1785" s="61" t="s">
        <v>383</v>
      </c>
      <c r="C1785" s="62">
        <v>44787</v>
      </c>
      <c r="D1785" s="62">
        <v>44787</v>
      </c>
      <c r="E1785" s="63">
        <v>0</v>
      </c>
    </row>
    <row r="1786" spans="1:5">
      <c r="A1786" s="61" t="s">
        <v>150</v>
      </c>
      <c r="B1786" s="61" t="s">
        <v>383</v>
      </c>
      <c r="C1786" s="62">
        <v>44788</v>
      </c>
      <c r="D1786" s="62">
        <v>44788</v>
      </c>
      <c r="E1786" s="63">
        <v>0</v>
      </c>
    </row>
    <row r="1787" spans="1:5">
      <c r="A1787" s="61" t="s">
        <v>150</v>
      </c>
      <c r="B1787" s="61" t="s">
        <v>383</v>
      </c>
      <c r="C1787" s="62">
        <v>44789</v>
      </c>
      <c r="D1787" s="62">
        <v>44789</v>
      </c>
      <c r="E1787" s="63">
        <v>0</v>
      </c>
    </row>
    <row r="1788" spans="1:5">
      <c r="A1788" s="61" t="s">
        <v>150</v>
      </c>
      <c r="B1788" s="61" t="s">
        <v>383</v>
      </c>
      <c r="C1788" s="62">
        <v>44790</v>
      </c>
      <c r="D1788" s="62">
        <v>44790</v>
      </c>
      <c r="E1788" s="63">
        <v>0</v>
      </c>
    </row>
    <row r="1789" spans="1:5">
      <c r="A1789" s="61" t="s">
        <v>150</v>
      </c>
      <c r="B1789" s="61" t="s">
        <v>383</v>
      </c>
      <c r="C1789" s="62">
        <v>44791</v>
      </c>
      <c r="D1789" s="62">
        <v>44791</v>
      </c>
      <c r="E1789" s="63">
        <v>0</v>
      </c>
    </row>
    <row r="1790" spans="1:5">
      <c r="A1790" s="61" t="s">
        <v>150</v>
      </c>
      <c r="B1790" s="61" t="s">
        <v>383</v>
      </c>
      <c r="C1790" s="62">
        <v>44792</v>
      </c>
      <c r="D1790" s="62">
        <v>44792</v>
      </c>
      <c r="E1790" s="63">
        <v>0</v>
      </c>
    </row>
    <row r="1791" spans="1:5">
      <c r="A1791" s="61" t="s">
        <v>150</v>
      </c>
      <c r="B1791" s="61" t="s">
        <v>383</v>
      </c>
      <c r="C1791" s="62">
        <v>44793</v>
      </c>
      <c r="D1791" s="62">
        <v>44793</v>
      </c>
      <c r="E1791" s="63">
        <v>0</v>
      </c>
    </row>
    <row r="1792" spans="1:5">
      <c r="A1792" s="61" t="s">
        <v>150</v>
      </c>
      <c r="B1792" s="61" t="s">
        <v>383</v>
      </c>
      <c r="C1792" s="62">
        <v>44794</v>
      </c>
      <c r="D1792" s="62">
        <v>44794</v>
      </c>
      <c r="E1792" s="63">
        <v>0</v>
      </c>
    </row>
    <row r="1793" spans="1:5">
      <c r="A1793" s="61" t="s">
        <v>150</v>
      </c>
      <c r="B1793" s="61" t="s">
        <v>383</v>
      </c>
      <c r="C1793" s="62">
        <v>44795</v>
      </c>
      <c r="D1793" s="62">
        <v>44795</v>
      </c>
      <c r="E1793" s="63">
        <v>0</v>
      </c>
    </row>
    <row r="1794" spans="1:5">
      <c r="A1794" s="61" t="s">
        <v>150</v>
      </c>
      <c r="B1794" s="61" t="s">
        <v>383</v>
      </c>
      <c r="C1794" s="62">
        <v>44796</v>
      </c>
      <c r="D1794" s="62">
        <v>44796</v>
      </c>
      <c r="E1794" s="63">
        <v>0</v>
      </c>
    </row>
    <row r="1795" spans="1:5">
      <c r="A1795" s="61" t="s">
        <v>150</v>
      </c>
      <c r="B1795" s="61" t="s">
        <v>383</v>
      </c>
      <c r="C1795" s="62">
        <v>44797</v>
      </c>
      <c r="D1795" s="62">
        <v>44797</v>
      </c>
      <c r="E1795" s="63">
        <v>0</v>
      </c>
    </row>
    <row r="1796" spans="1:5">
      <c r="A1796" s="61" t="s">
        <v>150</v>
      </c>
      <c r="B1796" s="61" t="s">
        <v>383</v>
      </c>
      <c r="C1796" s="62">
        <v>44798</v>
      </c>
      <c r="D1796" s="62">
        <v>44798</v>
      </c>
      <c r="E1796" s="63">
        <v>0</v>
      </c>
    </row>
    <row r="1797" spans="1:5">
      <c r="A1797" s="61" t="s">
        <v>150</v>
      </c>
      <c r="B1797" s="61" t="s">
        <v>383</v>
      </c>
      <c r="C1797" s="62">
        <v>44799</v>
      </c>
      <c r="D1797" s="62">
        <v>44799</v>
      </c>
      <c r="E1797" s="63">
        <v>0</v>
      </c>
    </row>
    <row r="1798" spans="1:5">
      <c r="A1798" s="61" t="s">
        <v>150</v>
      </c>
      <c r="B1798" s="61" t="s">
        <v>383</v>
      </c>
      <c r="C1798" s="62">
        <v>44800</v>
      </c>
      <c r="D1798" s="62">
        <v>44800</v>
      </c>
      <c r="E1798" s="63">
        <v>0</v>
      </c>
    </row>
    <row r="1799" spans="1:5">
      <c r="A1799" s="61" t="s">
        <v>150</v>
      </c>
      <c r="B1799" s="61" t="s">
        <v>383</v>
      </c>
      <c r="C1799" s="62">
        <v>44801</v>
      </c>
      <c r="D1799" s="62">
        <v>44801</v>
      </c>
      <c r="E1799" s="63">
        <v>0</v>
      </c>
    </row>
    <row r="1800" spans="1:5">
      <c r="A1800" s="61" t="s">
        <v>150</v>
      </c>
      <c r="B1800" s="61" t="s">
        <v>383</v>
      </c>
      <c r="C1800" s="62">
        <v>44802</v>
      </c>
      <c r="D1800" s="62">
        <v>44802</v>
      </c>
      <c r="E1800" s="63">
        <v>0</v>
      </c>
    </row>
    <row r="1801" spans="1:5">
      <c r="A1801" s="61" t="s">
        <v>150</v>
      </c>
      <c r="B1801" s="61" t="s">
        <v>383</v>
      </c>
      <c r="C1801" s="62">
        <v>44803</v>
      </c>
      <c r="D1801" s="62">
        <v>44803</v>
      </c>
      <c r="E1801" s="63">
        <v>0</v>
      </c>
    </row>
    <row r="1802" spans="1:5">
      <c r="A1802" s="61" t="s">
        <v>37</v>
      </c>
      <c r="B1802" s="61" t="s">
        <v>380</v>
      </c>
      <c r="C1802" s="62">
        <v>44774</v>
      </c>
      <c r="D1802" s="62">
        <v>44774</v>
      </c>
      <c r="E1802" s="63">
        <v>0</v>
      </c>
    </row>
    <row r="1803" spans="1:5">
      <c r="A1803" s="61" t="s">
        <v>37</v>
      </c>
      <c r="B1803" s="61" t="s">
        <v>380</v>
      </c>
      <c r="C1803" s="62">
        <v>44775</v>
      </c>
      <c r="D1803" s="62">
        <v>44775</v>
      </c>
      <c r="E1803" s="63">
        <v>0</v>
      </c>
    </row>
    <row r="1804" spans="1:5">
      <c r="A1804" s="61" t="s">
        <v>37</v>
      </c>
      <c r="B1804" s="61" t="s">
        <v>380</v>
      </c>
      <c r="C1804" s="62">
        <v>44776</v>
      </c>
      <c r="D1804" s="62">
        <v>44776</v>
      </c>
      <c r="E1804" s="63">
        <v>0</v>
      </c>
    </row>
    <row r="1805" spans="1:5">
      <c r="A1805" s="61" t="s">
        <v>37</v>
      </c>
      <c r="B1805" s="61" t="s">
        <v>380</v>
      </c>
      <c r="C1805" s="62">
        <v>44777</v>
      </c>
      <c r="D1805" s="62">
        <v>44777</v>
      </c>
      <c r="E1805" s="63">
        <v>0</v>
      </c>
    </row>
    <row r="1806" spans="1:5">
      <c r="A1806" s="61" t="s">
        <v>37</v>
      </c>
      <c r="B1806" s="61" t="s">
        <v>380</v>
      </c>
      <c r="C1806" s="62">
        <v>44778</v>
      </c>
      <c r="D1806" s="62">
        <v>44778</v>
      </c>
      <c r="E1806" s="63">
        <v>0</v>
      </c>
    </row>
    <row r="1807" spans="1:5">
      <c r="A1807" s="61" t="s">
        <v>37</v>
      </c>
      <c r="B1807" s="61" t="s">
        <v>380</v>
      </c>
      <c r="C1807" s="62">
        <v>44779</v>
      </c>
      <c r="D1807" s="62">
        <v>44779</v>
      </c>
      <c r="E1807" s="63">
        <v>0</v>
      </c>
    </row>
    <row r="1808" spans="1:5">
      <c r="A1808" s="61" t="s">
        <v>37</v>
      </c>
      <c r="B1808" s="61" t="s">
        <v>380</v>
      </c>
      <c r="C1808" s="62">
        <v>44780</v>
      </c>
      <c r="D1808" s="62">
        <v>44780</v>
      </c>
      <c r="E1808" s="63">
        <v>0</v>
      </c>
    </row>
    <row r="1809" spans="1:5">
      <c r="A1809" s="61" t="s">
        <v>37</v>
      </c>
      <c r="B1809" s="61" t="s">
        <v>380</v>
      </c>
      <c r="C1809" s="62">
        <v>44781</v>
      </c>
      <c r="D1809" s="62">
        <v>44781</v>
      </c>
      <c r="E1809" s="63">
        <v>0</v>
      </c>
    </row>
    <row r="1810" spans="1:5">
      <c r="A1810" s="61" t="s">
        <v>37</v>
      </c>
      <c r="B1810" s="61" t="s">
        <v>380</v>
      </c>
      <c r="C1810" s="62">
        <v>44782</v>
      </c>
      <c r="D1810" s="62">
        <v>44782</v>
      </c>
      <c r="E1810" s="63">
        <v>0</v>
      </c>
    </row>
    <row r="1811" spans="1:5">
      <c r="A1811" s="61" t="s">
        <v>37</v>
      </c>
      <c r="B1811" s="61" t="s">
        <v>380</v>
      </c>
      <c r="C1811" s="62">
        <v>44783</v>
      </c>
      <c r="D1811" s="62">
        <v>44783</v>
      </c>
      <c r="E1811" s="63">
        <v>0</v>
      </c>
    </row>
    <row r="1812" spans="1:5">
      <c r="A1812" s="61" t="s">
        <v>37</v>
      </c>
      <c r="B1812" s="61" t="s">
        <v>380</v>
      </c>
      <c r="C1812" s="62">
        <v>44784</v>
      </c>
      <c r="D1812" s="62">
        <v>44784</v>
      </c>
      <c r="E1812" s="63">
        <v>0</v>
      </c>
    </row>
    <row r="1813" spans="1:5">
      <c r="A1813" s="61" t="s">
        <v>37</v>
      </c>
      <c r="B1813" s="61" t="s">
        <v>380</v>
      </c>
      <c r="C1813" s="62">
        <v>44785</v>
      </c>
      <c r="D1813" s="62">
        <v>44785</v>
      </c>
      <c r="E1813" s="63">
        <v>0</v>
      </c>
    </row>
    <row r="1814" spans="1:5">
      <c r="A1814" s="61" t="s">
        <v>37</v>
      </c>
      <c r="B1814" s="61" t="s">
        <v>380</v>
      </c>
      <c r="C1814" s="62">
        <v>44786</v>
      </c>
      <c r="D1814" s="62">
        <v>44786</v>
      </c>
      <c r="E1814" s="63">
        <v>0</v>
      </c>
    </row>
    <row r="1815" spans="1:5">
      <c r="A1815" s="61" t="s">
        <v>37</v>
      </c>
      <c r="B1815" s="61" t="s">
        <v>380</v>
      </c>
      <c r="C1815" s="62">
        <v>44787</v>
      </c>
      <c r="D1815" s="62">
        <v>44787</v>
      </c>
      <c r="E1815" s="63">
        <v>0</v>
      </c>
    </row>
    <row r="1816" spans="1:5">
      <c r="A1816" s="61" t="s">
        <v>37</v>
      </c>
      <c r="B1816" s="61" t="s">
        <v>380</v>
      </c>
      <c r="C1816" s="62">
        <v>44788</v>
      </c>
      <c r="D1816" s="62">
        <v>44788</v>
      </c>
      <c r="E1816" s="63">
        <v>0</v>
      </c>
    </row>
    <row r="1817" spans="1:5">
      <c r="A1817" s="61" t="s">
        <v>37</v>
      </c>
      <c r="B1817" s="61" t="s">
        <v>380</v>
      </c>
      <c r="C1817" s="62">
        <v>44789</v>
      </c>
      <c r="D1817" s="62">
        <v>44789</v>
      </c>
      <c r="E1817" s="63">
        <v>0</v>
      </c>
    </row>
    <row r="1818" spans="1:5">
      <c r="A1818" s="61" t="s">
        <v>37</v>
      </c>
      <c r="B1818" s="61" t="s">
        <v>380</v>
      </c>
      <c r="C1818" s="62">
        <v>44790</v>
      </c>
      <c r="D1818" s="62">
        <v>44790</v>
      </c>
      <c r="E1818" s="63">
        <v>0</v>
      </c>
    </row>
    <row r="1819" spans="1:5">
      <c r="A1819" s="61" t="s">
        <v>37</v>
      </c>
      <c r="B1819" s="61" t="s">
        <v>380</v>
      </c>
      <c r="C1819" s="62">
        <v>44791</v>
      </c>
      <c r="D1819" s="62">
        <v>44791</v>
      </c>
      <c r="E1819" s="63">
        <v>0</v>
      </c>
    </row>
    <row r="1820" spans="1:5">
      <c r="A1820" s="61" t="s">
        <v>37</v>
      </c>
      <c r="B1820" s="61" t="s">
        <v>380</v>
      </c>
      <c r="C1820" s="62">
        <v>44792</v>
      </c>
      <c r="D1820" s="62">
        <v>44792</v>
      </c>
      <c r="E1820" s="63">
        <v>0</v>
      </c>
    </row>
    <row r="1821" spans="1:5">
      <c r="A1821" s="61" t="s">
        <v>37</v>
      </c>
      <c r="B1821" s="61" t="s">
        <v>380</v>
      </c>
      <c r="C1821" s="62">
        <v>44793</v>
      </c>
      <c r="D1821" s="62">
        <v>44793</v>
      </c>
      <c r="E1821" s="63">
        <v>0</v>
      </c>
    </row>
    <row r="1822" spans="1:5">
      <c r="A1822" s="61" t="s">
        <v>37</v>
      </c>
      <c r="B1822" s="61" t="s">
        <v>380</v>
      </c>
      <c r="C1822" s="62">
        <v>44794</v>
      </c>
      <c r="D1822" s="62">
        <v>44794</v>
      </c>
      <c r="E1822" s="63">
        <v>0</v>
      </c>
    </row>
    <row r="1823" spans="1:5">
      <c r="A1823" s="61" t="s">
        <v>37</v>
      </c>
      <c r="B1823" s="61" t="s">
        <v>380</v>
      </c>
      <c r="C1823" s="62">
        <v>44795</v>
      </c>
      <c r="D1823" s="62">
        <v>44795</v>
      </c>
      <c r="E1823" s="63">
        <v>0</v>
      </c>
    </row>
    <row r="1824" spans="1:5">
      <c r="A1824" s="61" t="s">
        <v>37</v>
      </c>
      <c r="B1824" s="61" t="s">
        <v>380</v>
      </c>
      <c r="C1824" s="62">
        <v>44796</v>
      </c>
      <c r="D1824" s="62">
        <v>44796</v>
      </c>
      <c r="E1824" s="63">
        <v>0</v>
      </c>
    </row>
    <row r="1825" spans="1:5">
      <c r="A1825" s="61" t="s">
        <v>37</v>
      </c>
      <c r="B1825" s="61" t="s">
        <v>380</v>
      </c>
      <c r="C1825" s="62">
        <v>44797</v>
      </c>
      <c r="D1825" s="62">
        <v>44797</v>
      </c>
      <c r="E1825" s="63">
        <v>0</v>
      </c>
    </row>
    <row r="1826" spans="1:5">
      <c r="A1826" s="61" t="s">
        <v>37</v>
      </c>
      <c r="B1826" s="61" t="s">
        <v>380</v>
      </c>
      <c r="C1826" s="62">
        <v>44798</v>
      </c>
      <c r="D1826" s="62">
        <v>44798</v>
      </c>
      <c r="E1826" s="63">
        <v>0</v>
      </c>
    </row>
    <row r="1827" spans="1:5">
      <c r="A1827" s="61" t="s">
        <v>37</v>
      </c>
      <c r="B1827" s="61" t="s">
        <v>380</v>
      </c>
      <c r="C1827" s="62">
        <v>44799</v>
      </c>
      <c r="D1827" s="62">
        <v>44799</v>
      </c>
      <c r="E1827" s="63">
        <v>0</v>
      </c>
    </row>
    <row r="1828" spans="1:5">
      <c r="A1828" s="61" t="s">
        <v>37</v>
      </c>
      <c r="B1828" s="61" t="s">
        <v>380</v>
      </c>
      <c r="C1828" s="62">
        <v>44800</v>
      </c>
      <c r="D1828" s="62">
        <v>44800</v>
      </c>
      <c r="E1828" s="63">
        <v>0</v>
      </c>
    </row>
    <row r="1829" spans="1:5">
      <c r="A1829" s="61" t="s">
        <v>37</v>
      </c>
      <c r="B1829" s="61" t="s">
        <v>380</v>
      </c>
      <c r="C1829" s="62">
        <v>44801</v>
      </c>
      <c r="D1829" s="62">
        <v>44801</v>
      </c>
      <c r="E1829" s="63">
        <v>0</v>
      </c>
    </row>
    <row r="1830" spans="1:5">
      <c r="A1830" s="61" t="s">
        <v>37</v>
      </c>
      <c r="B1830" s="61" t="s">
        <v>380</v>
      </c>
      <c r="C1830" s="62">
        <v>44802</v>
      </c>
      <c r="D1830" s="62">
        <v>44802</v>
      </c>
      <c r="E1830" s="63">
        <v>0</v>
      </c>
    </row>
    <row r="1831" spans="1:5">
      <c r="A1831" s="61" t="s">
        <v>37</v>
      </c>
      <c r="B1831" s="61" t="s">
        <v>380</v>
      </c>
      <c r="C1831" s="62">
        <v>44803</v>
      </c>
      <c r="D1831" s="62">
        <v>44803</v>
      </c>
      <c r="E1831" s="63">
        <v>0</v>
      </c>
    </row>
    <row r="1832" spans="1:5">
      <c r="A1832" s="61" t="s">
        <v>151</v>
      </c>
      <c r="B1832" s="61" t="s">
        <v>381</v>
      </c>
      <c r="C1832" s="62">
        <v>44774</v>
      </c>
      <c r="D1832" s="62">
        <v>44774</v>
      </c>
      <c r="E1832" s="63">
        <v>0</v>
      </c>
    </row>
    <row r="1833" spans="1:5">
      <c r="A1833" s="61" t="s">
        <v>151</v>
      </c>
      <c r="B1833" s="61" t="s">
        <v>381</v>
      </c>
      <c r="C1833" s="62">
        <v>44775</v>
      </c>
      <c r="D1833" s="62">
        <v>44775</v>
      </c>
      <c r="E1833" s="63">
        <v>0</v>
      </c>
    </row>
    <row r="1834" spans="1:5">
      <c r="A1834" s="61" t="s">
        <v>151</v>
      </c>
      <c r="B1834" s="61" t="s">
        <v>381</v>
      </c>
      <c r="C1834" s="62">
        <v>44776</v>
      </c>
      <c r="D1834" s="62">
        <v>44776</v>
      </c>
      <c r="E1834" s="63">
        <v>0</v>
      </c>
    </row>
    <row r="1835" spans="1:5">
      <c r="A1835" s="61" t="s">
        <v>151</v>
      </c>
      <c r="B1835" s="61" t="s">
        <v>381</v>
      </c>
      <c r="C1835" s="62">
        <v>44777</v>
      </c>
      <c r="D1835" s="62">
        <v>44777</v>
      </c>
      <c r="E1835" s="63">
        <v>0</v>
      </c>
    </row>
    <row r="1836" spans="1:5">
      <c r="A1836" s="61" t="s">
        <v>151</v>
      </c>
      <c r="B1836" s="61" t="s">
        <v>381</v>
      </c>
      <c r="C1836" s="62">
        <v>44778</v>
      </c>
      <c r="D1836" s="62">
        <v>44778</v>
      </c>
      <c r="E1836" s="63">
        <v>0</v>
      </c>
    </row>
    <row r="1837" spans="1:5">
      <c r="A1837" s="61" t="s">
        <v>151</v>
      </c>
      <c r="B1837" s="61" t="s">
        <v>381</v>
      </c>
      <c r="C1837" s="62">
        <v>44779</v>
      </c>
      <c r="D1837" s="62">
        <v>44779</v>
      </c>
      <c r="E1837" s="63">
        <v>0</v>
      </c>
    </row>
    <row r="1838" spans="1:5">
      <c r="A1838" s="61" t="s">
        <v>151</v>
      </c>
      <c r="B1838" s="61" t="s">
        <v>381</v>
      </c>
      <c r="C1838" s="62">
        <v>44780</v>
      </c>
      <c r="D1838" s="62">
        <v>44780</v>
      </c>
      <c r="E1838" s="63">
        <v>0</v>
      </c>
    </row>
    <row r="1839" spans="1:5">
      <c r="A1839" s="61" t="s">
        <v>151</v>
      </c>
      <c r="B1839" s="61" t="s">
        <v>381</v>
      </c>
      <c r="C1839" s="62">
        <v>44781</v>
      </c>
      <c r="D1839" s="62">
        <v>44781</v>
      </c>
      <c r="E1839" s="63">
        <v>0</v>
      </c>
    </row>
    <row r="1840" spans="1:5">
      <c r="A1840" s="61" t="s">
        <v>151</v>
      </c>
      <c r="B1840" s="61" t="s">
        <v>381</v>
      </c>
      <c r="C1840" s="62">
        <v>44782</v>
      </c>
      <c r="D1840" s="62">
        <v>44782</v>
      </c>
      <c r="E1840" s="63">
        <v>0</v>
      </c>
    </row>
    <row r="1841" spans="1:5">
      <c r="A1841" s="61" t="s">
        <v>151</v>
      </c>
      <c r="B1841" s="61" t="s">
        <v>381</v>
      </c>
      <c r="C1841" s="62">
        <v>44783</v>
      </c>
      <c r="D1841" s="62">
        <v>44783</v>
      </c>
      <c r="E1841" s="63">
        <v>0</v>
      </c>
    </row>
    <row r="1842" spans="1:5">
      <c r="A1842" s="61" t="s">
        <v>151</v>
      </c>
      <c r="B1842" s="61" t="s">
        <v>381</v>
      </c>
      <c r="C1842" s="62">
        <v>44784</v>
      </c>
      <c r="D1842" s="62">
        <v>44784</v>
      </c>
      <c r="E1842" s="63">
        <v>0</v>
      </c>
    </row>
    <row r="1843" spans="1:5">
      <c r="A1843" s="61" t="s">
        <v>151</v>
      </c>
      <c r="B1843" s="61" t="s">
        <v>381</v>
      </c>
      <c r="C1843" s="62">
        <v>44785</v>
      </c>
      <c r="D1843" s="62">
        <v>44785</v>
      </c>
      <c r="E1843" s="63">
        <v>0</v>
      </c>
    </row>
    <row r="1844" spans="1:5">
      <c r="A1844" s="61" t="s">
        <v>151</v>
      </c>
      <c r="B1844" s="61" t="s">
        <v>381</v>
      </c>
      <c r="C1844" s="62">
        <v>44786</v>
      </c>
      <c r="D1844" s="62">
        <v>44786</v>
      </c>
      <c r="E1844" s="63">
        <v>0</v>
      </c>
    </row>
    <row r="1845" spans="1:5">
      <c r="A1845" s="61" t="s">
        <v>151</v>
      </c>
      <c r="B1845" s="61" t="s">
        <v>381</v>
      </c>
      <c r="C1845" s="62">
        <v>44787</v>
      </c>
      <c r="D1845" s="62">
        <v>44787</v>
      </c>
      <c r="E1845" s="63">
        <v>0</v>
      </c>
    </row>
    <row r="1846" spans="1:5">
      <c r="A1846" s="61" t="s">
        <v>151</v>
      </c>
      <c r="B1846" s="61" t="s">
        <v>381</v>
      </c>
      <c r="C1846" s="62">
        <v>44788</v>
      </c>
      <c r="D1846" s="62">
        <v>44788</v>
      </c>
      <c r="E1846" s="63">
        <v>0</v>
      </c>
    </row>
    <row r="1847" spans="1:5">
      <c r="A1847" s="61" t="s">
        <v>151</v>
      </c>
      <c r="B1847" s="61" t="s">
        <v>381</v>
      </c>
      <c r="C1847" s="62">
        <v>44789</v>
      </c>
      <c r="D1847" s="62">
        <v>44789</v>
      </c>
      <c r="E1847" s="63">
        <v>0</v>
      </c>
    </row>
    <row r="1848" spans="1:5">
      <c r="A1848" s="61" t="s">
        <v>151</v>
      </c>
      <c r="B1848" s="61" t="s">
        <v>381</v>
      </c>
      <c r="C1848" s="62">
        <v>44790</v>
      </c>
      <c r="D1848" s="62">
        <v>44790</v>
      </c>
      <c r="E1848" s="63">
        <v>0</v>
      </c>
    </row>
    <row r="1849" spans="1:5">
      <c r="A1849" s="61" t="s">
        <v>151</v>
      </c>
      <c r="B1849" s="61" t="s">
        <v>381</v>
      </c>
      <c r="C1849" s="62">
        <v>44791</v>
      </c>
      <c r="D1849" s="62">
        <v>44791</v>
      </c>
      <c r="E1849" s="63">
        <v>0</v>
      </c>
    </row>
    <row r="1850" spans="1:5">
      <c r="A1850" s="61" t="s">
        <v>151</v>
      </c>
      <c r="B1850" s="61" t="s">
        <v>381</v>
      </c>
      <c r="C1850" s="62">
        <v>44792</v>
      </c>
      <c r="D1850" s="62">
        <v>44792</v>
      </c>
      <c r="E1850" s="63">
        <v>0</v>
      </c>
    </row>
    <row r="1851" spans="1:5">
      <c r="A1851" s="61" t="s">
        <v>151</v>
      </c>
      <c r="B1851" s="61" t="s">
        <v>381</v>
      </c>
      <c r="C1851" s="62">
        <v>44793</v>
      </c>
      <c r="D1851" s="62">
        <v>44793</v>
      </c>
      <c r="E1851" s="63">
        <v>0</v>
      </c>
    </row>
    <row r="1852" spans="1:5">
      <c r="A1852" s="61" t="s">
        <v>151</v>
      </c>
      <c r="B1852" s="61" t="s">
        <v>381</v>
      </c>
      <c r="C1852" s="62">
        <v>44794</v>
      </c>
      <c r="D1852" s="62">
        <v>44794</v>
      </c>
      <c r="E1852" s="63">
        <v>0</v>
      </c>
    </row>
    <row r="1853" spans="1:5">
      <c r="A1853" s="61" t="s">
        <v>151</v>
      </c>
      <c r="B1853" s="61" t="s">
        <v>381</v>
      </c>
      <c r="C1853" s="62">
        <v>44795</v>
      </c>
      <c r="D1853" s="62">
        <v>44795</v>
      </c>
      <c r="E1853" s="63">
        <v>0</v>
      </c>
    </row>
    <row r="1854" spans="1:5">
      <c r="A1854" s="61" t="s">
        <v>151</v>
      </c>
      <c r="B1854" s="61" t="s">
        <v>381</v>
      </c>
      <c r="C1854" s="62">
        <v>44796</v>
      </c>
      <c r="D1854" s="62">
        <v>44796</v>
      </c>
      <c r="E1854" s="63">
        <v>0</v>
      </c>
    </row>
    <row r="1855" spans="1:5">
      <c r="A1855" s="61" t="s">
        <v>151</v>
      </c>
      <c r="B1855" s="61" t="s">
        <v>381</v>
      </c>
      <c r="C1855" s="62">
        <v>44797</v>
      </c>
      <c r="D1855" s="62">
        <v>44797</v>
      </c>
      <c r="E1855" s="63">
        <v>0</v>
      </c>
    </row>
    <row r="1856" spans="1:5">
      <c r="A1856" s="61" t="s">
        <v>151</v>
      </c>
      <c r="B1856" s="61" t="s">
        <v>381</v>
      </c>
      <c r="C1856" s="62">
        <v>44798</v>
      </c>
      <c r="D1856" s="62">
        <v>44798</v>
      </c>
      <c r="E1856" s="63">
        <v>0</v>
      </c>
    </row>
    <row r="1857" spans="1:5">
      <c r="A1857" s="61" t="s">
        <v>151</v>
      </c>
      <c r="B1857" s="61" t="s">
        <v>381</v>
      </c>
      <c r="C1857" s="62">
        <v>44799</v>
      </c>
      <c r="D1857" s="62">
        <v>44799</v>
      </c>
      <c r="E1857" s="63">
        <v>0</v>
      </c>
    </row>
    <row r="1858" spans="1:5">
      <c r="A1858" s="61" t="s">
        <v>151</v>
      </c>
      <c r="B1858" s="61" t="s">
        <v>381</v>
      </c>
      <c r="C1858" s="62">
        <v>44800</v>
      </c>
      <c r="D1858" s="62">
        <v>44800</v>
      </c>
      <c r="E1858" s="63">
        <v>0</v>
      </c>
    </row>
    <row r="1859" spans="1:5">
      <c r="A1859" s="61" t="s">
        <v>151</v>
      </c>
      <c r="B1859" s="61" t="s">
        <v>381</v>
      </c>
      <c r="C1859" s="62">
        <v>44801</v>
      </c>
      <c r="D1859" s="62">
        <v>44801</v>
      </c>
      <c r="E1859" s="63">
        <v>0</v>
      </c>
    </row>
    <row r="1860" spans="1:5">
      <c r="A1860" s="61" t="s">
        <v>151</v>
      </c>
      <c r="B1860" s="61" t="s">
        <v>381</v>
      </c>
      <c r="C1860" s="62">
        <v>44802</v>
      </c>
      <c r="D1860" s="62">
        <v>44802</v>
      </c>
      <c r="E1860" s="63">
        <v>0</v>
      </c>
    </row>
    <row r="1861" spans="1:5">
      <c r="A1861" s="61" t="s">
        <v>151</v>
      </c>
      <c r="B1861" s="61" t="s">
        <v>381</v>
      </c>
      <c r="C1861" s="62">
        <v>44803</v>
      </c>
      <c r="D1861" s="62">
        <v>44803</v>
      </c>
      <c r="E1861" s="63">
        <v>0</v>
      </c>
    </row>
    <row r="1862" spans="1:5">
      <c r="A1862" s="61" t="s">
        <v>152</v>
      </c>
      <c r="B1862" s="61" t="s">
        <v>382</v>
      </c>
      <c r="C1862" s="62">
        <v>44774</v>
      </c>
      <c r="D1862" s="62">
        <v>44774</v>
      </c>
      <c r="E1862" s="63">
        <v>0</v>
      </c>
    </row>
    <row r="1863" spans="1:5">
      <c r="A1863" s="61" t="s">
        <v>152</v>
      </c>
      <c r="B1863" s="61" t="s">
        <v>382</v>
      </c>
      <c r="C1863" s="62">
        <v>44775</v>
      </c>
      <c r="D1863" s="62">
        <v>44775</v>
      </c>
      <c r="E1863" s="63">
        <v>0</v>
      </c>
    </row>
    <row r="1864" spans="1:5">
      <c r="A1864" s="61" t="s">
        <v>152</v>
      </c>
      <c r="B1864" s="61" t="s">
        <v>382</v>
      </c>
      <c r="C1864" s="62">
        <v>44776</v>
      </c>
      <c r="D1864" s="62">
        <v>44776</v>
      </c>
      <c r="E1864" s="63">
        <v>0</v>
      </c>
    </row>
    <row r="1865" spans="1:5">
      <c r="A1865" s="61" t="s">
        <v>152</v>
      </c>
      <c r="B1865" s="61" t="s">
        <v>382</v>
      </c>
      <c r="C1865" s="62">
        <v>44777</v>
      </c>
      <c r="D1865" s="62">
        <v>44777</v>
      </c>
      <c r="E1865" s="63">
        <v>0</v>
      </c>
    </row>
    <row r="1866" spans="1:5">
      <c r="A1866" s="61" t="s">
        <v>152</v>
      </c>
      <c r="B1866" s="61" t="s">
        <v>382</v>
      </c>
      <c r="C1866" s="62">
        <v>44778</v>
      </c>
      <c r="D1866" s="62">
        <v>44778</v>
      </c>
      <c r="E1866" s="63">
        <v>0</v>
      </c>
    </row>
    <row r="1867" spans="1:5">
      <c r="A1867" s="61" t="s">
        <v>152</v>
      </c>
      <c r="B1867" s="61" t="s">
        <v>382</v>
      </c>
      <c r="C1867" s="62">
        <v>44779</v>
      </c>
      <c r="D1867" s="62">
        <v>44779</v>
      </c>
      <c r="E1867" s="63">
        <v>0</v>
      </c>
    </row>
    <row r="1868" spans="1:5">
      <c r="A1868" s="61" t="s">
        <v>152</v>
      </c>
      <c r="B1868" s="61" t="s">
        <v>382</v>
      </c>
      <c r="C1868" s="62">
        <v>44780</v>
      </c>
      <c r="D1868" s="62">
        <v>44780</v>
      </c>
      <c r="E1868" s="63">
        <v>0</v>
      </c>
    </row>
    <row r="1869" spans="1:5">
      <c r="A1869" s="61" t="s">
        <v>152</v>
      </c>
      <c r="B1869" s="61" t="s">
        <v>382</v>
      </c>
      <c r="C1869" s="62">
        <v>44781</v>
      </c>
      <c r="D1869" s="62">
        <v>44781</v>
      </c>
      <c r="E1869" s="63">
        <v>0</v>
      </c>
    </row>
    <row r="1870" spans="1:5">
      <c r="A1870" s="61" t="s">
        <v>152</v>
      </c>
      <c r="B1870" s="61" t="s">
        <v>382</v>
      </c>
      <c r="C1870" s="62">
        <v>44782</v>
      </c>
      <c r="D1870" s="62">
        <v>44782</v>
      </c>
      <c r="E1870" s="63">
        <v>0</v>
      </c>
    </row>
    <row r="1871" spans="1:5">
      <c r="A1871" s="61" t="s">
        <v>152</v>
      </c>
      <c r="B1871" s="61" t="s">
        <v>382</v>
      </c>
      <c r="C1871" s="62">
        <v>44783</v>
      </c>
      <c r="D1871" s="62">
        <v>44783</v>
      </c>
      <c r="E1871" s="63">
        <v>0</v>
      </c>
    </row>
    <row r="1872" spans="1:5">
      <c r="A1872" s="61" t="s">
        <v>152</v>
      </c>
      <c r="B1872" s="61" t="s">
        <v>382</v>
      </c>
      <c r="C1872" s="62">
        <v>44784</v>
      </c>
      <c r="D1872" s="62">
        <v>44784</v>
      </c>
      <c r="E1872" s="63">
        <v>0</v>
      </c>
    </row>
    <row r="1873" spans="1:5">
      <c r="A1873" s="61" t="s">
        <v>152</v>
      </c>
      <c r="B1873" s="61" t="s">
        <v>382</v>
      </c>
      <c r="C1873" s="62">
        <v>44785</v>
      </c>
      <c r="D1873" s="62">
        <v>44785</v>
      </c>
      <c r="E1873" s="63">
        <v>0</v>
      </c>
    </row>
    <row r="1874" spans="1:5">
      <c r="A1874" s="61" t="s">
        <v>152</v>
      </c>
      <c r="B1874" s="61" t="s">
        <v>382</v>
      </c>
      <c r="C1874" s="62">
        <v>44786</v>
      </c>
      <c r="D1874" s="62">
        <v>44786</v>
      </c>
      <c r="E1874" s="63">
        <v>0</v>
      </c>
    </row>
    <row r="1875" spans="1:5">
      <c r="A1875" s="61" t="s">
        <v>152</v>
      </c>
      <c r="B1875" s="61" t="s">
        <v>382</v>
      </c>
      <c r="C1875" s="62">
        <v>44787</v>
      </c>
      <c r="D1875" s="62">
        <v>44787</v>
      </c>
      <c r="E1875" s="63">
        <v>0</v>
      </c>
    </row>
    <row r="1876" spans="1:5">
      <c r="A1876" s="61" t="s">
        <v>152</v>
      </c>
      <c r="B1876" s="61" t="s">
        <v>382</v>
      </c>
      <c r="C1876" s="62">
        <v>44788</v>
      </c>
      <c r="D1876" s="62">
        <v>44788</v>
      </c>
      <c r="E1876" s="63">
        <v>0</v>
      </c>
    </row>
    <row r="1877" spans="1:5">
      <c r="A1877" s="61" t="s">
        <v>152</v>
      </c>
      <c r="B1877" s="61" t="s">
        <v>382</v>
      </c>
      <c r="C1877" s="62">
        <v>44789</v>
      </c>
      <c r="D1877" s="62">
        <v>44789</v>
      </c>
      <c r="E1877" s="63">
        <v>0</v>
      </c>
    </row>
    <row r="1878" spans="1:5">
      <c r="A1878" s="61" t="s">
        <v>152</v>
      </c>
      <c r="B1878" s="61" t="s">
        <v>382</v>
      </c>
      <c r="C1878" s="62">
        <v>44790</v>
      </c>
      <c r="D1878" s="62">
        <v>44790</v>
      </c>
      <c r="E1878" s="63">
        <v>0</v>
      </c>
    </row>
    <row r="1879" spans="1:5">
      <c r="A1879" s="61" t="s">
        <v>152</v>
      </c>
      <c r="B1879" s="61" t="s">
        <v>382</v>
      </c>
      <c r="C1879" s="62">
        <v>44791</v>
      </c>
      <c r="D1879" s="62">
        <v>44791</v>
      </c>
      <c r="E1879" s="63">
        <v>0</v>
      </c>
    </row>
    <row r="1880" spans="1:5">
      <c r="A1880" s="61" t="s">
        <v>152</v>
      </c>
      <c r="B1880" s="61" t="s">
        <v>382</v>
      </c>
      <c r="C1880" s="62">
        <v>44792</v>
      </c>
      <c r="D1880" s="62">
        <v>44792</v>
      </c>
      <c r="E1880" s="63">
        <v>0</v>
      </c>
    </row>
    <row r="1881" spans="1:5">
      <c r="A1881" s="61" t="s">
        <v>152</v>
      </c>
      <c r="B1881" s="61" t="s">
        <v>382</v>
      </c>
      <c r="C1881" s="62">
        <v>44793</v>
      </c>
      <c r="D1881" s="62">
        <v>44793</v>
      </c>
      <c r="E1881" s="63">
        <v>0</v>
      </c>
    </row>
    <row r="1882" spans="1:5">
      <c r="A1882" s="61" t="s">
        <v>152</v>
      </c>
      <c r="B1882" s="61" t="s">
        <v>382</v>
      </c>
      <c r="C1882" s="62">
        <v>44794</v>
      </c>
      <c r="D1882" s="62">
        <v>44794</v>
      </c>
      <c r="E1882" s="63">
        <v>0</v>
      </c>
    </row>
    <row r="1883" spans="1:5">
      <c r="A1883" s="61" t="s">
        <v>152</v>
      </c>
      <c r="B1883" s="61" t="s">
        <v>382</v>
      </c>
      <c r="C1883" s="62">
        <v>44795</v>
      </c>
      <c r="D1883" s="62">
        <v>44795</v>
      </c>
      <c r="E1883" s="63">
        <v>0</v>
      </c>
    </row>
    <row r="1884" spans="1:5">
      <c r="A1884" s="61" t="s">
        <v>152</v>
      </c>
      <c r="B1884" s="61" t="s">
        <v>382</v>
      </c>
      <c r="C1884" s="62">
        <v>44796</v>
      </c>
      <c r="D1884" s="62">
        <v>44796</v>
      </c>
      <c r="E1884" s="63">
        <v>0</v>
      </c>
    </row>
    <row r="1885" spans="1:5">
      <c r="A1885" s="61" t="s">
        <v>152</v>
      </c>
      <c r="B1885" s="61" t="s">
        <v>382</v>
      </c>
      <c r="C1885" s="62">
        <v>44797</v>
      </c>
      <c r="D1885" s="62">
        <v>44797</v>
      </c>
      <c r="E1885" s="63">
        <v>0</v>
      </c>
    </row>
    <row r="1886" spans="1:5">
      <c r="A1886" s="61" t="s">
        <v>152</v>
      </c>
      <c r="B1886" s="61" t="s">
        <v>382</v>
      </c>
      <c r="C1886" s="62">
        <v>44798</v>
      </c>
      <c r="D1886" s="62">
        <v>44798</v>
      </c>
      <c r="E1886" s="63">
        <v>0</v>
      </c>
    </row>
    <row r="1887" spans="1:5">
      <c r="A1887" s="61" t="s">
        <v>152</v>
      </c>
      <c r="B1887" s="61" t="s">
        <v>382</v>
      </c>
      <c r="C1887" s="62">
        <v>44799</v>
      </c>
      <c r="D1887" s="62">
        <v>44799</v>
      </c>
      <c r="E1887" s="63">
        <v>0</v>
      </c>
    </row>
    <row r="1888" spans="1:5">
      <c r="A1888" s="61" t="s">
        <v>152</v>
      </c>
      <c r="B1888" s="61" t="s">
        <v>382</v>
      </c>
      <c r="C1888" s="62">
        <v>44800</v>
      </c>
      <c r="D1888" s="62">
        <v>44800</v>
      </c>
      <c r="E1888" s="63">
        <v>0</v>
      </c>
    </row>
    <row r="1889" spans="1:5">
      <c r="A1889" s="61" t="s">
        <v>152</v>
      </c>
      <c r="B1889" s="61" t="s">
        <v>382</v>
      </c>
      <c r="C1889" s="62">
        <v>44801</v>
      </c>
      <c r="D1889" s="62">
        <v>44801</v>
      </c>
      <c r="E1889" s="63">
        <v>0</v>
      </c>
    </row>
    <row r="1890" spans="1:5">
      <c r="A1890" s="61" t="s">
        <v>152</v>
      </c>
      <c r="B1890" s="61" t="s">
        <v>382</v>
      </c>
      <c r="C1890" s="62">
        <v>44802</v>
      </c>
      <c r="D1890" s="62">
        <v>44802</v>
      </c>
      <c r="E1890" s="63">
        <v>0</v>
      </c>
    </row>
    <row r="1891" spans="1:5">
      <c r="A1891" s="61" t="s">
        <v>152</v>
      </c>
      <c r="B1891" s="61" t="s">
        <v>382</v>
      </c>
      <c r="C1891" s="62">
        <v>44803</v>
      </c>
      <c r="D1891" s="62">
        <v>44803</v>
      </c>
      <c r="E1891" s="63">
        <v>0</v>
      </c>
    </row>
    <row r="1892" spans="1:5">
      <c r="A1892" s="61" t="s">
        <v>153</v>
      </c>
      <c r="B1892" s="61" t="s">
        <v>383</v>
      </c>
      <c r="C1892" s="62">
        <v>44774</v>
      </c>
      <c r="D1892" s="62">
        <v>44774</v>
      </c>
      <c r="E1892" s="63">
        <v>0</v>
      </c>
    </row>
    <row r="1893" spans="1:5">
      <c r="A1893" s="61" t="s">
        <v>153</v>
      </c>
      <c r="B1893" s="61" t="s">
        <v>383</v>
      </c>
      <c r="C1893" s="62">
        <v>44775</v>
      </c>
      <c r="D1893" s="62">
        <v>44775</v>
      </c>
      <c r="E1893" s="63">
        <v>0</v>
      </c>
    </row>
    <row r="1894" spans="1:5">
      <c r="A1894" s="61" t="s">
        <v>153</v>
      </c>
      <c r="B1894" s="61" t="s">
        <v>383</v>
      </c>
      <c r="C1894" s="62">
        <v>44776</v>
      </c>
      <c r="D1894" s="62">
        <v>44776</v>
      </c>
      <c r="E1894" s="63">
        <v>0</v>
      </c>
    </row>
    <row r="1895" spans="1:5">
      <c r="A1895" s="61" t="s">
        <v>153</v>
      </c>
      <c r="B1895" s="61" t="s">
        <v>383</v>
      </c>
      <c r="C1895" s="62">
        <v>44777</v>
      </c>
      <c r="D1895" s="62">
        <v>44777</v>
      </c>
      <c r="E1895" s="63">
        <v>0</v>
      </c>
    </row>
    <row r="1896" spans="1:5">
      <c r="A1896" s="61" t="s">
        <v>153</v>
      </c>
      <c r="B1896" s="61" t="s">
        <v>383</v>
      </c>
      <c r="C1896" s="62">
        <v>44778</v>
      </c>
      <c r="D1896" s="62">
        <v>44778</v>
      </c>
      <c r="E1896" s="63">
        <v>0</v>
      </c>
    </row>
    <row r="1897" spans="1:5">
      <c r="A1897" s="61" t="s">
        <v>153</v>
      </c>
      <c r="B1897" s="61" t="s">
        <v>383</v>
      </c>
      <c r="C1897" s="62">
        <v>44779</v>
      </c>
      <c r="D1897" s="62">
        <v>44779</v>
      </c>
      <c r="E1897" s="63">
        <v>0</v>
      </c>
    </row>
    <row r="1898" spans="1:5">
      <c r="A1898" s="61" t="s">
        <v>153</v>
      </c>
      <c r="B1898" s="61" t="s">
        <v>383</v>
      </c>
      <c r="C1898" s="62">
        <v>44780</v>
      </c>
      <c r="D1898" s="62">
        <v>44780</v>
      </c>
      <c r="E1898" s="63">
        <v>0</v>
      </c>
    </row>
    <row r="1899" spans="1:5">
      <c r="A1899" s="61" t="s">
        <v>153</v>
      </c>
      <c r="B1899" s="61" t="s">
        <v>383</v>
      </c>
      <c r="C1899" s="62">
        <v>44781</v>
      </c>
      <c r="D1899" s="62">
        <v>44781</v>
      </c>
      <c r="E1899" s="63">
        <v>0</v>
      </c>
    </row>
    <row r="1900" spans="1:5">
      <c r="A1900" s="61" t="s">
        <v>153</v>
      </c>
      <c r="B1900" s="61" t="s">
        <v>383</v>
      </c>
      <c r="C1900" s="62">
        <v>44782</v>
      </c>
      <c r="D1900" s="62">
        <v>44782</v>
      </c>
      <c r="E1900" s="63">
        <v>0</v>
      </c>
    </row>
    <row r="1901" spans="1:5">
      <c r="A1901" s="61" t="s">
        <v>153</v>
      </c>
      <c r="B1901" s="61" t="s">
        <v>383</v>
      </c>
      <c r="C1901" s="62">
        <v>44783</v>
      </c>
      <c r="D1901" s="62">
        <v>44783</v>
      </c>
      <c r="E1901" s="63">
        <v>0</v>
      </c>
    </row>
    <row r="1902" spans="1:5">
      <c r="A1902" s="61" t="s">
        <v>153</v>
      </c>
      <c r="B1902" s="61" t="s">
        <v>383</v>
      </c>
      <c r="C1902" s="62">
        <v>44784</v>
      </c>
      <c r="D1902" s="62">
        <v>44784</v>
      </c>
      <c r="E1902" s="63">
        <v>0</v>
      </c>
    </row>
    <row r="1903" spans="1:5">
      <c r="A1903" s="61" t="s">
        <v>153</v>
      </c>
      <c r="B1903" s="61" t="s">
        <v>383</v>
      </c>
      <c r="C1903" s="62">
        <v>44785</v>
      </c>
      <c r="D1903" s="62">
        <v>44785</v>
      </c>
      <c r="E1903" s="63">
        <v>0</v>
      </c>
    </row>
    <row r="1904" spans="1:5">
      <c r="A1904" s="61" t="s">
        <v>153</v>
      </c>
      <c r="B1904" s="61" t="s">
        <v>383</v>
      </c>
      <c r="C1904" s="62">
        <v>44786</v>
      </c>
      <c r="D1904" s="62">
        <v>44786</v>
      </c>
      <c r="E1904" s="63">
        <v>0</v>
      </c>
    </row>
    <row r="1905" spans="1:5">
      <c r="A1905" s="61" t="s">
        <v>153</v>
      </c>
      <c r="B1905" s="61" t="s">
        <v>383</v>
      </c>
      <c r="C1905" s="62">
        <v>44787</v>
      </c>
      <c r="D1905" s="62">
        <v>44787</v>
      </c>
      <c r="E1905" s="63">
        <v>0</v>
      </c>
    </row>
    <row r="1906" spans="1:5">
      <c r="A1906" s="61" t="s">
        <v>153</v>
      </c>
      <c r="B1906" s="61" t="s">
        <v>383</v>
      </c>
      <c r="C1906" s="62">
        <v>44788</v>
      </c>
      <c r="D1906" s="62">
        <v>44788</v>
      </c>
      <c r="E1906" s="63">
        <v>0</v>
      </c>
    </row>
    <row r="1907" spans="1:5">
      <c r="A1907" s="61" t="s">
        <v>153</v>
      </c>
      <c r="B1907" s="61" t="s">
        <v>383</v>
      </c>
      <c r="C1907" s="62">
        <v>44789</v>
      </c>
      <c r="D1907" s="62">
        <v>44789</v>
      </c>
      <c r="E1907" s="63">
        <v>0</v>
      </c>
    </row>
    <row r="1908" spans="1:5">
      <c r="A1908" s="61" t="s">
        <v>153</v>
      </c>
      <c r="B1908" s="61" t="s">
        <v>383</v>
      </c>
      <c r="C1908" s="62">
        <v>44790</v>
      </c>
      <c r="D1908" s="62">
        <v>44790</v>
      </c>
      <c r="E1908" s="63">
        <v>0</v>
      </c>
    </row>
    <row r="1909" spans="1:5">
      <c r="A1909" s="61" t="s">
        <v>153</v>
      </c>
      <c r="B1909" s="61" t="s">
        <v>383</v>
      </c>
      <c r="C1909" s="62">
        <v>44791</v>
      </c>
      <c r="D1909" s="62">
        <v>44791</v>
      </c>
      <c r="E1909" s="63">
        <v>0</v>
      </c>
    </row>
    <row r="1910" spans="1:5">
      <c r="A1910" s="61" t="s">
        <v>153</v>
      </c>
      <c r="B1910" s="61" t="s">
        <v>383</v>
      </c>
      <c r="C1910" s="62">
        <v>44792</v>
      </c>
      <c r="D1910" s="62">
        <v>44792</v>
      </c>
      <c r="E1910" s="63">
        <v>0</v>
      </c>
    </row>
    <row r="1911" spans="1:5">
      <c r="A1911" s="61" t="s">
        <v>153</v>
      </c>
      <c r="B1911" s="61" t="s">
        <v>383</v>
      </c>
      <c r="C1911" s="62">
        <v>44793</v>
      </c>
      <c r="D1911" s="62">
        <v>44793</v>
      </c>
      <c r="E1911" s="63">
        <v>0</v>
      </c>
    </row>
    <row r="1912" spans="1:5">
      <c r="A1912" s="61" t="s">
        <v>153</v>
      </c>
      <c r="B1912" s="61" t="s">
        <v>383</v>
      </c>
      <c r="C1912" s="62">
        <v>44794</v>
      </c>
      <c r="D1912" s="62">
        <v>44794</v>
      </c>
      <c r="E1912" s="63">
        <v>0</v>
      </c>
    </row>
    <row r="1913" spans="1:5">
      <c r="A1913" s="61" t="s">
        <v>153</v>
      </c>
      <c r="B1913" s="61" t="s">
        <v>383</v>
      </c>
      <c r="C1913" s="62">
        <v>44795</v>
      </c>
      <c r="D1913" s="62">
        <v>44795</v>
      </c>
      <c r="E1913" s="63">
        <v>0</v>
      </c>
    </row>
    <row r="1914" spans="1:5">
      <c r="A1914" s="61" t="s">
        <v>153</v>
      </c>
      <c r="B1914" s="61" t="s">
        <v>383</v>
      </c>
      <c r="C1914" s="62">
        <v>44796</v>
      </c>
      <c r="D1914" s="62">
        <v>44796</v>
      </c>
      <c r="E1914" s="63">
        <v>0</v>
      </c>
    </row>
    <row r="1915" spans="1:5">
      <c r="A1915" s="61" t="s">
        <v>153</v>
      </c>
      <c r="B1915" s="61" t="s">
        <v>383</v>
      </c>
      <c r="C1915" s="62">
        <v>44797</v>
      </c>
      <c r="D1915" s="62">
        <v>44797</v>
      </c>
      <c r="E1915" s="63">
        <v>0</v>
      </c>
    </row>
    <row r="1916" spans="1:5">
      <c r="A1916" s="61" t="s">
        <v>153</v>
      </c>
      <c r="B1916" s="61" t="s">
        <v>383</v>
      </c>
      <c r="C1916" s="62">
        <v>44798</v>
      </c>
      <c r="D1916" s="62">
        <v>44798</v>
      </c>
      <c r="E1916" s="63">
        <v>0</v>
      </c>
    </row>
    <row r="1917" spans="1:5">
      <c r="A1917" s="61" t="s">
        <v>153</v>
      </c>
      <c r="B1917" s="61" t="s">
        <v>383</v>
      </c>
      <c r="C1917" s="62">
        <v>44799</v>
      </c>
      <c r="D1917" s="62">
        <v>44799</v>
      </c>
      <c r="E1917" s="63">
        <v>0</v>
      </c>
    </row>
    <row r="1918" spans="1:5">
      <c r="A1918" s="61" t="s">
        <v>153</v>
      </c>
      <c r="B1918" s="61" t="s">
        <v>383</v>
      </c>
      <c r="C1918" s="62">
        <v>44800</v>
      </c>
      <c r="D1918" s="62">
        <v>44800</v>
      </c>
      <c r="E1918" s="63">
        <v>0</v>
      </c>
    </row>
    <row r="1919" spans="1:5">
      <c r="A1919" s="61" t="s">
        <v>153</v>
      </c>
      <c r="B1919" s="61" t="s">
        <v>383</v>
      </c>
      <c r="C1919" s="62">
        <v>44801</v>
      </c>
      <c r="D1919" s="62">
        <v>44801</v>
      </c>
      <c r="E1919" s="63">
        <v>0</v>
      </c>
    </row>
    <row r="1920" spans="1:5">
      <c r="A1920" s="61" t="s">
        <v>153</v>
      </c>
      <c r="B1920" s="61" t="s">
        <v>383</v>
      </c>
      <c r="C1920" s="62">
        <v>44802</v>
      </c>
      <c r="D1920" s="62">
        <v>44802</v>
      </c>
      <c r="E1920" s="63">
        <v>0</v>
      </c>
    </row>
    <row r="1921" spans="1:5">
      <c r="A1921" s="61" t="s">
        <v>153</v>
      </c>
      <c r="B1921" s="61" t="s">
        <v>383</v>
      </c>
      <c r="C1921" s="62">
        <v>44803</v>
      </c>
      <c r="D1921" s="62">
        <v>44803</v>
      </c>
      <c r="E1921" s="63">
        <v>0</v>
      </c>
    </row>
    <row r="1922" spans="1:5">
      <c r="A1922" s="61" t="s">
        <v>39</v>
      </c>
      <c r="B1922" s="61" t="s">
        <v>380</v>
      </c>
      <c r="C1922" s="62">
        <v>44774</v>
      </c>
      <c r="D1922" s="62">
        <v>44774</v>
      </c>
      <c r="E1922" s="63">
        <v>0</v>
      </c>
    </row>
    <row r="1923" spans="1:5">
      <c r="A1923" s="61" t="s">
        <v>39</v>
      </c>
      <c r="B1923" s="61" t="s">
        <v>380</v>
      </c>
      <c r="C1923" s="62">
        <v>44775</v>
      </c>
      <c r="D1923" s="62">
        <v>44775</v>
      </c>
      <c r="E1923" s="63">
        <v>0</v>
      </c>
    </row>
    <row r="1924" spans="1:5">
      <c r="A1924" s="61" t="s">
        <v>39</v>
      </c>
      <c r="B1924" s="61" t="s">
        <v>380</v>
      </c>
      <c r="C1924" s="62">
        <v>44776</v>
      </c>
      <c r="D1924" s="62">
        <v>44776</v>
      </c>
      <c r="E1924" s="63">
        <v>0</v>
      </c>
    </row>
    <row r="1925" spans="1:5">
      <c r="A1925" s="61" t="s">
        <v>39</v>
      </c>
      <c r="B1925" s="61" t="s">
        <v>380</v>
      </c>
      <c r="C1925" s="62">
        <v>44777</v>
      </c>
      <c r="D1925" s="62">
        <v>44777</v>
      </c>
      <c r="E1925" s="63">
        <v>0</v>
      </c>
    </row>
    <row r="1926" spans="1:5">
      <c r="A1926" s="61" t="s">
        <v>39</v>
      </c>
      <c r="B1926" s="61" t="s">
        <v>380</v>
      </c>
      <c r="C1926" s="62">
        <v>44778</v>
      </c>
      <c r="D1926" s="62">
        <v>44778</v>
      </c>
      <c r="E1926" s="63">
        <v>0</v>
      </c>
    </row>
    <row r="1927" spans="1:5">
      <c r="A1927" s="61" t="s">
        <v>39</v>
      </c>
      <c r="B1927" s="61" t="s">
        <v>380</v>
      </c>
      <c r="C1927" s="62">
        <v>44779</v>
      </c>
      <c r="D1927" s="62">
        <v>44779</v>
      </c>
      <c r="E1927" s="63">
        <v>0</v>
      </c>
    </row>
    <row r="1928" spans="1:5">
      <c r="A1928" s="61" t="s">
        <v>39</v>
      </c>
      <c r="B1928" s="61" t="s">
        <v>380</v>
      </c>
      <c r="C1928" s="62">
        <v>44780</v>
      </c>
      <c r="D1928" s="62">
        <v>44780</v>
      </c>
      <c r="E1928" s="63">
        <v>0</v>
      </c>
    </row>
    <row r="1929" spans="1:5">
      <c r="A1929" s="61" t="s">
        <v>39</v>
      </c>
      <c r="B1929" s="61" t="s">
        <v>380</v>
      </c>
      <c r="C1929" s="62">
        <v>44781</v>
      </c>
      <c r="D1929" s="62">
        <v>44781</v>
      </c>
      <c r="E1929" s="63">
        <v>0</v>
      </c>
    </row>
    <row r="1930" spans="1:5">
      <c r="A1930" s="61" t="s">
        <v>39</v>
      </c>
      <c r="B1930" s="61" t="s">
        <v>380</v>
      </c>
      <c r="C1930" s="62">
        <v>44782</v>
      </c>
      <c r="D1930" s="62">
        <v>44782</v>
      </c>
      <c r="E1930" s="63">
        <v>0</v>
      </c>
    </row>
    <row r="1931" spans="1:5">
      <c r="A1931" s="61" t="s">
        <v>39</v>
      </c>
      <c r="B1931" s="61" t="s">
        <v>380</v>
      </c>
      <c r="C1931" s="62">
        <v>44783</v>
      </c>
      <c r="D1931" s="62">
        <v>44783</v>
      </c>
      <c r="E1931" s="63">
        <v>0</v>
      </c>
    </row>
    <row r="1932" spans="1:5">
      <c r="A1932" s="61" t="s">
        <v>39</v>
      </c>
      <c r="B1932" s="61" t="s">
        <v>380</v>
      </c>
      <c r="C1932" s="62">
        <v>44784</v>
      </c>
      <c r="D1932" s="62">
        <v>44784</v>
      </c>
      <c r="E1932" s="63">
        <v>0</v>
      </c>
    </row>
    <row r="1933" spans="1:5">
      <c r="A1933" s="61" t="s">
        <v>39</v>
      </c>
      <c r="B1933" s="61" t="s">
        <v>380</v>
      </c>
      <c r="C1933" s="62">
        <v>44785</v>
      </c>
      <c r="D1933" s="62">
        <v>44785</v>
      </c>
      <c r="E1933" s="63">
        <v>0</v>
      </c>
    </row>
    <row r="1934" spans="1:5">
      <c r="A1934" s="61" t="s">
        <v>39</v>
      </c>
      <c r="B1934" s="61" t="s">
        <v>380</v>
      </c>
      <c r="C1934" s="62">
        <v>44786</v>
      </c>
      <c r="D1934" s="62">
        <v>44786</v>
      </c>
      <c r="E1934" s="63">
        <v>0</v>
      </c>
    </row>
    <row r="1935" spans="1:5">
      <c r="A1935" s="61" t="s">
        <v>39</v>
      </c>
      <c r="B1935" s="61" t="s">
        <v>380</v>
      </c>
      <c r="C1935" s="62">
        <v>44787</v>
      </c>
      <c r="D1935" s="62">
        <v>44787</v>
      </c>
      <c r="E1935" s="63">
        <v>0</v>
      </c>
    </row>
    <row r="1936" spans="1:5">
      <c r="A1936" s="61" t="s">
        <v>39</v>
      </c>
      <c r="B1936" s="61" t="s">
        <v>380</v>
      </c>
      <c r="C1936" s="62">
        <v>44788</v>
      </c>
      <c r="D1936" s="62">
        <v>44788</v>
      </c>
      <c r="E1936" s="63">
        <v>0</v>
      </c>
    </row>
    <row r="1937" spans="1:5">
      <c r="A1937" s="61" t="s">
        <v>39</v>
      </c>
      <c r="B1937" s="61" t="s">
        <v>380</v>
      </c>
      <c r="C1937" s="62">
        <v>44789</v>
      </c>
      <c r="D1937" s="62">
        <v>44789</v>
      </c>
      <c r="E1937" s="63">
        <v>0</v>
      </c>
    </row>
    <row r="1938" spans="1:5">
      <c r="A1938" s="61" t="s">
        <v>39</v>
      </c>
      <c r="B1938" s="61" t="s">
        <v>380</v>
      </c>
      <c r="C1938" s="62">
        <v>44790</v>
      </c>
      <c r="D1938" s="62">
        <v>44790</v>
      </c>
      <c r="E1938" s="63">
        <v>0</v>
      </c>
    </row>
    <row r="1939" spans="1:5">
      <c r="A1939" s="61" t="s">
        <v>39</v>
      </c>
      <c r="B1939" s="61" t="s">
        <v>380</v>
      </c>
      <c r="C1939" s="62">
        <v>44791</v>
      </c>
      <c r="D1939" s="62">
        <v>44791</v>
      </c>
      <c r="E1939" s="63">
        <v>0</v>
      </c>
    </row>
    <row r="1940" spans="1:5">
      <c r="A1940" s="61" t="s">
        <v>39</v>
      </c>
      <c r="B1940" s="61" t="s">
        <v>380</v>
      </c>
      <c r="C1940" s="62">
        <v>44792</v>
      </c>
      <c r="D1940" s="62">
        <v>44792</v>
      </c>
      <c r="E1940" s="63">
        <v>0</v>
      </c>
    </row>
    <row r="1941" spans="1:5">
      <c r="A1941" s="61" t="s">
        <v>39</v>
      </c>
      <c r="B1941" s="61" t="s">
        <v>380</v>
      </c>
      <c r="C1941" s="62">
        <v>44793</v>
      </c>
      <c r="D1941" s="62">
        <v>44793</v>
      </c>
      <c r="E1941" s="63">
        <v>0</v>
      </c>
    </row>
    <row r="1942" spans="1:5">
      <c r="A1942" s="61" t="s">
        <v>39</v>
      </c>
      <c r="B1942" s="61" t="s">
        <v>380</v>
      </c>
      <c r="C1942" s="62">
        <v>44794</v>
      </c>
      <c r="D1942" s="62">
        <v>44794</v>
      </c>
      <c r="E1942" s="63">
        <v>0</v>
      </c>
    </row>
    <row r="1943" spans="1:5">
      <c r="A1943" s="61" t="s">
        <v>39</v>
      </c>
      <c r="B1943" s="61" t="s">
        <v>380</v>
      </c>
      <c r="C1943" s="62">
        <v>44795</v>
      </c>
      <c r="D1943" s="62">
        <v>44795</v>
      </c>
      <c r="E1943" s="63">
        <v>0</v>
      </c>
    </row>
    <row r="1944" spans="1:5">
      <c r="A1944" s="61" t="s">
        <v>39</v>
      </c>
      <c r="B1944" s="61" t="s">
        <v>380</v>
      </c>
      <c r="C1944" s="62">
        <v>44796</v>
      </c>
      <c r="D1944" s="62">
        <v>44796</v>
      </c>
      <c r="E1944" s="63">
        <v>0</v>
      </c>
    </row>
    <row r="1945" spans="1:5">
      <c r="A1945" s="61" t="s">
        <v>39</v>
      </c>
      <c r="B1945" s="61" t="s">
        <v>380</v>
      </c>
      <c r="C1945" s="62">
        <v>44797</v>
      </c>
      <c r="D1945" s="62">
        <v>44797</v>
      </c>
      <c r="E1945" s="63">
        <v>0</v>
      </c>
    </row>
    <row r="1946" spans="1:5">
      <c r="A1946" s="61" t="s">
        <v>39</v>
      </c>
      <c r="B1946" s="61" t="s">
        <v>380</v>
      </c>
      <c r="C1946" s="62">
        <v>44798</v>
      </c>
      <c r="D1946" s="62">
        <v>44798</v>
      </c>
      <c r="E1946" s="63">
        <v>0</v>
      </c>
    </row>
    <row r="1947" spans="1:5">
      <c r="A1947" s="61" t="s">
        <v>39</v>
      </c>
      <c r="B1947" s="61" t="s">
        <v>380</v>
      </c>
      <c r="C1947" s="62">
        <v>44799</v>
      </c>
      <c r="D1947" s="62">
        <v>44799</v>
      </c>
      <c r="E1947" s="63">
        <v>0</v>
      </c>
    </row>
    <row r="1948" spans="1:5">
      <c r="A1948" s="61" t="s">
        <v>39</v>
      </c>
      <c r="B1948" s="61" t="s">
        <v>380</v>
      </c>
      <c r="C1948" s="62">
        <v>44800</v>
      </c>
      <c r="D1948" s="62">
        <v>44800</v>
      </c>
      <c r="E1948" s="63">
        <v>0</v>
      </c>
    </row>
    <row r="1949" spans="1:5">
      <c r="A1949" s="61" t="s">
        <v>39</v>
      </c>
      <c r="B1949" s="61" t="s">
        <v>380</v>
      </c>
      <c r="C1949" s="62">
        <v>44801</v>
      </c>
      <c r="D1949" s="62">
        <v>44801</v>
      </c>
      <c r="E1949" s="63">
        <v>0</v>
      </c>
    </row>
    <row r="1950" spans="1:5">
      <c r="A1950" s="61" t="s">
        <v>39</v>
      </c>
      <c r="B1950" s="61" t="s">
        <v>380</v>
      </c>
      <c r="C1950" s="62">
        <v>44802</v>
      </c>
      <c r="D1950" s="62">
        <v>44802</v>
      </c>
      <c r="E1950" s="63">
        <v>0</v>
      </c>
    </row>
    <row r="1951" spans="1:5">
      <c r="A1951" s="61" t="s">
        <v>39</v>
      </c>
      <c r="B1951" s="61" t="s">
        <v>380</v>
      </c>
      <c r="C1951" s="62">
        <v>44803</v>
      </c>
      <c r="D1951" s="62">
        <v>44803</v>
      </c>
      <c r="E1951" s="63">
        <v>0</v>
      </c>
    </row>
    <row r="1952" spans="1:5">
      <c r="A1952" s="61" t="s">
        <v>154</v>
      </c>
      <c r="B1952" s="61" t="s">
        <v>381</v>
      </c>
      <c r="C1952" s="62">
        <v>44774</v>
      </c>
      <c r="D1952" s="62">
        <v>44774</v>
      </c>
      <c r="E1952" s="63">
        <v>0</v>
      </c>
    </row>
    <row r="1953" spans="1:5">
      <c r="A1953" s="61" t="s">
        <v>154</v>
      </c>
      <c r="B1953" s="61" t="s">
        <v>381</v>
      </c>
      <c r="C1953" s="62">
        <v>44775</v>
      </c>
      <c r="D1953" s="62">
        <v>44775</v>
      </c>
      <c r="E1953" s="63">
        <v>0</v>
      </c>
    </row>
    <row r="1954" spans="1:5">
      <c r="A1954" s="61" t="s">
        <v>154</v>
      </c>
      <c r="B1954" s="61" t="s">
        <v>381</v>
      </c>
      <c r="C1954" s="62">
        <v>44776</v>
      </c>
      <c r="D1954" s="62">
        <v>44776</v>
      </c>
      <c r="E1954" s="63">
        <v>0</v>
      </c>
    </row>
    <row r="1955" spans="1:5">
      <c r="A1955" s="61" t="s">
        <v>154</v>
      </c>
      <c r="B1955" s="61" t="s">
        <v>381</v>
      </c>
      <c r="C1955" s="62">
        <v>44777</v>
      </c>
      <c r="D1955" s="62">
        <v>44777</v>
      </c>
      <c r="E1955" s="63">
        <v>0</v>
      </c>
    </row>
    <row r="1956" spans="1:5">
      <c r="A1956" s="61" t="s">
        <v>154</v>
      </c>
      <c r="B1956" s="61" t="s">
        <v>381</v>
      </c>
      <c r="C1956" s="62">
        <v>44778</v>
      </c>
      <c r="D1956" s="62">
        <v>44778</v>
      </c>
      <c r="E1956" s="63">
        <v>0</v>
      </c>
    </row>
    <row r="1957" spans="1:5">
      <c r="A1957" s="61" t="s">
        <v>154</v>
      </c>
      <c r="B1957" s="61" t="s">
        <v>381</v>
      </c>
      <c r="C1957" s="62">
        <v>44779</v>
      </c>
      <c r="D1957" s="62">
        <v>44779</v>
      </c>
      <c r="E1957" s="63">
        <v>0</v>
      </c>
    </row>
    <row r="1958" spans="1:5">
      <c r="A1958" s="61" t="s">
        <v>154</v>
      </c>
      <c r="B1958" s="61" t="s">
        <v>381</v>
      </c>
      <c r="C1958" s="62">
        <v>44780</v>
      </c>
      <c r="D1958" s="62">
        <v>44780</v>
      </c>
      <c r="E1958" s="63">
        <v>0</v>
      </c>
    </row>
    <row r="1959" spans="1:5">
      <c r="A1959" s="61" t="s">
        <v>154</v>
      </c>
      <c r="B1959" s="61" t="s">
        <v>381</v>
      </c>
      <c r="C1959" s="62">
        <v>44781</v>
      </c>
      <c r="D1959" s="62">
        <v>44781</v>
      </c>
      <c r="E1959" s="63">
        <v>0</v>
      </c>
    </row>
    <row r="1960" spans="1:5">
      <c r="A1960" s="61" t="s">
        <v>154</v>
      </c>
      <c r="B1960" s="61" t="s">
        <v>381</v>
      </c>
      <c r="C1960" s="62">
        <v>44782</v>
      </c>
      <c r="D1960" s="62">
        <v>44782</v>
      </c>
      <c r="E1960" s="63">
        <v>0</v>
      </c>
    </row>
    <row r="1961" spans="1:5">
      <c r="A1961" s="61" t="s">
        <v>154</v>
      </c>
      <c r="B1961" s="61" t="s">
        <v>381</v>
      </c>
      <c r="C1961" s="62">
        <v>44783</v>
      </c>
      <c r="D1961" s="62">
        <v>44783</v>
      </c>
      <c r="E1961" s="63">
        <v>0</v>
      </c>
    </row>
    <row r="1962" spans="1:5">
      <c r="A1962" s="61" t="s">
        <v>154</v>
      </c>
      <c r="B1962" s="61" t="s">
        <v>381</v>
      </c>
      <c r="C1962" s="62">
        <v>44784</v>
      </c>
      <c r="D1962" s="62">
        <v>44784</v>
      </c>
      <c r="E1962" s="63">
        <v>0</v>
      </c>
    </row>
    <row r="1963" spans="1:5">
      <c r="A1963" s="61" t="s">
        <v>154</v>
      </c>
      <c r="B1963" s="61" t="s">
        <v>381</v>
      </c>
      <c r="C1963" s="62">
        <v>44785</v>
      </c>
      <c r="D1963" s="62">
        <v>44785</v>
      </c>
      <c r="E1963" s="63">
        <v>0</v>
      </c>
    </row>
    <row r="1964" spans="1:5">
      <c r="A1964" s="61" t="s">
        <v>154</v>
      </c>
      <c r="B1964" s="61" t="s">
        <v>381</v>
      </c>
      <c r="C1964" s="62">
        <v>44786</v>
      </c>
      <c r="D1964" s="62">
        <v>44786</v>
      </c>
      <c r="E1964" s="63">
        <v>0</v>
      </c>
    </row>
    <row r="1965" spans="1:5">
      <c r="A1965" s="61" t="s">
        <v>154</v>
      </c>
      <c r="B1965" s="61" t="s">
        <v>381</v>
      </c>
      <c r="C1965" s="62">
        <v>44787</v>
      </c>
      <c r="D1965" s="62">
        <v>44787</v>
      </c>
      <c r="E1965" s="63">
        <v>0</v>
      </c>
    </row>
    <row r="1966" spans="1:5">
      <c r="A1966" s="61" t="s">
        <v>154</v>
      </c>
      <c r="B1966" s="61" t="s">
        <v>381</v>
      </c>
      <c r="C1966" s="62">
        <v>44788</v>
      </c>
      <c r="D1966" s="62">
        <v>44788</v>
      </c>
      <c r="E1966" s="63">
        <v>0</v>
      </c>
    </row>
    <row r="1967" spans="1:5">
      <c r="A1967" s="61" t="s">
        <v>154</v>
      </c>
      <c r="B1967" s="61" t="s">
        <v>381</v>
      </c>
      <c r="C1967" s="62">
        <v>44789</v>
      </c>
      <c r="D1967" s="62">
        <v>44789</v>
      </c>
      <c r="E1967" s="63">
        <v>0</v>
      </c>
    </row>
    <row r="1968" spans="1:5">
      <c r="A1968" s="61" t="s">
        <v>154</v>
      </c>
      <c r="B1968" s="61" t="s">
        <v>381</v>
      </c>
      <c r="C1968" s="62">
        <v>44790</v>
      </c>
      <c r="D1968" s="62">
        <v>44790</v>
      </c>
      <c r="E1968" s="63">
        <v>0</v>
      </c>
    </row>
    <row r="1969" spans="1:5">
      <c r="A1969" s="61" t="s">
        <v>154</v>
      </c>
      <c r="B1969" s="61" t="s">
        <v>381</v>
      </c>
      <c r="C1969" s="62">
        <v>44791</v>
      </c>
      <c r="D1969" s="62">
        <v>44791</v>
      </c>
      <c r="E1969" s="63">
        <v>0</v>
      </c>
    </row>
    <row r="1970" spans="1:5">
      <c r="A1970" s="61" t="s">
        <v>154</v>
      </c>
      <c r="B1970" s="61" t="s">
        <v>381</v>
      </c>
      <c r="C1970" s="62">
        <v>44792</v>
      </c>
      <c r="D1970" s="62">
        <v>44792</v>
      </c>
      <c r="E1970" s="63">
        <v>0</v>
      </c>
    </row>
    <row r="1971" spans="1:5">
      <c r="A1971" s="61" t="s">
        <v>154</v>
      </c>
      <c r="B1971" s="61" t="s">
        <v>381</v>
      </c>
      <c r="C1971" s="62">
        <v>44793</v>
      </c>
      <c r="D1971" s="62">
        <v>44793</v>
      </c>
      <c r="E1971" s="63">
        <v>0</v>
      </c>
    </row>
    <row r="1972" spans="1:5">
      <c r="A1972" s="61" t="s">
        <v>154</v>
      </c>
      <c r="B1972" s="61" t="s">
        <v>381</v>
      </c>
      <c r="C1972" s="62">
        <v>44794</v>
      </c>
      <c r="D1972" s="62">
        <v>44794</v>
      </c>
      <c r="E1972" s="63">
        <v>0</v>
      </c>
    </row>
    <row r="1973" spans="1:5">
      <c r="A1973" s="61" t="s">
        <v>154</v>
      </c>
      <c r="B1973" s="61" t="s">
        <v>381</v>
      </c>
      <c r="C1973" s="62">
        <v>44795</v>
      </c>
      <c r="D1973" s="62">
        <v>44795</v>
      </c>
      <c r="E1973" s="63">
        <v>0</v>
      </c>
    </row>
    <row r="1974" spans="1:5">
      <c r="A1974" s="61" t="s">
        <v>154</v>
      </c>
      <c r="B1974" s="61" t="s">
        <v>381</v>
      </c>
      <c r="C1974" s="62">
        <v>44796</v>
      </c>
      <c r="D1974" s="62">
        <v>44796</v>
      </c>
      <c r="E1974" s="63">
        <v>0</v>
      </c>
    </row>
    <row r="1975" spans="1:5">
      <c r="A1975" s="61" t="s">
        <v>154</v>
      </c>
      <c r="B1975" s="61" t="s">
        <v>381</v>
      </c>
      <c r="C1975" s="62">
        <v>44797</v>
      </c>
      <c r="D1975" s="62">
        <v>44797</v>
      </c>
      <c r="E1975" s="63">
        <v>0</v>
      </c>
    </row>
    <row r="1976" spans="1:5">
      <c r="A1976" s="61" t="s">
        <v>154</v>
      </c>
      <c r="B1976" s="61" t="s">
        <v>381</v>
      </c>
      <c r="C1976" s="62">
        <v>44798</v>
      </c>
      <c r="D1976" s="62">
        <v>44798</v>
      </c>
      <c r="E1976" s="63">
        <v>0</v>
      </c>
    </row>
    <row r="1977" spans="1:5">
      <c r="A1977" s="61" t="s">
        <v>154</v>
      </c>
      <c r="B1977" s="61" t="s">
        <v>381</v>
      </c>
      <c r="C1977" s="62">
        <v>44799</v>
      </c>
      <c r="D1977" s="62">
        <v>44799</v>
      </c>
      <c r="E1977" s="63">
        <v>0</v>
      </c>
    </row>
    <row r="1978" spans="1:5">
      <c r="A1978" s="61" t="s">
        <v>154</v>
      </c>
      <c r="B1978" s="61" t="s">
        <v>381</v>
      </c>
      <c r="C1978" s="62">
        <v>44800</v>
      </c>
      <c r="D1978" s="62">
        <v>44800</v>
      </c>
      <c r="E1978" s="63">
        <v>0</v>
      </c>
    </row>
    <row r="1979" spans="1:5">
      <c r="A1979" s="61" t="s">
        <v>154</v>
      </c>
      <c r="B1979" s="61" t="s">
        <v>381</v>
      </c>
      <c r="C1979" s="62">
        <v>44801</v>
      </c>
      <c r="D1979" s="62">
        <v>44801</v>
      </c>
      <c r="E1979" s="63">
        <v>0</v>
      </c>
    </row>
    <row r="1980" spans="1:5">
      <c r="A1980" s="61" t="s">
        <v>154</v>
      </c>
      <c r="B1980" s="61" t="s">
        <v>381</v>
      </c>
      <c r="C1980" s="62">
        <v>44802</v>
      </c>
      <c r="D1980" s="62">
        <v>44802</v>
      </c>
      <c r="E1980" s="63">
        <v>0</v>
      </c>
    </row>
    <row r="1981" spans="1:5">
      <c r="A1981" s="61" t="s">
        <v>154</v>
      </c>
      <c r="B1981" s="61" t="s">
        <v>381</v>
      </c>
      <c r="C1981" s="62">
        <v>44803</v>
      </c>
      <c r="D1981" s="62">
        <v>44803</v>
      </c>
      <c r="E1981" s="63">
        <v>0</v>
      </c>
    </row>
    <row r="1982" spans="1:5">
      <c r="A1982" s="61" t="s">
        <v>155</v>
      </c>
      <c r="B1982" s="61" t="s">
        <v>382</v>
      </c>
      <c r="C1982" s="62">
        <v>44774</v>
      </c>
      <c r="D1982" s="62">
        <v>44774</v>
      </c>
      <c r="E1982" s="63">
        <v>0</v>
      </c>
    </row>
    <row r="1983" spans="1:5">
      <c r="A1983" s="61" t="s">
        <v>155</v>
      </c>
      <c r="B1983" s="61" t="s">
        <v>382</v>
      </c>
      <c r="C1983" s="62">
        <v>44775</v>
      </c>
      <c r="D1983" s="62">
        <v>44775</v>
      </c>
      <c r="E1983" s="63">
        <v>0</v>
      </c>
    </row>
    <row r="1984" spans="1:5">
      <c r="A1984" s="61" t="s">
        <v>155</v>
      </c>
      <c r="B1984" s="61" t="s">
        <v>382</v>
      </c>
      <c r="C1984" s="62">
        <v>44776</v>
      </c>
      <c r="D1984" s="62">
        <v>44776</v>
      </c>
      <c r="E1984" s="63">
        <v>0</v>
      </c>
    </row>
    <row r="1985" spans="1:5">
      <c r="A1985" s="61" t="s">
        <v>155</v>
      </c>
      <c r="B1985" s="61" t="s">
        <v>382</v>
      </c>
      <c r="C1985" s="62">
        <v>44777</v>
      </c>
      <c r="D1985" s="62">
        <v>44777</v>
      </c>
      <c r="E1985" s="63">
        <v>0</v>
      </c>
    </row>
    <row r="1986" spans="1:5">
      <c r="A1986" s="61" t="s">
        <v>155</v>
      </c>
      <c r="B1986" s="61" t="s">
        <v>382</v>
      </c>
      <c r="C1986" s="62">
        <v>44778</v>
      </c>
      <c r="D1986" s="62">
        <v>44778</v>
      </c>
      <c r="E1986" s="63">
        <v>0</v>
      </c>
    </row>
    <row r="1987" spans="1:5">
      <c r="A1987" s="61" t="s">
        <v>155</v>
      </c>
      <c r="B1987" s="61" t="s">
        <v>382</v>
      </c>
      <c r="C1987" s="62">
        <v>44779</v>
      </c>
      <c r="D1987" s="62">
        <v>44779</v>
      </c>
      <c r="E1987" s="63">
        <v>0</v>
      </c>
    </row>
    <row r="1988" spans="1:5">
      <c r="A1988" s="61" t="s">
        <v>155</v>
      </c>
      <c r="B1988" s="61" t="s">
        <v>382</v>
      </c>
      <c r="C1988" s="62">
        <v>44780</v>
      </c>
      <c r="D1988" s="62">
        <v>44780</v>
      </c>
      <c r="E1988" s="63">
        <v>0</v>
      </c>
    </row>
    <row r="1989" spans="1:5">
      <c r="A1989" s="61" t="s">
        <v>155</v>
      </c>
      <c r="B1989" s="61" t="s">
        <v>382</v>
      </c>
      <c r="C1989" s="62">
        <v>44781</v>
      </c>
      <c r="D1989" s="62">
        <v>44781</v>
      </c>
      <c r="E1989" s="63">
        <v>0</v>
      </c>
    </row>
    <row r="1990" spans="1:5">
      <c r="A1990" s="61" t="s">
        <v>155</v>
      </c>
      <c r="B1990" s="61" t="s">
        <v>382</v>
      </c>
      <c r="C1990" s="62">
        <v>44782</v>
      </c>
      <c r="D1990" s="62">
        <v>44782</v>
      </c>
      <c r="E1990" s="63">
        <v>0</v>
      </c>
    </row>
    <row r="1991" spans="1:5">
      <c r="A1991" s="61" t="s">
        <v>155</v>
      </c>
      <c r="B1991" s="61" t="s">
        <v>382</v>
      </c>
      <c r="C1991" s="62">
        <v>44783</v>
      </c>
      <c r="D1991" s="62">
        <v>44783</v>
      </c>
      <c r="E1991" s="63">
        <v>0</v>
      </c>
    </row>
    <row r="1992" spans="1:5">
      <c r="A1992" s="61" t="s">
        <v>155</v>
      </c>
      <c r="B1992" s="61" t="s">
        <v>382</v>
      </c>
      <c r="C1992" s="62">
        <v>44784</v>
      </c>
      <c r="D1992" s="62">
        <v>44784</v>
      </c>
      <c r="E1992" s="63">
        <v>0</v>
      </c>
    </row>
    <row r="1993" spans="1:5">
      <c r="A1993" s="61" t="s">
        <v>155</v>
      </c>
      <c r="B1993" s="61" t="s">
        <v>382</v>
      </c>
      <c r="C1993" s="62">
        <v>44785</v>
      </c>
      <c r="D1993" s="62">
        <v>44785</v>
      </c>
      <c r="E1993" s="63">
        <v>0</v>
      </c>
    </row>
    <row r="1994" spans="1:5">
      <c r="A1994" s="61" t="s">
        <v>155</v>
      </c>
      <c r="B1994" s="61" t="s">
        <v>382</v>
      </c>
      <c r="C1994" s="62">
        <v>44786</v>
      </c>
      <c r="D1994" s="62">
        <v>44786</v>
      </c>
      <c r="E1994" s="63">
        <v>0</v>
      </c>
    </row>
    <row r="1995" spans="1:5">
      <c r="A1995" s="61" t="s">
        <v>155</v>
      </c>
      <c r="B1995" s="61" t="s">
        <v>382</v>
      </c>
      <c r="C1995" s="62">
        <v>44787</v>
      </c>
      <c r="D1995" s="62">
        <v>44787</v>
      </c>
      <c r="E1995" s="63">
        <v>0</v>
      </c>
    </row>
    <row r="1996" spans="1:5">
      <c r="A1996" s="61" t="s">
        <v>155</v>
      </c>
      <c r="B1996" s="61" t="s">
        <v>382</v>
      </c>
      <c r="C1996" s="62">
        <v>44788</v>
      </c>
      <c r="D1996" s="62">
        <v>44788</v>
      </c>
      <c r="E1996" s="63">
        <v>0</v>
      </c>
    </row>
    <row r="1997" spans="1:5">
      <c r="A1997" s="61" t="s">
        <v>155</v>
      </c>
      <c r="B1997" s="61" t="s">
        <v>382</v>
      </c>
      <c r="C1997" s="62">
        <v>44789</v>
      </c>
      <c r="D1997" s="62">
        <v>44789</v>
      </c>
      <c r="E1997" s="63">
        <v>0</v>
      </c>
    </row>
    <row r="1998" spans="1:5">
      <c r="A1998" s="61" t="s">
        <v>155</v>
      </c>
      <c r="B1998" s="61" t="s">
        <v>382</v>
      </c>
      <c r="C1998" s="62">
        <v>44790</v>
      </c>
      <c r="D1998" s="62">
        <v>44790</v>
      </c>
      <c r="E1998" s="63">
        <v>0</v>
      </c>
    </row>
    <row r="1999" spans="1:5">
      <c r="A1999" s="61" t="s">
        <v>155</v>
      </c>
      <c r="B1999" s="61" t="s">
        <v>382</v>
      </c>
      <c r="C1999" s="62">
        <v>44791</v>
      </c>
      <c r="D1999" s="62">
        <v>44791</v>
      </c>
      <c r="E1999" s="63">
        <v>0</v>
      </c>
    </row>
    <row r="2000" spans="1:5">
      <c r="A2000" s="61" t="s">
        <v>155</v>
      </c>
      <c r="B2000" s="61" t="s">
        <v>382</v>
      </c>
      <c r="C2000" s="62">
        <v>44792</v>
      </c>
      <c r="D2000" s="62">
        <v>44792</v>
      </c>
      <c r="E2000" s="63">
        <v>0</v>
      </c>
    </row>
    <row r="2001" spans="1:5">
      <c r="A2001" s="61" t="s">
        <v>155</v>
      </c>
      <c r="B2001" s="61" t="s">
        <v>382</v>
      </c>
      <c r="C2001" s="62">
        <v>44793</v>
      </c>
      <c r="D2001" s="62">
        <v>44793</v>
      </c>
      <c r="E2001" s="63">
        <v>0</v>
      </c>
    </row>
    <row r="2002" spans="1:5">
      <c r="A2002" s="61" t="s">
        <v>155</v>
      </c>
      <c r="B2002" s="61" t="s">
        <v>382</v>
      </c>
      <c r="C2002" s="62">
        <v>44794</v>
      </c>
      <c r="D2002" s="62">
        <v>44794</v>
      </c>
      <c r="E2002" s="63">
        <v>0</v>
      </c>
    </row>
    <row r="2003" spans="1:5">
      <c r="A2003" s="61" t="s">
        <v>155</v>
      </c>
      <c r="B2003" s="61" t="s">
        <v>382</v>
      </c>
      <c r="C2003" s="62">
        <v>44795</v>
      </c>
      <c r="D2003" s="62">
        <v>44795</v>
      </c>
      <c r="E2003" s="63">
        <v>0</v>
      </c>
    </row>
    <row r="2004" spans="1:5">
      <c r="A2004" s="61" t="s">
        <v>155</v>
      </c>
      <c r="B2004" s="61" t="s">
        <v>382</v>
      </c>
      <c r="C2004" s="62">
        <v>44796</v>
      </c>
      <c r="D2004" s="62">
        <v>44796</v>
      </c>
      <c r="E2004" s="63">
        <v>0</v>
      </c>
    </row>
    <row r="2005" spans="1:5">
      <c r="A2005" s="61" t="s">
        <v>155</v>
      </c>
      <c r="B2005" s="61" t="s">
        <v>382</v>
      </c>
      <c r="C2005" s="62">
        <v>44797</v>
      </c>
      <c r="D2005" s="62">
        <v>44797</v>
      </c>
      <c r="E2005" s="63">
        <v>0</v>
      </c>
    </row>
    <row r="2006" spans="1:5">
      <c r="A2006" s="61" t="s">
        <v>155</v>
      </c>
      <c r="B2006" s="61" t="s">
        <v>382</v>
      </c>
      <c r="C2006" s="62">
        <v>44798</v>
      </c>
      <c r="D2006" s="62">
        <v>44798</v>
      </c>
      <c r="E2006" s="63">
        <v>0</v>
      </c>
    </row>
    <row r="2007" spans="1:5">
      <c r="A2007" s="61" t="s">
        <v>155</v>
      </c>
      <c r="B2007" s="61" t="s">
        <v>382</v>
      </c>
      <c r="C2007" s="62">
        <v>44799</v>
      </c>
      <c r="D2007" s="62">
        <v>44799</v>
      </c>
      <c r="E2007" s="63">
        <v>0</v>
      </c>
    </row>
    <row r="2008" spans="1:5">
      <c r="A2008" s="61" t="s">
        <v>155</v>
      </c>
      <c r="B2008" s="61" t="s">
        <v>382</v>
      </c>
      <c r="C2008" s="62">
        <v>44800</v>
      </c>
      <c r="D2008" s="62">
        <v>44800</v>
      </c>
      <c r="E2008" s="63">
        <v>0</v>
      </c>
    </row>
    <row r="2009" spans="1:5">
      <c r="A2009" s="61" t="s">
        <v>155</v>
      </c>
      <c r="B2009" s="61" t="s">
        <v>382</v>
      </c>
      <c r="C2009" s="62">
        <v>44801</v>
      </c>
      <c r="D2009" s="62">
        <v>44801</v>
      </c>
      <c r="E2009" s="63">
        <v>0</v>
      </c>
    </row>
    <row r="2010" spans="1:5">
      <c r="A2010" s="61" t="s">
        <v>155</v>
      </c>
      <c r="B2010" s="61" t="s">
        <v>382</v>
      </c>
      <c r="C2010" s="62">
        <v>44802</v>
      </c>
      <c r="D2010" s="62">
        <v>44802</v>
      </c>
      <c r="E2010" s="63">
        <v>0</v>
      </c>
    </row>
    <row r="2011" spans="1:5">
      <c r="A2011" s="61" t="s">
        <v>155</v>
      </c>
      <c r="B2011" s="61" t="s">
        <v>382</v>
      </c>
      <c r="C2011" s="62">
        <v>44803</v>
      </c>
      <c r="D2011" s="62">
        <v>44803</v>
      </c>
      <c r="E2011" s="63">
        <v>0</v>
      </c>
    </row>
    <row r="2012" spans="1:5">
      <c r="A2012" s="61" t="s">
        <v>156</v>
      </c>
      <c r="B2012" s="61" t="s">
        <v>383</v>
      </c>
      <c r="C2012" s="62">
        <v>44774</v>
      </c>
      <c r="D2012" s="62">
        <v>44774</v>
      </c>
      <c r="E2012" s="63">
        <v>0</v>
      </c>
    </row>
    <row r="2013" spans="1:5">
      <c r="A2013" s="61" t="s">
        <v>156</v>
      </c>
      <c r="B2013" s="61" t="s">
        <v>383</v>
      </c>
      <c r="C2013" s="62">
        <v>44775</v>
      </c>
      <c r="D2013" s="62">
        <v>44775</v>
      </c>
      <c r="E2013" s="63">
        <v>0</v>
      </c>
    </row>
    <row r="2014" spans="1:5">
      <c r="A2014" s="61" t="s">
        <v>156</v>
      </c>
      <c r="B2014" s="61" t="s">
        <v>383</v>
      </c>
      <c r="C2014" s="62">
        <v>44776</v>
      </c>
      <c r="D2014" s="62">
        <v>44776</v>
      </c>
      <c r="E2014" s="63">
        <v>0</v>
      </c>
    </row>
    <row r="2015" spans="1:5">
      <c r="A2015" s="61" t="s">
        <v>156</v>
      </c>
      <c r="B2015" s="61" t="s">
        <v>383</v>
      </c>
      <c r="C2015" s="62">
        <v>44777</v>
      </c>
      <c r="D2015" s="62">
        <v>44777</v>
      </c>
      <c r="E2015" s="63">
        <v>0</v>
      </c>
    </row>
    <row r="2016" spans="1:5">
      <c r="A2016" s="61" t="s">
        <v>156</v>
      </c>
      <c r="B2016" s="61" t="s">
        <v>383</v>
      </c>
      <c r="C2016" s="62">
        <v>44778</v>
      </c>
      <c r="D2016" s="62">
        <v>44778</v>
      </c>
      <c r="E2016" s="63">
        <v>0</v>
      </c>
    </row>
    <row r="2017" spans="1:5">
      <c r="A2017" s="61" t="s">
        <v>156</v>
      </c>
      <c r="B2017" s="61" t="s">
        <v>383</v>
      </c>
      <c r="C2017" s="62">
        <v>44779</v>
      </c>
      <c r="D2017" s="62">
        <v>44779</v>
      </c>
      <c r="E2017" s="63">
        <v>0</v>
      </c>
    </row>
    <row r="2018" spans="1:5">
      <c r="A2018" s="61" t="s">
        <v>156</v>
      </c>
      <c r="B2018" s="61" t="s">
        <v>383</v>
      </c>
      <c r="C2018" s="62">
        <v>44780</v>
      </c>
      <c r="D2018" s="62">
        <v>44780</v>
      </c>
      <c r="E2018" s="63">
        <v>0</v>
      </c>
    </row>
    <row r="2019" spans="1:5">
      <c r="A2019" s="61" t="s">
        <v>156</v>
      </c>
      <c r="B2019" s="61" t="s">
        <v>383</v>
      </c>
      <c r="C2019" s="62">
        <v>44781</v>
      </c>
      <c r="D2019" s="62">
        <v>44781</v>
      </c>
      <c r="E2019" s="63">
        <v>0</v>
      </c>
    </row>
    <row r="2020" spans="1:5">
      <c r="A2020" s="61" t="s">
        <v>156</v>
      </c>
      <c r="B2020" s="61" t="s">
        <v>383</v>
      </c>
      <c r="C2020" s="62">
        <v>44782</v>
      </c>
      <c r="D2020" s="62">
        <v>44782</v>
      </c>
      <c r="E2020" s="63">
        <v>0</v>
      </c>
    </row>
    <row r="2021" spans="1:5">
      <c r="A2021" s="61" t="s">
        <v>156</v>
      </c>
      <c r="B2021" s="61" t="s">
        <v>383</v>
      </c>
      <c r="C2021" s="62">
        <v>44783</v>
      </c>
      <c r="D2021" s="62">
        <v>44783</v>
      </c>
      <c r="E2021" s="63">
        <v>0</v>
      </c>
    </row>
    <row r="2022" spans="1:5">
      <c r="A2022" s="61" t="s">
        <v>156</v>
      </c>
      <c r="B2022" s="61" t="s">
        <v>383</v>
      </c>
      <c r="C2022" s="62">
        <v>44784</v>
      </c>
      <c r="D2022" s="62">
        <v>44784</v>
      </c>
      <c r="E2022" s="63">
        <v>0</v>
      </c>
    </row>
    <row r="2023" spans="1:5">
      <c r="A2023" s="61" t="s">
        <v>156</v>
      </c>
      <c r="B2023" s="61" t="s">
        <v>383</v>
      </c>
      <c r="C2023" s="62">
        <v>44785</v>
      </c>
      <c r="D2023" s="62">
        <v>44785</v>
      </c>
      <c r="E2023" s="63">
        <v>0</v>
      </c>
    </row>
    <row r="2024" spans="1:5">
      <c r="A2024" s="61" t="s">
        <v>156</v>
      </c>
      <c r="B2024" s="61" t="s">
        <v>383</v>
      </c>
      <c r="C2024" s="62">
        <v>44786</v>
      </c>
      <c r="D2024" s="62">
        <v>44786</v>
      </c>
      <c r="E2024" s="63">
        <v>0</v>
      </c>
    </row>
    <row r="2025" spans="1:5">
      <c r="A2025" s="61" t="s">
        <v>156</v>
      </c>
      <c r="B2025" s="61" t="s">
        <v>383</v>
      </c>
      <c r="C2025" s="62">
        <v>44787</v>
      </c>
      <c r="D2025" s="62">
        <v>44787</v>
      </c>
      <c r="E2025" s="63">
        <v>0</v>
      </c>
    </row>
    <row r="2026" spans="1:5">
      <c r="A2026" s="61" t="s">
        <v>156</v>
      </c>
      <c r="B2026" s="61" t="s">
        <v>383</v>
      </c>
      <c r="C2026" s="62">
        <v>44788</v>
      </c>
      <c r="D2026" s="62">
        <v>44788</v>
      </c>
      <c r="E2026" s="63">
        <v>0</v>
      </c>
    </row>
    <row r="2027" spans="1:5">
      <c r="A2027" s="61" t="s">
        <v>156</v>
      </c>
      <c r="B2027" s="61" t="s">
        <v>383</v>
      </c>
      <c r="C2027" s="62">
        <v>44789</v>
      </c>
      <c r="D2027" s="62">
        <v>44789</v>
      </c>
      <c r="E2027" s="63">
        <v>0</v>
      </c>
    </row>
    <row r="2028" spans="1:5">
      <c r="A2028" s="61" t="s">
        <v>156</v>
      </c>
      <c r="B2028" s="61" t="s">
        <v>383</v>
      </c>
      <c r="C2028" s="62">
        <v>44790</v>
      </c>
      <c r="D2028" s="62">
        <v>44790</v>
      </c>
      <c r="E2028" s="63">
        <v>0</v>
      </c>
    </row>
    <row r="2029" spans="1:5">
      <c r="A2029" s="61" t="s">
        <v>156</v>
      </c>
      <c r="B2029" s="61" t="s">
        <v>383</v>
      </c>
      <c r="C2029" s="62">
        <v>44791</v>
      </c>
      <c r="D2029" s="62">
        <v>44791</v>
      </c>
      <c r="E2029" s="63">
        <v>0</v>
      </c>
    </row>
    <row r="2030" spans="1:5">
      <c r="A2030" s="61" t="s">
        <v>156</v>
      </c>
      <c r="B2030" s="61" t="s">
        <v>383</v>
      </c>
      <c r="C2030" s="62">
        <v>44792</v>
      </c>
      <c r="D2030" s="62">
        <v>44792</v>
      </c>
      <c r="E2030" s="63">
        <v>0</v>
      </c>
    </row>
    <row r="2031" spans="1:5">
      <c r="A2031" s="61" t="s">
        <v>156</v>
      </c>
      <c r="B2031" s="61" t="s">
        <v>383</v>
      </c>
      <c r="C2031" s="62">
        <v>44793</v>
      </c>
      <c r="D2031" s="62">
        <v>44793</v>
      </c>
      <c r="E2031" s="63">
        <v>0</v>
      </c>
    </row>
    <row r="2032" spans="1:5">
      <c r="A2032" s="61" t="s">
        <v>156</v>
      </c>
      <c r="B2032" s="61" t="s">
        <v>383</v>
      </c>
      <c r="C2032" s="62">
        <v>44794</v>
      </c>
      <c r="D2032" s="62">
        <v>44794</v>
      </c>
      <c r="E2032" s="63">
        <v>0</v>
      </c>
    </row>
    <row r="2033" spans="1:5">
      <c r="A2033" s="61" t="s">
        <v>156</v>
      </c>
      <c r="B2033" s="61" t="s">
        <v>383</v>
      </c>
      <c r="C2033" s="62">
        <v>44795</v>
      </c>
      <c r="D2033" s="62">
        <v>44795</v>
      </c>
      <c r="E2033" s="63">
        <v>0</v>
      </c>
    </row>
    <row r="2034" spans="1:5">
      <c r="A2034" s="61" t="s">
        <v>156</v>
      </c>
      <c r="B2034" s="61" t="s">
        <v>383</v>
      </c>
      <c r="C2034" s="62">
        <v>44796</v>
      </c>
      <c r="D2034" s="62">
        <v>44796</v>
      </c>
      <c r="E2034" s="63">
        <v>0</v>
      </c>
    </row>
    <row r="2035" spans="1:5">
      <c r="A2035" s="61" t="s">
        <v>156</v>
      </c>
      <c r="B2035" s="61" t="s">
        <v>383</v>
      </c>
      <c r="C2035" s="62">
        <v>44797</v>
      </c>
      <c r="D2035" s="62">
        <v>44797</v>
      </c>
      <c r="E2035" s="63">
        <v>0</v>
      </c>
    </row>
    <row r="2036" spans="1:5">
      <c r="A2036" s="61" t="s">
        <v>156</v>
      </c>
      <c r="B2036" s="61" t="s">
        <v>383</v>
      </c>
      <c r="C2036" s="62">
        <v>44798</v>
      </c>
      <c r="D2036" s="62">
        <v>44798</v>
      </c>
      <c r="E2036" s="63">
        <v>0</v>
      </c>
    </row>
    <row r="2037" spans="1:5">
      <c r="A2037" s="61" t="s">
        <v>156</v>
      </c>
      <c r="B2037" s="61" t="s">
        <v>383</v>
      </c>
      <c r="C2037" s="62">
        <v>44799</v>
      </c>
      <c r="D2037" s="62">
        <v>44799</v>
      </c>
      <c r="E2037" s="63">
        <v>0</v>
      </c>
    </row>
    <row r="2038" spans="1:5">
      <c r="A2038" s="61" t="s">
        <v>156</v>
      </c>
      <c r="B2038" s="61" t="s">
        <v>383</v>
      </c>
      <c r="C2038" s="62">
        <v>44800</v>
      </c>
      <c r="D2038" s="62">
        <v>44800</v>
      </c>
      <c r="E2038" s="63">
        <v>0</v>
      </c>
    </row>
    <row r="2039" spans="1:5">
      <c r="A2039" s="61" t="s">
        <v>156</v>
      </c>
      <c r="B2039" s="61" t="s">
        <v>383</v>
      </c>
      <c r="C2039" s="62">
        <v>44801</v>
      </c>
      <c r="D2039" s="62">
        <v>44801</v>
      </c>
      <c r="E2039" s="63">
        <v>0</v>
      </c>
    </row>
    <row r="2040" spans="1:5">
      <c r="A2040" s="61" t="s">
        <v>156</v>
      </c>
      <c r="B2040" s="61" t="s">
        <v>383</v>
      </c>
      <c r="C2040" s="62">
        <v>44802</v>
      </c>
      <c r="D2040" s="62">
        <v>44802</v>
      </c>
      <c r="E2040" s="63">
        <v>0</v>
      </c>
    </row>
    <row r="2041" spans="1:5">
      <c r="A2041" s="61" t="s">
        <v>156</v>
      </c>
      <c r="B2041" s="61" t="s">
        <v>383</v>
      </c>
      <c r="C2041" s="62">
        <v>44803</v>
      </c>
      <c r="D2041" s="62">
        <v>44803</v>
      </c>
      <c r="E2041" s="63">
        <v>0</v>
      </c>
    </row>
    <row r="2042" spans="1:5">
      <c r="A2042" s="61" t="s">
        <v>41</v>
      </c>
      <c r="B2042" s="61" t="s">
        <v>380</v>
      </c>
      <c r="C2042" s="62">
        <v>44774</v>
      </c>
      <c r="D2042" s="62">
        <v>44774</v>
      </c>
      <c r="E2042" s="63">
        <v>0</v>
      </c>
    </row>
    <row r="2043" spans="1:5">
      <c r="A2043" s="61" t="s">
        <v>41</v>
      </c>
      <c r="B2043" s="61" t="s">
        <v>380</v>
      </c>
      <c r="C2043" s="62">
        <v>44775</v>
      </c>
      <c r="D2043" s="62">
        <v>44775</v>
      </c>
      <c r="E2043" s="63">
        <v>0</v>
      </c>
    </row>
    <row r="2044" spans="1:5">
      <c r="A2044" s="61" t="s">
        <v>41</v>
      </c>
      <c r="B2044" s="61" t="s">
        <v>380</v>
      </c>
      <c r="C2044" s="62">
        <v>44776</v>
      </c>
      <c r="D2044" s="62">
        <v>44776</v>
      </c>
      <c r="E2044" s="63">
        <v>0</v>
      </c>
    </row>
    <row r="2045" spans="1:5">
      <c r="A2045" s="61" t="s">
        <v>41</v>
      </c>
      <c r="B2045" s="61" t="s">
        <v>380</v>
      </c>
      <c r="C2045" s="62">
        <v>44777</v>
      </c>
      <c r="D2045" s="62">
        <v>44777</v>
      </c>
      <c r="E2045" s="63">
        <v>0</v>
      </c>
    </row>
    <row r="2046" spans="1:5">
      <c r="A2046" s="61" t="s">
        <v>41</v>
      </c>
      <c r="B2046" s="61" t="s">
        <v>380</v>
      </c>
      <c r="C2046" s="62">
        <v>44778</v>
      </c>
      <c r="D2046" s="62">
        <v>44778</v>
      </c>
      <c r="E2046" s="63">
        <v>0</v>
      </c>
    </row>
    <row r="2047" spans="1:5">
      <c r="A2047" s="61" t="s">
        <v>41</v>
      </c>
      <c r="B2047" s="61" t="s">
        <v>380</v>
      </c>
      <c r="C2047" s="62">
        <v>44779</v>
      </c>
      <c r="D2047" s="62">
        <v>44779</v>
      </c>
      <c r="E2047" s="63">
        <v>0</v>
      </c>
    </row>
    <row r="2048" spans="1:5">
      <c r="A2048" s="61" t="s">
        <v>41</v>
      </c>
      <c r="B2048" s="61" t="s">
        <v>380</v>
      </c>
      <c r="C2048" s="62">
        <v>44780</v>
      </c>
      <c r="D2048" s="62">
        <v>44780</v>
      </c>
      <c r="E2048" s="63">
        <v>0</v>
      </c>
    </row>
    <row r="2049" spans="1:5">
      <c r="A2049" s="61" t="s">
        <v>41</v>
      </c>
      <c r="B2049" s="61" t="s">
        <v>380</v>
      </c>
      <c r="C2049" s="62">
        <v>44781</v>
      </c>
      <c r="D2049" s="62">
        <v>44781</v>
      </c>
      <c r="E2049" s="63">
        <v>0</v>
      </c>
    </row>
    <row r="2050" spans="1:5">
      <c r="A2050" s="61" t="s">
        <v>41</v>
      </c>
      <c r="B2050" s="61" t="s">
        <v>380</v>
      </c>
      <c r="C2050" s="62">
        <v>44782</v>
      </c>
      <c r="D2050" s="62">
        <v>44782</v>
      </c>
      <c r="E2050" s="63">
        <v>0</v>
      </c>
    </row>
    <row r="2051" spans="1:5">
      <c r="A2051" s="61" t="s">
        <v>41</v>
      </c>
      <c r="B2051" s="61" t="s">
        <v>380</v>
      </c>
      <c r="C2051" s="62">
        <v>44783</v>
      </c>
      <c r="D2051" s="62">
        <v>44783</v>
      </c>
      <c r="E2051" s="63">
        <v>0</v>
      </c>
    </row>
    <row r="2052" spans="1:5">
      <c r="A2052" s="61" t="s">
        <v>41</v>
      </c>
      <c r="B2052" s="61" t="s">
        <v>380</v>
      </c>
      <c r="C2052" s="62">
        <v>44784</v>
      </c>
      <c r="D2052" s="62">
        <v>44784</v>
      </c>
      <c r="E2052" s="63">
        <v>0</v>
      </c>
    </row>
    <row r="2053" spans="1:5">
      <c r="A2053" s="61" t="s">
        <v>41</v>
      </c>
      <c r="B2053" s="61" t="s">
        <v>380</v>
      </c>
      <c r="C2053" s="62">
        <v>44785</v>
      </c>
      <c r="D2053" s="62">
        <v>44785</v>
      </c>
      <c r="E2053" s="63">
        <v>0</v>
      </c>
    </row>
    <row r="2054" spans="1:5">
      <c r="A2054" s="61" t="s">
        <v>41</v>
      </c>
      <c r="B2054" s="61" t="s">
        <v>380</v>
      </c>
      <c r="C2054" s="62">
        <v>44786</v>
      </c>
      <c r="D2054" s="62">
        <v>44786</v>
      </c>
      <c r="E2054" s="63">
        <v>0</v>
      </c>
    </row>
    <row r="2055" spans="1:5">
      <c r="A2055" s="61" t="s">
        <v>41</v>
      </c>
      <c r="B2055" s="61" t="s">
        <v>380</v>
      </c>
      <c r="C2055" s="62">
        <v>44787</v>
      </c>
      <c r="D2055" s="62">
        <v>44787</v>
      </c>
      <c r="E2055" s="63">
        <v>0</v>
      </c>
    </row>
    <row r="2056" spans="1:5">
      <c r="A2056" s="61" t="s">
        <v>41</v>
      </c>
      <c r="B2056" s="61" t="s">
        <v>380</v>
      </c>
      <c r="C2056" s="62">
        <v>44788</v>
      </c>
      <c r="D2056" s="62">
        <v>44788</v>
      </c>
      <c r="E2056" s="63">
        <v>0</v>
      </c>
    </row>
    <row r="2057" spans="1:5">
      <c r="A2057" s="61" t="s">
        <v>41</v>
      </c>
      <c r="B2057" s="61" t="s">
        <v>380</v>
      </c>
      <c r="C2057" s="62">
        <v>44789</v>
      </c>
      <c r="D2057" s="62">
        <v>44789</v>
      </c>
      <c r="E2057" s="63">
        <v>0</v>
      </c>
    </row>
    <row r="2058" spans="1:5">
      <c r="A2058" s="61" t="s">
        <v>41</v>
      </c>
      <c r="B2058" s="61" t="s">
        <v>380</v>
      </c>
      <c r="C2058" s="62">
        <v>44790</v>
      </c>
      <c r="D2058" s="62">
        <v>44790</v>
      </c>
      <c r="E2058" s="63">
        <v>0</v>
      </c>
    </row>
    <row r="2059" spans="1:5">
      <c r="A2059" s="61" t="s">
        <v>41</v>
      </c>
      <c r="B2059" s="61" t="s">
        <v>380</v>
      </c>
      <c r="C2059" s="62">
        <v>44791</v>
      </c>
      <c r="D2059" s="62">
        <v>44791</v>
      </c>
      <c r="E2059" s="63">
        <v>0</v>
      </c>
    </row>
    <row r="2060" spans="1:5">
      <c r="A2060" s="61" t="s">
        <v>41</v>
      </c>
      <c r="B2060" s="61" t="s">
        <v>380</v>
      </c>
      <c r="C2060" s="62">
        <v>44792</v>
      </c>
      <c r="D2060" s="62">
        <v>44792</v>
      </c>
      <c r="E2060" s="63">
        <v>0</v>
      </c>
    </row>
    <row r="2061" spans="1:5">
      <c r="A2061" s="61" t="s">
        <v>41</v>
      </c>
      <c r="B2061" s="61" t="s">
        <v>380</v>
      </c>
      <c r="C2061" s="62">
        <v>44793</v>
      </c>
      <c r="D2061" s="62">
        <v>44793</v>
      </c>
      <c r="E2061" s="63">
        <v>0</v>
      </c>
    </row>
    <row r="2062" spans="1:5">
      <c r="A2062" s="61" t="s">
        <v>41</v>
      </c>
      <c r="B2062" s="61" t="s">
        <v>380</v>
      </c>
      <c r="C2062" s="62">
        <v>44794</v>
      </c>
      <c r="D2062" s="62">
        <v>44794</v>
      </c>
      <c r="E2062" s="63">
        <v>0</v>
      </c>
    </row>
    <row r="2063" spans="1:5">
      <c r="A2063" s="61" t="s">
        <v>41</v>
      </c>
      <c r="B2063" s="61" t="s">
        <v>380</v>
      </c>
      <c r="C2063" s="62">
        <v>44795</v>
      </c>
      <c r="D2063" s="62">
        <v>44795</v>
      </c>
      <c r="E2063" s="63">
        <v>0</v>
      </c>
    </row>
    <row r="2064" spans="1:5">
      <c r="A2064" s="61" t="s">
        <v>41</v>
      </c>
      <c r="B2064" s="61" t="s">
        <v>380</v>
      </c>
      <c r="C2064" s="62">
        <v>44796</v>
      </c>
      <c r="D2064" s="62">
        <v>44796</v>
      </c>
      <c r="E2064" s="63">
        <v>0</v>
      </c>
    </row>
    <row r="2065" spans="1:5">
      <c r="A2065" s="61" t="s">
        <v>41</v>
      </c>
      <c r="B2065" s="61" t="s">
        <v>380</v>
      </c>
      <c r="C2065" s="62">
        <v>44797</v>
      </c>
      <c r="D2065" s="62">
        <v>44797</v>
      </c>
      <c r="E2065" s="63">
        <v>0</v>
      </c>
    </row>
    <row r="2066" spans="1:5">
      <c r="A2066" s="61" t="s">
        <v>41</v>
      </c>
      <c r="B2066" s="61" t="s">
        <v>380</v>
      </c>
      <c r="C2066" s="62">
        <v>44798</v>
      </c>
      <c r="D2066" s="62">
        <v>44798</v>
      </c>
      <c r="E2066" s="63">
        <v>0</v>
      </c>
    </row>
    <row r="2067" spans="1:5">
      <c r="A2067" s="61" t="s">
        <v>41</v>
      </c>
      <c r="B2067" s="61" t="s">
        <v>380</v>
      </c>
      <c r="C2067" s="62">
        <v>44799</v>
      </c>
      <c r="D2067" s="62">
        <v>44799</v>
      </c>
      <c r="E2067" s="63">
        <v>0</v>
      </c>
    </row>
    <row r="2068" spans="1:5">
      <c r="A2068" s="61" t="s">
        <v>41</v>
      </c>
      <c r="B2068" s="61" t="s">
        <v>380</v>
      </c>
      <c r="C2068" s="62">
        <v>44800</v>
      </c>
      <c r="D2068" s="62">
        <v>44800</v>
      </c>
      <c r="E2068" s="63">
        <v>0</v>
      </c>
    </row>
    <row r="2069" spans="1:5">
      <c r="A2069" s="61" t="s">
        <v>41</v>
      </c>
      <c r="B2069" s="61" t="s">
        <v>380</v>
      </c>
      <c r="C2069" s="62">
        <v>44801</v>
      </c>
      <c r="D2069" s="62">
        <v>44801</v>
      </c>
      <c r="E2069" s="63">
        <v>0</v>
      </c>
    </row>
    <row r="2070" spans="1:5">
      <c r="A2070" s="61" t="s">
        <v>41</v>
      </c>
      <c r="B2070" s="61" t="s">
        <v>380</v>
      </c>
      <c r="C2070" s="62">
        <v>44802</v>
      </c>
      <c r="D2070" s="62">
        <v>44802</v>
      </c>
      <c r="E2070" s="63">
        <v>757.8</v>
      </c>
    </row>
    <row r="2071" spans="1:5">
      <c r="A2071" s="61" t="s">
        <v>41</v>
      </c>
      <c r="B2071" s="61" t="s">
        <v>380</v>
      </c>
      <c r="C2071" s="62">
        <v>44803</v>
      </c>
      <c r="D2071" s="62">
        <v>44803</v>
      </c>
      <c r="E2071" s="63">
        <v>0</v>
      </c>
    </row>
    <row r="2072" spans="1:5">
      <c r="A2072" s="61" t="s">
        <v>157</v>
      </c>
      <c r="B2072" s="61" t="s">
        <v>381</v>
      </c>
      <c r="C2072" s="62">
        <v>44774</v>
      </c>
      <c r="D2072" s="62">
        <v>44774</v>
      </c>
      <c r="E2072" s="63">
        <v>0</v>
      </c>
    </row>
    <row r="2073" spans="1:5">
      <c r="A2073" s="61" t="s">
        <v>157</v>
      </c>
      <c r="B2073" s="61" t="s">
        <v>381</v>
      </c>
      <c r="C2073" s="62">
        <v>44775</v>
      </c>
      <c r="D2073" s="62">
        <v>44775</v>
      </c>
      <c r="E2073" s="63">
        <v>0</v>
      </c>
    </row>
    <row r="2074" spans="1:5">
      <c r="A2074" s="61" t="s">
        <v>157</v>
      </c>
      <c r="B2074" s="61" t="s">
        <v>381</v>
      </c>
      <c r="C2074" s="62">
        <v>44776</v>
      </c>
      <c r="D2074" s="62">
        <v>44776</v>
      </c>
      <c r="E2074" s="63">
        <v>0</v>
      </c>
    </row>
    <row r="2075" spans="1:5">
      <c r="A2075" s="61" t="s">
        <v>157</v>
      </c>
      <c r="B2075" s="61" t="s">
        <v>381</v>
      </c>
      <c r="C2075" s="62">
        <v>44777</v>
      </c>
      <c r="D2075" s="62">
        <v>44777</v>
      </c>
      <c r="E2075" s="63">
        <v>0</v>
      </c>
    </row>
    <row r="2076" spans="1:5">
      <c r="A2076" s="61" t="s">
        <v>157</v>
      </c>
      <c r="B2076" s="61" t="s">
        <v>381</v>
      </c>
      <c r="C2076" s="62">
        <v>44778</v>
      </c>
      <c r="D2076" s="62">
        <v>44778</v>
      </c>
      <c r="E2076" s="63">
        <v>0</v>
      </c>
    </row>
    <row r="2077" spans="1:5">
      <c r="A2077" s="61" t="s">
        <v>157</v>
      </c>
      <c r="B2077" s="61" t="s">
        <v>381</v>
      </c>
      <c r="C2077" s="62">
        <v>44779</v>
      </c>
      <c r="D2077" s="62">
        <v>44779</v>
      </c>
      <c r="E2077" s="63">
        <v>0</v>
      </c>
    </row>
    <row r="2078" spans="1:5">
      <c r="A2078" s="61" t="s">
        <v>157</v>
      </c>
      <c r="B2078" s="61" t="s">
        <v>381</v>
      </c>
      <c r="C2078" s="62">
        <v>44780</v>
      </c>
      <c r="D2078" s="62">
        <v>44780</v>
      </c>
      <c r="E2078" s="63">
        <v>0</v>
      </c>
    </row>
    <row r="2079" spans="1:5">
      <c r="A2079" s="61" t="s">
        <v>157</v>
      </c>
      <c r="B2079" s="61" t="s">
        <v>381</v>
      </c>
      <c r="C2079" s="62">
        <v>44781</v>
      </c>
      <c r="D2079" s="62">
        <v>44781</v>
      </c>
      <c r="E2079" s="63">
        <v>0</v>
      </c>
    </row>
    <row r="2080" spans="1:5">
      <c r="A2080" s="61" t="s">
        <v>157</v>
      </c>
      <c r="B2080" s="61" t="s">
        <v>381</v>
      </c>
      <c r="C2080" s="62">
        <v>44782</v>
      </c>
      <c r="D2080" s="62">
        <v>44782</v>
      </c>
      <c r="E2080" s="63">
        <v>0</v>
      </c>
    </row>
    <row r="2081" spans="1:5">
      <c r="A2081" s="61" t="s">
        <v>157</v>
      </c>
      <c r="B2081" s="61" t="s">
        <v>381</v>
      </c>
      <c r="C2081" s="62">
        <v>44783</v>
      </c>
      <c r="D2081" s="62">
        <v>44783</v>
      </c>
      <c r="E2081" s="63">
        <v>0</v>
      </c>
    </row>
    <row r="2082" spans="1:5">
      <c r="A2082" s="61" t="s">
        <v>157</v>
      </c>
      <c r="B2082" s="61" t="s">
        <v>381</v>
      </c>
      <c r="C2082" s="62">
        <v>44784</v>
      </c>
      <c r="D2082" s="62">
        <v>44784</v>
      </c>
      <c r="E2082" s="63">
        <v>0</v>
      </c>
    </row>
    <row r="2083" spans="1:5">
      <c r="A2083" s="61" t="s">
        <v>157</v>
      </c>
      <c r="B2083" s="61" t="s">
        <v>381</v>
      </c>
      <c r="C2083" s="62">
        <v>44785</v>
      </c>
      <c r="D2083" s="62">
        <v>44785</v>
      </c>
      <c r="E2083" s="63">
        <v>0</v>
      </c>
    </row>
    <row r="2084" spans="1:5">
      <c r="A2084" s="61" t="s">
        <v>157</v>
      </c>
      <c r="B2084" s="61" t="s">
        <v>381</v>
      </c>
      <c r="C2084" s="62">
        <v>44786</v>
      </c>
      <c r="D2084" s="62">
        <v>44786</v>
      </c>
      <c r="E2084" s="63">
        <v>0</v>
      </c>
    </row>
    <row r="2085" spans="1:5">
      <c r="A2085" s="61" t="s">
        <v>157</v>
      </c>
      <c r="B2085" s="61" t="s">
        <v>381</v>
      </c>
      <c r="C2085" s="62">
        <v>44787</v>
      </c>
      <c r="D2085" s="62">
        <v>44787</v>
      </c>
      <c r="E2085" s="63">
        <v>0</v>
      </c>
    </row>
    <row r="2086" spans="1:5">
      <c r="A2086" s="61" t="s">
        <v>157</v>
      </c>
      <c r="B2086" s="61" t="s">
        <v>381</v>
      </c>
      <c r="C2086" s="62">
        <v>44788</v>
      </c>
      <c r="D2086" s="62">
        <v>44788</v>
      </c>
      <c r="E2086" s="63">
        <v>0</v>
      </c>
    </row>
    <row r="2087" spans="1:5">
      <c r="A2087" s="61" t="s">
        <v>157</v>
      </c>
      <c r="B2087" s="61" t="s">
        <v>381</v>
      </c>
      <c r="C2087" s="62">
        <v>44789</v>
      </c>
      <c r="D2087" s="62">
        <v>44789</v>
      </c>
      <c r="E2087" s="63">
        <v>0</v>
      </c>
    </row>
    <row r="2088" spans="1:5">
      <c r="A2088" s="61" t="s">
        <v>157</v>
      </c>
      <c r="B2088" s="61" t="s">
        <v>381</v>
      </c>
      <c r="C2088" s="62">
        <v>44790</v>
      </c>
      <c r="D2088" s="62">
        <v>44790</v>
      </c>
      <c r="E2088" s="63">
        <v>0</v>
      </c>
    </row>
    <row r="2089" spans="1:5">
      <c r="A2089" s="61" t="s">
        <v>157</v>
      </c>
      <c r="B2089" s="61" t="s">
        <v>381</v>
      </c>
      <c r="C2089" s="62">
        <v>44791</v>
      </c>
      <c r="D2089" s="62">
        <v>44791</v>
      </c>
      <c r="E2089" s="63">
        <v>0</v>
      </c>
    </row>
    <row r="2090" spans="1:5">
      <c r="A2090" s="61" t="s">
        <v>157</v>
      </c>
      <c r="B2090" s="61" t="s">
        <v>381</v>
      </c>
      <c r="C2090" s="62">
        <v>44792</v>
      </c>
      <c r="D2090" s="62">
        <v>44792</v>
      </c>
      <c r="E2090" s="63">
        <v>0</v>
      </c>
    </row>
    <row r="2091" spans="1:5">
      <c r="A2091" s="61" t="s">
        <v>157</v>
      </c>
      <c r="B2091" s="61" t="s">
        <v>381</v>
      </c>
      <c r="C2091" s="62">
        <v>44793</v>
      </c>
      <c r="D2091" s="62">
        <v>44793</v>
      </c>
      <c r="E2091" s="63">
        <v>0</v>
      </c>
    </row>
    <row r="2092" spans="1:5">
      <c r="A2092" s="61" t="s">
        <v>157</v>
      </c>
      <c r="B2092" s="61" t="s">
        <v>381</v>
      </c>
      <c r="C2092" s="62">
        <v>44794</v>
      </c>
      <c r="D2092" s="62">
        <v>44794</v>
      </c>
      <c r="E2092" s="63">
        <v>0</v>
      </c>
    </row>
    <row r="2093" spans="1:5">
      <c r="A2093" s="61" t="s">
        <v>157</v>
      </c>
      <c r="B2093" s="61" t="s">
        <v>381</v>
      </c>
      <c r="C2093" s="62">
        <v>44795</v>
      </c>
      <c r="D2093" s="62">
        <v>44795</v>
      </c>
      <c r="E2093" s="63">
        <v>152.45999999999998</v>
      </c>
    </row>
    <row r="2094" spans="1:5">
      <c r="A2094" s="61" t="s">
        <v>157</v>
      </c>
      <c r="B2094" s="61" t="s">
        <v>381</v>
      </c>
      <c r="C2094" s="62">
        <v>44796</v>
      </c>
      <c r="D2094" s="62">
        <v>44796</v>
      </c>
      <c r="E2094" s="63">
        <v>0</v>
      </c>
    </row>
    <row r="2095" spans="1:5">
      <c r="A2095" s="61" t="s">
        <v>157</v>
      </c>
      <c r="B2095" s="61" t="s">
        <v>381</v>
      </c>
      <c r="C2095" s="62">
        <v>44797</v>
      </c>
      <c r="D2095" s="62">
        <v>44797</v>
      </c>
      <c r="E2095" s="63">
        <v>0</v>
      </c>
    </row>
    <row r="2096" spans="1:5">
      <c r="A2096" s="61" t="s">
        <v>157</v>
      </c>
      <c r="B2096" s="61" t="s">
        <v>381</v>
      </c>
      <c r="C2096" s="62">
        <v>44798</v>
      </c>
      <c r="D2096" s="62">
        <v>44798</v>
      </c>
      <c r="E2096" s="63">
        <v>0</v>
      </c>
    </row>
    <row r="2097" spans="1:5">
      <c r="A2097" s="61" t="s">
        <v>157</v>
      </c>
      <c r="B2097" s="61" t="s">
        <v>381</v>
      </c>
      <c r="C2097" s="62">
        <v>44799</v>
      </c>
      <c r="D2097" s="62">
        <v>44799</v>
      </c>
      <c r="E2097" s="63">
        <v>0</v>
      </c>
    </row>
    <row r="2098" spans="1:5">
      <c r="A2098" s="61" t="s">
        <v>157</v>
      </c>
      <c r="B2098" s="61" t="s">
        <v>381</v>
      </c>
      <c r="C2098" s="62">
        <v>44800</v>
      </c>
      <c r="D2098" s="62">
        <v>44800</v>
      </c>
      <c r="E2098" s="63">
        <v>0</v>
      </c>
    </row>
    <row r="2099" spans="1:5">
      <c r="A2099" s="61" t="s">
        <v>157</v>
      </c>
      <c r="B2099" s="61" t="s">
        <v>381</v>
      </c>
      <c r="C2099" s="62">
        <v>44801</v>
      </c>
      <c r="D2099" s="62">
        <v>44801</v>
      </c>
      <c r="E2099" s="63">
        <v>0</v>
      </c>
    </row>
    <row r="2100" spans="1:5">
      <c r="A2100" s="61" t="s">
        <v>157</v>
      </c>
      <c r="B2100" s="61" t="s">
        <v>381</v>
      </c>
      <c r="C2100" s="62">
        <v>44802</v>
      </c>
      <c r="D2100" s="62">
        <v>44802</v>
      </c>
      <c r="E2100" s="63">
        <v>0</v>
      </c>
    </row>
    <row r="2101" spans="1:5">
      <c r="A2101" s="61" t="s">
        <v>157</v>
      </c>
      <c r="B2101" s="61" t="s">
        <v>381</v>
      </c>
      <c r="C2101" s="62">
        <v>44803</v>
      </c>
      <c r="D2101" s="62">
        <v>44803</v>
      </c>
      <c r="E2101" s="63">
        <v>0</v>
      </c>
    </row>
    <row r="2102" spans="1:5">
      <c r="A2102" s="61" t="s">
        <v>158</v>
      </c>
      <c r="B2102" s="61" t="s">
        <v>382</v>
      </c>
      <c r="C2102" s="62">
        <v>44774</v>
      </c>
      <c r="D2102" s="62">
        <v>44774</v>
      </c>
      <c r="E2102" s="63">
        <v>0</v>
      </c>
    </row>
    <row r="2103" spans="1:5">
      <c r="A2103" s="61" t="s">
        <v>158</v>
      </c>
      <c r="B2103" s="61" t="s">
        <v>382</v>
      </c>
      <c r="C2103" s="62">
        <v>44775</v>
      </c>
      <c r="D2103" s="62">
        <v>44775</v>
      </c>
      <c r="E2103" s="63">
        <v>0</v>
      </c>
    </row>
    <row r="2104" spans="1:5">
      <c r="A2104" s="61" t="s">
        <v>158</v>
      </c>
      <c r="B2104" s="61" t="s">
        <v>382</v>
      </c>
      <c r="C2104" s="62">
        <v>44776</v>
      </c>
      <c r="D2104" s="62">
        <v>44776</v>
      </c>
      <c r="E2104" s="63">
        <v>0</v>
      </c>
    </row>
    <row r="2105" spans="1:5">
      <c r="A2105" s="61" t="s">
        <v>158</v>
      </c>
      <c r="B2105" s="61" t="s">
        <v>382</v>
      </c>
      <c r="C2105" s="62">
        <v>44777</v>
      </c>
      <c r="D2105" s="62">
        <v>44777</v>
      </c>
      <c r="E2105" s="63">
        <v>0</v>
      </c>
    </row>
    <row r="2106" spans="1:5">
      <c r="A2106" s="61" t="s">
        <v>158</v>
      </c>
      <c r="B2106" s="61" t="s">
        <v>382</v>
      </c>
      <c r="C2106" s="62">
        <v>44778</v>
      </c>
      <c r="D2106" s="62">
        <v>44778</v>
      </c>
      <c r="E2106" s="63">
        <v>0</v>
      </c>
    </row>
    <row r="2107" spans="1:5">
      <c r="A2107" s="61" t="s">
        <v>158</v>
      </c>
      <c r="B2107" s="61" t="s">
        <v>382</v>
      </c>
      <c r="C2107" s="62">
        <v>44779</v>
      </c>
      <c r="D2107" s="62">
        <v>44779</v>
      </c>
      <c r="E2107" s="63">
        <v>0</v>
      </c>
    </row>
    <row r="2108" spans="1:5">
      <c r="A2108" s="61" t="s">
        <v>158</v>
      </c>
      <c r="B2108" s="61" t="s">
        <v>382</v>
      </c>
      <c r="C2108" s="62">
        <v>44780</v>
      </c>
      <c r="D2108" s="62">
        <v>44780</v>
      </c>
      <c r="E2108" s="63">
        <v>0</v>
      </c>
    </row>
    <row r="2109" spans="1:5">
      <c r="A2109" s="61" t="s">
        <v>158</v>
      </c>
      <c r="B2109" s="61" t="s">
        <v>382</v>
      </c>
      <c r="C2109" s="62">
        <v>44781</v>
      </c>
      <c r="D2109" s="62">
        <v>44781</v>
      </c>
      <c r="E2109" s="63">
        <v>0</v>
      </c>
    </row>
    <row r="2110" spans="1:5">
      <c r="A2110" s="61" t="s">
        <v>158</v>
      </c>
      <c r="B2110" s="61" t="s">
        <v>382</v>
      </c>
      <c r="C2110" s="62">
        <v>44782</v>
      </c>
      <c r="D2110" s="62">
        <v>44782</v>
      </c>
      <c r="E2110" s="63">
        <v>0</v>
      </c>
    </row>
    <row r="2111" spans="1:5">
      <c r="A2111" s="61" t="s">
        <v>158</v>
      </c>
      <c r="B2111" s="61" t="s">
        <v>382</v>
      </c>
      <c r="C2111" s="62">
        <v>44783</v>
      </c>
      <c r="D2111" s="62">
        <v>44783</v>
      </c>
      <c r="E2111" s="63">
        <v>0</v>
      </c>
    </row>
    <row r="2112" spans="1:5">
      <c r="A2112" s="61" t="s">
        <v>158</v>
      </c>
      <c r="B2112" s="61" t="s">
        <v>382</v>
      </c>
      <c r="C2112" s="62">
        <v>44784</v>
      </c>
      <c r="D2112" s="62">
        <v>44784</v>
      </c>
      <c r="E2112" s="63">
        <v>0</v>
      </c>
    </row>
    <row r="2113" spans="1:5">
      <c r="A2113" s="61" t="s">
        <v>158</v>
      </c>
      <c r="B2113" s="61" t="s">
        <v>382</v>
      </c>
      <c r="C2113" s="62">
        <v>44785</v>
      </c>
      <c r="D2113" s="62">
        <v>44785</v>
      </c>
      <c r="E2113" s="63">
        <v>0</v>
      </c>
    </row>
    <row r="2114" spans="1:5">
      <c r="A2114" s="61" t="s">
        <v>158</v>
      </c>
      <c r="B2114" s="61" t="s">
        <v>382</v>
      </c>
      <c r="C2114" s="62">
        <v>44786</v>
      </c>
      <c r="D2114" s="62">
        <v>44786</v>
      </c>
      <c r="E2114" s="63">
        <v>0</v>
      </c>
    </row>
    <row r="2115" spans="1:5">
      <c r="A2115" s="61" t="s">
        <v>158</v>
      </c>
      <c r="B2115" s="61" t="s">
        <v>382</v>
      </c>
      <c r="C2115" s="62">
        <v>44787</v>
      </c>
      <c r="D2115" s="62">
        <v>44787</v>
      </c>
      <c r="E2115" s="63">
        <v>0</v>
      </c>
    </row>
    <row r="2116" spans="1:5">
      <c r="A2116" s="61" t="s">
        <v>158</v>
      </c>
      <c r="B2116" s="61" t="s">
        <v>382</v>
      </c>
      <c r="C2116" s="62">
        <v>44788</v>
      </c>
      <c r="D2116" s="62">
        <v>44788</v>
      </c>
      <c r="E2116" s="63">
        <v>0</v>
      </c>
    </row>
    <row r="2117" spans="1:5">
      <c r="A2117" s="61" t="s">
        <v>158</v>
      </c>
      <c r="B2117" s="61" t="s">
        <v>382</v>
      </c>
      <c r="C2117" s="62">
        <v>44789</v>
      </c>
      <c r="D2117" s="62">
        <v>44789</v>
      </c>
      <c r="E2117" s="63">
        <v>0</v>
      </c>
    </row>
    <row r="2118" spans="1:5">
      <c r="A2118" s="61" t="s">
        <v>158</v>
      </c>
      <c r="B2118" s="61" t="s">
        <v>382</v>
      </c>
      <c r="C2118" s="62">
        <v>44790</v>
      </c>
      <c r="D2118" s="62">
        <v>44790</v>
      </c>
      <c r="E2118" s="63">
        <v>0</v>
      </c>
    </row>
    <row r="2119" spans="1:5">
      <c r="A2119" s="61" t="s">
        <v>158</v>
      </c>
      <c r="B2119" s="61" t="s">
        <v>382</v>
      </c>
      <c r="C2119" s="62">
        <v>44791</v>
      </c>
      <c r="D2119" s="62">
        <v>44791</v>
      </c>
      <c r="E2119" s="63">
        <v>0</v>
      </c>
    </row>
    <row r="2120" spans="1:5">
      <c r="A2120" s="61" t="s">
        <v>158</v>
      </c>
      <c r="B2120" s="61" t="s">
        <v>382</v>
      </c>
      <c r="C2120" s="62">
        <v>44792</v>
      </c>
      <c r="D2120" s="62">
        <v>44792</v>
      </c>
      <c r="E2120" s="63">
        <v>0</v>
      </c>
    </row>
    <row r="2121" spans="1:5">
      <c r="A2121" s="61" t="s">
        <v>158</v>
      </c>
      <c r="B2121" s="61" t="s">
        <v>382</v>
      </c>
      <c r="C2121" s="62">
        <v>44793</v>
      </c>
      <c r="D2121" s="62">
        <v>44793</v>
      </c>
      <c r="E2121" s="63">
        <v>0</v>
      </c>
    </row>
    <row r="2122" spans="1:5">
      <c r="A2122" s="61" t="s">
        <v>158</v>
      </c>
      <c r="B2122" s="61" t="s">
        <v>382</v>
      </c>
      <c r="C2122" s="62">
        <v>44794</v>
      </c>
      <c r="D2122" s="62">
        <v>44794</v>
      </c>
      <c r="E2122" s="63">
        <v>0</v>
      </c>
    </row>
    <row r="2123" spans="1:5">
      <c r="A2123" s="61" t="s">
        <v>158</v>
      </c>
      <c r="B2123" s="61" t="s">
        <v>382</v>
      </c>
      <c r="C2123" s="62">
        <v>44795</v>
      </c>
      <c r="D2123" s="62">
        <v>44795</v>
      </c>
      <c r="E2123" s="63">
        <v>0</v>
      </c>
    </row>
    <row r="2124" spans="1:5">
      <c r="A2124" s="61" t="s">
        <v>158</v>
      </c>
      <c r="B2124" s="61" t="s">
        <v>382</v>
      </c>
      <c r="C2124" s="62">
        <v>44796</v>
      </c>
      <c r="D2124" s="62">
        <v>44796</v>
      </c>
      <c r="E2124" s="63">
        <v>0</v>
      </c>
    </row>
    <row r="2125" spans="1:5">
      <c r="A2125" s="61" t="s">
        <v>158</v>
      </c>
      <c r="B2125" s="61" t="s">
        <v>382</v>
      </c>
      <c r="C2125" s="62">
        <v>44797</v>
      </c>
      <c r="D2125" s="62">
        <v>44797</v>
      </c>
      <c r="E2125" s="63">
        <v>0</v>
      </c>
    </row>
    <row r="2126" spans="1:5">
      <c r="A2126" s="61" t="s">
        <v>158</v>
      </c>
      <c r="B2126" s="61" t="s">
        <v>382</v>
      </c>
      <c r="C2126" s="62">
        <v>44798</v>
      </c>
      <c r="D2126" s="62">
        <v>44798</v>
      </c>
      <c r="E2126" s="63">
        <v>0</v>
      </c>
    </row>
    <row r="2127" spans="1:5">
      <c r="A2127" s="61" t="s">
        <v>158</v>
      </c>
      <c r="B2127" s="61" t="s">
        <v>382</v>
      </c>
      <c r="C2127" s="62">
        <v>44799</v>
      </c>
      <c r="D2127" s="62">
        <v>44799</v>
      </c>
      <c r="E2127" s="63">
        <v>0</v>
      </c>
    </row>
    <row r="2128" spans="1:5">
      <c r="A2128" s="61" t="s">
        <v>158</v>
      </c>
      <c r="B2128" s="61" t="s">
        <v>382</v>
      </c>
      <c r="C2128" s="62">
        <v>44800</v>
      </c>
      <c r="D2128" s="62">
        <v>44800</v>
      </c>
      <c r="E2128" s="63">
        <v>0</v>
      </c>
    </row>
    <row r="2129" spans="1:5">
      <c r="A2129" s="61" t="s">
        <v>158</v>
      </c>
      <c r="B2129" s="61" t="s">
        <v>382</v>
      </c>
      <c r="C2129" s="62">
        <v>44801</v>
      </c>
      <c r="D2129" s="62">
        <v>44801</v>
      </c>
      <c r="E2129" s="63">
        <v>0</v>
      </c>
    </row>
    <row r="2130" spans="1:5">
      <c r="A2130" s="61" t="s">
        <v>158</v>
      </c>
      <c r="B2130" s="61" t="s">
        <v>382</v>
      </c>
      <c r="C2130" s="62">
        <v>44802</v>
      </c>
      <c r="D2130" s="62">
        <v>44802</v>
      </c>
      <c r="E2130" s="63">
        <v>0</v>
      </c>
    </row>
    <row r="2131" spans="1:5">
      <c r="A2131" s="61" t="s">
        <v>158</v>
      </c>
      <c r="B2131" s="61" t="s">
        <v>382</v>
      </c>
      <c r="C2131" s="62">
        <v>44803</v>
      </c>
      <c r="D2131" s="62">
        <v>44803</v>
      </c>
      <c r="E2131" s="63">
        <v>0</v>
      </c>
    </row>
    <row r="2132" spans="1:5">
      <c r="A2132" s="61" t="s">
        <v>159</v>
      </c>
      <c r="B2132" s="61" t="s">
        <v>383</v>
      </c>
      <c r="C2132" s="62">
        <v>44774</v>
      </c>
      <c r="D2132" s="62">
        <v>44774</v>
      </c>
      <c r="E2132" s="63">
        <v>0</v>
      </c>
    </row>
    <row r="2133" spans="1:5">
      <c r="A2133" s="61" t="s">
        <v>159</v>
      </c>
      <c r="B2133" s="61" t="s">
        <v>383</v>
      </c>
      <c r="C2133" s="62">
        <v>44775</v>
      </c>
      <c r="D2133" s="62">
        <v>44775</v>
      </c>
      <c r="E2133" s="63">
        <v>0</v>
      </c>
    </row>
    <row r="2134" spans="1:5">
      <c r="A2134" s="61" t="s">
        <v>159</v>
      </c>
      <c r="B2134" s="61" t="s">
        <v>383</v>
      </c>
      <c r="C2134" s="62">
        <v>44776</v>
      </c>
      <c r="D2134" s="62">
        <v>44776</v>
      </c>
      <c r="E2134" s="63">
        <v>0</v>
      </c>
    </row>
    <row r="2135" spans="1:5">
      <c r="A2135" s="61" t="s">
        <v>159</v>
      </c>
      <c r="B2135" s="61" t="s">
        <v>383</v>
      </c>
      <c r="C2135" s="62">
        <v>44777</v>
      </c>
      <c r="D2135" s="62">
        <v>44777</v>
      </c>
      <c r="E2135" s="63">
        <v>0</v>
      </c>
    </row>
    <row r="2136" spans="1:5">
      <c r="A2136" s="61" t="s">
        <v>159</v>
      </c>
      <c r="B2136" s="61" t="s">
        <v>383</v>
      </c>
      <c r="C2136" s="62">
        <v>44778</v>
      </c>
      <c r="D2136" s="62">
        <v>44778</v>
      </c>
      <c r="E2136" s="63">
        <v>0</v>
      </c>
    </row>
    <row r="2137" spans="1:5">
      <c r="A2137" s="61" t="s">
        <v>159</v>
      </c>
      <c r="B2137" s="61" t="s">
        <v>383</v>
      </c>
      <c r="C2137" s="62">
        <v>44779</v>
      </c>
      <c r="D2137" s="62">
        <v>44779</v>
      </c>
      <c r="E2137" s="63">
        <v>0</v>
      </c>
    </row>
    <row r="2138" spans="1:5">
      <c r="A2138" s="61" t="s">
        <v>159</v>
      </c>
      <c r="B2138" s="61" t="s">
        <v>383</v>
      </c>
      <c r="C2138" s="62">
        <v>44780</v>
      </c>
      <c r="D2138" s="62">
        <v>44780</v>
      </c>
      <c r="E2138" s="63">
        <v>0</v>
      </c>
    </row>
    <row r="2139" spans="1:5">
      <c r="A2139" s="61" t="s">
        <v>159</v>
      </c>
      <c r="B2139" s="61" t="s">
        <v>383</v>
      </c>
      <c r="C2139" s="62">
        <v>44781</v>
      </c>
      <c r="D2139" s="62">
        <v>44781</v>
      </c>
      <c r="E2139" s="63">
        <v>0</v>
      </c>
    </row>
    <row r="2140" spans="1:5">
      <c r="A2140" s="61" t="s">
        <v>159</v>
      </c>
      <c r="B2140" s="61" t="s">
        <v>383</v>
      </c>
      <c r="C2140" s="62">
        <v>44782</v>
      </c>
      <c r="D2140" s="62">
        <v>44782</v>
      </c>
      <c r="E2140" s="63">
        <v>0</v>
      </c>
    </row>
    <row r="2141" spans="1:5">
      <c r="A2141" s="61" t="s">
        <v>159</v>
      </c>
      <c r="B2141" s="61" t="s">
        <v>383</v>
      </c>
      <c r="C2141" s="62">
        <v>44783</v>
      </c>
      <c r="D2141" s="62">
        <v>44783</v>
      </c>
      <c r="E2141" s="63">
        <v>0</v>
      </c>
    </row>
    <row r="2142" spans="1:5">
      <c r="A2142" s="61" t="s">
        <v>159</v>
      </c>
      <c r="B2142" s="61" t="s">
        <v>383</v>
      </c>
      <c r="C2142" s="62">
        <v>44784</v>
      </c>
      <c r="D2142" s="62">
        <v>44784</v>
      </c>
      <c r="E2142" s="63">
        <v>0</v>
      </c>
    </row>
    <row r="2143" spans="1:5">
      <c r="A2143" s="61" t="s">
        <v>159</v>
      </c>
      <c r="B2143" s="61" t="s">
        <v>383</v>
      </c>
      <c r="C2143" s="62">
        <v>44785</v>
      </c>
      <c r="D2143" s="62">
        <v>44785</v>
      </c>
      <c r="E2143" s="63">
        <v>0</v>
      </c>
    </row>
    <row r="2144" spans="1:5">
      <c r="A2144" s="61" t="s">
        <v>159</v>
      </c>
      <c r="B2144" s="61" t="s">
        <v>383</v>
      </c>
      <c r="C2144" s="62">
        <v>44786</v>
      </c>
      <c r="D2144" s="62">
        <v>44786</v>
      </c>
      <c r="E2144" s="63">
        <v>0</v>
      </c>
    </row>
    <row r="2145" spans="1:5">
      <c r="A2145" s="61" t="s">
        <v>159</v>
      </c>
      <c r="B2145" s="61" t="s">
        <v>383</v>
      </c>
      <c r="C2145" s="62">
        <v>44787</v>
      </c>
      <c r="D2145" s="62">
        <v>44787</v>
      </c>
      <c r="E2145" s="63">
        <v>0</v>
      </c>
    </row>
    <row r="2146" spans="1:5">
      <c r="A2146" s="61" t="s">
        <v>159</v>
      </c>
      <c r="B2146" s="61" t="s">
        <v>383</v>
      </c>
      <c r="C2146" s="62">
        <v>44788</v>
      </c>
      <c r="D2146" s="62">
        <v>44788</v>
      </c>
      <c r="E2146" s="63">
        <v>0</v>
      </c>
    </row>
    <row r="2147" spans="1:5">
      <c r="A2147" s="61" t="s">
        <v>159</v>
      </c>
      <c r="B2147" s="61" t="s">
        <v>383</v>
      </c>
      <c r="C2147" s="62">
        <v>44789</v>
      </c>
      <c r="D2147" s="62">
        <v>44789</v>
      </c>
      <c r="E2147" s="63">
        <v>0</v>
      </c>
    </row>
    <row r="2148" spans="1:5">
      <c r="A2148" s="61" t="s">
        <v>159</v>
      </c>
      <c r="B2148" s="61" t="s">
        <v>383</v>
      </c>
      <c r="C2148" s="62">
        <v>44790</v>
      </c>
      <c r="D2148" s="62">
        <v>44790</v>
      </c>
      <c r="E2148" s="63">
        <v>0</v>
      </c>
    </row>
    <row r="2149" spans="1:5">
      <c r="A2149" s="61" t="s">
        <v>159</v>
      </c>
      <c r="B2149" s="61" t="s">
        <v>383</v>
      </c>
      <c r="C2149" s="62">
        <v>44791</v>
      </c>
      <c r="D2149" s="62">
        <v>44791</v>
      </c>
      <c r="E2149" s="63">
        <v>0</v>
      </c>
    </row>
    <row r="2150" spans="1:5">
      <c r="A2150" s="61" t="s">
        <v>159</v>
      </c>
      <c r="B2150" s="61" t="s">
        <v>383</v>
      </c>
      <c r="C2150" s="62">
        <v>44792</v>
      </c>
      <c r="D2150" s="62">
        <v>44792</v>
      </c>
      <c r="E2150" s="63">
        <v>0</v>
      </c>
    </row>
    <row r="2151" spans="1:5">
      <c r="A2151" s="61" t="s">
        <v>159</v>
      </c>
      <c r="B2151" s="61" t="s">
        <v>383</v>
      </c>
      <c r="C2151" s="62">
        <v>44793</v>
      </c>
      <c r="D2151" s="62">
        <v>44793</v>
      </c>
      <c r="E2151" s="63">
        <v>0</v>
      </c>
    </row>
    <row r="2152" spans="1:5">
      <c r="A2152" s="61" t="s">
        <v>159</v>
      </c>
      <c r="B2152" s="61" t="s">
        <v>383</v>
      </c>
      <c r="C2152" s="62">
        <v>44794</v>
      </c>
      <c r="D2152" s="62">
        <v>44794</v>
      </c>
      <c r="E2152" s="63">
        <v>0</v>
      </c>
    </row>
    <row r="2153" spans="1:5">
      <c r="A2153" s="61" t="s">
        <v>159</v>
      </c>
      <c r="B2153" s="61" t="s">
        <v>383</v>
      </c>
      <c r="C2153" s="62">
        <v>44795</v>
      </c>
      <c r="D2153" s="62">
        <v>44795</v>
      </c>
      <c r="E2153" s="63">
        <v>0</v>
      </c>
    </row>
    <row r="2154" spans="1:5">
      <c r="A2154" s="61" t="s">
        <v>159</v>
      </c>
      <c r="B2154" s="61" t="s">
        <v>383</v>
      </c>
      <c r="C2154" s="62">
        <v>44796</v>
      </c>
      <c r="D2154" s="62">
        <v>44796</v>
      </c>
      <c r="E2154" s="63">
        <v>0</v>
      </c>
    </row>
    <row r="2155" spans="1:5">
      <c r="A2155" s="61" t="s">
        <v>159</v>
      </c>
      <c r="B2155" s="61" t="s">
        <v>383</v>
      </c>
      <c r="C2155" s="62">
        <v>44797</v>
      </c>
      <c r="D2155" s="62">
        <v>44797</v>
      </c>
      <c r="E2155" s="63">
        <v>0</v>
      </c>
    </row>
    <row r="2156" spans="1:5">
      <c r="A2156" s="61" t="s">
        <v>159</v>
      </c>
      <c r="B2156" s="61" t="s">
        <v>383</v>
      </c>
      <c r="C2156" s="62">
        <v>44798</v>
      </c>
      <c r="D2156" s="62">
        <v>44798</v>
      </c>
      <c r="E2156" s="63">
        <v>0</v>
      </c>
    </row>
    <row r="2157" spans="1:5">
      <c r="A2157" s="61" t="s">
        <v>159</v>
      </c>
      <c r="B2157" s="61" t="s">
        <v>383</v>
      </c>
      <c r="C2157" s="62">
        <v>44799</v>
      </c>
      <c r="D2157" s="62">
        <v>44799</v>
      </c>
      <c r="E2157" s="63">
        <v>0</v>
      </c>
    </row>
    <row r="2158" spans="1:5">
      <c r="A2158" s="61" t="s">
        <v>159</v>
      </c>
      <c r="B2158" s="61" t="s">
        <v>383</v>
      </c>
      <c r="C2158" s="62">
        <v>44800</v>
      </c>
      <c r="D2158" s="62">
        <v>44800</v>
      </c>
      <c r="E2158" s="63">
        <v>0</v>
      </c>
    </row>
    <row r="2159" spans="1:5">
      <c r="A2159" s="61" t="s">
        <v>159</v>
      </c>
      <c r="B2159" s="61" t="s">
        <v>383</v>
      </c>
      <c r="C2159" s="62">
        <v>44801</v>
      </c>
      <c r="D2159" s="62">
        <v>44801</v>
      </c>
      <c r="E2159" s="63">
        <v>0</v>
      </c>
    </row>
    <row r="2160" spans="1:5">
      <c r="A2160" s="61" t="s">
        <v>159</v>
      </c>
      <c r="B2160" s="61" t="s">
        <v>383</v>
      </c>
      <c r="C2160" s="62">
        <v>44802</v>
      </c>
      <c r="D2160" s="62">
        <v>44802</v>
      </c>
      <c r="E2160" s="63">
        <v>0</v>
      </c>
    </row>
    <row r="2161" spans="1:5">
      <c r="A2161" s="61" t="s">
        <v>159</v>
      </c>
      <c r="B2161" s="61" t="s">
        <v>383</v>
      </c>
      <c r="C2161" s="62">
        <v>44803</v>
      </c>
      <c r="D2161" s="62">
        <v>44803</v>
      </c>
      <c r="E2161" s="63">
        <v>0</v>
      </c>
    </row>
    <row r="2162" spans="1:5">
      <c r="A2162" s="61" t="s">
        <v>43</v>
      </c>
      <c r="B2162" s="61" t="s">
        <v>380</v>
      </c>
      <c r="C2162" s="62">
        <v>44774</v>
      </c>
      <c r="D2162" s="62">
        <v>44774</v>
      </c>
      <c r="E2162" s="63">
        <v>26681.98</v>
      </c>
    </row>
    <row r="2163" spans="1:5">
      <c r="A2163" s="61" t="s">
        <v>43</v>
      </c>
      <c r="B2163" s="61" t="s">
        <v>380</v>
      </c>
      <c r="C2163" s="62">
        <v>44775</v>
      </c>
      <c r="D2163" s="62">
        <v>44775</v>
      </c>
      <c r="E2163" s="63">
        <v>3368.3799999999997</v>
      </c>
    </row>
    <row r="2164" spans="1:5">
      <c r="A2164" s="61" t="s">
        <v>43</v>
      </c>
      <c r="B2164" s="61" t="s">
        <v>380</v>
      </c>
      <c r="C2164" s="62">
        <v>44776</v>
      </c>
      <c r="D2164" s="62">
        <v>44776</v>
      </c>
      <c r="E2164" s="63">
        <v>0</v>
      </c>
    </row>
    <row r="2165" spans="1:5">
      <c r="A2165" s="61" t="s">
        <v>43</v>
      </c>
      <c r="B2165" s="61" t="s">
        <v>380</v>
      </c>
      <c r="C2165" s="62">
        <v>44777</v>
      </c>
      <c r="D2165" s="62">
        <v>44777</v>
      </c>
      <c r="E2165" s="63">
        <v>0</v>
      </c>
    </row>
    <row r="2166" spans="1:5">
      <c r="A2166" s="61" t="s">
        <v>43</v>
      </c>
      <c r="B2166" s="61" t="s">
        <v>380</v>
      </c>
      <c r="C2166" s="62">
        <v>44778</v>
      </c>
      <c r="D2166" s="62">
        <v>44778</v>
      </c>
      <c r="E2166" s="63">
        <v>11.639999999999999</v>
      </c>
    </row>
    <row r="2167" spans="1:5">
      <c r="A2167" s="61" t="s">
        <v>43</v>
      </c>
      <c r="B2167" s="61" t="s">
        <v>380</v>
      </c>
      <c r="C2167" s="62">
        <v>44779</v>
      </c>
      <c r="D2167" s="62">
        <v>44779</v>
      </c>
      <c r="E2167" s="63">
        <v>0</v>
      </c>
    </row>
    <row r="2168" spans="1:5">
      <c r="A2168" s="61" t="s">
        <v>43</v>
      </c>
      <c r="B2168" s="61" t="s">
        <v>380</v>
      </c>
      <c r="C2168" s="62">
        <v>44780</v>
      </c>
      <c r="D2168" s="62">
        <v>44780</v>
      </c>
      <c r="E2168" s="63">
        <v>0</v>
      </c>
    </row>
    <row r="2169" spans="1:5">
      <c r="A2169" s="61" t="s">
        <v>43</v>
      </c>
      <c r="B2169" s="61" t="s">
        <v>380</v>
      </c>
      <c r="C2169" s="62">
        <v>44781</v>
      </c>
      <c r="D2169" s="62">
        <v>44781</v>
      </c>
      <c r="E2169" s="63">
        <v>0</v>
      </c>
    </row>
    <row r="2170" spans="1:5">
      <c r="A2170" s="61" t="s">
        <v>43</v>
      </c>
      <c r="B2170" s="61" t="s">
        <v>380</v>
      </c>
      <c r="C2170" s="62">
        <v>44782</v>
      </c>
      <c r="D2170" s="62">
        <v>44782</v>
      </c>
      <c r="E2170" s="63">
        <v>0</v>
      </c>
    </row>
    <row r="2171" spans="1:5">
      <c r="A2171" s="61" t="s">
        <v>43</v>
      </c>
      <c r="B2171" s="61" t="s">
        <v>380</v>
      </c>
      <c r="C2171" s="62">
        <v>44783</v>
      </c>
      <c r="D2171" s="62">
        <v>44783</v>
      </c>
      <c r="E2171" s="63">
        <v>105.99</v>
      </c>
    </row>
    <row r="2172" spans="1:5">
      <c r="A2172" s="61" t="s">
        <v>43</v>
      </c>
      <c r="B2172" s="61" t="s">
        <v>380</v>
      </c>
      <c r="C2172" s="62">
        <v>44784</v>
      </c>
      <c r="D2172" s="62">
        <v>44784</v>
      </c>
      <c r="E2172" s="63">
        <v>1135.3399999999999</v>
      </c>
    </row>
    <row r="2173" spans="1:5">
      <c r="A2173" s="61" t="s">
        <v>43</v>
      </c>
      <c r="B2173" s="61" t="s">
        <v>380</v>
      </c>
      <c r="C2173" s="62">
        <v>44785</v>
      </c>
      <c r="D2173" s="62">
        <v>44785</v>
      </c>
      <c r="E2173" s="63">
        <v>8752.48</v>
      </c>
    </row>
    <row r="2174" spans="1:5">
      <c r="A2174" s="61" t="s">
        <v>43</v>
      </c>
      <c r="B2174" s="61" t="s">
        <v>380</v>
      </c>
      <c r="C2174" s="62">
        <v>44786</v>
      </c>
      <c r="D2174" s="62">
        <v>44786</v>
      </c>
      <c r="E2174" s="63">
        <v>0</v>
      </c>
    </row>
    <row r="2175" spans="1:5">
      <c r="A2175" s="61" t="s">
        <v>43</v>
      </c>
      <c r="B2175" s="61" t="s">
        <v>380</v>
      </c>
      <c r="C2175" s="62">
        <v>44787</v>
      </c>
      <c r="D2175" s="62">
        <v>44787</v>
      </c>
      <c r="E2175" s="63">
        <v>0</v>
      </c>
    </row>
    <row r="2176" spans="1:5">
      <c r="A2176" s="61" t="s">
        <v>43</v>
      </c>
      <c r="B2176" s="61" t="s">
        <v>380</v>
      </c>
      <c r="C2176" s="62">
        <v>44788</v>
      </c>
      <c r="D2176" s="62">
        <v>44788</v>
      </c>
      <c r="E2176" s="63">
        <v>0</v>
      </c>
    </row>
    <row r="2177" spans="1:5">
      <c r="A2177" s="61" t="s">
        <v>43</v>
      </c>
      <c r="B2177" s="61" t="s">
        <v>380</v>
      </c>
      <c r="C2177" s="62">
        <v>44789</v>
      </c>
      <c r="D2177" s="62">
        <v>44789</v>
      </c>
      <c r="E2177" s="63">
        <v>0</v>
      </c>
    </row>
    <row r="2178" spans="1:5">
      <c r="A2178" s="61" t="s">
        <v>43</v>
      </c>
      <c r="B2178" s="61" t="s">
        <v>380</v>
      </c>
      <c r="C2178" s="62">
        <v>44790</v>
      </c>
      <c r="D2178" s="62">
        <v>44790</v>
      </c>
      <c r="E2178" s="63">
        <v>0</v>
      </c>
    </row>
    <row r="2179" spans="1:5">
      <c r="A2179" s="61" t="s">
        <v>43</v>
      </c>
      <c r="B2179" s="61" t="s">
        <v>380</v>
      </c>
      <c r="C2179" s="62">
        <v>44791</v>
      </c>
      <c r="D2179" s="62">
        <v>44791</v>
      </c>
      <c r="E2179" s="63">
        <v>0</v>
      </c>
    </row>
    <row r="2180" spans="1:5">
      <c r="A2180" s="61" t="s">
        <v>43</v>
      </c>
      <c r="B2180" s="61" t="s">
        <v>380</v>
      </c>
      <c r="C2180" s="62">
        <v>44792</v>
      </c>
      <c r="D2180" s="62">
        <v>44792</v>
      </c>
      <c r="E2180" s="63">
        <v>-7.0000000000000007E-2</v>
      </c>
    </row>
    <row r="2181" spans="1:5">
      <c r="A2181" s="61" t="s">
        <v>43</v>
      </c>
      <c r="B2181" s="61" t="s">
        <v>380</v>
      </c>
      <c r="C2181" s="62">
        <v>44793</v>
      </c>
      <c r="D2181" s="62">
        <v>44793</v>
      </c>
      <c r="E2181" s="63">
        <v>0</v>
      </c>
    </row>
    <row r="2182" spans="1:5">
      <c r="A2182" s="61" t="s">
        <v>43</v>
      </c>
      <c r="B2182" s="61" t="s">
        <v>380</v>
      </c>
      <c r="C2182" s="62">
        <v>44794</v>
      </c>
      <c r="D2182" s="62">
        <v>44794</v>
      </c>
      <c r="E2182" s="63">
        <v>0</v>
      </c>
    </row>
    <row r="2183" spans="1:5">
      <c r="A2183" s="61" t="s">
        <v>43</v>
      </c>
      <c r="B2183" s="61" t="s">
        <v>380</v>
      </c>
      <c r="C2183" s="62">
        <v>44795</v>
      </c>
      <c r="D2183" s="62">
        <v>44795</v>
      </c>
      <c r="E2183" s="63">
        <v>46.71</v>
      </c>
    </row>
    <row r="2184" spans="1:5">
      <c r="A2184" s="61" t="s">
        <v>43</v>
      </c>
      <c r="B2184" s="61" t="s">
        <v>380</v>
      </c>
      <c r="C2184" s="62">
        <v>44796</v>
      </c>
      <c r="D2184" s="62">
        <v>44796</v>
      </c>
      <c r="E2184" s="63">
        <v>0</v>
      </c>
    </row>
    <row r="2185" spans="1:5">
      <c r="A2185" s="61" t="s">
        <v>43</v>
      </c>
      <c r="B2185" s="61" t="s">
        <v>380</v>
      </c>
      <c r="C2185" s="62">
        <v>44797</v>
      </c>
      <c r="D2185" s="62">
        <v>44797</v>
      </c>
      <c r="E2185" s="63">
        <v>0</v>
      </c>
    </row>
    <row r="2186" spans="1:5">
      <c r="A2186" s="61" t="s">
        <v>43</v>
      </c>
      <c r="B2186" s="61" t="s">
        <v>380</v>
      </c>
      <c r="C2186" s="62">
        <v>44798</v>
      </c>
      <c r="D2186" s="62">
        <v>44798</v>
      </c>
      <c r="E2186" s="63">
        <v>0</v>
      </c>
    </row>
    <row r="2187" spans="1:5">
      <c r="A2187" s="61" t="s">
        <v>43</v>
      </c>
      <c r="B2187" s="61" t="s">
        <v>380</v>
      </c>
      <c r="C2187" s="62">
        <v>44799</v>
      </c>
      <c r="D2187" s="62">
        <v>44799</v>
      </c>
      <c r="E2187" s="63">
        <v>0.73</v>
      </c>
    </row>
    <row r="2188" spans="1:5">
      <c r="A2188" s="61" t="s">
        <v>43</v>
      </c>
      <c r="B2188" s="61" t="s">
        <v>380</v>
      </c>
      <c r="C2188" s="62">
        <v>44800</v>
      </c>
      <c r="D2188" s="62">
        <v>44800</v>
      </c>
      <c r="E2188" s="63">
        <v>0</v>
      </c>
    </row>
    <row r="2189" spans="1:5">
      <c r="A2189" s="61" t="s">
        <v>43</v>
      </c>
      <c r="B2189" s="61" t="s">
        <v>380</v>
      </c>
      <c r="C2189" s="62">
        <v>44801</v>
      </c>
      <c r="D2189" s="62">
        <v>44801</v>
      </c>
      <c r="E2189" s="63">
        <v>0</v>
      </c>
    </row>
    <row r="2190" spans="1:5">
      <c r="A2190" s="61" t="s">
        <v>43</v>
      </c>
      <c r="B2190" s="61" t="s">
        <v>380</v>
      </c>
      <c r="C2190" s="62">
        <v>44802</v>
      </c>
      <c r="D2190" s="62">
        <v>44802</v>
      </c>
      <c r="E2190" s="63">
        <v>67.290000000000006</v>
      </c>
    </row>
    <row r="2191" spans="1:5">
      <c r="A2191" s="61" t="s">
        <v>43</v>
      </c>
      <c r="B2191" s="61" t="s">
        <v>380</v>
      </c>
      <c r="C2191" s="62">
        <v>44803</v>
      </c>
      <c r="D2191" s="62">
        <v>44803</v>
      </c>
      <c r="E2191" s="63">
        <v>0</v>
      </c>
    </row>
    <row r="2192" spans="1:5">
      <c r="A2192" s="61" t="s">
        <v>160</v>
      </c>
      <c r="B2192" s="61" t="s">
        <v>381</v>
      </c>
      <c r="C2192" s="62">
        <v>44774</v>
      </c>
      <c r="D2192" s="62">
        <v>44774</v>
      </c>
      <c r="E2192" s="63">
        <v>0</v>
      </c>
    </row>
    <row r="2193" spans="1:5">
      <c r="A2193" s="61" t="s">
        <v>160</v>
      </c>
      <c r="B2193" s="61" t="s">
        <v>381</v>
      </c>
      <c r="C2193" s="62">
        <v>44775</v>
      </c>
      <c r="D2193" s="62">
        <v>44775</v>
      </c>
      <c r="E2193" s="63">
        <v>0</v>
      </c>
    </row>
    <row r="2194" spans="1:5">
      <c r="A2194" s="61" t="s">
        <v>160</v>
      </c>
      <c r="B2194" s="61" t="s">
        <v>381</v>
      </c>
      <c r="C2194" s="62">
        <v>44776</v>
      </c>
      <c r="D2194" s="62">
        <v>44776</v>
      </c>
      <c r="E2194" s="63">
        <v>0</v>
      </c>
    </row>
    <row r="2195" spans="1:5">
      <c r="A2195" s="61" t="s">
        <v>160</v>
      </c>
      <c r="B2195" s="61" t="s">
        <v>381</v>
      </c>
      <c r="C2195" s="62">
        <v>44777</v>
      </c>
      <c r="D2195" s="62">
        <v>44777</v>
      </c>
      <c r="E2195" s="63">
        <v>0</v>
      </c>
    </row>
    <row r="2196" spans="1:5">
      <c r="A2196" s="61" t="s">
        <v>160</v>
      </c>
      <c r="B2196" s="61" t="s">
        <v>381</v>
      </c>
      <c r="C2196" s="62">
        <v>44778</v>
      </c>
      <c r="D2196" s="62">
        <v>44778</v>
      </c>
      <c r="E2196" s="63">
        <v>0</v>
      </c>
    </row>
    <row r="2197" spans="1:5">
      <c r="A2197" s="61" t="s">
        <v>160</v>
      </c>
      <c r="B2197" s="61" t="s">
        <v>381</v>
      </c>
      <c r="C2197" s="62">
        <v>44779</v>
      </c>
      <c r="D2197" s="62">
        <v>44779</v>
      </c>
      <c r="E2197" s="63">
        <v>0</v>
      </c>
    </row>
    <row r="2198" spans="1:5">
      <c r="A2198" s="61" t="s">
        <v>160</v>
      </c>
      <c r="B2198" s="61" t="s">
        <v>381</v>
      </c>
      <c r="C2198" s="62">
        <v>44780</v>
      </c>
      <c r="D2198" s="62">
        <v>44780</v>
      </c>
      <c r="E2198" s="63">
        <v>0</v>
      </c>
    </row>
    <row r="2199" spans="1:5">
      <c r="A2199" s="61" t="s">
        <v>160</v>
      </c>
      <c r="B2199" s="61" t="s">
        <v>381</v>
      </c>
      <c r="C2199" s="62">
        <v>44781</v>
      </c>
      <c r="D2199" s="62">
        <v>44781</v>
      </c>
      <c r="E2199" s="63">
        <v>0</v>
      </c>
    </row>
    <row r="2200" spans="1:5">
      <c r="A2200" s="61" t="s">
        <v>160</v>
      </c>
      <c r="B2200" s="61" t="s">
        <v>381</v>
      </c>
      <c r="C2200" s="62">
        <v>44782</v>
      </c>
      <c r="D2200" s="62">
        <v>44782</v>
      </c>
      <c r="E2200" s="63">
        <v>6.56</v>
      </c>
    </row>
    <row r="2201" spans="1:5">
      <c r="A2201" s="61" t="s">
        <v>160</v>
      </c>
      <c r="B2201" s="61" t="s">
        <v>381</v>
      </c>
      <c r="C2201" s="62">
        <v>44783</v>
      </c>
      <c r="D2201" s="62">
        <v>44783</v>
      </c>
      <c r="E2201" s="63">
        <v>0</v>
      </c>
    </row>
    <row r="2202" spans="1:5">
      <c r="A2202" s="61" t="s">
        <v>160</v>
      </c>
      <c r="B2202" s="61" t="s">
        <v>381</v>
      </c>
      <c r="C2202" s="62">
        <v>44784</v>
      </c>
      <c r="D2202" s="62">
        <v>44784</v>
      </c>
      <c r="E2202" s="63">
        <v>1228.8100000000002</v>
      </c>
    </row>
    <row r="2203" spans="1:5">
      <c r="A2203" s="61" t="s">
        <v>160</v>
      </c>
      <c r="B2203" s="61" t="s">
        <v>381</v>
      </c>
      <c r="C2203" s="62">
        <v>44785</v>
      </c>
      <c r="D2203" s="62">
        <v>44785</v>
      </c>
      <c r="E2203" s="63">
        <v>5432.46</v>
      </c>
    </row>
    <row r="2204" spans="1:5">
      <c r="A2204" s="61" t="s">
        <v>160</v>
      </c>
      <c r="B2204" s="61" t="s">
        <v>381</v>
      </c>
      <c r="C2204" s="62">
        <v>44786</v>
      </c>
      <c r="D2204" s="62">
        <v>44786</v>
      </c>
      <c r="E2204" s="63">
        <v>0</v>
      </c>
    </row>
    <row r="2205" spans="1:5">
      <c r="A2205" s="61" t="s">
        <v>160</v>
      </c>
      <c r="B2205" s="61" t="s">
        <v>381</v>
      </c>
      <c r="C2205" s="62">
        <v>44787</v>
      </c>
      <c r="D2205" s="62">
        <v>44787</v>
      </c>
      <c r="E2205" s="63">
        <v>0</v>
      </c>
    </row>
    <row r="2206" spans="1:5">
      <c r="A2206" s="61" t="s">
        <v>160</v>
      </c>
      <c r="B2206" s="61" t="s">
        <v>381</v>
      </c>
      <c r="C2206" s="62">
        <v>44788</v>
      </c>
      <c r="D2206" s="62">
        <v>44788</v>
      </c>
      <c r="E2206" s="63">
        <v>0</v>
      </c>
    </row>
    <row r="2207" spans="1:5">
      <c r="A2207" s="61" t="s">
        <v>160</v>
      </c>
      <c r="B2207" s="61" t="s">
        <v>381</v>
      </c>
      <c r="C2207" s="62">
        <v>44789</v>
      </c>
      <c r="D2207" s="62">
        <v>44789</v>
      </c>
      <c r="E2207" s="63">
        <v>0</v>
      </c>
    </row>
    <row r="2208" spans="1:5">
      <c r="A2208" s="61" t="s">
        <v>160</v>
      </c>
      <c r="B2208" s="61" t="s">
        <v>381</v>
      </c>
      <c r="C2208" s="62">
        <v>44790</v>
      </c>
      <c r="D2208" s="62">
        <v>44790</v>
      </c>
      <c r="E2208" s="63">
        <v>0</v>
      </c>
    </row>
    <row r="2209" spans="1:5">
      <c r="A2209" s="61" t="s">
        <v>160</v>
      </c>
      <c r="B2209" s="61" t="s">
        <v>381</v>
      </c>
      <c r="C2209" s="62">
        <v>44791</v>
      </c>
      <c r="D2209" s="62">
        <v>44791</v>
      </c>
      <c r="E2209" s="63">
        <v>0</v>
      </c>
    </row>
    <row r="2210" spans="1:5">
      <c r="A2210" s="61" t="s">
        <v>160</v>
      </c>
      <c r="B2210" s="61" t="s">
        <v>381</v>
      </c>
      <c r="C2210" s="62">
        <v>44792</v>
      </c>
      <c r="D2210" s="62">
        <v>44792</v>
      </c>
      <c r="E2210" s="63">
        <v>0</v>
      </c>
    </row>
    <row r="2211" spans="1:5">
      <c r="A2211" s="61" t="s">
        <v>160</v>
      </c>
      <c r="B2211" s="61" t="s">
        <v>381</v>
      </c>
      <c r="C2211" s="62">
        <v>44793</v>
      </c>
      <c r="D2211" s="62">
        <v>44793</v>
      </c>
      <c r="E2211" s="63">
        <v>0</v>
      </c>
    </row>
    <row r="2212" spans="1:5">
      <c r="A2212" s="61" t="s">
        <v>160</v>
      </c>
      <c r="B2212" s="61" t="s">
        <v>381</v>
      </c>
      <c r="C2212" s="62">
        <v>44794</v>
      </c>
      <c r="D2212" s="62">
        <v>44794</v>
      </c>
      <c r="E2212" s="63">
        <v>0</v>
      </c>
    </row>
    <row r="2213" spans="1:5">
      <c r="A2213" s="61" t="s">
        <v>160</v>
      </c>
      <c r="B2213" s="61" t="s">
        <v>381</v>
      </c>
      <c r="C2213" s="62">
        <v>44795</v>
      </c>
      <c r="D2213" s="62">
        <v>44795</v>
      </c>
      <c r="E2213" s="63">
        <v>0.81</v>
      </c>
    </row>
    <row r="2214" spans="1:5">
      <c r="A2214" s="61" t="s">
        <v>160</v>
      </c>
      <c r="B2214" s="61" t="s">
        <v>381</v>
      </c>
      <c r="C2214" s="62">
        <v>44796</v>
      </c>
      <c r="D2214" s="62">
        <v>44796</v>
      </c>
      <c r="E2214" s="63">
        <v>1271.67</v>
      </c>
    </row>
    <row r="2215" spans="1:5">
      <c r="A2215" s="61" t="s">
        <v>160</v>
      </c>
      <c r="B2215" s="61" t="s">
        <v>381</v>
      </c>
      <c r="C2215" s="62">
        <v>44797</v>
      </c>
      <c r="D2215" s="62">
        <v>44797</v>
      </c>
      <c r="E2215" s="63">
        <v>0</v>
      </c>
    </row>
    <row r="2216" spans="1:5">
      <c r="A2216" s="61" t="s">
        <v>160</v>
      </c>
      <c r="B2216" s="61" t="s">
        <v>381</v>
      </c>
      <c r="C2216" s="62">
        <v>44798</v>
      </c>
      <c r="D2216" s="62">
        <v>44798</v>
      </c>
      <c r="E2216" s="63">
        <v>0</v>
      </c>
    </row>
    <row r="2217" spans="1:5">
      <c r="A2217" s="61" t="s">
        <v>160</v>
      </c>
      <c r="B2217" s="61" t="s">
        <v>381</v>
      </c>
      <c r="C2217" s="62">
        <v>44799</v>
      </c>
      <c r="D2217" s="62">
        <v>44799</v>
      </c>
      <c r="E2217" s="63">
        <v>0</v>
      </c>
    </row>
    <row r="2218" spans="1:5">
      <c r="A2218" s="61" t="s">
        <v>160</v>
      </c>
      <c r="B2218" s="61" t="s">
        <v>381</v>
      </c>
      <c r="C2218" s="62">
        <v>44800</v>
      </c>
      <c r="D2218" s="62">
        <v>44800</v>
      </c>
      <c r="E2218" s="63">
        <v>0</v>
      </c>
    </row>
    <row r="2219" spans="1:5">
      <c r="A2219" s="61" t="s">
        <v>160</v>
      </c>
      <c r="B2219" s="61" t="s">
        <v>381</v>
      </c>
      <c r="C2219" s="62">
        <v>44801</v>
      </c>
      <c r="D2219" s="62">
        <v>44801</v>
      </c>
      <c r="E2219" s="63">
        <v>0</v>
      </c>
    </row>
    <row r="2220" spans="1:5">
      <c r="A2220" s="61" t="s">
        <v>160</v>
      </c>
      <c r="B2220" s="61" t="s">
        <v>381</v>
      </c>
      <c r="C2220" s="62">
        <v>44802</v>
      </c>
      <c r="D2220" s="62">
        <v>44802</v>
      </c>
      <c r="E2220" s="63">
        <v>0</v>
      </c>
    </row>
    <row r="2221" spans="1:5">
      <c r="A2221" s="61" t="s">
        <v>160</v>
      </c>
      <c r="B2221" s="61" t="s">
        <v>381</v>
      </c>
      <c r="C2221" s="62">
        <v>44803</v>
      </c>
      <c r="D2221" s="62">
        <v>44803</v>
      </c>
      <c r="E2221" s="63">
        <v>0</v>
      </c>
    </row>
    <row r="2222" spans="1:5">
      <c r="A2222" s="61" t="s">
        <v>161</v>
      </c>
      <c r="B2222" s="61" t="s">
        <v>382</v>
      </c>
      <c r="C2222" s="62">
        <v>44774</v>
      </c>
      <c r="D2222" s="62">
        <v>44774</v>
      </c>
      <c r="E2222" s="63">
        <v>0</v>
      </c>
    </row>
    <row r="2223" spans="1:5">
      <c r="A2223" s="61" t="s">
        <v>161</v>
      </c>
      <c r="B2223" s="61" t="s">
        <v>382</v>
      </c>
      <c r="C2223" s="62">
        <v>44775</v>
      </c>
      <c r="D2223" s="62">
        <v>44775</v>
      </c>
      <c r="E2223" s="63">
        <v>0</v>
      </c>
    </row>
    <row r="2224" spans="1:5">
      <c r="A2224" s="61" t="s">
        <v>161</v>
      </c>
      <c r="B2224" s="61" t="s">
        <v>382</v>
      </c>
      <c r="C2224" s="62">
        <v>44776</v>
      </c>
      <c r="D2224" s="62">
        <v>44776</v>
      </c>
      <c r="E2224" s="63">
        <v>0</v>
      </c>
    </row>
    <row r="2225" spans="1:5">
      <c r="A2225" s="61" t="s">
        <v>161</v>
      </c>
      <c r="B2225" s="61" t="s">
        <v>382</v>
      </c>
      <c r="C2225" s="62">
        <v>44777</v>
      </c>
      <c r="D2225" s="62">
        <v>44777</v>
      </c>
      <c r="E2225" s="63">
        <v>0</v>
      </c>
    </row>
    <row r="2226" spans="1:5">
      <c r="A2226" s="61" t="s">
        <v>161</v>
      </c>
      <c r="B2226" s="61" t="s">
        <v>382</v>
      </c>
      <c r="C2226" s="62">
        <v>44778</v>
      </c>
      <c r="D2226" s="62">
        <v>44778</v>
      </c>
      <c r="E2226" s="63">
        <v>0</v>
      </c>
    </row>
    <row r="2227" spans="1:5">
      <c r="A2227" s="61" t="s">
        <v>161</v>
      </c>
      <c r="B2227" s="61" t="s">
        <v>382</v>
      </c>
      <c r="C2227" s="62">
        <v>44779</v>
      </c>
      <c r="D2227" s="62">
        <v>44779</v>
      </c>
      <c r="E2227" s="63">
        <v>0</v>
      </c>
    </row>
    <row r="2228" spans="1:5">
      <c r="A2228" s="61" t="s">
        <v>161</v>
      </c>
      <c r="B2228" s="61" t="s">
        <v>382</v>
      </c>
      <c r="C2228" s="62">
        <v>44780</v>
      </c>
      <c r="D2228" s="62">
        <v>44780</v>
      </c>
      <c r="E2228" s="63">
        <v>0</v>
      </c>
    </row>
    <row r="2229" spans="1:5">
      <c r="A2229" s="61" t="s">
        <v>161</v>
      </c>
      <c r="B2229" s="61" t="s">
        <v>382</v>
      </c>
      <c r="C2229" s="62">
        <v>44781</v>
      </c>
      <c r="D2229" s="62">
        <v>44781</v>
      </c>
      <c r="E2229" s="63">
        <v>10.09</v>
      </c>
    </row>
    <row r="2230" spans="1:5">
      <c r="A2230" s="61" t="s">
        <v>161</v>
      </c>
      <c r="B2230" s="61" t="s">
        <v>382</v>
      </c>
      <c r="C2230" s="62">
        <v>44782</v>
      </c>
      <c r="D2230" s="62">
        <v>44782</v>
      </c>
      <c r="E2230" s="63">
        <v>0</v>
      </c>
    </row>
    <row r="2231" spans="1:5">
      <c r="A2231" s="61" t="s">
        <v>161</v>
      </c>
      <c r="B2231" s="61" t="s">
        <v>382</v>
      </c>
      <c r="C2231" s="62">
        <v>44783</v>
      </c>
      <c r="D2231" s="62">
        <v>44783</v>
      </c>
      <c r="E2231" s="63">
        <v>0</v>
      </c>
    </row>
    <row r="2232" spans="1:5">
      <c r="A2232" s="61" t="s">
        <v>161</v>
      </c>
      <c r="B2232" s="61" t="s">
        <v>382</v>
      </c>
      <c r="C2232" s="62">
        <v>44784</v>
      </c>
      <c r="D2232" s="62">
        <v>44784</v>
      </c>
      <c r="E2232" s="63">
        <v>337.28</v>
      </c>
    </row>
    <row r="2233" spans="1:5">
      <c r="A2233" s="61" t="s">
        <v>161</v>
      </c>
      <c r="B2233" s="61" t="s">
        <v>382</v>
      </c>
      <c r="C2233" s="62">
        <v>44785</v>
      </c>
      <c r="D2233" s="62">
        <v>44785</v>
      </c>
      <c r="E2233" s="63">
        <v>5171.38</v>
      </c>
    </row>
    <row r="2234" spans="1:5">
      <c r="A2234" s="61" t="s">
        <v>161</v>
      </c>
      <c r="B2234" s="61" t="s">
        <v>382</v>
      </c>
      <c r="C2234" s="62">
        <v>44786</v>
      </c>
      <c r="D2234" s="62">
        <v>44786</v>
      </c>
      <c r="E2234" s="63">
        <v>0</v>
      </c>
    </row>
    <row r="2235" spans="1:5">
      <c r="A2235" s="61" t="s">
        <v>161</v>
      </c>
      <c r="B2235" s="61" t="s">
        <v>382</v>
      </c>
      <c r="C2235" s="62">
        <v>44787</v>
      </c>
      <c r="D2235" s="62">
        <v>44787</v>
      </c>
      <c r="E2235" s="63">
        <v>0</v>
      </c>
    </row>
    <row r="2236" spans="1:5">
      <c r="A2236" s="61" t="s">
        <v>161</v>
      </c>
      <c r="B2236" s="61" t="s">
        <v>382</v>
      </c>
      <c r="C2236" s="62">
        <v>44788</v>
      </c>
      <c r="D2236" s="62">
        <v>44788</v>
      </c>
      <c r="E2236" s="63">
        <v>0</v>
      </c>
    </row>
    <row r="2237" spans="1:5">
      <c r="A2237" s="61" t="s">
        <v>161</v>
      </c>
      <c r="B2237" s="61" t="s">
        <v>382</v>
      </c>
      <c r="C2237" s="62">
        <v>44789</v>
      </c>
      <c r="D2237" s="62">
        <v>44789</v>
      </c>
      <c r="E2237" s="63">
        <v>0</v>
      </c>
    </row>
    <row r="2238" spans="1:5">
      <c r="A2238" s="61" t="s">
        <v>161</v>
      </c>
      <c r="B2238" s="61" t="s">
        <v>382</v>
      </c>
      <c r="C2238" s="62">
        <v>44790</v>
      </c>
      <c r="D2238" s="62">
        <v>44790</v>
      </c>
      <c r="E2238" s="63">
        <v>0</v>
      </c>
    </row>
    <row r="2239" spans="1:5">
      <c r="A2239" s="61" t="s">
        <v>161</v>
      </c>
      <c r="B2239" s="61" t="s">
        <v>382</v>
      </c>
      <c r="C2239" s="62">
        <v>44791</v>
      </c>
      <c r="D2239" s="62">
        <v>44791</v>
      </c>
      <c r="E2239" s="63">
        <v>1.43</v>
      </c>
    </row>
    <row r="2240" spans="1:5">
      <c r="A2240" s="61" t="s">
        <v>161</v>
      </c>
      <c r="B2240" s="61" t="s">
        <v>382</v>
      </c>
      <c r="C2240" s="62">
        <v>44792</v>
      </c>
      <c r="D2240" s="62">
        <v>44792</v>
      </c>
      <c r="E2240" s="63">
        <v>0</v>
      </c>
    </row>
    <row r="2241" spans="1:5">
      <c r="A2241" s="61" t="s">
        <v>161</v>
      </c>
      <c r="B2241" s="61" t="s">
        <v>382</v>
      </c>
      <c r="C2241" s="62">
        <v>44793</v>
      </c>
      <c r="D2241" s="62">
        <v>44793</v>
      </c>
      <c r="E2241" s="63">
        <v>0</v>
      </c>
    </row>
    <row r="2242" spans="1:5">
      <c r="A2242" s="61" t="s">
        <v>161</v>
      </c>
      <c r="B2242" s="61" t="s">
        <v>382</v>
      </c>
      <c r="C2242" s="62">
        <v>44794</v>
      </c>
      <c r="D2242" s="62">
        <v>44794</v>
      </c>
      <c r="E2242" s="63">
        <v>0</v>
      </c>
    </row>
    <row r="2243" spans="1:5">
      <c r="A2243" s="61" t="s">
        <v>161</v>
      </c>
      <c r="B2243" s="61" t="s">
        <v>382</v>
      </c>
      <c r="C2243" s="62">
        <v>44795</v>
      </c>
      <c r="D2243" s="62">
        <v>44795</v>
      </c>
      <c r="E2243" s="63">
        <v>0</v>
      </c>
    </row>
    <row r="2244" spans="1:5">
      <c r="A2244" s="61" t="s">
        <v>161</v>
      </c>
      <c r="B2244" s="61" t="s">
        <v>382</v>
      </c>
      <c r="C2244" s="62">
        <v>44796</v>
      </c>
      <c r="D2244" s="62">
        <v>44796</v>
      </c>
      <c r="E2244" s="63">
        <v>0</v>
      </c>
    </row>
    <row r="2245" spans="1:5">
      <c r="A2245" s="61" t="s">
        <v>161</v>
      </c>
      <c r="B2245" s="61" t="s">
        <v>382</v>
      </c>
      <c r="C2245" s="62">
        <v>44797</v>
      </c>
      <c r="D2245" s="62">
        <v>44797</v>
      </c>
      <c r="E2245" s="63">
        <v>113.39</v>
      </c>
    </row>
    <row r="2246" spans="1:5">
      <c r="A2246" s="61" t="s">
        <v>161</v>
      </c>
      <c r="B2246" s="61" t="s">
        <v>382</v>
      </c>
      <c r="C2246" s="62">
        <v>44798</v>
      </c>
      <c r="D2246" s="62">
        <v>44798</v>
      </c>
      <c r="E2246" s="63">
        <v>0</v>
      </c>
    </row>
    <row r="2247" spans="1:5">
      <c r="A2247" s="61" t="s">
        <v>161</v>
      </c>
      <c r="B2247" s="61" t="s">
        <v>382</v>
      </c>
      <c r="C2247" s="62">
        <v>44799</v>
      </c>
      <c r="D2247" s="62">
        <v>44799</v>
      </c>
      <c r="E2247" s="63">
        <v>0</v>
      </c>
    </row>
    <row r="2248" spans="1:5">
      <c r="A2248" s="61" t="s">
        <v>161</v>
      </c>
      <c r="B2248" s="61" t="s">
        <v>382</v>
      </c>
      <c r="C2248" s="62">
        <v>44800</v>
      </c>
      <c r="D2248" s="62">
        <v>44800</v>
      </c>
      <c r="E2248" s="63">
        <v>0</v>
      </c>
    </row>
    <row r="2249" spans="1:5">
      <c r="A2249" s="61" t="s">
        <v>161</v>
      </c>
      <c r="B2249" s="61" t="s">
        <v>382</v>
      </c>
      <c r="C2249" s="62">
        <v>44801</v>
      </c>
      <c r="D2249" s="62">
        <v>44801</v>
      </c>
      <c r="E2249" s="63">
        <v>0</v>
      </c>
    </row>
    <row r="2250" spans="1:5">
      <c r="A2250" s="61" t="s">
        <v>161</v>
      </c>
      <c r="B2250" s="61" t="s">
        <v>382</v>
      </c>
      <c r="C2250" s="62">
        <v>44802</v>
      </c>
      <c r="D2250" s="62">
        <v>44802</v>
      </c>
      <c r="E2250" s="63">
        <v>0</v>
      </c>
    </row>
    <row r="2251" spans="1:5">
      <c r="A2251" s="61" t="s">
        <v>161</v>
      </c>
      <c r="B2251" s="61" t="s">
        <v>382</v>
      </c>
      <c r="C2251" s="62">
        <v>44803</v>
      </c>
      <c r="D2251" s="62">
        <v>44803</v>
      </c>
      <c r="E2251" s="63">
        <v>0</v>
      </c>
    </row>
    <row r="2252" spans="1:5">
      <c r="A2252" s="61" t="s">
        <v>162</v>
      </c>
      <c r="B2252" s="61" t="s">
        <v>383</v>
      </c>
      <c r="C2252" s="62">
        <v>44774</v>
      </c>
      <c r="D2252" s="62">
        <v>44774</v>
      </c>
      <c r="E2252" s="63">
        <v>0</v>
      </c>
    </row>
    <row r="2253" spans="1:5">
      <c r="A2253" s="61" t="s">
        <v>162</v>
      </c>
      <c r="B2253" s="61" t="s">
        <v>383</v>
      </c>
      <c r="C2253" s="62">
        <v>44775</v>
      </c>
      <c r="D2253" s="62">
        <v>44775</v>
      </c>
      <c r="E2253" s="63">
        <v>0</v>
      </c>
    </row>
    <row r="2254" spans="1:5">
      <c r="A2254" s="61" t="s">
        <v>162</v>
      </c>
      <c r="B2254" s="61" t="s">
        <v>383</v>
      </c>
      <c r="C2254" s="62">
        <v>44776</v>
      </c>
      <c r="D2254" s="62">
        <v>44776</v>
      </c>
      <c r="E2254" s="63">
        <v>0</v>
      </c>
    </row>
    <row r="2255" spans="1:5">
      <c r="A2255" s="61" t="s">
        <v>162</v>
      </c>
      <c r="B2255" s="61" t="s">
        <v>383</v>
      </c>
      <c r="C2255" s="62">
        <v>44777</v>
      </c>
      <c r="D2255" s="62">
        <v>44777</v>
      </c>
      <c r="E2255" s="63">
        <v>0</v>
      </c>
    </row>
    <row r="2256" spans="1:5">
      <c r="A2256" s="61" t="s">
        <v>162</v>
      </c>
      <c r="B2256" s="61" t="s">
        <v>383</v>
      </c>
      <c r="C2256" s="62">
        <v>44778</v>
      </c>
      <c r="D2256" s="62">
        <v>44778</v>
      </c>
      <c r="E2256" s="63">
        <v>0</v>
      </c>
    </row>
    <row r="2257" spans="1:5">
      <c r="A2257" s="61" t="s">
        <v>162</v>
      </c>
      <c r="B2257" s="61" t="s">
        <v>383</v>
      </c>
      <c r="C2257" s="62">
        <v>44779</v>
      </c>
      <c r="D2257" s="62">
        <v>44779</v>
      </c>
      <c r="E2257" s="63">
        <v>0</v>
      </c>
    </row>
    <row r="2258" spans="1:5">
      <c r="A2258" s="61" t="s">
        <v>162</v>
      </c>
      <c r="B2258" s="61" t="s">
        <v>383</v>
      </c>
      <c r="C2258" s="62">
        <v>44780</v>
      </c>
      <c r="D2258" s="62">
        <v>44780</v>
      </c>
      <c r="E2258" s="63">
        <v>0</v>
      </c>
    </row>
    <row r="2259" spans="1:5">
      <c r="A2259" s="61" t="s">
        <v>162</v>
      </c>
      <c r="B2259" s="61" t="s">
        <v>383</v>
      </c>
      <c r="C2259" s="62">
        <v>44781</v>
      </c>
      <c r="D2259" s="62">
        <v>44781</v>
      </c>
      <c r="E2259" s="63">
        <v>0</v>
      </c>
    </row>
    <row r="2260" spans="1:5">
      <c r="A2260" s="61" t="s">
        <v>162</v>
      </c>
      <c r="B2260" s="61" t="s">
        <v>383</v>
      </c>
      <c r="C2260" s="62">
        <v>44782</v>
      </c>
      <c r="D2260" s="62">
        <v>44782</v>
      </c>
      <c r="E2260" s="63">
        <v>0</v>
      </c>
    </row>
    <row r="2261" spans="1:5">
      <c r="A2261" s="61" t="s">
        <v>162</v>
      </c>
      <c r="B2261" s="61" t="s">
        <v>383</v>
      </c>
      <c r="C2261" s="62">
        <v>44783</v>
      </c>
      <c r="D2261" s="62">
        <v>44783</v>
      </c>
      <c r="E2261" s="63">
        <v>0</v>
      </c>
    </row>
    <row r="2262" spans="1:5">
      <c r="A2262" s="61" t="s">
        <v>162</v>
      </c>
      <c r="B2262" s="61" t="s">
        <v>383</v>
      </c>
      <c r="C2262" s="62">
        <v>44784</v>
      </c>
      <c r="D2262" s="62">
        <v>44784</v>
      </c>
      <c r="E2262" s="63">
        <v>0</v>
      </c>
    </row>
    <row r="2263" spans="1:5">
      <c r="A2263" s="61" t="s">
        <v>162</v>
      </c>
      <c r="B2263" s="61" t="s">
        <v>383</v>
      </c>
      <c r="C2263" s="62">
        <v>44785</v>
      </c>
      <c r="D2263" s="62">
        <v>44785</v>
      </c>
      <c r="E2263" s="63">
        <v>2184.64</v>
      </c>
    </row>
    <row r="2264" spans="1:5">
      <c r="A2264" s="61" t="s">
        <v>162</v>
      </c>
      <c r="B2264" s="61" t="s">
        <v>383</v>
      </c>
      <c r="C2264" s="62">
        <v>44786</v>
      </c>
      <c r="D2264" s="62">
        <v>44786</v>
      </c>
      <c r="E2264" s="63">
        <v>0</v>
      </c>
    </row>
    <row r="2265" spans="1:5">
      <c r="A2265" s="61" t="s">
        <v>162</v>
      </c>
      <c r="B2265" s="61" t="s">
        <v>383</v>
      </c>
      <c r="C2265" s="62">
        <v>44787</v>
      </c>
      <c r="D2265" s="62">
        <v>44787</v>
      </c>
      <c r="E2265" s="63">
        <v>0</v>
      </c>
    </row>
    <row r="2266" spans="1:5">
      <c r="A2266" s="61" t="s">
        <v>162</v>
      </c>
      <c r="B2266" s="61" t="s">
        <v>383</v>
      </c>
      <c r="C2266" s="62">
        <v>44788</v>
      </c>
      <c r="D2266" s="62">
        <v>44788</v>
      </c>
      <c r="E2266" s="63">
        <v>0</v>
      </c>
    </row>
    <row r="2267" spans="1:5">
      <c r="A2267" s="61" t="s">
        <v>162</v>
      </c>
      <c r="B2267" s="61" t="s">
        <v>383</v>
      </c>
      <c r="C2267" s="62">
        <v>44789</v>
      </c>
      <c r="D2267" s="62">
        <v>44789</v>
      </c>
      <c r="E2267" s="63">
        <v>0</v>
      </c>
    </row>
    <row r="2268" spans="1:5">
      <c r="A2268" s="61" t="s">
        <v>162</v>
      </c>
      <c r="B2268" s="61" t="s">
        <v>383</v>
      </c>
      <c r="C2268" s="62">
        <v>44790</v>
      </c>
      <c r="D2268" s="62">
        <v>44790</v>
      </c>
      <c r="E2268" s="63">
        <v>0</v>
      </c>
    </row>
    <row r="2269" spans="1:5">
      <c r="A2269" s="61" t="s">
        <v>162</v>
      </c>
      <c r="B2269" s="61" t="s">
        <v>383</v>
      </c>
      <c r="C2269" s="62">
        <v>44791</v>
      </c>
      <c r="D2269" s="62">
        <v>44791</v>
      </c>
      <c r="E2269" s="63">
        <v>0</v>
      </c>
    </row>
    <row r="2270" spans="1:5">
      <c r="A2270" s="61" t="s">
        <v>162</v>
      </c>
      <c r="B2270" s="61" t="s">
        <v>383</v>
      </c>
      <c r="C2270" s="62">
        <v>44792</v>
      </c>
      <c r="D2270" s="62">
        <v>44792</v>
      </c>
      <c r="E2270" s="63">
        <v>0</v>
      </c>
    </row>
    <row r="2271" spans="1:5">
      <c r="A2271" s="61" t="s">
        <v>162</v>
      </c>
      <c r="B2271" s="61" t="s">
        <v>383</v>
      </c>
      <c r="C2271" s="62">
        <v>44793</v>
      </c>
      <c r="D2271" s="62">
        <v>44793</v>
      </c>
      <c r="E2271" s="63">
        <v>0</v>
      </c>
    </row>
    <row r="2272" spans="1:5">
      <c r="A2272" s="61" t="s">
        <v>162</v>
      </c>
      <c r="B2272" s="61" t="s">
        <v>383</v>
      </c>
      <c r="C2272" s="62">
        <v>44794</v>
      </c>
      <c r="D2272" s="62">
        <v>44794</v>
      </c>
      <c r="E2272" s="63">
        <v>0</v>
      </c>
    </row>
    <row r="2273" spans="1:5">
      <c r="A2273" s="61" t="s">
        <v>162</v>
      </c>
      <c r="B2273" s="61" t="s">
        <v>383</v>
      </c>
      <c r="C2273" s="62">
        <v>44795</v>
      </c>
      <c r="D2273" s="62">
        <v>44795</v>
      </c>
      <c r="E2273" s="63">
        <v>0</v>
      </c>
    </row>
    <row r="2274" spans="1:5">
      <c r="A2274" s="61" t="s">
        <v>162</v>
      </c>
      <c r="B2274" s="61" t="s">
        <v>383</v>
      </c>
      <c r="C2274" s="62">
        <v>44796</v>
      </c>
      <c r="D2274" s="62">
        <v>44796</v>
      </c>
      <c r="E2274" s="63">
        <v>0</v>
      </c>
    </row>
    <row r="2275" spans="1:5">
      <c r="A2275" s="61" t="s">
        <v>162</v>
      </c>
      <c r="B2275" s="61" t="s">
        <v>383</v>
      </c>
      <c r="C2275" s="62">
        <v>44797</v>
      </c>
      <c r="D2275" s="62">
        <v>44797</v>
      </c>
      <c r="E2275" s="63">
        <v>0</v>
      </c>
    </row>
    <row r="2276" spans="1:5">
      <c r="A2276" s="61" t="s">
        <v>162</v>
      </c>
      <c r="B2276" s="61" t="s">
        <v>383</v>
      </c>
      <c r="C2276" s="62">
        <v>44798</v>
      </c>
      <c r="D2276" s="62">
        <v>44798</v>
      </c>
      <c r="E2276" s="63">
        <v>0</v>
      </c>
    </row>
    <row r="2277" spans="1:5">
      <c r="A2277" s="61" t="s">
        <v>162</v>
      </c>
      <c r="B2277" s="61" t="s">
        <v>383</v>
      </c>
      <c r="C2277" s="62">
        <v>44799</v>
      </c>
      <c r="D2277" s="62">
        <v>44799</v>
      </c>
      <c r="E2277" s="63">
        <v>0</v>
      </c>
    </row>
    <row r="2278" spans="1:5">
      <c r="A2278" s="61" t="s">
        <v>162</v>
      </c>
      <c r="B2278" s="61" t="s">
        <v>383</v>
      </c>
      <c r="C2278" s="62">
        <v>44800</v>
      </c>
      <c r="D2278" s="62">
        <v>44800</v>
      </c>
      <c r="E2278" s="63">
        <v>0</v>
      </c>
    </row>
    <row r="2279" spans="1:5">
      <c r="A2279" s="61" t="s">
        <v>162</v>
      </c>
      <c r="B2279" s="61" t="s">
        <v>383</v>
      </c>
      <c r="C2279" s="62">
        <v>44801</v>
      </c>
      <c r="D2279" s="62">
        <v>44801</v>
      </c>
      <c r="E2279" s="63">
        <v>0</v>
      </c>
    </row>
    <row r="2280" spans="1:5">
      <c r="A2280" s="61" t="s">
        <v>162</v>
      </c>
      <c r="B2280" s="61" t="s">
        <v>383</v>
      </c>
      <c r="C2280" s="62">
        <v>44802</v>
      </c>
      <c r="D2280" s="62">
        <v>44802</v>
      </c>
      <c r="E2280" s="63">
        <v>477.79</v>
      </c>
    </row>
    <row r="2281" spans="1:5">
      <c r="A2281" s="61" t="s">
        <v>162</v>
      </c>
      <c r="B2281" s="61" t="s">
        <v>383</v>
      </c>
      <c r="C2281" s="62">
        <v>44803</v>
      </c>
      <c r="D2281" s="62">
        <v>44803</v>
      </c>
      <c r="E2281" s="63">
        <v>0</v>
      </c>
    </row>
    <row r="2282" spans="1:5">
      <c r="A2282" s="61" t="s">
        <v>45</v>
      </c>
      <c r="B2282" s="61" t="s">
        <v>380</v>
      </c>
      <c r="C2282" s="62">
        <v>44774</v>
      </c>
      <c r="D2282" s="62">
        <v>44774</v>
      </c>
      <c r="E2282" s="63">
        <v>147.95000000000002</v>
      </c>
    </row>
    <row r="2283" spans="1:5">
      <c r="A2283" s="61" t="s">
        <v>45</v>
      </c>
      <c r="B2283" s="61" t="s">
        <v>380</v>
      </c>
      <c r="C2283" s="62">
        <v>44775</v>
      </c>
      <c r="D2283" s="62">
        <v>44775</v>
      </c>
      <c r="E2283" s="63">
        <v>-0.01</v>
      </c>
    </row>
    <row r="2284" spans="1:5">
      <c r="A2284" s="61" t="s">
        <v>45</v>
      </c>
      <c r="B2284" s="61" t="s">
        <v>380</v>
      </c>
      <c r="C2284" s="62">
        <v>44776</v>
      </c>
      <c r="D2284" s="62">
        <v>44776</v>
      </c>
      <c r="E2284" s="63">
        <v>4.22</v>
      </c>
    </row>
    <row r="2285" spans="1:5">
      <c r="A2285" s="61" t="s">
        <v>45</v>
      </c>
      <c r="B2285" s="61" t="s">
        <v>380</v>
      </c>
      <c r="C2285" s="62">
        <v>44777</v>
      </c>
      <c r="D2285" s="62">
        <v>44777</v>
      </c>
      <c r="E2285" s="63">
        <v>16.16</v>
      </c>
    </row>
    <row r="2286" spans="1:5">
      <c r="A2286" s="61" t="s">
        <v>45</v>
      </c>
      <c r="B2286" s="61" t="s">
        <v>380</v>
      </c>
      <c r="C2286" s="62">
        <v>44778</v>
      </c>
      <c r="D2286" s="62">
        <v>44778</v>
      </c>
      <c r="E2286" s="63">
        <v>69.72</v>
      </c>
    </row>
    <row r="2287" spans="1:5">
      <c r="A2287" s="61" t="s">
        <v>45</v>
      </c>
      <c r="B2287" s="61" t="s">
        <v>380</v>
      </c>
      <c r="C2287" s="62">
        <v>44779</v>
      </c>
      <c r="D2287" s="62">
        <v>44779</v>
      </c>
      <c r="E2287" s="63">
        <v>0</v>
      </c>
    </row>
    <row r="2288" spans="1:5">
      <c r="A2288" s="61" t="s">
        <v>45</v>
      </c>
      <c r="B2288" s="61" t="s">
        <v>380</v>
      </c>
      <c r="C2288" s="62">
        <v>44780</v>
      </c>
      <c r="D2288" s="62">
        <v>44780</v>
      </c>
      <c r="E2288" s="63">
        <v>0</v>
      </c>
    </row>
    <row r="2289" spans="1:5">
      <c r="A2289" s="61" t="s">
        <v>45</v>
      </c>
      <c r="B2289" s="61" t="s">
        <v>380</v>
      </c>
      <c r="C2289" s="62">
        <v>44781</v>
      </c>
      <c r="D2289" s="62">
        <v>44781</v>
      </c>
      <c r="E2289" s="63">
        <v>1.61</v>
      </c>
    </row>
    <row r="2290" spans="1:5">
      <c r="A2290" s="61" t="s">
        <v>45</v>
      </c>
      <c r="B2290" s="61" t="s">
        <v>380</v>
      </c>
      <c r="C2290" s="62">
        <v>44782</v>
      </c>
      <c r="D2290" s="62">
        <v>44782</v>
      </c>
      <c r="E2290" s="63">
        <v>0</v>
      </c>
    </row>
    <row r="2291" spans="1:5">
      <c r="A2291" s="61" t="s">
        <v>45</v>
      </c>
      <c r="B2291" s="61" t="s">
        <v>380</v>
      </c>
      <c r="C2291" s="62">
        <v>44783</v>
      </c>
      <c r="D2291" s="62">
        <v>44783</v>
      </c>
      <c r="E2291" s="63">
        <v>0</v>
      </c>
    </row>
    <row r="2292" spans="1:5">
      <c r="A2292" s="61" t="s">
        <v>45</v>
      </c>
      <c r="B2292" s="61" t="s">
        <v>380</v>
      </c>
      <c r="C2292" s="62">
        <v>44784</v>
      </c>
      <c r="D2292" s="62">
        <v>44784</v>
      </c>
      <c r="E2292" s="63">
        <v>0</v>
      </c>
    </row>
    <row r="2293" spans="1:5">
      <c r="A2293" s="61" t="s">
        <v>45</v>
      </c>
      <c r="B2293" s="61" t="s">
        <v>380</v>
      </c>
      <c r="C2293" s="62">
        <v>44785</v>
      </c>
      <c r="D2293" s="62">
        <v>44785</v>
      </c>
      <c r="E2293" s="63">
        <v>0</v>
      </c>
    </row>
    <row r="2294" spans="1:5">
      <c r="A2294" s="61" t="s">
        <v>45</v>
      </c>
      <c r="B2294" s="61" t="s">
        <v>380</v>
      </c>
      <c r="C2294" s="62">
        <v>44786</v>
      </c>
      <c r="D2294" s="62">
        <v>44786</v>
      </c>
      <c r="E2294" s="63">
        <v>0</v>
      </c>
    </row>
    <row r="2295" spans="1:5">
      <c r="A2295" s="61" t="s">
        <v>45</v>
      </c>
      <c r="B2295" s="61" t="s">
        <v>380</v>
      </c>
      <c r="C2295" s="62">
        <v>44787</v>
      </c>
      <c r="D2295" s="62">
        <v>44787</v>
      </c>
      <c r="E2295" s="63">
        <v>0</v>
      </c>
    </row>
    <row r="2296" spans="1:5">
      <c r="A2296" s="61" t="s">
        <v>45</v>
      </c>
      <c r="B2296" s="61" t="s">
        <v>380</v>
      </c>
      <c r="C2296" s="62">
        <v>44788</v>
      </c>
      <c r="D2296" s="62">
        <v>44788</v>
      </c>
      <c r="E2296" s="63">
        <v>0</v>
      </c>
    </row>
    <row r="2297" spans="1:5">
      <c r="A2297" s="61" t="s">
        <v>45</v>
      </c>
      <c r="B2297" s="61" t="s">
        <v>380</v>
      </c>
      <c r="C2297" s="62">
        <v>44789</v>
      </c>
      <c r="D2297" s="62">
        <v>44789</v>
      </c>
      <c r="E2297" s="63">
        <v>18.810000000000002</v>
      </c>
    </row>
    <row r="2298" spans="1:5">
      <c r="A2298" s="61" t="s">
        <v>45</v>
      </c>
      <c r="B2298" s="61" t="s">
        <v>380</v>
      </c>
      <c r="C2298" s="62">
        <v>44790</v>
      </c>
      <c r="D2298" s="62">
        <v>44790</v>
      </c>
      <c r="E2298" s="63">
        <v>0</v>
      </c>
    </row>
    <row r="2299" spans="1:5">
      <c r="A2299" s="61" t="s">
        <v>45</v>
      </c>
      <c r="B2299" s="61" t="s">
        <v>380</v>
      </c>
      <c r="C2299" s="62">
        <v>44791</v>
      </c>
      <c r="D2299" s="62">
        <v>44791</v>
      </c>
      <c r="E2299" s="63">
        <v>0</v>
      </c>
    </row>
    <row r="2300" spans="1:5">
      <c r="A2300" s="61" t="s">
        <v>45</v>
      </c>
      <c r="B2300" s="61" t="s">
        <v>380</v>
      </c>
      <c r="C2300" s="62">
        <v>44792</v>
      </c>
      <c r="D2300" s="62">
        <v>44792</v>
      </c>
      <c r="E2300" s="63">
        <v>0.28000000000000003</v>
      </c>
    </row>
    <row r="2301" spans="1:5">
      <c r="A2301" s="61" t="s">
        <v>45</v>
      </c>
      <c r="B2301" s="61" t="s">
        <v>380</v>
      </c>
      <c r="C2301" s="62">
        <v>44793</v>
      </c>
      <c r="D2301" s="62">
        <v>44793</v>
      </c>
      <c r="E2301" s="63">
        <v>0</v>
      </c>
    </row>
    <row r="2302" spans="1:5">
      <c r="A2302" s="61" t="s">
        <v>45</v>
      </c>
      <c r="B2302" s="61" t="s">
        <v>380</v>
      </c>
      <c r="C2302" s="62">
        <v>44794</v>
      </c>
      <c r="D2302" s="62">
        <v>44794</v>
      </c>
      <c r="E2302" s="63">
        <v>0</v>
      </c>
    </row>
    <row r="2303" spans="1:5">
      <c r="A2303" s="61" t="s">
        <v>45</v>
      </c>
      <c r="B2303" s="61" t="s">
        <v>380</v>
      </c>
      <c r="C2303" s="62">
        <v>44795</v>
      </c>
      <c r="D2303" s="62">
        <v>44795</v>
      </c>
      <c r="E2303" s="63">
        <v>13.76</v>
      </c>
    </row>
    <row r="2304" spans="1:5">
      <c r="A2304" s="61" t="s">
        <v>45</v>
      </c>
      <c r="B2304" s="61" t="s">
        <v>380</v>
      </c>
      <c r="C2304" s="62">
        <v>44796</v>
      </c>
      <c r="D2304" s="62">
        <v>44796</v>
      </c>
      <c r="E2304" s="63">
        <v>296.10000000000002</v>
      </c>
    </row>
    <row r="2305" spans="1:5">
      <c r="A2305" s="61" t="s">
        <v>45</v>
      </c>
      <c r="B2305" s="61" t="s">
        <v>380</v>
      </c>
      <c r="C2305" s="62">
        <v>44797</v>
      </c>
      <c r="D2305" s="62">
        <v>44797</v>
      </c>
      <c r="E2305" s="63">
        <v>4.18</v>
      </c>
    </row>
    <row r="2306" spans="1:5">
      <c r="A2306" s="61" t="s">
        <v>45</v>
      </c>
      <c r="B2306" s="61" t="s">
        <v>380</v>
      </c>
      <c r="C2306" s="62">
        <v>44798</v>
      </c>
      <c r="D2306" s="62">
        <v>44798</v>
      </c>
      <c r="E2306" s="63">
        <v>0</v>
      </c>
    </row>
    <row r="2307" spans="1:5">
      <c r="A2307" s="61" t="s">
        <v>45</v>
      </c>
      <c r="B2307" s="61" t="s">
        <v>380</v>
      </c>
      <c r="C2307" s="62">
        <v>44799</v>
      </c>
      <c r="D2307" s="62">
        <v>44799</v>
      </c>
      <c r="E2307" s="63">
        <v>0</v>
      </c>
    </row>
    <row r="2308" spans="1:5">
      <c r="A2308" s="61" t="s">
        <v>45</v>
      </c>
      <c r="B2308" s="61" t="s">
        <v>380</v>
      </c>
      <c r="C2308" s="62">
        <v>44800</v>
      </c>
      <c r="D2308" s="62">
        <v>44800</v>
      </c>
      <c r="E2308" s="63">
        <v>0</v>
      </c>
    </row>
    <row r="2309" spans="1:5">
      <c r="A2309" s="61" t="s">
        <v>45</v>
      </c>
      <c r="B2309" s="61" t="s">
        <v>380</v>
      </c>
      <c r="C2309" s="62">
        <v>44801</v>
      </c>
      <c r="D2309" s="62">
        <v>44801</v>
      </c>
      <c r="E2309" s="63">
        <v>0</v>
      </c>
    </row>
    <row r="2310" spans="1:5">
      <c r="A2310" s="61" t="s">
        <v>45</v>
      </c>
      <c r="B2310" s="61" t="s">
        <v>380</v>
      </c>
      <c r="C2310" s="62">
        <v>44802</v>
      </c>
      <c r="D2310" s="62">
        <v>44802</v>
      </c>
      <c r="E2310" s="63">
        <v>0</v>
      </c>
    </row>
    <row r="2311" spans="1:5">
      <c r="A2311" s="61" t="s">
        <v>45</v>
      </c>
      <c r="B2311" s="61" t="s">
        <v>380</v>
      </c>
      <c r="C2311" s="62">
        <v>44803</v>
      </c>
      <c r="D2311" s="62">
        <v>44803</v>
      </c>
      <c r="E2311" s="63">
        <v>0</v>
      </c>
    </row>
    <row r="2312" spans="1:5">
      <c r="A2312" s="61" t="s">
        <v>163</v>
      </c>
      <c r="B2312" s="61" t="s">
        <v>381</v>
      </c>
      <c r="C2312" s="62">
        <v>44774</v>
      </c>
      <c r="D2312" s="62">
        <v>44774</v>
      </c>
      <c r="E2312" s="63">
        <v>0</v>
      </c>
    </row>
    <row r="2313" spans="1:5">
      <c r="A2313" s="61" t="s">
        <v>163</v>
      </c>
      <c r="B2313" s="61" t="s">
        <v>381</v>
      </c>
      <c r="C2313" s="62">
        <v>44775</v>
      </c>
      <c r="D2313" s="62">
        <v>44775</v>
      </c>
      <c r="E2313" s="63">
        <v>0</v>
      </c>
    </row>
    <row r="2314" spans="1:5">
      <c r="A2314" s="61" t="s">
        <v>163</v>
      </c>
      <c r="B2314" s="61" t="s">
        <v>381</v>
      </c>
      <c r="C2314" s="62">
        <v>44776</v>
      </c>
      <c r="D2314" s="62">
        <v>44776</v>
      </c>
      <c r="E2314" s="63">
        <v>0</v>
      </c>
    </row>
    <row r="2315" spans="1:5">
      <c r="A2315" s="61" t="s">
        <v>163</v>
      </c>
      <c r="B2315" s="61" t="s">
        <v>381</v>
      </c>
      <c r="C2315" s="62">
        <v>44777</v>
      </c>
      <c r="D2315" s="62">
        <v>44777</v>
      </c>
      <c r="E2315" s="63">
        <v>0</v>
      </c>
    </row>
    <row r="2316" spans="1:5">
      <c r="A2316" s="61" t="s">
        <v>163</v>
      </c>
      <c r="B2316" s="61" t="s">
        <v>381</v>
      </c>
      <c r="C2316" s="62">
        <v>44778</v>
      </c>
      <c r="D2316" s="62">
        <v>44778</v>
      </c>
      <c r="E2316" s="63">
        <v>0</v>
      </c>
    </row>
    <row r="2317" spans="1:5">
      <c r="A2317" s="61" t="s">
        <v>163</v>
      </c>
      <c r="B2317" s="61" t="s">
        <v>381</v>
      </c>
      <c r="C2317" s="62">
        <v>44779</v>
      </c>
      <c r="D2317" s="62">
        <v>44779</v>
      </c>
      <c r="E2317" s="63">
        <v>0</v>
      </c>
    </row>
    <row r="2318" spans="1:5">
      <c r="A2318" s="61" t="s">
        <v>163</v>
      </c>
      <c r="B2318" s="61" t="s">
        <v>381</v>
      </c>
      <c r="C2318" s="62">
        <v>44780</v>
      </c>
      <c r="D2318" s="62">
        <v>44780</v>
      </c>
      <c r="E2318" s="63">
        <v>0</v>
      </c>
    </row>
    <row r="2319" spans="1:5">
      <c r="A2319" s="61" t="s">
        <v>163</v>
      </c>
      <c r="B2319" s="61" t="s">
        <v>381</v>
      </c>
      <c r="C2319" s="62">
        <v>44781</v>
      </c>
      <c r="D2319" s="62">
        <v>44781</v>
      </c>
      <c r="E2319" s="63">
        <v>0</v>
      </c>
    </row>
    <row r="2320" spans="1:5">
      <c r="A2320" s="61" t="s">
        <v>163</v>
      </c>
      <c r="B2320" s="61" t="s">
        <v>381</v>
      </c>
      <c r="C2320" s="62">
        <v>44782</v>
      </c>
      <c r="D2320" s="62">
        <v>44782</v>
      </c>
      <c r="E2320" s="63">
        <v>0</v>
      </c>
    </row>
    <row r="2321" spans="1:5">
      <c r="A2321" s="61" t="s">
        <v>163</v>
      </c>
      <c r="B2321" s="61" t="s">
        <v>381</v>
      </c>
      <c r="C2321" s="62">
        <v>44783</v>
      </c>
      <c r="D2321" s="62">
        <v>44783</v>
      </c>
      <c r="E2321" s="63">
        <v>0</v>
      </c>
    </row>
    <row r="2322" spans="1:5">
      <c r="A2322" s="61" t="s">
        <v>163</v>
      </c>
      <c r="B2322" s="61" t="s">
        <v>381</v>
      </c>
      <c r="C2322" s="62">
        <v>44784</v>
      </c>
      <c r="D2322" s="62">
        <v>44784</v>
      </c>
      <c r="E2322" s="63">
        <v>0</v>
      </c>
    </row>
    <row r="2323" spans="1:5">
      <c r="A2323" s="61" t="s">
        <v>163</v>
      </c>
      <c r="B2323" s="61" t="s">
        <v>381</v>
      </c>
      <c r="C2323" s="62">
        <v>44785</v>
      </c>
      <c r="D2323" s="62">
        <v>44785</v>
      </c>
      <c r="E2323" s="63">
        <v>0</v>
      </c>
    </row>
    <row r="2324" spans="1:5">
      <c r="A2324" s="61" t="s">
        <v>163</v>
      </c>
      <c r="B2324" s="61" t="s">
        <v>381</v>
      </c>
      <c r="C2324" s="62">
        <v>44786</v>
      </c>
      <c r="D2324" s="62">
        <v>44786</v>
      </c>
      <c r="E2324" s="63">
        <v>0</v>
      </c>
    </row>
    <row r="2325" spans="1:5">
      <c r="A2325" s="61" t="s">
        <v>163</v>
      </c>
      <c r="B2325" s="61" t="s">
        <v>381</v>
      </c>
      <c r="C2325" s="62">
        <v>44787</v>
      </c>
      <c r="D2325" s="62">
        <v>44787</v>
      </c>
      <c r="E2325" s="63">
        <v>0</v>
      </c>
    </row>
    <row r="2326" spans="1:5">
      <c r="A2326" s="61" t="s">
        <v>163</v>
      </c>
      <c r="B2326" s="61" t="s">
        <v>381</v>
      </c>
      <c r="C2326" s="62">
        <v>44788</v>
      </c>
      <c r="D2326" s="62">
        <v>44788</v>
      </c>
      <c r="E2326" s="63">
        <v>0</v>
      </c>
    </row>
    <row r="2327" spans="1:5">
      <c r="A2327" s="61" t="s">
        <v>163</v>
      </c>
      <c r="B2327" s="61" t="s">
        <v>381</v>
      </c>
      <c r="C2327" s="62">
        <v>44789</v>
      </c>
      <c r="D2327" s="62">
        <v>44789</v>
      </c>
      <c r="E2327" s="63">
        <v>0</v>
      </c>
    </row>
    <row r="2328" spans="1:5">
      <c r="A2328" s="61" t="s">
        <v>163</v>
      </c>
      <c r="B2328" s="61" t="s">
        <v>381</v>
      </c>
      <c r="C2328" s="62">
        <v>44790</v>
      </c>
      <c r="D2328" s="62">
        <v>44790</v>
      </c>
      <c r="E2328" s="63">
        <v>0</v>
      </c>
    </row>
    <row r="2329" spans="1:5">
      <c r="A2329" s="61" t="s">
        <v>163</v>
      </c>
      <c r="B2329" s="61" t="s">
        <v>381</v>
      </c>
      <c r="C2329" s="62">
        <v>44791</v>
      </c>
      <c r="D2329" s="62">
        <v>44791</v>
      </c>
      <c r="E2329" s="63">
        <v>0</v>
      </c>
    </row>
    <row r="2330" spans="1:5">
      <c r="A2330" s="61" t="s">
        <v>163</v>
      </c>
      <c r="B2330" s="61" t="s">
        <v>381</v>
      </c>
      <c r="C2330" s="62">
        <v>44792</v>
      </c>
      <c r="D2330" s="62">
        <v>44792</v>
      </c>
      <c r="E2330" s="63">
        <v>0</v>
      </c>
    </row>
    <row r="2331" spans="1:5">
      <c r="A2331" s="61" t="s">
        <v>163</v>
      </c>
      <c r="B2331" s="61" t="s">
        <v>381</v>
      </c>
      <c r="C2331" s="62">
        <v>44793</v>
      </c>
      <c r="D2331" s="62">
        <v>44793</v>
      </c>
      <c r="E2331" s="63">
        <v>0</v>
      </c>
    </row>
    <row r="2332" spans="1:5">
      <c r="A2332" s="61" t="s">
        <v>163</v>
      </c>
      <c r="B2332" s="61" t="s">
        <v>381</v>
      </c>
      <c r="C2332" s="62">
        <v>44794</v>
      </c>
      <c r="D2332" s="62">
        <v>44794</v>
      </c>
      <c r="E2332" s="63">
        <v>0</v>
      </c>
    </row>
    <row r="2333" spans="1:5">
      <c r="A2333" s="61" t="s">
        <v>163</v>
      </c>
      <c r="B2333" s="61" t="s">
        <v>381</v>
      </c>
      <c r="C2333" s="62">
        <v>44795</v>
      </c>
      <c r="D2333" s="62">
        <v>44795</v>
      </c>
      <c r="E2333" s="63">
        <v>0</v>
      </c>
    </row>
    <row r="2334" spans="1:5">
      <c r="A2334" s="61" t="s">
        <v>163</v>
      </c>
      <c r="B2334" s="61" t="s">
        <v>381</v>
      </c>
      <c r="C2334" s="62">
        <v>44796</v>
      </c>
      <c r="D2334" s="62">
        <v>44796</v>
      </c>
      <c r="E2334" s="63">
        <v>0</v>
      </c>
    </row>
    <row r="2335" spans="1:5">
      <c r="A2335" s="61" t="s">
        <v>163</v>
      </c>
      <c r="B2335" s="61" t="s">
        <v>381</v>
      </c>
      <c r="C2335" s="62">
        <v>44797</v>
      </c>
      <c r="D2335" s="62">
        <v>44797</v>
      </c>
      <c r="E2335" s="63">
        <v>0</v>
      </c>
    </row>
    <row r="2336" spans="1:5">
      <c r="A2336" s="61" t="s">
        <v>163</v>
      </c>
      <c r="B2336" s="61" t="s">
        <v>381</v>
      </c>
      <c r="C2336" s="62">
        <v>44798</v>
      </c>
      <c r="D2336" s="62">
        <v>44798</v>
      </c>
      <c r="E2336" s="63">
        <v>0</v>
      </c>
    </row>
    <row r="2337" spans="1:5">
      <c r="A2337" s="61" t="s">
        <v>163</v>
      </c>
      <c r="B2337" s="61" t="s">
        <v>381</v>
      </c>
      <c r="C2337" s="62">
        <v>44799</v>
      </c>
      <c r="D2337" s="62">
        <v>44799</v>
      </c>
      <c r="E2337" s="63">
        <v>0</v>
      </c>
    </row>
    <row r="2338" spans="1:5">
      <c r="A2338" s="61" t="s">
        <v>163</v>
      </c>
      <c r="B2338" s="61" t="s">
        <v>381</v>
      </c>
      <c r="C2338" s="62">
        <v>44800</v>
      </c>
      <c r="D2338" s="62">
        <v>44800</v>
      </c>
      <c r="E2338" s="63">
        <v>0</v>
      </c>
    </row>
    <row r="2339" spans="1:5">
      <c r="A2339" s="61" t="s">
        <v>163</v>
      </c>
      <c r="B2339" s="61" t="s">
        <v>381</v>
      </c>
      <c r="C2339" s="62">
        <v>44801</v>
      </c>
      <c r="D2339" s="62">
        <v>44801</v>
      </c>
      <c r="E2339" s="63">
        <v>0</v>
      </c>
    </row>
    <row r="2340" spans="1:5">
      <c r="A2340" s="61" t="s">
        <v>163</v>
      </c>
      <c r="B2340" s="61" t="s">
        <v>381</v>
      </c>
      <c r="C2340" s="62">
        <v>44802</v>
      </c>
      <c r="D2340" s="62">
        <v>44802</v>
      </c>
      <c r="E2340" s="63">
        <v>0</v>
      </c>
    </row>
    <row r="2341" spans="1:5">
      <c r="A2341" s="61" t="s">
        <v>163</v>
      </c>
      <c r="B2341" s="61" t="s">
        <v>381</v>
      </c>
      <c r="C2341" s="62">
        <v>44803</v>
      </c>
      <c r="D2341" s="62">
        <v>44803</v>
      </c>
      <c r="E2341" s="63">
        <v>0</v>
      </c>
    </row>
    <row r="2342" spans="1:5">
      <c r="A2342" s="61" t="s">
        <v>164</v>
      </c>
      <c r="B2342" s="61" t="s">
        <v>382</v>
      </c>
      <c r="C2342" s="62">
        <v>44774</v>
      </c>
      <c r="D2342" s="62">
        <v>44774</v>
      </c>
      <c r="E2342" s="63">
        <v>21.18</v>
      </c>
    </row>
    <row r="2343" spans="1:5">
      <c r="A2343" s="61" t="s">
        <v>164</v>
      </c>
      <c r="B2343" s="61" t="s">
        <v>382</v>
      </c>
      <c r="C2343" s="62">
        <v>44775</v>
      </c>
      <c r="D2343" s="62">
        <v>44775</v>
      </c>
      <c r="E2343" s="63">
        <v>0</v>
      </c>
    </row>
    <row r="2344" spans="1:5">
      <c r="A2344" s="61" t="s">
        <v>164</v>
      </c>
      <c r="B2344" s="61" t="s">
        <v>382</v>
      </c>
      <c r="C2344" s="62">
        <v>44776</v>
      </c>
      <c r="D2344" s="62">
        <v>44776</v>
      </c>
      <c r="E2344" s="63">
        <v>10.08</v>
      </c>
    </row>
    <row r="2345" spans="1:5">
      <c r="A2345" s="61" t="s">
        <v>164</v>
      </c>
      <c r="B2345" s="61" t="s">
        <v>382</v>
      </c>
      <c r="C2345" s="62">
        <v>44777</v>
      </c>
      <c r="D2345" s="62">
        <v>44777</v>
      </c>
      <c r="E2345" s="63">
        <v>0</v>
      </c>
    </row>
    <row r="2346" spans="1:5">
      <c r="A2346" s="61" t="s">
        <v>164</v>
      </c>
      <c r="B2346" s="61" t="s">
        <v>382</v>
      </c>
      <c r="C2346" s="62">
        <v>44778</v>
      </c>
      <c r="D2346" s="62">
        <v>44778</v>
      </c>
      <c r="E2346" s="63">
        <v>0.15000000000000002</v>
      </c>
    </row>
    <row r="2347" spans="1:5">
      <c r="A2347" s="61" t="s">
        <v>164</v>
      </c>
      <c r="B2347" s="61" t="s">
        <v>382</v>
      </c>
      <c r="C2347" s="62">
        <v>44779</v>
      </c>
      <c r="D2347" s="62">
        <v>44779</v>
      </c>
      <c r="E2347" s="63">
        <v>0</v>
      </c>
    </row>
    <row r="2348" spans="1:5">
      <c r="A2348" s="61" t="s">
        <v>164</v>
      </c>
      <c r="B2348" s="61" t="s">
        <v>382</v>
      </c>
      <c r="C2348" s="62">
        <v>44780</v>
      </c>
      <c r="D2348" s="62">
        <v>44780</v>
      </c>
      <c r="E2348" s="63">
        <v>0</v>
      </c>
    </row>
    <row r="2349" spans="1:5">
      <c r="A2349" s="61" t="s">
        <v>164</v>
      </c>
      <c r="B2349" s="61" t="s">
        <v>382</v>
      </c>
      <c r="C2349" s="62">
        <v>44781</v>
      </c>
      <c r="D2349" s="62">
        <v>44781</v>
      </c>
      <c r="E2349" s="63">
        <v>0</v>
      </c>
    </row>
    <row r="2350" spans="1:5">
      <c r="A2350" s="61" t="s">
        <v>164</v>
      </c>
      <c r="B2350" s="61" t="s">
        <v>382</v>
      </c>
      <c r="C2350" s="62">
        <v>44782</v>
      </c>
      <c r="D2350" s="62">
        <v>44782</v>
      </c>
      <c r="E2350" s="63">
        <v>71.570000000000007</v>
      </c>
    </row>
    <row r="2351" spans="1:5">
      <c r="A2351" s="61" t="s">
        <v>164</v>
      </c>
      <c r="B2351" s="61" t="s">
        <v>382</v>
      </c>
      <c r="C2351" s="62">
        <v>44783</v>
      </c>
      <c r="D2351" s="62">
        <v>44783</v>
      </c>
      <c r="E2351" s="63">
        <v>17.3</v>
      </c>
    </row>
    <row r="2352" spans="1:5">
      <c r="A2352" s="61" t="s">
        <v>164</v>
      </c>
      <c r="B2352" s="61" t="s">
        <v>382</v>
      </c>
      <c r="C2352" s="62">
        <v>44784</v>
      </c>
      <c r="D2352" s="62">
        <v>44784</v>
      </c>
      <c r="E2352" s="63">
        <v>5.17</v>
      </c>
    </row>
    <row r="2353" spans="1:5">
      <c r="A2353" s="61" t="s">
        <v>164</v>
      </c>
      <c r="B2353" s="61" t="s">
        <v>382</v>
      </c>
      <c r="C2353" s="62">
        <v>44785</v>
      </c>
      <c r="D2353" s="62">
        <v>44785</v>
      </c>
      <c r="E2353" s="63">
        <v>3.8399999999999994</v>
      </c>
    </row>
    <row r="2354" spans="1:5">
      <c r="A2354" s="61" t="s">
        <v>164</v>
      </c>
      <c r="B2354" s="61" t="s">
        <v>382</v>
      </c>
      <c r="C2354" s="62">
        <v>44786</v>
      </c>
      <c r="D2354" s="62">
        <v>44786</v>
      </c>
      <c r="E2354" s="63">
        <v>0</v>
      </c>
    </row>
    <row r="2355" spans="1:5">
      <c r="A2355" s="61" t="s">
        <v>164</v>
      </c>
      <c r="B2355" s="61" t="s">
        <v>382</v>
      </c>
      <c r="C2355" s="62">
        <v>44787</v>
      </c>
      <c r="D2355" s="62">
        <v>44787</v>
      </c>
      <c r="E2355" s="63">
        <v>0</v>
      </c>
    </row>
    <row r="2356" spans="1:5">
      <c r="A2356" s="61" t="s">
        <v>164</v>
      </c>
      <c r="B2356" s="61" t="s">
        <v>382</v>
      </c>
      <c r="C2356" s="62">
        <v>44788</v>
      </c>
      <c r="D2356" s="62">
        <v>44788</v>
      </c>
      <c r="E2356" s="63">
        <v>0</v>
      </c>
    </row>
    <row r="2357" spans="1:5">
      <c r="A2357" s="61" t="s">
        <v>164</v>
      </c>
      <c r="B2357" s="61" t="s">
        <v>382</v>
      </c>
      <c r="C2357" s="62">
        <v>44789</v>
      </c>
      <c r="D2357" s="62">
        <v>44789</v>
      </c>
      <c r="E2357" s="63">
        <v>0</v>
      </c>
    </row>
    <row r="2358" spans="1:5">
      <c r="A2358" s="61" t="s">
        <v>164</v>
      </c>
      <c r="B2358" s="61" t="s">
        <v>382</v>
      </c>
      <c r="C2358" s="62">
        <v>44790</v>
      </c>
      <c r="D2358" s="62">
        <v>44790</v>
      </c>
      <c r="E2358" s="63">
        <v>0</v>
      </c>
    </row>
    <row r="2359" spans="1:5">
      <c r="A2359" s="61" t="s">
        <v>164</v>
      </c>
      <c r="B2359" s="61" t="s">
        <v>382</v>
      </c>
      <c r="C2359" s="62">
        <v>44791</v>
      </c>
      <c r="D2359" s="62">
        <v>44791</v>
      </c>
      <c r="E2359" s="63">
        <v>0</v>
      </c>
    </row>
    <row r="2360" spans="1:5">
      <c r="A2360" s="61" t="s">
        <v>164</v>
      </c>
      <c r="B2360" s="61" t="s">
        <v>382</v>
      </c>
      <c r="C2360" s="62">
        <v>44792</v>
      </c>
      <c r="D2360" s="62">
        <v>44792</v>
      </c>
      <c r="E2360" s="63">
        <v>70.750000000000071</v>
      </c>
    </row>
    <row r="2361" spans="1:5">
      <c r="A2361" s="61" t="s">
        <v>164</v>
      </c>
      <c r="B2361" s="61" t="s">
        <v>382</v>
      </c>
      <c r="C2361" s="62">
        <v>44793</v>
      </c>
      <c r="D2361" s="62">
        <v>44793</v>
      </c>
      <c r="E2361" s="63">
        <v>0</v>
      </c>
    </row>
    <row r="2362" spans="1:5">
      <c r="A2362" s="61" t="s">
        <v>164</v>
      </c>
      <c r="B2362" s="61" t="s">
        <v>382</v>
      </c>
      <c r="C2362" s="62">
        <v>44794</v>
      </c>
      <c r="D2362" s="62">
        <v>44794</v>
      </c>
      <c r="E2362" s="63">
        <v>0</v>
      </c>
    </row>
    <row r="2363" spans="1:5">
      <c r="A2363" s="61" t="s">
        <v>164</v>
      </c>
      <c r="B2363" s="61" t="s">
        <v>382</v>
      </c>
      <c r="C2363" s="62">
        <v>44795</v>
      </c>
      <c r="D2363" s="62">
        <v>44795</v>
      </c>
      <c r="E2363" s="63">
        <v>36.239999999999995</v>
      </c>
    </row>
    <row r="2364" spans="1:5">
      <c r="A2364" s="61" t="s">
        <v>164</v>
      </c>
      <c r="B2364" s="61" t="s">
        <v>382</v>
      </c>
      <c r="C2364" s="62">
        <v>44796</v>
      </c>
      <c r="D2364" s="62">
        <v>44796</v>
      </c>
      <c r="E2364" s="63">
        <v>0</v>
      </c>
    </row>
    <row r="2365" spans="1:5">
      <c r="A2365" s="61" t="s">
        <v>164</v>
      </c>
      <c r="B2365" s="61" t="s">
        <v>382</v>
      </c>
      <c r="C2365" s="62">
        <v>44797</v>
      </c>
      <c r="D2365" s="62">
        <v>44797</v>
      </c>
      <c r="E2365" s="63">
        <v>0.32</v>
      </c>
    </row>
    <row r="2366" spans="1:5">
      <c r="A2366" s="61" t="s">
        <v>164</v>
      </c>
      <c r="B2366" s="61" t="s">
        <v>382</v>
      </c>
      <c r="C2366" s="62">
        <v>44798</v>
      </c>
      <c r="D2366" s="62">
        <v>44798</v>
      </c>
      <c r="E2366" s="63">
        <v>0</v>
      </c>
    </row>
    <row r="2367" spans="1:5">
      <c r="A2367" s="61" t="s">
        <v>164</v>
      </c>
      <c r="B2367" s="61" t="s">
        <v>382</v>
      </c>
      <c r="C2367" s="62">
        <v>44799</v>
      </c>
      <c r="D2367" s="62">
        <v>44799</v>
      </c>
      <c r="E2367" s="63">
        <v>14.11</v>
      </c>
    </row>
    <row r="2368" spans="1:5">
      <c r="A2368" s="61" t="s">
        <v>164</v>
      </c>
      <c r="B2368" s="61" t="s">
        <v>382</v>
      </c>
      <c r="C2368" s="62">
        <v>44800</v>
      </c>
      <c r="D2368" s="62">
        <v>44800</v>
      </c>
      <c r="E2368" s="63">
        <v>0</v>
      </c>
    </row>
    <row r="2369" spans="1:5">
      <c r="A2369" s="61" t="s">
        <v>164</v>
      </c>
      <c r="B2369" s="61" t="s">
        <v>382</v>
      </c>
      <c r="C2369" s="62">
        <v>44801</v>
      </c>
      <c r="D2369" s="62">
        <v>44801</v>
      </c>
      <c r="E2369" s="63">
        <v>0</v>
      </c>
    </row>
    <row r="2370" spans="1:5">
      <c r="A2370" s="61" t="s">
        <v>164</v>
      </c>
      <c r="B2370" s="61" t="s">
        <v>382</v>
      </c>
      <c r="C2370" s="62">
        <v>44802</v>
      </c>
      <c r="D2370" s="62">
        <v>44802</v>
      </c>
      <c r="E2370" s="63">
        <v>4.01</v>
      </c>
    </row>
    <row r="2371" spans="1:5">
      <c r="A2371" s="61" t="s">
        <v>164</v>
      </c>
      <c r="B2371" s="61" t="s">
        <v>382</v>
      </c>
      <c r="C2371" s="62">
        <v>44803</v>
      </c>
      <c r="D2371" s="62">
        <v>44803</v>
      </c>
      <c r="E2371" s="63">
        <v>21.709999999999997</v>
      </c>
    </row>
    <row r="2372" spans="1:5">
      <c r="A2372" s="61" t="s">
        <v>165</v>
      </c>
      <c r="B2372" s="61" t="s">
        <v>383</v>
      </c>
      <c r="C2372" s="62">
        <v>44774</v>
      </c>
      <c r="D2372" s="62">
        <v>44774</v>
      </c>
      <c r="E2372" s="63">
        <v>0</v>
      </c>
    </row>
    <row r="2373" spans="1:5">
      <c r="A2373" s="61" t="s">
        <v>165</v>
      </c>
      <c r="B2373" s="61" t="s">
        <v>383</v>
      </c>
      <c r="C2373" s="62">
        <v>44775</v>
      </c>
      <c r="D2373" s="62">
        <v>44775</v>
      </c>
      <c r="E2373" s="63">
        <v>0</v>
      </c>
    </row>
    <row r="2374" spans="1:5">
      <c r="A2374" s="61" t="s">
        <v>165</v>
      </c>
      <c r="B2374" s="61" t="s">
        <v>383</v>
      </c>
      <c r="C2374" s="62">
        <v>44776</v>
      </c>
      <c r="D2374" s="62">
        <v>44776</v>
      </c>
      <c r="E2374" s="63">
        <v>0</v>
      </c>
    </row>
    <row r="2375" spans="1:5">
      <c r="A2375" s="61" t="s">
        <v>165</v>
      </c>
      <c r="B2375" s="61" t="s">
        <v>383</v>
      </c>
      <c r="C2375" s="62">
        <v>44777</v>
      </c>
      <c r="D2375" s="62">
        <v>44777</v>
      </c>
      <c r="E2375" s="63">
        <v>0</v>
      </c>
    </row>
    <row r="2376" spans="1:5">
      <c r="A2376" s="61" t="s">
        <v>165</v>
      </c>
      <c r="B2376" s="61" t="s">
        <v>383</v>
      </c>
      <c r="C2376" s="62">
        <v>44778</v>
      </c>
      <c r="D2376" s="62">
        <v>44778</v>
      </c>
      <c r="E2376" s="63">
        <v>0</v>
      </c>
    </row>
    <row r="2377" spans="1:5">
      <c r="A2377" s="61" t="s">
        <v>165</v>
      </c>
      <c r="B2377" s="61" t="s">
        <v>383</v>
      </c>
      <c r="C2377" s="62">
        <v>44779</v>
      </c>
      <c r="D2377" s="62">
        <v>44779</v>
      </c>
      <c r="E2377" s="63">
        <v>0</v>
      </c>
    </row>
    <row r="2378" spans="1:5">
      <c r="A2378" s="61" t="s">
        <v>165</v>
      </c>
      <c r="B2378" s="61" t="s">
        <v>383</v>
      </c>
      <c r="C2378" s="62">
        <v>44780</v>
      </c>
      <c r="D2378" s="62">
        <v>44780</v>
      </c>
      <c r="E2378" s="63">
        <v>0</v>
      </c>
    </row>
    <row r="2379" spans="1:5">
      <c r="A2379" s="61" t="s">
        <v>165</v>
      </c>
      <c r="B2379" s="61" t="s">
        <v>383</v>
      </c>
      <c r="C2379" s="62">
        <v>44781</v>
      </c>
      <c r="D2379" s="62">
        <v>44781</v>
      </c>
      <c r="E2379" s="63">
        <v>0</v>
      </c>
    </row>
    <row r="2380" spans="1:5">
      <c r="A2380" s="61" t="s">
        <v>165</v>
      </c>
      <c r="B2380" s="61" t="s">
        <v>383</v>
      </c>
      <c r="C2380" s="62">
        <v>44782</v>
      </c>
      <c r="D2380" s="62">
        <v>44782</v>
      </c>
      <c r="E2380" s="63">
        <v>0</v>
      </c>
    </row>
    <row r="2381" spans="1:5">
      <c r="A2381" s="61" t="s">
        <v>165</v>
      </c>
      <c r="B2381" s="61" t="s">
        <v>383</v>
      </c>
      <c r="C2381" s="62">
        <v>44783</v>
      </c>
      <c r="D2381" s="62">
        <v>44783</v>
      </c>
      <c r="E2381" s="63">
        <v>0</v>
      </c>
    </row>
    <row r="2382" spans="1:5">
      <c r="A2382" s="61" t="s">
        <v>165</v>
      </c>
      <c r="B2382" s="61" t="s">
        <v>383</v>
      </c>
      <c r="C2382" s="62">
        <v>44784</v>
      </c>
      <c r="D2382" s="62">
        <v>44784</v>
      </c>
      <c r="E2382" s="63">
        <v>0</v>
      </c>
    </row>
    <row r="2383" spans="1:5">
      <c r="A2383" s="61" t="s">
        <v>165</v>
      </c>
      <c r="B2383" s="61" t="s">
        <v>383</v>
      </c>
      <c r="C2383" s="62">
        <v>44785</v>
      </c>
      <c r="D2383" s="62">
        <v>44785</v>
      </c>
      <c r="E2383" s="63">
        <v>0</v>
      </c>
    </row>
    <row r="2384" spans="1:5">
      <c r="A2384" s="61" t="s">
        <v>165</v>
      </c>
      <c r="B2384" s="61" t="s">
        <v>383</v>
      </c>
      <c r="C2384" s="62">
        <v>44786</v>
      </c>
      <c r="D2384" s="62">
        <v>44786</v>
      </c>
      <c r="E2384" s="63">
        <v>0</v>
      </c>
    </row>
    <row r="2385" spans="1:5">
      <c r="A2385" s="61" t="s">
        <v>165</v>
      </c>
      <c r="B2385" s="61" t="s">
        <v>383</v>
      </c>
      <c r="C2385" s="62">
        <v>44787</v>
      </c>
      <c r="D2385" s="62">
        <v>44787</v>
      </c>
      <c r="E2385" s="63">
        <v>0</v>
      </c>
    </row>
    <row r="2386" spans="1:5">
      <c r="A2386" s="61" t="s">
        <v>165</v>
      </c>
      <c r="B2386" s="61" t="s">
        <v>383</v>
      </c>
      <c r="C2386" s="62">
        <v>44788</v>
      </c>
      <c r="D2386" s="62">
        <v>44788</v>
      </c>
      <c r="E2386" s="63">
        <v>0</v>
      </c>
    </row>
    <row r="2387" spans="1:5">
      <c r="A2387" s="61" t="s">
        <v>165</v>
      </c>
      <c r="B2387" s="61" t="s">
        <v>383</v>
      </c>
      <c r="C2387" s="62">
        <v>44789</v>
      </c>
      <c r="D2387" s="62">
        <v>44789</v>
      </c>
      <c r="E2387" s="63">
        <v>0</v>
      </c>
    </row>
    <row r="2388" spans="1:5">
      <c r="A2388" s="61" t="s">
        <v>165</v>
      </c>
      <c r="B2388" s="61" t="s">
        <v>383</v>
      </c>
      <c r="C2388" s="62">
        <v>44790</v>
      </c>
      <c r="D2388" s="62">
        <v>44790</v>
      </c>
      <c r="E2388" s="63">
        <v>0</v>
      </c>
    </row>
    <row r="2389" spans="1:5">
      <c r="A2389" s="61" t="s">
        <v>165</v>
      </c>
      <c r="B2389" s="61" t="s">
        <v>383</v>
      </c>
      <c r="C2389" s="62">
        <v>44791</v>
      </c>
      <c r="D2389" s="62">
        <v>44791</v>
      </c>
      <c r="E2389" s="63">
        <v>0</v>
      </c>
    </row>
    <row r="2390" spans="1:5">
      <c r="A2390" s="61" t="s">
        <v>165</v>
      </c>
      <c r="B2390" s="61" t="s">
        <v>383</v>
      </c>
      <c r="C2390" s="62">
        <v>44792</v>
      </c>
      <c r="D2390" s="62">
        <v>44792</v>
      </c>
      <c r="E2390" s="63">
        <v>0</v>
      </c>
    </row>
    <row r="2391" spans="1:5">
      <c r="A2391" s="61" t="s">
        <v>165</v>
      </c>
      <c r="B2391" s="61" t="s">
        <v>383</v>
      </c>
      <c r="C2391" s="62">
        <v>44793</v>
      </c>
      <c r="D2391" s="62">
        <v>44793</v>
      </c>
      <c r="E2391" s="63">
        <v>0</v>
      </c>
    </row>
    <row r="2392" spans="1:5">
      <c r="A2392" s="61" t="s">
        <v>165</v>
      </c>
      <c r="B2392" s="61" t="s">
        <v>383</v>
      </c>
      <c r="C2392" s="62">
        <v>44794</v>
      </c>
      <c r="D2392" s="62">
        <v>44794</v>
      </c>
      <c r="E2392" s="63">
        <v>0</v>
      </c>
    </row>
    <row r="2393" spans="1:5">
      <c r="A2393" s="61" t="s">
        <v>165</v>
      </c>
      <c r="B2393" s="61" t="s">
        <v>383</v>
      </c>
      <c r="C2393" s="62">
        <v>44795</v>
      </c>
      <c r="D2393" s="62">
        <v>44795</v>
      </c>
      <c r="E2393" s="63">
        <v>0</v>
      </c>
    </row>
    <row r="2394" spans="1:5">
      <c r="A2394" s="61" t="s">
        <v>165</v>
      </c>
      <c r="B2394" s="61" t="s">
        <v>383</v>
      </c>
      <c r="C2394" s="62">
        <v>44796</v>
      </c>
      <c r="D2394" s="62">
        <v>44796</v>
      </c>
      <c r="E2394" s="63">
        <v>0</v>
      </c>
    </row>
    <row r="2395" spans="1:5">
      <c r="A2395" s="61" t="s">
        <v>165</v>
      </c>
      <c r="B2395" s="61" t="s">
        <v>383</v>
      </c>
      <c r="C2395" s="62">
        <v>44797</v>
      </c>
      <c r="D2395" s="62">
        <v>44797</v>
      </c>
      <c r="E2395" s="63">
        <v>0</v>
      </c>
    </row>
    <row r="2396" spans="1:5">
      <c r="A2396" s="61" t="s">
        <v>165</v>
      </c>
      <c r="B2396" s="61" t="s">
        <v>383</v>
      </c>
      <c r="C2396" s="62">
        <v>44798</v>
      </c>
      <c r="D2396" s="62">
        <v>44798</v>
      </c>
      <c r="E2396" s="63">
        <v>0</v>
      </c>
    </row>
    <row r="2397" spans="1:5">
      <c r="A2397" s="61" t="s">
        <v>165</v>
      </c>
      <c r="B2397" s="61" t="s">
        <v>383</v>
      </c>
      <c r="C2397" s="62">
        <v>44799</v>
      </c>
      <c r="D2397" s="62">
        <v>44799</v>
      </c>
      <c r="E2397" s="63">
        <v>0</v>
      </c>
    </row>
    <row r="2398" spans="1:5">
      <c r="A2398" s="61" t="s">
        <v>165</v>
      </c>
      <c r="B2398" s="61" t="s">
        <v>383</v>
      </c>
      <c r="C2398" s="62">
        <v>44800</v>
      </c>
      <c r="D2398" s="62">
        <v>44800</v>
      </c>
      <c r="E2398" s="63">
        <v>0</v>
      </c>
    </row>
    <row r="2399" spans="1:5">
      <c r="A2399" s="61" t="s">
        <v>165</v>
      </c>
      <c r="B2399" s="61" t="s">
        <v>383</v>
      </c>
      <c r="C2399" s="62">
        <v>44801</v>
      </c>
      <c r="D2399" s="62">
        <v>44801</v>
      </c>
      <c r="E2399" s="63">
        <v>0</v>
      </c>
    </row>
    <row r="2400" spans="1:5">
      <c r="A2400" s="61" t="s">
        <v>165</v>
      </c>
      <c r="B2400" s="61" t="s">
        <v>383</v>
      </c>
      <c r="C2400" s="62">
        <v>44802</v>
      </c>
      <c r="D2400" s="62">
        <v>44802</v>
      </c>
      <c r="E2400" s="63">
        <v>0</v>
      </c>
    </row>
    <row r="2401" spans="1:5">
      <c r="A2401" s="61" t="s">
        <v>165</v>
      </c>
      <c r="B2401" s="61" t="s">
        <v>383</v>
      </c>
      <c r="C2401" s="62">
        <v>44803</v>
      </c>
      <c r="D2401" s="62">
        <v>44803</v>
      </c>
      <c r="E2401" s="63">
        <v>0</v>
      </c>
    </row>
    <row r="2402" spans="1:5">
      <c r="A2402" s="61" t="s">
        <v>47</v>
      </c>
      <c r="B2402" s="61" t="s">
        <v>380</v>
      </c>
      <c r="C2402" s="62">
        <v>44774</v>
      </c>
      <c r="D2402" s="62">
        <v>44774</v>
      </c>
      <c r="E2402" s="63">
        <v>0</v>
      </c>
    </row>
    <row r="2403" spans="1:5">
      <c r="A2403" s="61" t="s">
        <v>47</v>
      </c>
      <c r="B2403" s="61" t="s">
        <v>380</v>
      </c>
      <c r="C2403" s="62">
        <v>44775</v>
      </c>
      <c r="D2403" s="62">
        <v>44775</v>
      </c>
      <c r="E2403" s="63">
        <v>0</v>
      </c>
    </row>
    <row r="2404" spans="1:5">
      <c r="A2404" s="61" t="s">
        <v>47</v>
      </c>
      <c r="B2404" s="61" t="s">
        <v>380</v>
      </c>
      <c r="C2404" s="62">
        <v>44776</v>
      </c>
      <c r="D2404" s="62">
        <v>44776</v>
      </c>
      <c r="E2404" s="63">
        <v>0</v>
      </c>
    </row>
    <row r="2405" spans="1:5">
      <c r="A2405" s="61" t="s">
        <v>47</v>
      </c>
      <c r="B2405" s="61" t="s">
        <v>380</v>
      </c>
      <c r="C2405" s="62">
        <v>44777</v>
      </c>
      <c r="D2405" s="62">
        <v>44777</v>
      </c>
      <c r="E2405" s="63">
        <v>0</v>
      </c>
    </row>
    <row r="2406" spans="1:5">
      <c r="A2406" s="61" t="s">
        <v>47</v>
      </c>
      <c r="B2406" s="61" t="s">
        <v>380</v>
      </c>
      <c r="C2406" s="62">
        <v>44778</v>
      </c>
      <c r="D2406" s="62">
        <v>44778</v>
      </c>
      <c r="E2406" s="63">
        <v>0</v>
      </c>
    </row>
    <row r="2407" spans="1:5">
      <c r="A2407" s="61" t="s">
        <v>47</v>
      </c>
      <c r="B2407" s="61" t="s">
        <v>380</v>
      </c>
      <c r="C2407" s="62">
        <v>44779</v>
      </c>
      <c r="D2407" s="62">
        <v>44779</v>
      </c>
      <c r="E2407" s="63">
        <v>0</v>
      </c>
    </row>
    <row r="2408" spans="1:5">
      <c r="A2408" s="61" t="s">
        <v>47</v>
      </c>
      <c r="B2408" s="61" t="s">
        <v>380</v>
      </c>
      <c r="C2408" s="62">
        <v>44780</v>
      </c>
      <c r="D2408" s="62">
        <v>44780</v>
      </c>
      <c r="E2408" s="63">
        <v>0</v>
      </c>
    </row>
    <row r="2409" spans="1:5">
      <c r="A2409" s="61" t="s">
        <v>47</v>
      </c>
      <c r="B2409" s="61" t="s">
        <v>380</v>
      </c>
      <c r="C2409" s="62">
        <v>44781</v>
      </c>
      <c r="D2409" s="62">
        <v>44781</v>
      </c>
      <c r="E2409" s="63">
        <v>0</v>
      </c>
    </row>
    <row r="2410" spans="1:5">
      <c r="A2410" s="61" t="s">
        <v>47</v>
      </c>
      <c r="B2410" s="61" t="s">
        <v>380</v>
      </c>
      <c r="C2410" s="62">
        <v>44782</v>
      </c>
      <c r="D2410" s="62">
        <v>44782</v>
      </c>
      <c r="E2410" s="63">
        <v>1205.92</v>
      </c>
    </row>
    <row r="2411" spans="1:5">
      <c r="A2411" s="61" t="s">
        <v>47</v>
      </c>
      <c r="B2411" s="61" t="s">
        <v>380</v>
      </c>
      <c r="C2411" s="62">
        <v>44783</v>
      </c>
      <c r="D2411" s="62">
        <v>44783</v>
      </c>
      <c r="E2411" s="63">
        <v>0</v>
      </c>
    </row>
    <row r="2412" spans="1:5">
      <c r="A2412" s="61" t="s">
        <v>47</v>
      </c>
      <c r="B2412" s="61" t="s">
        <v>380</v>
      </c>
      <c r="C2412" s="62">
        <v>44784</v>
      </c>
      <c r="D2412" s="62">
        <v>44784</v>
      </c>
      <c r="E2412" s="63">
        <v>0</v>
      </c>
    </row>
    <row r="2413" spans="1:5">
      <c r="A2413" s="61" t="s">
        <v>47</v>
      </c>
      <c r="B2413" s="61" t="s">
        <v>380</v>
      </c>
      <c r="C2413" s="62">
        <v>44785</v>
      </c>
      <c r="D2413" s="62">
        <v>44785</v>
      </c>
      <c r="E2413" s="63">
        <v>0</v>
      </c>
    </row>
    <row r="2414" spans="1:5">
      <c r="A2414" s="61" t="s">
        <v>47</v>
      </c>
      <c r="B2414" s="61" t="s">
        <v>380</v>
      </c>
      <c r="C2414" s="62">
        <v>44786</v>
      </c>
      <c r="D2414" s="62">
        <v>44786</v>
      </c>
      <c r="E2414" s="63">
        <v>0</v>
      </c>
    </row>
    <row r="2415" spans="1:5">
      <c r="A2415" s="61" t="s">
        <v>47</v>
      </c>
      <c r="B2415" s="61" t="s">
        <v>380</v>
      </c>
      <c r="C2415" s="62">
        <v>44787</v>
      </c>
      <c r="D2415" s="62">
        <v>44787</v>
      </c>
      <c r="E2415" s="63">
        <v>0</v>
      </c>
    </row>
    <row r="2416" spans="1:5">
      <c r="A2416" s="61" t="s">
        <v>47</v>
      </c>
      <c r="B2416" s="61" t="s">
        <v>380</v>
      </c>
      <c r="C2416" s="62">
        <v>44788</v>
      </c>
      <c r="D2416" s="62">
        <v>44788</v>
      </c>
      <c r="E2416" s="63">
        <v>0</v>
      </c>
    </row>
    <row r="2417" spans="1:5">
      <c r="A2417" s="61" t="s">
        <v>47</v>
      </c>
      <c r="B2417" s="61" t="s">
        <v>380</v>
      </c>
      <c r="C2417" s="62">
        <v>44789</v>
      </c>
      <c r="D2417" s="62">
        <v>44789</v>
      </c>
      <c r="E2417" s="63">
        <v>3936.74</v>
      </c>
    </row>
    <row r="2418" spans="1:5">
      <c r="A2418" s="61" t="s">
        <v>47</v>
      </c>
      <c r="B2418" s="61" t="s">
        <v>380</v>
      </c>
      <c r="C2418" s="62">
        <v>44790</v>
      </c>
      <c r="D2418" s="62">
        <v>44790</v>
      </c>
      <c r="E2418" s="63">
        <v>0</v>
      </c>
    </row>
    <row r="2419" spans="1:5">
      <c r="A2419" s="61" t="s">
        <v>47</v>
      </c>
      <c r="B2419" s="61" t="s">
        <v>380</v>
      </c>
      <c r="C2419" s="62">
        <v>44791</v>
      </c>
      <c r="D2419" s="62">
        <v>44791</v>
      </c>
      <c r="E2419" s="63">
        <v>0</v>
      </c>
    </row>
    <row r="2420" spans="1:5">
      <c r="A2420" s="61" t="s">
        <v>47</v>
      </c>
      <c r="B2420" s="61" t="s">
        <v>380</v>
      </c>
      <c r="C2420" s="62">
        <v>44792</v>
      </c>
      <c r="D2420" s="62">
        <v>44792</v>
      </c>
      <c r="E2420" s="63">
        <v>0</v>
      </c>
    </row>
    <row r="2421" spans="1:5">
      <c r="A2421" s="61" t="s">
        <v>47</v>
      </c>
      <c r="B2421" s="61" t="s">
        <v>380</v>
      </c>
      <c r="C2421" s="62">
        <v>44793</v>
      </c>
      <c r="D2421" s="62">
        <v>44793</v>
      </c>
      <c r="E2421" s="63">
        <v>0</v>
      </c>
    </row>
    <row r="2422" spans="1:5">
      <c r="A2422" s="61" t="s">
        <v>47</v>
      </c>
      <c r="B2422" s="61" t="s">
        <v>380</v>
      </c>
      <c r="C2422" s="62">
        <v>44794</v>
      </c>
      <c r="D2422" s="62">
        <v>44794</v>
      </c>
      <c r="E2422" s="63">
        <v>0</v>
      </c>
    </row>
    <row r="2423" spans="1:5">
      <c r="A2423" s="61" t="s">
        <v>47</v>
      </c>
      <c r="B2423" s="61" t="s">
        <v>380</v>
      </c>
      <c r="C2423" s="62">
        <v>44795</v>
      </c>
      <c r="D2423" s="62">
        <v>44795</v>
      </c>
      <c r="E2423" s="63">
        <v>0</v>
      </c>
    </row>
    <row r="2424" spans="1:5">
      <c r="A2424" s="61" t="s">
        <v>47</v>
      </c>
      <c r="B2424" s="61" t="s">
        <v>380</v>
      </c>
      <c r="C2424" s="62">
        <v>44796</v>
      </c>
      <c r="D2424" s="62">
        <v>44796</v>
      </c>
      <c r="E2424" s="63">
        <v>0</v>
      </c>
    </row>
    <row r="2425" spans="1:5">
      <c r="A2425" s="61" t="s">
        <v>47</v>
      </c>
      <c r="B2425" s="61" t="s">
        <v>380</v>
      </c>
      <c r="C2425" s="62">
        <v>44797</v>
      </c>
      <c r="D2425" s="62">
        <v>44797</v>
      </c>
      <c r="E2425" s="63">
        <v>1553.83</v>
      </c>
    </row>
    <row r="2426" spans="1:5">
      <c r="A2426" s="61" t="s">
        <v>47</v>
      </c>
      <c r="B2426" s="61" t="s">
        <v>380</v>
      </c>
      <c r="C2426" s="62">
        <v>44798</v>
      </c>
      <c r="D2426" s="62">
        <v>44798</v>
      </c>
      <c r="E2426" s="63">
        <v>2812.92</v>
      </c>
    </row>
    <row r="2427" spans="1:5">
      <c r="A2427" s="61" t="s">
        <v>47</v>
      </c>
      <c r="B2427" s="61" t="s">
        <v>380</v>
      </c>
      <c r="C2427" s="62">
        <v>44799</v>
      </c>
      <c r="D2427" s="62">
        <v>44799</v>
      </c>
      <c r="E2427" s="63">
        <v>0</v>
      </c>
    </row>
    <row r="2428" spans="1:5">
      <c r="A2428" s="61" t="s">
        <v>47</v>
      </c>
      <c r="B2428" s="61" t="s">
        <v>380</v>
      </c>
      <c r="C2428" s="62">
        <v>44800</v>
      </c>
      <c r="D2428" s="62">
        <v>44800</v>
      </c>
      <c r="E2428" s="63">
        <v>0</v>
      </c>
    </row>
    <row r="2429" spans="1:5">
      <c r="A2429" s="61" t="s">
        <v>47</v>
      </c>
      <c r="B2429" s="61" t="s">
        <v>380</v>
      </c>
      <c r="C2429" s="62">
        <v>44801</v>
      </c>
      <c r="D2429" s="62">
        <v>44801</v>
      </c>
      <c r="E2429" s="63">
        <v>0</v>
      </c>
    </row>
    <row r="2430" spans="1:5">
      <c r="A2430" s="61" t="s">
        <v>47</v>
      </c>
      <c r="B2430" s="61" t="s">
        <v>380</v>
      </c>
      <c r="C2430" s="62">
        <v>44802</v>
      </c>
      <c r="D2430" s="62">
        <v>44802</v>
      </c>
      <c r="E2430" s="63">
        <v>0</v>
      </c>
    </row>
    <row r="2431" spans="1:5">
      <c r="A2431" s="61" t="s">
        <v>47</v>
      </c>
      <c r="B2431" s="61" t="s">
        <v>380</v>
      </c>
      <c r="C2431" s="62">
        <v>44803</v>
      </c>
      <c r="D2431" s="62">
        <v>44803</v>
      </c>
      <c r="E2431" s="63">
        <v>0</v>
      </c>
    </row>
    <row r="2432" spans="1:5">
      <c r="A2432" s="61" t="s">
        <v>166</v>
      </c>
      <c r="B2432" s="61" t="s">
        <v>381</v>
      </c>
      <c r="C2432" s="62">
        <v>44774</v>
      </c>
      <c r="D2432" s="62">
        <v>44774</v>
      </c>
      <c r="E2432" s="63">
        <v>0</v>
      </c>
    </row>
    <row r="2433" spans="1:5">
      <c r="A2433" s="61" t="s">
        <v>166</v>
      </c>
      <c r="B2433" s="61" t="s">
        <v>381</v>
      </c>
      <c r="C2433" s="62">
        <v>44775</v>
      </c>
      <c r="D2433" s="62">
        <v>44775</v>
      </c>
      <c r="E2433" s="63">
        <v>0</v>
      </c>
    </row>
    <row r="2434" spans="1:5">
      <c r="A2434" s="61" t="s">
        <v>166</v>
      </c>
      <c r="B2434" s="61" t="s">
        <v>381</v>
      </c>
      <c r="C2434" s="62">
        <v>44776</v>
      </c>
      <c r="D2434" s="62">
        <v>44776</v>
      </c>
      <c r="E2434" s="63">
        <v>0</v>
      </c>
    </row>
    <row r="2435" spans="1:5">
      <c r="A2435" s="61" t="s">
        <v>166</v>
      </c>
      <c r="B2435" s="61" t="s">
        <v>381</v>
      </c>
      <c r="C2435" s="62">
        <v>44777</v>
      </c>
      <c r="D2435" s="62">
        <v>44777</v>
      </c>
      <c r="E2435" s="63">
        <v>0</v>
      </c>
    </row>
    <row r="2436" spans="1:5">
      <c r="A2436" s="61" t="s">
        <v>166</v>
      </c>
      <c r="B2436" s="61" t="s">
        <v>381</v>
      </c>
      <c r="C2436" s="62">
        <v>44778</v>
      </c>
      <c r="D2436" s="62">
        <v>44778</v>
      </c>
      <c r="E2436" s="63">
        <v>0</v>
      </c>
    </row>
    <row r="2437" spans="1:5">
      <c r="A2437" s="61" t="s">
        <v>166</v>
      </c>
      <c r="B2437" s="61" t="s">
        <v>381</v>
      </c>
      <c r="C2437" s="62">
        <v>44779</v>
      </c>
      <c r="D2437" s="62">
        <v>44779</v>
      </c>
      <c r="E2437" s="63">
        <v>0</v>
      </c>
    </row>
    <row r="2438" spans="1:5">
      <c r="A2438" s="61" t="s">
        <v>166</v>
      </c>
      <c r="B2438" s="61" t="s">
        <v>381</v>
      </c>
      <c r="C2438" s="62">
        <v>44780</v>
      </c>
      <c r="D2438" s="62">
        <v>44780</v>
      </c>
      <c r="E2438" s="63">
        <v>0</v>
      </c>
    </row>
    <row r="2439" spans="1:5">
      <c r="A2439" s="61" t="s">
        <v>166</v>
      </c>
      <c r="B2439" s="61" t="s">
        <v>381</v>
      </c>
      <c r="C2439" s="62">
        <v>44781</v>
      </c>
      <c r="D2439" s="62">
        <v>44781</v>
      </c>
      <c r="E2439" s="63">
        <v>0</v>
      </c>
    </row>
    <row r="2440" spans="1:5">
      <c r="A2440" s="61" t="s">
        <v>166</v>
      </c>
      <c r="B2440" s="61" t="s">
        <v>381</v>
      </c>
      <c r="C2440" s="62">
        <v>44782</v>
      </c>
      <c r="D2440" s="62">
        <v>44782</v>
      </c>
      <c r="E2440" s="63">
        <v>0</v>
      </c>
    </row>
    <row r="2441" spans="1:5">
      <c r="A2441" s="61" t="s">
        <v>166</v>
      </c>
      <c r="B2441" s="61" t="s">
        <v>381</v>
      </c>
      <c r="C2441" s="62">
        <v>44783</v>
      </c>
      <c r="D2441" s="62">
        <v>44783</v>
      </c>
      <c r="E2441" s="63">
        <v>0</v>
      </c>
    </row>
    <row r="2442" spans="1:5">
      <c r="A2442" s="61" t="s">
        <v>166</v>
      </c>
      <c r="B2442" s="61" t="s">
        <v>381</v>
      </c>
      <c r="C2442" s="62">
        <v>44784</v>
      </c>
      <c r="D2442" s="62">
        <v>44784</v>
      </c>
      <c r="E2442" s="63">
        <v>0</v>
      </c>
    </row>
    <row r="2443" spans="1:5">
      <c r="A2443" s="61" t="s">
        <v>166</v>
      </c>
      <c r="B2443" s="61" t="s">
        <v>381</v>
      </c>
      <c r="C2443" s="62">
        <v>44785</v>
      </c>
      <c r="D2443" s="62">
        <v>44785</v>
      </c>
      <c r="E2443" s="63">
        <v>0</v>
      </c>
    </row>
    <row r="2444" spans="1:5">
      <c r="A2444" s="61" t="s">
        <v>166</v>
      </c>
      <c r="B2444" s="61" t="s">
        <v>381</v>
      </c>
      <c r="C2444" s="62">
        <v>44786</v>
      </c>
      <c r="D2444" s="62">
        <v>44786</v>
      </c>
      <c r="E2444" s="63">
        <v>0</v>
      </c>
    </row>
    <row r="2445" spans="1:5">
      <c r="A2445" s="61" t="s">
        <v>166</v>
      </c>
      <c r="B2445" s="61" t="s">
        <v>381</v>
      </c>
      <c r="C2445" s="62">
        <v>44787</v>
      </c>
      <c r="D2445" s="62">
        <v>44787</v>
      </c>
      <c r="E2445" s="63">
        <v>0</v>
      </c>
    </row>
    <row r="2446" spans="1:5">
      <c r="A2446" s="61" t="s">
        <v>166</v>
      </c>
      <c r="B2446" s="61" t="s">
        <v>381</v>
      </c>
      <c r="C2446" s="62">
        <v>44788</v>
      </c>
      <c r="D2446" s="62">
        <v>44788</v>
      </c>
      <c r="E2446" s="63">
        <v>0</v>
      </c>
    </row>
    <row r="2447" spans="1:5">
      <c r="A2447" s="61" t="s">
        <v>166</v>
      </c>
      <c r="B2447" s="61" t="s">
        <v>381</v>
      </c>
      <c r="C2447" s="62">
        <v>44789</v>
      </c>
      <c r="D2447" s="62">
        <v>44789</v>
      </c>
      <c r="E2447" s="63">
        <v>0</v>
      </c>
    </row>
    <row r="2448" spans="1:5">
      <c r="A2448" s="61" t="s">
        <v>166</v>
      </c>
      <c r="B2448" s="61" t="s">
        <v>381</v>
      </c>
      <c r="C2448" s="62">
        <v>44790</v>
      </c>
      <c r="D2448" s="62">
        <v>44790</v>
      </c>
      <c r="E2448" s="63">
        <v>0</v>
      </c>
    </row>
    <row r="2449" spans="1:5">
      <c r="A2449" s="61" t="s">
        <v>166</v>
      </c>
      <c r="B2449" s="61" t="s">
        <v>381</v>
      </c>
      <c r="C2449" s="62">
        <v>44791</v>
      </c>
      <c r="D2449" s="62">
        <v>44791</v>
      </c>
      <c r="E2449" s="63">
        <v>0</v>
      </c>
    </row>
    <row r="2450" spans="1:5">
      <c r="A2450" s="61" t="s">
        <v>166</v>
      </c>
      <c r="B2450" s="61" t="s">
        <v>381</v>
      </c>
      <c r="C2450" s="62">
        <v>44792</v>
      </c>
      <c r="D2450" s="62">
        <v>44792</v>
      </c>
      <c r="E2450" s="63">
        <v>0</v>
      </c>
    </row>
    <row r="2451" spans="1:5">
      <c r="A2451" s="61" t="s">
        <v>166</v>
      </c>
      <c r="B2451" s="61" t="s">
        <v>381</v>
      </c>
      <c r="C2451" s="62">
        <v>44793</v>
      </c>
      <c r="D2451" s="62">
        <v>44793</v>
      </c>
      <c r="E2451" s="63">
        <v>0</v>
      </c>
    </row>
    <row r="2452" spans="1:5">
      <c r="A2452" s="61" t="s">
        <v>166</v>
      </c>
      <c r="B2452" s="61" t="s">
        <v>381</v>
      </c>
      <c r="C2452" s="62">
        <v>44794</v>
      </c>
      <c r="D2452" s="62">
        <v>44794</v>
      </c>
      <c r="E2452" s="63">
        <v>0</v>
      </c>
    </row>
    <row r="2453" spans="1:5">
      <c r="A2453" s="61" t="s">
        <v>166</v>
      </c>
      <c r="B2453" s="61" t="s">
        <v>381</v>
      </c>
      <c r="C2453" s="62">
        <v>44795</v>
      </c>
      <c r="D2453" s="62">
        <v>44795</v>
      </c>
      <c r="E2453" s="63">
        <v>0</v>
      </c>
    </row>
    <row r="2454" spans="1:5">
      <c r="A2454" s="61" t="s">
        <v>166</v>
      </c>
      <c r="B2454" s="61" t="s">
        <v>381</v>
      </c>
      <c r="C2454" s="62">
        <v>44796</v>
      </c>
      <c r="D2454" s="62">
        <v>44796</v>
      </c>
      <c r="E2454" s="63">
        <v>0</v>
      </c>
    </row>
    <row r="2455" spans="1:5">
      <c r="A2455" s="61" t="s">
        <v>166</v>
      </c>
      <c r="B2455" s="61" t="s">
        <v>381</v>
      </c>
      <c r="C2455" s="62">
        <v>44797</v>
      </c>
      <c r="D2455" s="62">
        <v>44797</v>
      </c>
      <c r="E2455" s="63">
        <v>0</v>
      </c>
    </row>
    <row r="2456" spans="1:5">
      <c r="A2456" s="61" t="s">
        <v>166</v>
      </c>
      <c r="B2456" s="61" t="s">
        <v>381</v>
      </c>
      <c r="C2456" s="62">
        <v>44798</v>
      </c>
      <c r="D2456" s="62">
        <v>44798</v>
      </c>
      <c r="E2456" s="63">
        <v>0</v>
      </c>
    </row>
    <row r="2457" spans="1:5">
      <c r="A2457" s="61" t="s">
        <v>166</v>
      </c>
      <c r="B2457" s="61" t="s">
        <v>381</v>
      </c>
      <c r="C2457" s="62">
        <v>44799</v>
      </c>
      <c r="D2457" s="62">
        <v>44799</v>
      </c>
      <c r="E2457" s="63">
        <v>0</v>
      </c>
    </row>
    <row r="2458" spans="1:5">
      <c r="A2458" s="61" t="s">
        <v>166</v>
      </c>
      <c r="B2458" s="61" t="s">
        <v>381</v>
      </c>
      <c r="C2458" s="62">
        <v>44800</v>
      </c>
      <c r="D2458" s="62">
        <v>44800</v>
      </c>
      <c r="E2458" s="63">
        <v>0</v>
      </c>
    </row>
    <row r="2459" spans="1:5">
      <c r="A2459" s="61" t="s">
        <v>166</v>
      </c>
      <c r="B2459" s="61" t="s">
        <v>381</v>
      </c>
      <c r="C2459" s="62">
        <v>44801</v>
      </c>
      <c r="D2459" s="62">
        <v>44801</v>
      </c>
      <c r="E2459" s="63">
        <v>0</v>
      </c>
    </row>
    <row r="2460" spans="1:5">
      <c r="A2460" s="61" t="s">
        <v>166</v>
      </c>
      <c r="B2460" s="61" t="s">
        <v>381</v>
      </c>
      <c r="C2460" s="62">
        <v>44802</v>
      </c>
      <c r="D2460" s="62">
        <v>44802</v>
      </c>
      <c r="E2460" s="63">
        <v>0</v>
      </c>
    </row>
    <row r="2461" spans="1:5">
      <c r="A2461" s="61" t="s">
        <v>166</v>
      </c>
      <c r="B2461" s="61" t="s">
        <v>381</v>
      </c>
      <c r="C2461" s="62">
        <v>44803</v>
      </c>
      <c r="D2461" s="62">
        <v>44803</v>
      </c>
      <c r="E2461" s="63">
        <v>0</v>
      </c>
    </row>
    <row r="2462" spans="1:5">
      <c r="A2462" s="61" t="s">
        <v>167</v>
      </c>
      <c r="B2462" s="61" t="s">
        <v>382</v>
      </c>
      <c r="C2462" s="62">
        <v>44774</v>
      </c>
      <c r="D2462" s="62">
        <v>44774</v>
      </c>
      <c r="E2462" s="63">
        <v>0</v>
      </c>
    </row>
    <row r="2463" spans="1:5">
      <c r="A2463" s="61" t="s">
        <v>167</v>
      </c>
      <c r="B2463" s="61" t="s">
        <v>382</v>
      </c>
      <c r="C2463" s="62">
        <v>44775</v>
      </c>
      <c r="D2463" s="62">
        <v>44775</v>
      </c>
      <c r="E2463" s="63">
        <v>0</v>
      </c>
    </row>
    <row r="2464" spans="1:5">
      <c r="A2464" s="61" t="s">
        <v>167</v>
      </c>
      <c r="B2464" s="61" t="s">
        <v>382</v>
      </c>
      <c r="C2464" s="62">
        <v>44776</v>
      </c>
      <c r="D2464" s="62">
        <v>44776</v>
      </c>
      <c r="E2464" s="63">
        <v>0</v>
      </c>
    </row>
    <row r="2465" spans="1:5">
      <c r="A2465" s="61" t="s">
        <v>167</v>
      </c>
      <c r="B2465" s="61" t="s">
        <v>382</v>
      </c>
      <c r="C2465" s="62">
        <v>44777</v>
      </c>
      <c r="D2465" s="62">
        <v>44777</v>
      </c>
      <c r="E2465" s="63">
        <v>0</v>
      </c>
    </row>
    <row r="2466" spans="1:5">
      <c r="A2466" s="61" t="s">
        <v>167</v>
      </c>
      <c r="B2466" s="61" t="s">
        <v>382</v>
      </c>
      <c r="C2466" s="62">
        <v>44778</v>
      </c>
      <c r="D2466" s="62">
        <v>44778</v>
      </c>
      <c r="E2466" s="63">
        <v>0</v>
      </c>
    </row>
    <row r="2467" spans="1:5">
      <c r="A2467" s="61" t="s">
        <v>167</v>
      </c>
      <c r="B2467" s="61" t="s">
        <v>382</v>
      </c>
      <c r="C2467" s="62">
        <v>44779</v>
      </c>
      <c r="D2467" s="62">
        <v>44779</v>
      </c>
      <c r="E2467" s="63">
        <v>0</v>
      </c>
    </row>
    <row r="2468" spans="1:5">
      <c r="A2468" s="61" t="s">
        <v>167</v>
      </c>
      <c r="B2468" s="61" t="s">
        <v>382</v>
      </c>
      <c r="C2468" s="62">
        <v>44780</v>
      </c>
      <c r="D2468" s="62">
        <v>44780</v>
      </c>
      <c r="E2468" s="63">
        <v>0</v>
      </c>
    </row>
    <row r="2469" spans="1:5">
      <c r="A2469" s="61" t="s">
        <v>167</v>
      </c>
      <c r="B2469" s="61" t="s">
        <v>382</v>
      </c>
      <c r="C2469" s="62">
        <v>44781</v>
      </c>
      <c r="D2469" s="62">
        <v>44781</v>
      </c>
      <c r="E2469" s="63">
        <v>0</v>
      </c>
    </row>
    <row r="2470" spans="1:5">
      <c r="A2470" s="61" t="s">
        <v>167</v>
      </c>
      <c r="B2470" s="61" t="s">
        <v>382</v>
      </c>
      <c r="C2470" s="62">
        <v>44782</v>
      </c>
      <c r="D2470" s="62">
        <v>44782</v>
      </c>
      <c r="E2470" s="63">
        <v>0</v>
      </c>
    </row>
    <row r="2471" spans="1:5">
      <c r="A2471" s="61" t="s">
        <v>167</v>
      </c>
      <c r="B2471" s="61" t="s">
        <v>382</v>
      </c>
      <c r="C2471" s="62">
        <v>44783</v>
      </c>
      <c r="D2471" s="62">
        <v>44783</v>
      </c>
      <c r="E2471" s="63">
        <v>0</v>
      </c>
    </row>
    <row r="2472" spans="1:5">
      <c r="A2472" s="61" t="s">
        <v>167</v>
      </c>
      <c r="B2472" s="61" t="s">
        <v>382</v>
      </c>
      <c r="C2472" s="62">
        <v>44784</v>
      </c>
      <c r="D2472" s="62">
        <v>44784</v>
      </c>
      <c r="E2472" s="63">
        <v>0</v>
      </c>
    </row>
    <row r="2473" spans="1:5">
      <c r="A2473" s="61" t="s">
        <v>167</v>
      </c>
      <c r="B2473" s="61" t="s">
        <v>382</v>
      </c>
      <c r="C2473" s="62">
        <v>44785</v>
      </c>
      <c r="D2473" s="62">
        <v>44785</v>
      </c>
      <c r="E2473" s="63">
        <v>0</v>
      </c>
    </row>
    <row r="2474" spans="1:5">
      <c r="A2474" s="61" t="s">
        <v>167</v>
      </c>
      <c r="B2474" s="61" t="s">
        <v>382</v>
      </c>
      <c r="C2474" s="62">
        <v>44786</v>
      </c>
      <c r="D2474" s="62">
        <v>44786</v>
      </c>
      <c r="E2474" s="63">
        <v>0</v>
      </c>
    </row>
    <row r="2475" spans="1:5">
      <c r="A2475" s="61" t="s">
        <v>167</v>
      </c>
      <c r="B2475" s="61" t="s">
        <v>382</v>
      </c>
      <c r="C2475" s="62">
        <v>44787</v>
      </c>
      <c r="D2475" s="62">
        <v>44787</v>
      </c>
      <c r="E2475" s="63">
        <v>0</v>
      </c>
    </row>
    <row r="2476" spans="1:5">
      <c r="A2476" s="61" t="s">
        <v>167</v>
      </c>
      <c r="B2476" s="61" t="s">
        <v>382</v>
      </c>
      <c r="C2476" s="62">
        <v>44788</v>
      </c>
      <c r="D2476" s="62">
        <v>44788</v>
      </c>
      <c r="E2476" s="63">
        <v>0</v>
      </c>
    </row>
    <row r="2477" spans="1:5">
      <c r="A2477" s="61" t="s">
        <v>167</v>
      </c>
      <c r="B2477" s="61" t="s">
        <v>382</v>
      </c>
      <c r="C2477" s="62">
        <v>44789</v>
      </c>
      <c r="D2477" s="62">
        <v>44789</v>
      </c>
      <c r="E2477" s="63">
        <v>0</v>
      </c>
    </row>
    <row r="2478" spans="1:5">
      <c r="A2478" s="61" t="s">
        <v>167</v>
      </c>
      <c r="B2478" s="61" t="s">
        <v>382</v>
      </c>
      <c r="C2478" s="62">
        <v>44790</v>
      </c>
      <c r="D2478" s="62">
        <v>44790</v>
      </c>
      <c r="E2478" s="63">
        <v>0</v>
      </c>
    </row>
    <row r="2479" spans="1:5">
      <c r="A2479" s="61" t="s">
        <v>167</v>
      </c>
      <c r="B2479" s="61" t="s">
        <v>382</v>
      </c>
      <c r="C2479" s="62">
        <v>44791</v>
      </c>
      <c r="D2479" s="62">
        <v>44791</v>
      </c>
      <c r="E2479" s="63">
        <v>0</v>
      </c>
    </row>
    <row r="2480" spans="1:5">
      <c r="A2480" s="61" t="s">
        <v>167</v>
      </c>
      <c r="B2480" s="61" t="s">
        <v>382</v>
      </c>
      <c r="C2480" s="62">
        <v>44792</v>
      </c>
      <c r="D2480" s="62">
        <v>44792</v>
      </c>
      <c r="E2480" s="63">
        <v>0</v>
      </c>
    </row>
    <row r="2481" spans="1:5">
      <c r="A2481" s="61" t="s">
        <v>167</v>
      </c>
      <c r="B2481" s="61" t="s">
        <v>382</v>
      </c>
      <c r="C2481" s="62">
        <v>44793</v>
      </c>
      <c r="D2481" s="62">
        <v>44793</v>
      </c>
      <c r="E2481" s="63">
        <v>0</v>
      </c>
    </row>
    <row r="2482" spans="1:5">
      <c r="A2482" s="61" t="s">
        <v>167</v>
      </c>
      <c r="B2482" s="61" t="s">
        <v>382</v>
      </c>
      <c r="C2482" s="62">
        <v>44794</v>
      </c>
      <c r="D2482" s="62">
        <v>44794</v>
      </c>
      <c r="E2482" s="63">
        <v>0</v>
      </c>
    </row>
    <row r="2483" spans="1:5">
      <c r="A2483" s="61" t="s">
        <v>167</v>
      </c>
      <c r="B2483" s="61" t="s">
        <v>382</v>
      </c>
      <c r="C2483" s="62">
        <v>44795</v>
      </c>
      <c r="D2483" s="62">
        <v>44795</v>
      </c>
      <c r="E2483" s="63">
        <v>0</v>
      </c>
    </row>
    <row r="2484" spans="1:5">
      <c r="A2484" s="61" t="s">
        <v>167</v>
      </c>
      <c r="B2484" s="61" t="s">
        <v>382</v>
      </c>
      <c r="C2484" s="62">
        <v>44796</v>
      </c>
      <c r="D2484" s="62">
        <v>44796</v>
      </c>
      <c r="E2484" s="63">
        <v>0</v>
      </c>
    </row>
    <row r="2485" spans="1:5">
      <c r="A2485" s="61" t="s">
        <v>167</v>
      </c>
      <c r="B2485" s="61" t="s">
        <v>382</v>
      </c>
      <c r="C2485" s="62">
        <v>44797</v>
      </c>
      <c r="D2485" s="62">
        <v>44797</v>
      </c>
      <c r="E2485" s="63">
        <v>0</v>
      </c>
    </row>
    <row r="2486" spans="1:5">
      <c r="A2486" s="61" t="s">
        <v>167</v>
      </c>
      <c r="B2486" s="61" t="s">
        <v>382</v>
      </c>
      <c r="C2486" s="62">
        <v>44798</v>
      </c>
      <c r="D2486" s="62">
        <v>44798</v>
      </c>
      <c r="E2486" s="63">
        <v>0</v>
      </c>
    </row>
    <row r="2487" spans="1:5">
      <c r="A2487" s="61" t="s">
        <v>167</v>
      </c>
      <c r="B2487" s="61" t="s">
        <v>382</v>
      </c>
      <c r="C2487" s="62">
        <v>44799</v>
      </c>
      <c r="D2487" s="62">
        <v>44799</v>
      </c>
      <c r="E2487" s="63">
        <v>0</v>
      </c>
    </row>
    <row r="2488" spans="1:5">
      <c r="A2488" s="61" t="s">
        <v>167</v>
      </c>
      <c r="B2488" s="61" t="s">
        <v>382</v>
      </c>
      <c r="C2488" s="62">
        <v>44800</v>
      </c>
      <c r="D2488" s="62">
        <v>44800</v>
      </c>
      <c r="E2488" s="63">
        <v>0</v>
      </c>
    </row>
    <row r="2489" spans="1:5">
      <c r="A2489" s="61" t="s">
        <v>167</v>
      </c>
      <c r="B2489" s="61" t="s">
        <v>382</v>
      </c>
      <c r="C2489" s="62">
        <v>44801</v>
      </c>
      <c r="D2489" s="62">
        <v>44801</v>
      </c>
      <c r="E2489" s="63">
        <v>0</v>
      </c>
    </row>
    <row r="2490" spans="1:5">
      <c r="A2490" s="61" t="s">
        <v>167</v>
      </c>
      <c r="B2490" s="61" t="s">
        <v>382</v>
      </c>
      <c r="C2490" s="62">
        <v>44802</v>
      </c>
      <c r="D2490" s="62">
        <v>44802</v>
      </c>
      <c r="E2490" s="63">
        <v>0</v>
      </c>
    </row>
    <row r="2491" spans="1:5">
      <c r="A2491" s="61" t="s">
        <v>167</v>
      </c>
      <c r="B2491" s="61" t="s">
        <v>382</v>
      </c>
      <c r="C2491" s="62">
        <v>44803</v>
      </c>
      <c r="D2491" s="62">
        <v>44803</v>
      </c>
      <c r="E2491" s="63">
        <v>0</v>
      </c>
    </row>
    <row r="2492" spans="1:5">
      <c r="A2492" s="61" t="s">
        <v>168</v>
      </c>
      <c r="B2492" s="61" t="s">
        <v>383</v>
      </c>
      <c r="C2492" s="62">
        <v>44774</v>
      </c>
      <c r="D2492" s="62">
        <v>44774</v>
      </c>
      <c r="E2492" s="63">
        <v>0</v>
      </c>
    </row>
    <row r="2493" spans="1:5">
      <c r="A2493" s="61" t="s">
        <v>168</v>
      </c>
      <c r="B2493" s="61" t="s">
        <v>383</v>
      </c>
      <c r="C2493" s="62">
        <v>44775</v>
      </c>
      <c r="D2493" s="62">
        <v>44775</v>
      </c>
      <c r="E2493" s="63">
        <v>0</v>
      </c>
    </row>
    <row r="2494" spans="1:5">
      <c r="A2494" s="61" t="s">
        <v>168</v>
      </c>
      <c r="B2494" s="61" t="s">
        <v>383</v>
      </c>
      <c r="C2494" s="62">
        <v>44776</v>
      </c>
      <c r="D2494" s="62">
        <v>44776</v>
      </c>
      <c r="E2494" s="63">
        <v>0</v>
      </c>
    </row>
    <row r="2495" spans="1:5">
      <c r="A2495" s="61" t="s">
        <v>168</v>
      </c>
      <c r="B2495" s="61" t="s">
        <v>383</v>
      </c>
      <c r="C2495" s="62">
        <v>44777</v>
      </c>
      <c r="D2495" s="62">
        <v>44777</v>
      </c>
      <c r="E2495" s="63">
        <v>0</v>
      </c>
    </row>
    <row r="2496" spans="1:5">
      <c r="A2496" s="61" t="s">
        <v>168</v>
      </c>
      <c r="B2496" s="61" t="s">
        <v>383</v>
      </c>
      <c r="C2496" s="62">
        <v>44778</v>
      </c>
      <c r="D2496" s="62">
        <v>44778</v>
      </c>
      <c r="E2496" s="63">
        <v>0</v>
      </c>
    </row>
    <row r="2497" spans="1:5">
      <c r="A2497" s="61" t="s">
        <v>168</v>
      </c>
      <c r="B2497" s="61" t="s">
        <v>383</v>
      </c>
      <c r="C2497" s="62">
        <v>44779</v>
      </c>
      <c r="D2497" s="62">
        <v>44779</v>
      </c>
      <c r="E2497" s="63">
        <v>0</v>
      </c>
    </row>
    <row r="2498" spans="1:5">
      <c r="A2498" s="61" t="s">
        <v>168</v>
      </c>
      <c r="B2498" s="61" t="s">
        <v>383</v>
      </c>
      <c r="C2498" s="62">
        <v>44780</v>
      </c>
      <c r="D2498" s="62">
        <v>44780</v>
      </c>
      <c r="E2498" s="63">
        <v>0</v>
      </c>
    </row>
    <row r="2499" spans="1:5">
      <c r="A2499" s="61" t="s">
        <v>168</v>
      </c>
      <c r="B2499" s="61" t="s">
        <v>383</v>
      </c>
      <c r="C2499" s="62">
        <v>44781</v>
      </c>
      <c r="D2499" s="62">
        <v>44781</v>
      </c>
      <c r="E2499" s="63">
        <v>0</v>
      </c>
    </row>
    <row r="2500" spans="1:5">
      <c r="A2500" s="61" t="s">
        <v>168</v>
      </c>
      <c r="B2500" s="61" t="s">
        <v>383</v>
      </c>
      <c r="C2500" s="62">
        <v>44782</v>
      </c>
      <c r="D2500" s="62">
        <v>44782</v>
      </c>
      <c r="E2500" s="63">
        <v>0</v>
      </c>
    </row>
    <row r="2501" spans="1:5">
      <c r="A2501" s="61" t="s">
        <v>168</v>
      </c>
      <c r="B2501" s="61" t="s">
        <v>383</v>
      </c>
      <c r="C2501" s="62">
        <v>44783</v>
      </c>
      <c r="D2501" s="62">
        <v>44783</v>
      </c>
      <c r="E2501" s="63">
        <v>0</v>
      </c>
    </row>
    <row r="2502" spans="1:5">
      <c r="A2502" s="61" t="s">
        <v>168</v>
      </c>
      <c r="B2502" s="61" t="s">
        <v>383</v>
      </c>
      <c r="C2502" s="62">
        <v>44784</v>
      </c>
      <c r="D2502" s="62">
        <v>44784</v>
      </c>
      <c r="E2502" s="63">
        <v>0</v>
      </c>
    </row>
    <row r="2503" spans="1:5">
      <c r="A2503" s="61" t="s">
        <v>168</v>
      </c>
      <c r="B2503" s="61" t="s">
        <v>383</v>
      </c>
      <c r="C2503" s="62">
        <v>44785</v>
      </c>
      <c r="D2503" s="62">
        <v>44785</v>
      </c>
      <c r="E2503" s="63">
        <v>0</v>
      </c>
    </row>
    <row r="2504" spans="1:5">
      <c r="A2504" s="61" t="s">
        <v>168</v>
      </c>
      <c r="B2504" s="61" t="s">
        <v>383</v>
      </c>
      <c r="C2504" s="62">
        <v>44786</v>
      </c>
      <c r="D2504" s="62">
        <v>44786</v>
      </c>
      <c r="E2504" s="63">
        <v>0</v>
      </c>
    </row>
    <row r="2505" spans="1:5">
      <c r="A2505" s="61" t="s">
        <v>168</v>
      </c>
      <c r="B2505" s="61" t="s">
        <v>383</v>
      </c>
      <c r="C2505" s="62">
        <v>44787</v>
      </c>
      <c r="D2505" s="62">
        <v>44787</v>
      </c>
      <c r="E2505" s="63">
        <v>0</v>
      </c>
    </row>
    <row r="2506" spans="1:5">
      <c r="A2506" s="61" t="s">
        <v>168</v>
      </c>
      <c r="B2506" s="61" t="s">
        <v>383</v>
      </c>
      <c r="C2506" s="62">
        <v>44788</v>
      </c>
      <c r="D2506" s="62">
        <v>44788</v>
      </c>
      <c r="E2506" s="63">
        <v>0</v>
      </c>
    </row>
    <row r="2507" spans="1:5">
      <c r="A2507" s="61" t="s">
        <v>168</v>
      </c>
      <c r="B2507" s="61" t="s">
        <v>383</v>
      </c>
      <c r="C2507" s="62">
        <v>44789</v>
      </c>
      <c r="D2507" s="62">
        <v>44789</v>
      </c>
      <c r="E2507" s="63">
        <v>0</v>
      </c>
    </row>
    <row r="2508" spans="1:5">
      <c r="A2508" s="61" t="s">
        <v>168</v>
      </c>
      <c r="B2508" s="61" t="s">
        <v>383</v>
      </c>
      <c r="C2508" s="62">
        <v>44790</v>
      </c>
      <c r="D2508" s="62">
        <v>44790</v>
      </c>
      <c r="E2508" s="63">
        <v>0</v>
      </c>
    </row>
    <row r="2509" spans="1:5">
      <c r="A2509" s="61" t="s">
        <v>168</v>
      </c>
      <c r="B2509" s="61" t="s">
        <v>383</v>
      </c>
      <c r="C2509" s="62">
        <v>44791</v>
      </c>
      <c r="D2509" s="62">
        <v>44791</v>
      </c>
      <c r="E2509" s="63">
        <v>0</v>
      </c>
    </row>
    <row r="2510" spans="1:5">
      <c r="A2510" s="61" t="s">
        <v>168</v>
      </c>
      <c r="B2510" s="61" t="s">
        <v>383</v>
      </c>
      <c r="C2510" s="62">
        <v>44792</v>
      </c>
      <c r="D2510" s="62">
        <v>44792</v>
      </c>
      <c r="E2510" s="63">
        <v>0</v>
      </c>
    </row>
    <row r="2511" spans="1:5">
      <c r="A2511" s="61" t="s">
        <v>168</v>
      </c>
      <c r="B2511" s="61" t="s">
        <v>383</v>
      </c>
      <c r="C2511" s="62">
        <v>44793</v>
      </c>
      <c r="D2511" s="62">
        <v>44793</v>
      </c>
      <c r="E2511" s="63">
        <v>0</v>
      </c>
    </row>
    <row r="2512" spans="1:5">
      <c r="A2512" s="61" t="s">
        <v>168</v>
      </c>
      <c r="B2512" s="61" t="s">
        <v>383</v>
      </c>
      <c r="C2512" s="62">
        <v>44794</v>
      </c>
      <c r="D2512" s="62">
        <v>44794</v>
      </c>
      <c r="E2512" s="63">
        <v>0</v>
      </c>
    </row>
    <row r="2513" spans="1:5">
      <c r="A2513" s="61" t="s">
        <v>168</v>
      </c>
      <c r="B2513" s="61" t="s">
        <v>383</v>
      </c>
      <c r="C2513" s="62">
        <v>44795</v>
      </c>
      <c r="D2513" s="62">
        <v>44795</v>
      </c>
      <c r="E2513" s="63">
        <v>0</v>
      </c>
    </row>
    <row r="2514" spans="1:5">
      <c r="A2514" s="61" t="s">
        <v>168</v>
      </c>
      <c r="B2514" s="61" t="s">
        <v>383</v>
      </c>
      <c r="C2514" s="62">
        <v>44796</v>
      </c>
      <c r="D2514" s="62">
        <v>44796</v>
      </c>
      <c r="E2514" s="63">
        <v>0</v>
      </c>
    </row>
    <row r="2515" spans="1:5">
      <c r="A2515" s="61" t="s">
        <v>168</v>
      </c>
      <c r="B2515" s="61" t="s">
        <v>383</v>
      </c>
      <c r="C2515" s="62">
        <v>44797</v>
      </c>
      <c r="D2515" s="62">
        <v>44797</v>
      </c>
      <c r="E2515" s="63">
        <v>0</v>
      </c>
    </row>
    <row r="2516" spans="1:5">
      <c r="A2516" s="61" t="s">
        <v>168</v>
      </c>
      <c r="B2516" s="61" t="s">
        <v>383</v>
      </c>
      <c r="C2516" s="62">
        <v>44798</v>
      </c>
      <c r="D2516" s="62">
        <v>44798</v>
      </c>
      <c r="E2516" s="63">
        <v>0</v>
      </c>
    </row>
    <row r="2517" spans="1:5">
      <c r="A2517" s="61" t="s">
        <v>168</v>
      </c>
      <c r="B2517" s="61" t="s">
        <v>383</v>
      </c>
      <c r="C2517" s="62">
        <v>44799</v>
      </c>
      <c r="D2517" s="62">
        <v>44799</v>
      </c>
      <c r="E2517" s="63">
        <v>0</v>
      </c>
    </row>
    <row r="2518" spans="1:5">
      <c r="A2518" s="61" t="s">
        <v>168</v>
      </c>
      <c r="B2518" s="61" t="s">
        <v>383</v>
      </c>
      <c r="C2518" s="62">
        <v>44800</v>
      </c>
      <c r="D2518" s="62">
        <v>44800</v>
      </c>
      <c r="E2518" s="63">
        <v>0</v>
      </c>
    </row>
    <row r="2519" spans="1:5">
      <c r="A2519" s="61" t="s">
        <v>168</v>
      </c>
      <c r="B2519" s="61" t="s">
        <v>383</v>
      </c>
      <c r="C2519" s="62">
        <v>44801</v>
      </c>
      <c r="D2519" s="62">
        <v>44801</v>
      </c>
      <c r="E2519" s="63">
        <v>0</v>
      </c>
    </row>
    <row r="2520" spans="1:5">
      <c r="A2520" s="61" t="s">
        <v>168</v>
      </c>
      <c r="B2520" s="61" t="s">
        <v>383</v>
      </c>
      <c r="C2520" s="62">
        <v>44802</v>
      </c>
      <c r="D2520" s="62">
        <v>44802</v>
      </c>
      <c r="E2520" s="63">
        <v>0</v>
      </c>
    </row>
    <row r="2521" spans="1:5">
      <c r="A2521" s="61" t="s">
        <v>168</v>
      </c>
      <c r="B2521" s="61" t="s">
        <v>383</v>
      </c>
      <c r="C2521" s="62">
        <v>44803</v>
      </c>
      <c r="D2521" s="62">
        <v>44803</v>
      </c>
      <c r="E2521" s="63">
        <v>0</v>
      </c>
    </row>
    <row r="2522" spans="1:5">
      <c r="A2522" s="61" t="s">
        <v>49</v>
      </c>
      <c r="B2522" s="61" t="s">
        <v>380</v>
      </c>
      <c r="C2522" s="62">
        <v>44774</v>
      </c>
      <c r="D2522" s="62">
        <v>44774</v>
      </c>
      <c r="E2522" s="63">
        <v>670.54</v>
      </c>
    </row>
    <row r="2523" spans="1:5">
      <c r="A2523" s="61" t="s">
        <v>49</v>
      </c>
      <c r="B2523" s="61" t="s">
        <v>380</v>
      </c>
      <c r="C2523" s="62">
        <v>44775</v>
      </c>
      <c r="D2523" s="62">
        <v>44775</v>
      </c>
      <c r="E2523" s="63">
        <v>1354.32</v>
      </c>
    </row>
    <row r="2524" spans="1:5">
      <c r="A2524" s="61" t="s">
        <v>49</v>
      </c>
      <c r="B2524" s="61" t="s">
        <v>380</v>
      </c>
      <c r="C2524" s="62">
        <v>44776</v>
      </c>
      <c r="D2524" s="62">
        <v>44776</v>
      </c>
      <c r="E2524" s="63">
        <v>0</v>
      </c>
    </row>
    <row r="2525" spans="1:5">
      <c r="A2525" s="61" t="s">
        <v>49</v>
      </c>
      <c r="B2525" s="61" t="s">
        <v>380</v>
      </c>
      <c r="C2525" s="62">
        <v>44777</v>
      </c>
      <c r="D2525" s="62">
        <v>44777</v>
      </c>
      <c r="E2525" s="63">
        <v>0</v>
      </c>
    </row>
    <row r="2526" spans="1:5">
      <c r="A2526" s="61" t="s">
        <v>49</v>
      </c>
      <c r="B2526" s="61" t="s">
        <v>380</v>
      </c>
      <c r="C2526" s="62">
        <v>44778</v>
      </c>
      <c r="D2526" s="62">
        <v>44778</v>
      </c>
      <c r="E2526" s="63">
        <v>1544.73</v>
      </c>
    </row>
    <row r="2527" spans="1:5">
      <c r="A2527" s="61" t="s">
        <v>49</v>
      </c>
      <c r="B2527" s="61" t="s">
        <v>380</v>
      </c>
      <c r="C2527" s="62">
        <v>44779</v>
      </c>
      <c r="D2527" s="62">
        <v>44779</v>
      </c>
      <c r="E2527" s="63">
        <v>0</v>
      </c>
    </row>
    <row r="2528" spans="1:5">
      <c r="A2528" s="61" t="s">
        <v>49</v>
      </c>
      <c r="B2528" s="61" t="s">
        <v>380</v>
      </c>
      <c r="C2528" s="62">
        <v>44780</v>
      </c>
      <c r="D2528" s="62">
        <v>44780</v>
      </c>
      <c r="E2528" s="63">
        <v>0</v>
      </c>
    </row>
    <row r="2529" spans="1:5">
      <c r="A2529" s="61" t="s">
        <v>49</v>
      </c>
      <c r="B2529" s="61" t="s">
        <v>380</v>
      </c>
      <c r="C2529" s="62">
        <v>44781</v>
      </c>
      <c r="D2529" s="62">
        <v>44781</v>
      </c>
      <c r="E2529" s="63">
        <v>152.32999999999998</v>
      </c>
    </row>
    <row r="2530" spans="1:5">
      <c r="A2530" s="61" t="s">
        <v>49</v>
      </c>
      <c r="B2530" s="61" t="s">
        <v>380</v>
      </c>
      <c r="C2530" s="62">
        <v>44782</v>
      </c>
      <c r="D2530" s="62">
        <v>44782</v>
      </c>
      <c r="E2530" s="63">
        <v>167.57</v>
      </c>
    </row>
    <row r="2531" spans="1:5">
      <c r="A2531" s="61" t="s">
        <v>49</v>
      </c>
      <c r="B2531" s="61" t="s">
        <v>380</v>
      </c>
      <c r="C2531" s="62">
        <v>44783</v>
      </c>
      <c r="D2531" s="62">
        <v>44783</v>
      </c>
      <c r="E2531" s="63">
        <v>133.48000000000002</v>
      </c>
    </row>
    <row r="2532" spans="1:5">
      <c r="A2532" s="61" t="s">
        <v>49</v>
      </c>
      <c r="B2532" s="61" t="s">
        <v>380</v>
      </c>
      <c r="C2532" s="62">
        <v>44784</v>
      </c>
      <c r="D2532" s="62">
        <v>44784</v>
      </c>
      <c r="E2532" s="63">
        <v>0</v>
      </c>
    </row>
    <row r="2533" spans="1:5">
      <c r="A2533" s="61" t="s">
        <v>49</v>
      </c>
      <c r="B2533" s="61" t="s">
        <v>380</v>
      </c>
      <c r="C2533" s="62">
        <v>44785</v>
      </c>
      <c r="D2533" s="62">
        <v>44785</v>
      </c>
      <c r="E2533" s="63">
        <v>1098.1399999999999</v>
      </c>
    </row>
    <row r="2534" spans="1:5">
      <c r="A2534" s="61" t="s">
        <v>49</v>
      </c>
      <c r="B2534" s="61" t="s">
        <v>380</v>
      </c>
      <c r="C2534" s="62">
        <v>44786</v>
      </c>
      <c r="D2534" s="62">
        <v>44786</v>
      </c>
      <c r="E2534" s="63">
        <v>0</v>
      </c>
    </row>
    <row r="2535" spans="1:5">
      <c r="A2535" s="61" t="s">
        <v>49</v>
      </c>
      <c r="B2535" s="61" t="s">
        <v>380</v>
      </c>
      <c r="C2535" s="62">
        <v>44787</v>
      </c>
      <c r="D2535" s="62">
        <v>44787</v>
      </c>
      <c r="E2535" s="63">
        <v>0</v>
      </c>
    </row>
    <row r="2536" spans="1:5">
      <c r="A2536" s="61" t="s">
        <v>49</v>
      </c>
      <c r="B2536" s="61" t="s">
        <v>380</v>
      </c>
      <c r="C2536" s="62">
        <v>44788</v>
      </c>
      <c r="D2536" s="62">
        <v>44788</v>
      </c>
      <c r="E2536" s="63">
        <v>0</v>
      </c>
    </row>
    <row r="2537" spans="1:5">
      <c r="A2537" s="61" t="s">
        <v>49</v>
      </c>
      <c r="B2537" s="61" t="s">
        <v>380</v>
      </c>
      <c r="C2537" s="62">
        <v>44789</v>
      </c>
      <c r="D2537" s="62">
        <v>44789</v>
      </c>
      <c r="E2537" s="63">
        <v>2078.1999999999998</v>
      </c>
    </row>
    <row r="2538" spans="1:5">
      <c r="A2538" s="61" t="s">
        <v>49</v>
      </c>
      <c r="B2538" s="61" t="s">
        <v>380</v>
      </c>
      <c r="C2538" s="62">
        <v>44790</v>
      </c>
      <c r="D2538" s="62">
        <v>44790</v>
      </c>
      <c r="E2538" s="63">
        <v>0</v>
      </c>
    </row>
    <row r="2539" spans="1:5">
      <c r="A2539" s="61" t="s">
        <v>49</v>
      </c>
      <c r="B2539" s="61" t="s">
        <v>380</v>
      </c>
      <c r="C2539" s="62">
        <v>44791</v>
      </c>
      <c r="D2539" s="62">
        <v>44791</v>
      </c>
      <c r="E2539" s="63">
        <v>0</v>
      </c>
    </row>
    <row r="2540" spans="1:5">
      <c r="A2540" s="61" t="s">
        <v>49</v>
      </c>
      <c r="B2540" s="61" t="s">
        <v>380</v>
      </c>
      <c r="C2540" s="62">
        <v>44792</v>
      </c>
      <c r="D2540" s="62">
        <v>44792</v>
      </c>
      <c r="E2540" s="63">
        <v>3976.2599999999993</v>
      </c>
    </row>
    <row r="2541" spans="1:5">
      <c r="A2541" s="61" t="s">
        <v>49</v>
      </c>
      <c r="B2541" s="61" t="s">
        <v>380</v>
      </c>
      <c r="C2541" s="62">
        <v>44793</v>
      </c>
      <c r="D2541" s="62">
        <v>44793</v>
      </c>
      <c r="E2541" s="63">
        <v>0</v>
      </c>
    </row>
    <row r="2542" spans="1:5">
      <c r="A2542" s="61" t="s">
        <v>49</v>
      </c>
      <c r="B2542" s="61" t="s">
        <v>380</v>
      </c>
      <c r="C2542" s="62">
        <v>44794</v>
      </c>
      <c r="D2542" s="62">
        <v>44794</v>
      </c>
      <c r="E2542" s="63">
        <v>0</v>
      </c>
    </row>
    <row r="2543" spans="1:5">
      <c r="A2543" s="61" t="s">
        <v>49</v>
      </c>
      <c r="B2543" s="61" t="s">
        <v>380</v>
      </c>
      <c r="C2543" s="62">
        <v>44795</v>
      </c>
      <c r="D2543" s="62">
        <v>44795</v>
      </c>
      <c r="E2543" s="63">
        <v>1398.6299999999999</v>
      </c>
    </row>
    <row r="2544" spans="1:5">
      <c r="A2544" s="61" t="s">
        <v>49</v>
      </c>
      <c r="B2544" s="61" t="s">
        <v>380</v>
      </c>
      <c r="C2544" s="62">
        <v>44796</v>
      </c>
      <c r="D2544" s="62">
        <v>44796</v>
      </c>
      <c r="E2544" s="63">
        <v>797.82999999999993</v>
      </c>
    </row>
    <row r="2545" spans="1:5">
      <c r="A2545" s="61" t="s">
        <v>49</v>
      </c>
      <c r="B2545" s="61" t="s">
        <v>380</v>
      </c>
      <c r="C2545" s="62">
        <v>44797</v>
      </c>
      <c r="D2545" s="62">
        <v>44797</v>
      </c>
      <c r="E2545" s="63">
        <v>0</v>
      </c>
    </row>
    <row r="2546" spans="1:5">
      <c r="A2546" s="61" t="s">
        <v>49</v>
      </c>
      <c r="B2546" s="61" t="s">
        <v>380</v>
      </c>
      <c r="C2546" s="62">
        <v>44798</v>
      </c>
      <c r="D2546" s="62">
        <v>44798</v>
      </c>
      <c r="E2546" s="63">
        <v>0</v>
      </c>
    </row>
    <row r="2547" spans="1:5">
      <c r="A2547" s="61" t="s">
        <v>49</v>
      </c>
      <c r="B2547" s="61" t="s">
        <v>380</v>
      </c>
      <c r="C2547" s="62">
        <v>44799</v>
      </c>
      <c r="D2547" s="62">
        <v>44799</v>
      </c>
      <c r="E2547" s="63">
        <v>0</v>
      </c>
    </row>
    <row r="2548" spans="1:5">
      <c r="A2548" s="61" t="s">
        <v>49</v>
      </c>
      <c r="B2548" s="61" t="s">
        <v>380</v>
      </c>
      <c r="C2548" s="62">
        <v>44800</v>
      </c>
      <c r="D2548" s="62">
        <v>44800</v>
      </c>
      <c r="E2548" s="63">
        <v>0</v>
      </c>
    </row>
    <row r="2549" spans="1:5">
      <c r="A2549" s="61" t="s">
        <v>49</v>
      </c>
      <c r="B2549" s="61" t="s">
        <v>380</v>
      </c>
      <c r="C2549" s="62">
        <v>44801</v>
      </c>
      <c r="D2549" s="62">
        <v>44801</v>
      </c>
      <c r="E2549" s="63">
        <v>0</v>
      </c>
    </row>
    <row r="2550" spans="1:5">
      <c r="A2550" s="61" t="s">
        <v>49</v>
      </c>
      <c r="B2550" s="61" t="s">
        <v>380</v>
      </c>
      <c r="C2550" s="62">
        <v>44802</v>
      </c>
      <c r="D2550" s="62">
        <v>44802</v>
      </c>
      <c r="E2550" s="63">
        <v>0</v>
      </c>
    </row>
    <row r="2551" spans="1:5">
      <c r="A2551" s="61" t="s">
        <v>49</v>
      </c>
      <c r="B2551" s="61" t="s">
        <v>380</v>
      </c>
      <c r="C2551" s="62">
        <v>44803</v>
      </c>
      <c r="D2551" s="62">
        <v>44803</v>
      </c>
      <c r="E2551" s="63">
        <v>0</v>
      </c>
    </row>
    <row r="2552" spans="1:5">
      <c r="A2552" s="61" t="s">
        <v>169</v>
      </c>
      <c r="B2552" s="61" t="s">
        <v>381</v>
      </c>
      <c r="C2552" s="62">
        <v>44774</v>
      </c>
      <c r="D2552" s="62">
        <v>44774</v>
      </c>
      <c r="E2552" s="63">
        <v>0</v>
      </c>
    </row>
    <row r="2553" spans="1:5">
      <c r="A2553" s="61" t="s">
        <v>169</v>
      </c>
      <c r="B2553" s="61" t="s">
        <v>381</v>
      </c>
      <c r="C2553" s="62">
        <v>44775</v>
      </c>
      <c r="D2553" s="62">
        <v>44775</v>
      </c>
      <c r="E2553" s="63">
        <v>0</v>
      </c>
    </row>
    <row r="2554" spans="1:5">
      <c r="A2554" s="61" t="s">
        <v>169</v>
      </c>
      <c r="B2554" s="61" t="s">
        <v>381</v>
      </c>
      <c r="C2554" s="62">
        <v>44776</v>
      </c>
      <c r="D2554" s="62">
        <v>44776</v>
      </c>
      <c r="E2554" s="63">
        <v>0</v>
      </c>
    </row>
    <row r="2555" spans="1:5">
      <c r="A2555" s="61" t="s">
        <v>169</v>
      </c>
      <c r="B2555" s="61" t="s">
        <v>381</v>
      </c>
      <c r="C2555" s="62">
        <v>44777</v>
      </c>
      <c r="D2555" s="62">
        <v>44777</v>
      </c>
      <c r="E2555" s="63">
        <v>0</v>
      </c>
    </row>
    <row r="2556" spans="1:5">
      <c r="A2556" s="61" t="s">
        <v>169</v>
      </c>
      <c r="B2556" s="61" t="s">
        <v>381</v>
      </c>
      <c r="C2556" s="62">
        <v>44778</v>
      </c>
      <c r="D2556" s="62">
        <v>44778</v>
      </c>
      <c r="E2556" s="63">
        <v>0</v>
      </c>
    </row>
    <row r="2557" spans="1:5">
      <c r="A2557" s="61" t="s">
        <v>169</v>
      </c>
      <c r="B2557" s="61" t="s">
        <v>381</v>
      </c>
      <c r="C2557" s="62">
        <v>44779</v>
      </c>
      <c r="D2557" s="62">
        <v>44779</v>
      </c>
      <c r="E2557" s="63">
        <v>0</v>
      </c>
    </row>
    <row r="2558" spans="1:5">
      <c r="A2558" s="61" t="s">
        <v>169</v>
      </c>
      <c r="B2558" s="61" t="s">
        <v>381</v>
      </c>
      <c r="C2558" s="62">
        <v>44780</v>
      </c>
      <c r="D2558" s="62">
        <v>44780</v>
      </c>
      <c r="E2558" s="63">
        <v>0</v>
      </c>
    </row>
    <row r="2559" spans="1:5">
      <c r="A2559" s="61" t="s">
        <v>169</v>
      </c>
      <c r="B2559" s="61" t="s">
        <v>381</v>
      </c>
      <c r="C2559" s="62">
        <v>44781</v>
      </c>
      <c r="D2559" s="62">
        <v>44781</v>
      </c>
      <c r="E2559" s="63">
        <v>0</v>
      </c>
    </row>
    <row r="2560" spans="1:5">
      <c r="A2560" s="61" t="s">
        <v>169</v>
      </c>
      <c r="B2560" s="61" t="s">
        <v>381</v>
      </c>
      <c r="C2560" s="62">
        <v>44782</v>
      </c>
      <c r="D2560" s="62">
        <v>44782</v>
      </c>
      <c r="E2560" s="63">
        <v>0</v>
      </c>
    </row>
    <row r="2561" spans="1:5">
      <c r="A2561" s="61" t="s">
        <v>169</v>
      </c>
      <c r="B2561" s="61" t="s">
        <v>381</v>
      </c>
      <c r="C2561" s="62">
        <v>44783</v>
      </c>
      <c r="D2561" s="62">
        <v>44783</v>
      </c>
      <c r="E2561" s="63">
        <v>0</v>
      </c>
    </row>
    <row r="2562" spans="1:5">
      <c r="A2562" s="61" t="s">
        <v>169</v>
      </c>
      <c r="B2562" s="61" t="s">
        <v>381</v>
      </c>
      <c r="C2562" s="62">
        <v>44784</v>
      </c>
      <c r="D2562" s="62">
        <v>44784</v>
      </c>
      <c r="E2562" s="63">
        <v>0</v>
      </c>
    </row>
    <row r="2563" spans="1:5">
      <c r="A2563" s="61" t="s">
        <v>169</v>
      </c>
      <c r="B2563" s="61" t="s">
        <v>381</v>
      </c>
      <c r="C2563" s="62">
        <v>44785</v>
      </c>
      <c r="D2563" s="62">
        <v>44785</v>
      </c>
      <c r="E2563" s="63">
        <v>0</v>
      </c>
    </row>
    <row r="2564" spans="1:5">
      <c r="A2564" s="61" t="s">
        <v>169</v>
      </c>
      <c r="B2564" s="61" t="s">
        <v>381</v>
      </c>
      <c r="C2564" s="62">
        <v>44786</v>
      </c>
      <c r="D2564" s="62">
        <v>44786</v>
      </c>
      <c r="E2564" s="63">
        <v>0</v>
      </c>
    </row>
    <row r="2565" spans="1:5">
      <c r="A2565" s="61" t="s">
        <v>169</v>
      </c>
      <c r="B2565" s="61" t="s">
        <v>381</v>
      </c>
      <c r="C2565" s="62">
        <v>44787</v>
      </c>
      <c r="D2565" s="62">
        <v>44787</v>
      </c>
      <c r="E2565" s="63">
        <v>0</v>
      </c>
    </row>
    <row r="2566" spans="1:5">
      <c r="A2566" s="61" t="s">
        <v>169</v>
      </c>
      <c r="B2566" s="61" t="s">
        <v>381</v>
      </c>
      <c r="C2566" s="62">
        <v>44788</v>
      </c>
      <c r="D2566" s="62">
        <v>44788</v>
      </c>
      <c r="E2566" s="63">
        <v>0</v>
      </c>
    </row>
    <row r="2567" spans="1:5">
      <c r="A2567" s="61" t="s">
        <v>169</v>
      </c>
      <c r="B2567" s="61" t="s">
        <v>381</v>
      </c>
      <c r="C2567" s="62">
        <v>44789</v>
      </c>
      <c r="D2567" s="62">
        <v>44789</v>
      </c>
      <c r="E2567" s="63">
        <v>0</v>
      </c>
    </row>
    <row r="2568" spans="1:5">
      <c r="A2568" s="61" t="s">
        <v>169</v>
      </c>
      <c r="B2568" s="61" t="s">
        <v>381</v>
      </c>
      <c r="C2568" s="62">
        <v>44790</v>
      </c>
      <c r="D2568" s="62">
        <v>44790</v>
      </c>
      <c r="E2568" s="63">
        <v>0</v>
      </c>
    </row>
    <row r="2569" spans="1:5">
      <c r="A2569" s="61" t="s">
        <v>169</v>
      </c>
      <c r="B2569" s="61" t="s">
        <v>381</v>
      </c>
      <c r="C2569" s="62">
        <v>44791</v>
      </c>
      <c r="D2569" s="62">
        <v>44791</v>
      </c>
      <c r="E2569" s="63">
        <v>0</v>
      </c>
    </row>
    <row r="2570" spans="1:5">
      <c r="A2570" s="61" t="s">
        <v>169</v>
      </c>
      <c r="B2570" s="61" t="s">
        <v>381</v>
      </c>
      <c r="C2570" s="62">
        <v>44792</v>
      </c>
      <c r="D2570" s="62">
        <v>44792</v>
      </c>
      <c r="E2570" s="63">
        <v>979.44999999999993</v>
      </c>
    </row>
    <row r="2571" spans="1:5">
      <c r="A2571" s="61" t="s">
        <v>169</v>
      </c>
      <c r="B2571" s="61" t="s">
        <v>381</v>
      </c>
      <c r="C2571" s="62">
        <v>44793</v>
      </c>
      <c r="D2571" s="62">
        <v>44793</v>
      </c>
      <c r="E2571" s="63">
        <v>0</v>
      </c>
    </row>
    <row r="2572" spans="1:5">
      <c r="A2572" s="61" t="s">
        <v>169</v>
      </c>
      <c r="B2572" s="61" t="s">
        <v>381</v>
      </c>
      <c r="C2572" s="62">
        <v>44794</v>
      </c>
      <c r="D2572" s="62">
        <v>44794</v>
      </c>
      <c r="E2572" s="63">
        <v>0</v>
      </c>
    </row>
    <row r="2573" spans="1:5">
      <c r="A2573" s="61" t="s">
        <v>169</v>
      </c>
      <c r="B2573" s="61" t="s">
        <v>381</v>
      </c>
      <c r="C2573" s="62">
        <v>44795</v>
      </c>
      <c r="D2573" s="62">
        <v>44795</v>
      </c>
      <c r="E2573" s="63">
        <v>0</v>
      </c>
    </row>
    <row r="2574" spans="1:5">
      <c r="A2574" s="61" t="s">
        <v>169</v>
      </c>
      <c r="B2574" s="61" t="s">
        <v>381</v>
      </c>
      <c r="C2574" s="62">
        <v>44796</v>
      </c>
      <c r="D2574" s="62">
        <v>44796</v>
      </c>
      <c r="E2574" s="63">
        <v>0</v>
      </c>
    </row>
    <row r="2575" spans="1:5">
      <c r="A2575" s="61" t="s">
        <v>169</v>
      </c>
      <c r="B2575" s="61" t="s">
        <v>381</v>
      </c>
      <c r="C2575" s="62">
        <v>44797</v>
      </c>
      <c r="D2575" s="62">
        <v>44797</v>
      </c>
      <c r="E2575" s="63">
        <v>0</v>
      </c>
    </row>
    <row r="2576" spans="1:5">
      <c r="A2576" s="61" t="s">
        <v>169</v>
      </c>
      <c r="B2576" s="61" t="s">
        <v>381</v>
      </c>
      <c r="C2576" s="62">
        <v>44798</v>
      </c>
      <c r="D2576" s="62">
        <v>44798</v>
      </c>
      <c r="E2576" s="63">
        <v>0</v>
      </c>
    </row>
    <row r="2577" spans="1:5">
      <c r="A2577" s="61" t="s">
        <v>169</v>
      </c>
      <c r="B2577" s="61" t="s">
        <v>381</v>
      </c>
      <c r="C2577" s="62">
        <v>44799</v>
      </c>
      <c r="D2577" s="62">
        <v>44799</v>
      </c>
      <c r="E2577" s="63">
        <v>0</v>
      </c>
    </row>
    <row r="2578" spans="1:5">
      <c r="A2578" s="61" t="s">
        <v>169</v>
      </c>
      <c r="B2578" s="61" t="s">
        <v>381</v>
      </c>
      <c r="C2578" s="62">
        <v>44800</v>
      </c>
      <c r="D2578" s="62">
        <v>44800</v>
      </c>
      <c r="E2578" s="63">
        <v>0</v>
      </c>
    </row>
    <row r="2579" spans="1:5">
      <c r="A2579" s="61" t="s">
        <v>169</v>
      </c>
      <c r="B2579" s="61" t="s">
        <v>381</v>
      </c>
      <c r="C2579" s="62">
        <v>44801</v>
      </c>
      <c r="D2579" s="62">
        <v>44801</v>
      </c>
      <c r="E2579" s="63">
        <v>0</v>
      </c>
    </row>
    <row r="2580" spans="1:5">
      <c r="A2580" s="61" t="s">
        <v>169</v>
      </c>
      <c r="B2580" s="61" t="s">
        <v>381</v>
      </c>
      <c r="C2580" s="62">
        <v>44802</v>
      </c>
      <c r="D2580" s="62">
        <v>44802</v>
      </c>
      <c r="E2580" s="63">
        <v>0</v>
      </c>
    </row>
    <row r="2581" spans="1:5">
      <c r="A2581" s="61" t="s">
        <v>169</v>
      </c>
      <c r="B2581" s="61" t="s">
        <v>381</v>
      </c>
      <c r="C2581" s="62">
        <v>44803</v>
      </c>
      <c r="D2581" s="62">
        <v>44803</v>
      </c>
      <c r="E2581" s="63">
        <v>0</v>
      </c>
    </row>
    <row r="2582" spans="1:5">
      <c r="A2582" s="61" t="s">
        <v>170</v>
      </c>
      <c r="B2582" s="61" t="s">
        <v>382</v>
      </c>
      <c r="C2582" s="62">
        <v>44774</v>
      </c>
      <c r="D2582" s="62">
        <v>44774</v>
      </c>
      <c r="E2582" s="63">
        <v>0</v>
      </c>
    </row>
    <row r="2583" spans="1:5">
      <c r="A2583" s="61" t="s">
        <v>170</v>
      </c>
      <c r="B2583" s="61" t="s">
        <v>382</v>
      </c>
      <c r="C2583" s="62">
        <v>44775</v>
      </c>
      <c r="D2583" s="62">
        <v>44775</v>
      </c>
      <c r="E2583" s="63">
        <v>0</v>
      </c>
    </row>
    <row r="2584" spans="1:5">
      <c r="A2584" s="61" t="s">
        <v>170</v>
      </c>
      <c r="B2584" s="61" t="s">
        <v>382</v>
      </c>
      <c r="C2584" s="62">
        <v>44776</v>
      </c>
      <c r="D2584" s="62">
        <v>44776</v>
      </c>
      <c r="E2584" s="63">
        <v>0</v>
      </c>
    </row>
    <row r="2585" spans="1:5">
      <c r="A2585" s="61" t="s">
        <v>170</v>
      </c>
      <c r="B2585" s="61" t="s">
        <v>382</v>
      </c>
      <c r="C2585" s="62">
        <v>44777</v>
      </c>
      <c r="D2585" s="62">
        <v>44777</v>
      </c>
      <c r="E2585" s="63">
        <v>0</v>
      </c>
    </row>
    <row r="2586" spans="1:5">
      <c r="A2586" s="61" t="s">
        <v>170</v>
      </c>
      <c r="B2586" s="61" t="s">
        <v>382</v>
      </c>
      <c r="C2586" s="62">
        <v>44778</v>
      </c>
      <c r="D2586" s="62">
        <v>44778</v>
      </c>
      <c r="E2586" s="63">
        <v>0</v>
      </c>
    </row>
    <row r="2587" spans="1:5">
      <c r="A2587" s="61" t="s">
        <v>170</v>
      </c>
      <c r="B2587" s="61" t="s">
        <v>382</v>
      </c>
      <c r="C2587" s="62">
        <v>44779</v>
      </c>
      <c r="D2587" s="62">
        <v>44779</v>
      </c>
      <c r="E2587" s="63">
        <v>0</v>
      </c>
    </row>
    <row r="2588" spans="1:5">
      <c r="A2588" s="61" t="s">
        <v>170</v>
      </c>
      <c r="B2588" s="61" t="s">
        <v>382</v>
      </c>
      <c r="C2588" s="62">
        <v>44780</v>
      </c>
      <c r="D2588" s="62">
        <v>44780</v>
      </c>
      <c r="E2588" s="63">
        <v>0</v>
      </c>
    </row>
    <row r="2589" spans="1:5">
      <c r="A2589" s="61" t="s">
        <v>170</v>
      </c>
      <c r="B2589" s="61" t="s">
        <v>382</v>
      </c>
      <c r="C2589" s="62">
        <v>44781</v>
      </c>
      <c r="D2589" s="62">
        <v>44781</v>
      </c>
      <c r="E2589" s="63">
        <v>0</v>
      </c>
    </row>
    <row r="2590" spans="1:5">
      <c r="A2590" s="61" t="s">
        <v>170</v>
      </c>
      <c r="B2590" s="61" t="s">
        <v>382</v>
      </c>
      <c r="C2590" s="62">
        <v>44782</v>
      </c>
      <c r="D2590" s="62">
        <v>44782</v>
      </c>
      <c r="E2590" s="63">
        <v>0</v>
      </c>
    </row>
    <row r="2591" spans="1:5">
      <c r="A2591" s="61" t="s">
        <v>170</v>
      </c>
      <c r="B2591" s="61" t="s">
        <v>382</v>
      </c>
      <c r="C2591" s="62">
        <v>44783</v>
      </c>
      <c r="D2591" s="62">
        <v>44783</v>
      </c>
      <c r="E2591" s="63">
        <v>0</v>
      </c>
    </row>
    <row r="2592" spans="1:5">
      <c r="A2592" s="61" t="s">
        <v>170</v>
      </c>
      <c r="B2592" s="61" t="s">
        <v>382</v>
      </c>
      <c r="C2592" s="62">
        <v>44784</v>
      </c>
      <c r="D2592" s="62">
        <v>44784</v>
      </c>
      <c r="E2592" s="63">
        <v>0</v>
      </c>
    </row>
    <row r="2593" spans="1:5">
      <c r="A2593" s="61" t="s">
        <v>170</v>
      </c>
      <c r="B2593" s="61" t="s">
        <v>382</v>
      </c>
      <c r="C2593" s="62">
        <v>44785</v>
      </c>
      <c r="D2593" s="62">
        <v>44785</v>
      </c>
      <c r="E2593" s="63">
        <v>0</v>
      </c>
    </row>
    <row r="2594" spans="1:5">
      <c r="A2594" s="61" t="s">
        <v>170</v>
      </c>
      <c r="B2594" s="61" t="s">
        <v>382</v>
      </c>
      <c r="C2594" s="62">
        <v>44786</v>
      </c>
      <c r="D2594" s="62">
        <v>44786</v>
      </c>
      <c r="E2594" s="63">
        <v>0</v>
      </c>
    </row>
    <row r="2595" spans="1:5">
      <c r="A2595" s="61" t="s">
        <v>170</v>
      </c>
      <c r="B2595" s="61" t="s">
        <v>382</v>
      </c>
      <c r="C2595" s="62">
        <v>44787</v>
      </c>
      <c r="D2595" s="62">
        <v>44787</v>
      </c>
      <c r="E2595" s="63">
        <v>0</v>
      </c>
    </row>
    <row r="2596" spans="1:5">
      <c r="A2596" s="61" t="s">
        <v>170</v>
      </c>
      <c r="B2596" s="61" t="s">
        <v>382</v>
      </c>
      <c r="C2596" s="62">
        <v>44788</v>
      </c>
      <c r="D2596" s="62">
        <v>44788</v>
      </c>
      <c r="E2596" s="63">
        <v>0</v>
      </c>
    </row>
    <row r="2597" spans="1:5">
      <c r="A2597" s="61" t="s">
        <v>170</v>
      </c>
      <c r="B2597" s="61" t="s">
        <v>382</v>
      </c>
      <c r="C2597" s="62">
        <v>44789</v>
      </c>
      <c r="D2597" s="62">
        <v>44789</v>
      </c>
      <c r="E2597" s="63">
        <v>0</v>
      </c>
    </row>
    <row r="2598" spans="1:5">
      <c r="A2598" s="61" t="s">
        <v>170</v>
      </c>
      <c r="B2598" s="61" t="s">
        <v>382</v>
      </c>
      <c r="C2598" s="62">
        <v>44790</v>
      </c>
      <c r="D2598" s="62">
        <v>44790</v>
      </c>
      <c r="E2598" s="63">
        <v>0</v>
      </c>
    </row>
    <row r="2599" spans="1:5">
      <c r="A2599" s="61" t="s">
        <v>170</v>
      </c>
      <c r="B2599" s="61" t="s">
        <v>382</v>
      </c>
      <c r="C2599" s="62">
        <v>44791</v>
      </c>
      <c r="D2599" s="62">
        <v>44791</v>
      </c>
      <c r="E2599" s="63">
        <v>0</v>
      </c>
    </row>
    <row r="2600" spans="1:5">
      <c r="A2600" s="61" t="s">
        <v>170</v>
      </c>
      <c r="B2600" s="61" t="s">
        <v>382</v>
      </c>
      <c r="C2600" s="62">
        <v>44792</v>
      </c>
      <c r="D2600" s="62">
        <v>44792</v>
      </c>
      <c r="E2600" s="63">
        <v>0</v>
      </c>
    </row>
    <row r="2601" spans="1:5">
      <c r="A2601" s="61" t="s">
        <v>170</v>
      </c>
      <c r="B2601" s="61" t="s">
        <v>382</v>
      </c>
      <c r="C2601" s="62">
        <v>44793</v>
      </c>
      <c r="D2601" s="62">
        <v>44793</v>
      </c>
      <c r="E2601" s="63">
        <v>0</v>
      </c>
    </row>
    <row r="2602" spans="1:5">
      <c r="A2602" s="61" t="s">
        <v>170</v>
      </c>
      <c r="B2602" s="61" t="s">
        <v>382</v>
      </c>
      <c r="C2602" s="62">
        <v>44794</v>
      </c>
      <c r="D2602" s="62">
        <v>44794</v>
      </c>
      <c r="E2602" s="63">
        <v>0</v>
      </c>
    </row>
    <row r="2603" spans="1:5">
      <c r="A2603" s="61" t="s">
        <v>170</v>
      </c>
      <c r="B2603" s="61" t="s">
        <v>382</v>
      </c>
      <c r="C2603" s="62">
        <v>44795</v>
      </c>
      <c r="D2603" s="62">
        <v>44795</v>
      </c>
      <c r="E2603" s="63">
        <v>0</v>
      </c>
    </row>
    <row r="2604" spans="1:5">
      <c r="A2604" s="61" t="s">
        <v>170</v>
      </c>
      <c r="B2604" s="61" t="s">
        <v>382</v>
      </c>
      <c r="C2604" s="62">
        <v>44796</v>
      </c>
      <c r="D2604" s="62">
        <v>44796</v>
      </c>
      <c r="E2604" s="63">
        <v>0</v>
      </c>
    </row>
    <row r="2605" spans="1:5">
      <c r="A2605" s="61" t="s">
        <v>170</v>
      </c>
      <c r="B2605" s="61" t="s">
        <v>382</v>
      </c>
      <c r="C2605" s="62">
        <v>44797</v>
      </c>
      <c r="D2605" s="62">
        <v>44797</v>
      </c>
      <c r="E2605" s="63">
        <v>57.54</v>
      </c>
    </row>
    <row r="2606" spans="1:5">
      <c r="A2606" s="61" t="s">
        <v>170</v>
      </c>
      <c r="B2606" s="61" t="s">
        <v>382</v>
      </c>
      <c r="C2606" s="62">
        <v>44798</v>
      </c>
      <c r="D2606" s="62">
        <v>44798</v>
      </c>
      <c r="E2606" s="63">
        <v>0</v>
      </c>
    </row>
    <row r="2607" spans="1:5">
      <c r="A2607" s="61" t="s">
        <v>170</v>
      </c>
      <c r="B2607" s="61" t="s">
        <v>382</v>
      </c>
      <c r="C2607" s="62">
        <v>44799</v>
      </c>
      <c r="D2607" s="62">
        <v>44799</v>
      </c>
      <c r="E2607" s="63">
        <v>0</v>
      </c>
    </row>
    <row r="2608" spans="1:5">
      <c r="A2608" s="61" t="s">
        <v>170</v>
      </c>
      <c r="B2608" s="61" t="s">
        <v>382</v>
      </c>
      <c r="C2608" s="62">
        <v>44800</v>
      </c>
      <c r="D2608" s="62">
        <v>44800</v>
      </c>
      <c r="E2608" s="63">
        <v>0</v>
      </c>
    </row>
    <row r="2609" spans="1:5">
      <c r="A2609" s="61" t="s">
        <v>170</v>
      </c>
      <c r="B2609" s="61" t="s">
        <v>382</v>
      </c>
      <c r="C2609" s="62">
        <v>44801</v>
      </c>
      <c r="D2609" s="62">
        <v>44801</v>
      </c>
      <c r="E2609" s="63">
        <v>0</v>
      </c>
    </row>
    <row r="2610" spans="1:5">
      <c r="A2610" s="61" t="s">
        <v>170</v>
      </c>
      <c r="B2610" s="61" t="s">
        <v>382</v>
      </c>
      <c r="C2610" s="62">
        <v>44802</v>
      </c>
      <c r="D2610" s="62">
        <v>44802</v>
      </c>
      <c r="E2610" s="63">
        <v>0</v>
      </c>
    </row>
    <row r="2611" spans="1:5">
      <c r="A2611" s="61" t="s">
        <v>170</v>
      </c>
      <c r="B2611" s="61" t="s">
        <v>382</v>
      </c>
      <c r="C2611" s="62">
        <v>44803</v>
      </c>
      <c r="D2611" s="62">
        <v>44803</v>
      </c>
      <c r="E2611" s="63">
        <v>0</v>
      </c>
    </row>
    <row r="2612" spans="1:5">
      <c r="A2612" s="61" t="s">
        <v>171</v>
      </c>
      <c r="B2612" s="61" t="s">
        <v>383</v>
      </c>
      <c r="C2612" s="62">
        <v>44774</v>
      </c>
      <c r="D2612" s="62">
        <v>44774</v>
      </c>
      <c r="E2612" s="63">
        <v>0</v>
      </c>
    </row>
    <row r="2613" spans="1:5">
      <c r="A2613" s="61" t="s">
        <v>171</v>
      </c>
      <c r="B2613" s="61" t="s">
        <v>383</v>
      </c>
      <c r="C2613" s="62">
        <v>44775</v>
      </c>
      <c r="D2613" s="62">
        <v>44775</v>
      </c>
      <c r="E2613" s="63">
        <v>0</v>
      </c>
    </row>
    <row r="2614" spans="1:5">
      <c r="A2614" s="61" t="s">
        <v>171</v>
      </c>
      <c r="B2614" s="61" t="s">
        <v>383</v>
      </c>
      <c r="C2614" s="62">
        <v>44776</v>
      </c>
      <c r="D2614" s="62">
        <v>44776</v>
      </c>
      <c r="E2614" s="63">
        <v>0</v>
      </c>
    </row>
    <row r="2615" spans="1:5">
      <c r="A2615" s="61" t="s">
        <v>171</v>
      </c>
      <c r="B2615" s="61" t="s">
        <v>383</v>
      </c>
      <c r="C2615" s="62">
        <v>44777</v>
      </c>
      <c r="D2615" s="62">
        <v>44777</v>
      </c>
      <c r="E2615" s="63">
        <v>0</v>
      </c>
    </row>
    <row r="2616" spans="1:5">
      <c r="A2616" s="61" t="s">
        <v>171</v>
      </c>
      <c r="B2616" s="61" t="s">
        <v>383</v>
      </c>
      <c r="C2616" s="62">
        <v>44778</v>
      </c>
      <c r="D2616" s="62">
        <v>44778</v>
      </c>
      <c r="E2616" s="63">
        <v>0</v>
      </c>
    </row>
    <row r="2617" spans="1:5">
      <c r="A2617" s="61" t="s">
        <v>171</v>
      </c>
      <c r="B2617" s="61" t="s">
        <v>383</v>
      </c>
      <c r="C2617" s="62">
        <v>44779</v>
      </c>
      <c r="D2617" s="62">
        <v>44779</v>
      </c>
      <c r="E2617" s="63">
        <v>0</v>
      </c>
    </row>
    <row r="2618" spans="1:5">
      <c r="A2618" s="61" t="s">
        <v>171</v>
      </c>
      <c r="B2618" s="61" t="s">
        <v>383</v>
      </c>
      <c r="C2618" s="62">
        <v>44780</v>
      </c>
      <c r="D2618" s="62">
        <v>44780</v>
      </c>
      <c r="E2618" s="63">
        <v>0</v>
      </c>
    </row>
    <row r="2619" spans="1:5">
      <c r="A2619" s="61" t="s">
        <v>171</v>
      </c>
      <c r="B2619" s="61" t="s">
        <v>383</v>
      </c>
      <c r="C2619" s="62">
        <v>44781</v>
      </c>
      <c r="D2619" s="62">
        <v>44781</v>
      </c>
      <c r="E2619" s="63">
        <v>0</v>
      </c>
    </row>
    <row r="2620" spans="1:5">
      <c r="A2620" s="61" t="s">
        <v>171</v>
      </c>
      <c r="B2620" s="61" t="s">
        <v>383</v>
      </c>
      <c r="C2620" s="62">
        <v>44782</v>
      </c>
      <c r="D2620" s="62">
        <v>44782</v>
      </c>
      <c r="E2620" s="63">
        <v>0</v>
      </c>
    </row>
    <row r="2621" spans="1:5">
      <c r="A2621" s="61" t="s">
        <v>171</v>
      </c>
      <c r="B2621" s="61" t="s">
        <v>383</v>
      </c>
      <c r="C2621" s="62">
        <v>44783</v>
      </c>
      <c r="D2621" s="62">
        <v>44783</v>
      </c>
      <c r="E2621" s="63">
        <v>0</v>
      </c>
    </row>
    <row r="2622" spans="1:5">
      <c r="A2622" s="61" t="s">
        <v>171</v>
      </c>
      <c r="B2622" s="61" t="s">
        <v>383</v>
      </c>
      <c r="C2622" s="62">
        <v>44784</v>
      </c>
      <c r="D2622" s="62">
        <v>44784</v>
      </c>
      <c r="E2622" s="63">
        <v>0</v>
      </c>
    </row>
    <row r="2623" spans="1:5">
      <c r="A2623" s="61" t="s">
        <v>171</v>
      </c>
      <c r="B2623" s="61" t="s">
        <v>383</v>
      </c>
      <c r="C2623" s="62">
        <v>44785</v>
      </c>
      <c r="D2623" s="62">
        <v>44785</v>
      </c>
      <c r="E2623" s="63">
        <v>0</v>
      </c>
    </row>
    <row r="2624" spans="1:5">
      <c r="A2624" s="61" t="s">
        <v>171</v>
      </c>
      <c r="B2624" s="61" t="s">
        <v>383</v>
      </c>
      <c r="C2624" s="62">
        <v>44786</v>
      </c>
      <c r="D2624" s="62">
        <v>44786</v>
      </c>
      <c r="E2624" s="63">
        <v>0</v>
      </c>
    </row>
    <row r="2625" spans="1:5">
      <c r="A2625" s="61" t="s">
        <v>171</v>
      </c>
      <c r="B2625" s="61" t="s">
        <v>383</v>
      </c>
      <c r="C2625" s="62">
        <v>44787</v>
      </c>
      <c r="D2625" s="62">
        <v>44787</v>
      </c>
      <c r="E2625" s="63">
        <v>0</v>
      </c>
    </row>
    <row r="2626" spans="1:5">
      <c r="A2626" s="61" t="s">
        <v>171</v>
      </c>
      <c r="B2626" s="61" t="s">
        <v>383</v>
      </c>
      <c r="C2626" s="62">
        <v>44788</v>
      </c>
      <c r="D2626" s="62">
        <v>44788</v>
      </c>
      <c r="E2626" s="63">
        <v>0</v>
      </c>
    </row>
    <row r="2627" spans="1:5">
      <c r="A2627" s="61" t="s">
        <v>171</v>
      </c>
      <c r="B2627" s="61" t="s">
        <v>383</v>
      </c>
      <c r="C2627" s="62">
        <v>44789</v>
      </c>
      <c r="D2627" s="62">
        <v>44789</v>
      </c>
      <c r="E2627" s="63">
        <v>0</v>
      </c>
    </row>
    <row r="2628" spans="1:5">
      <c r="A2628" s="61" t="s">
        <v>171</v>
      </c>
      <c r="B2628" s="61" t="s">
        <v>383</v>
      </c>
      <c r="C2628" s="62">
        <v>44790</v>
      </c>
      <c r="D2628" s="62">
        <v>44790</v>
      </c>
      <c r="E2628" s="63">
        <v>0</v>
      </c>
    </row>
    <row r="2629" spans="1:5">
      <c r="A2629" s="61" t="s">
        <v>171</v>
      </c>
      <c r="B2629" s="61" t="s">
        <v>383</v>
      </c>
      <c r="C2629" s="62">
        <v>44791</v>
      </c>
      <c r="D2629" s="62">
        <v>44791</v>
      </c>
      <c r="E2629" s="63">
        <v>0</v>
      </c>
    </row>
    <row r="2630" spans="1:5">
      <c r="A2630" s="61" t="s">
        <v>171</v>
      </c>
      <c r="B2630" s="61" t="s">
        <v>383</v>
      </c>
      <c r="C2630" s="62">
        <v>44792</v>
      </c>
      <c r="D2630" s="62">
        <v>44792</v>
      </c>
      <c r="E2630" s="63">
        <v>0</v>
      </c>
    </row>
    <row r="2631" spans="1:5">
      <c r="A2631" s="61" t="s">
        <v>171</v>
      </c>
      <c r="B2631" s="61" t="s">
        <v>383</v>
      </c>
      <c r="C2631" s="62">
        <v>44793</v>
      </c>
      <c r="D2631" s="62">
        <v>44793</v>
      </c>
      <c r="E2631" s="63">
        <v>0</v>
      </c>
    </row>
    <row r="2632" spans="1:5">
      <c r="A2632" s="61" t="s">
        <v>171</v>
      </c>
      <c r="B2632" s="61" t="s">
        <v>383</v>
      </c>
      <c r="C2632" s="62">
        <v>44794</v>
      </c>
      <c r="D2632" s="62">
        <v>44794</v>
      </c>
      <c r="E2632" s="63">
        <v>0</v>
      </c>
    </row>
    <row r="2633" spans="1:5">
      <c r="A2633" s="61" t="s">
        <v>171</v>
      </c>
      <c r="B2633" s="61" t="s">
        <v>383</v>
      </c>
      <c r="C2633" s="62">
        <v>44795</v>
      </c>
      <c r="D2633" s="62">
        <v>44795</v>
      </c>
      <c r="E2633" s="63">
        <v>0</v>
      </c>
    </row>
    <row r="2634" spans="1:5">
      <c r="A2634" s="61" t="s">
        <v>171</v>
      </c>
      <c r="B2634" s="61" t="s">
        <v>383</v>
      </c>
      <c r="C2634" s="62">
        <v>44796</v>
      </c>
      <c r="D2634" s="62">
        <v>44796</v>
      </c>
      <c r="E2634" s="63">
        <v>0</v>
      </c>
    </row>
    <row r="2635" spans="1:5">
      <c r="A2635" s="61" t="s">
        <v>171</v>
      </c>
      <c r="B2635" s="61" t="s">
        <v>383</v>
      </c>
      <c r="C2635" s="62">
        <v>44797</v>
      </c>
      <c r="D2635" s="62">
        <v>44797</v>
      </c>
      <c r="E2635" s="63">
        <v>0</v>
      </c>
    </row>
    <row r="2636" spans="1:5">
      <c r="A2636" s="61" t="s">
        <v>171</v>
      </c>
      <c r="B2636" s="61" t="s">
        <v>383</v>
      </c>
      <c r="C2636" s="62">
        <v>44798</v>
      </c>
      <c r="D2636" s="62">
        <v>44798</v>
      </c>
      <c r="E2636" s="63">
        <v>0</v>
      </c>
    </row>
    <row r="2637" spans="1:5">
      <c r="A2637" s="61" t="s">
        <v>171</v>
      </c>
      <c r="B2637" s="61" t="s">
        <v>383</v>
      </c>
      <c r="C2637" s="62">
        <v>44799</v>
      </c>
      <c r="D2637" s="62">
        <v>44799</v>
      </c>
      <c r="E2637" s="63">
        <v>0</v>
      </c>
    </row>
    <row r="2638" spans="1:5">
      <c r="A2638" s="61" t="s">
        <v>171</v>
      </c>
      <c r="B2638" s="61" t="s">
        <v>383</v>
      </c>
      <c r="C2638" s="62">
        <v>44800</v>
      </c>
      <c r="D2638" s="62">
        <v>44800</v>
      </c>
      <c r="E2638" s="63">
        <v>0</v>
      </c>
    </row>
    <row r="2639" spans="1:5">
      <c r="A2639" s="61" t="s">
        <v>171</v>
      </c>
      <c r="B2639" s="61" t="s">
        <v>383</v>
      </c>
      <c r="C2639" s="62">
        <v>44801</v>
      </c>
      <c r="D2639" s="62">
        <v>44801</v>
      </c>
      <c r="E2639" s="63">
        <v>0</v>
      </c>
    </row>
    <row r="2640" spans="1:5">
      <c r="A2640" s="61" t="s">
        <v>171</v>
      </c>
      <c r="B2640" s="61" t="s">
        <v>383</v>
      </c>
      <c r="C2640" s="62">
        <v>44802</v>
      </c>
      <c r="D2640" s="62">
        <v>44802</v>
      </c>
      <c r="E2640" s="63">
        <v>0</v>
      </c>
    </row>
    <row r="2641" spans="1:5">
      <c r="A2641" s="61" t="s">
        <v>171</v>
      </c>
      <c r="B2641" s="61" t="s">
        <v>383</v>
      </c>
      <c r="C2641" s="62">
        <v>44803</v>
      </c>
      <c r="D2641" s="62">
        <v>44803</v>
      </c>
      <c r="E2641" s="63">
        <v>0</v>
      </c>
    </row>
    <row r="2642" spans="1:5">
      <c r="A2642" s="61" t="s">
        <v>51</v>
      </c>
      <c r="B2642" s="61" t="s">
        <v>380</v>
      </c>
      <c r="C2642" s="62">
        <v>44774</v>
      </c>
      <c r="D2642" s="62">
        <v>44774</v>
      </c>
      <c r="E2642" s="63">
        <v>0</v>
      </c>
    </row>
    <row r="2643" spans="1:5">
      <c r="A2643" s="61" t="s">
        <v>51</v>
      </c>
      <c r="B2643" s="61" t="s">
        <v>380</v>
      </c>
      <c r="C2643" s="62">
        <v>44775</v>
      </c>
      <c r="D2643" s="62">
        <v>44775</v>
      </c>
      <c r="E2643" s="63">
        <v>461.47999999999996</v>
      </c>
    </row>
    <row r="2644" spans="1:5">
      <c r="A2644" s="61" t="s">
        <v>51</v>
      </c>
      <c r="B2644" s="61" t="s">
        <v>380</v>
      </c>
      <c r="C2644" s="62">
        <v>44776</v>
      </c>
      <c r="D2644" s="62">
        <v>44776</v>
      </c>
      <c r="E2644" s="63">
        <v>0</v>
      </c>
    </row>
    <row r="2645" spans="1:5">
      <c r="A2645" s="61" t="s">
        <v>51</v>
      </c>
      <c r="B2645" s="61" t="s">
        <v>380</v>
      </c>
      <c r="C2645" s="62">
        <v>44777</v>
      </c>
      <c r="D2645" s="62">
        <v>44777</v>
      </c>
      <c r="E2645" s="63">
        <v>0</v>
      </c>
    </row>
    <row r="2646" spans="1:5">
      <c r="A2646" s="61" t="s">
        <v>51</v>
      </c>
      <c r="B2646" s="61" t="s">
        <v>380</v>
      </c>
      <c r="C2646" s="62">
        <v>44778</v>
      </c>
      <c r="D2646" s="62">
        <v>44778</v>
      </c>
      <c r="E2646" s="63">
        <v>0</v>
      </c>
    </row>
    <row r="2647" spans="1:5">
      <c r="A2647" s="61" t="s">
        <v>51</v>
      </c>
      <c r="B2647" s="61" t="s">
        <v>380</v>
      </c>
      <c r="C2647" s="62">
        <v>44779</v>
      </c>
      <c r="D2647" s="62">
        <v>44779</v>
      </c>
      <c r="E2647" s="63">
        <v>0</v>
      </c>
    </row>
    <row r="2648" spans="1:5">
      <c r="A2648" s="61" t="s">
        <v>51</v>
      </c>
      <c r="B2648" s="61" t="s">
        <v>380</v>
      </c>
      <c r="C2648" s="62">
        <v>44780</v>
      </c>
      <c r="D2648" s="62">
        <v>44780</v>
      </c>
      <c r="E2648" s="63">
        <v>0</v>
      </c>
    </row>
    <row r="2649" spans="1:5">
      <c r="A2649" s="61" t="s">
        <v>51</v>
      </c>
      <c r="B2649" s="61" t="s">
        <v>380</v>
      </c>
      <c r="C2649" s="62">
        <v>44781</v>
      </c>
      <c r="D2649" s="62">
        <v>44781</v>
      </c>
      <c r="E2649" s="63">
        <v>167.98000000000002</v>
      </c>
    </row>
    <row r="2650" spans="1:5">
      <c r="A2650" s="61" t="s">
        <v>51</v>
      </c>
      <c r="B2650" s="61" t="s">
        <v>380</v>
      </c>
      <c r="C2650" s="62">
        <v>44782</v>
      </c>
      <c r="D2650" s="62">
        <v>44782</v>
      </c>
      <c r="E2650" s="63">
        <v>289.02</v>
      </c>
    </row>
    <row r="2651" spans="1:5">
      <c r="A2651" s="61" t="s">
        <v>51</v>
      </c>
      <c r="B2651" s="61" t="s">
        <v>380</v>
      </c>
      <c r="C2651" s="62">
        <v>44783</v>
      </c>
      <c r="D2651" s="62">
        <v>44783</v>
      </c>
      <c r="E2651" s="63">
        <v>0</v>
      </c>
    </row>
    <row r="2652" spans="1:5">
      <c r="A2652" s="61" t="s">
        <v>51</v>
      </c>
      <c r="B2652" s="61" t="s">
        <v>380</v>
      </c>
      <c r="C2652" s="62">
        <v>44784</v>
      </c>
      <c r="D2652" s="62">
        <v>44784</v>
      </c>
      <c r="E2652" s="63">
        <v>0</v>
      </c>
    </row>
    <row r="2653" spans="1:5">
      <c r="A2653" s="61" t="s">
        <v>51</v>
      </c>
      <c r="B2653" s="61" t="s">
        <v>380</v>
      </c>
      <c r="C2653" s="62">
        <v>44785</v>
      </c>
      <c r="D2653" s="62">
        <v>44785</v>
      </c>
      <c r="E2653" s="63">
        <v>0</v>
      </c>
    </row>
    <row r="2654" spans="1:5">
      <c r="A2654" s="61" t="s">
        <v>51</v>
      </c>
      <c r="B2654" s="61" t="s">
        <v>380</v>
      </c>
      <c r="C2654" s="62">
        <v>44786</v>
      </c>
      <c r="D2654" s="62">
        <v>44786</v>
      </c>
      <c r="E2654" s="63">
        <v>0</v>
      </c>
    </row>
    <row r="2655" spans="1:5">
      <c r="A2655" s="61" t="s">
        <v>51</v>
      </c>
      <c r="B2655" s="61" t="s">
        <v>380</v>
      </c>
      <c r="C2655" s="62">
        <v>44787</v>
      </c>
      <c r="D2655" s="62">
        <v>44787</v>
      </c>
      <c r="E2655" s="63">
        <v>0</v>
      </c>
    </row>
    <row r="2656" spans="1:5">
      <c r="A2656" s="61" t="s">
        <v>51</v>
      </c>
      <c r="B2656" s="61" t="s">
        <v>380</v>
      </c>
      <c r="C2656" s="62">
        <v>44788</v>
      </c>
      <c r="D2656" s="62">
        <v>44788</v>
      </c>
      <c r="E2656" s="63">
        <v>0</v>
      </c>
    </row>
    <row r="2657" spans="1:5">
      <c r="A2657" s="61" t="s">
        <v>51</v>
      </c>
      <c r="B2657" s="61" t="s">
        <v>380</v>
      </c>
      <c r="C2657" s="62">
        <v>44789</v>
      </c>
      <c r="D2657" s="62">
        <v>44789</v>
      </c>
      <c r="E2657" s="63">
        <v>0</v>
      </c>
    </row>
    <row r="2658" spans="1:5">
      <c r="A2658" s="61" t="s">
        <v>51</v>
      </c>
      <c r="B2658" s="61" t="s">
        <v>380</v>
      </c>
      <c r="C2658" s="62">
        <v>44790</v>
      </c>
      <c r="D2658" s="62">
        <v>44790</v>
      </c>
      <c r="E2658" s="63">
        <v>0</v>
      </c>
    </row>
    <row r="2659" spans="1:5">
      <c r="A2659" s="61" t="s">
        <v>51</v>
      </c>
      <c r="B2659" s="61" t="s">
        <v>380</v>
      </c>
      <c r="C2659" s="62">
        <v>44791</v>
      </c>
      <c r="D2659" s="62">
        <v>44791</v>
      </c>
      <c r="E2659" s="63">
        <v>0</v>
      </c>
    </row>
    <row r="2660" spans="1:5">
      <c r="A2660" s="61" t="s">
        <v>51</v>
      </c>
      <c r="B2660" s="61" t="s">
        <v>380</v>
      </c>
      <c r="C2660" s="62">
        <v>44792</v>
      </c>
      <c r="D2660" s="62">
        <v>44792</v>
      </c>
      <c r="E2660" s="63">
        <v>0</v>
      </c>
    </row>
    <row r="2661" spans="1:5">
      <c r="A2661" s="61" t="s">
        <v>51</v>
      </c>
      <c r="B2661" s="61" t="s">
        <v>380</v>
      </c>
      <c r="C2661" s="62">
        <v>44793</v>
      </c>
      <c r="D2661" s="62">
        <v>44793</v>
      </c>
      <c r="E2661" s="63">
        <v>0</v>
      </c>
    </row>
    <row r="2662" spans="1:5">
      <c r="A2662" s="61" t="s">
        <v>51</v>
      </c>
      <c r="B2662" s="61" t="s">
        <v>380</v>
      </c>
      <c r="C2662" s="62">
        <v>44794</v>
      </c>
      <c r="D2662" s="62">
        <v>44794</v>
      </c>
      <c r="E2662" s="63">
        <v>0</v>
      </c>
    </row>
    <row r="2663" spans="1:5">
      <c r="A2663" s="61" t="s">
        <v>51</v>
      </c>
      <c r="B2663" s="61" t="s">
        <v>380</v>
      </c>
      <c r="C2663" s="62">
        <v>44795</v>
      </c>
      <c r="D2663" s="62">
        <v>44795</v>
      </c>
      <c r="E2663" s="63">
        <v>0</v>
      </c>
    </row>
    <row r="2664" spans="1:5">
      <c r="A2664" s="61" t="s">
        <v>51</v>
      </c>
      <c r="B2664" s="61" t="s">
        <v>380</v>
      </c>
      <c r="C2664" s="62">
        <v>44796</v>
      </c>
      <c r="D2664" s="62">
        <v>44796</v>
      </c>
      <c r="E2664" s="63">
        <v>690.36</v>
      </c>
    </row>
    <row r="2665" spans="1:5">
      <c r="A2665" s="61" t="s">
        <v>51</v>
      </c>
      <c r="B2665" s="61" t="s">
        <v>380</v>
      </c>
      <c r="C2665" s="62">
        <v>44797</v>
      </c>
      <c r="D2665" s="62">
        <v>44797</v>
      </c>
      <c r="E2665" s="63">
        <v>0</v>
      </c>
    </row>
    <row r="2666" spans="1:5">
      <c r="A2666" s="61" t="s">
        <v>51</v>
      </c>
      <c r="B2666" s="61" t="s">
        <v>380</v>
      </c>
      <c r="C2666" s="62">
        <v>44798</v>
      </c>
      <c r="D2666" s="62">
        <v>44798</v>
      </c>
      <c r="E2666" s="63">
        <v>0</v>
      </c>
    </row>
    <row r="2667" spans="1:5">
      <c r="A2667" s="61" t="s">
        <v>51</v>
      </c>
      <c r="B2667" s="61" t="s">
        <v>380</v>
      </c>
      <c r="C2667" s="62">
        <v>44799</v>
      </c>
      <c r="D2667" s="62">
        <v>44799</v>
      </c>
      <c r="E2667" s="63">
        <v>0</v>
      </c>
    </row>
    <row r="2668" spans="1:5">
      <c r="A2668" s="61" t="s">
        <v>51</v>
      </c>
      <c r="B2668" s="61" t="s">
        <v>380</v>
      </c>
      <c r="C2668" s="62">
        <v>44800</v>
      </c>
      <c r="D2668" s="62">
        <v>44800</v>
      </c>
      <c r="E2668" s="63">
        <v>0</v>
      </c>
    </row>
    <row r="2669" spans="1:5">
      <c r="A2669" s="61" t="s">
        <v>51</v>
      </c>
      <c r="B2669" s="61" t="s">
        <v>380</v>
      </c>
      <c r="C2669" s="62">
        <v>44801</v>
      </c>
      <c r="D2669" s="62">
        <v>44801</v>
      </c>
      <c r="E2669" s="63">
        <v>0</v>
      </c>
    </row>
    <row r="2670" spans="1:5">
      <c r="A2670" s="61" t="s">
        <v>51</v>
      </c>
      <c r="B2670" s="61" t="s">
        <v>380</v>
      </c>
      <c r="C2670" s="62">
        <v>44802</v>
      </c>
      <c r="D2670" s="62">
        <v>44802</v>
      </c>
      <c r="E2670" s="63">
        <v>0</v>
      </c>
    </row>
    <row r="2671" spans="1:5">
      <c r="A2671" s="61" t="s">
        <v>51</v>
      </c>
      <c r="B2671" s="61" t="s">
        <v>380</v>
      </c>
      <c r="C2671" s="62">
        <v>44803</v>
      </c>
      <c r="D2671" s="62">
        <v>44803</v>
      </c>
      <c r="E2671" s="63">
        <v>0</v>
      </c>
    </row>
    <row r="2672" spans="1:5">
      <c r="A2672" s="61" t="s">
        <v>172</v>
      </c>
      <c r="B2672" s="61" t="s">
        <v>381</v>
      </c>
      <c r="C2672" s="62">
        <v>44774</v>
      </c>
      <c r="D2672" s="62">
        <v>44774</v>
      </c>
      <c r="E2672" s="63">
        <v>0</v>
      </c>
    </row>
    <row r="2673" spans="1:5">
      <c r="A2673" s="61" t="s">
        <v>172</v>
      </c>
      <c r="B2673" s="61" t="s">
        <v>381</v>
      </c>
      <c r="C2673" s="62">
        <v>44775</v>
      </c>
      <c r="D2673" s="62">
        <v>44775</v>
      </c>
      <c r="E2673" s="63">
        <v>0</v>
      </c>
    </row>
    <row r="2674" spans="1:5">
      <c r="A2674" s="61" t="s">
        <v>172</v>
      </c>
      <c r="B2674" s="61" t="s">
        <v>381</v>
      </c>
      <c r="C2674" s="62">
        <v>44776</v>
      </c>
      <c r="D2674" s="62">
        <v>44776</v>
      </c>
      <c r="E2674" s="63">
        <v>0</v>
      </c>
    </row>
    <row r="2675" spans="1:5">
      <c r="A2675" s="61" t="s">
        <v>172</v>
      </c>
      <c r="B2675" s="61" t="s">
        <v>381</v>
      </c>
      <c r="C2675" s="62">
        <v>44777</v>
      </c>
      <c r="D2675" s="62">
        <v>44777</v>
      </c>
      <c r="E2675" s="63">
        <v>0</v>
      </c>
    </row>
    <row r="2676" spans="1:5">
      <c r="A2676" s="61" t="s">
        <v>172</v>
      </c>
      <c r="B2676" s="61" t="s">
        <v>381</v>
      </c>
      <c r="C2676" s="62">
        <v>44778</v>
      </c>
      <c r="D2676" s="62">
        <v>44778</v>
      </c>
      <c r="E2676" s="63">
        <v>0</v>
      </c>
    </row>
    <row r="2677" spans="1:5">
      <c r="A2677" s="61" t="s">
        <v>172</v>
      </c>
      <c r="B2677" s="61" t="s">
        <v>381</v>
      </c>
      <c r="C2677" s="62">
        <v>44779</v>
      </c>
      <c r="D2677" s="62">
        <v>44779</v>
      </c>
      <c r="E2677" s="63">
        <v>0</v>
      </c>
    </row>
    <row r="2678" spans="1:5">
      <c r="A2678" s="61" t="s">
        <v>172</v>
      </c>
      <c r="B2678" s="61" t="s">
        <v>381</v>
      </c>
      <c r="C2678" s="62">
        <v>44780</v>
      </c>
      <c r="D2678" s="62">
        <v>44780</v>
      </c>
      <c r="E2678" s="63">
        <v>0</v>
      </c>
    </row>
    <row r="2679" spans="1:5">
      <c r="A2679" s="61" t="s">
        <v>172</v>
      </c>
      <c r="B2679" s="61" t="s">
        <v>381</v>
      </c>
      <c r="C2679" s="62">
        <v>44781</v>
      </c>
      <c r="D2679" s="62">
        <v>44781</v>
      </c>
      <c r="E2679" s="63">
        <v>0</v>
      </c>
    </row>
    <row r="2680" spans="1:5">
      <c r="A2680" s="61" t="s">
        <v>172</v>
      </c>
      <c r="B2680" s="61" t="s">
        <v>381</v>
      </c>
      <c r="C2680" s="62">
        <v>44782</v>
      </c>
      <c r="D2680" s="62">
        <v>44782</v>
      </c>
      <c r="E2680" s="63">
        <v>0</v>
      </c>
    </row>
    <row r="2681" spans="1:5">
      <c r="A2681" s="61" t="s">
        <v>172</v>
      </c>
      <c r="B2681" s="61" t="s">
        <v>381</v>
      </c>
      <c r="C2681" s="62">
        <v>44783</v>
      </c>
      <c r="D2681" s="62">
        <v>44783</v>
      </c>
      <c r="E2681" s="63">
        <v>0</v>
      </c>
    </row>
    <row r="2682" spans="1:5">
      <c r="A2682" s="61" t="s">
        <v>172</v>
      </c>
      <c r="B2682" s="61" t="s">
        <v>381</v>
      </c>
      <c r="C2682" s="62">
        <v>44784</v>
      </c>
      <c r="D2682" s="62">
        <v>44784</v>
      </c>
      <c r="E2682" s="63">
        <v>0</v>
      </c>
    </row>
    <row r="2683" spans="1:5">
      <c r="A2683" s="61" t="s">
        <v>172</v>
      </c>
      <c r="B2683" s="61" t="s">
        <v>381</v>
      </c>
      <c r="C2683" s="62">
        <v>44785</v>
      </c>
      <c r="D2683" s="62">
        <v>44785</v>
      </c>
      <c r="E2683" s="63">
        <v>0</v>
      </c>
    </row>
    <row r="2684" spans="1:5">
      <c r="A2684" s="61" t="s">
        <v>172</v>
      </c>
      <c r="B2684" s="61" t="s">
        <v>381</v>
      </c>
      <c r="C2684" s="62">
        <v>44786</v>
      </c>
      <c r="D2684" s="62">
        <v>44786</v>
      </c>
      <c r="E2684" s="63">
        <v>0</v>
      </c>
    </row>
    <row r="2685" spans="1:5">
      <c r="A2685" s="61" t="s">
        <v>172</v>
      </c>
      <c r="B2685" s="61" t="s">
        <v>381</v>
      </c>
      <c r="C2685" s="62">
        <v>44787</v>
      </c>
      <c r="D2685" s="62">
        <v>44787</v>
      </c>
      <c r="E2685" s="63">
        <v>0</v>
      </c>
    </row>
    <row r="2686" spans="1:5">
      <c r="A2686" s="61" t="s">
        <v>172</v>
      </c>
      <c r="B2686" s="61" t="s">
        <v>381</v>
      </c>
      <c r="C2686" s="62">
        <v>44788</v>
      </c>
      <c r="D2686" s="62">
        <v>44788</v>
      </c>
      <c r="E2686" s="63">
        <v>0</v>
      </c>
    </row>
    <row r="2687" spans="1:5">
      <c r="A2687" s="61" t="s">
        <v>172</v>
      </c>
      <c r="B2687" s="61" t="s">
        <v>381</v>
      </c>
      <c r="C2687" s="62">
        <v>44789</v>
      </c>
      <c r="D2687" s="62">
        <v>44789</v>
      </c>
      <c r="E2687" s="63">
        <v>0</v>
      </c>
    </row>
    <row r="2688" spans="1:5">
      <c r="A2688" s="61" t="s">
        <v>172</v>
      </c>
      <c r="B2688" s="61" t="s">
        <v>381</v>
      </c>
      <c r="C2688" s="62">
        <v>44790</v>
      </c>
      <c r="D2688" s="62">
        <v>44790</v>
      </c>
      <c r="E2688" s="63">
        <v>0</v>
      </c>
    </row>
    <row r="2689" spans="1:5">
      <c r="A2689" s="61" t="s">
        <v>172</v>
      </c>
      <c r="B2689" s="61" t="s">
        <v>381</v>
      </c>
      <c r="C2689" s="62">
        <v>44791</v>
      </c>
      <c r="D2689" s="62">
        <v>44791</v>
      </c>
      <c r="E2689" s="63">
        <v>0</v>
      </c>
    </row>
    <row r="2690" spans="1:5">
      <c r="A2690" s="61" t="s">
        <v>172</v>
      </c>
      <c r="B2690" s="61" t="s">
        <v>381</v>
      </c>
      <c r="C2690" s="62">
        <v>44792</v>
      </c>
      <c r="D2690" s="62">
        <v>44792</v>
      </c>
      <c r="E2690" s="63">
        <v>0</v>
      </c>
    </row>
    <row r="2691" spans="1:5">
      <c r="A2691" s="61" t="s">
        <v>172</v>
      </c>
      <c r="B2691" s="61" t="s">
        <v>381</v>
      </c>
      <c r="C2691" s="62">
        <v>44793</v>
      </c>
      <c r="D2691" s="62">
        <v>44793</v>
      </c>
      <c r="E2691" s="63">
        <v>0</v>
      </c>
    </row>
    <row r="2692" spans="1:5">
      <c r="A2692" s="61" t="s">
        <v>172</v>
      </c>
      <c r="B2692" s="61" t="s">
        <v>381</v>
      </c>
      <c r="C2692" s="62">
        <v>44794</v>
      </c>
      <c r="D2692" s="62">
        <v>44794</v>
      </c>
      <c r="E2692" s="63">
        <v>0</v>
      </c>
    </row>
    <row r="2693" spans="1:5">
      <c r="A2693" s="61" t="s">
        <v>172</v>
      </c>
      <c r="B2693" s="61" t="s">
        <v>381</v>
      </c>
      <c r="C2693" s="62">
        <v>44795</v>
      </c>
      <c r="D2693" s="62">
        <v>44795</v>
      </c>
      <c r="E2693" s="63">
        <v>0</v>
      </c>
    </row>
    <row r="2694" spans="1:5">
      <c r="A2694" s="61" t="s">
        <v>172</v>
      </c>
      <c r="B2694" s="61" t="s">
        <v>381</v>
      </c>
      <c r="C2694" s="62">
        <v>44796</v>
      </c>
      <c r="D2694" s="62">
        <v>44796</v>
      </c>
      <c r="E2694" s="63">
        <v>0</v>
      </c>
    </row>
    <row r="2695" spans="1:5">
      <c r="A2695" s="61" t="s">
        <v>172</v>
      </c>
      <c r="B2695" s="61" t="s">
        <v>381</v>
      </c>
      <c r="C2695" s="62">
        <v>44797</v>
      </c>
      <c r="D2695" s="62">
        <v>44797</v>
      </c>
      <c r="E2695" s="63">
        <v>0</v>
      </c>
    </row>
    <row r="2696" spans="1:5">
      <c r="A2696" s="61" t="s">
        <v>172</v>
      </c>
      <c r="B2696" s="61" t="s">
        <v>381</v>
      </c>
      <c r="C2696" s="62">
        <v>44798</v>
      </c>
      <c r="D2696" s="62">
        <v>44798</v>
      </c>
      <c r="E2696" s="63">
        <v>0</v>
      </c>
    </row>
    <row r="2697" spans="1:5">
      <c r="A2697" s="61" t="s">
        <v>172</v>
      </c>
      <c r="B2697" s="61" t="s">
        <v>381</v>
      </c>
      <c r="C2697" s="62">
        <v>44799</v>
      </c>
      <c r="D2697" s="62">
        <v>44799</v>
      </c>
      <c r="E2697" s="63">
        <v>0</v>
      </c>
    </row>
    <row r="2698" spans="1:5">
      <c r="A2698" s="61" t="s">
        <v>172</v>
      </c>
      <c r="B2698" s="61" t="s">
        <v>381</v>
      </c>
      <c r="C2698" s="62">
        <v>44800</v>
      </c>
      <c r="D2698" s="62">
        <v>44800</v>
      </c>
      <c r="E2698" s="63">
        <v>0</v>
      </c>
    </row>
    <row r="2699" spans="1:5">
      <c r="A2699" s="61" t="s">
        <v>172</v>
      </c>
      <c r="B2699" s="61" t="s">
        <v>381</v>
      </c>
      <c r="C2699" s="62">
        <v>44801</v>
      </c>
      <c r="D2699" s="62">
        <v>44801</v>
      </c>
      <c r="E2699" s="63">
        <v>0</v>
      </c>
    </row>
    <row r="2700" spans="1:5">
      <c r="A2700" s="61" t="s">
        <v>172</v>
      </c>
      <c r="B2700" s="61" t="s">
        <v>381</v>
      </c>
      <c r="C2700" s="62">
        <v>44802</v>
      </c>
      <c r="D2700" s="62">
        <v>44802</v>
      </c>
      <c r="E2700" s="63">
        <v>0</v>
      </c>
    </row>
    <row r="2701" spans="1:5">
      <c r="A2701" s="61" t="s">
        <v>172</v>
      </c>
      <c r="B2701" s="61" t="s">
        <v>381</v>
      </c>
      <c r="C2701" s="62">
        <v>44803</v>
      </c>
      <c r="D2701" s="62">
        <v>44803</v>
      </c>
      <c r="E2701" s="63">
        <v>0</v>
      </c>
    </row>
    <row r="2702" spans="1:5">
      <c r="A2702" s="61" t="s">
        <v>173</v>
      </c>
      <c r="B2702" s="61" t="s">
        <v>382</v>
      </c>
      <c r="C2702" s="62">
        <v>44774</v>
      </c>
      <c r="D2702" s="62">
        <v>44774</v>
      </c>
      <c r="E2702" s="63">
        <v>0</v>
      </c>
    </row>
    <row r="2703" spans="1:5">
      <c r="A2703" s="61" t="s">
        <v>173</v>
      </c>
      <c r="B2703" s="61" t="s">
        <v>382</v>
      </c>
      <c r="C2703" s="62">
        <v>44775</v>
      </c>
      <c r="D2703" s="62">
        <v>44775</v>
      </c>
      <c r="E2703" s="63">
        <v>0</v>
      </c>
    </row>
    <row r="2704" spans="1:5">
      <c r="A2704" s="61" t="s">
        <v>173</v>
      </c>
      <c r="B2704" s="61" t="s">
        <v>382</v>
      </c>
      <c r="C2704" s="62">
        <v>44776</v>
      </c>
      <c r="D2704" s="62">
        <v>44776</v>
      </c>
      <c r="E2704" s="63">
        <v>0</v>
      </c>
    </row>
    <row r="2705" spans="1:5">
      <c r="A2705" s="61" t="s">
        <v>173</v>
      </c>
      <c r="B2705" s="61" t="s">
        <v>382</v>
      </c>
      <c r="C2705" s="62">
        <v>44777</v>
      </c>
      <c r="D2705" s="62">
        <v>44777</v>
      </c>
      <c r="E2705" s="63">
        <v>0</v>
      </c>
    </row>
    <row r="2706" spans="1:5">
      <c r="A2706" s="61" t="s">
        <v>173</v>
      </c>
      <c r="B2706" s="61" t="s">
        <v>382</v>
      </c>
      <c r="C2706" s="62">
        <v>44778</v>
      </c>
      <c r="D2706" s="62">
        <v>44778</v>
      </c>
      <c r="E2706" s="63">
        <v>0</v>
      </c>
    </row>
    <row r="2707" spans="1:5">
      <c r="A2707" s="61" t="s">
        <v>173</v>
      </c>
      <c r="B2707" s="61" t="s">
        <v>382</v>
      </c>
      <c r="C2707" s="62">
        <v>44779</v>
      </c>
      <c r="D2707" s="62">
        <v>44779</v>
      </c>
      <c r="E2707" s="63">
        <v>0</v>
      </c>
    </row>
    <row r="2708" spans="1:5">
      <c r="A2708" s="61" t="s">
        <v>173</v>
      </c>
      <c r="B2708" s="61" t="s">
        <v>382</v>
      </c>
      <c r="C2708" s="62">
        <v>44780</v>
      </c>
      <c r="D2708" s="62">
        <v>44780</v>
      </c>
      <c r="E2708" s="63">
        <v>0</v>
      </c>
    </row>
    <row r="2709" spans="1:5">
      <c r="A2709" s="61" t="s">
        <v>173</v>
      </c>
      <c r="B2709" s="61" t="s">
        <v>382</v>
      </c>
      <c r="C2709" s="62">
        <v>44781</v>
      </c>
      <c r="D2709" s="62">
        <v>44781</v>
      </c>
      <c r="E2709" s="63">
        <v>0</v>
      </c>
    </row>
    <row r="2710" spans="1:5">
      <c r="A2710" s="61" t="s">
        <v>173</v>
      </c>
      <c r="B2710" s="61" t="s">
        <v>382</v>
      </c>
      <c r="C2710" s="62">
        <v>44782</v>
      </c>
      <c r="D2710" s="62">
        <v>44782</v>
      </c>
      <c r="E2710" s="63">
        <v>0</v>
      </c>
    </row>
    <row r="2711" spans="1:5">
      <c r="A2711" s="61" t="s">
        <v>173</v>
      </c>
      <c r="B2711" s="61" t="s">
        <v>382</v>
      </c>
      <c r="C2711" s="62">
        <v>44783</v>
      </c>
      <c r="D2711" s="62">
        <v>44783</v>
      </c>
      <c r="E2711" s="63">
        <v>0</v>
      </c>
    </row>
    <row r="2712" spans="1:5">
      <c r="A2712" s="61" t="s">
        <v>173</v>
      </c>
      <c r="B2712" s="61" t="s">
        <v>382</v>
      </c>
      <c r="C2712" s="62">
        <v>44784</v>
      </c>
      <c r="D2712" s="62">
        <v>44784</v>
      </c>
      <c r="E2712" s="63">
        <v>0</v>
      </c>
    </row>
    <row r="2713" spans="1:5">
      <c r="A2713" s="61" t="s">
        <v>173</v>
      </c>
      <c r="B2713" s="61" t="s">
        <v>382</v>
      </c>
      <c r="C2713" s="62">
        <v>44785</v>
      </c>
      <c r="D2713" s="62">
        <v>44785</v>
      </c>
      <c r="E2713" s="63">
        <v>0</v>
      </c>
    </row>
    <row r="2714" spans="1:5">
      <c r="A2714" s="61" t="s">
        <v>173</v>
      </c>
      <c r="B2714" s="61" t="s">
        <v>382</v>
      </c>
      <c r="C2714" s="62">
        <v>44786</v>
      </c>
      <c r="D2714" s="62">
        <v>44786</v>
      </c>
      <c r="E2714" s="63">
        <v>0</v>
      </c>
    </row>
    <row r="2715" spans="1:5">
      <c r="A2715" s="61" t="s">
        <v>173</v>
      </c>
      <c r="B2715" s="61" t="s">
        <v>382</v>
      </c>
      <c r="C2715" s="62">
        <v>44787</v>
      </c>
      <c r="D2715" s="62">
        <v>44787</v>
      </c>
      <c r="E2715" s="63">
        <v>0</v>
      </c>
    </row>
    <row r="2716" spans="1:5">
      <c r="A2716" s="61" t="s">
        <v>173</v>
      </c>
      <c r="B2716" s="61" t="s">
        <v>382</v>
      </c>
      <c r="C2716" s="62">
        <v>44788</v>
      </c>
      <c r="D2716" s="62">
        <v>44788</v>
      </c>
      <c r="E2716" s="63">
        <v>0</v>
      </c>
    </row>
    <row r="2717" spans="1:5">
      <c r="A2717" s="61" t="s">
        <v>173</v>
      </c>
      <c r="B2717" s="61" t="s">
        <v>382</v>
      </c>
      <c r="C2717" s="62">
        <v>44789</v>
      </c>
      <c r="D2717" s="62">
        <v>44789</v>
      </c>
      <c r="E2717" s="63">
        <v>0</v>
      </c>
    </row>
    <row r="2718" spans="1:5">
      <c r="A2718" s="61" t="s">
        <v>173</v>
      </c>
      <c r="B2718" s="61" t="s">
        <v>382</v>
      </c>
      <c r="C2718" s="62">
        <v>44790</v>
      </c>
      <c r="D2718" s="62">
        <v>44790</v>
      </c>
      <c r="E2718" s="63">
        <v>0</v>
      </c>
    </row>
    <row r="2719" spans="1:5">
      <c r="A2719" s="61" t="s">
        <v>173</v>
      </c>
      <c r="B2719" s="61" t="s">
        <v>382</v>
      </c>
      <c r="C2719" s="62">
        <v>44791</v>
      </c>
      <c r="D2719" s="62">
        <v>44791</v>
      </c>
      <c r="E2719" s="63">
        <v>0</v>
      </c>
    </row>
    <row r="2720" spans="1:5">
      <c r="A2720" s="61" t="s">
        <v>173</v>
      </c>
      <c r="B2720" s="61" t="s">
        <v>382</v>
      </c>
      <c r="C2720" s="62">
        <v>44792</v>
      </c>
      <c r="D2720" s="62">
        <v>44792</v>
      </c>
      <c r="E2720" s="63">
        <v>0</v>
      </c>
    </row>
    <row r="2721" spans="1:5">
      <c r="A2721" s="61" t="s">
        <v>173</v>
      </c>
      <c r="B2721" s="61" t="s">
        <v>382</v>
      </c>
      <c r="C2721" s="62">
        <v>44793</v>
      </c>
      <c r="D2721" s="62">
        <v>44793</v>
      </c>
      <c r="E2721" s="63">
        <v>0</v>
      </c>
    </row>
    <row r="2722" spans="1:5">
      <c r="A2722" s="61" t="s">
        <v>173</v>
      </c>
      <c r="B2722" s="61" t="s">
        <v>382</v>
      </c>
      <c r="C2722" s="62">
        <v>44794</v>
      </c>
      <c r="D2722" s="62">
        <v>44794</v>
      </c>
      <c r="E2722" s="63">
        <v>0</v>
      </c>
    </row>
    <row r="2723" spans="1:5">
      <c r="A2723" s="61" t="s">
        <v>173</v>
      </c>
      <c r="B2723" s="61" t="s">
        <v>382</v>
      </c>
      <c r="C2723" s="62">
        <v>44795</v>
      </c>
      <c r="D2723" s="62">
        <v>44795</v>
      </c>
      <c r="E2723" s="63">
        <v>0</v>
      </c>
    </row>
    <row r="2724" spans="1:5">
      <c r="A2724" s="61" t="s">
        <v>173</v>
      </c>
      <c r="B2724" s="61" t="s">
        <v>382</v>
      </c>
      <c r="C2724" s="62">
        <v>44796</v>
      </c>
      <c r="D2724" s="62">
        <v>44796</v>
      </c>
      <c r="E2724" s="63">
        <v>0</v>
      </c>
    </row>
    <row r="2725" spans="1:5">
      <c r="A2725" s="61" t="s">
        <v>173</v>
      </c>
      <c r="B2725" s="61" t="s">
        <v>382</v>
      </c>
      <c r="C2725" s="62">
        <v>44797</v>
      </c>
      <c r="D2725" s="62">
        <v>44797</v>
      </c>
      <c r="E2725" s="63">
        <v>0</v>
      </c>
    </row>
    <row r="2726" spans="1:5">
      <c r="A2726" s="61" t="s">
        <v>173</v>
      </c>
      <c r="B2726" s="61" t="s">
        <v>382</v>
      </c>
      <c r="C2726" s="62">
        <v>44798</v>
      </c>
      <c r="D2726" s="62">
        <v>44798</v>
      </c>
      <c r="E2726" s="63">
        <v>0</v>
      </c>
    </row>
    <row r="2727" spans="1:5">
      <c r="A2727" s="61" t="s">
        <v>173</v>
      </c>
      <c r="B2727" s="61" t="s">
        <v>382</v>
      </c>
      <c r="C2727" s="62">
        <v>44799</v>
      </c>
      <c r="D2727" s="62">
        <v>44799</v>
      </c>
      <c r="E2727" s="63">
        <v>0</v>
      </c>
    </row>
    <row r="2728" spans="1:5">
      <c r="A2728" s="61" t="s">
        <v>173</v>
      </c>
      <c r="B2728" s="61" t="s">
        <v>382</v>
      </c>
      <c r="C2728" s="62">
        <v>44800</v>
      </c>
      <c r="D2728" s="62">
        <v>44800</v>
      </c>
      <c r="E2728" s="63">
        <v>0</v>
      </c>
    </row>
    <row r="2729" spans="1:5">
      <c r="A2729" s="61" t="s">
        <v>173</v>
      </c>
      <c r="B2729" s="61" t="s">
        <v>382</v>
      </c>
      <c r="C2729" s="62">
        <v>44801</v>
      </c>
      <c r="D2729" s="62">
        <v>44801</v>
      </c>
      <c r="E2729" s="63">
        <v>0</v>
      </c>
    </row>
    <row r="2730" spans="1:5">
      <c r="A2730" s="61" t="s">
        <v>173</v>
      </c>
      <c r="B2730" s="61" t="s">
        <v>382</v>
      </c>
      <c r="C2730" s="62">
        <v>44802</v>
      </c>
      <c r="D2730" s="62">
        <v>44802</v>
      </c>
      <c r="E2730" s="63">
        <v>0</v>
      </c>
    </row>
    <row r="2731" spans="1:5">
      <c r="A2731" s="61" t="s">
        <v>173</v>
      </c>
      <c r="B2731" s="61" t="s">
        <v>382</v>
      </c>
      <c r="C2731" s="62">
        <v>44803</v>
      </c>
      <c r="D2731" s="62">
        <v>44803</v>
      </c>
      <c r="E2731" s="63">
        <v>0</v>
      </c>
    </row>
    <row r="2732" spans="1:5">
      <c r="A2732" s="61" t="s">
        <v>174</v>
      </c>
      <c r="B2732" s="61" t="s">
        <v>383</v>
      </c>
      <c r="C2732" s="62">
        <v>44774</v>
      </c>
      <c r="D2732" s="62">
        <v>44774</v>
      </c>
      <c r="E2732" s="63">
        <v>0</v>
      </c>
    </row>
    <row r="2733" spans="1:5">
      <c r="A2733" s="61" t="s">
        <v>174</v>
      </c>
      <c r="B2733" s="61" t="s">
        <v>383</v>
      </c>
      <c r="C2733" s="62">
        <v>44775</v>
      </c>
      <c r="D2733" s="62">
        <v>44775</v>
      </c>
      <c r="E2733" s="63">
        <v>0</v>
      </c>
    </row>
    <row r="2734" spans="1:5">
      <c r="A2734" s="61" t="s">
        <v>174</v>
      </c>
      <c r="B2734" s="61" t="s">
        <v>383</v>
      </c>
      <c r="C2734" s="62">
        <v>44776</v>
      </c>
      <c r="D2734" s="62">
        <v>44776</v>
      </c>
      <c r="E2734" s="63">
        <v>0</v>
      </c>
    </row>
    <row r="2735" spans="1:5">
      <c r="A2735" s="61" t="s">
        <v>174</v>
      </c>
      <c r="B2735" s="61" t="s">
        <v>383</v>
      </c>
      <c r="C2735" s="62">
        <v>44777</v>
      </c>
      <c r="D2735" s="62">
        <v>44777</v>
      </c>
      <c r="E2735" s="63">
        <v>0</v>
      </c>
    </row>
    <row r="2736" spans="1:5">
      <c r="A2736" s="61" t="s">
        <v>174</v>
      </c>
      <c r="B2736" s="61" t="s">
        <v>383</v>
      </c>
      <c r="C2736" s="62">
        <v>44778</v>
      </c>
      <c r="D2736" s="62">
        <v>44778</v>
      </c>
      <c r="E2736" s="63">
        <v>0</v>
      </c>
    </row>
    <row r="2737" spans="1:5">
      <c r="A2737" s="61" t="s">
        <v>174</v>
      </c>
      <c r="B2737" s="61" t="s">
        <v>383</v>
      </c>
      <c r="C2737" s="62">
        <v>44779</v>
      </c>
      <c r="D2737" s="62">
        <v>44779</v>
      </c>
      <c r="E2737" s="63">
        <v>0</v>
      </c>
    </row>
    <row r="2738" spans="1:5">
      <c r="A2738" s="61" t="s">
        <v>174</v>
      </c>
      <c r="B2738" s="61" t="s">
        <v>383</v>
      </c>
      <c r="C2738" s="62">
        <v>44780</v>
      </c>
      <c r="D2738" s="62">
        <v>44780</v>
      </c>
      <c r="E2738" s="63">
        <v>0</v>
      </c>
    </row>
    <row r="2739" spans="1:5">
      <c r="A2739" s="61" t="s">
        <v>174</v>
      </c>
      <c r="B2739" s="61" t="s">
        <v>383</v>
      </c>
      <c r="C2739" s="62">
        <v>44781</v>
      </c>
      <c r="D2739" s="62">
        <v>44781</v>
      </c>
      <c r="E2739" s="63">
        <v>0</v>
      </c>
    </row>
    <row r="2740" spans="1:5">
      <c r="A2740" s="61" t="s">
        <v>174</v>
      </c>
      <c r="B2740" s="61" t="s">
        <v>383</v>
      </c>
      <c r="C2740" s="62">
        <v>44782</v>
      </c>
      <c r="D2740" s="62">
        <v>44782</v>
      </c>
      <c r="E2740" s="63">
        <v>0</v>
      </c>
    </row>
    <row r="2741" spans="1:5">
      <c r="A2741" s="61" t="s">
        <v>174</v>
      </c>
      <c r="B2741" s="61" t="s">
        <v>383</v>
      </c>
      <c r="C2741" s="62">
        <v>44783</v>
      </c>
      <c r="D2741" s="62">
        <v>44783</v>
      </c>
      <c r="E2741" s="63">
        <v>0</v>
      </c>
    </row>
    <row r="2742" spans="1:5">
      <c r="A2742" s="61" t="s">
        <v>174</v>
      </c>
      <c r="B2742" s="61" t="s">
        <v>383</v>
      </c>
      <c r="C2742" s="62">
        <v>44784</v>
      </c>
      <c r="D2742" s="62">
        <v>44784</v>
      </c>
      <c r="E2742" s="63">
        <v>0</v>
      </c>
    </row>
    <row r="2743" spans="1:5">
      <c r="A2743" s="61" t="s">
        <v>174</v>
      </c>
      <c r="B2743" s="61" t="s">
        <v>383</v>
      </c>
      <c r="C2743" s="62">
        <v>44785</v>
      </c>
      <c r="D2743" s="62">
        <v>44785</v>
      </c>
      <c r="E2743" s="63">
        <v>0</v>
      </c>
    </row>
    <row r="2744" spans="1:5">
      <c r="A2744" s="61" t="s">
        <v>174</v>
      </c>
      <c r="B2744" s="61" t="s">
        <v>383</v>
      </c>
      <c r="C2744" s="62">
        <v>44786</v>
      </c>
      <c r="D2744" s="62">
        <v>44786</v>
      </c>
      <c r="E2744" s="63">
        <v>0</v>
      </c>
    </row>
    <row r="2745" spans="1:5">
      <c r="A2745" s="61" t="s">
        <v>174</v>
      </c>
      <c r="B2745" s="61" t="s">
        <v>383</v>
      </c>
      <c r="C2745" s="62">
        <v>44787</v>
      </c>
      <c r="D2745" s="62">
        <v>44787</v>
      </c>
      <c r="E2745" s="63">
        <v>0</v>
      </c>
    </row>
    <row r="2746" spans="1:5">
      <c r="A2746" s="61" t="s">
        <v>174</v>
      </c>
      <c r="B2746" s="61" t="s">
        <v>383</v>
      </c>
      <c r="C2746" s="62">
        <v>44788</v>
      </c>
      <c r="D2746" s="62">
        <v>44788</v>
      </c>
      <c r="E2746" s="63">
        <v>0</v>
      </c>
    </row>
    <row r="2747" spans="1:5">
      <c r="A2747" s="61" t="s">
        <v>174</v>
      </c>
      <c r="B2747" s="61" t="s">
        <v>383</v>
      </c>
      <c r="C2747" s="62">
        <v>44789</v>
      </c>
      <c r="D2747" s="62">
        <v>44789</v>
      </c>
      <c r="E2747" s="63">
        <v>0</v>
      </c>
    </row>
    <row r="2748" spans="1:5">
      <c r="A2748" s="61" t="s">
        <v>174</v>
      </c>
      <c r="B2748" s="61" t="s">
        <v>383</v>
      </c>
      <c r="C2748" s="62">
        <v>44790</v>
      </c>
      <c r="D2748" s="62">
        <v>44790</v>
      </c>
      <c r="E2748" s="63">
        <v>0</v>
      </c>
    </row>
    <row r="2749" spans="1:5">
      <c r="A2749" s="61" t="s">
        <v>174</v>
      </c>
      <c r="B2749" s="61" t="s">
        <v>383</v>
      </c>
      <c r="C2749" s="62">
        <v>44791</v>
      </c>
      <c r="D2749" s="62">
        <v>44791</v>
      </c>
      <c r="E2749" s="63">
        <v>0</v>
      </c>
    </row>
    <row r="2750" spans="1:5">
      <c r="A2750" s="61" t="s">
        <v>174</v>
      </c>
      <c r="B2750" s="61" t="s">
        <v>383</v>
      </c>
      <c r="C2750" s="62">
        <v>44792</v>
      </c>
      <c r="D2750" s="62">
        <v>44792</v>
      </c>
      <c r="E2750" s="63">
        <v>0</v>
      </c>
    </row>
    <row r="2751" spans="1:5">
      <c r="A2751" s="61" t="s">
        <v>174</v>
      </c>
      <c r="B2751" s="61" t="s">
        <v>383</v>
      </c>
      <c r="C2751" s="62">
        <v>44793</v>
      </c>
      <c r="D2751" s="62">
        <v>44793</v>
      </c>
      <c r="E2751" s="63">
        <v>0</v>
      </c>
    </row>
    <row r="2752" spans="1:5">
      <c r="A2752" s="61" t="s">
        <v>174</v>
      </c>
      <c r="B2752" s="61" t="s">
        <v>383</v>
      </c>
      <c r="C2752" s="62">
        <v>44794</v>
      </c>
      <c r="D2752" s="62">
        <v>44794</v>
      </c>
      <c r="E2752" s="63">
        <v>0</v>
      </c>
    </row>
    <row r="2753" spans="1:5">
      <c r="A2753" s="61" t="s">
        <v>174</v>
      </c>
      <c r="B2753" s="61" t="s">
        <v>383</v>
      </c>
      <c r="C2753" s="62">
        <v>44795</v>
      </c>
      <c r="D2753" s="62">
        <v>44795</v>
      </c>
      <c r="E2753" s="63">
        <v>0</v>
      </c>
    </row>
    <row r="2754" spans="1:5">
      <c r="A2754" s="61" t="s">
        <v>174</v>
      </c>
      <c r="B2754" s="61" t="s">
        <v>383</v>
      </c>
      <c r="C2754" s="62">
        <v>44796</v>
      </c>
      <c r="D2754" s="62">
        <v>44796</v>
      </c>
      <c r="E2754" s="63">
        <v>0</v>
      </c>
    </row>
    <row r="2755" spans="1:5">
      <c r="A2755" s="61" t="s">
        <v>174</v>
      </c>
      <c r="B2755" s="61" t="s">
        <v>383</v>
      </c>
      <c r="C2755" s="62">
        <v>44797</v>
      </c>
      <c r="D2755" s="62">
        <v>44797</v>
      </c>
      <c r="E2755" s="63">
        <v>0</v>
      </c>
    </row>
    <row r="2756" spans="1:5">
      <c r="A2756" s="61" t="s">
        <v>174</v>
      </c>
      <c r="B2756" s="61" t="s">
        <v>383</v>
      </c>
      <c r="C2756" s="62">
        <v>44798</v>
      </c>
      <c r="D2756" s="62">
        <v>44798</v>
      </c>
      <c r="E2756" s="63">
        <v>0</v>
      </c>
    </row>
    <row r="2757" spans="1:5">
      <c r="A2757" s="61" t="s">
        <v>174</v>
      </c>
      <c r="B2757" s="61" t="s">
        <v>383</v>
      </c>
      <c r="C2757" s="62">
        <v>44799</v>
      </c>
      <c r="D2757" s="62">
        <v>44799</v>
      </c>
      <c r="E2757" s="63">
        <v>0</v>
      </c>
    </row>
    <row r="2758" spans="1:5">
      <c r="A2758" s="61" t="s">
        <v>174</v>
      </c>
      <c r="B2758" s="61" t="s">
        <v>383</v>
      </c>
      <c r="C2758" s="62">
        <v>44800</v>
      </c>
      <c r="D2758" s="62">
        <v>44800</v>
      </c>
      <c r="E2758" s="63">
        <v>0</v>
      </c>
    </row>
    <row r="2759" spans="1:5">
      <c r="A2759" s="61" t="s">
        <v>174</v>
      </c>
      <c r="B2759" s="61" t="s">
        <v>383</v>
      </c>
      <c r="C2759" s="62">
        <v>44801</v>
      </c>
      <c r="D2759" s="62">
        <v>44801</v>
      </c>
      <c r="E2759" s="63">
        <v>0</v>
      </c>
    </row>
    <row r="2760" spans="1:5">
      <c r="A2760" s="61" t="s">
        <v>174</v>
      </c>
      <c r="B2760" s="61" t="s">
        <v>383</v>
      </c>
      <c r="C2760" s="62">
        <v>44802</v>
      </c>
      <c r="D2760" s="62">
        <v>44802</v>
      </c>
      <c r="E2760" s="63">
        <v>0</v>
      </c>
    </row>
    <row r="2761" spans="1:5">
      <c r="A2761" s="61" t="s">
        <v>174</v>
      </c>
      <c r="B2761" s="61" t="s">
        <v>383</v>
      </c>
      <c r="C2761" s="62">
        <v>44803</v>
      </c>
      <c r="D2761" s="62">
        <v>44803</v>
      </c>
      <c r="E2761" s="63">
        <v>0</v>
      </c>
    </row>
    <row r="2762" spans="1:5">
      <c r="A2762" s="61" t="s">
        <v>53</v>
      </c>
      <c r="B2762" s="61" t="s">
        <v>380</v>
      </c>
      <c r="C2762" s="62">
        <v>44774</v>
      </c>
      <c r="D2762" s="62">
        <v>44774</v>
      </c>
      <c r="E2762" s="63">
        <v>0</v>
      </c>
    </row>
    <row r="2763" spans="1:5">
      <c r="A2763" s="61" t="s">
        <v>53</v>
      </c>
      <c r="B2763" s="61" t="s">
        <v>380</v>
      </c>
      <c r="C2763" s="62">
        <v>44775</v>
      </c>
      <c r="D2763" s="62">
        <v>44775</v>
      </c>
      <c r="E2763" s="63">
        <v>0</v>
      </c>
    </row>
    <row r="2764" spans="1:5">
      <c r="A2764" s="61" t="s">
        <v>53</v>
      </c>
      <c r="B2764" s="61" t="s">
        <v>380</v>
      </c>
      <c r="C2764" s="62">
        <v>44776</v>
      </c>
      <c r="D2764" s="62">
        <v>44776</v>
      </c>
      <c r="E2764" s="63">
        <v>0</v>
      </c>
    </row>
    <row r="2765" spans="1:5">
      <c r="A2765" s="61" t="s">
        <v>53</v>
      </c>
      <c r="B2765" s="61" t="s">
        <v>380</v>
      </c>
      <c r="C2765" s="62">
        <v>44777</v>
      </c>
      <c r="D2765" s="62">
        <v>44777</v>
      </c>
      <c r="E2765" s="63">
        <v>0</v>
      </c>
    </row>
    <row r="2766" spans="1:5">
      <c r="A2766" s="61" t="s">
        <v>53</v>
      </c>
      <c r="B2766" s="61" t="s">
        <v>380</v>
      </c>
      <c r="C2766" s="62">
        <v>44778</v>
      </c>
      <c r="D2766" s="62">
        <v>44778</v>
      </c>
      <c r="E2766" s="63">
        <v>0</v>
      </c>
    </row>
    <row r="2767" spans="1:5">
      <c r="A2767" s="61" t="s">
        <v>53</v>
      </c>
      <c r="B2767" s="61" t="s">
        <v>380</v>
      </c>
      <c r="C2767" s="62">
        <v>44779</v>
      </c>
      <c r="D2767" s="62">
        <v>44779</v>
      </c>
      <c r="E2767" s="63">
        <v>0</v>
      </c>
    </row>
    <row r="2768" spans="1:5">
      <c r="A2768" s="61" t="s">
        <v>53</v>
      </c>
      <c r="B2768" s="61" t="s">
        <v>380</v>
      </c>
      <c r="C2768" s="62">
        <v>44780</v>
      </c>
      <c r="D2768" s="62">
        <v>44780</v>
      </c>
      <c r="E2768" s="63">
        <v>0</v>
      </c>
    </row>
    <row r="2769" spans="1:5">
      <c r="A2769" s="61" t="s">
        <v>53</v>
      </c>
      <c r="B2769" s="61" t="s">
        <v>380</v>
      </c>
      <c r="C2769" s="62">
        <v>44781</v>
      </c>
      <c r="D2769" s="62">
        <v>44781</v>
      </c>
      <c r="E2769" s="63">
        <v>10693.9</v>
      </c>
    </row>
    <row r="2770" spans="1:5">
      <c r="A2770" s="61" t="s">
        <v>53</v>
      </c>
      <c r="B2770" s="61" t="s">
        <v>380</v>
      </c>
      <c r="C2770" s="62">
        <v>44782</v>
      </c>
      <c r="D2770" s="62">
        <v>44782</v>
      </c>
      <c r="E2770" s="63">
        <v>0</v>
      </c>
    </row>
    <row r="2771" spans="1:5">
      <c r="A2771" s="61" t="s">
        <v>53</v>
      </c>
      <c r="B2771" s="61" t="s">
        <v>380</v>
      </c>
      <c r="C2771" s="62">
        <v>44783</v>
      </c>
      <c r="D2771" s="62">
        <v>44783</v>
      </c>
      <c r="E2771" s="63">
        <v>0</v>
      </c>
    </row>
    <row r="2772" spans="1:5">
      <c r="A2772" s="61" t="s">
        <v>53</v>
      </c>
      <c r="B2772" s="61" t="s">
        <v>380</v>
      </c>
      <c r="C2772" s="62">
        <v>44784</v>
      </c>
      <c r="D2772" s="62">
        <v>44784</v>
      </c>
      <c r="E2772" s="63">
        <v>0</v>
      </c>
    </row>
    <row r="2773" spans="1:5">
      <c r="A2773" s="61" t="s">
        <v>53</v>
      </c>
      <c r="B2773" s="61" t="s">
        <v>380</v>
      </c>
      <c r="C2773" s="62">
        <v>44785</v>
      </c>
      <c r="D2773" s="62">
        <v>44785</v>
      </c>
      <c r="E2773" s="63">
        <v>0</v>
      </c>
    </row>
    <row r="2774" spans="1:5">
      <c r="A2774" s="61" t="s">
        <v>53</v>
      </c>
      <c r="B2774" s="61" t="s">
        <v>380</v>
      </c>
      <c r="C2774" s="62">
        <v>44786</v>
      </c>
      <c r="D2774" s="62">
        <v>44786</v>
      </c>
      <c r="E2774" s="63">
        <v>0</v>
      </c>
    </row>
    <row r="2775" spans="1:5">
      <c r="A2775" s="61" t="s">
        <v>53</v>
      </c>
      <c r="B2775" s="61" t="s">
        <v>380</v>
      </c>
      <c r="C2775" s="62">
        <v>44787</v>
      </c>
      <c r="D2775" s="62">
        <v>44787</v>
      </c>
      <c r="E2775" s="63">
        <v>0</v>
      </c>
    </row>
    <row r="2776" spans="1:5">
      <c r="A2776" s="61" t="s">
        <v>53</v>
      </c>
      <c r="B2776" s="61" t="s">
        <v>380</v>
      </c>
      <c r="C2776" s="62">
        <v>44788</v>
      </c>
      <c r="D2776" s="62">
        <v>44788</v>
      </c>
      <c r="E2776" s="63">
        <v>0</v>
      </c>
    </row>
    <row r="2777" spans="1:5">
      <c r="A2777" s="61" t="s">
        <v>53</v>
      </c>
      <c r="B2777" s="61" t="s">
        <v>380</v>
      </c>
      <c r="C2777" s="62">
        <v>44789</v>
      </c>
      <c r="D2777" s="62">
        <v>44789</v>
      </c>
      <c r="E2777" s="63">
        <v>0</v>
      </c>
    </row>
    <row r="2778" spans="1:5">
      <c r="A2778" s="61" t="s">
        <v>53</v>
      </c>
      <c r="B2778" s="61" t="s">
        <v>380</v>
      </c>
      <c r="C2778" s="62">
        <v>44790</v>
      </c>
      <c r="D2778" s="62">
        <v>44790</v>
      </c>
      <c r="E2778" s="63">
        <v>0</v>
      </c>
    </row>
    <row r="2779" spans="1:5">
      <c r="A2779" s="61" t="s">
        <v>53</v>
      </c>
      <c r="B2779" s="61" t="s">
        <v>380</v>
      </c>
      <c r="C2779" s="62">
        <v>44791</v>
      </c>
      <c r="D2779" s="62">
        <v>44791</v>
      </c>
      <c r="E2779" s="63">
        <v>0</v>
      </c>
    </row>
    <row r="2780" spans="1:5">
      <c r="A2780" s="61" t="s">
        <v>53</v>
      </c>
      <c r="B2780" s="61" t="s">
        <v>380</v>
      </c>
      <c r="C2780" s="62">
        <v>44792</v>
      </c>
      <c r="D2780" s="62">
        <v>44792</v>
      </c>
      <c r="E2780" s="63">
        <v>0</v>
      </c>
    </row>
    <row r="2781" spans="1:5">
      <c r="A2781" s="61" t="s">
        <v>53</v>
      </c>
      <c r="B2781" s="61" t="s">
        <v>380</v>
      </c>
      <c r="C2781" s="62">
        <v>44793</v>
      </c>
      <c r="D2781" s="62">
        <v>44793</v>
      </c>
      <c r="E2781" s="63">
        <v>0</v>
      </c>
    </row>
    <row r="2782" spans="1:5">
      <c r="A2782" s="61" t="s">
        <v>53</v>
      </c>
      <c r="B2782" s="61" t="s">
        <v>380</v>
      </c>
      <c r="C2782" s="62">
        <v>44794</v>
      </c>
      <c r="D2782" s="62">
        <v>44794</v>
      </c>
      <c r="E2782" s="63">
        <v>0</v>
      </c>
    </row>
    <row r="2783" spans="1:5">
      <c r="A2783" s="61" t="s">
        <v>53</v>
      </c>
      <c r="B2783" s="61" t="s">
        <v>380</v>
      </c>
      <c r="C2783" s="62">
        <v>44795</v>
      </c>
      <c r="D2783" s="62">
        <v>44795</v>
      </c>
      <c r="E2783" s="63">
        <v>0</v>
      </c>
    </row>
    <row r="2784" spans="1:5">
      <c r="A2784" s="61" t="s">
        <v>53</v>
      </c>
      <c r="B2784" s="61" t="s">
        <v>380</v>
      </c>
      <c r="C2784" s="62">
        <v>44796</v>
      </c>
      <c r="D2784" s="62">
        <v>44796</v>
      </c>
      <c r="E2784" s="63">
        <v>0</v>
      </c>
    </row>
    <row r="2785" spans="1:5">
      <c r="A2785" s="61" t="s">
        <v>53</v>
      </c>
      <c r="B2785" s="61" t="s">
        <v>380</v>
      </c>
      <c r="C2785" s="62">
        <v>44797</v>
      </c>
      <c r="D2785" s="62">
        <v>44797</v>
      </c>
      <c r="E2785" s="63">
        <v>0</v>
      </c>
    </row>
    <row r="2786" spans="1:5">
      <c r="A2786" s="61" t="s">
        <v>53</v>
      </c>
      <c r="B2786" s="61" t="s">
        <v>380</v>
      </c>
      <c r="C2786" s="62">
        <v>44798</v>
      </c>
      <c r="D2786" s="62">
        <v>44798</v>
      </c>
      <c r="E2786" s="63">
        <v>0</v>
      </c>
    </row>
    <row r="2787" spans="1:5">
      <c r="A2787" s="61" t="s">
        <v>53</v>
      </c>
      <c r="B2787" s="61" t="s">
        <v>380</v>
      </c>
      <c r="C2787" s="62">
        <v>44799</v>
      </c>
      <c r="D2787" s="62">
        <v>44799</v>
      </c>
      <c r="E2787" s="63">
        <v>0</v>
      </c>
    </row>
    <row r="2788" spans="1:5">
      <c r="A2788" s="61" t="s">
        <v>53</v>
      </c>
      <c r="B2788" s="61" t="s">
        <v>380</v>
      </c>
      <c r="C2788" s="62">
        <v>44800</v>
      </c>
      <c r="D2788" s="62">
        <v>44800</v>
      </c>
      <c r="E2788" s="63">
        <v>0</v>
      </c>
    </row>
    <row r="2789" spans="1:5">
      <c r="A2789" s="61" t="s">
        <v>53</v>
      </c>
      <c r="B2789" s="61" t="s">
        <v>380</v>
      </c>
      <c r="C2789" s="62">
        <v>44801</v>
      </c>
      <c r="D2789" s="62">
        <v>44801</v>
      </c>
      <c r="E2789" s="63">
        <v>0</v>
      </c>
    </row>
    <row r="2790" spans="1:5">
      <c r="A2790" s="61" t="s">
        <v>53</v>
      </c>
      <c r="B2790" s="61" t="s">
        <v>380</v>
      </c>
      <c r="C2790" s="62">
        <v>44802</v>
      </c>
      <c r="D2790" s="62">
        <v>44802</v>
      </c>
      <c r="E2790" s="63">
        <v>0</v>
      </c>
    </row>
    <row r="2791" spans="1:5">
      <c r="A2791" s="61" t="s">
        <v>53</v>
      </c>
      <c r="B2791" s="61" t="s">
        <v>380</v>
      </c>
      <c r="C2791" s="62">
        <v>44803</v>
      </c>
      <c r="D2791" s="62">
        <v>44803</v>
      </c>
      <c r="E2791" s="63">
        <v>0</v>
      </c>
    </row>
    <row r="2792" spans="1:5">
      <c r="A2792" s="61" t="s">
        <v>175</v>
      </c>
      <c r="B2792" s="61" t="s">
        <v>381</v>
      </c>
      <c r="C2792" s="62">
        <v>44774</v>
      </c>
      <c r="D2792" s="62">
        <v>44774</v>
      </c>
      <c r="E2792" s="63">
        <v>0</v>
      </c>
    </row>
    <row r="2793" spans="1:5">
      <c r="A2793" s="61" t="s">
        <v>175</v>
      </c>
      <c r="B2793" s="61" t="s">
        <v>381</v>
      </c>
      <c r="C2793" s="62">
        <v>44775</v>
      </c>
      <c r="D2793" s="62">
        <v>44775</v>
      </c>
      <c r="E2793" s="63">
        <v>0</v>
      </c>
    </row>
    <row r="2794" spans="1:5">
      <c r="A2794" s="61" t="s">
        <v>175</v>
      </c>
      <c r="B2794" s="61" t="s">
        <v>381</v>
      </c>
      <c r="C2794" s="62">
        <v>44776</v>
      </c>
      <c r="D2794" s="62">
        <v>44776</v>
      </c>
      <c r="E2794" s="63">
        <v>0</v>
      </c>
    </row>
    <row r="2795" spans="1:5">
      <c r="A2795" s="61" t="s">
        <v>175</v>
      </c>
      <c r="B2795" s="61" t="s">
        <v>381</v>
      </c>
      <c r="C2795" s="62">
        <v>44777</v>
      </c>
      <c r="D2795" s="62">
        <v>44777</v>
      </c>
      <c r="E2795" s="63">
        <v>0</v>
      </c>
    </row>
    <row r="2796" spans="1:5">
      <c r="A2796" s="61" t="s">
        <v>175</v>
      </c>
      <c r="B2796" s="61" t="s">
        <v>381</v>
      </c>
      <c r="C2796" s="62">
        <v>44778</v>
      </c>
      <c r="D2796" s="62">
        <v>44778</v>
      </c>
      <c r="E2796" s="63">
        <v>0</v>
      </c>
    </row>
    <row r="2797" spans="1:5">
      <c r="A2797" s="61" t="s">
        <v>175</v>
      </c>
      <c r="B2797" s="61" t="s">
        <v>381</v>
      </c>
      <c r="C2797" s="62">
        <v>44779</v>
      </c>
      <c r="D2797" s="62">
        <v>44779</v>
      </c>
      <c r="E2797" s="63">
        <v>0</v>
      </c>
    </row>
    <row r="2798" spans="1:5">
      <c r="A2798" s="61" t="s">
        <v>175</v>
      </c>
      <c r="B2798" s="61" t="s">
        <v>381</v>
      </c>
      <c r="C2798" s="62">
        <v>44780</v>
      </c>
      <c r="D2798" s="62">
        <v>44780</v>
      </c>
      <c r="E2798" s="63">
        <v>0</v>
      </c>
    </row>
    <row r="2799" spans="1:5">
      <c r="A2799" s="61" t="s">
        <v>175</v>
      </c>
      <c r="B2799" s="61" t="s">
        <v>381</v>
      </c>
      <c r="C2799" s="62">
        <v>44781</v>
      </c>
      <c r="D2799" s="62">
        <v>44781</v>
      </c>
      <c r="E2799" s="63">
        <v>0</v>
      </c>
    </row>
    <row r="2800" spans="1:5">
      <c r="A2800" s="61" t="s">
        <v>175</v>
      </c>
      <c r="B2800" s="61" t="s">
        <v>381</v>
      </c>
      <c r="C2800" s="62">
        <v>44782</v>
      </c>
      <c r="D2800" s="62">
        <v>44782</v>
      </c>
      <c r="E2800" s="63">
        <v>0</v>
      </c>
    </row>
    <row r="2801" spans="1:5">
      <c r="A2801" s="61" t="s">
        <v>175</v>
      </c>
      <c r="B2801" s="61" t="s">
        <v>381</v>
      </c>
      <c r="C2801" s="62">
        <v>44783</v>
      </c>
      <c r="D2801" s="62">
        <v>44783</v>
      </c>
      <c r="E2801" s="63">
        <v>0</v>
      </c>
    </row>
    <row r="2802" spans="1:5">
      <c r="A2802" s="61" t="s">
        <v>175</v>
      </c>
      <c r="B2802" s="61" t="s">
        <v>381</v>
      </c>
      <c r="C2802" s="62">
        <v>44784</v>
      </c>
      <c r="D2802" s="62">
        <v>44784</v>
      </c>
      <c r="E2802" s="63">
        <v>0</v>
      </c>
    </row>
    <row r="2803" spans="1:5">
      <c r="A2803" s="61" t="s">
        <v>175</v>
      </c>
      <c r="B2803" s="61" t="s">
        <v>381</v>
      </c>
      <c r="C2803" s="62">
        <v>44785</v>
      </c>
      <c r="D2803" s="62">
        <v>44785</v>
      </c>
      <c r="E2803" s="63">
        <v>0</v>
      </c>
    </row>
    <row r="2804" spans="1:5">
      <c r="A2804" s="61" t="s">
        <v>175</v>
      </c>
      <c r="B2804" s="61" t="s">
        <v>381</v>
      </c>
      <c r="C2804" s="62">
        <v>44786</v>
      </c>
      <c r="D2804" s="62">
        <v>44786</v>
      </c>
      <c r="E2804" s="63">
        <v>0</v>
      </c>
    </row>
    <row r="2805" spans="1:5">
      <c r="A2805" s="61" t="s">
        <v>175</v>
      </c>
      <c r="B2805" s="61" t="s">
        <v>381</v>
      </c>
      <c r="C2805" s="62">
        <v>44787</v>
      </c>
      <c r="D2805" s="62">
        <v>44787</v>
      </c>
      <c r="E2805" s="63">
        <v>0</v>
      </c>
    </row>
    <row r="2806" spans="1:5">
      <c r="A2806" s="61" t="s">
        <v>175</v>
      </c>
      <c r="B2806" s="61" t="s">
        <v>381</v>
      </c>
      <c r="C2806" s="62">
        <v>44788</v>
      </c>
      <c r="D2806" s="62">
        <v>44788</v>
      </c>
      <c r="E2806" s="63">
        <v>0</v>
      </c>
    </row>
    <row r="2807" spans="1:5">
      <c r="A2807" s="61" t="s">
        <v>175</v>
      </c>
      <c r="B2807" s="61" t="s">
        <v>381</v>
      </c>
      <c r="C2807" s="62">
        <v>44789</v>
      </c>
      <c r="D2807" s="62">
        <v>44789</v>
      </c>
      <c r="E2807" s="63">
        <v>0</v>
      </c>
    </row>
    <row r="2808" spans="1:5">
      <c r="A2808" s="61" t="s">
        <v>175</v>
      </c>
      <c r="B2808" s="61" t="s">
        <v>381</v>
      </c>
      <c r="C2808" s="62">
        <v>44790</v>
      </c>
      <c r="D2808" s="62">
        <v>44790</v>
      </c>
      <c r="E2808" s="63">
        <v>0</v>
      </c>
    </row>
    <row r="2809" spans="1:5">
      <c r="A2809" s="61" t="s">
        <v>175</v>
      </c>
      <c r="B2809" s="61" t="s">
        <v>381</v>
      </c>
      <c r="C2809" s="62">
        <v>44791</v>
      </c>
      <c r="D2809" s="62">
        <v>44791</v>
      </c>
      <c r="E2809" s="63">
        <v>0</v>
      </c>
    </row>
    <row r="2810" spans="1:5">
      <c r="A2810" s="61" t="s">
        <v>175</v>
      </c>
      <c r="B2810" s="61" t="s">
        <v>381</v>
      </c>
      <c r="C2810" s="62">
        <v>44792</v>
      </c>
      <c r="D2810" s="62">
        <v>44792</v>
      </c>
      <c r="E2810" s="63">
        <v>0</v>
      </c>
    </row>
    <row r="2811" spans="1:5">
      <c r="A2811" s="61" t="s">
        <v>175</v>
      </c>
      <c r="B2811" s="61" t="s">
        <v>381</v>
      </c>
      <c r="C2811" s="62">
        <v>44793</v>
      </c>
      <c r="D2811" s="62">
        <v>44793</v>
      </c>
      <c r="E2811" s="63">
        <v>0</v>
      </c>
    </row>
    <row r="2812" spans="1:5">
      <c r="A2812" s="61" t="s">
        <v>175</v>
      </c>
      <c r="B2812" s="61" t="s">
        <v>381</v>
      </c>
      <c r="C2812" s="62">
        <v>44794</v>
      </c>
      <c r="D2812" s="62">
        <v>44794</v>
      </c>
      <c r="E2812" s="63">
        <v>0</v>
      </c>
    </row>
    <row r="2813" spans="1:5">
      <c r="A2813" s="61" t="s">
        <v>175</v>
      </c>
      <c r="B2813" s="61" t="s">
        <v>381</v>
      </c>
      <c r="C2813" s="62">
        <v>44795</v>
      </c>
      <c r="D2813" s="62">
        <v>44795</v>
      </c>
      <c r="E2813" s="63">
        <v>0</v>
      </c>
    </row>
    <row r="2814" spans="1:5">
      <c r="A2814" s="61" t="s">
        <v>175</v>
      </c>
      <c r="B2814" s="61" t="s">
        <v>381</v>
      </c>
      <c r="C2814" s="62">
        <v>44796</v>
      </c>
      <c r="D2814" s="62">
        <v>44796</v>
      </c>
      <c r="E2814" s="63">
        <v>0</v>
      </c>
    </row>
    <row r="2815" spans="1:5">
      <c r="A2815" s="61" t="s">
        <v>175</v>
      </c>
      <c r="B2815" s="61" t="s">
        <v>381</v>
      </c>
      <c r="C2815" s="62">
        <v>44797</v>
      </c>
      <c r="D2815" s="62">
        <v>44797</v>
      </c>
      <c r="E2815" s="63">
        <v>0</v>
      </c>
    </row>
    <row r="2816" spans="1:5">
      <c r="A2816" s="61" t="s">
        <v>175</v>
      </c>
      <c r="B2816" s="61" t="s">
        <v>381</v>
      </c>
      <c r="C2816" s="62">
        <v>44798</v>
      </c>
      <c r="D2816" s="62">
        <v>44798</v>
      </c>
      <c r="E2816" s="63">
        <v>0</v>
      </c>
    </row>
    <row r="2817" spans="1:5">
      <c r="A2817" s="61" t="s">
        <v>175</v>
      </c>
      <c r="B2817" s="61" t="s">
        <v>381</v>
      </c>
      <c r="C2817" s="62">
        <v>44799</v>
      </c>
      <c r="D2817" s="62">
        <v>44799</v>
      </c>
      <c r="E2817" s="63">
        <v>0</v>
      </c>
    </row>
    <row r="2818" spans="1:5">
      <c r="A2818" s="61" t="s">
        <v>175</v>
      </c>
      <c r="B2818" s="61" t="s">
        <v>381</v>
      </c>
      <c r="C2818" s="62">
        <v>44800</v>
      </c>
      <c r="D2818" s="62">
        <v>44800</v>
      </c>
      <c r="E2818" s="63">
        <v>0</v>
      </c>
    </row>
    <row r="2819" spans="1:5">
      <c r="A2819" s="61" t="s">
        <v>175</v>
      </c>
      <c r="B2819" s="61" t="s">
        <v>381</v>
      </c>
      <c r="C2819" s="62">
        <v>44801</v>
      </c>
      <c r="D2819" s="62">
        <v>44801</v>
      </c>
      <c r="E2819" s="63">
        <v>0</v>
      </c>
    </row>
    <row r="2820" spans="1:5">
      <c r="A2820" s="61" t="s">
        <v>175</v>
      </c>
      <c r="B2820" s="61" t="s">
        <v>381</v>
      </c>
      <c r="C2820" s="62">
        <v>44802</v>
      </c>
      <c r="D2820" s="62">
        <v>44802</v>
      </c>
      <c r="E2820" s="63">
        <v>0</v>
      </c>
    </row>
    <row r="2821" spans="1:5">
      <c r="A2821" s="61" t="s">
        <v>175</v>
      </c>
      <c r="B2821" s="61" t="s">
        <v>381</v>
      </c>
      <c r="C2821" s="62">
        <v>44803</v>
      </c>
      <c r="D2821" s="62">
        <v>44803</v>
      </c>
      <c r="E2821" s="63">
        <v>0</v>
      </c>
    </row>
    <row r="2822" spans="1:5">
      <c r="A2822" s="61" t="s">
        <v>176</v>
      </c>
      <c r="B2822" s="61" t="s">
        <v>382</v>
      </c>
      <c r="C2822" s="62">
        <v>44774</v>
      </c>
      <c r="D2822" s="62">
        <v>44774</v>
      </c>
      <c r="E2822" s="63">
        <v>0</v>
      </c>
    </row>
    <row r="2823" spans="1:5">
      <c r="A2823" s="61" t="s">
        <v>176</v>
      </c>
      <c r="B2823" s="61" t="s">
        <v>382</v>
      </c>
      <c r="C2823" s="62">
        <v>44775</v>
      </c>
      <c r="D2823" s="62">
        <v>44775</v>
      </c>
      <c r="E2823" s="63">
        <v>0</v>
      </c>
    </row>
    <row r="2824" spans="1:5">
      <c r="A2824" s="61" t="s">
        <v>176</v>
      </c>
      <c r="B2824" s="61" t="s">
        <v>382</v>
      </c>
      <c r="C2824" s="62">
        <v>44776</v>
      </c>
      <c r="D2824" s="62">
        <v>44776</v>
      </c>
      <c r="E2824" s="63">
        <v>0</v>
      </c>
    </row>
    <row r="2825" spans="1:5">
      <c r="A2825" s="61" t="s">
        <v>176</v>
      </c>
      <c r="B2825" s="61" t="s">
        <v>382</v>
      </c>
      <c r="C2825" s="62">
        <v>44777</v>
      </c>
      <c r="D2825" s="62">
        <v>44777</v>
      </c>
      <c r="E2825" s="63">
        <v>0</v>
      </c>
    </row>
    <row r="2826" spans="1:5">
      <c r="A2826" s="61" t="s">
        <v>176</v>
      </c>
      <c r="B2826" s="61" t="s">
        <v>382</v>
      </c>
      <c r="C2826" s="62">
        <v>44778</v>
      </c>
      <c r="D2826" s="62">
        <v>44778</v>
      </c>
      <c r="E2826" s="63">
        <v>0</v>
      </c>
    </row>
    <row r="2827" spans="1:5">
      <c r="A2827" s="61" t="s">
        <v>176</v>
      </c>
      <c r="B2827" s="61" t="s">
        <v>382</v>
      </c>
      <c r="C2827" s="62">
        <v>44779</v>
      </c>
      <c r="D2827" s="62">
        <v>44779</v>
      </c>
      <c r="E2827" s="63">
        <v>0</v>
      </c>
    </row>
    <row r="2828" spans="1:5">
      <c r="A2828" s="61" t="s">
        <v>176</v>
      </c>
      <c r="B2828" s="61" t="s">
        <v>382</v>
      </c>
      <c r="C2828" s="62">
        <v>44780</v>
      </c>
      <c r="D2828" s="62">
        <v>44780</v>
      </c>
      <c r="E2828" s="63">
        <v>0</v>
      </c>
    </row>
    <row r="2829" spans="1:5">
      <c r="A2829" s="61" t="s">
        <v>176</v>
      </c>
      <c r="B2829" s="61" t="s">
        <v>382</v>
      </c>
      <c r="C2829" s="62">
        <v>44781</v>
      </c>
      <c r="D2829" s="62">
        <v>44781</v>
      </c>
      <c r="E2829" s="63">
        <v>0</v>
      </c>
    </row>
    <row r="2830" spans="1:5">
      <c r="A2830" s="61" t="s">
        <v>176</v>
      </c>
      <c r="B2830" s="61" t="s">
        <v>382</v>
      </c>
      <c r="C2830" s="62">
        <v>44782</v>
      </c>
      <c r="D2830" s="62">
        <v>44782</v>
      </c>
      <c r="E2830" s="63">
        <v>0</v>
      </c>
    </row>
    <row r="2831" spans="1:5">
      <c r="A2831" s="61" t="s">
        <v>176</v>
      </c>
      <c r="B2831" s="61" t="s">
        <v>382</v>
      </c>
      <c r="C2831" s="62">
        <v>44783</v>
      </c>
      <c r="D2831" s="62">
        <v>44783</v>
      </c>
      <c r="E2831" s="63">
        <v>0</v>
      </c>
    </row>
    <row r="2832" spans="1:5">
      <c r="A2832" s="61" t="s">
        <v>176</v>
      </c>
      <c r="B2832" s="61" t="s">
        <v>382</v>
      </c>
      <c r="C2832" s="62">
        <v>44784</v>
      </c>
      <c r="D2832" s="62">
        <v>44784</v>
      </c>
      <c r="E2832" s="63">
        <v>0</v>
      </c>
    </row>
    <row r="2833" spans="1:5">
      <c r="A2833" s="61" t="s">
        <v>176</v>
      </c>
      <c r="B2833" s="61" t="s">
        <v>382</v>
      </c>
      <c r="C2833" s="62">
        <v>44785</v>
      </c>
      <c r="D2833" s="62">
        <v>44785</v>
      </c>
      <c r="E2833" s="63">
        <v>0</v>
      </c>
    </row>
    <row r="2834" spans="1:5">
      <c r="A2834" s="61" t="s">
        <v>176</v>
      </c>
      <c r="B2834" s="61" t="s">
        <v>382</v>
      </c>
      <c r="C2834" s="62">
        <v>44786</v>
      </c>
      <c r="D2834" s="62">
        <v>44786</v>
      </c>
      <c r="E2834" s="63">
        <v>0</v>
      </c>
    </row>
    <row r="2835" spans="1:5">
      <c r="A2835" s="61" t="s">
        <v>176</v>
      </c>
      <c r="B2835" s="61" t="s">
        <v>382</v>
      </c>
      <c r="C2835" s="62">
        <v>44787</v>
      </c>
      <c r="D2835" s="62">
        <v>44787</v>
      </c>
      <c r="E2835" s="63">
        <v>0</v>
      </c>
    </row>
    <row r="2836" spans="1:5">
      <c r="A2836" s="61" t="s">
        <v>176</v>
      </c>
      <c r="B2836" s="61" t="s">
        <v>382</v>
      </c>
      <c r="C2836" s="62">
        <v>44788</v>
      </c>
      <c r="D2836" s="62">
        <v>44788</v>
      </c>
      <c r="E2836" s="63">
        <v>0</v>
      </c>
    </row>
    <row r="2837" spans="1:5">
      <c r="A2837" s="61" t="s">
        <v>176</v>
      </c>
      <c r="B2837" s="61" t="s">
        <v>382</v>
      </c>
      <c r="C2837" s="62">
        <v>44789</v>
      </c>
      <c r="D2837" s="62">
        <v>44789</v>
      </c>
      <c r="E2837" s="63">
        <v>0</v>
      </c>
    </row>
    <row r="2838" spans="1:5">
      <c r="A2838" s="61" t="s">
        <v>176</v>
      </c>
      <c r="B2838" s="61" t="s">
        <v>382</v>
      </c>
      <c r="C2838" s="62">
        <v>44790</v>
      </c>
      <c r="D2838" s="62">
        <v>44790</v>
      </c>
      <c r="E2838" s="63">
        <v>0</v>
      </c>
    </row>
    <row r="2839" spans="1:5">
      <c r="A2839" s="61" t="s">
        <v>176</v>
      </c>
      <c r="B2839" s="61" t="s">
        <v>382</v>
      </c>
      <c r="C2839" s="62">
        <v>44791</v>
      </c>
      <c r="D2839" s="62">
        <v>44791</v>
      </c>
      <c r="E2839" s="63">
        <v>0</v>
      </c>
    </row>
    <row r="2840" spans="1:5">
      <c r="A2840" s="61" t="s">
        <v>176</v>
      </c>
      <c r="B2840" s="61" t="s">
        <v>382</v>
      </c>
      <c r="C2840" s="62">
        <v>44792</v>
      </c>
      <c r="D2840" s="62">
        <v>44792</v>
      </c>
      <c r="E2840" s="63">
        <v>0</v>
      </c>
    </row>
    <row r="2841" spans="1:5">
      <c r="A2841" s="61" t="s">
        <v>176</v>
      </c>
      <c r="B2841" s="61" t="s">
        <v>382</v>
      </c>
      <c r="C2841" s="62">
        <v>44793</v>
      </c>
      <c r="D2841" s="62">
        <v>44793</v>
      </c>
      <c r="E2841" s="63">
        <v>0</v>
      </c>
    </row>
    <row r="2842" spans="1:5">
      <c r="A2842" s="61" t="s">
        <v>176</v>
      </c>
      <c r="B2842" s="61" t="s">
        <v>382</v>
      </c>
      <c r="C2842" s="62">
        <v>44794</v>
      </c>
      <c r="D2842" s="62">
        <v>44794</v>
      </c>
      <c r="E2842" s="63">
        <v>0</v>
      </c>
    </row>
    <row r="2843" spans="1:5">
      <c r="A2843" s="61" t="s">
        <v>176</v>
      </c>
      <c r="B2843" s="61" t="s">
        <v>382</v>
      </c>
      <c r="C2843" s="62">
        <v>44795</v>
      </c>
      <c r="D2843" s="62">
        <v>44795</v>
      </c>
      <c r="E2843" s="63">
        <v>0</v>
      </c>
    </row>
    <row r="2844" spans="1:5">
      <c r="A2844" s="61" t="s">
        <v>176</v>
      </c>
      <c r="B2844" s="61" t="s">
        <v>382</v>
      </c>
      <c r="C2844" s="62">
        <v>44796</v>
      </c>
      <c r="D2844" s="62">
        <v>44796</v>
      </c>
      <c r="E2844" s="63">
        <v>0</v>
      </c>
    </row>
    <row r="2845" spans="1:5">
      <c r="A2845" s="61" t="s">
        <v>176</v>
      </c>
      <c r="B2845" s="61" t="s">
        <v>382</v>
      </c>
      <c r="C2845" s="62">
        <v>44797</v>
      </c>
      <c r="D2845" s="62">
        <v>44797</v>
      </c>
      <c r="E2845" s="63">
        <v>0</v>
      </c>
    </row>
    <row r="2846" spans="1:5">
      <c r="A2846" s="61" t="s">
        <v>176</v>
      </c>
      <c r="B2846" s="61" t="s">
        <v>382</v>
      </c>
      <c r="C2846" s="62">
        <v>44798</v>
      </c>
      <c r="D2846" s="62">
        <v>44798</v>
      </c>
      <c r="E2846" s="63">
        <v>0</v>
      </c>
    </row>
    <row r="2847" spans="1:5">
      <c r="A2847" s="61" t="s">
        <v>176</v>
      </c>
      <c r="B2847" s="61" t="s">
        <v>382</v>
      </c>
      <c r="C2847" s="62">
        <v>44799</v>
      </c>
      <c r="D2847" s="62">
        <v>44799</v>
      </c>
      <c r="E2847" s="63">
        <v>0</v>
      </c>
    </row>
    <row r="2848" spans="1:5">
      <c r="A2848" s="61" t="s">
        <v>176</v>
      </c>
      <c r="B2848" s="61" t="s">
        <v>382</v>
      </c>
      <c r="C2848" s="62">
        <v>44800</v>
      </c>
      <c r="D2848" s="62">
        <v>44800</v>
      </c>
      <c r="E2848" s="63">
        <v>0</v>
      </c>
    </row>
    <row r="2849" spans="1:5">
      <c r="A2849" s="61" t="s">
        <v>176</v>
      </c>
      <c r="B2849" s="61" t="s">
        <v>382</v>
      </c>
      <c r="C2849" s="62">
        <v>44801</v>
      </c>
      <c r="D2849" s="62">
        <v>44801</v>
      </c>
      <c r="E2849" s="63">
        <v>0</v>
      </c>
    </row>
    <row r="2850" spans="1:5">
      <c r="A2850" s="61" t="s">
        <v>176</v>
      </c>
      <c r="B2850" s="61" t="s">
        <v>382</v>
      </c>
      <c r="C2850" s="62">
        <v>44802</v>
      </c>
      <c r="D2850" s="62">
        <v>44802</v>
      </c>
      <c r="E2850" s="63">
        <v>0</v>
      </c>
    </row>
    <row r="2851" spans="1:5">
      <c r="A2851" s="61" t="s">
        <v>176</v>
      </c>
      <c r="B2851" s="61" t="s">
        <v>382</v>
      </c>
      <c r="C2851" s="62">
        <v>44803</v>
      </c>
      <c r="D2851" s="62">
        <v>44803</v>
      </c>
      <c r="E2851" s="63">
        <v>0</v>
      </c>
    </row>
    <row r="2852" spans="1:5">
      <c r="A2852" s="61" t="s">
        <v>177</v>
      </c>
      <c r="B2852" s="61" t="s">
        <v>383</v>
      </c>
      <c r="C2852" s="62">
        <v>44774</v>
      </c>
      <c r="D2852" s="62">
        <v>44774</v>
      </c>
      <c r="E2852" s="63">
        <v>0</v>
      </c>
    </row>
    <row r="2853" spans="1:5">
      <c r="A2853" s="61" t="s">
        <v>177</v>
      </c>
      <c r="B2853" s="61" t="s">
        <v>383</v>
      </c>
      <c r="C2853" s="62">
        <v>44775</v>
      </c>
      <c r="D2853" s="62">
        <v>44775</v>
      </c>
      <c r="E2853" s="63">
        <v>0</v>
      </c>
    </row>
    <row r="2854" spans="1:5">
      <c r="A2854" s="61" t="s">
        <v>177</v>
      </c>
      <c r="B2854" s="61" t="s">
        <v>383</v>
      </c>
      <c r="C2854" s="62">
        <v>44776</v>
      </c>
      <c r="D2854" s="62">
        <v>44776</v>
      </c>
      <c r="E2854" s="63">
        <v>0</v>
      </c>
    </row>
    <row r="2855" spans="1:5">
      <c r="A2855" s="61" t="s">
        <v>177</v>
      </c>
      <c r="B2855" s="61" t="s">
        <v>383</v>
      </c>
      <c r="C2855" s="62">
        <v>44777</v>
      </c>
      <c r="D2855" s="62">
        <v>44777</v>
      </c>
      <c r="E2855" s="63">
        <v>0</v>
      </c>
    </row>
    <row r="2856" spans="1:5">
      <c r="A2856" s="61" t="s">
        <v>177</v>
      </c>
      <c r="B2856" s="61" t="s">
        <v>383</v>
      </c>
      <c r="C2856" s="62">
        <v>44778</v>
      </c>
      <c r="D2856" s="62">
        <v>44778</v>
      </c>
      <c r="E2856" s="63">
        <v>0</v>
      </c>
    </row>
    <row r="2857" spans="1:5">
      <c r="A2857" s="61" t="s">
        <v>177</v>
      </c>
      <c r="B2857" s="61" t="s">
        <v>383</v>
      </c>
      <c r="C2857" s="62">
        <v>44779</v>
      </c>
      <c r="D2857" s="62">
        <v>44779</v>
      </c>
      <c r="E2857" s="63">
        <v>0</v>
      </c>
    </row>
    <row r="2858" spans="1:5">
      <c r="A2858" s="61" t="s">
        <v>177</v>
      </c>
      <c r="B2858" s="61" t="s">
        <v>383</v>
      </c>
      <c r="C2858" s="62">
        <v>44780</v>
      </c>
      <c r="D2858" s="62">
        <v>44780</v>
      </c>
      <c r="E2858" s="63">
        <v>0</v>
      </c>
    </row>
    <row r="2859" spans="1:5">
      <c r="A2859" s="61" t="s">
        <v>177</v>
      </c>
      <c r="B2859" s="61" t="s">
        <v>383</v>
      </c>
      <c r="C2859" s="62">
        <v>44781</v>
      </c>
      <c r="D2859" s="62">
        <v>44781</v>
      </c>
      <c r="E2859" s="63">
        <v>0</v>
      </c>
    </row>
    <row r="2860" spans="1:5">
      <c r="A2860" s="61" t="s">
        <v>177</v>
      </c>
      <c r="B2860" s="61" t="s">
        <v>383</v>
      </c>
      <c r="C2860" s="62">
        <v>44782</v>
      </c>
      <c r="D2860" s="62">
        <v>44782</v>
      </c>
      <c r="E2860" s="63">
        <v>0</v>
      </c>
    </row>
    <row r="2861" spans="1:5">
      <c r="A2861" s="61" t="s">
        <v>177</v>
      </c>
      <c r="B2861" s="61" t="s">
        <v>383</v>
      </c>
      <c r="C2861" s="62">
        <v>44783</v>
      </c>
      <c r="D2861" s="62">
        <v>44783</v>
      </c>
      <c r="E2861" s="63">
        <v>0</v>
      </c>
    </row>
    <row r="2862" spans="1:5">
      <c r="A2862" s="61" t="s">
        <v>177</v>
      </c>
      <c r="B2862" s="61" t="s">
        <v>383</v>
      </c>
      <c r="C2862" s="62">
        <v>44784</v>
      </c>
      <c r="D2862" s="62">
        <v>44784</v>
      </c>
      <c r="E2862" s="63">
        <v>0</v>
      </c>
    </row>
    <row r="2863" spans="1:5">
      <c r="A2863" s="61" t="s">
        <v>177</v>
      </c>
      <c r="B2863" s="61" t="s">
        <v>383</v>
      </c>
      <c r="C2863" s="62">
        <v>44785</v>
      </c>
      <c r="D2863" s="62">
        <v>44785</v>
      </c>
      <c r="E2863" s="63">
        <v>0</v>
      </c>
    </row>
    <row r="2864" spans="1:5">
      <c r="A2864" s="61" t="s">
        <v>177</v>
      </c>
      <c r="B2864" s="61" t="s">
        <v>383</v>
      </c>
      <c r="C2864" s="62">
        <v>44786</v>
      </c>
      <c r="D2864" s="62">
        <v>44786</v>
      </c>
      <c r="E2864" s="63">
        <v>0</v>
      </c>
    </row>
    <row r="2865" spans="1:5">
      <c r="A2865" s="61" t="s">
        <v>177</v>
      </c>
      <c r="B2865" s="61" t="s">
        <v>383</v>
      </c>
      <c r="C2865" s="62">
        <v>44787</v>
      </c>
      <c r="D2865" s="62">
        <v>44787</v>
      </c>
      <c r="E2865" s="63">
        <v>0</v>
      </c>
    </row>
    <row r="2866" spans="1:5">
      <c r="A2866" s="61" t="s">
        <v>177</v>
      </c>
      <c r="B2866" s="61" t="s">
        <v>383</v>
      </c>
      <c r="C2866" s="62">
        <v>44788</v>
      </c>
      <c r="D2866" s="62">
        <v>44788</v>
      </c>
      <c r="E2866" s="63">
        <v>0</v>
      </c>
    </row>
    <row r="2867" spans="1:5">
      <c r="A2867" s="61" t="s">
        <v>177</v>
      </c>
      <c r="B2867" s="61" t="s">
        <v>383</v>
      </c>
      <c r="C2867" s="62">
        <v>44789</v>
      </c>
      <c r="D2867" s="62">
        <v>44789</v>
      </c>
      <c r="E2867" s="63">
        <v>0</v>
      </c>
    </row>
    <row r="2868" spans="1:5">
      <c r="A2868" s="61" t="s">
        <v>177</v>
      </c>
      <c r="B2868" s="61" t="s">
        <v>383</v>
      </c>
      <c r="C2868" s="62">
        <v>44790</v>
      </c>
      <c r="D2868" s="62">
        <v>44790</v>
      </c>
      <c r="E2868" s="63">
        <v>0</v>
      </c>
    </row>
    <row r="2869" spans="1:5">
      <c r="A2869" s="61" t="s">
        <v>177</v>
      </c>
      <c r="B2869" s="61" t="s">
        <v>383</v>
      </c>
      <c r="C2869" s="62">
        <v>44791</v>
      </c>
      <c r="D2869" s="62">
        <v>44791</v>
      </c>
      <c r="E2869" s="63">
        <v>0</v>
      </c>
    </row>
    <row r="2870" spans="1:5">
      <c r="A2870" s="61" t="s">
        <v>177</v>
      </c>
      <c r="B2870" s="61" t="s">
        <v>383</v>
      </c>
      <c r="C2870" s="62">
        <v>44792</v>
      </c>
      <c r="D2870" s="62">
        <v>44792</v>
      </c>
      <c r="E2870" s="63">
        <v>0</v>
      </c>
    </row>
    <row r="2871" spans="1:5">
      <c r="A2871" s="61" t="s">
        <v>177</v>
      </c>
      <c r="B2871" s="61" t="s">
        <v>383</v>
      </c>
      <c r="C2871" s="62">
        <v>44793</v>
      </c>
      <c r="D2871" s="62">
        <v>44793</v>
      </c>
      <c r="E2871" s="63">
        <v>0</v>
      </c>
    </row>
    <row r="2872" spans="1:5">
      <c r="A2872" s="61" t="s">
        <v>177</v>
      </c>
      <c r="B2872" s="61" t="s">
        <v>383</v>
      </c>
      <c r="C2872" s="62">
        <v>44794</v>
      </c>
      <c r="D2872" s="62">
        <v>44794</v>
      </c>
      <c r="E2872" s="63">
        <v>0</v>
      </c>
    </row>
    <row r="2873" spans="1:5">
      <c r="A2873" s="61" t="s">
        <v>177</v>
      </c>
      <c r="B2873" s="61" t="s">
        <v>383</v>
      </c>
      <c r="C2873" s="62">
        <v>44795</v>
      </c>
      <c r="D2873" s="62">
        <v>44795</v>
      </c>
      <c r="E2873" s="63">
        <v>0</v>
      </c>
    </row>
    <row r="2874" spans="1:5">
      <c r="A2874" s="61" t="s">
        <v>177</v>
      </c>
      <c r="B2874" s="61" t="s">
        <v>383</v>
      </c>
      <c r="C2874" s="62">
        <v>44796</v>
      </c>
      <c r="D2874" s="62">
        <v>44796</v>
      </c>
      <c r="E2874" s="63">
        <v>0</v>
      </c>
    </row>
    <row r="2875" spans="1:5">
      <c r="A2875" s="61" t="s">
        <v>177</v>
      </c>
      <c r="B2875" s="61" t="s">
        <v>383</v>
      </c>
      <c r="C2875" s="62">
        <v>44797</v>
      </c>
      <c r="D2875" s="62">
        <v>44797</v>
      </c>
      <c r="E2875" s="63">
        <v>0</v>
      </c>
    </row>
    <row r="2876" spans="1:5">
      <c r="A2876" s="61" t="s">
        <v>177</v>
      </c>
      <c r="B2876" s="61" t="s">
        <v>383</v>
      </c>
      <c r="C2876" s="62">
        <v>44798</v>
      </c>
      <c r="D2876" s="62">
        <v>44798</v>
      </c>
      <c r="E2876" s="63">
        <v>0</v>
      </c>
    </row>
    <row r="2877" spans="1:5">
      <c r="A2877" s="61" t="s">
        <v>177</v>
      </c>
      <c r="B2877" s="61" t="s">
        <v>383</v>
      </c>
      <c r="C2877" s="62">
        <v>44799</v>
      </c>
      <c r="D2877" s="62">
        <v>44799</v>
      </c>
      <c r="E2877" s="63">
        <v>0</v>
      </c>
    </row>
    <row r="2878" spans="1:5">
      <c r="A2878" s="61" t="s">
        <v>177</v>
      </c>
      <c r="B2878" s="61" t="s">
        <v>383</v>
      </c>
      <c r="C2878" s="62">
        <v>44800</v>
      </c>
      <c r="D2878" s="62">
        <v>44800</v>
      </c>
      <c r="E2878" s="63">
        <v>0</v>
      </c>
    </row>
    <row r="2879" spans="1:5">
      <c r="A2879" s="61" t="s">
        <v>177</v>
      </c>
      <c r="B2879" s="61" t="s">
        <v>383</v>
      </c>
      <c r="C2879" s="62">
        <v>44801</v>
      </c>
      <c r="D2879" s="62">
        <v>44801</v>
      </c>
      <c r="E2879" s="63">
        <v>0</v>
      </c>
    </row>
    <row r="2880" spans="1:5">
      <c r="A2880" s="61" t="s">
        <v>177</v>
      </c>
      <c r="B2880" s="61" t="s">
        <v>383</v>
      </c>
      <c r="C2880" s="62">
        <v>44802</v>
      </c>
      <c r="D2880" s="62">
        <v>44802</v>
      </c>
      <c r="E2880" s="63">
        <v>0</v>
      </c>
    </row>
    <row r="2881" spans="1:5">
      <c r="A2881" s="61" t="s">
        <v>177</v>
      </c>
      <c r="B2881" s="61" t="s">
        <v>383</v>
      </c>
      <c r="C2881" s="62">
        <v>44803</v>
      </c>
      <c r="D2881" s="62">
        <v>44803</v>
      </c>
      <c r="E2881" s="63">
        <v>0</v>
      </c>
    </row>
    <row r="2882" spans="1:5">
      <c r="A2882" s="61" t="s">
        <v>55</v>
      </c>
      <c r="B2882" s="61" t="s">
        <v>380</v>
      </c>
      <c r="C2882" s="62">
        <v>44774</v>
      </c>
      <c r="D2882" s="62">
        <v>44774</v>
      </c>
      <c r="E2882" s="63">
        <v>0</v>
      </c>
    </row>
    <row r="2883" spans="1:5">
      <c r="A2883" s="61" t="s">
        <v>55</v>
      </c>
      <c r="B2883" s="61" t="s">
        <v>380</v>
      </c>
      <c r="C2883" s="62">
        <v>44775</v>
      </c>
      <c r="D2883" s="62">
        <v>44775</v>
      </c>
      <c r="E2883" s="63">
        <v>1044.68</v>
      </c>
    </row>
    <row r="2884" spans="1:5">
      <c r="A2884" s="61" t="s">
        <v>55</v>
      </c>
      <c r="B2884" s="61" t="s">
        <v>380</v>
      </c>
      <c r="C2884" s="62">
        <v>44776</v>
      </c>
      <c r="D2884" s="62">
        <v>44776</v>
      </c>
      <c r="E2884" s="63">
        <v>0</v>
      </c>
    </row>
    <row r="2885" spans="1:5">
      <c r="A2885" s="61" t="s">
        <v>55</v>
      </c>
      <c r="B2885" s="61" t="s">
        <v>380</v>
      </c>
      <c r="C2885" s="62">
        <v>44777</v>
      </c>
      <c r="D2885" s="62">
        <v>44777</v>
      </c>
      <c r="E2885" s="63">
        <v>0</v>
      </c>
    </row>
    <row r="2886" spans="1:5">
      <c r="A2886" s="61" t="s">
        <v>55</v>
      </c>
      <c r="B2886" s="61" t="s">
        <v>380</v>
      </c>
      <c r="C2886" s="62">
        <v>44778</v>
      </c>
      <c r="D2886" s="62">
        <v>44778</v>
      </c>
      <c r="E2886" s="63">
        <v>0</v>
      </c>
    </row>
    <row r="2887" spans="1:5">
      <c r="A2887" s="61" t="s">
        <v>55</v>
      </c>
      <c r="B2887" s="61" t="s">
        <v>380</v>
      </c>
      <c r="C2887" s="62">
        <v>44779</v>
      </c>
      <c r="D2887" s="62">
        <v>44779</v>
      </c>
      <c r="E2887" s="63">
        <v>0</v>
      </c>
    </row>
    <row r="2888" spans="1:5">
      <c r="A2888" s="61" t="s">
        <v>55</v>
      </c>
      <c r="B2888" s="61" t="s">
        <v>380</v>
      </c>
      <c r="C2888" s="62">
        <v>44780</v>
      </c>
      <c r="D2888" s="62">
        <v>44780</v>
      </c>
      <c r="E2888" s="63">
        <v>0</v>
      </c>
    </row>
    <row r="2889" spans="1:5">
      <c r="A2889" s="61" t="s">
        <v>55</v>
      </c>
      <c r="B2889" s="61" t="s">
        <v>380</v>
      </c>
      <c r="C2889" s="62">
        <v>44781</v>
      </c>
      <c r="D2889" s="62">
        <v>44781</v>
      </c>
      <c r="E2889" s="63">
        <v>0</v>
      </c>
    </row>
    <row r="2890" spans="1:5">
      <c r="A2890" s="61" t="s">
        <v>55</v>
      </c>
      <c r="B2890" s="61" t="s">
        <v>380</v>
      </c>
      <c r="C2890" s="62">
        <v>44782</v>
      </c>
      <c r="D2890" s="62">
        <v>44782</v>
      </c>
      <c r="E2890" s="63">
        <v>0</v>
      </c>
    </row>
    <row r="2891" spans="1:5">
      <c r="A2891" s="61" t="s">
        <v>55</v>
      </c>
      <c r="B2891" s="61" t="s">
        <v>380</v>
      </c>
      <c r="C2891" s="62">
        <v>44783</v>
      </c>
      <c r="D2891" s="62">
        <v>44783</v>
      </c>
      <c r="E2891" s="63">
        <v>0</v>
      </c>
    </row>
    <row r="2892" spans="1:5">
      <c r="A2892" s="61" t="s">
        <v>55</v>
      </c>
      <c r="B2892" s="61" t="s">
        <v>380</v>
      </c>
      <c r="C2892" s="62">
        <v>44784</v>
      </c>
      <c r="D2892" s="62">
        <v>44784</v>
      </c>
      <c r="E2892" s="63">
        <v>0</v>
      </c>
    </row>
    <row r="2893" spans="1:5">
      <c r="A2893" s="61" t="s">
        <v>55</v>
      </c>
      <c r="B2893" s="61" t="s">
        <v>380</v>
      </c>
      <c r="C2893" s="62">
        <v>44785</v>
      </c>
      <c r="D2893" s="62">
        <v>44785</v>
      </c>
      <c r="E2893" s="63">
        <v>0</v>
      </c>
    </row>
    <row r="2894" spans="1:5">
      <c r="A2894" s="61" t="s">
        <v>55</v>
      </c>
      <c r="B2894" s="61" t="s">
        <v>380</v>
      </c>
      <c r="C2894" s="62">
        <v>44786</v>
      </c>
      <c r="D2894" s="62">
        <v>44786</v>
      </c>
      <c r="E2894" s="63">
        <v>0</v>
      </c>
    </row>
    <row r="2895" spans="1:5">
      <c r="A2895" s="61" t="s">
        <v>55</v>
      </c>
      <c r="B2895" s="61" t="s">
        <v>380</v>
      </c>
      <c r="C2895" s="62">
        <v>44787</v>
      </c>
      <c r="D2895" s="62">
        <v>44787</v>
      </c>
      <c r="E2895" s="63">
        <v>0</v>
      </c>
    </row>
    <row r="2896" spans="1:5">
      <c r="A2896" s="61" t="s">
        <v>55</v>
      </c>
      <c r="B2896" s="61" t="s">
        <v>380</v>
      </c>
      <c r="C2896" s="62">
        <v>44788</v>
      </c>
      <c r="D2896" s="62">
        <v>44788</v>
      </c>
      <c r="E2896" s="63">
        <v>39.14</v>
      </c>
    </row>
    <row r="2897" spans="1:5">
      <c r="A2897" s="61" t="s">
        <v>55</v>
      </c>
      <c r="B2897" s="61" t="s">
        <v>380</v>
      </c>
      <c r="C2897" s="62">
        <v>44789</v>
      </c>
      <c r="D2897" s="62">
        <v>44789</v>
      </c>
      <c r="E2897" s="63">
        <v>0</v>
      </c>
    </row>
    <row r="2898" spans="1:5">
      <c r="A2898" s="61" t="s">
        <v>55</v>
      </c>
      <c r="B2898" s="61" t="s">
        <v>380</v>
      </c>
      <c r="C2898" s="62">
        <v>44790</v>
      </c>
      <c r="D2898" s="62">
        <v>44790</v>
      </c>
      <c r="E2898" s="63">
        <v>0</v>
      </c>
    </row>
    <row r="2899" spans="1:5">
      <c r="A2899" s="61" t="s">
        <v>55</v>
      </c>
      <c r="B2899" s="61" t="s">
        <v>380</v>
      </c>
      <c r="C2899" s="62">
        <v>44791</v>
      </c>
      <c r="D2899" s="62">
        <v>44791</v>
      </c>
      <c r="E2899" s="63">
        <v>0</v>
      </c>
    </row>
    <row r="2900" spans="1:5">
      <c r="A2900" s="61" t="s">
        <v>55</v>
      </c>
      <c r="B2900" s="61" t="s">
        <v>380</v>
      </c>
      <c r="C2900" s="62">
        <v>44792</v>
      </c>
      <c r="D2900" s="62">
        <v>44792</v>
      </c>
      <c r="E2900" s="63">
        <v>0</v>
      </c>
    </row>
    <row r="2901" spans="1:5">
      <c r="A2901" s="61" t="s">
        <v>55</v>
      </c>
      <c r="B2901" s="61" t="s">
        <v>380</v>
      </c>
      <c r="C2901" s="62">
        <v>44793</v>
      </c>
      <c r="D2901" s="62">
        <v>44793</v>
      </c>
      <c r="E2901" s="63">
        <v>0</v>
      </c>
    </row>
    <row r="2902" spans="1:5">
      <c r="A2902" s="61" t="s">
        <v>55</v>
      </c>
      <c r="B2902" s="61" t="s">
        <v>380</v>
      </c>
      <c r="C2902" s="62">
        <v>44794</v>
      </c>
      <c r="D2902" s="62">
        <v>44794</v>
      </c>
      <c r="E2902" s="63">
        <v>0</v>
      </c>
    </row>
    <row r="2903" spans="1:5">
      <c r="A2903" s="61" t="s">
        <v>55</v>
      </c>
      <c r="B2903" s="61" t="s">
        <v>380</v>
      </c>
      <c r="C2903" s="62">
        <v>44795</v>
      </c>
      <c r="D2903" s="62">
        <v>44795</v>
      </c>
      <c r="E2903" s="63">
        <v>0</v>
      </c>
    </row>
    <row r="2904" spans="1:5">
      <c r="A2904" s="61" t="s">
        <v>55</v>
      </c>
      <c r="B2904" s="61" t="s">
        <v>380</v>
      </c>
      <c r="C2904" s="62">
        <v>44796</v>
      </c>
      <c r="D2904" s="62">
        <v>44796</v>
      </c>
      <c r="E2904" s="63">
        <v>195.52</v>
      </c>
    </row>
    <row r="2905" spans="1:5">
      <c r="A2905" s="61" t="s">
        <v>55</v>
      </c>
      <c r="B2905" s="61" t="s">
        <v>380</v>
      </c>
      <c r="C2905" s="62">
        <v>44797</v>
      </c>
      <c r="D2905" s="62">
        <v>44797</v>
      </c>
      <c r="E2905" s="63">
        <v>0</v>
      </c>
    </row>
    <row r="2906" spans="1:5">
      <c r="A2906" s="61" t="s">
        <v>55</v>
      </c>
      <c r="B2906" s="61" t="s">
        <v>380</v>
      </c>
      <c r="C2906" s="62">
        <v>44798</v>
      </c>
      <c r="D2906" s="62">
        <v>44798</v>
      </c>
      <c r="E2906" s="63">
        <v>0</v>
      </c>
    </row>
    <row r="2907" spans="1:5">
      <c r="A2907" s="61" t="s">
        <v>55</v>
      </c>
      <c r="B2907" s="61" t="s">
        <v>380</v>
      </c>
      <c r="C2907" s="62">
        <v>44799</v>
      </c>
      <c r="D2907" s="62">
        <v>44799</v>
      </c>
      <c r="E2907" s="63">
        <v>0</v>
      </c>
    </row>
    <row r="2908" spans="1:5">
      <c r="A2908" s="61" t="s">
        <v>55</v>
      </c>
      <c r="B2908" s="61" t="s">
        <v>380</v>
      </c>
      <c r="C2908" s="62">
        <v>44800</v>
      </c>
      <c r="D2908" s="62">
        <v>44800</v>
      </c>
      <c r="E2908" s="63">
        <v>0</v>
      </c>
    </row>
    <row r="2909" spans="1:5">
      <c r="A2909" s="61" t="s">
        <v>55</v>
      </c>
      <c r="B2909" s="61" t="s">
        <v>380</v>
      </c>
      <c r="C2909" s="62">
        <v>44801</v>
      </c>
      <c r="D2909" s="62">
        <v>44801</v>
      </c>
      <c r="E2909" s="63">
        <v>0</v>
      </c>
    </row>
    <row r="2910" spans="1:5">
      <c r="A2910" s="61" t="s">
        <v>55</v>
      </c>
      <c r="B2910" s="61" t="s">
        <v>380</v>
      </c>
      <c r="C2910" s="62">
        <v>44802</v>
      </c>
      <c r="D2910" s="62">
        <v>44802</v>
      </c>
      <c r="E2910" s="63">
        <v>0</v>
      </c>
    </row>
    <row r="2911" spans="1:5">
      <c r="A2911" s="61" t="s">
        <v>55</v>
      </c>
      <c r="B2911" s="61" t="s">
        <v>380</v>
      </c>
      <c r="C2911" s="62">
        <v>44803</v>
      </c>
      <c r="D2911" s="62">
        <v>44803</v>
      </c>
      <c r="E2911" s="63">
        <v>0</v>
      </c>
    </row>
    <row r="2912" spans="1:5">
      <c r="A2912" s="61" t="s">
        <v>178</v>
      </c>
      <c r="B2912" s="61" t="s">
        <v>381</v>
      </c>
      <c r="C2912" s="62">
        <v>44774</v>
      </c>
      <c r="D2912" s="62">
        <v>44774</v>
      </c>
      <c r="E2912" s="63">
        <v>0</v>
      </c>
    </row>
    <row r="2913" spans="1:5">
      <c r="A2913" s="61" t="s">
        <v>178</v>
      </c>
      <c r="B2913" s="61" t="s">
        <v>381</v>
      </c>
      <c r="C2913" s="62">
        <v>44775</v>
      </c>
      <c r="D2913" s="62">
        <v>44775</v>
      </c>
      <c r="E2913" s="63">
        <v>0</v>
      </c>
    </row>
    <row r="2914" spans="1:5">
      <c r="A2914" s="61" t="s">
        <v>178</v>
      </c>
      <c r="B2914" s="61" t="s">
        <v>381</v>
      </c>
      <c r="C2914" s="62">
        <v>44776</v>
      </c>
      <c r="D2914" s="62">
        <v>44776</v>
      </c>
      <c r="E2914" s="63">
        <v>0</v>
      </c>
    </row>
    <row r="2915" spans="1:5">
      <c r="A2915" s="61" t="s">
        <v>178</v>
      </c>
      <c r="B2915" s="61" t="s">
        <v>381</v>
      </c>
      <c r="C2915" s="62">
        <v>44777</v>
      </c>
      <c r="D2915" s="62">
        <v>44777</v>
      </c>
      <c r="E2915" s="63">
        <v>0</v>
      </c>
    </row>
    <row r="2916" spans="1:5">
      <c r="A2916" s="61" t="s">
        <v>178</v>
      </c>
      <c r="B2916" s="61" t="s">
        <v>381</v>
      </c>
      <c r="C2916" s="62">
        <v>44778</v>
      </c>
      <c r="D2916" s="62">
        <v>44778</v>
      </c>
      <c r="E2916" s="63">
        <v>0</v>
      </c>
    </row>
    <row r="2917" spans="1:5">
      <c r="A2917" s="61" t="s">
        <v>178</v>
      </c>
      <c r="B2917" s="61" t="s">
        <v>381</v>
      </c>
      <c r="C2917" s="62">
        <v>44779</v>
      </c>
      <c r="D2917" s="62">
        <v>44779</v>
      </c>
      <c r="E2917" s="63">
        <v>0</v>
      </c>
    </row>
    <row r="2918" spans="1:5">
      <c r="A2918" s="61" t="s">
        <v>178</v>
      </c>
      <c r="B2918" s="61" t="s">
        <v>381</v>
      </c>
      <c r="C2918" s="62">
        <v>44780</v>
      </c>
      <c r="D2918" s="62">
        <v>44780</v>
      </c>
      <c r="E2918" s="63">
        <v>0</v>
      </c>
    </row>
    <row r="2919" spans="1:5">
      <c r="A2919" s="61" t="s">
        <v>178</v>
      </c>
      <c r="B2919" s="61" t="s">
        <v>381</v>
      </c>
      <c r="C2919" s="62">
        <v>44781</v>
      </c>
      <c r="D2919" s="62">
        <v>44781</v>
      </c>
      <c r="E2919" s="63">
        <v>0</v>
      </c>
    </row>
    <row r="2920" spans="1:5">
      <c r="A2920" s="61" t="s">
        <v>178</v>
      </c>
      <c r="B2920" s="61" t="s">
        <v>381</v>
      </c>
      <c r="C2920" s="62">
        <v>44782</v>
      </c>
      <c r="D2920" s="62">
        <v>44782</v>
      </c>
      <c r="E2920" s="63">
        <v>0</v>
      </c>
    </row>
    <row r="2921" spans="1:5">
      <c r="A2921" s="61" t="s">
        <v>178</v>
      </c>
      <c r="B2921" s="61" t="s">
        <v>381</v>
      </c>
      <c r="C2921" s="62">
        <v>44783</v>
      </c>
      <c r="D2921" s="62">
        <v>44783</v>
      </c>
      <c r="E2921" s="63">
        <v>0</v>
      </c>
    </row>
    <row r="2922" spans="1:5">
      <c r="A2922" s="61" t="s">
        <v>178</v>
      </c>
      <c r="B2922" s="61" t="s">
        <v>381</v>
      </c>
      <c r="C2922" s="62">
        <v>44784</v>
      </c>
      <c r="D2922" s="62">
        <v>44784</v>
      </c>
      <c r="E2922" s="63">
        <v>0</v>
      </c>
    </row>
    <row r="2923" spans="1:5">
      <c r="A2923" s="61" t="s">
        <v>178</v>
      </c>
      <c r="B2923" s="61" t="s">
        <v>381</v>
      </c>
      <c r="C2923" s="62">
        <v>44785</v>
      </c>
      <c r="D2923" s="62">
        <v>44785</v>
      </c>
      <c r="E2923" s="63">
        <v>0</v>
      </c>
    </row>
    <row r="2924" spans="1:5">
      <c r="A2924" s="61" t="s">
        <v>178</v>
      </c>
      <c r="B2924" s="61" t="s">
        <v>381</v>
      </c>
      <c r="C2924" s="62">
        <v>44786</v>
      </c>
      <c r="D2924" s="62">
        <v>44786</v>
      </c>
      <c r="E2924" s="63">
        <v>0</v>
      </c>
    </row>
    <row r="2925" spans="1:5">
      <c r="A2925" s="61" t="s">
        <v>178</v>
      </c>
      <c r="B2925" s="61" t="s">
        <v>381</v>
      </c>
      <c r="C2925" s="62">
        <v>44787</v>
      </c>
      <c r="D2925" s="62">
        <v>44787</v>
      </c>
      <c r="E2925" s="63">
        <v>0</v>
      </c>
    </row>
    <row r="2926" spans="1:5">
      <c r="A2926" s="61" t="s">
        <v>178</v>
      </c>
      <c r="B2926" s="61" t="s">
        <v>381</v>
      </c>
      <c r="C2926" s="62">
        <v>44788</v>
      </c>
      <c r="D2926" s="62">
        <v>44788</v>
      </c>
      <c r="E2926" s="63">
        <v>0</v>
      </c>
    </row>
    <row r="2927" spans="1:5">
      <c r="A2927" s="61" t="s">
        <v>178</v>
      </c>
      <c r="B2927" s="61" t="s">
        <v>381</v>
      </c>
      <c r="C2927" s="62">
        <v>44789</v>
      </c>
      <c r="D2927" s="62">
        <v>44789</v>
      </c>
      <c r="E2927" s="63">
        <v>0</v>
      </c>
    </row>
    <row r="2928" spans="1:5">
      <c r="A2928" s="61" t="s">
        <v>178</v>
      </c>
      <c r="B2928" s="61" t="s">
        <v>381</v>
      </c>
      <c r="C2928" s="62">
        <v>44790</v>
      </c>
      <c r="D2928" s="62">
        <v>44790</v>
      </c>
      <c r="E2928" s="63">
        <v>0</v>
      </c>
    </row>
    <row r="2929" spans="1:5">
      <c r="A2929" s="61" t="s">
        <v>178</v>
      </c>
      <c r="B2929" s="61" t="s">
        <v>381</v>
      </c>
      <c r="C2929" s="62">
        <v>44791</v>
      </c>
      <c r="D2929" s="62">
        <v>44791</v>
      </c>
      <c r="E2929" s="63">
        <v>0</v>
      </c>
    </row>
    <row r="2930" spans="1:5">
      <c r="A2930" s="61" t="s">
        <v>178</v>
      </c>
      <c r="B2930" s="61" t="s">
        <v>381</v>
      </c>
      <c r="C2930" s="62">
        <v>44792</v>
      </c>
      <c r="D2930" s="62">
        <v>44792</v>
      </c>
      <c r="E2930" s="63">
        <v>0</v>
      </c>
    </row>
    <row r="2931" spans="1:5">
      <c r="A2931" s="61" t="s">
        <v>178</v>
      </c>
      <c r="B2931" s="61" t="s">
        <v>381</v>
      </c>
      <c r="C2931" s="62">
        <v>44793</v>
      </c>
      <c r="D2931" s="62">
        <v>44793</v>
      </c>
      <c r="E2931" s="63">
        <v>0</v>
      </c>
    </row>
    <row r="2932" spans="1:5">
      <c r="A2932" s="61" t="s">
        <v>178</v>
      </c>
      <c r="B2932" s="61" t="s">
        <v>381</v>
      </c>
      <c r="C2932" s="62">
        <v>44794</v>
      </c>
      <c r="D2932" s="62">
        <v>44794</v>
      </c>
      <c r="E2932" s="63">
        <v>0</v>
      </c>
    </row>
    <row r="2933" spans="1:5">
      <c r="A2933" s="61" t="s">
        <v>178</v>
      </c>
      <c r="B2933" s="61" t="s">
        <v>381</v>
      </c>
      <c r="C2933" s="62">
        <v>44795</v>
      </c>
      <c r="D2933" s="62">
        <v>44795</v>
      </c>
      <c r="E2933" s="63">
        <v>0</v>
      </c>
    </row>
    <row r="2934" spans="1:5">
      <c r="A2934" s="61" t="s">
        <v>178</v>
      </c>
      <c r="B2934" s="61" t="s">
        <v>381</v>
      </c>
      <c r="C2934" s="62">
        <v>44796</v>
      </c>
      <c r="D2934" s="62">
        <v>44796</v>
      </c>
      <c r="E2934" s="63">
        <v>0</v>
      </c>
    </row>
    <row r="2935" spans="1:5">
      <c r="A2935" s="61" t="s">
        <v>178</v>
      </c>
      <c r="B2935" s="61" t="s">
        <v>381</v>
      </c>
      <c r="C2935" s="62">
        <v>44797</v>
      </c>
      <c r="D2935" s="62">
        <v>44797</v>
      </c>
      <c r="E2935" s="63">
        <v>0</v>
      </c>
    </row>
    <row r="2936" spans="1:5">
      <c r="A2936" s="61" t="s">
        <v>178</v>
      </c>
      <c r="B2936" s="61" t="s">
        <v>381</v>
      </c>
      <c r="C2936" s="62">
        <v>44798</v>
      </c>
      <c r="D2936" s="62">
        <v>44798</v>
      </c>
      <c r="E2936" s="63">
        <v>0</v>
      </c>
    </row>
    <row r="2937" spans="1:5">
      <c r="A2937" s="61" t="s">
        <v>178</v>
      </c>
      <c r="B2937" s="61" t="s">
        <v>381</v>
      </c>
      <c r="C2937" s="62">
        <v>44799</v>
      </c>
      <c r="D2937" s="62">
        <v>44799</v>
      </c>
      <c r="E2937" s="63">
        <v>0</v>
      </c>
    </row>
    <row r="2938" spans="1:5">
      <c r="A2938" s="61" t="s">
        <v>178</v>
      </c>
      <c r="B2938" s="61" t="s">
        <v>381</v>
      </c>
      <c r="C2938" s="62">
        <v>44800</v>
      </c>
      <c r="D2938" s="62">
        <v>44800</v>
      </c>
      <c r="E2938" s="63">
        <v>0</v>
      </c>
    </row>
    <row r="2939" spans="1:5">
      <c r="A2939" s="61" t="s">
        <v>178</v>
      </c>
      <c r="B2939" s="61" t="s">
        <v>381</v>
      </c>
      <c r="C2939" s="62">
        <v>44801</v>
      </c>
      <c r="D2939" s="62">
        <v>44801</v>
      </c>
      <c r="E2939" s="63">
        <v>0</v>
      </c>
    </row>
    <row r="2940" spans="1:5">
      <c r="A2940" s="61" t="s">
        <v>178</v>
      </c>
      <c r="B2940" s="61" t="s">
        <v>381</v>
      </c>
      <c r="C2940" s="62">
        <v>44802</v>
      </c>
      <c r="D2940" s="62">
        <v>44802</v>
      </c>
      <c r="E2940" s="63">
        <v>0</v>
      </c>
    </row>
    <row r="2941" spans="1:5">
      <c r="A2941" s="61" t="s">
        <v>178</v>
      </c>
      <c r="B2941" s="61" t="s">
        <v>381</v>
      </c>
      <c r="C2941" s="62">
        <v>44803</v>
      </c>
      <c r="D2941" s="62">
        <v>44803</v>
      </c>
      <c r="E2941" s="63">
        <v>0</v>
      </c>
    </row>
    <row r="2942" spans="1:5">
      <c r="A2942" s="61" t="s">
        <v>179</v>
      </c>
      <c r="B2942" s="61" t="s">
        <v>382</v>
      </c>
      <c r="C2942" s="62">
        <v>44774</v>
      </c>
      <c r="D2942" s="62">
        <v>44774</v>
      </c>
      <c r="E2942" s="63">
        <v>0</v>
      </c>
    </row>
    <row r="2943" spans="1:5">
      <c r="A2943" s="61" t="s">
        <v>179</v>
      </c>
      <c r="B2943" s="61" t="s">
        <v>382</v>
      </c>
      <c r="C2943" s="62">
        <v>44775</v>
      </c>
      <c r="D2943" s="62">
        <v>44775</v>
      </c>
      <c r="E2943" s="63">
        <v>0</v>
      </c>
    </row>
    <row r="2944" spans="1:5">
      <c r="A2944" s="61" t="s">
        <v>179</v>
      </c>
      <c r="B2944" s="61" t="s">
        <v>382</v>
      </c>
      <c r="C2944" s="62">
        <v>44776</v>
      </c>
      <c r="D2944" s="62">
        <v>44776</v>
      </c>
      <c r="E2944" s="63">
        <v>0</v>
      </c>
    </row>
    <row r="2945" spans="1:5">
      <c r="A2945" s="61" t="s">
        <v>179</v>
      </c>
      <c r="B2945" s="61" t="s">
        <v>382</v>
      </c>
      <c r="C2945" s="62">
        <v>44777</v>
      </c>
      <c r="D2945" s="62">
        <v>44777</v>
      </c>
      <c r="E2945" s="63">
        <v>0</v>
      </c>
    </row>
    <row r="2946" spans="1:5">
      <c r="A2946" s="61" t="s">
        <v>179</v>
      </c>
      <c r="B2946" s="61" t="s">
        <v>382</v>
      </c>
      <c r="C2946" s="62">
        <v>44778</v>
      </c>
      <c r="D2946" s="62">
        <v>44778</v>
      </c>
      <c r="E2946" s="63">
        <v>0</v>
      </c>
    </row>
    <row r="2947" spans="1:5">
      <c r="A2947" s="61" t="s">
        <v>179</v>
      </c>
      <c r="B2947" s="61" t="s">
        <v>382</v>
      </c>
      <c r="C2947" s="62">
        <v>44779</v>
      </c>
      <c r="D2947" s="62">
        <v>44779</v>
      </c>
      <c r="E2947" s="63">
        <v>0</v>
      </c>
    </row>
    <row r="2948" spans="1:5">
      <c r="A2948" s="61" t="s">
        <v>179</v>
      </c>
      <c r="B2948" s="61" t="s">
        <v>382</v>
      </c>
      <c r="C2948" s="62">
        <v>44780</v>
      </c>
      <c r="D2948" s="62">
        <v>44780</v>
      </c>
      <c r="E2948" s="63">
        <v>0</v>
      </c>
    </row>
    <row r="2949" spans="1:5">
      <c r="A2949" s="61" t="s">
        <v>179</v>
      </c>
      <c r="B2949" s="61" t="s">
        <v>382</v>
      </c>
      <c r="C2949" s="62">
        <v>44781</v>
      </c>
      <c r="D2949" s="62">
        <v>44781</v>
      </c>
      <c r="E2949" s="63">
        <v>0</v>
      </c>
    </row>
    <row r="2950" spans="1:5">
      <c r="A2950" s="61" t="s">
        <v>179</v>
      </c>
      <c r="B2950" s="61" t="s">
        <v>382</v>
      </c>
      <c r="C2950" s="62">
        <v>44782</v>
      </c>
      <c r="D2950" s="62">
        <v>44782</v>
      </c>
      <c r="E2950" s="63">
        <v>0</v>
      </c>
    </row>
    <row r="2951" spans="1:5">
      <c r="A2951" s="61" t="s">
        <v>179</v>
      </c>
      <c r="B2951" s="61" t="s">
        <v>382</v>
      </c>
      <c r="C2951" s="62">
        <v>44783</v>
      </c>
      <c r="D2951" s="62">
        <v>44783</v>
      </c>
      <c r="E2951" s="63">
        <v>0</v>
      </c>
    </row>
    <row r="2952" spans="1:5">
      <c r="A2952" s="61" t="s">
        <v>179</v>
      </c>
      <c r="B2952" s="61" t="s">
        <v>382</v>
      </c>
      <c r="C2952" s="62">
        <v>44784</v>
      </c>
      <c r="D2952" s="62">
        <v>44784</v>
      </c>
      <c r="E2952" s="63">
        <v>0</v>
      </c>
    </row>
    <row r="2953" spans="1:5">
      <c r="A2953" s="61" t="s">
        <v>179</v>
      </c>
      <c r="B2953" s="61" t="s">
        <v>382</v>
      </c>
      <c r="C2953" s="62">
        <v>44785</v>
      </c>
      <c r="D2953" s="62">
        <v>44785</v>
      </c>
      <c r="E2953" s="63">
        <v>0</v>
      </c>
    </row>
    <row r="2954" spans="1:5">
      <c r="A2954" s="61" t="s">
        <v>179</v>
      </c>
      <c r="B2954" s="61" t="s">
        <v>382</v>
      </c>
      <c r="C2954" s="62">
        <v>44786</v>
      </c>
      <c r="D2954" s="62">
        <v>44786</v>
      </c>
      <c r="E2954" s="63">
        <v>0</v>
      </c>
    </row>
    <row r="2955" spans="1:5">
      <c r="A2955" s="61" t="s">
        <v>179</v>
      </c>
      <c r="B2955" s="61" t="s">
        <v>382</v>
      </c>
      <c r="C2955" s="62">
        <v>44787</v>
      </c>
      <c r="D2955" s="62">
        <v>44787</v>
      </c>
      <c r="E2955" s="63">
        <v>0</v>
      </c>
    </row>
    <row r="2956" spans="1:5">
      <c r="A2956" s="61" t="s">
        <v>179</v>
      </c>
      <c r="B2956" s="61" t="s">
        <v>382</v>
      </c>
      <c r="C2956" s="62">
        <v>44788</v>
      </c>
      <c r="D2956" s="62">
        <v>44788</v>
      </c>
      <c r="E2956" s="63">
        <v>0</v>
      </c>
    </row>
    <row r="2957" spans="1:5">
      <c r="A2957" s="61" t="s">
        <v>179</v>
      </c>
      <c r="B2957" s="61" t="s">
        <v>382</v>
      </c>
      <c r="C2957" s="62">
        <v>44789</v>
      </c>
      <c r="D2957" s="62">
        <v>44789</v>
      </c>
      <c r="E2957" s="63">
        <v>0</v>
      </c>
    </row>
    <row r="2958" spans="1:5">
      <c r="A2958" s="61" t="s">
        <v>179</v>
      </c>
      <c r="B2958" s="61" t="s">
        <v>382</v>
      </c>
      <c r="C2958" s="62">
        <v>44790</v>
      </c>
      <c r="D2958" s="62">
        <v>44790</v>
      </c>
      <c r="E2958" s="63">
        <v>0</v>
      </c>
    </row>
    <row r="2959" spans="1:5">
      <c r="A2959" s="61" t="s">
        <v>179</v>
      </c>
      <c r="B2959" s="61" t="s">
        <v>382</v>
      </c>
      <c r="C2959" s="62">
        <v>44791</v>
      </c>
      <c r="D2959" s="62">
        <v>44791</v>
      </c>
      <c r="E2959" s="63">
        <v>0</v>
      </c>
    </row>
    <row r="2960" spans="1:5">
      <c r="A2960" s="61" t="s">
        <v>179</v>
      </c>
      <c r="B2960" s="61" t="s">
        <v>382</v>
      </c>
      <c r="C2960" s="62">
        <v>44792</v>
      </c>
      <c r="D2960" s="62">
        <v>44792</v>
      </c>
      <c r="E2960" s="63">
        <v>0</v>
      </c>
    </row>
    <row r="2961" spans="1:5">
      <c r="A2961" s="61" t="s">
        <v>179</v>
      </c>
      <c r="B2961" s="61" t="s">
        <v>382</v>
      </c>
      <c r="C2961" s="62">
        <v>44793</v>
      </c>
      <c r="D2961" s="62">
        <v>44793</v>
      </c>
      <c r="E2961" s="63">
        <v>0</v>
      </c>
    </row>
    <row r="2962" spans="1:5">
      <c r="A2962" s="61" t="s">
        <v>179</v>
      </c>
      <c r="B2962" s="61" t="s">
        <v>382</v>
      </c>
      <c r="C2962" s="62">
        <v>44794</v>
      </c>
      <c r="D2962" s="62">
        <v>44794</v>
      </c>
      <c r="E2962" s="63">
        <v>0</v>
      </c>
    </row>
    <row r="2963" spans="1:5">
      <c r="A2963" s="61" t="s">
        <v>179</v>
      </c>
      <c r="B2963" s="61" t="s">
        <v>382</v>
      </c>
      <c r="C2963" s="62">
        <v>44795</v>
      </c>
      <c r="D2963" s="62">
        <v>44795</v>
      </c>
      <c r="E2963" s="63">
        <v>0</v>
      </c>
    </row>
    <row r="2964" spans="1:5">
      <c r="A2964" s="61" t="s">
        <v>179</v>
      </c>
      <c r="B2964" s="61" t="s">
        <v>382</v>
      </c>
      <c r="C2964" s="62">
        <v>44796</v>
      </c>
      <c r="D2964" s="62">
        <v>44796</v>
      </c>
      <c r="E2964" s="63">
        <v>0</v>
      </c>
    </row>
    <row r="2965" spans="1:5">
      <c r="A2965" s="61" t="s">
        <v>179</v>
      </c>
      <c r="B2965" s="61" t="s">
        <v>382</v>
      </c>
      <c r="C2965" s="62">
        <v>44797</v>
      </c>
      <c r="D2965" s="62">
        <v>44797</v>
      </c>
      <c r="E2965" s="63">
        <v>0</v>
      </c>
    </row>
    <row r="2966" spans="1:5">
      <c r="A2966" s="61" t="s">
        <v>179</v>
      </c>
      <c r="B2966" s="61" t="s">
        <v>382</v>
      </c>
      <c r="C2966" s="62">
        <v>44798</v>
      </c>
      <c r="D2966" s="62">
        <v>44798</v>
      </c>
      <c r="E2966" s="63">
        <v>0</v>
      </c>
    </row>
    <row r="2967" spans="1:5">
      <c r="A2967" s="61" t="s">
        <v>179</v>
      </c>
      <c r="B2967" s="61" t="s">
        <v>382</v>
      </c>
      <c r="C2967" s="62">
        <v>44799</v>
      </c>
      <c r="D2967" s="62">
        <v>44799</v>
      </c>
      <c r="E2967" s="63">
        <v>0</v>
      </c>
    </row>
    <row r="2968" spans="1:5">
      <c r="A2968" s="61" t="s">
        <v>179</v>
      </c>
      <c r="B2968" s="61" t="s">
        <v>382</v>
      </c>
      <c r="C2968" s="62">
        <v>44800</v>
      </c>
      <c r="D2968" s="62">
        <v>44800</v>
      </c>
      <c r="E2968" s="63">
        <v>0</v>
      </c>
    </row>
    <row r="2969" spans="1:5">
      <c r="A2969" s="61" t="s">
        <v>179</v>
      </c>
      <c r="B2969" s="61" t="s">
        <v>382</v>
      </c>
      <c r="C2969" s="62">
        <v>44801</v>
      </c>
      <c r="D2969" s="62">
        <v>44801</v>
      </c>
      <c r="E2969" s="63">
        <v>0</v>
      </c>
    </row>
    <row r="2970" spans="1:5">
      <c r="A2970" s="61" t="s">
        <v>179</v>
      </c>
      <c r="B2970" s="61" t="s">
        <v>382</v>
      </c>
      <c r="C2970" s="62">
        <v>44802</v>
      </c>
      <c r="D2970" s="62">
        <v>44802</v>
      </c>
      <c r="E2970" s="63">
        <v>0</v>
      </c>
    </row>
    <row r="2971" spans="1:5">
      <c r="A2971" s="61" t="s">
        <v>179</v>
      </c>
      <c r="B2971" s="61" t="s">
        <v>382</v>
      </c>
      <c r="C2971" s="62">
        <v>44803</v>
      </c>
      <c r="D2971" s="62">
        <v>44803</v>
      </c>
      <c r="E2971" s="63">
        <v>0</v>
      </c>
    </row>
    <row r="2972" spans="1:5">
      <c r="A2972" s="61" t="s">
        <v>180</v>
      </c>
      <c r="B2972" s="61" t="s">
        <v>383</v>
      </c>
      <c r="C2972" s="62">
        <v>44774</v>
      </c>
      <c r="D2972" s="62">
        <v>44774</v>
      </c>
      <c r="E2972" s="63">
        <v>0</v>
      </c>
    </row>
    <row r="2973" spans="1:5">
      <c r="A2973" s="61" t="s">
        <v>180</v>
      </c>
      <c r="B2973" s="61" t="s">
        <v>383</v>
      </c>
      <c r="C2973" s="62">
        <v>44775</v>
      </c>
      <c r="D2973" s="62">
        <v>44775</v>
      </c>
      <c r="E2973" s="63">
        <v>0</v>
      </c>
    </row>
    <row r="2974" spans="1:5">
      <c r="A2974" s="61" t="s">
        <v>180</v>
      </c>
      <c r="B2974" s="61" t="s">
        <v>383</v>
      </c>
      <c r="C2974" s="62">
        <v>44776</v>
      </c>
      <c r="D2974" s="62">
        <v>44776</v>
      </c>
      <c r="E2974" s="63">
        <v>0</v>
      </c>
    </row>
    <row r="2975" spans="1:5">
      <c r="A2975" s="61" t="s">
        <v>180</v>
      </c>
      <c r="B2975" s="61" t="s">
        <v>383</v>
      </c>
      <c r="C2975" s="62">
        <v>44777</v>
      </c>
      <c r="D2975" s="62">
        <v>44777</v>
      </c>
      <c r="E2975" s="63">
        <v>0</v>
      </c>
    </row>
    <row r="2976" spans="1:5">
      <c r="A2976" s="61" t="s">
        <v>180</v>
      </c>
      <c r="B2976" s="61" t="s">
        <v>383</v>
      </c>
      <c r="C2976" s="62">
        <v>44778</v>
      </c>
      <c r="D2976" s="62">
        <v>44778</v>
      </c>
      <c r="E2976" s="63">
        <v>0</v>
      </c>
    </row>
    <row r="2977" spans="1:5">
      <c r="A2977" s="61" t="s">
        <v>180</v>
      </c>
      <c r="B2977" s="61" t="s">
        <v>383</v>
      </c>
      <c r="C2977" s="62">
        <v>44779</v>
      </c>
      <c r="D2977" s="62">
        <v>44779</v>
      </c>
      <c r="E2977" s="63">
        <v>0</v>
      </c>
    </row>
    <row r="2978" spans="1:5">
      <c r="A2978" s="61" t="s">
        <v>180</v>
      </c>
      <c r="B2978" s="61" t="s">
        <v>383</v>
      </c>
      <c r="C2978" s="62">
        <v>44780</v>
      </c>
      <c r="D2978" s="62">
        <v>44780</v>
      </c>
      <c r="E2978" s="63">
        <v>0</v>
      </c>
    </row>
    <row r="2979" spans="1:5">
      <c r="A2979" s="61" t="s">
        <v>180</v>
      </c>
      <c r="B2979" s="61" t="s">
        <v>383</v>
      </c>
      <c r="C2979" s="62">
        <v>44781</v>
      </c>
      <c r="D2979" s="62">
        <v>44781</v>
      </c>
      <c r="E2979" s="63">
        <v>0</v>
      </c>
    </row>
    <row r="2980" spans="1:5">
      <c r="A2980" s="61" t="s">
        <v>180</v>
      </c>
      <c r="B2980" s="61" t="s">
        <v>383</v>
      </c>
      <c r="C2980" s="62">
        <v>44782</v>
      </c>
      <c r="D2980" s="62">
        <v>44782</v>
      </c>
      <c r="E2980" s="63">
        <v>0</v>
      </c>
    </row>
    <row r="2981" spans="1:5">
      <c r="A2981" s="61" t="s">
        <v>180</v>
      </c>
      <c r="B2981" s="61" t="s">
        <v>383</v>
      </c>
      <c r="C2981" s="62">
        <v>44783</v>
      </c>
      <c r="D2981" s="62">
        <v>44783</v>
      </c>
      <c r="E2981" s="63">
        <v>0</v>
      </c>
    </row>
    <row r="2982" spans="1:5">
      <c r="A2982" s="61" t="s">
        <v>180</v>
      </c>
      <c r="B2982" s="61" t="s">
        <v>383</v>
      </c>
      <c r="C2982" s="62">
        <v>44784</v>
      </c>
      <c r="D2982" s="62">
        <v>44784</v>
      </c>
      <c r="E2982" s="63">
        <v>0</v>
      </c>
    </row>
    <row r="2983" spans="1:5">
      <c r="A2983" s="61" t="s">
        <v>180</v>
      </c>
      <c r="B2983" s="61" t="s">
        <v>383</v>
      </c>
      <c r="C2983" s="62">
        <v>44785</v>
      </c>
      <c r="D2983" s="62">
        <v>44785</v>
      </c>
      <c r="E2983" s="63">
        <v>0</v>
      </c>
    </row>
    <row r="2984" spans="1:5">
      <c r="A2984" s="61" t="s">
        <v>180</v>
      </c>
      <c r="B2984" s="61" t="s">
        <v>383</v>
      </c>
      <c r="C2984" s="62">
        <v>44786</v>
      </c>
      <c r="D2984" s="62">
        <v>44786</v>
      </c>
      <c r="E2984" s="63">
        <v>0</v>
      </c>
    </row>
    <row r="2985" spans="1:5">
      <c r="A2985" s="61" t="s">
        <v>180</v>
      </c>
      <c r="B2985" s="61" t="s">
        <v>383</v>
      </c>
      <c r="C2985" s="62">
        <v>44787</v>
      </c>
      <c r="D2985" s="62">
        <v>44787</v>
      </c>
      <c r="E2985" s="63">
        <v>0</v>
      </c>
    </row>
    <row r="2986" spans="1:5">
      <c r="A2986" s="61" t="s">
        <v>180</v>
      </c>
      <c r="B2986" s="61" t="s">
        <v>383</v>
      </c>
      <c r="C2986" s="62">
        <v>44788</v>
      </c>
      <c r="D2986" s="62">
        <v>44788</v>
      </c>
      <c r="E2986" s="63">
        <v>0</v>
      </c>
    </row>
    <row r="2987" spans="1:5">
      <c r="A2987" s="61" t="s">
        <v>180</v>
      </c>
      <c r="B2987" s="61" t="s">
        <v>383</v>
      </c>
      <c r="C2987" s="62">
        <v>44789</v>
      </c>
      <c r="D2987" s="62">
        <v>44789</v>
      </c>
      <c r="E2987" s="63">
        <v>0</v>
      </c>
    </row>
    <row r="2988" spans="1:5">
      <c r="A2988" s="61" t="s">
        <v>180</v>
      </c>
      <c r="B2988" s="61" t="s">
        <v>383</v>
      </c>
      <c r="C2988" s="62">
        <v>44790</v>
      </c>
      <c r="D2988" s="62">
        <v>44790</v>
      </c>
      <c r="E2988" s="63">
        <v>0</v>
      </c>
    </row>
    <row r="2989" spans="1:5">
      <c r="A2989" s="61" t="s">
        <v>180</v>
      </c>
      <c r="B2989" s="61" t="s">
        <v>383</v>
      </c>
      <c r="C2989" s="62">
        <v>44791</v>
      </c>
      <c r="D2989" s="62">
        <v>44791</v>
      </c>
      <c r="E2989" s="63">
        <v>0</v>
      </c>
    </row>
    <row r="2990" spans="1:5">
      <c r="A2990" s="61" t="s">
        <v>180</v>
      </c>
      <c r="B2990" s="61" t="s">
        <v>383</v>
      </c>
      <c r="C2990" s="62">
        <v>44792</v>
      </c>
      <c r="D2990" s="62">
        <v>44792</v>
      </c>
      <c r="E2990" s="63">
        <v>0</v>
      </c>
    </row>
    <row r="2991" spans="1:5">
      <c r="A2991" s="61" t="s">
        <v>180</v>
      </c>
      <c r="B2991" s="61" t="s">
        <v>383</v>
      </c>
      <c r="C2991" s="62">
        <v>44793</v>
      </c>
      <c r="D2991" s="62">
        <v>44793</v>
      </c>
      <c r="E2991" s="63">
        <v>0</v>
      </c>
    </row>
    <row r="2992" spans="1:5">
      <c r="A2992" s="61" t="s">
        <v>180</v>
      </c>
      <c r="B2992" s="61" t="s">
        <v>383</v>
      </c>
      <c r="C2992" s="62">
        <v>44794</v>
      </c>
      <c r="D2992" s="62">
        <v>44794</v>
      </c>
      <c r="E2992" s="63">
        <v>0</v>
      </c>
    </row>
    <row r="2993" spans="1:5">
      <c r="A2993" s="61" t="s">
        <v>180</v>
      </c>
      <c r="B2993" s="61" t="s">
        <v>383</v>
      </c>
      <c r="C2993" s="62">
        <v>44795</v>
      </c>
      <c r="D2993" s="62">
        <v>44795</v>
      </c>
      <c r="E2993" s="63">
        <v>0</v>
      </c>
    </row>
    <row r="2994" spans="1:5">
      <c r="A2994" s="61" t="s">
        <v>180</v>
      </c>
      <c r="B2994" s="61" t="s">
        <v>383</v>
      </c>
      <c r="C2994" s="62">
        <v>44796</v>
      </c>
      <c r="D2994" s="62">
        <v>44796</v>
      </c>
      <c r="E2994" s="63">
        <v>0</v>
      </c>
    </row>
    <row r="2995" spans="1:5">
      <c r="A2995" s="61" t="s">
        <v>180</v>
      </c>
      <c r="B2995" s="61" t="s">
        <v>383</v>
      </c>
      <c r="C2995" s="62">
        <v>44797</v>
      </c>
      <c r="D2995" s="62">
        <v>44797</v>
      </c>
      <c r="E2995" s="63">
        <v>0</v>
      </c>
    </row>
    <row r="2996" spans="1:5">
      <c r="A2996" s="61" t="s">
        <v>180</v>
      </c>
      <c r="B2996" s="61" t="s">
        <v>383</v>
      </c>
      <c r="C2996" s="62">
        <v>44798</v>
      </c>
      <c r="D2996" s="62">
        <v>44798</v>
      </c>
      <c r="E2996" s="63">
        <v>0</v>
      </c>
    </row>
    <row r="2997" spans="1:5">
      <c r="A2997" s="61" t="s">
        <v>180</v>
      </c>
      <c r="B2997" s="61" t="s">
        <v>383</v>
      </c>
      <c r="C2997" s="62">
        <v>44799</v>
      </c>
      <c r="D2997" s="62">
        <v>44799</v>
      </c>
      <c r="E2997" s="63">
        <v>0</v>
      </c>
    </row>
    <row r="2998" spans="1:5">
      <c r="A2998" s="61" t="s">
        <v>180</v>
      </c>
      <c r="B2998" s="61" t="s">
        <v>383</v>
      </c>
      <c r="C2998" s="62">
        <v>44800</v>
      </c>
      <c r="D2998" s="62">
        <v>44800</v>
      </c>
      <c r="E2998" s="63">
        <v>0</v>
      </c>
    </row>
    <row r="2999" spans="1:5">
      <c r="A2999" s="61" t="s">
        <v>180</v>
      </c>
      <c r="B2999" s="61" t="s">
        <v>383</v>
      </c>
      <c r="C2999" s="62">
        <v>44801</v>
      </c>
      <c r="D2999" s="62">
        <v>44801</v>
      </c>
      <c r="E2999" s="63">
        <v>0</v>
      </c>
    </row>
    <row r="3000" spans="1:5">
      <c r="A3000" s="61" t="s">
        <v>180</v>
      </c>
      <c r="B3000" s="61" t="s">
        <v>383</v>
      </c>
      <c r="C3000" s="62">
        <v>44802</v>
      </c>
      <c r="D3000" s="62">
        <v>44802</v>
      </c>
      <c r="E3000" s="63">
        <v>0</v>
      </c>
    </row>
    <row r="3001" spans="1:5">
      <c r="A3001" s="61" t="s">
        <v>180</v>
      </c>
      <c r="B3001" s="61" t="s">
        <v>383</v>
      </c>
      <c r="C3001" s="62">
        <v>44803</v>
      </c>
      <c r="D3001" s="62">
        <v>44803</v>
      </c>
      <c r="E3001" s="63">
        <v>0</v>
      </c>
    </row>
    <row r="3002" spans="1:5">
      <c r="A3002" s="61" t="s">
        <v>57</v>
      </c>
      <c r="B3002" s="61" t="s">
        <v>380</v>
      </c>
      <c r="C3002" s="62">
        <v>44774</v>
      </c>
      <c r="D3002" s="62">
        <v>44774</v>
      </c>
      <c r="E3002" s="63">
        <v>0</v>
      </c>
    </row>
    <row r="3003" spans="1:5">
      <c r="A3003" s="61" t="s">
        <v>57</v>
      </c>
      <c r="B3003" s="61" t="s">
        <v>380</v>
      </c>
      <c r="C3003" s="62">
        <v>44775</v>
      </c>
      <c r="D3003" s="62">
        <v>44775</v>
      </c>
      <c r="E3003" s="63">
        <v>0</v>
      </c>
    </row>
    <row r="3004" spans="1:5">
      <c r="A3004" s="61" t="s">
        <v>57</v>
      </c>
      <c r="B3004" s="61" t="s">
        <v>380</v>
      </c>
      <c r="C3004" s="62">
        <v>44776</v>
      </c>
      <c r="D3004" s="62">
        <v>44776</v>
      </c>
      <c r="E3004" s="63">
        <v>0</v>
      </c>
    </row>
    <row r="3005" spans="1:5">
      <c r="A3005" s="61" t="s">
        <v>57</v>
      </c>
      <c r="B3005" s="61" t="s">
        <v>380</v>
      </c>
      <c r="C3005" s="62">
        <v>44777</v>
      </c>
      <c r="D3005" s="62">
        <v>44777</v>
      </c>
      <c r="E3005" s="63">
        <v>0</v>
      </c>
    </row>
    <row r="3006" spans="1:5">
      <c r="A3006" s="61" t="s">
        <v>57</v>
      </c>
      <c r="B3006" s="61" t="s">
        <v>380</v>
      </c>
      <c r="C3006" s="62">
        <v>44778</v>
      </c>
      <c r="D3006" s="62">
        <v>44778</v>
      </c>
      <c r="E3006" s="63">
        <v>0</v>
      </c>
    </row>
    <row r="3007" spans="1:5">
      <c r="A3007" s="61" t="s">
        <v>57</v>
      </c>
      <c r="B3007" s="61" t="s">
        <v>380</v>
      </c>
      <c r="C3007" s="62">
        <v>44779</v>
      </c>
      <c r="D3007" s="62">
        <v>44779</v>
      </c>
      <c r="E3007" s="63">
        <v>0</v>
      </c>
    </row>
    <row r="3008" spans="1:5">
      <c r="A3008" s="61" t="s">
        <v>57</v>
      </c>
      <c r="B3008" s="61" t="s">
        <v>380</v>
      </c>
      <c r="C3008" s="62">
        <v>44780</v>
      </c>
      <c r="D3008" s="62">
        <v>44780</v>
      </c>
      <c r="E3008" s="63">
        <v>0</v>
      </c>
    </row>
    <row r="3009" spans="1:5">
      <c r="A3009" s="61" t="s">
        <v>57</v>
      </c>
      <c r="B3009" s="61" t="s">
        <v>380</v>
      </c>
      <c r="C3009" s="62">
        <v>44781</v>
      </c>
      <c r="D3009" s="62">
        <v>44781</v>
      </c>
      <c r="E3009" s="63">
        <v>0</v>
      </c>
    </row>
    <row r="3010" spans="1:5">
      <c r="A3010" s="61" t="s">
        <v>57</v>
      </c>
      <c r="B3010" s="61" t="s">
        <v>380</v>
      </c>
      <c r="C3010" s="62">
        <v>44782</v>
      </c>
      <c r="D3010" s="62">
        <v>44782</v>
      </c>
      <c r="E3010" s="63">
        <v>0</v>
      </c>
    </row>
    <row r="3011" spans="1:5">
      <c r="A3011" s="61" t="s">
        <v>57</v>
      </c>
      <c r="B3011" s="61" t="s">
        <v>380</v>
      </c>
      <c r="C3011" s="62">
        <v>44783</v>
      </c>
      <c r="D3011" s="62">
        <v>44783</v>
      </c>
      <c r="E3011" s="63">
        <v>0</v>
      </c>
    </row>
    <row r="3012" spans="1:5">
      <c r="A3012" s="61" t="s">
        <v>57</v>
      </c>
      <c r="B3012" s="61" t="s">
        <v>380</v>
      </c>
      <c r="C3012" s="62">
        <v>44784</v>
      </c>
      <c r="D3012" s="62">
        <v>44784</v>
      </c>
      <c r="E3012" s="63">
        <v>0</v>
      </c>
    </row>
    <row r="3013" spans="1:5">
      <c r="A3013" s="61" t="s">
        <v>57</v>
      </c>
      <c r="B3013" s="61" t="s">
        <v>380</v>
      </c>
      <c r="C3013" s="62">
        <v>44785</v>
      </c>
      <c r="D3013" s="62">
        <v>44785</v>
      </c>
      <c r="E3013" s="63">
        <v>0</v>
      </c>
    </row>
    <row r="3014" spans="1:5">
      <c r="A3014" s="61" t="s">
        <v>57</v>
      </c>
      <c r="B3014" s="61" t="s">
        <v>380</v>
      </c>
      <c r="C3014" s="62">
        <v>44786</v>
      </c>
      <c r="D3014" s="62">
        <v>44786</v>
      </c>
      <c r="E3014" s="63">
        <v>0</v>
      </c>
    </row>
    <row r="3015" spans="1:5">
      <c r="A3015" s="61" t="s">
        <v>57</v>
      </c>
      <c r="B3015" s="61" t="s">
        <v>380</v>
      </c>
      <c r="C3015" s="62">
        <v>44787</v>
      </c>
      <c r="D3015" s="62">
        <v>44787</v>
      </c>
      <c r="E3015" s="63">
        <v>0</v>
      </c>
    </row>
    <row r="3016" spans="1:5">
      <c r="A3016" s="61" t="s">
        <v>57</v>
      </c>
      <c r="B3016" s="61" t="s">
        <v>380</v>
      </c>
      <c r="C3016" s="62">
        <v>44788</v>
      </c>
      <c r="D3016" s="62">
        <v>44788</v>
      </c>
      <c r="E3016" s="63">
        <v>0</v>
      </c>
    </row>
    <row r="3017" spans="1:5">
      <c r="A3017" s="61" t="s">
        <v>57</v>
      </c>
      <c r="B3017" s="61" t="s">
        <v>380</v>
      </c>
      <c r="C3017" s="62">
        <v>44789</v>
      </c>
      <c r="D3017" s="62">
        <v>44789</v>
      </c>
      <c r="E3017" s="63">
        <v>0</v>
      </c>
    </row>
    <row r="3018" spans="1:5">
      <c r="A3018" s="61" t="s">
        <v>57</v>
      </c>
      <c r="B3018" s="61" t="s">
        <v>380</v>
      </c>
      <c r="C3018" s="62">
        <v>44790</v>
      </c>
      <c r="D3018" s="62">
        <v>44790</v>
      </c>
      <c r="E3018" s="63">
        <v>0</v>
      </c>
    </row>
    <row r="3019" spans="1:5">
      <c r="A3019" s="61" t="s">
        <v>57</v>
      </c>
      <c r="B3019" s="61" t="s">
        <v>380</v>
      </c>
      <c r="C3019" s="62">
        <v>44791</v>
      </c>
      <c r="D3019" s="62">
        <v>44791</v>
      </c>
      <c r="E3019" s="63">
        <v>0</v>
      </c>
    </row>
    <row r="3020" spans="1:5">
      <c r="A3020" s="61" t="s">
        <v>57</v>
      </c>
      <c r="B3020" s="61" t="s">
        <v>380</v>
      </c>
      <c r="C3020" s="62">
        <v>44792</v>
      </c>
      <c r="D3020" s="62">
        <v>44792</v>
      </c>
      <c r="E3020" s="63">
        <v>0</v>
      </c>
    </row>
    <row r="3021" spans="1:5">
      <c r="A3021" s="61" t="s">
        <v>57</v>
      </c>
      <c r="B3021" s="61" t="s">
        <v>380</v>
      </c>
      <c r="C3021" s="62">
        <v>44793</v>
      </c>
      <c r="D3021" s="62">
        <v>44793</v>
      </c>
      <c r="E3021" s="63">
        <v>0</v>
      </c>
    </row>
    <row r="3022" spans="1:5">
      <c r="A3022" s="61" t="s">
        <v>57</v>
      </c>
      <c r="B3022" s="61" t="s">
        <v>380</v>
      </c>
      <c r="C3022" s="62">
        <v>44794</v>
      </c>
      <c r="D3022" s="62">
        <v>44794</v>
      </c>
      <c r="E3022" s="63">
        <v>0</v>
      </c>
    </row>
    <row r="3023" spans="1:5">
      <c r="A3023" s="61" t="s">
        <v>57</v>
      </c>
      <c r="B3023" s="61" t="s">
        <v>380</v>
      </c>
      <c r="C3023" s="62">
        <v>44795</v>
      </c>
      <c r="D3023" s="62">
        <v>44795</v>
      </c>
      <c r="E3023" s="63">
        <v>0</v>
      </c>
    </row>
    <row r="3024" spans="1:5">
      <c r="A3024" s="61" t="s">
        <v>57</v>
      </c>
      <c r="B3024" s="61" t="s">
        <v>380</v>
      </c>
      <c r="C3024" s="62">
        <v>44796</v>
      </c>
      <c r="D3024" s="62">
        <v>44796</v>
      </c>
      <c r="E3024" s="63">
        <v>0</v>
      </c>
    </row>
    <row r="3025" spans="1:5">
      <c r="A3025" s="61" t="s">
        <v>57</v>
      </c>
      <c r="B3025" s="61" t="s">
        <v>380</v>
      </c>
      <c r="C3025" s="62">
        <v>44797</v>
      </c>
      <c r="D3025" s="62">
        <v>44797</v>
      </c>
      <c r="E3025" s="63">
        <v>0</v>
      </c>
    </row>
    <row r="3026" spans="1:5">
      <c r="A3026" s="61" t="s">
        <v>57</v>
      </c>
      <c r="B3026" s="61" t="s">
        <v>380</v>
      </c>
      <c r="C3026" s="62">
        <v>44798</v>
      </c>
      <c r="D3026" s="62">
        <v>44798</v>
      </c>
      <c r="E3026" s="63">
        <v>0</v>
      </c>
    </row>
    <row r="3027" spans="1:5">
      <c r="A3027" s="61" t="s">
        <v>57</v>
      </c>
      <c r="B3027" s="61" t="s">
        <v>380</v>
      </c>
      <c r="C3027" s="62">
        <v>44799</v>
      </c>
      <c r="D3027" s="62">
        <v>44799</v>
      </c>
      <c r="E3027" s="63">
        <v>0</v>
      </c>
    </row>
    <row r="3028" spans="1:5">
      <c r="A3028" s="61" t="s">
        <v>57</v>
      </c>
      <c r="B3028" s="61" t="s">
        <v>380</v>
      </c>
      <c r="C3028" s="62">
        <v>44800</v>
      </c>
      <c r="D3028" s="62">
        <v>44800</v>
      </c>
      <c r="E3028" s="63">
        <v>0</v>
      </c>
    </row>
    <row r="3029" spans="1:5">
      <c r="A3029" s="61" t="s">
        <v>57</v>
      </c>
      <c r="B3029" s="61" t="s">
        <v>380</v>
      </c>
      <c r="C3029" s="62">
        <v>44801</v>
      </c>
      <c r="D3029" s="62">
        <v>44801</v>
      </c>
      <c r="E3029" s="63">
        <v>0</v>
      </c>
    </row>
    <row r="3030" spans="1:5">
      <c r="A3030" s="61" t="s">
        <v>57</v>
      </c>
      <c r="B3030" s="61" t="s">
        <v>380</v>
      </c>
      <c r="C3030" s="62">
        <v>44802</v>
      </c>
      <c r="D3030" s="62">
        <v>44802</v>
      </c>
      <c r="E3030" s="63">
        <v>997.98</v>
      </c>
    </row>
    <row r="3031" spans="1:5">
      <c r="A3031" s="61" t="s">
        <v>57</v>
      </c>
      <c r="B3031" s="61" t="s">
        <v>380</v>
      </c>
      <c r="C3031" s="62">
        <v>44803</v>
      </c>
      <c r="D3031" s="62">
        <v>44803</v>
      </c>
      <c r="E3031" s="63">
        <v>45908.479999999996</v>
      </c>
    </row>
    <row r="3032" spans="1:5">
      <c r="A3032" s="61" t="s">
        <v>181</v>
      </c>
      <c r="B3032" s="61" t="s">
        <v>381</v>
      </c>
      <c r="C3032" s="62">
        <v>44774</v>
      </c>
      <c r="D3032" s="62">
        <v>44774</v>
      </c>
      <c r="E3032" s="63">
        <v>0</v>
      </c>
    </row>
    <row r="3033" spans="1:5">
      <c r="A3033" s="61" t="s">
        <v>181</v>
      </c>
      <c r="B3033" s="61" t="s">
        <v>381</v>
      </c>
      <c r="C3033" s="62">
        <v>44775</v>
      </c>
      <c r="D3033" s="62">
        <v>44775</v>
      </c>
      <c r="E3033" s="63">
        <v>0</v>
      </c>
    </row>
    <row r="3034" spans="1:5">
      <c r="A3034" s="61" t="s">
        <v>181</v>
      </c>
      <c r="B3034" s="61" t="s">
        <v>381</v>
      </c>
      <c r="C3034" s="62">
        <v>44776</v>
      </c>
      <c r="D3034" s="62">
        <v>44776</v>
      </c>
      <c r="E3034" s="63">
        <v>0</v>
      </c>
    </row>
    <row r="3035" spans="1:5">
      <c r="A3035" s="61" t="s">
        <v>181</v>
      </c>
      <c r="B3035" s="61" t="s">
        <v>381</v>
      </c>
      <c r="C3035" s="62">
        <v>44777</v>
      </c>
      <c r="D3035" s="62">
        <v>44777</v>
      </c>
      <c r="E3035" s="63">
        <v>0</v>
      </c>
    </row>
    <row r="3036" spans="1:5">
      <c r="A3036" s="61" t="s">
        <v>181</v>
      </c>
      <c r="B3036" s="61" t="s">
        <v>381</v>
      </c>
      <c r="C3036" s="62">
        <v>44778</v>
      </c>
      <c r="D3036" s="62">
        <v>44778</v>
      </c>
      <c r="E3036" s="63">
        <v>0</v>
      </c>
    </row>
    <row r="3037" spans="1:5">
      <c r="A3037" s="61" t="s">
        <v>181</v>
      </c>
      <c r="B3037" s="61" t="s">
        <v>381</v>
      </c>
      <c r="C3037" s="62">
        <v>44779</v>
      </c>
      <c r="D3037" s="62">
        <v>44779</v>
      </c>
      <c r="E3037" s="63">
        <v>0</v>
      </c>
    </row>
    <row r="3038" spans="1:5">
      <c r="A3038" s="61" t="s">
        <v>181</v>
      </c>
      <c r="B3038" s="61" t="s">
        <v>381</v>
      </c>
      <c r="C3038" s="62">
        <v>44780</v>
      </c>
      <c r="D3038" s="62">
        <v>44780</v>
      </c>
      <c r="E3038" s="63">
        <v>0</v>
      </c>
    </row>
    <row r="3039" spans="1:5">
      <c r="A3039" s="61" t="s">
        <v>181</v>
      </c>
      <c r="B3039" s="61" t="s">
        <v>381</v>
      </c>
      <c r="C3039" s="62">
        <v>44781</v>
      </c>
      <c r="D3039" s="62">
        <v>44781</v>
      </c>
      <c r="E3039" s="63">
        <v>0</v>
      </c>
    </row>
    <row r="3040" spans="1:5">
      <c r="A3040" s="61" t="s">
        <v>181</v>
      </c>
      <c r="B3040" s="61" t="s">
        <v>381</v>
      </c>
      <c r="C3040" s="62">
        <v>44782</v>
      </c>
      <c r="D3040" s="62">
        <v>44782</v>
      </c>
      <c r="E3040" s="63">
        <v>0</v>
      </c>
    </row>
    <row r="3041" spans="1:5">
      <c r="A3041" s="61" t="s">
        <v>181</v>
      </c>
      <c r="B3041" s="61" t="s">
        <v>381</v>
      </c>
      <c r="C3041" s="62">
        <v>44783</v>
      </c>
      <c r="D3041" s="62">
        <v>44783</v>
      </c>
      <c r="E3041" s="63">
        <v>0</v>
      </c>
    </row>
    <row r="3042" spans="1:5">
      <c r="A3042" s="61" t="s">
        <v>181</v>
      </c>
      <c r="B3042" s="61" t="s">
        <v>381</v>
      </c>
      <c r="C3042" s="62">
        <v>44784</v>
      </c>
      <c r="D3042" s="62">
        <v>44784</v>
      </c>
      <c r="E3042" s="63">
        <v>0</v>
      </c>
    </row>
    <row r="3043" spans="1:5">
      <c r="A3043" s="61" t="s">
        <v>181</v>
      </c>
      <c r="B3043" s="61" t="s">
        <v>381</v>
      </c>
      <c r="C3043" s="62">
        <v>44785</v>
      </c>
      <c r="D3043" s="62">
        <v>44785</v>
      </c>
      <c r="E3043" s="63">
        <v>0</v>
      </c>
    </row>
    <row r="3044" spans="1:5">
      <c r="A3044" s="61" t="s">
        <v>181</v>
      </c>
      <c r="B3044" s="61" t="s">
        <v>381</v>
      </c>
      <c r="C3044" s="62">
        <v>44786</v>
      </c>
      <c r="D3044" s="62">
        <v>44786</v>
      </c>
      <c r="E3044" s="63">
        <v>0</v>
      </c>
    </row>
    <row r="3045" spans="1:5">
      <c r="A3045" s="61" t="s">
        <v>181</v>
      </c>
      <c r="B3045" s="61" t="s">
        <v>381</v>
      </c>
      <c r="C3045" s="62">
        <v>44787</v>
      </c>
      <c r="D3045" s="62">
        <v>44787</v>
      </c>
      <c r="E3045" s="63">
        <v>0</v>
      </c>
    </row>
    <row r="3046" spans="1:5">
      <c r="A3046" s="61" t="s">
        <v>181</v>
      </c>
      <c r="B3046" s="61" t="s">
        <v>381</v>
      </c>
      <c r="C3046" s="62">
        <v>44788</v>
      </c>
      <c r="D3046" s="62">
        <v>44788</v>
      </c>
      <c r="E3046" s="63">
        <v>0</v>
      </c>
    </row>
    <row r="3047" spans="1:5">
      <c r="A3047" s="61" t="s">
        <v>181</v>
      </c>
      <c r="B3047" s="61" t="s">
        <v>381</v>
      </c>
      <c r="C3047" s="62">
        <v>44789</v>
      </c>
      <c r="D3047" s="62">
        <v>44789</v>
      </c>
      <c r="E3047" s="63">
        <v>0</v>
      </c>
    </row>
    <row r="3048" spans="1:5">
      <c r="A3048" s="61" t="s">
        <v>181</v>
      </c>
      <c r="B3048" s="61" t="s">
        <v>381</v>
      </c>
      <c r="C3048" s="62">
        <v>44790</v>
      </c>
      <c r="D3048" s="62">
        <v>44790</v>
      </c>
      <c r="E3048" s="63">
        <v>0</v>
      </c>
    </row>
    <row r="3049" spans="1:5">
      <c r="A3049" s="61" t="s">
        <v>181</v>
      </c>
      <c r="B3049" s="61" t="s">
        <v>381</v>
      </c>
      <c r="C3049" s="62">
        <v>44791</v>
      </c>
      <c r="D3049" s="62">
        <v>44791</v>
      </c>
      <c r="E3049" s="63">
        <v>0</v>
      </c>
    </row>
    <row r="3050" spans="1:5">
      <c r="A3050" s="61" t="s">
        <v>181</v>
      </c>
      <c r="B3050" s="61" t="s">
        <v>381</v>
      </c>
      <c r="C3050" s="62">
        <v>44792</v>
      </c>
      <c r="D3050" s="62">
        <v>44792</v>
      </c>
      <c r="E3050" s="63">
        <v>0</v>
      </c>
    </row>
    <row r="3051" spans="1:5">
      <c r="A3051" s="61" t="s">
        <v>181</v>
      </c>
      <c r="B3051" s="61" t="s">
        <v>381</v>
      </c>
      <c r="C3051" s="62">
        <v>44793</v>
      </c>
      <c r="D3051" s="62">
        <v>44793</v>
      </c>
      <c r="E3051" s="63">
        <v>0</v>
      </c>
    </row>
    <row r="3052" spans="1:5">
      <c r="A3052" s="61" t="s">
        <v>181</v>
      </c>
      <c r="B3052" s="61" t="s">
        <v>381</v>
      </c>
      <c r="C3052" s="62">
        <v>44794</v>
      </c>
      <c r="D3052" s="62">
        <v>44794</v>
      </c>
      <c r="E3052" s="63">
        <v>0</v>
      </c>
    </row>
    <row r="3053" spans="1:5">
      <c r="A3053" s="61" t="s">
        <v>181</v>
      </c>
      <c r="B3053" s="61" t="s">
        <v>381</v>
      </c>
      <c r="C3053" s="62">
        <v>44795</v>
      </c>
      <c r="D3053" s="62">
        <v>44795</v>
      </c>
      <c r="E3053" s="63">
        <v>0</v>
      </c>
    </row>
    <row r="3054" spans="1:5">
      <c r="A3054" s="61" t="s">
        <v>181</v>
      </c>
      <c r="B3054" s="61" t="s">
        <v>381</v>
      </c>
      <c r="C3054" s="62">
        <v>44796</v>
      </c>
      <c r="D3054" s="62">
        <v>44796</v>
      </c>
      <c r="E3054" s="63">
        <v>0</v>
      </c>
    </row>
    <row r="3055" spans="1:5">
      <c r="A3055" s="61" t="s">
        <v>181</v>
      </c>
      <c r="B3055" s="61" t="s">
        <v>381</v>
      </c>
      <c r="C3055" s="62">
        <v>44797</v>
      </c>
      <c r="D3055" s="62">
        <v>44797</v>
      </c>
      <c r="E3055" s="63">
        <v>0</v>
      </c>
    </row>
    <row r="3056" spans="1:5">
      <c r="A3056" s="61" t="s">
        <v>181</v>
      </c>
      <c r="B3056" s="61" t="s">
        <v>381</v>
      </c>
      <c r="C3056" s="62">
        <v>44798</v>
      </c>
      <c r="D3056" s="62">
        <v>44798</v>
      </c>
      <c r="E3056" s="63">
        <v>0</v>
      </c>
    </row>
    <row r="3057" spans="1:5">
      <c r="A3057" s="61" t="s">
        <v>181</v>
      </c>
      <c r="B3057" s="61" t="s">
        <v>381</v>
      </c>
      <c r="C3057" s="62">
        <v>44799</v>
      </c>
      <c r="D3057" s="62">
        <v>44799</v>
      </c>
      <c r="E3057" s="63">
        <v>0</v>
      </c>
    </row>
    <row r="3058" spans="1:5">
      <c r="A3058" s="61" t="s">
        <v>181</v>
      </c>
      <c r="B3058" s="61" t="s">
        <v>381</v>
      </c>
      <c r="C3058" s="62">
        <v>44800</v>
      </c>
      <c r="D3058" s="62">
        <v>44800</v>
      </c>
      <c r="E3058" s="63">
        <v>0</v>
      </c>
    </row>
    <row r="3059" spans="1:5">
      <c r="A3059" s="61" t="s">
        <v>181</v>
      </c>
      <c r="B3059" s="61" t="s">
        <v>381</v>
      </c>
      <c r="C3059" s="62">
        <v>44801</v>
      </c>
      <c r="D3059" s="62">
        <v>44801</v>
      </c>
      <c r="E3059" s="63">
        <v>0</v>
      </c>
    </row>
    <row r="3060" spans="1:5">
      <c r="A3060" s="61" t="s">
        <v>181</v>
      </c>
      <c r="B3060" s="61" t="s">
        <v>381</v>
      </c>
      <c r="C3060" s="62">
        <v>44802</v>
      </c>
      <c r="D3060" s="62">
        <v>44802</v>
      </c>
      <c r="E3060" s="63">
        <v>0</v>
      </c>
    </row>
    <row r="3061" spans="1:5">
      <c r="A3061" s="61" t="s">
        <v>181</v>
      </c>
      <c r="B3061" s="61" t="s">
        <v>381</v>
      </c>
      <c r="C3061" s="62">
        <v>44803</v>
      </c>
      <c r="D3061" s="62">
        <v>44803</v>
      </c>
      <c r="E3061" s="63">
        <v>5054.1499999999996</v>
      </c>
    </row>
    <row r="3062" spans="1:5">
      <c r="A3062" s="61" t="s">
        <v>182</v>
      </c>
      <c r="B3062" s="61" t="s">
        <v>382</v>
      </c>
      <c r="C3062" s="62">
        <v>44774</v>
      </c>
      <c r="D3062" s="62">
        <v>44774</v>
      </c>
      <c r="E3062" s="63">
        <v>0</v>
      </c>
    </row>
    <row r="3063" spans="1:5">
      <c r="A3063" s="61" t="s">
        <v>182</v>
      </c>
      <c r="B3063" s="61" t="s">
        <v>382</v>
      </c>
      <c r="C3063" s="62">
        <v>44775</v>
      </c>
      <c r="D3063" s="62">
        <v>44775</v>
      </c>
      <c r="E3063" s="63">
        <v>0</v>
      </c>
    </row>
    <row r="3064" spans="1:5">
      <c r="A3064" s="61" t="s">
        <v>182</v>
      </c>
      <c r="B3064" s="61" t="s">
        <v>382</v>
      </c>
      <c r="C3064" s="62">
        <v>44776</v>
      </c>
      <c r="D3064" s="62">
        <v>44776</v>
      </c>
      <c r="E3064" s="63">
        <v>0</v>
      </c>
    </row>
    <row r="3065" spans="1:5">
      <c r="A3065" s="61" t="s">
        <v>182</v>
      </c>
      <c r="B3065" s="61" t="s">
        <v>382</v>
      </c>
      <c r="C3065" s="62">
        <v>44777</v>
      </c>
      <c r="D3065" s="62">
        <v>44777</v>
      </c>
      <c r="E3065" s="63">
        <v>0</v>
      </c>
    </row>
    <row r="3066" spans="1:5">
      <c r="A3066" s="61" t="s">
        <v>182</v>
      </c>
      <c r="B3066" s="61" t="s">
        <v>382</v>
      </c>
      <c r="C3066" s="62">
        <v>44778</v>
      </c>
      <c r="D3066" s="62">
        <v>44778</v>
      </c>
      <c r="E3066" s="63">
        <v>0</v>
      </c>
    </row>
    <row r="3067" spans="1:5">
      <c r="A3067" s="61" t="s">
        <v>182</v>
      </c>
      <c r="B3067" s="61" t="s">
        <v>382</v>
      </c>
      <c r="C3067" s="62">
        <v>44779</v>
      </c>
      <c r="D3067" s="62">
        <v>44779</v>
      </c>
      <c r="E3067" s="63">
        <v>0</v>
      </c>
    </row>
    <row r="3068" spans="1:5">
      <c r="A3068" s="61" t="s">
        <v>182</v>
      </c>
      <c r="B3068" s="61" t="s">
        <v>382</v>
      </c>
      <c r="C3068" s="62">
        <v>44780</v>
      </c>
      <c r="D3068" s="62">
        <v>44780</v>
      </c>
      <c r="E3068" s="63">
        <v>0</v>
      </c>
    </row>
    <row r="3069" spans="1:5">
      <c r="A3069" s="61" t="s">
        <v>182</v>
      </c>
      <c r="B3069" s="61" t="s">
        <v>382</v>
      </c>
      <c r="C3069" s="62">
        <v>44781</v>
      </c>
      <c r="D3069" s="62">
        <v>44781</v>
      </c>
      <c r="E3069" s="63">
        <v>0</v>
      </c>
    </row>
    <row r="3070" spans="1:5">
      <c r="A3070" s="61" t="s">
        <v>182</v>
      </c>
      <c r="B3070" s="61" t="s">
        <v>382</v>
      </c>
      <c r="C3070" s="62">
        <v>44782</v>
      </c>
      <c r="D3070" s="62">
        <v>44782</v>
      </c>
      <c r="E3070" s="63">
        <v>0</v>
      </c>
    </row>
    <row r="3071" spans="1:5">
      <c r="A3071" s="61" t="s">
        <v>182</v>
      </c>
      <c r="B3071" s="61" t="s">
        <v>382</v>
      </c>
      <c r="C3071" s="62">
        <v>44783</v>
      </c>
      <c r="D3071" s="62">
        <v>44783</v>
      </c>
      <c r="E3071" s="63">
        <v>0</v>
      </c>
    </row>
    <row r="3072" spans="1:5">
      <c r="A3072" s="61" t="s">
        <v>182</v>
      </c>
      <c r="B3072" s="61" t="s">
        <v>382</v>
      </c>
      <c r="C3072" s="62">
        <v>44784</v>
      </c>
      <c r="D3072" s="62">
        <v>44784</v>
      </c>
      <c r="E3072" s="63">
        <v>0</v>
      </c>
    </row>
    <row r="3073" spans="1:5">
      <c r="A3073" s="61" t="s">
        <v>182</v>
      </c>
      <c r="B3073" s="61" t="s">
        <v>382</v>
      </c>
      <c r="C3073" s="62">
        <v>44785</v>
      </c>
      <c r="D3073" s="62">
        <v>44785</v>
      </c>
      <c r="E3073" s="63">
        <v>0</v>
      </c>
    </row>
    <row r="3074" spans="1:5">
      <c r="A3074" s="61" t="s">
        <v>182</v>
      </c>
      <c r="B3074" s="61" t="s">
        <v>382</v>
      </c>
      <c r="C3074" s="62">
        <v>44786</v>
      </c>
      <c r="D3074" s="62">
        <v>44786</v>
      </c>
      <c r="E3074" s="63">
        <v>0</v>
      </c>
    </row>
    <row r="3075" spans="1:5">
      <c r="A3075" s="61" t="s">
        <v>182</v>
      </c>
      <c r="B3075" s="61" t="s">
        <v>382</v>
      </c>
      <c r="C3075" s="62">
        <v>44787</v>
      </c>
      <c r="D3075" s="62">
        <v>44787</v>
      </c>
      <c r="E3075" s="63">
        <v>0</v>
      </c>
    </row>
    <row r="3076" spans="1:5">
      <c r="A3076" s="61" t="s">
        <v>182</v>
      </c>
      <c r="B3076" s="61" t="s">
        <v>382</v>
      </c>
      <c r="C3076" s="62">
        <v>44788</v>
      </c>
      <c r="D3076" s="62">
        <v>44788</v>
      </c>
      <c r="E3076" s="63">
        <v>0</v>
      </c>
    </row>
    <row r="3077" spans="1:5">
      <c r="A3077" s="61" t="s">
        <v>182</v>
      </c>
      <c r="B3077" s="61" t="s">
        <v>382</v>
      </c>
      <c r="C3077" s="62">
        <v>44789</v>
      </c>
      <c r="D3077" s="62">
        <v>44789</v>
      </c>
      <c r="E3077" s="63">
        <v>0</v>
      </c>
    </row>
    <row r="3078" spans="1:5">
      <c r="A3078" s="61" t="s">
        <v>182</v>
      </c>
      <c r="B3078" s="61" t="s">
        <v>382</v>
      </c>
      <c r="C3078" s="62">
        <v>44790</v>
      </c>
      <c r="D3078" s="62">
        <v>44790</v>
      </c>
      <c r="E3078" s="63">
        <v>0</v>
      </c>
    </row>
    <row r="3079" spans="1:5">
      <c r="A3079" s="61" t="s">
        <v>182</v>
      </c>
      <c r="B3079" s="61" t="s">
        <v>382</v>
      </c>
      <c r="C3079" s="62">
        <v>44791</v>
      </c>
      <c r="D3079" s="62">
        <v>44791</v>
      </c>
      <c r="E3079" s="63">
        <v>0</v>
      </c>
    </row>
    <row r="3080" spans="1:5">
      <c r="A3080" s="61" t="s">
        <v>182</v>
      </c>
      <c r="B3080" s="61" t="s">
        <v>382</v>
      </c>
      <c r="C3080" s="62">
        <v>44792</v>
      </c>
      <c r="D3080" s="62">
        <v>44792</v>
      </c>
      <c r="E3080" s="63">
        <v>0</v>
      </c>
    </row>
    <row r="3081" spans="1:5">
      <c r="A3081" s="61" t="s">
        <v>182</v>
      </c>
      <c r="B3081" s="61" t="s">
        <v>382</v>
      </c>
      <c r="C3081" s="62">
        <v>44793</v>
      </c>
      <c r="D3081" s="62">
        <v>44793</v>
      </c>
      <c r="E3081" s="63">
        <v>0</v>
      </c>
    </row>
    <row r="3082" spans="1:5">
      <c r="A3082" s="61" t="s">
        <v>182</v>
      </c>
      <c r="B3082" s="61" t="s">
        <v>382</v>
      </c>
      <c r="C3082" s="62">
        <v>44794</v>
      </c>
      <c r="D3082" s="62">
        <v>44794</v>
      </c>
      <c r="E3082" s="63">
        <v>0</v>
      </c>
    </row>
    <row r="3083" spans="1:5">
      <c r="A3083" s="61" t="s">
        <v>182</v>
      </c>
      <c r="B3083" s="61" t="s">
        <v>382</v>
      </c>
      <c r="C3083" s="62">
        <v>44795</v>
      </c>
      <c r="D3083" s="62">
        <v>44795</v>
      </c>
      <c r="E3083" s="63">
        <v>0</v>
      </c>
    </row>
    <row r="3084" spans="1:5">
      <c r="A3084" s="61" t="s">
        <v>182</v>
      </c>
      <c r="B3084" s="61" t="s">
        <v>382</v>
      </c>
      <c r="C3084" s="62">
        <v>44796</v>
      </c>
      <c r="D3084" s="62">
        <v>44796</v>
      </c>
      <c r="E3084" s="63">
        <v>0</v>
      </c>
    </row>
    <row r="3085" spans="1:5">
      <c r="A3085" s="61" t="s">
        <v>182</v>
      </c>
      <c r="B3085" s="61" t="s">
        <v>382</v>
      </c>
      <c r="C3085" s="62">
        <v>44797</v>
      </c>
      <c r="D3085" s="62">
        <v>44797</v>
      </c>
      <c r="E3085" s="63">
        <v>0</v>
      </c>
    </row>
    <row r="3086" spans="1:5">
      <c r="A3086" s="61" t="s">
        <v>182</v>
      </c>
      <c r="B3086" s="61" t="s">
        <v>382</v>
      </c>
      <c r="C3086" s="62">
        <v>44798</v>
      </c>
      <c r="D3086" s="62">
        <v>44798</v>
      </c>
      <c r="E3086" s="63">
        <v>0</v>
      </c>
    </row>
    <row r="3087" spans="1:5">
      <c r="A3087" s="61" t="s">
        <v>182</v>
      </c>
      <c r="B3087" s="61" t="s">
        <v>382</v>
      </c>
      <c r="C3087" s="62">
        <v>44799</v>
      </c>
      <c r="D3087" s="62">
        <v>44799</v>
      </c>
      <c r="E3087" s="63">
        <v>0</v>
      </c>
    </row>
    <row r="3088" spans="1:5">
      <c r="A3088" s="61" t="s">
        <v>182</v>
      </c>
      <c r="B3088" s="61" t="s">
        <v>382</v>
      </c>
      <c r="C3088" s="62">
        <v>44800</v>
      </c>
      <c r="D3088" s="62">
        <v>44800</v>
      </c>
      <c r="E3088" s="63">
        <v>0</v>
      </c>
    </row>
    <row r="3089" spans="1:5">
      <c r="A3089" s="61" t="s">
        <v>182</v>
      </c>
      <c r="B3089" s="61" t="s">
        <v>382</v>
      </c>
      <c r="C3089" s="62">
        <v>44801</v>
      </c>
      <c r="D3089" s="62">
        <v>44801</v>
      </c>
      <c r="E3089" s="63">
        <v>0</v>
      </c>
    </row>
    <row r="3090" spans="1:5">
      <c r="A3090" s="61" t="s">
        <v>182</v>
      </c>
      <c r="B3090" s="61" t="s">
        <v>382</v>
      </c>
      <c r="C3090" s="62">
        <v>44802</v>
      </c>
      <c r="D3090" s="62">
        <v>44802</v>
      </c>
      <c r="E3090" s="63">
        <v>0</v>
      </c>
    </row>
    <row r="3091" spans="1:5">
      <c r="A3091" s="61" t="s">
        <v>182</v>
      </c>
      <c r="B3091" s="61" t="s">
        <v>382</v>
      </c>
      <c r="C3091" s="62">
        <v>44803</v>
      </c>
      <c r="D3091" s="62">
        <v>44803</v>
      </c>
      <c r="E3091" s="63">
        <v>10539.89</v>
      </c>
    </row>
    <row r="3092" spans="1:5">
      <c r="A3092" s="61" t="s">
        <v>183</v>
      </c>
      <c r="B3092" s="61" t="s">
        <v>383</v>
      </c>
      <c r="C3092" s="62">
        <v>44774</v>
      </c>
      <c r="D3092" s="62">
        <v>44774</v>
      </c>
      <c r="E3092" s="63">
        <v>0</v>
      </c>
    </row>
    <row r="3093" spans="1:5">
      <c r="A3093" s="61" t="s">
        <v>183</v>
      </c>
      <c r="B3093" s="61" t="s">
        <v>383</v>
      </c>
      <c r="C3093" s="62">
        <v>44775</v>
      </c>
      <c r="D3093" s="62">
        <v>44775</v>
      </c>
      <c r="E3093" s="63">
        <v>0</v>
      </c>
    </row>
    <row r="3094" spans="1:5">
      <c r="A3094" s="61" t="s">
        <v>183</v>
      </c>
      <c r="B3094" s="61" t="s">
        <v>383</v>
      </c>
      <c r="C3094" s="62">
        <v>44776</v>
      </c>
      <c r="D3094" s="62">
        <v>44776</v>
      </c>
      <c r="E3094" s="63">
        <v>0</v>
      </c>
    </row>
    <row r="3095" spans="1:5">
      <c r="A3095" s="61" t="s">
        <v>183</v>
      </c>
      <c r="B3095" s="61" t="s">
        <v>383</v>
      </c>
      <c r="C3095" s="62">
        <v>44777</v>
      </c>
      <c r="D3095" s="62">
        <v>44777</v>
      </c>
      <c r="E3095" s="63">
        <v>0</v>
      </c>
    </row>
    <row r="3096" spans="1:5">
      <c r="A3096" s="61" t="s">
        <v>183</v>
      </c>
      <c r="B3096" s="61" t="s">
        <v>383</v>
      </c>
      <c r="C3096" s="62">
        <v>44778</v>
      </c>
      <c r="D3096" s="62">
        <v>44778</v>
      </c>
      <c r="E3096" s="63">
        <v>0</v>
      </c>
    </row>
    <row r="3097" spans="1:5">
      <c r="A3097" s="61" t="s">
        <v>183</v>
      </c>
      <c r="B3097" s="61" t="s">
        <v>383</v>
      </c>
      <c r="C3097" s="62">
        <v>44779</v>
      </c>
      <c r="D3097" s="62">
        <v>44779</v>
      </c>
      <c r="E3097" s="63">
        <v>0</v>
      </c>
    </row>
    <row r="3098" spans="1:5">
      <c r="A3098" s="61" t="s">
        <v>183</v>
      </c>
      <c r="B3098" s="61" t="s">
        <v>383</v>
      </c>
      <c r="C3098" s="62">
        <v>44780</v>
      </c>
      <c r="D3098" s="62">
        <v>44780</v>
      </c>
      <c r="E3098" s="63">
        <v>0</v>
      </c>
    </row>
    <row r="3099" spans="1:5">
      <c r="A3099" s="61" t="s">
        <v>183</v>
      </c>
      <c r="B3099" s="61" t="s">
        <v>383</v>
      </c>
      <c r="C3099" s="62">
        <v>44781</v>
      </c>
      <c r="D3099" s="62">
        <v>44781</v>
      </c>
      <c r="E3099" s="63">
        <v>0</v>
      </c>
    </row>
    <row r="3100" spans="1:5">
      <c r="A3100" s="61" t="s">
        <v>183</v>
      </c>
      <c r="B3100" s="61" t="s">
        <v>383</v>
      </c>
      <c r="C3100" s="62">
        <v>44782</v>
      </c>
      <c r="D3100" s="62">
        <v>44782</v>
      </c>
      <c r="E3100" s="63">
        <v>0</v>
      </c>
    </row>
    <row r="3101" spans="1:5">
      <c r="A3101" s="61" t="s">
        <v>183</v>
      </c>
      <c r="B3101" s="61" t="s">
        <v>383</v>
      </c>
      <c r="C3101" s="62">
        <v>44783</v>
      </c>
      <c r="D3101" s="62">
        <v>44783</v>
      </c>
      <c r="E3101" s="63">
        <v>0</v>
      </c>
    </row>
    <row r="3102" spans="1:5">
      <c r="A3102" s="61" t="s">
        <v>183</v>
      </c>
      <c r="B3102" s="61" t="s">
        <v>383</v>
      </c>
      <c r="C3102" s="62">
        <v>44784</v>
      </c>
      <c r="D3102" s="62">
        <v>44784</v>
      </c>
      <c r="E3102" s="63">
        <v>0</v>
      </c>
    </row>
    <row r="3103" spans="1:5">
      <c r="A3103" s="61" t="s">
        <v>183</v>
      </c>
      <c r="B3103" s="61" t="s">
        <v>383</v>
      </c>
      <c r="C3103" s="62">
        <v>44785</v>
      </c>
      <c r="D3103" s="62">
        <v>44785</v>
      </c>
      <c r="E3103" s="63">
        <v>0</v>
      </c>
    </row>
    <row r="3104" spans="1:5">
      <c r="A3104" s="61" t="s">
        <v>183</v>
      </c>
      <c r="B3104" s="61" t="s">
        <v>383</v>
      </c>
      <c r="C3104" s="62">
        <v>44786</v>
      </c>
      <c r="D3104" s="62">
        <v>44786</v>
      </c>
      <c r="E3104" s="63">
        <v>0</v>
      </c>
    </row>
    <row r="3105" spans="1:5">
      <c r="A3105" s="61" t="s">
        <v>183</v>
      </c>
      <c r="B3105" s="61" t="s">
        <v>383</v>
      </c>
      <c r="C3105" s="62">
        <v>44787</v>
      </c>
      <c r="D3105" s="62">
        <v>44787</v>
      </c>
      <c r="E3105" s="63">
        <v>0</v>
      </c>
    </row>
    <row r="3106" spans="1:5">
      <c r="A3106" s="61" t="s">
        <v>183</v>
      </c>
      <c r="B3106" s="61" t="s">
        <v>383</v>
      </c>
      <c r="C3106" s="62">
        <v>44788</v>
      </c>
      <c r="D3106" s="62">
        <v>44788</v>
      </c>
      <c r="E3106" s="63">
        <v>0</v>
      </c>
    </row>
    <row r="3107" spans="1:5">
      <c r="A3107" s="61" t="s">
        <v>183</v>
      </c>
      <c r="B3107" s="61" t="s">
        <v>383</v>
      </c>
      <c r="C3107" s="62">
        <v>44789</v>
      </c>
      <c r="D3107" s="62">
        <v>44789</v>
      </c>
      <c r="E3107" s="63">
        <v>0</v>
      </c>
    </row>
    <row r="3108" spans="1:5">
      <c r="A3108" s="61" t="s">
        <v>183</v>
      </c>
      <c r="B3108" s="61" t="s">
        <v>383</v>
      </c>
      <c r="C3108" s="62">
        <v>44790</v>
      </c>
      <c r="D3108" s="62">
        <v>44790</v>
      </c>
      <c r="E3108" s="63">
        <v>0</v>
      </c>
    </row>
    <row r="3109" spans="1:5">
      <c r="A3109" s="61" t="s">
        <v>183</v>
      </c>
      <c r="B3109" s="61" t="s">
        <v>383</v>
      </c>
      <c r="C3109" s="62">
        <v>44791</v>
      </c>
      <c r="D3109" s="62">
        <v>44791</v>
      </c>
      <c r="E3109" s="63">
        <v>0</v>
      </c>
    </row>
    <row r="3110" spans="1:5">
      <c r="A3110" s="61" t="s">
        <v>183</v>
      </c>
      <c r="B3110" s="61" t="s">
        <v>383</v>
      </c>
      <c r="C3110" s="62">
        <v>44792</v>
      </c>
      <c r="D3110" s="62">
        <v>44792</v>
      </c>
      <c r="E3110" s="63">
        <v>0</v>
      </c>
    </row>
    <row r="3111" spans="1:5">
      <c r="A3111" s="61" t="s">
        <v>183</v>
      </c>
      <c r="B3111" s="61" t="s">
        <v>383</v>
      </c>
      <c r="C3111" s="62">
        <v>44793</v>
      </c>
      <c r="D3111" s="62">
        <v>44793</v>
      </c>
      <c r="E3111" s="63">
        <v>0</v>
      </c>
    </row>
    <row r="3112" spans="1:5">
      <c r="A3112" s="61" t="s">
        <v>183</v>
      </c>
      <c r="B3112" s="61" t="s">
        <v>383</v>
      </c>
      <c r="C3112" s="62">
        <v>44794</v>
      </c>
      <c r="D3112" s="62">
        <v>44794</v>
      </c>
      <c r="E3112" s="63">
        <v>0</v>
      </c>
    </row>
    <row r="3113" spans="1:5">
      <c r="A3113" s="61" t="s">
        <v>183</v>
      </c>
      <c r="B3113" s="61" t="s">
        <v>383</v>
      </c>
      <c r="C3113" s="62">
        <v>44795</v>
      </c>
      <c r="D3113" s="62">
        <v>44795</v>
      </c>
      <c r="E3113" s="63">
        <v>0</v>
      </c>
    </row>
    <row r="3114" spans="1:5">
      <c r="A3114" s="61" t="s">
        <v>183</v>
      </c>
      <c r="B3114" s="61" t="s">
        <v>383</v>
      </c>
      <c r="C3114" s="62">
        <v>44796</v>
      </c>
      <c r="D3114" s="62">
        <v>44796</v>
      </c>
      <c r="E3114" s="63">
        <v>0</v>
      </c>
    </row>
    <row r="3115" spans="1:5">
      <c r="A3115" s="61" t="s">
        <v>183</v>
      </c>
      <c r="B3115" s="61" t="s">
        <v>383</v>
      </c>
      <c r="C3115" s="62">
        <v>44797</v>
      </c>
      <c r="D3115" s="62">
        <v>44797</v>
      </c>
      <c r="E3115" s="63">
        <v>0</v>
      </c>
    </row>
    <row r="3116" spans="1:5">
      <c r="A3116" s="61" t="s">
        <v>183</v>
      </c>
      <c r="B3116" s="61" t="s">
        <v>383</v>
      </c>
      <c r="C3116" s="62">
        <v>44798</v>
      </c>
      <c r="D3116" s="62">
        <v>44798</v>
      </c>
      <c r="E3116" s="63">
        <v>0</v>
      </c>
    </row>
    <row r="3117" spans="1:5">
      <c r="A3117" s="61" t="s">
        <v>183</v>
      </c>
      <c r="B3117" s="61" t="s">
        <v>383</v>
      </c>
      <c r="C3117" s="62">
        <v>44799</v>
      </c>
      <c r="D3117" s="62">
        <v>44799</v>
      </c>
      <c r="E3117" s="63">
        <v>0</v>
      </c>
    </row>
    <row r="3118" spans="1:5">
      <c r="A3118" s="61" t="s">
        <v>183</v>
      </c>
      <c r="B3118" s="61" t="s">
        <v>383</v>
      </c>
      <c r="C3118" s="62">
        <v>44800</v>
      </c>
      <c r="D3118" s="62">
        <v>44800</v>
      </c>
      <c r="E3118" s="63">
        <v>0</v>
      </c>
    </row>
    <row r="3119" spans="1:5">
      <c r="A3119" s="61" t="s">
        <v>183</v>
      </c>
      <c r="B3119" s="61" t="s">
        <v>383</v>
      </c>
      <c r="C3119" s="62">
        <v>44801</v>
      </c>
      <c r="D3119" s="62">
        <v>44801</v>
      </c>
      <c r="E3119" s="63">
        <v>0</v>
      </c>
    </row>
    <row r="3120" spans="1:5">
      <c r="A3120" s="61" t="s">
        <v>183</v>
      </c>
      <c r="B3120" s="61" t="s">
        <v>383</v>
      </c>
      <c r="C3120" s="62">
        <v>44802</v>
      </c>
      <c r="D3120" s="62">
        <v>44802</v>
      </c>
      <c r="E3120" s="63">
        <v>0</v>
      </c>
    </row>
    <row r="3121" spans="1:5">
      <c r="A3121" s="61" t="s">
        <v>183</v>
      </c>
      <c r="B3121" s="61" t="s">
        <v>383</v>
      </c>
      <c r="C3121" s="62">
        <v>44803</v>
      </c>
      <c r="D3121" s="62">
        <v>44803</v>
      </c>
      <c r="E3121" s="63">
        <v>1283</v>
      </c>
    </row>
    <row r="3122" spans="1:5">
      <c r="A3122" s="61" t="s">
        <v>59</v>
      </c>
      <c r="B3122" s="61" t="s">
        <v>380</v>
      </c>
      <c r="C3122" s="62">
        <v>44774</v>
      </c>
      <c r="D3122" s="62">
        <v>44774</v>
      </c>
      <c r="E3122" s="63">
        <v>0</v>
      </c>
    </row>
    <row r="3123" spans="1:5">
      <c r="A3123" s="61" t="s">
        <v>59</v>
      </c>
      <c r="B3123" s="61" t="s">
        <v>380</v>
      </c>
      <c r="C3123" s="62">
        <v>44775</v>
      </c>
      <c r="D3123" s="62">
        <v>44775</v>
      </c>
      <c r="E3123" s="63">
        <v>0</v>
      </c>
    </row>
    <row r="3124" spans="1:5">
      <c r="A3124" s="61" t="s">
        <v>59</v>
      </c>
      <c r="B3124" s="61" t="s">
        <v>380</v>
      </c>
      <c r="C3124" s="62">
        <v>44776</v>
      </c>
      <c r="D3124" s="62">
        <v>44776</v>
      </c>
      <c r="E3124" s="63">
        <v>0</v>
      </c>
    </row>
    <row r="3125" spans="1:5">
      <c r="A3125" s="61" t="s">
        <v>59</v>
      </c>
      <c r="B3125" s="61" t="s">
        <v>380</v>
      </c>
      <c r="C3125" s="62">
        <v>44777</v>
      </c>
      <c r="D3125" s="62">
        <v>44777</v>
      </c>
      <c r="E3125" s="63">
        <v>0</v>
      </c>
    </row>
    <row r="3126" spans="1:5">
      <c r="A3126" s="61" t="s">
        <v>59</v>
      </c>
      <c r="B3126" s="61" t="s">
        <v>380</v>
      </c>
      <c r="C3126" s="62">
        <v>44778</v>
      </c>
      <c r="D3126" s="62">
        <v>44778</v>
      </c>
      <c r="E3126" s="63">
        <v>0</v>
      </c>
    </row>
    <row r="3127" spans="1:5">
      <c r="A3127" s="61" t="s">
        <v>59</v>
      </c>
      <c r="B3127" s="61" t="s">
        <v>380</v>
      </c>
      <c r="C3127" s="62">
        <v>44779</v>
      </c>
      <c r="D3127" s="62">
        <v>44779</v>
      </c>
      <c r="E3127" s="63">
        <v>0</v>
      </c>
    </row>
    <row r="3128" spans="1:5">
      <c r="A3128" s="61" t="s">
        <v>59</v>
      </c>
      <c r="B3128" s="61" t="s">
        <v>380</v>
      </c>
      <c r="C3128" s="62">
        <v>44780</v>
      </c>
      <c r="D3128" s="62">
        <v>44780</v>
      </c>
      <c r="E3128" s="63">
        <v>0</v>
      </c>
    </row>
    <row r="3129" spans="1:5">
      <c r="A3129" s="61" t="s">
        <v>59</v>
      </c>
      <c r="B3129" s="61" t="s">
        <v>380</v>
      </c>
      <c r="C3129" s="62">
        <v>44781</v>
      </c>
      <c r="D3129" s="62">
        <v>44781</v>
      </c>
      <c r="E3129" s="63">
        <v>0</v>
      </c>
    </row>
    <row r="3130" spans="1:5">
      <c r="A3130" s="61" t="s">
        <v>59</v>
      </c>
      <c r="B3130" s="61" t="s">
        <v>380</v>
      </c>
      <c r="C3130" s="62">
        <v>44782</v>
      </c>
      <c r="D3130" s="62">
        <v>44782</v>
      </c>
      <c r="E3130" s="63">
        <v>89.05</v>
      </c>
    </row>
    <row r="3131" spans="1:5">
      <c r="A3131" s="61" t="s">
        <v>59</v>
      </c>
      <c r="B3131" s="61" t="s">
        <v>380</v>
      </c>
      <c r="C3131" s="62">
        <v>44783</v>
      </c>
      <c r="D3131" s="62">
        <v>44783</v>
      </c>
      <c r="E3131" s="63">
        <v>0</v>
      </c>
    </row>
    <row r="3132" spans="1:5">
      <c r="A3132" s="61" t="s">
        <v>59</v>
      </c>
      <c r="B3132" s="61" t="s">
        <v>380</v>
      </c>
      <c r="C3132" s="62">
        <v>44784</v>
      </c>
      <c r="D3132" s="62">
        <v>44784</v>
      </c>
      <c r="E3132" s="63">
        <v>4141.4399999999996</v>
      </c>
    </row>
    <row r="3133" spans="1:5">
      <c r="A3133" s="61" t="s">
        <v>59</v>
      </c>
      <c r="B3133" s="61" t="s">
        <v>380</v>
      </c>
      <c r="C3133" s="62">
        <v>44785</v>
      </c>
      <c r="D3133" s="62">
        <v>44785</v>
      </c>
      <c r="E3133" s="63">
        <v>0</v>
      </c>
    </row>
    <row r="3134" spans="1:5">
      <c r="A3134" s="61" t="s">
        <v>59</v>
      </c>
      <c r="B3134" s="61" t="s">
        <v>380</v>
      </c>
      <c r="C3134" s="62">
        <v>44786</v>
      </c>
      <c r="D3134" s="62">
        <v>44786</v>
      </c>
      <c r="E3134" s="63">
        <v>0</v>
      </c>
    </row>
    <row r="3135" spans="1:5">
      <c r="A3135" s="61" t="s">
        <v>59</v>
      </c>
      <c r="B3135" s="61" t="s">
        <v>380</v>
      </c>
      <c r="C3135" s="62">
        <v>44787</v>
      </c>
      <c r="D3135" s="62">
        <v>44787</v>
      </c>
      <c r="E3135" s="63">
        <v>0</v>
      </c>
    </row>
    <row r="3136" spans="1:5">
      <c r="A3136" s="61" t="s">
        <v>59</v>
      </c>
      <c r="B3136" s="61" t="s">
        <v>380</v>
      </c>
      <c r="C3136" s="62">
        <v>44788</v>
      </c>
      <c r="D3136" s="62">
        <v>44788</v>
      </c>
      <c r="E3136" s="63">
        <v>0</v>
      </c>
    </row>
    <row r="3137" spans="1:5">
      <c r="A3137" s="61" t="s">
        <v>59</v>
      </c>
      <c r="B3137" s="61" t="s">
        <v>380</v>
      </c>
      <c r="C3137" s="62">
        <v>44789</v>
      </c>
      <c r="D3137" s="62">
        <v>44789</v>
      </c>
      <c r="E3137" s="63">
        <v>0</v>
      </c>
    </row>
    <row r="3138" spans="1:5">
      <c r="A3138" s="61" t="s">
        <v>59</v>
      </c>
      <c r="B3138" s="61" t="s">
        <v>380</v>
      </c>
      <c r="C3138" s="62">
        <v>44790</v>
      </c>
      <c r="D3138" s="62">
        <v>44790</v>
      </c>
      <c r="E3138" s="63">
        <v>0</v>
      </c>
    </row>
    <row r="3139" spans="1:5">
      <c r="A3139" s="61" t="s">
        <v>59</v>
      </c>
      <c r="B3139" s="61" t="s">
        <v>380</v>
      </c>
      <c r="C3139" s="62">
        <v>44791</v>
      </c>
      <c r="D3139" s="62">
        <v>44791</v>
      </c>
      <c r="E3139" s="63">
        <v>0</v>
      </c>
    </row>
    <row r="3140" spans="1:5">
      <c r="A3140" s="61" t="s">
        <v>59</v>
      </c>
      <c r="B3140" s="61" t="s">
        <v>380</v>
      </c>
      <c r="C3140" s="62">
        <v>44792</v>
      </c>
      <c r="D3140" s="62">
        <v>44792</v>
      </c>
      <c r="E3140" s="63">
        <v>0</v>
      </c>
    </row>
    <row r="3141" spans="1:5">
      <c r="A3141" s="61" t="s">
        <v>59</v>
      </c>
      <c r="B3141" s="61" t="s">
        <v>380</v>
      </c>
      <c r="C3141" s="62">
        <v>44793</v>
      </c>
      <c r="D3141" s="62">
        <v>44793</v>
      </c>
      <c r="E3141" s="63">
        <v>0</v>
      </c>
    </row>
    <row r="3142" spans="1:5">
      <c r="A3142" s="61" t="s">
        <v>59</v>
      </c>
      <c r="B3142" s="61" t="s">
        <v>380</v>
      </c>
      <c r="C3142" s="62">
        <v>44794</v>
      </c>
      <c r="D3142" s="62">
        <v>44794</v>
      </c>
      <c r="E3142" s="63">
        <v>0</v>
      </c>
    </row>
    <row r="3143" spans="1:5">
      <c r="A3143" s="61" t="s">
        <v>59</v>
      </c>
      <c r="B3143" s="61" t="s">
        <v>380</v>
      </c>
      <c r="C3143" s="62">
        <v>44795</v>
      </c>
      <c r="D3143" s="62">
        <v>44795</v>
      </c>
      <c r="E3143" s="63">
        <v>0</v>
      </c>
    </row>
    <row r="3144" spans="1:5">
      <c r="A3144" s="61" t="s">
        <v>59</v>
      </c>
      <c r="B3144" s="61" t="s">
        <v>380</v>
      </c>
      <c r="C3144" s="62">
        <v>44796</v>
      </c>
      <c r="D3144" s="62">
        <v>44796</v>
      </c>
      <c r="E3144" s="63">
        <v>0</v>
      </c>
    </row>
    <row r="3145" spans="1:5">
      <c r="A3145" s="61" t="s">
        <v>59</v>
      </c>
      <c r="B3145" s="61" t="s">
        <v>380</v>
      </c>
      <c r="C3145" s="62">
        <v>44797</v>
      </c>
      <c r="D3145" s="62">
        <v>44797</v>
      </c>
      <c r="E3145" s="63">
        <v>0</v>
      </c>
    </row>
    <row r="3146" spans="1:5">
      <c r="A3146" s="61" t="s">
        <v>59</v>
      </c>
      <c r="B3146" s="61" t="s">
        <v>380</v>
      </c>
      <c r="C3146" s="62">
        <v>44798</v>
      </c>
      <c r="D3146" s="62">
        <v>44798</v>
      </c>
      <c r="E3146" s="63">
        <v>0</v>
      </c>
    </row>
    <row r="3147" spans="1:5">
      <c r="A3147" s="61" t="s">
        <v>59</v>
      </c>
      <c r="B3147" s="61" t="s">
        <v>380</v>
      </c>
      <c r="C3147" s="62">
        <v>44799</v>
      </c>
      <c r="D3147" s="62">
        <v>44799</v>
      </c>
      <c r="E3147" s="63">
        <v>0</v>
      </c>
    </row>
    <row r="3148" spans="1:5">
      <c r="A3148" s="61" t="s">
        <v>59</v>
      </c>
      <c r="B3148" s="61" t="s">
        <v>380</v>
      </c>
      <c r="C3148" s="62">
        <v>44800</v>
      </c>
      <c r="D3148" s="62">
        <v>44800</v>
      </c>
      <c r="E3148" s="63">
        <v>0</v>
      </c>
    </row>
    <row r="3149" spans="1:5">
      <c r="A3149" s="61" t="s">
        <v>59</v>
      </c>
      <c r="B3149" s="61" t="s">
        <v>380</v>
      </c>
      <c r="C3149" s="62">
        <v>44801</v>
      </c>
      <c r="D3149" s="62">
        <v>44801</v>
      </c>
      <c r="E3149" s="63">
        <v>0</v>
      </c>
    </row>
    <row r="3150" spans="1:5">
      <c r="A3150" s="61" t="s">
        <v>59</v>
      </c>
      <c r="B3150" s="61" t="s">
        <v>380</v>
      </c>
      <c r="C3150" s="62">
        <v>44802</v>
      </c>
      <c r="D3150" s="62">
        <v>44802</v>
      </c>
      <c r="E3150" s="63">
        <v>0</v>
      </c>
    </row>
    <row r="3151" spans="1:5">
      <c r="A3151" s="61" t="s">
        <v>59</v>
      </c>
      <c r="B3151" s="61" t="s">
        <v>380</v>
      </c>
      <c r="C3151" s="62">
        <v>44803</v>
      </c>
      <c r="D3151" s="62">
        <v>44803</v>
      </c>
      <c r="E3151" s="63">
        <v>-737.01</v>
      </c>
    </row>
    <row r="3152" spans="1:5">
      <c r="A3152" s="61" t="s">
        <v>184</v>
      </c>
      <c r="B3152" s="61" t="s">
        <v>381</v>
      </c>
      <c r="C3152" s="62">
        <v>44774</v>
      </c>
      <c r="D3152" s="62">
        <v>44774</v>
      </c>
      <c r="E3152" s="63">
        <v>0</v>
      </c>
    </row>
    <row r="3153" spans="1:5">
      <c r="A3153" s="61" t="s">
        <v>184</v>
      </c>
      <c r="B3153" s="61" t="s">
        <v>381</v>
      </c>
      <c r="C3153" s="62">
        <v>44775</v>
      </c>
      <c r="D3153" s="62">
        <v>44775</v>
      </c>
      <c r="E3153" s="63">
        <v>0</v>
      </c>
    </row>
    <row r="3154" spans="1:5">
      <c r="A3154" s="61" t="s">
        <v>184</v>
      </c>
      <c r="B3154" s="61" t="s">
        <v>381</v>
      </c>
      <c r="C3154" s="62">
        <v>44776</v>
      </c>
      <c r="D3154" s="62">
        <v>44776</v>
      </c>
      <c r="E3154" s="63">
        <v>0</v>
      </c>
    </row>
    <row r="3155" spans="1:5">
      <c r="A3155" s="61" t="s">
        <v>184</v>
      </c>
      <c r="B3155" s="61" t="s">
        <v>381</v>
      </c>
      <c r="C3155" s="62">
        <v>44777</v>
      </c>
      <c r="D3155" s="62">
        <v>44777</v>
      </c>
      <c r="E3155" s="63">
        <v>0</v>
      </c>
    </row>
    <row r="3156" spans="1:5">
      <c r="A3156" s="61" t="s">
        <v>184</v>
      </c>
      <c r="B3156" s="61" t="s">
        <v>381</v>
      </c>
      <c r="C3156" s="62">
        <v>44778</v>
      </c>
      <c r="D3156" s="62">
        <v>44778</v>
      </c>
      <c r="E3156" s="63">
        <v>0</v>
      </c>
    </row>
    <row r="3157" spans="1:5">
      <c r="A3157" s="61" t="s">
        <v>184</v>
      </c>
      <c r="B3157" s="61" t="s">
        <v>381</v>
      </c>
      <c r="C3157" s="62">
        <v>44779</v>
      </c>
      <c r="D3157" s="62">
        <v>44779</v>
      </c>
      <c r="E3157" s="63">
        <v>0</v>
      </c>
    </row>
    <row r="3158" spans="1:5">
      <c r="A3158" s="61" t="s">
        <v>184</v>
      </c>
      <c r="B3158" s="61" t="s">
        <v>381</v>
      </c>
      <c r="C3158" s="62">
        <v>44780</v>
      </c>
      <c r="D3158" s="62">
        <v>44780</v>
      </c>
      <c r="E3158" s="63">
        <v>0</v>
      </c>
    </row>
    <row r="3159" spans="1:5">
      <c r="A3159" s="61" t="s">
        <v>184</v>
      </c>
      <c r="B3159" s="61" t="s">
        <v>381</v>
      </c>
      <c r="C3159" s="62">
        <v>44781</v>
      </c>
      <c r="D3159" s="62">
        <v>44781</v>
      </c>
      <c r="E3159" s="63">
        <v>0</v>
      </c>
    </row>
    <row r="3160" spans="1:5">
      <c r="A3160" s="61" t="s">
        <v>184</v>
      </c>
      <c r="B3160" s="61" t="s">
        <v>381</v>
      </c>
      <c r="C3160" s="62">
        <v>44782</v>
      </c>
      <c r="D3160" s="62">
        <v>44782</v>
      </c>
      <c r="E3160" s="63">
        <v>0</v>
      </c>
    </row>
    <row r="3161" spans="1:5">
      <c r="A3161" s="61" t="s">
        <v>184</v>
      </c>
      <c r="B3161" s="61" t="s">
        <v>381</v>
      </c>
      <c r="C3161" s="62">
        <v>44783</v>
      </c>
      <c r="D3161" s="62">
        <v>44783</v>
      </c>
      <c r="E3161" s="63">
        <v>0</v>
      </c>
    </row>
    <row r="3162" spans="1:5">
      <c r="A3162" s="61" t="s">
        <v>184</v>
      </c>
      <c r="B3162" s="61" t="s">
        <v>381</v>
      </c>
      <c r="C3162" s="62">
        <v>44784</v>
      </c>
      <c r="D3162" s="62">
        <v>44784</v>
      </c>
      <c r="E3162" s="63">
        <v>0</v>
      </c>
    </row>
    <row r="3163" spans="1:5">
      <c r="A3163" s="61" t="s">
        <v>184</v>
      </c>
      <c r="B3163" s="61" t="s">
        <v>381</v>
      </c>
      <c r="C3163" s="62">
        <v>44785</v>
      </c>
      <c r="D3163" s="62">
        <v>44785</v>
      </c>
      <c r="E3163" s="63">
        <v>0</v>
      </c>
    </row>
    <row r="3164" spans="1:5">
      <c r="A3164" s="61" t="s">
        <v>184</v>
      </c>
      <c r="B3164" s="61" t="s">
        <v>381</v>
      </c>
      <c r="C3164" s="62">
        <v>44786</v>
      </c>
      <c r="D3164" s="62">
        <v>44786</v>
      </c>
      <c r="E3164" s="63">
        <v>0</v>
      </c>
    </row>
    <row r="3165" spans="1:5">
      <c r="A3165" s="61" t="s">
        <v>184</v>
      </c>
      <c r="B3165" s="61" t="s">
        <v>381</v>
      </c>
      <c r="C3165" s="62">
        <v>44787</v>
      </c>
      <c r="D3165" s="62">
        <v>44787</v>
      </c>
      <c r="E3165" s="63">
        <v>0</v>
      </c>
    </row>
    <row r="3166" spans="1:5">
      <c r="A3166" s="61" t="s">
        <v>184</v>
      </c>
      <c r="B3166" s="61" t="s">
        <v>381</v>
      </c>
      <c r="C3166" s="62">
        <v>44788</v>
      </c>
      <c r="D3166" s="62">
        <v>44788</v>
      </c>
      <c r="E3166" s="63">
        <v>0</v>
      </c>
    </row>
    <row r="3167" spans="1:5">
      <c r="A3167" s="61" t="s">
        <v>184</v>
      </c>
      <c r="B3167" s="61" t="s">
        <v>381</v>
      </c>
      <c r="C3167" s="62">
        <v>44789</v>
      </c>
      <c r="D3167" s="62">
        <v>44789</v>
      </c>
      <c r="E3167" s="63">
        <v>0</v>
      </c>
    </row>
    <row r="3168" spans="1:5">
      <c r="A3168" s="61" t="s">
        <v>184</v>
      </c>
      <c r="B3168" s="61" t="s">
        <v>381</v>
      </c>
      <c r="C3168" s="62">
        <v>44790</v>
      </c>
      <c r="D3168" s="62">
        <v>44790</v>
      </c>
      <c r="E3168" s="63">
        <v>0</v>
      </c>
    </row>
    <row r="3169" spans="1:5">
      <c r="A3169" s="61" t="s">
        <v>184</v>
      </c>
      <c r="B3169" s="61" t="s">
        <v>381</v>
      </c>
      <c r="C3169" s="62">
        <v>44791</v>
      </c>
      <c r="D3169" s="62">
        <v>44791</v>
      </c>
      <c r="E3169" s="63">
        <v>0</v>
      </c>
    </row>
    <row r="3170" spans="1:5">
      <c r="A3170" s="61" t="s">
        <v>184</v>
      </c>
      <c r="B3170" s="61" t="s">
        <v>381</v>
      </c>
      <c r="C3170" s="62">
        <v>44792</v>
      </c>
      <c r="D3170" s="62">
        <v>44792</v>
      </c>
      <c r="E3170" s="63">
        <v>0</v>
      </c>
    </row>
    <row r="3171" spans="1:5">
      <c r="A3171" s="61" t="s">
        <v>184</v>
      </c>
      <c r="B3171" s="61" t="s">
        <v>381</v>
      </c>
      <c r="C3171" s="62">
        <v>44793</v>
      </c>
      <c r="D3171" s="62">
        <v>44793</v>
      </c>
      <c r="E3171" s="63">
        <v>0</v>
      </c>
    </row>
    <row r="3172" spans="1:5">
      <c r="A3172" s="61" t="s">
        <v>184</v>
      </c>
      <c r="B3172" s="61" t="s">
        <v>381</v>
      </c>
      <c r="C3172" s="62">
        <v>44794</v>
      </c>
      <c r="D3172" s="62">
        <v>44794</v>
      </c>
      <c r="E3172" s="63">
        <v>0</v>
      </c>
    </row>
    <row r="3173" spans="1:5">
      <c r="A3173" s="61" t="s">
        <v>184</v>
      </c>
      <c r="B3173" s="61" t="s">
        <v>381</v>
      </c>
      <c r="C3173" s="62">
        <v>44795</v>
      </c>
      <c r="D3173" s="62">
        <v>44795</v>
      </c>
      <c r="E3173" s="63">
        <v>0</v>
      </c>
    </row>
    <row r="3174" spans="1:5">
      <c r="A3174" s="61" t="s">
        <v>184</v>
      </c>
      <c r="B3174" s="61" t="s">
        <v>381</v>
      </c>
      <c r="C3174" s="62">
        <v>44796</v>
      </c>
      <c r="D3174" s="62">
        <v>44796</v>
      </c>
      <c r="E3174" s="63">
        <v>0</v>
      </c>
    </row>
    <row r="3175" spans="1:5">
      <c r="A3175" s="61" t="s">
        <v>184</v>
      </c>
      <c r="B3175" s="61" t="s">
        <v>381</v>
      </c>
      <c r="C3175" s="62">
        <v>44797</v>
      </c>
      <c r="D3175" s="62">
        <v>44797</v>
      </c>
      <c r="E3175" s="63">
        <v>0</v>
      </c>
    </row>
    <row r="3176" spans="1:5">
      <c r="A3176" s="61" t="s">
        <v>184</v>
      </c>
      <c r="B3176" s="61" t="s">
        <v>381</v>
      </c>
      <c r="C3176" s="62">
        <v>44798</v>
      </c>
      <c r="D3176" s="62">
        <v>44798</v>
      </c>
      <c r="E3176" s="63">
        <v>0</v>
      </c>
    </row>
    <row r="3177" spans="1:5">
      <c r="A3177" s="61" t="s">
        <v>184</v>
      </c>
      <c r="B3177" s="61" t="s">
        <v>381</v>
      </c>
      <c r="C3177" s="62">
        <v>44799</v>
      </c>
      <c r="D3177" s="62">
        <v>44799</v>
      </c>
      <c r="E3177" s="63">
        <v>0</v>
      </c>
    </row>
    <row r="3178" spans="1:5">
      <c r="A3178" s="61" t="s">
        <v>184</v>
      </c>
      <c r="B3178" s="61" t="s">
        <v>381</v>
      </c>
      <c r="C3178" s="62">
        <v>44800</v>
      </c>
      <c r="D3178" s="62">
        <v>44800</v>
      </c>
      <c r="E3178" s="63">
        <v>0</v>
      </c>
    </row>
    <row r="3179" spans="1:5">
      <c r="A3179" s="61" t="s">
        <v>184</v>
      </c>
      <c r="B3179" s="61" t="s">
        <v>381</v>
      </c>
      <c r="C3179" s="62">
        <v>44801</v>
      </c>
      <c r="D3179" s="62">
        <v>44801</v>
      </c>
      <c r="E3179" s="63">
        <v>0</v>
      </c>
    </row>
    <row r="3180" spans="1:5">
      <c r="A3180" s="61" t="s">
        <v>184</v>
      </c>
      <c r="B3180" s="61" t="s">
        <v>381</v>
      </c>
      <c r="C3180" s="62">
        <v>44802</v>
      </c>
      <c r="D3180" s="62">
        <v>44802</v>
      </c>
      <c r="E3180" s="63">
        <v>0</v>
      </c>
    </row>
    <row r="3181" spans="1:5">
      <c r="A3181" s="61" t="s">
        <v>184</v>
      </c>
      <c r="B3181" s="61" t="s">
        <v>381</v>
      </c>
      <c r="C3181" s="62">
        <v>44803</v>
      </c>
      <c r="D3181" s="62">
        <v>44803</v>
      </c>
      <c r="E3181" s="63">
        <v>-48.85</v>
      </c>
    </row>
    <row r="3182" spans="1:5">
      <c r="A3182" s="61" t="s">
        <v>185</v>
      </c>
      <c r="B3182" s="61" t="s">
        <v>382</v>
      </c>
      <c r="C3182" s="62">
        <v>44774</v>
      </c>
      <c r="D3182" s="62">
        <v>44774</v>
      </c>
      <c r="E3182" s="63">
        <v>0</v>
      </c>
    </row>
    <row r="3183" spans="1:5">
      <c r="A3183" s="61" t="s">
        <v>185</v>
      </c>
      <c r="B3183" s="61" t="s">
        <v>382</v>
      </c>
      <c r="C3183" s="62">
        <v>44775</v>
      </c>
      <c r="D3183" s="62">
        <v>44775</v>
      </c>
      <c r="E3183" s="63">
        <v>0</v>
      </c>
    </row>
    <row r="3184" spans="1:5">
      <c r="A3184" s="61" t="s">
        <v>185</v>
      </c>
      <c r="B3184" s="61" t="s">
        <v>382</v>
      </c>
      <c r="C3184" s="62">
        <v>44776</v>
      </c>
      <c r="D3184" s="62">
        <v>44776</v>
      </c>
      <c r="E3184" s="63">
        <v>0</v>
      </c>
    </row>
    <row r="3185" spans="1:5">
      <c r="A3185" s="61" t="s">
        <v>185</v>
      </c>
      <c r="B3185" s="61" t="s">
        <v>382</v>
      </c>
      <c r="C3185" s="62">
        <v>44777</v>
      </c>
      <c r="D3185" s="62">
        <v>44777</v>
      </c>
      <c r="E3185" s="63">
        <v>0</v>
      </c>
    </row>
    <row r="3186" spans="1:5">
      <c r="A3186" s="61" t="s">
        <v>185</v>
      </c>
      <c r="B3186" s="61" t="s">
        <v>382</v>
      </c>
      <c r="C3186" s="62">
        <v>44778</v>
      </c>
      <c r="D3186" s="62">
        <v>44778</v>
      </c>
      <c r="E3186" s="63">
        <v>0</v>
      </c>
    </row>
    <row r="3187" spans="1:5">
      <c r="A3187" s="61" t="s">
        <v>185</v>
      </c>
      <c r="B3187" s="61" t="s">
        <v>382</v>
      </c>
      <c r="C3187" s="62">
        <v>44779</v>
      </c>
      <c r="D3187" s="62">
        <v>44779</v>
      </c>
      <c r="E3187" s="63">
        <v>0</v>
      </c>
    </row>
    <row r="3188" spans="1:5">
      <c r="A3188" s="61" t="s">
        <v>185</v>
      </c>
      <c r="B3188" s="61" t="s">
        <v>382</v>
      </c>
      <c r="C3188" s="62">
        <v>44780</v>
      </c>
      <c r="D3188" s="62">
        <v>44780</v>
      </c>
      <c r="E3188" s="63">
        <v>0</v>
      </c>
    </row>
    <row r="3189" spans="1:5">
      <c r="A3189" s="61" t="s">
        <v>185</v>
      </c>
      <c r="B3189" s="61" t="s">
        <v>382</v>
      </c>
      <c r="C3189" s="62">
        <v>44781</v>
      </c>
      <c r="D3189" s="62">
        <v>44781</v>
      </c>
      <c r="E3189" s="63">
        <v>0</v>
      </c>
    </row>
    <row r="3190" spans="1:5">
      <c r="A3190" s="61" t="s">
        <v>185</v>
      </c>
      <c r="B3190" s="61" t="s">
        <v>382</v>
      </c>
      <c r="C3190" s="62">
        <v>44782</v>
      </c>
      <c r="D3190" s="62">
        <v>44782</v>
      </c>
      <c r="E3190" s="63">
        <v>0</v>
      </c>
    </row>
    <row r="3191" spans="1:5">
      <c r="A3191" s="61" t="s">
        <v>185</v>
      </c>
      <c r="B3191" s="61" t="s">
        <v>382</v>
      </c>
      <c r="C3191" s="62">
        <v>44783</v>
      </c>
      <c r="D3191" s="62">
        <v>44783</v>
      </c>
      <c r="E3191" s="63">
        <v>0</v>
      </c>
    </row>
    <row r="3192" spans="1:5">
      <c r="A3192" s="61" t="s">
        <v>185</v>
      </c>
      <c r="B3192" s="61" t="s">
        <v>382</v>
      </c>
      <c r="C3192" s="62">
        <v>44784</v>
      </c>
      <c r="D3192" s="62">
        <v>44784</v>
      </c>
      <c r="E3192" s="63">
        <v>0</v>
      </c>
    </row>
    <row r="3193" spans="1:5">
      <c r="A3193" s="61" t="s">
        <v>185</v>
      </c>
      <c r="B3193" s="61" t="s">
        <v>382</v>
      </c>
      <c r="C3193" s="62">
        <v>44785</v>
      </c>
      <c r="D3193" s="62">
        <v>44785</v>
      </c>
      <c r="E3193" s="63">
        <v>0</v>
      </c>
    </row>
    <row r="3194" spans="1:5">
      <c r="A3194" s="61" t="s">
        <v>185</v>
      </c>
      <c r="B3194" s="61" t="s">
        <v>382</v>
      </c>
      <c r="C3194" s="62">
        <v>44786</v>
      </c>
      <c r="D3194" s="62">
        <v>44786</v>
      </c>
      <c r="E3194" s="63">
        <v>0</v>
      </c>
    </row>
    <row r="3195" spans="1:5">
      <c r="A3195" s="61" t="s">
        <v>185</v>
      </c>
      <c r="B3195" s="61" t="s">
        <v>382</v>
      </c>
      <c r="C3195" s="62">
        <v>44787</v>
      </c>
      <c r="D3195" s="62">
        <v>44787</v>
      </c>
      <c r="E3195" s="63">
        <v>0</v>
      </c>
    </row>
    <row r="3196" spans="1:5">
      <c r="A3196" s="61" t="s">
        <v>185</v>
      </c>
      <c r="B3196" s="61" t="s">
        <v>382</v>
      </c>
      <c r="C3196" s="62">
        <v>44788</v>
      </c>
      <c r="D3196" s="62">
        <v>44788</v>
      </c>
      <c r="E3196" s="63">
        <v>0</v>
      </c>
    </row>
    <row r="3197" spans="1:5">
      <c r="A3197" s="61" t="s">
        <v>185</v>
      </c>
      <c r="B3197" s="61" t="s">
        <v>382</v>
      </c>
      <c r="C3197" s="62">
        <v>44789</v>
      </c>
      <c r="D3197" s="62">
        <v>44789</v>
      </c>
      <c r="E3197" s="63">
        <v>0</v>
      </c>
    </row>
    <row r="3198" spans="1:5">
      <c r="A3198" s="61" t="s">
        <v>185</v>
      </c>
      <c r="B3198" s="61" t="s">
        <v>382</v>
      </c>
      <c r="C3198" s="62">
        <v>44790</v>
      </c>
      <c r="D3198" s="62">
        <v>44790</v>
      </c>
      <c r="E3198" s="63">
        <v>0</v>
      </c>
    </row>
    <row r="3199" spans="1:5">
      <c r="A3199" s="61" t="s">
        <v>185</v>
      </c>
      <c r="B3199" s="61" t="s">
        <v>382</v>
      </c>
      <c r="C3199" s="62">
        <v>44791</v>
      </c>
      <c r="D3199" s="62">
        <v>44791</v>
      </c>
      <c r="E3199" s="63">
        <v>0</v>
      </c>
    </row>
    <row r="3200" spans="1:5">
      <c r="A3200" s="61" t="s">
        <v>185</v>
      </c>
      <c r="B3200" s="61" t="s">
        <v>382</v>
      </c>
      <c r="C3200" s="62">
        <v>44792</v>
      </c>
      <c r="D3200" s="62">
        <v>44792</v>
      </c>
      <c r="E3200" s="63">
        <v>0</v>
      </c>
    </row>
    <row r="3201" spans="1:5">
      <c r="A3201" s="61" t="s">
        <v>185</v>
      </c>
      <c r="B3201" s="61" t="s">
        <v>382</v>
      </c>
      <c r="C3201" s="62">
        <v>44793</v>
      </c>
      <c r="D3201" s="62">
        <v>44793</v>
      </c>
      <c r="E3201" s="63">
        <v>0</v>
      </c>
    </row>
    <row r="3202" spans="1:5">
      <c r="A3202" s="61" t="s">
        <v>185</v>
      </c>
      <c r="B3202" s="61" t="s">
        <v>382</v>
      </c>
      <c r="C3202" s="62">
        <v>44794</v>
      </c>
      <c r="D3202" s="62">
        <v>44794</v>
      </c>
      <c r="E3202" s="63">
        <v>0</v>
      </c>
    </row>
    <row r="3203" spans="1:5">
      <c r="A3203" s="61" t="s">
        <v>185</v>
      </c>
      <c r="B3203" s="61" t="s">
        <v>382</v>
      </c>
      <c r="C3203" s="62">
        <v>44795</v>
      </c>
      <c r="D3203" s="62">
        <v>44795</v>
      </c>
      <c r="E3203" s="63">
        <v>0</v>
      </c>
    </row>
    <row r="3204" spans="1:5">
      <c r="A3204" s="61" t="s">
        <v>185</v>
      </c>
      <c r="B3204" s="61" t="s">
        <v>382</v>
      </c>
      <c r="C3204" s="62">
        <v>44796</v>
      </c>
      <c r="D3204" s="62">
        <v>44796</v>
      </c>
      <c r="E3204" s="63">
        <v>0</v>
      </c>
    </row>
    <row r="3205" spans="1:5">
      <c r="A3205" s="61" t="s">
        <v>185</v>
      </c>
      <c r="B3205" s="61" t="s">
        <v>382</v>
      </c>
      <c r="C3205" s="62">
        <v>44797</v>
      </c>
      <c r="D3205" s="62">
        <v>44797</v>
      </c>
      <c r="E3205" s="63">
        <v>0</v>
      </c>
    </row>
    <row r="3206" spans="1:5">
      <c r="A3206" s="61" t="s">
        <v>185</v>
      </c>
      <c r="B3206" s="61" t="s">
        <v>382</v>
      </c>
      <c r="C3206" s="62">
        <v>44798</v>
      </c>
      <c r="D3206" s="62">
        <v>44798</v>
      </c>
      <c r="E3206" s="63">
        <v>0</v>
      </c>
    </row>
    <row r="3207" spans="1:5">
      <c r="A3207" s="61" t="s">
        <v>185</v>
      </c>
      <c r="B3207" s="61" t="s">
        <v>382</v>
      </c>
      <c r="C3207" s="62">
        <v>44799</v>
      </c>
      <c r="D3207" s="62">
        <v>44799</v>
      </c>
      <c r="E3207" s="63">
        <v>0</v>
      </c>
    </row>
    <row r="3208" spans="1:5">
      <c r="A3208" s="61" t="s">
        <v>185</v>
      </c>
      <c r="B3208" s="61" t="s">
        <v>382</v>
      </c>
      <c r="C3208" s="62">
        <v>44800</v>
      </c>
      <c r="D3208" s="62">
        <v>44800</v>
      </c>
      <c r="E3208" s="63">
        <v>0</v>
      </c>
    </row>
    <row r="3209" spans="1:5">
      <c r="A3209" s="61" t="s">
        <v>185</v>
      </c>
      <c r="B3209" s="61" t="s">
        <v>382</v>
      </c>
      <c r="C3209" s="62">
        <v>44801</v>
      </c>
      <c r="D3209" s="62">
        <v>44801</v>
      </c>
      <c r="E3209" s="63">
        <v>0</v>
      </c>
    </row>
    <row r="3210" spans="1:5">
      <c r="A3210" s="61" t="s">
        <v>185</v>
      </c>
      <c r="B3210" s="61" t="s">
        <v>382</v>
      </c>
      <c r="C3210" s="62">
        <v>44802</v>
      </c>
      <c r="D3210" s="62">
        <v>44802</v>
      </c>
      <c r="E3210" s="63">
        <v>0</v>
      </c>
    </row>
    <row r="3211" spans="1:5">
      <c r="A3211" s="61" t="s">
        <v>185</v>
      </c>
      <c r="B3211" s="61" t="s">
        <v>382</v>
      </c>
      <c r="C3211" s="62">
        <v>44803</v>
      </c>
      <c r="D3211" s="62">
        <v>44803</v>
      </c>
      <c r="E3211" s="63">
        <v>-108.33</v>
      </c>
    </row>
    <row r="3212" spans="1:5">
      <c r="A3212" s="61" t="s">
        <v>186</v>
      </c>
      <c r="B3212" s="61" t="s">
        <v>383</v>
      </c>
      <c r="C3212" s="62">
        <v>44774</v>
      </c>
      <c r="D3212" s="62">
        <v>44774</v>
      </c>
      <c r="E3212" s="63">
        <v>0</v>
      </c>
    </row>
    <row r="3213" spans="1:5">
      <c r="A3213" s="61" t="s">
        <v>186</v>
      </c>
      <c r="B3213" s="61" t="s">
        <v>383</v>
      </c>
      <c r="C3213" s="62">
        <v>44775</v>
      </c>
      <c r="D3213" s="62">
        <v>44775</v>
      </c>
      <c r="E3213" s="63">
        <v>0</v>
      </c>
    </row>
    <row r="3214" spans="1:5">
      <c r="A3214" s="61" t="s">
        <v>186</v>
      </c>
      <c r="B3214" s="61" t="s">
        <v>383</v>
      </c>
      <c r="C3214" s="62">
        <v>44776</v>
      </c>
      <c r="D3214" s="62">
        <v>44776</v>
      </c>
      <c r="E3214" s="63">
        <v>0</v>
      </c>
    </row>
    <row r="3215" spans="1:5">
      <c r="A3215" s="61" t="s">
        <v>186</v>
      </c>
      <c r="B3215" s="61" t="s">
        <v>383</v>
      </c>
      <c r="C3215" s="62">
        <v>44777</v>
      </c>
      <c r="D3215" s="62">
        <v>44777</v>
      </c>
      <c r="E3215" s="63">
        <v>0</v>
      </c>
    </row>
    <row r="3216" spans="1:5">
      <c r="A3216" s="61" t="s">
        <v>186</v>
      </c>
      <c r="B3216" s="61" t="s">
        <v>383</v>
      </c>
      <c r="C3216" s="62">
        <v>44778</v>
      </c>
      <c r="D3216" s="62">
        <v>44778</v>
      </c>
      <c r="E3216" s="63">
        <v>0</v>
      </c>
    </row>
    <row r="3217" spans="1:5">
      <c r="A3217" s="61" t="s">
        <v>186</v>
      </c>
      <c r="B3217" s="61" t="s">
        <v>383</v>
      </c>
      <c r="C3217" s="62">
        <v>44779</v>
      </c>
      <c r="D3217" s="62">
        <v>44779</v>
      </c>
      <c r="E3217" s="63">
        <v>0</v>
      </c>
    </row>
    <row r="3218" spans="1:5">
      <c r="A3218" s="61" t="s">
        <v>186</v>
      </c>
      <c r="B3218" s="61" t="s">
        <v>383</v>
      </c>
      <c r="C3218" s="62">
        <v>44780</v>
      </c>
      <c r="D3218" s="62">
        <v>44780</v>
      </c>
      <c r="E3218" s="63">
        <v>0</v>
      </c>
    </row>
    <row r="3219" spans="1:5">
      <c r="A3219" s="61" t="s">
        <v>186</v>
      </c>
      <c r="B3219" s="61" t="s">
        <v>383</v>
      </c>
      <c r="C3219" s="62">
        <v>44781</v>
      </c>
      <c r="D3219" s="62">
        <v>44781</v>
      </c>
      <c r="E3219" s="63">
        <v>0</v>
      </c>
    </row>
    <row r="3220" spans="1:5">
      <c r="A3220" s="61" t="s">
        <v>186</v>
      </c>
      <c r="B3220" s="61" t="s">
        <v>383</v>
      </c>
      <c r="C3220" s="62">
        <v>44782</v>
      </c>
      <c r="D3220" s="62">
        <v>44782</v>
      </c>
      <c r="E3220" s="63">
        <v>0</v>
      </c>
    </row>
    <row r="3221" spans="1:5">
      <c r="A3221" s="61" t="s">
        <v>186</v>
      </c>
      <c r="B3221" s="61" t="s">
        <v>383</v>
      </c>
      <c r="C3221" s="62">
        <v>44783</v>
      </c>
      <c r="D3221" s="62">
        <v>44783</v>
      </c>
      <c r="E3221" s="63">
        <v>0</v>
      </c>
    </row>
    <row r="3222" spans="1:5">
      <c r="A3222" s="61" t="s">
        <v>186</v>
      </c>
      <c r="B3222" s="61" t="s">
        <v>383</v>
      </c>
      <c r="C3222" s="62">
        <v>44784</v>
      </c>
      <c r="D3222" s="62">
        <v>44784</v>
      </c>
      <c r="E3222" s="63">
        <v>0</v>
      </c>
    </row>
    <row r="3223" spans="1:5">
      <c r="A3223" s="61" t="s">
        <v>186</v>
      </c>
      <c r="B3223" s="61" t="s">
        <v>383</v>
      </c>
      <c r="C3223" s="62">
        <v>44785</v>
      </c>
      <c r="D3223" s="62">
        <v>44785</v>
      </c>
      <c r="E3223" s="63">
        <v>0</v>
      </c>
    </row>
    <row r="3224" spans="1:5">
      <c r="A3224" s="61" t="s">
        <v>186</v>
      </c>
      <c r="B3224" s="61" t="s">
        <v>383</v>
      </c>
      <c r="C3224" s="62">
        <v>44786</v>
      </c>
      <c r="D3224" s="62">
        <v>44786</v>
      </c>
      <c r="E3224" s="63">
        <v>0</v>
      </c>
    </row>
    <row r="3225" spans="1:5">
      <c r="A3225" s="61" t="s">
        <v>186</v>
      </c>
      <c r="B3225" s="61" t="s">
        <v>383</v>
      </c>
      <c r="C3225" s="62">
        <v>44787</v>
      </c>
      <c r="D3225" s="62">
        <v>44787</v>
      </c>
      <c r="E3225" s="63">
        <v>0</v>
      </c>
    </row>
    <row r="3226" spans="1:5">
      <c r="A3226" s="61" t="s">
        <v>186</v>
      </c>
      <c r="B3226" s="61" t="s">
        <v>383</v>
      </c>
      <c r="C3226" s="62">
        <v>44788</v>
      </c>
      <c r="D3226" s="62">
        <v>44788</v>
      </c>
      <c r="E3226" s="63">
        <v>0</v>
      </c>
    </row>
    <row r="3227" spans="1:5">
      <c r="A3227" s="61" t="s">
        <v>186</v>
      </c>
      <c r="B3227" s="61" t="s">
        <v>383</v>
      </c>
      <c r="C3227" s="62">
        <v>44789</v>
      </c>
      <c r="D3227" s="62">
        <v>44789</v>
      </c>
      <c r="E3227" s="63">
        <v>0</v>
      </c>
    </row>
    <row r="3228" spans="1:5">
      <c r="A3228" s="61" t="s">
        <v>186</v>
      </c>
      <c r="B3228" s="61" t="s">
        <v>383</v>
      </c>
      <c r="C3228" s="62">
        <v>44790</v>
      </c>
      <c r="D3228" s="62">
        <v>44790</v>
      </c>
      <c r="E3228" s="63">
        <v>0</v>
      </c>
    </row>
    <row r="3229" spans="1:5">
      <c r="A3229" s="61" t="s">
        <v>186</v>
      </c>
      <c r="B3229" s="61" t="s">
        <v>383</v>
      </c>
      <c r="C3229" s="62">
        <v>44791</v>
      </c>
      <c r="D3229" s="62">
        <v>44791</v>
      </c>
      <c r="E3229" s="63">
        <v>0</v>
      </c>
    </row>
    <row r="3230" spans="1:5">
      <c r="A3230" s="61" t="s">
        <v>186</v>
      </c>
      <c r="B3230" s="61" t="s">
        <v>383</v>
      </c>
      <c r="C3230" s="62">
        <v>44792</v>
      </c>
      <c r="D3230" s="62">
        <v>44792</v>
      </c>
      <c r="E3230" s="63">
        <v>0</v>
      </c>
    </row>
    <row r="3231" spans="1:5">
      <c r="A3231" s="61" t="s">
        <v>186</v>
      </c>
      <c r="B3231" s="61" t="s">
        <v>383</v>
      </c>
      <c r="C3231" s="62">
        <v>44793</v>
      </c>
      <c r="D3231" s="62">
        <v>44793</v>
      </c>
      <c r="E3231" s="63">
        <v>0</v>
      </c>
    </row>
    <row r="3232" spans="1:5">
      <c r="A3232" s="61" t="s">
        <v>186</v>
      </c>
      <c r="B3232" s="61" t="s">
        <v>383</v>
      </c>
      <c r="C3232" s="62">
        <v>44794</v>
      </c>
      <c r="D3232" s="62">
        <v>44794</v>
      </c>
      <c r="E3232" s="63">
        <v>0</v>
      </c>
    </row>
    <row r="3233" spans="1:5">
      <c r="A3233" s="61" t="s">
        <v>186</v>
      </c>
      <c r="B3233" s="61" t="s">
        <v>383</v>
      </c>
      <c r="C3233" s="62">
        <v>44795</v>
      </c>
      <c r="D3233" s="62">
        <v>44795</v>
      </c>
      <c r="E3233" s="63">
        <v>0</v>
      </c>
    </row>
    <row r="3234" spans="1:5">
      <c r="A3234" s="61" t="s">
        <v>186</v>
      </c>
      <c r="B3234" s="61" t="s">
        <v>383</v>
      </c>
      <c r="C3234" s="62">
        <v>44796</v>
      </c>
      <c r="D3234" s="62">
        <v>44796</v>
      </c>
      <c r="E3234" s="63">
        <v>0</v>
      </c>
    </row>
    <row r="3235" spans="1:5">
      <c r="A3235" s="61" t="s">
        <v>186</v>
      </c>
      <c r="B3235" s="61" t="s">
        <v>383</v>
      </c>
      <c r="C3235" s="62">
        <v>44797</v>
      </c>
      <c r="D3235" s="62">
        <v>44797</v>
      </c>
      <c r="E3235" s="63">
        <v>0</v>
      </c>
    </row>
    <row r="3236" spans="1:5">
      <c r="A3236" s="61" t="s">
        <v>186</v>
      </c>
      <c r="B3236" s="61" t="s">
        <v>383</v>
      </c>
      <c r="C3236" s="62">
        <v>44798</v>
      </c>
      <c r="D3236" s="62">
        <v>44798</v>
      </c>
      <c r="E3236" s="63">
        <v>0</v>
      </c>
    </row>
    <row r="3237" spans="1:5">
      <c r="A3237" s="61" t="s">
        <v>186</v>
      </c>
      <c r="B3237" s="61" t="s">
        <v>383</v>
      </c>
      <c r="C3237" s="62">
        <v>44799</v>
      </c>
      <c r="D3237" s="62">
        <v>44799</v>
      </c>
      <c r="E3237" s="63">
        <v>0</v>
      </c>
    </row>
    <row r="3238" spans="1:5">
      <c r="A3238" s="61" t="s">
        <v>186</v>
      </c>
      <c r="B3238" s="61" t="s">
        <v>383</v>
      </c>
      <c r="C3238" s="62">
        <v>44800</v>
      </c>
      <c r="D3238" s="62">
        <v>44800</v>
      </c>
      <c r="E3238" s="63">
        <v>0</v>
      </c>
    </row>
    <row r="3239" spans="1:5">
      <c r="A3239" s="61" t="s">
        <v>186</v>
      </c>
      <c r="B3239" s="61" t="s">
        <v>383</v>
      </c>
      <c r="C3239" s="62">
        <v>44801</v>
      </c>
      <c r="D3239" s="62">
        <v>44801</v>
      </c>
      <c r="E3239" s="63">
        <v>0</v>
      </c>
    </row>
    <row r="3240" spans="1:5">
      <c r="A3240" s="61" t="s">
        <v>186</v>
      </c>
      <c r="B3240" s="61" t="s">
        <v>383</v>
      </c>
      <c r="C3240" s="62">
        <v>44802</v>
      </c>
      <c r="D3240" s="62">
        <v>44802</v>
      </c>
      <c r="E3240" s="63">
        <v>0</v>
      </c>
    </row>
    <row r="3241" spans="1:5">
      <c r="A3241" s="61" t="s">
        <v>186</v>
      </c>
      <c r="B3241" s="61" t="s">
        <v>383</v>
      </c>
      <c r="C3241" s="62">
        <v>44803</v>
      </c>
      <c r="D3241" s="62">
        <v>44803</v>
      </c>
      <c r="E3241" s="63">
        <v>0</v>
      </c>
    </row>
    <row r="3242" spans="1:5">
      <c r="A3242" s="61" t="s">
        <v>60</v>
      </c>
      <c r="B3242" s="61" t="s">
        <v>380</v>
      </c>
      <c r="C3242" s="62">
        <v>44774</v>
      </c>
      <c r="D3242" s="62">
        <v>44774</v>
      </c>
      <c r="E3242" s="63">
        <v>0</v>
      </c>
    </row>
    <row r="3243" spans="1:5">
      <c r="A3243" s="61" t="s">
        <v>60</v>
      </c>
      <c r="B3243" s="61" t="s">
        <v>380</v>
      </c>
      <c r="C3243" s="62">
        <v>44775</v>
      </c>
      <c r="D3243" s="62">
        <v>44775</v>
      </c>
      <c r="E3243" s="63">
        <v>0</v>
      </c>
    </row>
    <row r="3244" spans="1:5">
      <c r="A3244" s="61" t="s">
        <v>60</v>
      </c>
      <c r="B3244" s="61" t="s">
        <v>380</v>
      </c>
      <c r="C3244" s="62">
        <v>44776</v>
      </c>
      <c r="D3244" s="62">
        <v>44776</v>
      </c>
      <c r="E3244" s="63">
        <v>0</v>
      </c>
    </row>
    <row r="3245" spans="1:5">
      <c r="A3245" s="61" t="s">
        <v>60</v>
      </c>
      <c r="B3245" s="61" t="s">
        <v>380</v>
      </c>
      <c r="C3245" s="62">
        <v>44777</v>
      </c>
      <c r="D3245" s="62">
        <v>44777</v>
      </c>
      <c r="E3245" s="63">
        <v>0</v>
      </c>
    </row>
    <row r="3246" spans="1:5">
      <c r="A3246" s="61" t="s">
        <v>60</v>
      </c>
      <c r="B3246" s="61" t="s">
        <v>380</v>
      </c>
      <c r="C3246" s="62">
        <v>44778</v>
      </c>
      <c r="D3246" s="62">
        <v>44778</v>
      </c>
      <c r="E3246" s="63">
        <v>0</v>
      </c>
    </row>
    <row r="3247" spans="1:5">
      <c r="A3247" s="61" t="s">
        <v>60</v>
      </c>
      <c r="B3247" s="61" t="s">
        <v>380</v>
      </c>
      <c r="C3247" s="62">
        <v>44779</v>
      </c>
      <c r="D3247" s="62">
        <v>44779</v>
      </c>
      <c r="E3247" s="63">
        <v>0</v>
      </c>
    </row>
    <row r="3248" spans="1:5">
      <c r="A3248" s="61" t="s">
        <v>60</v>
      </c>
      <c r="B3248" s="61" t="s">
        <v>380</v>
      </c>
      <c r="C3248" s="62">
        <v>44780</v>
      </c>
      <c r="D3248" s="62">
        <v>44780</v>
      </c>
      <c r="E3248" s="63">
        <v>0</v>
      </c>
    </row>
    <row r="3249" spans="1:5">
      <c r="A3249" s="61" t="s">
        <v>60</v>
      </c>
      <c r="B3249" s="61" t="s">
        <v>380</v>
      </c>
      <c r="C3249" s="62">
        <v>44781</v>
      </c>
      <c r="D3249" s="62">
        <v>44781</v>
      </c>
      <c r="E3249" s="63">
        <v>0</v>
      </c>
    </row>
    <row r="3250" spans="1:5">
      <c r="A3250" s="61" t="s">
        <v>60</v>
      </c>
      <c r="B3250" s="61" t="s">
        <v>380</v>
      </c>
      <c r="C3250" s="62">
        <v>44782</v>
      </c>
      <c r="D3250" s="62">
        <v>44782</v>
      </c>
      <c r="E3250" s="63">
        <v>0</v>
      </c>
    </row>
    <row r="3251" spans="1:5">
      <c r="A3251" s="61" t="s">
        <v>60</v>
      </c>
      <c r="B3251" s="61" t="s">
        <v>380</v>
      </c>
      <c r="C3251" s="62">
        <v>44783</v>
      </c>
      <c r="D3251" s="62">
        <v>44783</v>
      </c>
      <c r="E3251" s="63">
        <v>0</v>
      </c>
    </row>
    <row r="3252" spans="1:5">
      <c r="A3252" s="61" t="s">
        <v>60</v>
      </c>
      <c r="B3252" s="61" t="s">
        <v>380</v>
      </c>
      <c r="C3252" s="62">
        <v>44784</v>
      </c>
      <c r="D3252" s="62">
        <v>44784</v>
      </c>
      <c r="E3252" s="63">
        <v>0</v>
      </c>
    </row>
    <row r="3253" spans="1:5">
      <c r="A3253" s="61" t="s">
        <v>60</v>
      </c>
      <c r="B3253" s="61" t="s">
        <v>380</v>
      </c>
      <c r="C3253" s="62">
        <v>44785</v>
      </c>
      <c r="D3253" s="62">
        <v>44785</v>
      </c>
      <c r="E3253" s="63">
        <v>0</v>
      </c>
    </row>
    <row r="3254" spans="1:5">
      <c r="A3254" s="61" t="s">
        <v>60</v>
      </c>
      <c r="B3254" s="61" t="s">
        <v>380</v>
      </c>
      <c r="C3254" s="62">
        <v>44786</v>
      </c>
      <c r="D3254" s="62">
        <v>44786</v>
      </c>
      <c r="E3254" s="63">
        <v>0</v>
      </c>
    </row>
    <row r="3255" spans="1:5">
      <c r="A3255" s="61" t="s">
        <v>60</v>
      </c>
      <c r="B3255" s="61" t="s">
        <v>380</v>
      </c>
      <c r="C3255" s="62">
        <v>44787</v>
      </c>
      <c r="D3255" s="62">
        <v>44787</v>
      </c>
      <c r="E3255" s="63">
        <v>0</v>
      </c>
    </row>
    <row r="3256" spans="1:5">
      <c r="A3256" s="61" t="s">
        <v>60</v>
      </c>
      <c r="B3256" s="61" t="s">
        <v>380</v>
      </c>
      <c r="C3256" s="62">
        <v>44788</v>
      </c>
      <c r="D3256" s="62">
        <v>44788</v>
      </c>
      <c r="E3256" s="63">
        <v>0</v>
      </c>
    </row>
    <row r="3257" spans="1:5">
      <c r="A3257" s="61" t="s">
        <v>60</v>
      </c>
      <c r="B3257" s="61" t="s">
        <v>380</v>
      </c>
      <c r="C3257" s="62">
        <v>44789</v>
      </c>
      <c r="D3257" s="62">
        <v>44789</v>
      </c>
      <c r="E3257" s="63">
        <v>0</v>
      </c>
    </row>
    <row r="3258" spans="1:5">
      <c r="A3258" s="61" t="s">
        <v>60</v>
      </c>
      <c r="B3258" s="61" t="s">
        <v>380</v>
      </c>
      <c r="C3258" s="62">
        <v>44790</v>
      </c>
      <c r="D3258" s="62">
        <v>44790</v>
      </c>
      <c r="E3258" s="63">
        <v>0</v>
      </c>
    </row>
    <row r="3259" spans="1:5">
      <c r="A3259" s="61" t="s">
        <v>60</v>
      </c>
      <c r="B3259" s="61" t="s">
        <v>380</v>
      </c>
      <c r="C3259" s="62">
        <v>44791</v>
      </c>
      <c r="D3259" s="62">
        <v>44791</v>
      </c>
      <c r="E3259" s="63">
        <v>0</v>
      </c>
    </row>
    <row r="3260" spans="1:5">
      <c r="A3260" s="61" t="s">
        <v>60</v>
      </c>
      <c r="B3260" s="61" t="s">
        <v>380</v>
      </c>
      <c r="C3260" s="62">
        <v>44792</v>
      </c>
      <c r="D3260" s="62">
        <v>44792</v>
      </c>
      <c r="E3260" s="63">
        <v>0</v>
      </c>
    </row>
    <row r="3261" spans="1:5">
      <c r="A3261" s="61" t="s">
        <v>60</v>
      </c>
      <c r="B3261" s="61" t="s">
        <v>380</v>
      </c>
      <c r="C3261" s="62">
        <v>44793</v>
      </c>
      <c r="D3261" s="62">
        <v>44793</v>
      </c>
      <c r="E3261" s="63">
        <v>0</v>
      </c>
    </row>
    <row r="3262" spans="1:5">
      <c r="A3262" s="61" t="s">
        <v>60</v>
      </c>
      <c r="B3262" s="61" t="s">
        <v>380</v>
      </c>
      <c r="C3262" s="62">
        <v>44794</v>
      </c>
      <c r="D3262" s="62">
        <v>44794</v>
      </c>
      <c r="E3262" s="63">
        <v>0</v>
      </c>
    </row>
    <row r="3263" spans="1:5">
      <c r="A3263" s="61" t="s">
        <v>60</v>
      </c>
      <c r="B3263" s="61" t="s">
        <v>380</v>
      </c>
      <c r="C3263" s="62">
        <v>44795</v>
      </c>
      <c r="D3263" s="62">
        <v>44795</v>
      </c>
      <c r="E3263" s="63">
        <v>0</v>
      </c>
    </row>
    <row r="3264" spans="1:5">
      <c r="A3264" s="61" t="s">
        <v>60</v>
      </c>
      <c r="B3264" s="61" t="s">
        <v>380</v>
      </c>
      <c r="C3264" s="62">
        <v>44796</v>
      </c>
      <c r="D3264" s="62">
        <v>44796</v>
      </c>
      <c r="E3264" s="63">
        <v>0</v>
      </c>
    </row>
    <row r="3265" spans="1:5">
      <c r="A3265" s="61" t="s">
        <v>60</v>
      </c>
      <c r="B3265" s="61" t="s">
        <v>380</v>
      </c>
      <c r="C3265" s="62">
        <v>44797</v>
      </c>
      <c r="D3265" s="62">
        <v>44797</v>
      </c>
      <c r="E3265" s="63">
        <v>0</v>
      </c>
    </row>
    <row r="3266" spans="1:5">
      <c r="A3266" s="61" t="s">
        <v>60</v>
      </c>
      <c r="B3266" s="61" t="s">
        <v>380</v>
      </c>
      <c r="C3266" s="62">
        <v>44798</v>
      </c>
      <c r="D3266" s="62">
        <v>44798</v>
      </c>
      <c r="E3266" s="63">
        <v>0</v>
      </c>
    </row>
    <row r="3267" spans="1:5">
      <c r="A3267" s="61" t="s">
        <v>60</v>
      </c>
      <c r="B3267" s="61" t="s">
        <v>380</v>
      </c>
      <c r="C3267" s="62">
        <v>44799</v>
      </c>
      <c r="D3267" s="62">
        <v>44799</v>
      </c>
      <c r="E3267" s="63">
        <v>0</v>
      </c>
    </row>
    <row r="3268" spans="1:5">
      <c r="A3268" s="61" t="s">
        <v>60</v>
      </c>
      <c r="B3268" s="61" t="s">
        <v>380</v>
      </c>
      <c r="C3268" s="62">
        <v>44800</v>
      </c>
      <c r="D3268" s="62">
        <v>44800</v>
      </c>
      <c r="E3268" s="63">
        <v>0</v>
      </c>
    </row>
    <row r="3269" spans="1:5">
      <c r="A3269" s="61" t="s">
        <v>60</v>
      </c>
      <c r="B3269" s="61" t="s">
        <v>380</v>
      </c>
      <c r="C3269" s="62">
        <v>44801</v>
      </c>
      <c r="D3269" s="62">
        <v>44801</v>
      </c>
      <c r="E3269" s="63">
        <v>0</v>
      </c>
    </row>
    <row r="3270" spans="1:5">
      <c r="A3270" s="61" t="s">
        <v>60</v>
      </c>
      <c r="B3270" s="61" t="s">
        <v>380</v>
      </c>
      <c r="C3270" s="62">
        <v>44802</v>
      </c>
      <c r="D3270" s="62">
        <v>44802</v>
      </c>
      <c r="E3270" s="63">
        <v>0</v>
      </c>
    </row>
    <row r="3271" spans="1:5">
      <c r="A3271" s="61" t="s">
        <v>60</v>
      </c>
      <c r="B3271" s="61" t="s">
        <v>380</v>
      </c>
      <c r="C3271" s="62">
        <v>44803</v>
      </c>
      <c r="D3271" s="62">
        <v>44803</v>
      </c>
      <c r="E3271" s="63">
        <v>0</v>
      </c>
    </row>
    <row r="3272" spans="1:5">
      <c r="A3272" s="61" t="s">
        <v>187</v>
      </c>
      <c r="B3272" s="61" t="s">
        <v>381</v>
      </c>
      <c r="C3272" s="62">
        <v>44774</v>
      </c>
      <c r="D3272" s="62">
        <v>44774</v>
      </c>
      <c r="E3272" s="63">
        <v>0</v>
      </c>
    </row>
    <row r="3273" spans="1:5">
      <c r="A3273" s="61" t="s">
        <v>187</v>
      </c>
      <c r="B3273" s="61" t="s">
        <v>381</v>
      </c>
      <c r="C3273" s="62">
        <v>44775</v>
      </c>
      <c r="D3273" s="62">
        <v>44775</v>
      </c>
      <c r="E3273" s="63">
        <v>0</v>
      </c>
    </row>
    <row r="3274" spans="1:5">
      <c r="A3274" s="61" t="s">
        <v>187</v>
      </c>
      <c r="B3274" s="61" t="s">
        <v>381</v>
      </c>
      <c r="C3274" s="62">
        <v>44776</v>
      </c>
      <c r="D3274" s="62">
        <v>44776</v>
      </c>
      <c r="E3274" s="63">
        <v>0</v>
      </c>
    </row>
    <row r="3275" spans="1:5">
      <c r="A3275" s="61" t="s">
        <v>187</v>
      </c>
      <c r="B3275" s="61" t="s">
        <v>381</v>
      </c>
      <c r="C3275" s="62">
        <v>44777</v>
      </c>
      <c r="D3275" s="62">
        <v>44777</v>
      </c>
      <c r="E3275" s="63">
        <v>0</v>
      </c>
    </row>
    <row r="3276" spans="1:5">
      <c r="A3276" s="61" t="s">
        <v>187</v>
      </c>
      <c r="B3276" s="61" t="s">
        <v>381</v>
      </c>
      <c r="C3276" s="62">
        <v>44778</v>
      </c>
      <c r="D3276" s="62">
        <v>44778</v>
      </c>
      <c r="E3276" s="63">
        <v>0</v>
      </c>
    </row>
    <row r="3277" spans="1:5">
      <c r="A3277" s="61" t="s">
        <v>187</v>
      </c>
      <c r="B3277" s="61" t="s">
        <v>381</v>
      </c>
      <c r="C3277" s="62">
        <v>44779</v>
      </c>
      <c r="D3277" s="62">
        <v>44779</v>
      </c>
      <c r="E3277" s="63">
        <v>0</v>
      </c>
    </row>
    <row r="3278" spans="1:5">
      <c r="A3278" s="61" t="s">
        <v>187</v>
      </c>
      <c r="B3278" s="61" t="s">
        <v>381</v>
      </c>
      <c r="C3278" s="62">
        <v>44780</v>
      </c>
      <c r="D3278" s="62">
        <v>44780</v>
      </c>
      <c r="E3278" s="63">
        <v>0</v>
      </c>
    </row>
    <row r="3279" spans="1:5">
      <c r="A3279" s="61" t="s">
        <v>187</v>
      </c>
      <c r="B3279" s="61" t="s">
        <v>381</v>
      </c>
      <c r="C3279" s="62">
        <v>44781</v>
      </c>
      <c r="D3279" s="62">
        <v>44781</v>
      </c>
      <c r="E3279" s="63">
        <v>0</v>
      </c>
    </row>
    <row r="3280" spans="1:5">
      <c r="A3280" s="61" t="s">
        <v>187</v>
      </c>
      <c r="B3280" s="61" t="s">
        <v>381</v>
      </c>
      <c r="C3280" s="62">
        <v>44782</v>
      </c>
      <c r="D3280" s="62">
        <v>44782</v>
      </c>
      <c r="E3280" s="63">
        <v>0</v>
      </c>
    </row>
    <row r="3281" spans="1:5">
      <c r="A3281" s="61" t="s">
        <v>187</v>
      </c>
      <c r="B3281" s="61" t="s">
        <v>381</v>
      </c>
      <c r="C3281" s="62">
        <v>44783</v>
      </c>
      <c r="D3281" s="62">
        <v>44783</v>
      </c>
      <c r="E3281" s="63">
        <v>0</v>
      </c>
    </row>
    <row r="3282" spans="1:5">
      <c r="A3282" s="61" t="s">
        <v>187</v>
      </c>
      <c r="B3282" s="61" t="s">
        <v>381</v>
      </c>
      <c r="C3282" s="62">
        <v>44784</v>
      </c>
      <c r="D3282" s="62">
        <v>44784</v>
      </c>
      <c r="E3282" s="63">
        <v>0</v>
      </c>
    </row>
    <row r="3283" spans="1:5">
      <c r="A3283" s="61" t="s">
        <v>187</v>
      </c>
      <c r="B3283" s="61" t="s">
        <v>381</v>
      </c>
      <c r="C3283" s="62">
        <v>44785</v>
      </c>
      <c r="D3283" s="62">
        <v>44785</v>
      </c>
      <c r="E3283" s="63">
        <v>0</v>
      </c>
    </row>
    <row r="3284" spans="1:5">
      <c r="A3284" s="61" t="s">
        <v>187</v>
      </c>
      <c r="B3284" s="61" t="s">
        <v>381</v>
      </c>
      <c r="C3284" s="62">
        <v>44786</v>
      </c>
      <c r="D3284" s="62">
        <v>44786</v>
      </c>
      <c r="E3284" s="63">
        <v>0</v>
      </c>
    </row>
    <row r="3285" spans="1:5">
      <c r="A3285" s="61" t="s">
        <v>187</v>
      </c>
      <c r="B3285" s="61" t="s">
        <v>381</v>
      </c>
      <c r="C3285" s="62">
        <v>44787</v>
      </c>
      <c r="D3285" s="62">
        <v>44787</v>
      </c>
      <c r="E3285" s="63">
        <v>0</v>
      </c>
    </row>
    <row r="3286" spans="1:5">
      <c r="A3286" s="61" t="s">
        <v>187</v>
      </c>
      <c r="B3286" s="61" t="s">
        <v>381</v>
      </c>
      <c r="C3286" s="62">
        <v>44788</v>
      </c>
      <c r="D3286" s="62">
        <v>44788</v>
      </c>
      <c r="E3286" s="63">
        <v>0</v>
      </c>
    </row>
    <row r="3287" spans="1:5">
      <c r="A3287" s="61" t="s">
        <v>187</v>
      </c>
      <c r="B3287" s="61" t="s">
        <v>381</v>
      </c>
      <c r="C3287" s="62">
        <v>44789</v>
      </c>
      <c r="D3287" s="62">
        <v>44789</v>
      </c>
      <c r="E3287" s="63">
        <v>0</v>
      </c>
    </row>
    <row r="3288" spans="1:5">
      <c r="A3288" s="61" t="s">
        <v>187</v>
      </c>
      <c r="B3288" s="61" t="s">
        <v>381</v>
      </c>
      <c r="C3288" s="62">
        <v>44790</v>
      </c>
      <c r="D3288" s="62">
        <v>44790</v>
      </c>
      <c r="E3288" s="63">
        <v>0</v>
      </c>
    </row>
    <row r="3289" spans="1:5">
      <c r="A3289" s="61" t="s">
        <v>187</v>
      </c>
      <c r="B3289" s="61" t="s">
        <v>381</v>
      </c>
      <c r="C3289" s="62">
        <v>44791</v>
      </c>
      <c r="D3289" s="62">
        <v>44791</v>
      </c>
      <c r="E3289" s="63">
        <v>0</v>
      </c>
    </row>
    <row r="3290" spans="1:5">
      <c r="A3290" s="61" t="s">
        <v>187</v>
      </c>
      <c r="B3290" s="61" t="s">
        <v>381</v>
      </c>
      <c r="C3290" s="62">
        <v>44792</v>
      </c>
      <c r="D3290" s="62">
        <v>44792</v>
      </c>
      <c r="E3290" s="63">
        <v>0</v>
      </c>
    </row>
    <row r="3291" spans="1:5">
      <c r="A3291" s="61" t="s">
        <v>187</v>
      </c>
      <c r="B3291" s="61" t="s">
        <v>381</v>
      </c>
      <c r="C3291" s="62">
        <v>44793</v>
      </c>
      <c r="D3291" s="62">
        <v>44793</v>
      </c>
      <c r="E3291" s="63">
        <v>0</v>
      </c>
    </row>
    <row r="3292" spans="1:5">
      <c r="A3292" s="61" t="s">
        <v>187</v>
      </c>
      <c r="B3292" s="61" t="s">
        <v>381</v>
      </c>
      <c r="C3292" s="62">
        <v>44794</v>
      </c>
      <c r="D3292" s="62">
        <v>44794</v>
      </c>
      <c r="E3292" s="63">
        <v>0</v>
      </c>
    </row>
    <row r="3293" spans="1:5">
      <c r="A3293" s="61" t="s">
        <v>187</v>
      </c>
      <c r="B3293" s="61" t="s">
        <v>381</v>
      </c>
      <c r="C3293" s="62">
        <v>44795</v>
      </c>
      <c r="D3293" s="62">
        <v>44795</v>
      </c>
      <c r="E3293" s="63">
        <v>0</v>
      </c>
    </row>
    <row r="3294" spans="1:5">
      <c r="A3294" s="61" t="s">
        <v>187</v>
      </c>
      <c r="B3294" s="61" t="s">
        <v>381</v>
      </c>
      <c r="C3294" s="62">
        <v>44796</v>
      </c>
      <c r="D3294" s="62">
        <v>44796</v>
      </c>
      <c r="E3294" s="63">
        <v>0</v>
      </c>
    </row>
    <row r="3295" spans="1:5">
      <c r="A3295" s="61" t="s">
        <v>187</v>
      </c>
      <c r="B3295" s="61" t="s">
        <v>381</v>
      </c>
      <c r="C3295" s="62">
        <v>44797</v>
      </c>
      <c r="D3295" s="62">
        <v>44797</v>
      </c>
      <c r="E3295" s="63">
        <v>0</v>
      </c>
    </row>
    <row r="3296" spans="1:5">
      <c r="A3296" s="61" t="s">
        <v>187</v>
      </c>
      <c r="B3296" s="61" t="s">
        <v>381</v>
      </c>
      <c r="C3296" s="62">
        <v>44798</v>
      </c>
      <c r="D3296" s="62">
        <v>44798</v>
      </c>
      <c r="E3296" s="63">
        <v>0</v>
      </c>
    </row>
    <row r="3297" spans="1:5">
      <c r="A3297" s="61" t="s">
        <v>187</v>
      </c>
      <c r="B3297" s="61" t="s">
        <v>381</v>
      </c>
      <c r="C3297" s="62">
        <v>44799</v>
      </c>
      <c r="D3297" s="62">
        <v>44799</v>
      </c>
      <c r="E3297" s="63">
        <v>0</v>
      </c>
    </row>
    <row r="3298" spans="1:5">
      <c r="A3298" s="61" t="s">
        <v>187</v>
      </c>
      <c r="B3298" s="61" t="s">
        <v>381</v>
      </c>
      <c r="C3298" s="62">
        <v>44800</v>
      </c>
      <c r="D3298" s="62">
        <v>44800</v>
      </c>
      <c r="E3298" s="63">
        <v>0</v>
      </c>
    </row>
    <row r="3299" spans="1:5">
      <c r="A3299" s="61" t="s">
        <v>187</v>
      </c>
      <c r="B3299" s="61" t="s">
        <v>381</v>
      </c>
      <c r="C3299" s="62">
        <v>44801</v>
      </c>
      <c r="D3299" s="62">
        <v>44801</v>
      </c>
      <c r="E3299" s="63">
        <v>0</v>
      </c>
    </row>
    <row r="3300" spans="1:5">
      <c r="A3300" s="61" t="s">
        <v>187</v>
      </c>
      <c r="B3300" s="61" t="s">
        <v>381</v>
      </c>
      <c r="C3300" s="62">
        <v>44802</v>
      </c>
      <c r="D3300" s="62">
        <v>44802</v>
      </c>
      <c r="E3300" s="63">
        <v>0</v>
      </c>
    </row>
    <row r="3301" spans="1:5">
      <c r="A3301" s="61" t="s">
        <v>187</v>
      </c>
      <c r="B3301" s="61" t="s">
        <v>381</v>
      </c>
      <c r="C3301" s="62">
        <v>44803</v>
      </c>
      <c r="D3301" s="62">
        <v>44803</v>
      </c>
      <c r="E3301" s="63">
        <v>0</v>
      </c>
    </row>
    <row r="3302" spans="1:5">
      <c r="A3302" s="61" t="s">
        <v>188</v>
      </c>
      <c r="B3302" s="61" t="s">
        <v>382</v>
      </c>
      <c r="C3302" s="62">
        <v>44774</v>
      </c>
      <c r="D3302" s="62">
        <v>44774</v>
      </c>
      <c r="E3302" s="63">
        <v>0</v>
      </c>
    </row>
    <row r="3303" spans="1:5">
      <c r="A3303" s="61" t="s">
        <v>188</v>
      </c>
      <c r="B3303" s="61" t="s">
        <v>382</v>
      </c>
      <c r="C3303" s="62">
        <v>44775</v>
      </c>
      <c r="D3303" s="62">
        <v>44775</v>
      </c>
      <c r="E3303" s="63">
        <v>0</v>
      </c>
    </row>
    <row r="3304" spans="1:5">
      <c r="A3304" s="61" t="s">
        <v>188</v>
      </c>
      <c r="B3304" s="61" t="s">
        <v>382</v>
      </c>
      <c r="C3304" s="62">
        <v>44776</v>
      </c>
      <c r="D3304" s="62">
        <v>44776</v>
      </c>
      <c r="E3304" s="63">
        <v>0</v>
      </c>
    </row>
    <row r="3305" spans="1:5">
      <c r="A3305" s="61" t="s">
        <v>188</v>
      </c>
      <c r="B3305" s="61" t="s">
        <v>382</v>
      </c>
      <c r="C3305" s="62">
        <v>44777</v>
      </c>
      <c r="D3305" s="62">
        <v>44777</v>
      </c>
      <c r="E3305" s="63">
        <v>0</v>
      </c>
    </row>
    <row r="3306" spans="1:5">
      <c r="A3306" s="61" t="s">
        <v>188</v>
      </c>
      <c r="B3306" s="61" t="s">
        <v>382</v>
      </c>
      <c r="C3306" s="62">
        <v>44778</v>
      </c>
      <c r="D3306" s="62">
        <v>44778</v>
      </c>
      <c r="E3306" s="63">
        <v>0</v>
      </c>
    </row>
    <row r="3307" spans="1:5">
      <c r="A3307" s="61" t="s">
        <v>188</v>
      </c>
      <c r="B3307" s="61" t="s">
        <v>382</v>
      </c>
      <c r="C3307" s="62">
        <v>44779</v>
      </c>
      <c r="D3307" s="62">
        <v>44779</v>
      </c>
      <c r="E3307" s="63">
        <v>0</v>
      </c>
    </row>
    <row r="3308" spans="1:5">
      <c r="A3308" s="61" t="s">
        <v>188</v>
      </c>
      <c r="B3308" s="61" t="s">
        <v>382</v>
      </c>
      <c r="C3308" s="62">
        <v>44780</v>
      </c>
      <c r="D3308" s="62">
        <v>44780</v>
      </c>
      <c r="E3308" s="63">
        <v>0</v>
      </c>
    </row>
    <row r="3309" spans="1:5">
      <c r="A3309" s="61" t="s">
        <v>188</v>
      </c>
      <c r="B3309" s="61" t="s">
        <v>382</v>
      </c>
      <c r="C3309" s="62">
        <v>44781</v>
      </c>
      <c r="D3309" s="62">
        <v>44781</v>
      </c>
      <c r="E3309" s="63">
        <v>0</v>
      </c>
    </row>
    <row r="3310" spans="1:5">
      <c r="A3310" s="61" t="s">
        <v>188</v>
      </c>
      <c r="B3310" s="61" t="s">
        <v>382</v>
      </c>
      <c r="C3310" s="62">
        <v>44782</v>
      </c>
      <c r="D3310" s="62">
        <v>44782</v>
      </c>
      <c r="E3310" s="63">
        <v>0</v>
      </c>
    </row>
    <row r="3311" spans="1:5">
      <c r="A3311" s="61" t="s">
        <v>188</v>
      </c>
      <c r="B3311" s="61" t="s">
        <v>382</v>
      </c>
      <c r="C3311" s="62">
        <v>44783</v>
      </c>
      <c r="D3311" s="62">
        <v>44783</v>
      </c>
      <c r="E3311" s="63">
        <v>0</v>
      </c>
    </row>
    <row r="3312" spans="1:5">
      <c r="A3312" s="61" t="s">
        <v>188</v>
      </c>
      <c r="B3312" s="61" t="s">
        <v>382</v>
      </c>
      <c r="C3312" s="62">
        <v>44784</v>
      </c>
      <c r="D3312" s="62">
        <v>44784</v>
      </c>
      <c r="E3312" s="63">
        <v>0</v>
      </c>
    </row>
    <row r="3313" spans="1:5">
      <c r="A3313" s="61" t="s">
        <v>188</v>
      </c>
      <c r="B3313" s="61" t="s">
        <v>382</v>
      </c>
      <c r="C3313" s="62">
        <v>44785</v>
      </c>
      <c r="D3313" s="62">
        <v>44785</v>
      </c>
      <c r="E3313" s="63">
        <v>0</v>
      </c>
    </row>
    <row r="3314" spans="1:5">
      <c r="A3314" s="61" t="s">
        <v>188</v>
      </c>
      <c r="B3314" s="61" t="s">
        <v>382</v>
      </c>
      <c r="C3314" s="62">
        <v>44786</v>
      </c>
      <c r="D3314" s="62">
        <v>44786</v>
      </c>
      <c r="E3314" s="63">
        <v>0</v>
      </c>
    </row>
    <row r="3315" spans="1:5">
      <c r="A3315" s="61" t="s">
        <v>188</v>
      </c>
      <c r="B3315" s="61" t="s">
        <v>382</v>
      </c>
      <c r="C3315" s="62">
        <v>44787</v>
      </c>
      <c r="D3315" s="62">
        <v>44787</v>
      </c>
      <c r="E3315" s="63">
        <v>0</v>
      </c>
    </row>
    <row r="3316" spans="1:5">
      <c r="A3316" s="61" t="s">
        <v>188</v>
      </c>
      <c r="B3316" s="61" t="s">
        <v>382</v>
      </c>
      <c r="C3316" s="62">
        <v>44788</v>
      </c>
      <c r="D3316" s="62">
        <v>44788</v>
      </c>
      <c r="E3316" s="63">
        <v>0</v>
      </c>
    </row>
    <row r="3317" spans="1:5">
      <c r="A3317" s="61" t="s">
        <v>188</v>
      </c>
      <c r="B3317" s="61" t="s">
        <v>382</v>
      </c>
      <c r="C3317" s="62">
        <v>44789</v>
      </c>
      <c r="D3317" s="62">
        <v>44789</v>
      </c>
      <c r="E3317" s="63">
        <v>0</v>
      </c>
    </row>
    <row r="3318" spans="1:5">
      <c r="A3318" s="61" t="s">
        <v>188</v>
      </c>
      <c r="B3318" s="61" t="s">
        <v>382</v>
      </c>
      <c r="C3318" s="62">
        <v>44790</v>
      </c>
      <c r="D3318" s="62">
        <v>44790</v>
      </c>
      <c r="E3318" s="63">
        <v>0</v>
      </c>
    </row>
    <row r="3319" spans="1:5">
      <c r="A3319" s="61" t="s">
        <v>188</v>
      </c>
      <c r="B3319" s="61" t="s">
        <v>382</v>
      </c>
      <c r="C3319" s="62">
        <v>44791</v>
      </c>
      <c r="D3319" s="62">
        <v>44791</v>
      </c>
      <c r="E3319" s="63">
        <v>0</v>
      </c>
    </row>
    <row r="3320" spans="1:5">
      <c r="A3320" s="61" t="s">
        <v>188</v>
      </c>
      <c r="B3320" s="61" t="s">
        <v>382</v>
      </c>
      <c r="C3320" s="62">
        <v>44792</v>
      </c>
      <c r="D3320" s="62">
        <v>44792</v>
      </c>
      <c r="E3320" s="63">
        <v>0</v>
      </c>
    </row>
    <row r="3321" spans="1:5">
      <c r="A3321" s="61" t="s">
        <v>188</v>
      </c>
      <c r="B3321" s="61" t="s">
        <v>382</v>
      </c>
      <c r="C3321" s="62">
        <v>44793</v>
      </c>
      <c r="D3321" s="62">
        <v>44793</v>
      </c>
      <c r="E3321" s="63">
        <v>0</v>
      </c>
    </row>
    <row r="3322" spans="1:5">
      <c r="A3322" s="61" t="s">
        <v>188</v>
      </c>
      <c r="B3322" s="61" t="s">
        <v>382</v>
      </c>
      <c r="C3322" s="62">
        <v>44794</v>
      </c>
      <c r="D3322" s="62">
        <v>44794</v>
      </c>
      <c r="E3322" s="63">
        <v>0</v>
      </c>
    </row>
    <row r="3323" spans="1:5">
      <c r="A3323" s="61" t="s">
        <v>188</v>
      </c>
      <c r="B3323" s="61" t="s">
        <v>382</v>
      </c>
      <c r="C3323" s="62">
        <v>44795</v>
      </c>
      <c r="D3323" s="62">
        <v>44795</v>
      </c>
      <c r="E3323" s="63">
        <v>0</v>
      </c>
    </row>
    <row r="3324" spans="1:5">
      <c r="A3324" s="61" t="s">
        <v>188</v>
      </c>
      <c r="B3324" s="61" t="s">
        <v>382</v>
      </c>
      <c r="C3324" s="62">
        <v>44796</v>
      </c>
      <c r="D3324" s="62">
        <v>44796</v>
      </c>
      <c r="E3324" s="63">
        <v>0</v>
      </c>
    </row>
    <row r="3325" spans="1:5">
      <c r="A3325" s="61" t="s">
        <v>188</v>
      </c>
      <c r="B3325" s="61" t="s">
        <v>382</v>
      </c>
      <c r="C3325" s="62">
        <v>44797</v>
      </c>
      <c r="D3325" s="62">
        <v>44797</v>
      </c>
      <c r="E3325" s="63">
        <v>0</v>
      </c>
    </row>
    <row r="3326" spans="1:5">
      <c r="A3326" s="61" t="s">
        <v>188</v>
      </c>
      <c r="B3326" s="61" t="s">
        <v>382</v>
      </c>
      <c r="C3326" s="62">
        <v>44798</v>
      </c>
      <c r="D3326" s="62">
        <v>44798</v>
      </c>
      <c r="E3326" s="63">
        <v>0</v>
      </c>
    </row>
    <row r="3327" spans="1:5">
      <c r="A3327" s="61" t="s">
        <v>188</v>
      </c>
      <c r="B3327" s="61" t="s">
        <v>382</v>
      </c>
      <c r="C3327" s="62">
        <v>44799</v>
      </c>
      <c r="D3327" s="62">
        <v>44799</v>
      </c>
      <c r="E3327" s="63">
        <v>0</v>
      </c>
    </row>
    <row r="3328" spans="1:5">
      <c r="A3328" s="61" t="s">
        <v>188</v>
      </c>
      <c r="B3328" s="61" t="s">
        <v>382</v>
      </c>
      <c r="C3328" s="62">
        <v>44800</v>
      </c>
      <c r="D3328" s="62">
        <v>44800</v>
      </c>
      <c r="E3328" s="63">
        <v>0</v>
      </c>
    </row>
    <row r="3329" spans="1:5">
      <c r="A3329" s="61" t="s">
        <v>188</v>
      </c>
      <c r="B3329" s="61" t="s">
        <v>382</v>
      </c>
      <c r="C3329" s="62">
        <v>44801</v>
      </c>
      <c r="D3329" s="62">
        <v>44801</v>
      </c>
      <c r="E3329" s="63">
        <v>0</v>
      </c>
    </row>
    <row r="3330" spans="1:5">
      <c r="A3330" s="61" t="s">
        <v>188</v>
      </c>
      <c r="B3330" s="61" t="s">
        <v>382</v>
      </c>
      <c r="C3330" s="62">
        <v>44802</v>
      </c>
      <c r="D3330" s="62">
        <v>44802</v>
      </c>
      <c r="E3330" s="63">
        <v>0</v>
      </c>
    </row>
    <row r="3331" spans="1:5">
      <c r="A3331" s="61" t="s">
        <v>188</v>
      </c>
      <c r="B3331" s="61" t="s">
        <v>382</v>
      </c>
      <c r="C3331" s="62">
        <v>44803</v>
      </c>
      <c r="D3331" s="62">
        <v>44803</v>
      </c>
      <c r="E3331" s="63">
        <v>0</v>
      </c>
    </row>
    <row r="3332" spans="1:5">
      <c r="A3332" s="61" t="s">
        <v>189</v>
      </c>
      <c r="B3332" s="61" t="s">
        <v>383</v>
      </c>
      <c r="C3332" s="62">
        <v>44774</v>
      </c>
      <c r="D3332" s="62">
        <v>44774</v>
      </c>
      <c r="E3332" s="63">
        <v>0</v>
      </c>
    </row>
    <row r="3333" spans="1:5">
      <c r="A3333" s="61" t="s">
        <v>189</v>
      </c>
      <c r="B3333" s="61" t="s">
        <v>383</v>
      </c>
      <c r="C3333" s="62">
        <v>44775</v>
      </c>
      <c r="D3333" s="62">
        <v>44775</v>
      </c>
      <c r="E3333" s="63">
        <v>0</v>
      </c>
    </row>
    <row r="3334" spans="1:5">
      <c r="A3334" s="61" t="s">
        <v>189</v>
      </c>
      <c r="B3334" s="61" t="s">
        <v>383</v>
      </c>
      <c r="C3334" s="62">
        <v>44776</v>
      </c>
      <c r="D3334" s="62">
        <v>44776</v>
      </c>
      <c r="E3334" s="63">
        <v>0</v>
      </c>
    </row>
    <row r="3335" spans="1:5">
      <c r="A3335" s="61" t="s">
        <v>189</v>
      </c>
      <c r="B3335" s="61" t="s">
        <v>383</v>
      </c>
      <c r="C3335" s="62">
        <v>44777</v>
      </c>
      <c r="D3335" s="62">
        <v>44777</v>
      </c>
      <c r="E3335" s="63">
        <v>0</v>
      </c>
    </row>
    <row r="3336" spans="1:5">
      <c r="A3336" s="61" t="s">
        <v>189</v>
      </c>
      <c r="B3336" s="61" t="s">
        <v>383</v>
      </c>
      <c r="C3336" s="62">
        <v>44778</v>
      </c>
      <c r="D3336" s="62">
        <v>44778</v>
      </c>
      <c r="E3336" s="63">
        <v>0</v>
      </c>
    </row>
    <row r="3337" spans="1:5">
      <c r="A3337" s="61" t="s">
        <v>189</v>
      </c>
      <c r="B3337" s="61" t="s">
        <v>383</v>
      </c>
      <c r="C3337" s="62">
        <v>44779</v>
      </c>
      <c r="D3337" s="62">
        <v>44779</v>
      </c>
      <c r="E3337" s="63">
        <v>0</v>
      </c>
    </row>
    <row r="3338" spans="1:5">
      <c r="A3338" s="61" t="s">
        <v>189</v>
      </c>
      <c r="B3338" s="61" t="s">
        <v>383</v>
      </c>
      <c r="C3338" s="62">
        <v>44780</v>
      </c>
      <c r="D3338" s="62">
        <v>44780</v>
      </c>
      <c r="E3338" s="63">
        <v>0</v>
      </c>
    </row>
    <row r="3339" spans="1:5">
      <c r="A3339" s="61" t="s">
        <v>189</v>
      </c>
      <c r="B3339" s="61" t="s">
        <v>383</v>
      </c>
      <c r="C3339" s="62">
        <v>44781</v>
      </c>
      <c r="D3339" s="62">
        <v>44781</v>
      </c>
      <c r="E3339" s="63">
        <v>0</v>
      </c>
    </row>
    <row r="3340" spans="1:5">
      <c r="A3340" s="61" t="s">
        <v>189</v>
      </c>
      <c r="B3340" s="61" t="s">
        <v>383</v>
      </c>
      <c r="C3340" s="62">
        <v>44782</v>
      </c>
      <c r="D3340" s="62">
        <v>44782</v>
      </c>
      <c r="E3340" s="63">
        <v>0</v>
      </c>
    </row>
    <row r="3341" spans="1:5">
      <c r="A3341" s="61" t="s">
        <v>189</v>
      </c>
      <c r="B3341" s="61" t="s">
        <v>383</v>
      </c>
      <c r="C3341" s="62">
        <v>44783</v>
      </c>
      <c r="D3341" s="62">
        <v>44783</v>
      </c>
      <c r="E3341" s="63">
        <v>0</v>
      </c>
    </row>
    <row r="3342" spans="1:5">
      <c r="A3342" s="61" t="s">
        <v>189</v>
      </c>
      <c r="B3342" s="61" t="s">
        <v>383</v>
      </c>
      <c r="C3342" s="62">
        <v>44784</v>
      </c>
      <c r="D3342" s="62">
        <v>44784</v>
      </c>
      <c r="E3342" s="63">
        <v>0</v>
      </c>
    </row>
    <row r="3343" spans="1:5">
      <c r="A3343" s="61" t="s">
        <v>189</v>
      </c>
      <c r="B3343" s="61" t="s">
        <v>383</v>
      </c>
      <c r="C3343" s="62">
        <v>44785</v>
      </c>
      <c r="D3343" s="62">
        <v>44785</v>
      </c>
      <c r="E3343" s="63">
        <v>0</v>
      </c>
    </row>
    <row r="3344" spans="1:5">
      <c r="A3344" s="61" t="s">
        <v>189</v>
      </c>
      <c r="B3344" s="61" t="s">
        <v>383</v>
      </c>
      <c r="C3344" s="62">
        <v>44786</v>
      </c>
      <c r="D3344" s="62">
        <v>44786</v>
      </c>
      <c r="E3344" s="63">
        <v>0</v>
      </c>
    </row>
    <row r="3345" spans="1:5">
      <c r="A3345" s="61" t="s">
        <v>189</v>
      </c>
      <c r="B3345" s="61" t="s">
        <v>383</v>
      </c>
      <c r="C3345" s="62">
        <v>44787</v>
      </c>
      <c r="D3345" s="62">
        <v>44787</v>
      </c>
      <c r="E3345" s="63">
        <v>0</v>
      </c>
    </row>
    <row r="3346" spans="1:5">
      <c r="A3346" s="61" t="s">
        <v>189</v>
      </c>
      <c r="B3346" s="61" t="s">
        <v>383</v>
      </c>
      <c r="C3346" s="62">
        <v>44788</v>
      </c>
      <c r="D3346" s="62">
        <v>44788</v>
      </c>
      <c r="E3346" s="63">
        <v>0</v>
      </c>
    </row>
    <row r="3347" spans="1:5">
      <c r="A3347" s="61" t="s">
        <v>189</v>
      </c>
      <c r="B3347" s="61" t="s">
        <v>383</v>
      </c>
      <c r="C3347" s="62">
        <v>44789</v>
      </c>
      <c r="D3347" s="62">
        <v>44789</v>
      </c>
      <c r="E3347" s="63">
        <v>0</v>
      </c>
    </row>
    <row r="3348" spans="1:5">
      <c r="A3348" s="61" t="s">
        <v>189</v>
      </c>
      <c r="B3348" s="61" t="s">
        <v>383</v>
      </c>
      <c r="C3348" s="62">
        <v>44790</v>
      </c>
      <c r="D3348" s="62">
        <v>44790</v>
      </c>
      <c r="E3348" s="63">
        <v>0</v>
      </c>
    </row>
    <row r="3349" spans="1:5">
      <c r="A3349" s="61" t="s">
        <v>189</v>
      </c>
      <c r="B3349" s="61" t="s">
        <v>383</v>
      </c>
      <c r="C3349" s="62">
        <v>44791</v>
      </c>
      <c r="D3349" s="62">
        <v>44791</v>
      </c>
      <c r="E3349" s="63">
        <v>0</v>
      </c>
    </row>
    <row r="3350" spans="1:5">
      <c r="A3350" s="61" t="s">
        <v>189</v>
      </c>
      <c r="B3350" s="61" t="s">
        <v>383</v>
      </c>
      <c r="C3350" s="62">
        <v>44792</v>
      </c>
      <c r="D3350" s="62">
        <v>44792</v>
      </c>
      <c r="E3350" s="63">
        <v>0</v>
      </c>
    </row>
    <row r="3351" spans="1:5">
      <c r="A3351" s="61" t="s">
        <v>189</v>
      </c>
      <c r="B3351" s="61" t="s">
        <v>383</v>
      </c>
      <c r="C3351" s="62">
        <v>44793</v>
      </c>
      <c r="D3351" s="62">
        <v>44793</v>
      </c>
      <c r="E3351" s="63">
        <v>0</v>
      </c>
    </row>
    <row r="3352" spans="1:5">
      <c r="A3352" s="61" t="s">
        <v>189</v>
      </c>
      <c r="B3352" s="61" t="s">
        <v>383</v>
      </c>
      <c r="C3352" s="62">
        <v>44794</v>
      </c>
      <c r="D3352" s="62">
        <v>44794</v>
      </c>
      <c r="E3352" s="63">
        <v>0</v>
      </c>
    </row>
    <row r="3353" spans="1:5">
      <c r="A3353" s="61" t="s">
        <v>189</v>
      </c>
      <c r="B3353" s="61" t="s">
        <v>383</v>
      </c>
      <c r="C3353" s="62">
        <v>44795</v>
      </c>
      <c r="D3353" s="62">
        <v>44795</v>
      </c>
      <c r="E3353" s="63">
        <v>0</v>
      </c>
    </row>
    <row r="3354" spans="1:5">
      <c r="A3354" s="61" t="s">
        <v>189</v>
      </c>
      <c r="B3354" s="61" t="s">
        <v>383</v>
      </c>
      <c r="C3354" s="62">
        <v>44796</v>
      </c>
      <c r="D3354" s="62">
        <v>44796</v>
      </c>
      <c r="E3354" s="63">
        <v>0</v>
      </c>
    </row>
    <row r="3355" spans="1:5">
      <c r="A3355" s="61" t="s">
        <v>189</v>
      </c>
      <c r="B3355" s="61" t="s">
        <v>383</v>
      </c>
      <c r="C3355" s="62">
        <v>44797</v>
      </c>
      <c r="D3355" s="62">
        <v>44797</v>
      </c>
      <c r="E3355" s="63">
        <v>0</v>
      </c>
    </row>
    <row r="3356" spans="1:5">
      <c r="A3356" s="61" t="s">
        <v>189</v>
      </c>
      <c r="B3356" s="61" t="s">
        <v>383</v>
      </c>
      <c r="C3356" s="62">
        <v>44798</v>
      </c>
      <c r="D3356" s="62">
        <v>44798</v>
      </c>
      <c r="E3356" s="63">
        <v>0</v>
      </c>
    </row>
    <row r="3357" spans="1:5">
      <c r="A3357" s="61" t="s">
        <v>189</v>
      </c>
      <c r="B3357" s="61" t="s">
        <v>383</v>
      </c>
      <c r="C3357" s="62">
        <v>44799</v>
      </c>
      <c r="D3357" s="62">
        <v>44799</v>
      </c>
      <c r="E3357" s="63">
        <v>0</v>
      </c>
    </row>
    <row r="3358" spans="1:5">
      <c r="A3358" s="61" t="s">
        <v>189</v>
      </c>
      <c r="B3358" s="61" t="s">
        <v>383</v>
      </c>
      <c r="C3358" s="62">
        <v>44800</v>
      </c>
      <c r="D3358" s="62">
        <v>44800</v>
      </c>
      <c r="E3358" s="63">
        <v>0</v>
      </c>
    </row>
    <row r="3359" spans="1:5">
      <c r="A3359" s="61" t="s">
        <v>189</v>
      </c>
      <c r="B3359" s="61" t="s">
        <v>383</v>
      </c>
      <c r="C3359" s="62">
        <v>44801</v>
      </c>
      <c r="D3359" s="62">
        <v>44801</v>
      </c>
      <c r="E3359" s="63">
        <v>0</v>
      </c>
    </row>
    <row r="3360" spans="1:5">
      <c r="A3360" s="61" t="s">
        <v>189</v>
      </c>
      <c r="B3360" s="61" t="s">
        <v>383</v>
      </c>
      <c r="C3360" s="62">
        <v>44802</v>
      </c>
      <c r="D3360" s="62">
        <v>44802</v>
      </c>
      <c r="E3360" s="63">
        <v>0</v>
      </c>
    </row>
    <row r="3361" spans="1:5">
      <c r="A3361" s="61" t="s">
        <v>189</v>
      </c>
      <c r="B3361" s="61" t="s">
        <v>383</v>
      </c>
      <c r="C3361" s="62">
        <v>44803</v>
      </c>
      <c r="D3361" s="62">
        <v>44803</v>
      </c>
      <c r="E3361" s="63">
        <v>0</v>
      </c>
    </row>
    <row r="3362" spans="1:5">
      <c r="A3362" s="61" t="s">
        <v>62</v>
      </c>
      <c r="B3362" s="61" t="s">
        <v>380</v>
      </c>
      <c r="C3362" s="62">
        <v>44774</v>
      </c>
      <c r="D3362" s="62">
        <v>44774</v>
      </c>
      <c r="E3362" s="63">
        <v>0</v>
      </c>
    </row>
    <row r="3363" spans="1:5">
      <c r="A3363" s="61" t="s">
        <v>62</v>
      </c>
      <c r="B3363" s="61" t="s">
        <v>380</v>
      </c>
      <c r="C3363" s="62">
        <v>44775</v>
      </c>
      <c r="D3363" s="62">
        <v>44775</v>
      </c>
      <c r="E3363" s="63">
        <v>0</v>
      </c>
    </row>
    <row r="3364" spans="1:5">
      <c r="A3364" s="61" t="s">
        <v>62</v>
      </c>
      <c r="B3364" s="61" t="s">
        <v>380</v>
      </c>
      <c r="C3364" s="62">
        <v>44776</v>
      </c>
      <c r="D3364" s="62">
        <v>44776</v>
      </c>
      <c r="E3364" s="63">
        <v>0</v>
      </c>
    </row>
    <row r="3365" spans="1:5">
      <c r="A3365" s="61" t="s">
        <v>62</v>
      </c>
      <c r="B3365" s="61" t="s">
        <v>380</v>
      </c>
      <c r="C3365" s="62">
        <v>44777</v>
      </c>
      <c r="D3365" s="62">
        <v>44777</v>
      </c>
      <c r="E3365" s="63">
        <v>0</v>
      </c>
    </row>
    <row r="3366" spans="1:5">
      <c r="A3366" s="61" t="s">
        <v>62</v>
      </c>
      <c r="B3366" s="61" t="s">
        <v>380</v>
      </c>
      <c r="C3366" s="62">
        <v>44778</v>
      </c>
      <c r="D3366" s="62">
        <v>44778</v>
      </c>
      <c r="E3366" s="63">
        <v>0</v>
      </c>
    </row>
    <row r="3367" spans="1:5">
      <c r="A3367" s="61" t="s">
        <v>62</v>
      </c>
      <c r="B3367" s="61" t="s">
        <v>380</v>
      </c>
      <c r="C3367" s="62">
        <v>44779</v>
      </c>
      <c r="D3367" s="62">
        <v>44779</v>
      </c>
      <c r="E3367" s="63">
        <v>0</v>
      </c>
    </row>
    <row r="3368" spans="1:5">
      <c r="A3368" s="61" t="s">
        <v>62</v>
      </c>
      <c r="B3368" s="61" t="s">
        <v>380</v>
      </c>
      <c r="C3368" s="62">
        <v>44780</v>
      </c>
      <c r="D3368" s="62">
        <v>44780</v>
      </c>
      <c r="E3368" s="63">
        <v>0</v>
      </c>
    </row>
    <row r="3369" spans="1:5">
      <c r="A3369" s="61" t="s">
        <v>62</v>
      </c>
      <c r="B3369" s="61" t="s">
        <v>380</v>
      </c>
      <c r="C3369" s="62">
        <v>44781</v>
      </c>
      <c r="D3369" s="62">
        <v>44781</v>
      </c>
      <c r="E3369" s="63">
        <v>0</v>
      </c>
    </row>
    <row r="3370" spans="1:5">
      <c r="A3370" s="61" t="s">
        <v>62</v>
      </c>
      <c r="B3370" s="61" t="s">
        <v>380</v>
      </c>
      <c r="C3370" s="62">
        <v>44782</v>
      </c>
      <c r="D3370" s="62">
        <v>44782</v>
      </c>
      <c r="E3370" s="63">
        <v>0</v>
      </c>
    </row>
    <row r="3371" spans="1:5">
      <c r="A3371" s="61" t="s">
        <v>62</v>
      </c>
      <c r="B3371" s="61" t="s">
        <v>380</v>
      </c>
      <c r="C3371" s="62">
        <v>44783</v>
      </c>
      <c r="D3371" s="62">
        <v>44783</v>
      </c>
      <c r="E3371" s="63">
        <v>0</v>
      </c>
    </row>
    <row r="3372" spans="1:5">
      <c r="A3372" s="61" t="s">
        <v>62</v>
      </c>
      <c r="B3372" s="61" t="s">
        <v>380</v>
      </c>
      <c r="C3372" s="62">
        <v>44784</v>
      </c>
      <c r="D3372" s="62">
        <v>44784</v>
      </c>
      <c r="E3372" s="63">
        <v>627.05999999999995</v>
      </c>
    </row>
    <row r="3373" spans="1:5">
      <c r="A3373" s="61" t="s">
        <v>62</v>
      </c>
      <c r="B3373" s="61" t="s">
        <v>380</v>
      </c>
      <c r="C3373" s="62">
        <v>44785</v>
      </c>
      <c r="D3373" s="62">
        <v>44785</v>
      </c>
      <c r="E3373" s="63">
        <v>0</v>
      </c>
    </row>
    <row r="3374" spans="1:5">
      <c r="A3374" s="61" t="s">
        <v>62</v>
      </c>
      <c r="B3374" s="61" t="s">
        <v>380</v>
      </c>
      <c r="C3374" s="62">
        <v>44786</v>
      </c>
      <c r="D3374" s="62">
        <v>44786</v>
      </c>
      <c r="E3374" s="63">
        <v>0</v>
      </c>
    </row>
    <row r="3375" spans="1:5">
      <c r="A3375" s="61" t="s">
        <v>62</v>
      </c>
      <c r="B3375" s="61" t="s">
        <v>380</v>
      </c>
      <c r="C3375" s="62">
        <v>44787</v>
      </c>
      <c r="D3375" s="62">
        <v>44787</v>
      </c>
      <c r="E3375" s="63">
        <v>0</v>
      </c>
    </row>
    <row r="3376" spans="1:5">
      <c r="A3376" s="61" t="s">
        <v>62</v>
      </c>
      <c r="B3376" s="61" t="s">
        <v>380</v>
      </c>
      <c r="C3376" s="62">
        <v>44788</v>
      </c>
      <c r="D3376" s="62">
        <v>44788</v>
      </c>
      <c r="E3376" s="63">
        <v>0</v>
      </c>
    </row>
    <row r="3377" spans="1:5">
      <c r="A3377" s="61" t="s">
        <v>62</v>
      </c>
      <c r="B3377" s="61" t="s">
        <v>380</v>
      </c>
      <c r="C3377" s="62">
        <v>44789</v>
      </c>
      <c r="D3377" s="62">
        <v>44789</v>
      </c>
      <c r="E3377" s="63">
        <v>0</v>
      </c>
    </row>
    <row r="3378" spans="1:5">
      <c r="A3378" s="61" t="s">
        <v>62</v>
      </c>
      <c r="B3378" s="61" t="s">
        <v>380</v>
      </c>
      <c r="C3378" s="62">
        <v>44790</v>
      </c>
      <c r="D3378" s="62">
        <v>44790</v>
      </c>
      <c r="E3378" s="63">
        <v>0</v>
      </c>
    </row>
    <row r="3379" spans="1:5">
      <c r="A3379" s="61" t="s">
        <v>62</v>
      </c>
      <c r="B3379" s="61" t="s">
        <v>380</v>
      </c>
      <c r="C3379" s="62">
        <v>44791</v>
      </c>
      <c r="D3379" s="62">
        <v>44791</v>
      </c>
      <c r="E3379" s="63">
        <v>0</v>
      </c>
    </row>
    <row r="3380" spans="1:5">
      <c r="A3380" s="61" t="s">
        <v>62</v>
      </c>
      <c r="B3380" s="61" t="s">
        <v>380</v>
      </c>
      <c r="C3380" s="62">
        <v>44792</v>
      </c>
      <c r="D3380" s="62">
        <v>44792</v>
      </c>
      <c r="E3380" s="63">
        <v>0</v>
      </c>
    </row>
    <row r="3381" spans="1:5">
      <c r="A3381" s="61" t="s">
        <v>62</v>
      </c>
      <c r="B3381" s="61" t="s">
        <v>380</v>
      </c>
      <c r="C3381" s="62">
        <v>44793</v>
      </c>
      <c r="D3381" s="62">
        <v>44793</v>
      </c>
      <c r="E3381" s="63">
        <v>0</v>
      </c>
    </row>
    <row r="3382" spans="1:5">
      <c r="A3382" s="61" t="s">
        <v>62</v>
      </c>
      <c r="B3382" s="61" t="s">
        <v>380</v>
      </c>
      <c r="C3382" s="62">
        <v>44794</v>
      </c>
      <c r="D3382" s="62">
        <v>44794</v>
      </c>
      <c r="E3382" s="63">
        <v>0</v>
      </c>
    </row>
    <row r="3383" spans="1:5">
      <c r="A3383" s="61" t="s">
        <v>62</v>
      </c>
      <c r="B3383" s="61" t="s">
        <v>380</v>
      </c>
      <c r="C3383" s="62">
        <v>44795</v>
      </c>
      <c r="D3383" s="62">
        <v>44795</v>
      </c>
      <c r="E3383" s="63">
        <v>0</v>
      </c>
    </row>
    <row r="3384" spans="1:5">
      <c r="A3384" s="61" t="s">
        <v>62</v>
      </c>
      <c r="B3384" s="61" t="s">
        <v>380</v>
      </c>
      <c r="C3384" s="62">
        <v>44796</v>
      </c>
      <c r="D3384" s="62">
        <v>44796</v>
      </c>
      <c r="E3384" s="63">
        <v>0</v>
      </c>
    </row>
    <row r="3385" spans="1:5">
      <c r="A3385" s="61" t="s">
        <v>62</v>
      </c>
      <c r="B3385" s="61" t="s">
        <v>380</v>
      </c>
      <c r="C3385" s="62">
        <v>44797</v>
      </c>
      <c r="D3385" s="62">
        <v>44797</v>
      </c>
      <c r="E3385" s="63">
        <v>0</v>
      </c>
    </row>
    <row r="3386" spans="1:5">
      <c r="A3386" s="61" t="s">
        <v>62</v>
      </c>
      <c r="B3386" s="61" t="s">
        <v>380</v>
      </c>
      <c r="C3386" s="62">
        <v>44798</v>
      </c>
      <c r="D3386" s="62">
        <v>44798</v>
      </c>
      <c r="E3386" s="63">
        <v>0</v>
      </c>
    </row>
    <row r="3387" spans="1:5">
      <c r="A3387" s="61" t="s">
        <v>62</v>
      </c>
      <c r="B3387" s="61" t="s">
        <v>380</v>
      </c>
      <c r="C3387" s="62">
        <v>44799</v>
      </c>
      <c r="D3387" s="62">
        <v>44799</v>
      </c>
      <c r="E3387" s="63">
        <v>0</v>
      </c>
    </row>
    <row r="3388" spans="1:5">
      <c r="A3388" s="61" t="s">
        <v>62</v>
      </c>
      <c r="B3388" s="61" t="s">
        <v>380</v>
      </c>
      <c r="C3388" s="62">
        <v>44800</v>
      </c>
      <c r="D3388" s="62">
        <v>44800</v>
      </c>
      <c r="E3388" s="63">
        <v>0</v>
      </c>
    </row>
    <row r="3389" spans="1:5">
      <c r="A3389" s="61" t="s">
        <v>62</v>
      </c>
      <c r="B3389" s="61" t="s">
        <v>380</v>
      </c>
      <c r="C3389" s="62">
        <v>44801</v>
      </c>
      <c r="D3389" s="62">
        <v>44801</v>
      </c>
      <c r="E3389" s="63">
        <v>0</v>
      </c>
    </row>
    <row r="3390" spans="1:5">
      <c r="A3390" s="61" t="s">
        <v>62</v>
      </c>
      <c r="B3390" s="61" t="s">
        <v>380</v>
      </c>
      <c r="C3390" s="62">
        <v>44802</v>
      </c>
      <c r="D3390" s="62">
        <v>44802</v>
      </c>
      <c r="E3390" s="63">
        <v>0</v>
      </c>
    </row>
    <row r="3391" spans="1:5">
      <c r="A3391" s="61" t="s">
        <v>62</v>
      </c>
      <c r="B3391" s="61" t="s">
        <v>380</v>
      </c>
      <c r="C3391" s="62">
        <v>44803</v>
      </c>
      <c r="D3391" s="62">
        <v>44803</v>
      </c>
      <c r="E3391" s="63">
        <v>0</v>
      </c>
    </row>
    <row r="3392" spans="1:5">
      <c r="A3392" s="61" t="s">
        <v>190</v>
      </c>
      <c r="B3392" s="61" t="s">
        <v>381</v>
      </c>
      <c r="C3392" s="62">
        <v>44774</v>
      </c>
      <c r="D3392" s="62">
        <v>44774</v>
      </c>
      <c r="E3392" s="63">
        <v>0</v>
      </c>
    </row>
    <row r="3393" spans="1:5">
      <c r="A3393" s="61" t="s">
        <v>190</v>
      </c>
      <c r="B3393" s="61" t="s">
        <v>381</v>
      </c>
      <c r="C3393" s="62">
        <v>44775</v>
      </c>
      <c r="D3393" s="62">
        <v>44775</v>
      </c>
      <c r="E3393" s="63">
        <v>0</v>
      </c>
    </row>
    <row r="3394" spans="1:5">
      <c r="A3394" s="61" t="s">
        <v>190</v>
      </c>
      <c r="B3394" s="61" t="s">
        <v>381</v>
      </c>
      <c r="C3394" s="62">
        <v>44776</v>
      </c>
      <c r="D3394" s="62">
        <v>44776</v>
      </c>
      <c r="E3394" s="63">
        <v>0</v>
      </c>
    </row>
    <row r="3395" spans="1:5">
      <c r="A3395" s="61" t="s">
        <v>190</v>
      </c>
      <c r="B3395" s="61" t="s">
        <v>381</v>
      </c>
      <c r="C3395" s="62">
        <v>44777</v>
      </c>
      <c r="D3395" s="62">
        <v>44777</v>
      </c>
      <c r="E3395" s="63">
        <v>0</v>
      </c>
    </row>
    <row r="3396" spans="1:5">
      <c r="A3396" s="61" t="s">
        <v>190</v>
      </c>
      <c r="B3396" s="61" t="s">
        <v>381</v>
      </c>
      <c r="C3396" s="62">
        <v>44778</v>
      </c>
      <c r="D3396" s="62">
        <v>44778</v>
      </c>
      <c r="E3396" s="63">
        <v>0</v>
      </c>
    </row>
    <row r="3397" spans="1:5">
      <c r="A3397" s="61" t="s">
        <v>190</v>
      </c>
      <c r="B3397" s="61" t="s">
        <v>381</v>
      </c>
      <c r="C3397" s="62">
        <v>44779</v>
      </c>
      <c r="D3397" s="62">
        <v>44779</v>
      </c>
      <c r="E3397" s="63">
        <v>0</v>
      </c>
    </row>
    <row r="3398" spans="1:5">
      <c r="A3398" s="61" t="s">
        <v>190</v>
      </c>
      <c r="B3398" s="61" t="s">
        <v>381</v>
      </c>
      <c r="C3398" s="62">
        <v>44780</v>
      </c>
      <c r="D3398" s="62">
        <v>44780</v>
      </c>
      <c r="E3398" s="63">
        <v>0</v>
      </c>
    </row>
    <row r="3399" spans="1:5">
      <c r="A3399" s="61" t="s">
        <v>190</v>
      </c>
      <c r="B3399" s="61" t="s">
        <v>381</v>
      </c>
      <c r="C3399" s="62">
        <v>44781</v>
      </c>
      <c r="D3399" s="62">
        <v>44781</v>
      </c>
      <c r="E3399" s="63">
        <v>0</v>
      </c>
    </row>
    <row r="3400" spans="1:5">
      <c r="A3400" s="61" t="s">
        <v>190</v>
      </c>
      <c r="B3400" s="61" t="s">
        <v>381</v>
      </c>
      <c r="C3400" s="62">
        <v>44782</v>
      </c>
      <c r="D3400" s="62">
        <v>44782</v>
      </c>
      <c r="E3400" s="63">
        <v>0</v>
      </c>
    </row>
    <row r="3401" spans="1:5">
      <c r="A3401" s="61" t="s">
        <v>190</v>
      </c>
      <c r="B3401" s="61" t="s">
        <v>381</v>
      </c>
      <c r="C3401" s="62">
        <v>44783</v>
      </c>
      <c r="D3401" s="62">
        <v>44783</v>
      </c>
      <c r="E3401" s="63">
        <v>0</v>
      </c>
    </row>
    <row r="3402" spans="1:5">
      <c r="A3402" s="61" t="s">
        <v>190</v>
      </c>
      <c r="B3402" s="61" t="s">
        <v>381</v>
      </c>
      <c r="C3402" s="62">
        <v>44784</v>
      </c>
      <c r="D3402" s="62">
        <v>44784</v>
      </c>
      <c r="E3402" s="63">
        <v>0</v>
      </c>
    </row>
    <row r="3403" spans="1:5">
      <c r="A3403" s="61" t="s">
        <v>190</v>
      </c>
      <c r="B3403" s="61" t="s">
        <v>381</v>
      </c>
      <c r="C3403" s="62">
        <v>44785</v>
      </c>
      <c r="D3403" s="62">
        <v>44785</v>
      </c>
      <c r="E3403" s="63">
        <v>0</v>
      </c>
    </row>
    <row r="3404" spans="1:5">
      <c r="A3404" s="61" t="s">
        <v>190</v>
      </c>
      <c r="B3404" s="61" t="s">
        <v>381</v>
      </c>
      <c r="C3404" s="62">
        <v>44786</v>
      </c>
      <c r="D3404" s="62">
        <v>44786</v>
      </c>
      <c r="E3404" s="63">
        <v>0</v>
      </c>
    </row>
    <row r="3405" spans="1:5">
      <c r="A3405" s="61" t="s">
        <v>190</v>
      </c>
      <c r="B3405" s="61" t="s">
        <v>381</v>
      </c>
      <c r="C3405" s="62">
        <v>44787</v>
      </c>
      <c r="D3405" s="62">
        <v>44787</v>
      </c>
      <c r="E3405" s="63">
        <v>0</v>
      </c>
    </row>
    <row r="3406" spans="1:5">
      <c r="A3406" s="61" t="s">
        <v>190</v>
      </c>
      <c r="B3406" s="61" t="s">
        <v>381</v>
      </c>
      <c r="C3406" s="62">
        <v>44788</v>
      </c>
      <c r="D3406" s="62">
        <v>44788</v>
      </c>
      <c r="E3406" s="63">
        <v>0</v>
      </c>
    </row>
    <row r="3407" spans="1:5">
      <c r="A3407" s="61" t="s">
        <v>190</v>
      </c>
      <c r="B3407" s="61" t="s">
        <v>381</v>
      </c>
      <c r="C3407" s="62">
        <v>44789</v>
      </c>
      <c r="D3407" s="62">
        <v>44789</v>
      </c>
      <c r="E3407" s="63">
        <v>336.14</v>
      </c>
    </row>
    <row r="3408" spans="1:5">
      <c r="A3408" s="61" t="s">
        <v>190</v>
      </c>
      <c r="B3408" s="61" t="s">
        <v>381</v>
      </c>
      <c r="C3408" s="62">
        <v>44790</v>
      </c>
      <c r="D3408" s="62">
        <v>44790</v>
      </c>
      <c r="E3408" s="63">
        <v>0</v>
      </c>
    </row>
    <row r="3409" spans="1:5">
      <c r="A3409" s="61" t="s">
        <v>190</v>
      </c>
      <c r="B3409" s="61" t="s">
        <v>381</v>
      </c>
      <c r="C3409" s="62">
        <v>44791</v>
      </c>
      <c r="D3409" s="62">
        <v>44791</v>
      </c>
      <c r="E3409" s="63">
        <v>0</v>
      </c>
    </row>
    <row r="3410" spans="1:5">
      <c r="A3410" s="61" t="s">
        <v>190</v>
      </c>
      <c r="B3410" s="61" t="s">
        <v>381</v>
      </c>
      <c r="C3410" s="62">
        <v>44792</v>
      </c>
      <c r="D3410" s="62">
        <v>44792</v>
      </c>
      <c r="E3410" s="63">
        <v>0</v>
      </c>
    </row>
    <row r="3411" spans="1:5">
      <c r="A3411" s="61" t="s">
        <v>190</v>
      </c>
      <c r="B3411" s="61" t="s">
        <v>381</v>
      </c>
      <c r="C3411" s="62">
        <v>44793</v>
      </c>
      <c r="D3411" s="62">
        <v>44793</v>
      </c>
      <c r="E3411" s="63">
        <v>0</v>
      </c>
    </row>
    <row r="3412" spans="1:5">
      <c r="A3412" s="61" t="s">
        <v>190</v>
      </c>
      <c r="B3412" s="61" t="s">
        <v>381</v>
      </c>
      <c r="C3412" s="62">
        <v>44794</v>
      </c>
      <c r="D3412" s="62">
        <v>44794</v>
      </c>
      <c r="E3412" s="63">
        <v>0</v>
      </c>
    </row>
    <row r="3413" spans="1:5">
      <c r="A3413" s="61" t="s">
        <v>190</v>
      </c>
      <c r="B3413" s="61" t="s">
        <v>381</v>
      </c>
      <c r="C3413" s="62">
        <v>44795</v>
      </c>
      <c r="D3413" s="62">
        <v>44795</v>
      </c>
      <c r="E3413" s="63">
        <v>0</v>
      </c>
    </row>
    <row r="3414" spans="1:5">
      <c r="A3414" s="61" t="s">
        <v>190</v>
      </c>
      <c r="B3414" s="61" t="s">
        <v>381</v>
      </c>
      <c r="C3414" s="62">
        <v>44796</v>
      </c>
      <c r="D3414" s="62">
        <v>44796</v>
      </c>
      <c r="E3414" s="63">
        <v>0</v>
      </c>
    </row>
    <row r="3415" spans="1:5">
      <c r="A3415" s="61" t="s">
        <v>190</v>
      </c>
      <c r="B3415" s="61" t="s">
        <v>381</v>
      </c>
      <c r="C3415" s="62">
        <v>44797</v>
      </c>
      <c r="D3415" s="62">
        <v>44797</v>
      </c>
      <c r="E3415" s="63">
        <v>0</v>
      </c>
    </row>
    <row r="3416" spans="1:5">
      <c r="A3416" s="61" t="s">
        <v>190</v>
      </c>
      <c r="B3416" s="61" t="s">
        <v>381</v>
      </c>
      <c r="C3416" s="62">
        <v>44798</v>
      </c>
      <c r="D3416" s="62">
        <v>44798</v>
      </c>
      <c r="E3416" s="63">
        <v>0</v>
      </c>
    </row>
    <row r="3417" spans="1:5">
      <c r="A3417" s="61" t="s">
        <v>190</v>
      </c>
      <c r="B3417" s="61" t="s">
        <v>381</v>
      </c>
      <c r="C3417" s="62">
        <v>44799</v>
      </c>
      <c r="D3417" s="62">
        <v>44799</v>
      </c>
      <c r="E3417" s="63">
        <v>0</v>
      </c>
    </row>
    <row r="3418" spans="1:5">
      <c r="A3418" s="61" t="s">
        <v>190</v>
      </c>
      <c r="B3418" s="61" t="s">
        <v>381</v>
      </c>
      <c r="C3418" s="62">
        <v>44800</v>
      </c>
      <c r="D3418" s="62">
        <v>44800</v>
      </c>
      <c r="E3418" s="63">
        <v>0</v>
      </c>
    </row>
    <row r="3419" spans="1:5">
      <c r="A3419" s="61" t="s">
        <v>190</v>
      </c>
      <c r="B3419" s="61" t="s">
        <v>381</v>
      </c>
      <c r="C3419" s="62">
        <v>44801</v>
      </c>
      <c r="D3419" s="62">
        <v>44801</v>
      </c>
      <c r="E3419" s="63">
        <v>0</v>
      </c>
    </row>
    <row r="3420" spans="1:5">
      <c r="A3420" s="61" t="s">
        <v>190</v>
      </c>
      <c r="B3420" s="61" t="s">
        <v>381</v>
      </c>
      <c r="C3420" s="62">
        <v>44802</v>
      </c>
      <c r="D3420" s="62">
        <v>44802</v>
      </c>
      <c r="E3420" s="63">
        <v>0</v>
      </c>
    </row>
    <row r="3421" spans="1:5">
      <c r="A3421" s="61" t="s">
        <v>190</v>
      </c>
      <c r="B3421" s="61" t="s">
        <v>381</v>
      </c>
      <c r="C3421" s="62">
        <v>44803</v>
      </c>
      <c r="D3421" s="62">
        <v>44803</v>
      </c>
      <c r="E3421" s="63">
        <v>0</v>
      </c>
    </row>
    <row r="3422" spans="1:5">
      <c r="A3422" s="61" t="s">
        <v>191</v>
      </c>
      <c r="B3422" s="61" t="s">
        <v>382</v>
      </c>
      <c r="C3422" s="62">
        <v>44774</v>
      </c>
      <c r="D3422" s="62">
        <v>44774</v>
      </c>
      <c r="E3422" s="63">
        <v>0</v>
      </c>
    </row>
    <row r="3423" spans="1:5">
      <c r="A3423" s="61" t="s">
        <v>191</v>
      </c>
      <c r="B3423" s="61" t="s">
        <v>382</v>
      </c>
      <c r="C3423" s="62">
        <v>44775</v>
      </c>
      <c r="D3423" s="62">
        <v>44775</v>
      </c>
      <c r="E3423" s="63">
        <v>0</v>
      </c>
    </row>
    <row r="3424" spans="1:5">
      <c r="A3424" s="61" t="s">
        <v>191</v>
      </c>
      <c r="B3424" s="61" t="s">
        <v>382</v>
      </c>
      <c r="C3424" s="62">
        <v>44776</v>
      </c>
      <c r="D3424" s="62">
        <v>44776</v>
      </c>
      <c r="E3424" s="63">
        <v>0</v>
      </c>
    </row>
    <row r="3425" spans="1:5">
      <c r="A3425" s="61" t="s">
        <v>191</v>
      </c>
      <c r="B3425" s="61" t="s">
        <v>382</v>
      </c>
      <c r="C3425" s="62">
        <v>44777</v>
      </c>
      <c r="D3425" s="62">
        <v>44777</v>
      </c>
      <c r="E3425" s="63">
        <v>0</v>
      </c>
    </row>
    <row r="3426" spans="1:5">
      <c r="A3426" s="61" t="s">
        <v>191</v>
      </c>
      <c r="B3426" s="61" t="s">
        <v>382</v>
      </c>
      <c r="C3426" s="62">
        <v>44778</v>
      </c>
      <c r="D3426" s="62">
        <v>44778</v>
      </c>
      <c r="E3426" s="63">
        <v>0</v>
      </c>
    </row>
    <row r="3427" spans="1:5">
      <c r="A3427" s="61" t="s">
        <v>191</v>
      </c>
      <c r="B3427" s="61" t="s">
        <v>382</v>
      </c>
      <c r="C3427" s="62">
        <v>44779</v>
      </c>
      <c r="D3427" s="62">
        <v>44779</v>
      </c>
      <c r="E3427" s="63">
        <v>0</v>
      </c>
    </row>
    <row r="3428" spans="1:5">
      <c r="A3428" s="61" t="s">
        <v>191</v>
      </c>
      <c r="B3428" s="61" t="s">
        <v>382</v>
      </c>
      <c r="C3428" s="62">
        <v>44780</v>
      </c>
      <c r="D3428" s="62">
        <v>44780</v>
      </c>
      <c r="E3428" s="63">
        <v>0</v>
      </c>
    </row>
    <row r="3429" spans="1:5">
      <c r="A3429" s="61" t="s">
        <v>191</v>
      </c>
      <c r="B3429" s="61" t="s">
        <v>382</v>
      </c>
      <c r="C3429" s="62">
        <v>44781</v>
      </c>
      <c r="D3429" s="62">
        <v>44781</v>
      </c>
      <c r="E3429" s="63">
        <v>0</v>
      </c>
    </row>
    <row r="3430" spans="1:5">
      <c r="A3430" s="61" t="s">
        <v>191</v>
      </c>
      <c r="B3430" s="61" t="s">
        <v>382</v>
      </c>
      <c r="C3430" s="62">
        <v>44782</v>
      </c>
      <c r="D3430" s="62">
        <v>44782</v>
      </c>
      <c r="E3430" s="63">
        <v>0</v>
      </c>
    </row>
    <row r="3431" spans="1:5">
      <c r="A3431" s="61" t="s">
        <v>191</v>
      </c>
      <c r="B3431" s="61" t="s">
        <v>382</v>
      </c>
      <c r="C3431" s="62">
        <v>44783</v>
      </c>
      <c r="D3431" s="62">
        <v>44783</v>
      </c>
      <c r="E3431" s="63">
        <v>0</v>
      </c>
    </row>
    <row r="3432" spans="1:5">
      <c r="A3432" s="61" t="s">
        <v>191</v>
      </c>
      <c r="B3432" s="61" t="s">
        <v>382</v>
      </c>
      <c r="C3432" s="62">
        <v>44784</v>
      </c>
      <c r="D3432" s="62">
        <v>44784</v>
      </c>
      <c r="E3432" s="63">
        <v>0</v>
      </c>
    </row>
    <row r="3433" spans="1:5">
      <c r="A3433" s="61" t="s">
        <v>191</v>
      </c>
      <c r="B3433" s="61" t="s">
        <v>382</v>
      </c>
      <c r="C3433" s="62">
        <v>44785</v>
      </c>
      <c r="D3433" s="62">
        <v>44785</v>
      </c>
      <c r="E3433" s="63">
        <v>0</v>
      </c>
    </row>
    <row r="3434" spans="1:5">
      <c r="A3434" s="61" t="s">
        <v>191</v>
      </c>
      <c r="B3434" s="61" t="s">
        <v>382</v>
      </c>
      <c r="C3434" s="62">
        <v>44786</v>
      </c>
      <c r="D3434" s="62">
        <v>44786</v>
      </c>
      <c r="E3434" s="63">
        <v>0</v>
      </c>
    </row>
    <row r="3435" spans="1:5">
      <c r="A3435" s="61" t="s">
        <v>191</v>
      </c>
      <c r="B3435" s="61" t="s">
        <v>382</v>
      </c>
      <c r="C3435" s="62">
        <v>44787</v>
      </c>
      <c r="D3435" s="62">
        <v>44787</v>
      </c>
      <c r="E3435" s="63">
        <v>0</v>
      </c>
    </row>
    <row r="3436" spans="1:5">
      <c r="A3436" s="61" t="s">
        <v>191</v>
      </c>
      <c r="B3436" s="61" t="s">
        <v>382</v>
      </c>
      <c r="C3436" s="62">
        <v>44788</v>
      </c>
      <c r="D3436" s="62">
        <v>44788</v>
      </c>
      <c r="E3436" s="63">
        <v>0</v>
      </c>
    </row>
    <row r="3437" spans="1:5">
      <c r="A3437" s="61" t="s">
        <v>191</v>
      </c>
      <c r="B3437" s="61" t="s">
        <v>382</v>
      </c>
      <c r="C3437" s="62">
        <v>44789</v>
      </c>
      <c r="D3437" s="62">
        <v>44789</v>
      </c>
      <c r="E3437" s="63">
        <v>0</v>
      </c>
    </row>
    <row r="3438" spans="1:5">
      <c r="A3438" s="61" t="s">
        <v>191</v>
      </c>
      <c r="B3438" s="61" t="s">
        <v>382</v>
      </c>
      <c r="C3438" s="62">
        <v>44790</v>
      </c>
      <c r="D3438" s="62">
        <v>44790</v>
      </c>
      <c r="E3438" s="63">
        <v>0</v>
      </c>
    </row>
    <row r="3439" spans="1:5">
      <c r="A3439" s="61" t="s">
        <v>191</v>
      </c>
      <c r="B3439" s="61" t="s">
        <v>382</v>
      </c>
      <c r="C3439" s="62">
        <v>44791</v>
      </c>
      <c r="D3439" s="62">
        <v>44791</v>
      </c>
      <c r="E3439" s="63">
        <v>0</v>
      </c>
    </row>
    <row r="3440" spans="1:5">
      <c r="A3440" s="61" t="s">
        <v>191</v>
      </c>
      <c r="B3440" s="61" t="s">
        <v>382</v>
      </c>
      <c r="C3440" s="62">
        <v>44792</v>
      </c>
      <c r="D3440" s="62">
        <v>44792</v>
      </c>
      <c r="E3440" s="63">
        <v>0</v>
      </c>
    </row>
    <row r="3441" spans="1:5">
      <c r="A3441" s="61" t="s">
        <v>191</v>
      </c>
      <c r="B3441" s="61" t="s">
        <v>382</v>
      </c>
      <c r="C3441" s="62">
        <v>44793</v>
      </c>
      <c r="D3441" s="62">
        <v>44793</v>
      </c>
      <c r="E3441" s="63">
        <v>0</v>
      </c>
    </row>
    <row r="3442" spans="1:5">
      <c r="A3442" s="61" t="s">
        <v>191</v>
      </c>
      <c r="B3442" s="61" t="s">
        <v>382</v>
      </c>
      <c r="C3442" s="62">
        <v>44794</v>
      </c>
      <c r="D3442" s="62">
        <v>44794</v>
      </c>
      <c r="E3442" s="63">
        <v>0</v>
      </c>
    </row>
    <row r="3443" spans="1:5">
      <c r="A3443" s="61" t="s">
        <v>191</v>
      </c>
      <c r="B3443" s="61" t="s">
        <v>382</v>
      </c>
      <c r="C3443" s="62">
        <v>44795</v>
      </c>
      <c r="D3443" s="62">
        <v>44795</v>
      </c>
      <c r="E3443" s="63">
        <v>0</v>
      </c>
    </row>
    <row r="3444" spans="1:5">
      <c r="A3444" s="61" t="s">
        <v>191</v>
      </c>
      <c r="B3444" s="61" t="s">
        <v>382</v>
      </c>
      <c r="C3444" s="62">
        <v>44796</v>
      </c>
      <c r="D3444" s="62">
        <v>44796</v>
      </c>
      <c r="E3444" s="63">
        <v>0</v>
      </c>
    </row>
    <row r="3445" spans="1:5">
      <c r="A3445" s="61" t="s">
        <v>191</v>
      </c>
      <c r="B3445" s="61" t="s">
        <v>382</v>
      </c>
      <c r="C3445" s="62">
        <v>44797</v>
      </c>
      <c r="D3445" s="62">
        <v>44797</v>
      </c>
      <c r="E3445" s="63">
        <v>0</v>
      </c>
    </row>
    <row r="3446" spans="1:5">
      <c r="A3446" s="61" t="s">
        <v>191</v>
      </c>
      <c r="B3446" s="61" t="s">
        <v>382</v>
      </c>
      <c r="C3446" s="62">
        <v>44798</v>
      </c>
      <c r="D3446" s="62">
        <v>44798</v>
      </c>
      <c r="E3446" s="63">
        <v>0</v>
      </c>
    </row>
    <row r="3447" spans="1:5">
      <c r="A3447" s="61" t="s">
        <v>191</v>
      </c>
      <c r="B3447" s="61" t="s">
        <v>382</v>
      </c>
      <c r="C3447" s="62">
        <v>44799</v>
      </c>
      <c r="D3447" s="62">
        <v>44799</v>
      </c>
      <c r="E3447" s="63">
        <v>0</v>
      </c>
    </row>
    <row r="3448" spans="1:5">
      <c r="A3448" s="61" t="s">
        <v>191</v>
      </c>
      <c r="B3448" s="61" t="s">
        <v>382</v>
      </c>
      <c r="C3448" s="62">
        <v>44800</v>
      </c>
      <c r="D3448" s="62">
        <v>44800</v>
      </c>
      <c r="E3448" s="63">
        <v>0</v>
      </c>
    </row>
    <row r="3449" spans="1:5">
      <c r="A3449" s="61" t="s">
        <v>191</v>
      </c>
      <c r="B3449" s="61" t="s">
        <v>382</v>
      </c>
      <c r="C3449" s="62">
        <v>44801</v>
      </c>
      <c r="D3449" s="62">
        <v>44801</v>
      </c>
      <c r="E3449" s="63">
        <v>0</v>
      </c>
    </row>
    <row r="3450" spans="1:5">
      <c r="A3450" s="61" t="s">
        <v>191</v>
      </c>
      <c r="B3450" s="61" t="s">
        <v>382</v>
      </c>
      <c r="C3450" s="62">
        <v>44802</v>
      </c>
      <c r="D3450" s="62">
        <v>44802</v>
      </c>
      <c r="E3450" s="63">
        <v>0</v>
      </c>
    </row>
    <row r="3451" spans="1:5">
      <c r="A3451" s="61" t="s">
        <v>191</v>
      </c>
      <c r="B3451" s="61" t="s">
        <v>382</v>
      </c>
      <c r="C3451" s="62">
        <v>44803</v>
      </c>
      <c r="D3451" s="62">
        <v>44803</v>
      </c>
      <c r="E3451" s="63">
        <v>0</v>
      </c>
    </row>
    <row r="3452" spans="1:5">
      <c r="A3452" s="61" t="s">
        <v>192</v>
      </c>
      <c r="B3452" s="61" t="s">
        <v>383</v>
      </c>
      <c r="C3452" s="62">
        <v>44774</v>
      </c>
      <c r="D3452" s="62">
        <v>44774</v>
      </c>
      <c r="E3452" s="63">
        <v>0</v>
      </c>
    </row>
    <row r="3453" spans="1:5">
      <c r="A3453" s="61" t="s">
        <v>192</v>
      </c>
      <c r="B3453" s="61" t="s">
        <v>383</v>
      </c>
      <c r="C3453" s="62">
        <v>44775</v>
      </c>
      <c r="D3453" s="62">
        <v>44775</v>
      </c>
      <c r="E3453" s="63">
        <v>0</v>
      </c>
    </row>
    <row r="3454" spans="1:5">
      <c r="A3454" s="61" t="s">
        <v>192</v>
      </c>
      <c r="B3454" s="61" t="s">
        <v>383</v>
      </c>
      <c r="C3454" s="62">
        <v>44776</v>
      </c>
      <c r="D3454" s="62">
        <v>44776</v>
      </c>
      <c r="E3454" s="63">
        <v>0</v>
      </c>
    </row>
    <row r="3455" spans="1:5">
      <c r="A3455" s="61" t="s">
        <v>192</v>
      </c>
      <c r="B3455" s="61" t="s">
        <v>383</v>
      </c>
      <c r="C3455" s="62">
        <v>44777</v>
      </c>
      <c r="D3455" s="62">
        <v>44777</v>
      </c>
      <c r="E3455" s="63">
        <v>0</v>
      </c>
    </row>
    <row r="3456" spans="1:5">
      <c r="A3456" s="61" t="s">
        <v>192</v>
      </c>
      <c r="B3456" s="61" t="s">
        <v>383</v>
      </c>
      <c r="C3456" s="62">
        <v>44778</v>
      </c>
      <c r="D3456" s="62">
        <v>44778</v>
      </c>
      <c r="E3456" s="63">
        <v>0</v>
      </c>
    </row>
    <row r="3457" spans="1:5">
      <c r="A3457" s="61" t="s">
        <v>192</v>
      </c>
      <c r="B3457" s="61" t="s">
        <v>383</v>
      </c>
      <c r="C3457" s="62">
        <v>44779</v>
      </c>
      <c r="D3457" s="62">
        <v>44779</v>
      </c>
      <c r="E3457" s="63">
        <v>0</v>
      </c>
    </row>
    <row r="3458" spans="1:5">
      <c r="A3458" s="61" t="s">
        <v>192</v>
      </c>
      <c r="B3458" s="61" t="s">
        <v>383</v>
      </c>
      <c r="C3458" s="62">
        <v>44780</v>
      </c>
      <c r="D3458" s="62">
        <v>44780</v>
      </c>
      <c r="E3458" s="63">
        <v>0</v>
      </c>
    </row>
    <row r="3459" spans="1:5">
      <c r="A3459" s="61" t="s">
        <v>192</v>
      </c>
      <c r="B3459" s="61" t="s">
        <v>383</v>
      </c>
      <c r="C3459" s="62">
        <v>44781</v>
      </c>
      <c r="D3459" s="62">
        <v>44781</v>
      </c>
      <c r="E3459" s="63">
        <v>0</v>
      </c>
    </row>
    <row r="3460" spans="1:5">
      <c r="A3460" s="61" t="s">
        <v>192</v>
      </c>
      <c r="B3460" s="61" t="s">
        <v>383</v>
      </c>
      <c r="C3460" s="62">
        <v>44782</v>
      </c>
      <c r="D3460" s="62">
        <v>44782</v>
      </c>
      <c r="E3460" s="63">
        <v>0</v>
      </c>
    </row>
    <row r="3461" spans="1:5">
      <c r="A3461" s="61" t="s">
        <v>192</v>
      </c>
      <c r="B3461" s="61" t="s">
        <v>383</v>
      </c>
      <c r="C3461" s="62">
        <v>44783</v>
      </c>
      <c r="D3461" s="62">
        <v>44783</v>
      </c>
      <c r="E3461" s="63">
        <v>0</v>
      </c>
    </row>
    <row r="3462" spans="1:5">
      <c r="A3462" s="61" t="s">
        <v>192</v>
      </c>
      <c r="B3462" s="61" t="s">
        <v>383</v>
      </c>
      <c r="C3462" s="62">
        <v>44784</v>
      </c>
      <c r="D3462" s="62">
        <v>44784</v>
      </c>
      <c r="E3462" s="63">
        <v>0</v>
      </c>
    </row>
    <row r="3463" spans="1:5">
      <c r="A3463" s="61" t="s">
        <v>192</v>
      </c>
      <c r="B3463" s="61" t="s">
        <v>383</v>
      </c>
      <c r="C3463" s="62">
        <v>44785</v>
      </c>
      <c r="D3463" s="62">
        <v>44785</v>
      </c>
      <c r="E3463" s="63">
        <v>0</v>
      </c>
    </row>
    <row r="3464" spans="1:5">
      <c r="A3464" s="61" t="s">
        <v>192</v>
      </c>
      <c r="B3464" s="61" t="s">
        <v>383</v>
      </c>
      <c r="C3464" s="62">
        <v>44786</v>
      </c>
      <c r="D3464" s="62">
        <v>44786</v>
      </c>
      <c r="E3464" s="63">
        <v>0</v>
      </c>
    </row>
    <row r="3465" spans="1:5">
      <c r="A3465" s="61" t="s">
        <v>192</v>
      </c>
      <c r="B3465" s="61" t="s">
        <v>383</v>
      </c>
      <c r="C3465" s="62">
        <v>44787</v>
      </c>
      <c r="D3465" s="62">
        <v>44787</v>
      </c>
      <c r="E3465" s="63">
        <v>0</v>
      </c>
    </row>
    <row r="3466" spans="1:5">
      <c r="A3466" s="61" t="s">
        <v>192</v>
      </c>
      <c r="B3466" s="61" t="s">
        <v>383</v>
      </c>
      <c r="C3466" s="62">
        <v>44788</v>
      </c>
      <c r="D3466" s="62">
        <v>44788</v>
      </c>
      <c r="E3466" s="63">
        <v>0</v>
      </c>
    </row>
    <row r="3467" spans="1:5">
      <c r="A3467" s="61" t="s">
        <v>192</v>
      </c>
      <c r="B3467" s="61" t="s">
        <v>383</v>
      </c>
      <c r="C3467" s="62">
        <v>44789</v>
      </c>
      <c r="D3467" s="62">
        <v>44789</v>
      </c>
      <c r="E3467" s="63">
        <v>0</v>
      </c>
    </row>
    <row r="3468" spans="1:5">
      <c r="A3468" s="61" t="s">
        <v>192</v>
      </c>
      <c r="B3468" s="61" t="s">
        <v>383</v>
      </c>
      <c r="C3468" s="62">
        <v>44790</v>
      </c>
      <c r="D3468" s="62">
        <v>44790</v>
      </c>
      <c r="E3468" s="63">
        <v>0</v>
      </c>
    </row>
    <row r="3469" spans="1:5">
      <c r="A3469" s="61" t="s">
        <v>192</v>
      </c>
      <c r="B3469" s="61" t="s">
        <v>383</v>
      </c>
      <c r="C3469" s="62">
        <v>44791</v>
      </c>
      <c r="D3469" s="62">
        <v>44791</v>
      </c>
      <c r="E3469" s="63">
        <v>0</v>
      </c>
    </row>
    <row r="3470" spans="1:5">
      <c r="A3470" s="61" t="s">
        <v>192</v>
      </c>
      <c r="B3470" s="61" t="s">
        <v>383</v>
      </c>
      <c r="C3470" s="62">
        <v>44792</v>
      </c>
      <c r="D3470" s="62">
        <v>44792</v>
      </c>
      <c r="E3470" s="63">
        <v>0</v>
      </c>
    </row>
    <row r="3471" spans="1:5">
      <c r="A3471" s="61" t="s">
        <v>192</v>
      </c>
      <c r="B3471" s="61" t="s">
        <v>383</v>
      </c>
      <c r="C3471" s="62">
        <v>44793</v>
      </c>
      <c r="D3471" s="62">
        <v>44793</v>
      </c>
      <c r="E3471" s="63">
        <v>0</v>
      </c>
    </row>
    <row r="3472" spans="1:5">
      <c r="A3472" s="61" t="s">
        <v>192</v>
      </c>
      <c r="B3472" s="61" t="s">
        <v>383</v>
      </c>
      <c r="C3472" s="62">
        <v>44794</v>
      </c>
      <c r="D3472" s="62">
        <v>44794</v>
      </c>
      <c r="E3472" s="63">
        <v>0</v>
      </c>
    </row>
    <row r="3473" spans="1:5">
      <c r="A3473" s="61" t="s">
        <v>192</v>
      </c>
      <c r="B3473" s="61" t="s">
        <v>383</v>
      </c>
      <c r="C3473" s="62">
        <v>44795</v>
      </c>
      <c r="D3473" s="62">
        <v>44795</v>
      </c>
      <c r="E3473" s="63">
        <v>0</v>
      </c>
    </row>
    <row r="3474" spans="1:5">
      <c r="A3474" s="61" t="s">
        <v>192</v>
      </c>
      <c r="B3474" s="61" t="s">
        <v>383</v>
      </c>
      <c r="C3474" s="62">
        <v>44796</v>
      </c>
      <c r="D3474" s="62">
        <v>44796</v>
      </c>
      <c r="E3474" s="63">
        <v>0</v>
      </c>
    </row>
    <row r="3475" spans="1:5">
      <c r="A3475" s="61" t="s">
        <v>192</v>
      </c>
      <c r="B3475" s="61" t="s">
        <v>383</v>
      </c>
      <c r="C3475" s="62">
        <v>44797</v>
      </c>
      <c r="D3475" s="62">
        <v>44797</v>
      </c>
      <c r="E3475" s="63">
        <v>0</v>
      </c>
    </row>
    <row r="3476" spans="1:5">
      <c r="A3476" s="61" t="s">
        <v>192</v>
      </c>
      <c r="B3476" s="61" t="s">
        <v>383</v>
      </c>
      <c r="C3476" s="62">
        <v>44798</v>
      </c>
      <c r="D3476" s="62">
        <v>44798</v>
      </c>
      <c r="E3476" s="63">
        <v>0</v>
      </c>
    </row>
    <row r="3477" spans="1:5">
      <c r="A3477" s="61" t="s">
        <v>192</v>
      </c>
      <c r="B3477" s="61" t="s">
        <v>383</v>
      </c>
      <c r="C3477" s="62">
        <v>44799</v>
      </c>
      <c r="D3477" s="62">
        <v>44799</v>
      </c>
      <c r="E3477" s="63">
        <v>0</v>
      </c>
    </row>
    <row r="3478" spans="1:5">
      <c r="A3478" s="61" t="s">
        <v>192</v>
      </c>
      <c r="B3478" s="61" t="s">
        <v>383</v>
      </c>
      <c r="C3478" s="62">
        <v>44800</v>
      </c>
      <c r="D3478" s="62">
        <v>44800</v>
      </c>
      <c r="E3478" s="63">
        <v>0</v>
      </c>
    </row>
    <row r="3479" spans="1:5">
      <c r="A3479" s="61" t="s">
        <v>192</v>
      </c>
      <c r="B3479" s="61" t="s">
        <v>383</v>
      </c>
      <c r="C3479" s="62">
        <v>44801</v>
      </c>
      <c r="D3479" s="62">
        <v>44801</v>
      </c>
      <c r="E3479" s="63">
        <v>0</v>
      </c>
    </row>
    <row r="3480" spans="1:5">
      <c r="A3480" s="61" t="s">
        <v>192</v>
      </c>
      <c r="B3480" s="61" t="s">
        <v>383</v>
      </c>
      <c r="C3480" s="62">
        <v>44802</v>
      </c>
      <c r="D3480" s="62">
        <v>44802</v>
      </c>
      <c r="E3480" s="63">
        <v>0</v>
      </c>
    </row>
    <row r="3481" spans="1:5">
      <c r="A3481" s="61" t="s">
        <v>192</v>
      </c>
      <c r="B3481" s="61" t="s">
        <v>383</v>
      </c>
      <c r="C3481" s="62">
        <v>44803</v>
      </c>
      <c r="D3481" s="62">
        <v>44803</v>
      </c>
      <c r="E3481" s="63">
        <v>0</v>
      </c>
    </row>
    <row r="3482" spans="1:5">
      <c r="A3482" s="61" t="s">
        <v>64</v>
      </c>
      <c r="B3482" s="61" t="s">
        <v>380</v>
      </c>
      <c r="C3482" s="62">
        <v>44774</v>
      </c>
      <c r="D3482" s="62">
        <v>44774</v>
      </c>
      <c r="E3482" s="63">
        <v>0</v>
      </c>
    </row>
    <row r="3483" spans="1:5">
      <c r="A3483" s="61" t="s">
        <v>64</v>
      </c>
      <c r="B3483" s="61" t="s">
        <v>380</v>
      </c>
      <c r="C3483" s="62">
        <v>44775</v>
      </c>
      <c r="D3483" s="62">
        <v>44775</v>
      </c>
      <c r="E3483" s="63">
        <v>0</v>
      </c>
    </row>
    <row r="3484" spans="1:5">
      <c r="A3484" s="61" t="s">
        <v>64</v>
      </c>
      <c r="B3484" s="61" t="s">
        <v>380</v>
      </c>
      <c r="C3484" s="62">
        <v>44776</v>
      </c>
      <c r="D3484" s="62">
        <v>44776</v>
      </c>
      <c r="E3484" s="63">
        <v>0</v>
      </c>
    </row>
    <row r="3485" spans="1:5">
      <c r="A3485" s="61" t="s">
        <v>64</v>
      </c>
      <c r="B3485" s="61" t="s">
        <v>380</v>
      </c>
      <c r="C3485" s="62">
        <v>44777</v>
      </c>
      <c r="D3485" s="62">
        <v>44777</v>
      </c>
      <c r="E3485" s="63">
        <v>0</v>
      </c>
    </row>
    <row r="3486" spans="1:5">
      <c r="A3486" s="61" t="s">
        <v>64</v>
      </c>
      <c r="B3486" s="61" t="s">
        <v>380</v>
      </c>
      <c r="C3486" s="62">
        <v>44778</v>
      </c>
      <c r="D3486" s="62">
        <v>44778</v>
      </c>
      <c r="E3486" s="63">
        <v>0</v>
      </c>
    </row>
    <row r="3487" spans="1:5">
      <c r="A3487" s="61" t="s">
        <v>64</v>
      </c>
      <c r="B3487" s="61" t="s">
        <v>380</v>
      </c>
      <c r="C3487" s="62">
        <v>44779</v>
      </c>
      <c r="D3487" s="62">
        <v>44779</v>
      </c>
      <c r="E3487" s="63">
        <v>0</v>
      </c>
    </row>
    <row r="3488" spans="1:5">
      <c r="A3488" s="61" t="s">
        <v>64</v>
      </c>
      <c r="B3488" s="61" t="s">
        <v>380</v>
      </c>
      <c r="C3488" s="62">
        <v>44780</v>
      </c>
      <c r="D3488" s="62">
        <v>44780</v>
      </c>
      <c r="E3488" s="63">
        <v>0</v>
      </c>
    </row>
    <row r="3489" spans="1:5">
      <c r="A3489" s="61" t="s">
        <v>64</v>
      </c>
      <c r="B3489" s="61" t="s">
        <v>380</v>
      </c>
      <c r="C3489" s="62">
        <v>44781</v>
      </c>
      <c r="D3489" s="62">
        <v>44781</v>
      </c>
      <c r="E3489" s="63">
        <v>0</v>
      </c>
    </row>
    <row r="3490" spans="1:5">
      <c r="A3490" s="61" t="s">
        <v>64</v>
      </c>
      <c r="B3490" s="61" t="s">
        <v>380</v>
      </c>
      <c r="C3490" s="62">
        <v>44782</v>
      </c>
      <c r="D3490" s="62">
        <v>44782</v>
      </c>
      <c r="E3490" s="63">
        <v>0</v>
      </c>
    </row>
    <row r="3491" spans="1:5">
      <c r="A3491" s="61" t="s">
        <v>64</v>
      </c>
      <c r="B3491" s="61" t="s">
        <v>380</v>
      </c>
      <c r="C3491" s="62">
        <v>44783</v>
      </c>
      <c r="D3491" s="62">
        <v>44783</v>
      </c>
      <c r="E3491" s="63">
        <v>0</v>
      </c>
    </row>
    <row r="3492" spans="1:5">
      <c r="A3492" s="61" t="s">
        <v>64</v>
      </c>
      <c r="B3492" s="61" t="s">
        <v>380</v>
      </c>
      <c r="C3492" s="62">
        <v>44784</v>
      </c>
      <c r="D3492" s="62">
        <v>44784</v>
      </c>
      <c r="E3492" s="63">
        <v>0</v>
      </c>
    </row>
    <row r="3493" spans="1:5">
      <c r="A3493" s="61" t="s">
        <v>64</v>
      </c>
      <c r="B3493" s="61" t="s">
        <v>380</v>
      </c>
      <c r="C3493" s="62">
        <v>44785</v>
      </c>
      <c r="D3493" s="62">
        <v>44785</v>
      </c>
      <c r="E3493" s="63">
        <v>0</v>
      </c>
    </row>
    <row r="3494" spans="1:5">
      <c r="A3494" s="61" t="s">
        <v>64</v>
      </c>
      <c r="B3494" s="61" t="s">
        <v>380</v>
      </c>
      <c r="C3494" s="62">
        <v>44786</v>
      </c>
      <c r="D3494" s="62">
        <v>44786</v>
      </c>
      <c r="E3494" s="63">
        <v>0</v>
      </c>
    </row>
    <row r="3495" spans="1:5">
      <c r="A3495" s="61" t="s">
        <v>64</v>
      </c>
      <c r="B3495" s="61" t="s">
        <v>380</v>
      </c>
      <c r="C3495" s="62">
        <v>44787</v>
      </c>
      <c r="D3495" s="62">
        <v>44787</v>
      </c>
      <c r="E3495" s="63">
        <v>0</v>
      </c>
    </row>
    <row r="3496" spans="1:5">
      <c r="A3496" s="61" t="s">
        <v>64</v>
      </c>
      <c r="B3496" s="61" t="s">
        <v>380</v>
      </c>
      <c r="C3496" s="62">
        <v>44788</v>
      </c>
      <c r="D3496" s="62">
        <v>44788</v>
      </c>
      <c r="E3496" s="63">
        <v>0</v>
      </c>
    </row>
    <row r="3497" spans="1:5">
      <c r="A3497" s="61" t="s">
        <v>64</v>
      </c>
      <c r="B3497" s="61" t="s">
        <v>380</v>
      </c>
      <c r="C3497" s="62">
        <v>44789</v>
      </c>
      <c r="D3497" s="62">
        <v>44789</v>
      </c>
      <c r="E3497" s="63">
        <v>0</v>
      </c>
    </row>
    <row r="3498" spans="1:5">
      <c r="A3498" s="61" t="s">
        <v>64</v>
      </c>
      <c r="B3498" s="61" t="s">
        <v>380</v>
      </c>
      <c r="C3498" s="62">
        <v>44790</v>
      </c>
      <c r="D3498" s="62">
        <v>44790</v>
      </c>
      <c r="E3498" s="63">
        <v>0</v>
      </c>
    </row>
    <row r="3499" spans="1:5">
      <c r="A3499" s="61" t="s">
        <v>64</v>
      </c>
      <c r="B3499" s="61" t="s">
        <v>380</v>
      </c>
      <c r="C3499" s="62">
        <v>44791</v>
      </c>
      <c r="D3499" s="62">
        <v>44791</v>
      </c>
      <c r="E3499" s="63">
        <v>0</v>
      </c>
    </row>
    <row r="3500" spans="1:5">
      <c r="A3500" s="61" t="s">
        <v>64</v>
      </c>
      <c r="B3500" s="61" t="s">
        <v>380</v>
      </c>
      <c r="C3500" s="62">
        <v>44792</v>
      </c>
      <c r="D3500" s="62">
        <v>44792</v>
      </c>
      <c r="E3500" s="63">
        <v>0</v>
      </c>
    </row>
    <row r="3501" spans="1:5">
      <c r="A3501" s="61" t="s">
        <v>64</v>
      </c>
      <c r="B3501" s="61" t="s">
        <v>380</v>
      </c>
      <c r="C3501" s="62">
        <v>44793</v>
      </c>
      <c r="D3501" s="62">
        <v>44793</v>
      </c>
      <c r="E3501" s="63">
        <v>0</v>
      </c>
    </row>
    <row r="3502" spans="1:5">
      <c r="A3502" s="61" t="s">
        <v>64</v>
      </c>
      <c r="B3502" s="61" t="s">
        <v>380</v>
      </c>
      <c r="C3502" s="62">
        <v>44794</v>
      </c>
      <c r="D3502" s="62">
        <v>44794</v>
      </c>
      <c r="E3502" s="63">
        <v>0</v>
      </c>
    </row>
    <row r="3503" spans="1:5">
      <c r="A3503" s="61" t="s">
        <v>64</v>
      </c>
      <c r="B3503" s="61" t="s">
        <v>380</v>
      </c>
      <c r="C3503" s="62">
        <v>44795</v>
      </c>
      <c r="D3503" s="62">
        <v>44795</v>
      </c>
      <c r="E3503" s="63">
        <v>0</v>
      </c>
    </row>
    <row r="3504" spans="1:5">
      <c r="A3504" s="61" t="s">
        <v>64</v>
      </c>
      <c r="B3504" s="61" t="s">
        <v>380</v>
      </c>
      <c r="C3504" s="62">
        <v>44796</v>
      </c>
      <c r="D3504" s="62">
        <v>44796</v>
      </c>
      <c r="E3504" s="63">
        <v>0</v>
      </c>
    </row>
    <row r="3505" spans="1:5">
      <c r="A3505" s="61" t="s">
        <v>64</v>
      </c>
      <c r="B3505" s="61" t="s">
        <v>380</v>
      </c>
      <c r="C3505" s="62">
        <v>44797</v>
      </c>
      <c r="D3505" s="62">
        <v>44797</v>
      </c>
      <c r="E3505" s="63">
        <v>0</v>
      </c>
    </row>
    <row r="3506" spans="1:5">
      <c r="A3506" s="61" t="s">
        <v>64</v>
      </c>
      <c r="B3506" s="61" t="s">
        <v>380</v>
      </c>
      <c r="C3506" s="62">
        <v>44798</v>
      </c>
      <c r="D3506" s="62">
        <v>44798</v>
      </c>
      <c r="E3506" s="63">
        <v>0</v>
      </c>
    </row>
    <row r="3507" spans="1:5">
      <c r="A3507" s="61" t="s">
        <v>64</v>
      </c>
      <c r="B3507" s="61" t="s">
        <v>380</v>
      </c>
      <c r="C3507" s="62">
        <v>44799</v>
      </c>
      <c r="D3507" s="62">
        <v>44799</v>
      </c>
      <c r="E3507" s="63">
        <v>0</v>
      </c>
    </row>
    <row r="3508" spans="1:5">
      <c r="A3508" s="61" t="s">
        <v>64</v>
      </c>
      <c r="B3508" s="61" t="s">
        <v>380</v>
      </c>
      <c r="C3508" s="62">
        <v>44800</v>
      </c>
      <c r="D3508" s="62">
        <v>44800</v>
      </c>
      <c r="E3508" s="63">
        <v>0</v>
      </c>
    </row>
    <row r="3509" spans="1:5">
      <c r="A3509" s="61" t="s">
        <v>64</v>
      </c>
      <c r="B3509" s="61" t="s">
        <v>380</v>
      </c>
      <c r="C3509" s="62">
        <v>44801</v>
      </c>
      <c r="D3509" s="62">
        <v>44801</v>
      </c>
      <c r="E3509" s="63">
        <v>0</v>
      </c>
    </row>
    <row r="3510" spans="1:5">
      <c r="A3510" s="61" t="s">
        <v>64</v>
      </c>
      <c r="B3510" s="61" t="s">
        <v>380</v>
      </c>
      <c r="C3510" s="62">
        <v>44802</v>
      </c>
      <c r="D3510" s="62">
        <v>44802</v>
      </c>
      <c r="E3510" s="63">
        <v>0</v>
      </c>
    </row>
    <row r="3511" spans="1:5">
      <c r="A3511" s="61" t="s">
        <v>64</v>
      </c>
      <c r="B3511" s="61" t="s">
        <v>380</v>
      </c>
      <c r="C3511" s="62">
        <v>44803</v>
      </c>
      <c r="D3511" s="62">
        <v>44803</v>
      </c>
      <c r="E3511" s="63">
        <v>0</v>
      </c>
    </row>
    <row r="3512" spans="1:5">
      <c r="A3512" s="61" t="s">
        <v>193</v>
      </c>
      <c r="B3512" s="61" t="s">
        <v>381</v>
      </c>
      <c r="C3512" s="62">
        <v>44774</v>
      </c>
      <c r="D3512" s="62">
        <v>44774</v>
      </c>
      <c r="E3512" s="63">
        <v>0</v>
      </c>
    </row>
    <row r="3513" spans="1:5">
      <c r="A3513" s="61" t="s">
        <v>193</v>
      </c>
      <c r="B3513" s="61" t="s">
        <v>381</v>
      </c>
      <c r="C3513" s="62">
        <v>44775</v>
      </c>
      <c r="D3513" s="62">
        <v>44775</v>
      </c>
      <c r="E3513" s="63">
        <v>0</v>
      </c>
    </row>
    <row r="3514" spans="1:5">
      <c r="A3514" s="61" t="s">
        <v>193</v>
      </c>
      <c r="B3514" s="61" t="s">
        <v>381</v>
      </c>
      <c r="C3514" s="62">
        <v>44776</v>
      </c>
      <c r="D3514" s="62">
        <v>44776</v>
      </c>
      <c r="E3514" s="63">
        <v>0</v>
      </c>
    </row>
    <row r="3515" spans="1:5">
      <c r="A3515" s="61" t="s">
        <v>193</v>
      </c>
      <c r="B3515" s="61" t="s">
        <v>381</v>
      </c>
      <c r="C3515" s="62">
        <v>44777</v>
      </c>
      <c r="D3515" s="62">
        <v>44777</v>
      </c>
      <c r="E3515" s="63">
        <v>0</v>
      </c>
    </row>
    <row r="3516" spans="1:5">
      <c r="A3516" s="61" t="s">
        <v>193</v>
      </c>
      <c r="B3516" s="61" t="s">
        <v>381</v>
      </c>
      <c r="C3516" s="62">
        <v>44778</v>
      </c>
      <c r="D3516" s="62">
        <v>44778</v>
      </c>
      <c r="E3516" s="63">
        <v>0</v>
      </c>
    </row>
    <row r="3517" spans="1:5">
      <c r="A3517" s="61" t="s">
        <v>193</v>
      </c>
      <c r="B3517" s="61" t="s">
        <v>381</v>
      </c>
      <c r="C3517" s="62">
        <v>44779</v>
      </c>
      <c r="D3517" s="62">
        <v>44779</v>
      </c>
      <c r="E3517" s="63">
        <v>0</v>
      </c>
    </row>
    <row r="3518" spans="1:5">
      <c r="A3518" s="61" t="s">
        <v>193</v>
      </c>
      <c r="B3518" s="61" t="s">
        <v>381</v>
      </c>
      <c r="C3518" s="62">
        <v>44780</v>
      </c>
      <c r="D3518" s="62">
        <v>44780</v>
      </c>
      <c r="E3518" s="63">
        <v>0</v>
      </c>
    </row>
    <row r="3519" spans="1:5">
      <c r="A3519" s="61" t="s">
        <v>193</v>
      </c>
      <c r="B3519" s="61" t="s">
        <v>381</v>
      </c>
      <c r="C3519" s="62">
        <v>44781</v>
      </c>
      <c r="D3519" s="62">
        <v>44781</v>
      </c>
      <c r="E3519" s="63">
        <v>0</v>
      </c>
    </row>
    <row r="3520" spans="1:5">
      <c r="A3520" s="61" t="s">
        <v>193</v>
      </c>
      <c r="B3520" s="61" t="s">
        <v>381</v>
      </c>
      <c r="C3520" s="62">
        <v>44782</v>
      </c>
      <c r="D3520" s="62">
        <v>44782</v>
      </c>
      <c r="E3520" s="63">
        <v>0</v>
      </c>
    </row>
    <row r="3521" spans="1:5">
      <c r="A3521" s="61" t="s">
        <v>193</v>
      </c>
      <c r="B3521" s="61" t="s">
        <v>381</v>
      </c>
      <c r="C3521" s="62">
        <v>44783</v>
      </c>
      <c r="D3521" s="62">
        <v>44783</v>
      </c>
      <c r="E3521" s="63">
        <v>0</v>
      </c>
    </row>
    <row r="3522" spans="1:5">
      <c r="A3522" s="61" t="s">
        <v>193</v>
      </c>
      <c r="B3522" s="61" t="s">
        <v>381</v>
      </c>
      <c r="C3522" s="62">
        <v>44784</v>
      </c>
      <c r="D3522" s="62">
        <v>44784</v>
      </c>
      <c r="E3522" s="63">
        <v>0</v>
      </c>
    </row>
    <row r="3523" spans="1:5">
      <c r="A3523" s="61" t="s">
        <v>193</v>
      </c>
      <c r="B3523" s="61" t="s">
        <v>381</v>
      </c>
      <c r="C3523" s="62">
        <v>44785</v>
      </c>
      <c r="D3523" s="62">
        <v>44785</v>
      </c>
      <c r="E3523" s="63">
        <v>0</v>
      </c>
    </row>
    <row r="3524" spans="1:5">
      <c r="A3524" s="61" t="s">
        <v>193</v>
      </c>
      <c r="B3524" s="61" t="s">
        <v>381</v>
      </c>
      <c r="C3524" s="62">
        <v>44786</v>
      </c>
      <c r="D3524" s="62">
        <v>44786</v>
      </c>
      <c r="E3524" s="63">
        <v>0</v>
      </c>
    </row>
    <row r="3525" spans="1:5">
      <c r="A3525" s="61" t="s">
        <v>193</v>
      </c>
      <c r="B3525" s="61" t="s">
        <v>381</v>
      </c>
      <c r="C3525" s="62">
        <v>44787</v>
      </c>
      <c r="D3525" s="62">
        <v>44787</v>
      </c>
      <c r="E3525" s="63">
        <v>0</v>
      </c>
    </row>
    <row r="3526" spans="1:5">
      <c r="A3526" s="61" t="s">
        <v>193</v>
      </c>
      <c r="B3526" s="61" t="s">
        <v>381</v>
      </c>
      <c r="C3526" s="62">
        <v>44788</v>
      </c>
      <c r="D3526" s="62">
        <v>44788</v>
      </c>
      <c r="E3526" s="63">
        <v>0</v>
      </c>
    </row>
    <row r="3527" spans="1:5">
      <c r="A3527" s="61" t="s">
        <v>193</v>
      </c>
      <c r="B3527" s="61" t="s">
        <v>381</v>
      </c>
      <c r="C3527" s="62">
        <v>44789</v>
      </c>
      <c r="D3527" s="62">
        <v>44789</v>
      </c>
      <c r="E3527" s="63">
        <v>0</v>
      </c>
    </row>
    <row r="3528" spans="1:5">
      <c r="A3528" s="61" t="s">
        <v>193</v>
      </c>
      <c r="B3528" s="61" t="s">
        <v>381</v>
      </c>
      <c r="C3528" s="62">
        <v>44790</v>
      </c>
      <c r="D3528" s="62">
        <v>44790</v>
      </c>
      <c r="E3528" s="63">
        <v>0</v>
      </c>
    </row>
    <row r="3529" spans="1:5">
      <c r="A3529" s="61" t="s">
        <v>193</v>
      </c>
      <c r="B3529" s="61" t="s">
        <v>381</v>
      </c>
      <c r="C3529" s="62">
        <v>44791</v>
      </c>
      <c r="D3529" s="62">
        <v>44791</v>
      </c>
      <c r="E3529" s="63">
        <v>0</v>
      </c>
    </row>
    <row r="3530" spans="1:5">
      <c r="A3530" s="61" t="s">
        <v>193</v>
      </c>
      <c r="B3530" s="61" t="s">
        <v>381</v>
      </c>
      <c r="C3530" s="62">
        <v>44792</v>
      </c>
      <c r="D3530" s="62">
        <v>44792</v>
      </c>
      <c r="E3530" s="63">
        <v>0</v>
      </c>
    </row>
    <row r="3531" spans="1:5">
      <c r="A3531" s="61" t="s">
        <v>193</v>
      </c>
      <c r="B3531" s="61" t="s">
        <v>381</v>
      </c>
      <c r="C3531" s="62">
        <v>44793</v>
      </c>
      <c r="D3531" s="62">
        <v>44793</v>
      </c>
      <c r="E3531" s="63">
        <v>0</v>
      </c>
    </row>
    <row r="3532" spans="1:5">
      <c r="A3532" s="61" t="s">
        <v>193</v>
      </c>
      <c r="B3532" s="61" t="s">
        <v>381</v>
      </c>
      <c r="C3532" s="62">
        <v>44794</v>
      </c>
      <c r="D3532" s="62">
        <v>44794</v>
      </c>
      <c r="E3532" s="63">
        <v>0</v>
      </c>
    </row>
    <row r="3533" spans="1:5">
      <c r="A3533" s="61" t="s">
        <v>193</v>
      </c>
      <c r="B3533" s="61" t="s">
        <v>381</v>
      </c>
      <c r="C3533" s="62">
        <v>44795</v>
      </c>
      <c r="D3533" s="62">
        <v>44795</v>
      </c>
      <c r="E3533" s="63">
        <v>0</v>
      </c>
    </row>
    <row r="3534" spans="1:5">
      <c r="A3534" s="61" t="s">
        <v>193</v>
      </c>
      <c r="B3534" s="61" t="s">
        <v>381</v>
      </c>
      <c r="C3534" s="62">
        <v>44796</v>
      </c>
      <c r="D3534" s="62">
        <v>44796</v>
      </c>
      <c r="E3534" s="63">
        <v>0</v>
      </c>
    </row>
    <row r="3535" spans="1:5">
      <c r="A3535" s="61" t="s">
        <v>193</v>
      </c>
      <c r="B3535" s="61" t="s">
        <v>381</v>
      </c>
      <c r="C3535" s="62">
        <v>44797</v>
      </c>
      <c r="D3535" s="62">
        <v>44797</v>
      </c>
      <c r="E3535" s="63">
        <v>0</v>
      </c>
    </row>
    <row r="3536" spans="1:5">
      <c r="A3536" s="61" t="s">
        <v>193</v>
      </c>
      <c r="B3536" s="61" t="s">
        <v>381</v>
      </c>
      <c r="C3536" s="62">
        <v>44798</v>
      </c>
      <c r="D3536" s="62">
        <v>44798</v>
      </c>
      <c r="E3536" s="63">
        <v>0</v>
      </c>
    </row>
    <row r="3537" spans="1:5">
      <c r="A3537" s="61" t="s">
        <v>193</v>
      </c>
      <c r="B3537" s="61" t="s">
        <v>381</v>
      </c>
      <c r="C3537" s="62">
        <v>44799</v>
      </c>
      <c r="D3537" s="62">
        <v>44799</v>
      </c>
      <c r="E3537" s="63">
        <v>0</v>
      </c>
    </row>
    <row r="3538" spans="1:5">
      <c r="A3538" s="61" t="s">
        <v>193</v>
      </c>
      <c r="B3538" s="61" t="s">
        <v>381</v>
      </c>
      <c r="C3538" s="62">
        <v>44800</v>
      </c>
      <c r="D3538" s="62">
        <v>44800</v>
      </c>
      <c r="E3538" s="63">
        <v>0</v>
      </c>
    </row>
    <row r="3539" spans="1:5">
      <c r="A3539" s="61" t="s">
        <v>193</v>
      </c>
      <c r="B3539" s="61" t="s">
        <v>381</v>
      </c>
      <c r="C3539" s="62">
        <v>44801</v>
      </c>
      <c r="D3539" s="62">
        <v>44801</v>
      </c>
      <c r="E3539" s="63">
        <v>0</v>
      </c>
    </row>
    <row r="3540" spans="1:5">
      <c r="A3540" s="61" t="s">
        <v>193</v>
      </c>
      <c r="B3540" s="61" t="s">
        <v>381</v>
      </c>
      <c r="C3540" s="62">
        <v>44802</v>
      </c>
      <c r="D3540" s="62">
        <v>44802</v>
      </c>
      <c r="E3540" s="63">
        <v>0</v>
      </c>
    </row>
    <row r="3541" spans="1:5">
      <c r="A3541" s="61" t="s">
        <v>193</v>
      </c>
      <c r="B3541" s="61" t="s">
        <v>381</v>
      </c>
      <c r="C3541" s="62">
        <v>44803</v>
      </c>
      <c r="D3541" s="62">
        <v>44803</v>
      </c>
      <c r="E3541" s="63">
        <v>0</v>
      </c>
    </row>
    <row r="3542" spans="1:5">
      <c r="A3542" s="61" t="s">
        <v>194</v>
      </c>
      <c r="B3542" s="61" t="s">
        <v>382</v>
      </c>
      <c r="C3542" s="62">
        <v>44774</v>
      </c>
      <c r="D3542" s="62">
        <v>44774</v>
      </c>
      <c r="E3542" s="63">
        <v>0</v>
      </c>
    </row>
    <row r="3543" spans="1:5">
      <c r="A3543" s="61" t="s">
        <v>194</v>
      </c>
      <c r="B3543" s="61" t="s">
        <v>382</v>
      </c>
      <c r="C3543" s="62">
        <v>44775</v>
      </c>
      <c r="D3543" s="62">
        <v>44775</v>
      </c>
      <c r="E3543" s="63">
        <v>0</v>
      </c>
    </row>
    <row r="3544" spans="1:5">
      <c r="A3544" s="61" t="s">
        <v>194</v>
      </c>
      <c r="B3544" s="61" t="s">
        <v>382</v>
      </c>
      <c r="C3544" s="62">
        <v>44776</v>
      </c>
      <c r="D3544" s="62">
        <v>44776</v>
      </c>
      <c r="E3544" s="63">
        <v>0</v>
      </c>
    </row>
    <row r="3545" spans="1:5">
      <c r="A3545" s="61" t="s">
        <v>194</v>
      </c>
      <c r="B3545" s="61" t="s">
        <v>382</v>
      </c>
      <c r="C3545" s="62">
        <v>44777</v>
      </c>
      <c r="D3545" s="62">
        <v>44777</v>
      </c>
      <c r="E3545" s="63">
        <v>0</v>
      </c>
    </row>
    <row r="3546" spans="1:5">
      <c r="A3546" s="61" t="s">
        <v>194</v>
      </c>
      <c r="B3546" s="61" t="s">
        <v>382</v>
      </c>
      <c r="C3546" s="62">
        <v>44778</v>
      </c>
      <c r="D3546" s="62">
        <v>44778</v>
      </c>
      <c r="E3546" s="63">
        <v>0</v>
      </c>
    </row>
    <row r="3547" spans="1:5">
      <c r="A3547" s="61" t="s">
        <v>194</v>
      </c>
      <c r="B3547" s="61" t="s">
        <v>382</v>
      </c>
      <c r="C3547" s="62">
        <v>44779</v>
      </c>
      <c r="D3547" s="62">
        <v>44779</v>
      </c>
      <c r="E3547" s="63">
        <v>0</v>
      </c>
    </row>
    <row r="3548" spans="1:5">
      <c r="A3548" s="61" t="s">
        <v>194</v>
      </c>
      <c r="B3548" s="61" t="s">
        <v>382</v>
      </c>
      <c r="C3548" s="62">
        <v>44780</v>
      </c>
      <c r="D3548" s="62">
        <v>44780</v>
      </c>
      <c r="E3548" s="63">
        <v>0</v>
      </c>
    </row>
    <row r="3549" spans="1:5">
      <c r="A3549" s="61" t="s">
        <v>194</v>
      </c>
      <c r="B3549" s="61" t="s">
        <v>382</v>
      </c>
      <c r="C3549" s="62">
        <v>44781</v>
      </c>
      <c r="D3549" s="62">
        <v>44781</v>
      </c>
      <c r="E3549" s="63">
        <v>0</v>
      </c>
    </row>
    <row r="3550" spans="1:5">
      <c r="A3550" s="61" t="s">
        <v>194</v>
      </c>
      <c r="B3550" s="61" t="s">
        <v>382</v>
      </c>
      <c r="C3550" s="62">
        <v>44782</v>
      </c>
      <c r="D3550" s="62">
        <v>44782</v>
      </c>
      <c r="E3550" s="63">
        <v>0</v>
      </c>
    </row>
    <row r="3551" spans="1:5">
      <c r="A3551" s="61" t="s">
        <v>194</v>
      </c>
      <c r="B3551" s="61" t="s">
        <v>382</v>
      </c>
      <c r="C3551" s="62">
        <v>44783</v>
      </c>
      <c r="D3551" s="62">
        <v>44783</v>
      </c>
      <c r="E3551" s="63">
        <v>0</v>
      </c>
    </row>
    <row r="3552" spans="1:5">
      <c r="A3552" s="61" t="s">
        <v>194</v>
      </c>
      <c r="B3552" s="61" t="s">
        <v>382</v>
      </c>
      <c r="C3552" s="62">
        <v>44784</v>
      </c>
      <c r="D3552" s="62">
        <v>44784</v>
      </c>
      <c r="E3552" s="63">
        <v>0</v>
      </c>
    </row>
    <row r="3553" spans="1:5">
      <c r="A3553" s="61" t="s">
        <v>194</v>
      </c>
      <c r="B3553" s="61" t="s">
        <v>382</v>
      </c>
      <c r="C3553" s="62">
        <v>44785</v>
      </c>
      <c r="D3553" s="62">
        <v>44785</v>
      </c>
      <c r="E3553" s="63">
        <v>0</v>
      </c>
    </row>
    <row r="3554" spans="1:5">
      <c r="A3554" s="61" t="s">
        <v>194</v>
      </c>
      <c r="B3554" s="61" t="s">
        <v>382</v>
      </c>
      <c r="C3554" s="62">
        <v>44786</v>
      </c>
      <c r="D3554" s="62">
        <v>44786</v>
      </c>
      <c r="E3554" s="63">
        <v>0</v>
      </c>
    </row>
    <row r="3555" spans="1:5">
      <c r="A3555" s="61" t="s">
        <v>194</v>
      </c>
      <c r="B3555" s="61" t="s">
        <v>382</v>
      </c>
      <c r="C3555" s="62">
        <v>44787</v>
      </c>
      <c r="D3555" s="62">
        <v>44787</v>
      </c>
      <c r="E3555" s="63">
        <v>0</v>
      </c>
    </row>
    <row r="3556" spans="1:5">
      <c r="A3556" s="61" t="s">
        <v>194</v>
      </c>
      <c r="B3556" s="61" t="s">
        <v>382</v>
      </c>
      <c r="C3556" s="62">
        <v>44788</v>
      </c>
      <c r="D3556" s="62">
        <v>44788</v>
      </c>
      <c r="E3556" s="63">
        <v>0</v>
      </c>
    </row>
    <row r="3557" spans="1:5">
      <c r="A3557" s="61" t="s">
        <v>194</v>
      </c>
      <c r="B3557" s="61" t="s">
        <v>382</v>
      </c>
      <c r="C3557" s="62">
        <v>44789</v>
      </c>
      <c r="D3557" s="62">
        <v>44789</v>
      </c>
      <c r="E3557" s="63">
        <v>0</v>
      </c>
    </row>
    <row r="3558" spans="1:5">
      <c r="A3558" s="61" t="s">
        <v>194</v>
      </c>
      <c r="B3558" s="61" t="s">
        <v>382</v>
      </c>
      <c r="C3558" s="62">
        <v>44790</v>
      </c>
      <c r="D3558" s="62">
        <v>44790</v>
      </c>
      <c r="E3558" s="63">
        <v>0</v>
      </c>
    </row>
    <row r="3559" spans="1:5">
      <c r="A3559" s="61" t="s">
        <v>194</v>
      </c>
      <c r="B3559" s="61" t="s">
        <v>382</v>
      </c>
      <c r="C3559" s="62">
        <v>44791</v>
      </c>
      <c r="D3559" s="62">
        <v>44791</v>
      </c>
      <c r="E3559" s="63">
        <v>0</v>
      </c>
    </row>
    <row r="3560" spans="1:5">
      <c r="A3560" s="61" t="s">
        <v>194</v>
      </c>
      <c r="B3560" s="61" t="s">
        <v>382</v>
      </c>
      <c r="C3560" s="62">
        <v>44792</v>
      </c>
      <c r="D3560" s="62">
        <v>44792</v>
      </c>
      <c r="E3560" s="63">
        <v>0</v>
      </c>
    </row>
    <row r="3561" spans="1:5">
      <c r="A3561" s="61" t="s">
        <v>194</v>
      </c>
      <c r="B3561" s="61" t="s">
        <v>382</v>
      </c>
      <c r="C3561" s="62">
        <v>44793</v>
      </c>
      <c r="D3561" s="62">
        <v>44793</v>
      </c>
      <c r="E3561" s="63">
        <v>0</v>
      </c>
    </row>
    <row r="3562" spans="1:5">
      <c r="A3562" s="61" t="s">
        <v>194</v>
      </c>
      <c r="B3562" s="61" t="s">
        <v>382</v>
      </c>
      <c r="C3562" s="62">
        <v>44794</v>
      </c>
      <c r="D3562" s="62">
        <v>44794</v>
      </c>
      <c r="E3562" s="63">
        <v>0</v>
      </c>
    </row>
    <row r="3563" spans="1:5">
      <c r="A3563" s="61" t="s">
        <v>194</v>
      </c>
      <c r="B3563" s="61" t="s">
        <v>382</v>
      </c>
      <c r="C3563" s="62">
        <v>44795</v>
      </c>
      <c r="D3563" s="62">
        <v>44795</v>
      </c>
      <c r="E3563" s="63">
        <v>0</v>
      </c>
    </row>
    <row r="3564" spans="1:5">
      <c r="A3564" s="61" t="s">
        <v>194</v>
      </c>
      <c r="B3564" s="61" t="s">
        <v>382</v>
      </c>
      <c r="C3564" s="62">
        <v>44796</v>
      </c>
      <c r="D3564" s="62">
        <v>44796</v>
      </c>
      <c r="E3564" s="63">
        <v>0</v>
      </c>
    </row>
    <row r="3565" spans="1:5">
      <c r="A3565" s="61" t="s">
        <v>194</v>
      </c>
      <c r="B3565" s="61" t="s">
        <v>382</v>
      </c>
      <c r="C3565" s="62">
        <v>44797</v>
      </c>
      <c r="D3565" s="62">
        <v>44797</v>
      </c>
      <c r="E3565" s="63">
        <v>0</v>
      </c>
    </row>
    <row r="3566" spans="1:5">
      <c r="A3566" s="61" t="s">
        <v>194</v>
      </c>
      <c r="B3566" s="61" t="s">
        <v>382</v>
      </c>
      <c r="C3566" s="62">
        <v>44798</v>
      </c>
      <c r="D3566" s="62">
        <v>44798</v>
      </c>
      <c r="E3566" s="63">
        <v>0</v>
      </c>
    </row>
    <row r="3567" spans="1:5">
      <c r="A3567" s="61" t="s">
        <v>194</v>
      </c>
      <c r="B3567" s="61" t="s">
        <v>382</v>
      </c>
      <c r="C3567" s="62">
        <v>44799</v>
      </c>
      <c r="D3567" s="62">
        <v>44799</v>
      </c>
      <c r="E3567" s="63">
        <v>0</v>
      </c>
    </row>
    <row r="3568" spans="1:5">
      <c r="A3568" s="61" t="s">
        <v>194</v>
      </c>
      <c r="B3568" s="61" t="s">
        <v>382</v>
      </c>
      <c r="C3568" s="62">
        <v>44800</v>
      </c>
      <c r="D3568" s="62">
        <v>44800</v>
      </c>
      <c r="E3568" s="63">
        <v>0</v>
      </c>
    </row>
    <row r="3569" spans="1:5">
      <c r="A3569" s="61" t="s">
        <v>194</v>
      </c>
      <c r="B3569" s="61" t="s">
        <v>382</v>
      </c>
      <c r="C3569" s="62">
        <v>44801</v>
      </c>
      <c r="D3569" s="62">
        <v>44801</v>
      </c>
      <c r="E3569" s="63">
        <v>0</v>
      </c>
    </row>
    <row r="3570" spans="1:5">
      <c r="A3570" s="61" t="s">
        <v>194</v>
      </c>
      <c r="B3570" s="61" t="s">
        <v>382</v>
      </c>
      <c r="C3570" s="62">
        <v>44802</v>
      </c>
      <c r="D3570" s="62">
        <v>44802</v>
      </c>
      <c r="E3570" s="63">
        <v>0</v>
      </c>
    </row>
    <row r="3571" spans="1:5">
      <c r="A3571" s="61" t="s">
        <v>194</v>
      </c>
      <c r="B3571" s="61" t="s">
        <v>382</v>
      </c>
      <c r="C3571" s="62">
        <v>44803</v>
      </c>
      <c r="D3571" s="62">
        <v>44803</v>
      </c>
      <c r="E3571" s="63">
        <v>0</v>
      </c>
    </row>
    <row r="3572" spans="1:5">
      <c r="A3572" s="61" t="s">
        <v>195</v>
      </c>
      <c r="B3572" s="61" t="s">
        <v>383</v>
      </c>
      <c r="C3572" s="62">
        <v>44774</v>
      </c>
      <c r="D3572" s="62">
        <v>44774</v>
      </c>
      <c r="E3572" s="63">
        <v>0</v>
      </c>
    </row>
    <row r="3573" spans="1:5">
      <c r="A3573" s="61" t="s">
        <v>195</v>
      </c>
      <c r="B3573" s="61" t="s">
        <v>383</v>
      </c>
      <c r="C3573" s="62">
        <v>44775</v>
      </c>
      <c r="D3573" s="62">
        <v>44775</v>
      </c>
      <c r="E3573" s="63">
        <v>0</v>
      </c>
    </row>
    <row r="3574" spans="1:5">
      <c r="A3574" s="61" t="s">
        <v>195</v>
      </c>
      <c r="B3574" s="61" t="s">
        <v>383</v>
      </c>
      <c r="C3574" s="62">
        <v>44776</v>
      </c>
      <c r="D3574" s="62">
        <v>44776</v>
      </c>
      <c r="E3574" s="63">
        <v>0</v>
      </c>
    </row>
    <row r="3575" spans="1:5">
      <c r="A3575" s="61" t="s">
        <v>195</v>
      </c>
      <c r="B3575" s="61" t="s">
        <v>383</v>
      </c>
      <c r="C3575" s="62">
        <v>44777</v>
      </c>
      <c r="D3575" s="62">
        <v>44777</v>
      </c>
      <c r="E3575" s="63">
        <v>0</v>
      </c>
    </row>
    <row r="3576" spans="1:5">
      <c r="A3576" s="61" t="s">
        <v>195</v>
      </c>
      <c r="B3576" s="61" t="s">
        <v>383</v>
      </c>
      <c r="C3576" s="62">
        <v>44778</v>
      </c>
      <c r="D3576" s="62">
        <v>44778</v>
      </c>
      <c r="E3576" s="63">
        <v>0</v>
      </c>
    </row>
    <row r="3577" spans="1:5">
      <c r="A3577" s="61" t="s">
        <v>195</v>
      </c>
      <c r="B3577" s="61" t="s">
        <v>383</v>
      </c>
      <c r="C3577" s="62">
        <v>44779</v>
      </c>
      <c r="D3577" s="62">
        <v>44779</v>
      </c>
      <c r="E3577" s="63">
        <v>0</v>
      </c>
    </row>
    <row r="3578" spans="1:5">
      <c r="A3578" s="61" t="s">
        <v>195</v>
      </c>
      <c r="B3578" s="61" t="s">
        <v>383</v>
      </c>
      <c r="C3578" s="62">
        <v>44780</v>
      </c>
      <c r="D3578" s="62">
        <v>44780</v>
      </c>
      <c r="E3578" s="63">
        <v>0</v>
      </c>
    </row>
    <row r="3579" spans="1:5">
      <c r="A3579" s="61" t="s">
        <v>195</v>
      </c>
      <c r="B3579" s="61" t="s">
        <v>383</v>
      </c>
      <c r="C3579" s="62">
        <v>44781</v>
      </c>
      <c r="D3579" s="62">
        <v>44781</v>
      </c>
      <c r="E3579" s="63">
        <v>0</v>
      </c>
    </row>
    <row r="3580" spans="1:5">
      <c r="A3580" s="61" t="s">
        <v>195</v>
      </c>
      <c r="B3580" s="61" t="s">
        <v>383</v>
      </c>
      <c r="C3580" s="62">
        <v>44782</v>
      </c>
      <c r="D3580" s="62">
        <v>44782</v>
      </c>
      <c r="E3580" s="63">
        <v>0</v>
      </c>
    </row>
    <row r="3581" spans="1:5">
      <c r="A3581" s="61" t="s">
        <v>195</v>
      </c>
      <c r="B3581" s="61" t="s">
        <v>383</v>
      </c>
      <c r="C3581" s="62">
        <v>44783</v>
      </c>
      <c r="D3581" s="62">
        <v>44783</v>
      </c>
      <c r="E3581" s="63">
        <v>0</v>
      </c>
    </row>
    <row r="3582" spans="1:5">
      <c r="A3582" s="61" t="s">
        <v>195</v>
      </c>
      <c r="B3582" s="61" t="s">
        <v>383</v>
      </c>
      <c r="C3582" s="62">
        <v>44784</v>
      </c>
      <c r="D3582" s="62">
        <v>44784</v>
      </c>
      <c r="E3582" s="63">
        <v>0</v>
      </c>
    </row>
    <row r="3583" spans="1:5">
      <c r="A3583" s="61" t="s">
        <v>195</v>
      </c>
      <c r="B3583" s="61" t="s">
        <v>383</v>
      </c>
      <c r="C3583" s="62">
        <v>44785</v>
      </c>
      <c r="D3583" s="62">
        <v>44785</v>
      </c>
      <c r="E3583" s="63">
        <v>0</v>
      </c>
    </row>
    <row r="3584" spans="1:5">
      <c r="A3584" s="61" t="s">
        <v>195</v>
      </c>
      <c r="B3584" s="61" t="s">
        <v>383</v>
      </c>
      <c r="C3584" s="62">
        <v>44786</v>
      </c>
      <c r="D3584" s="62">
        <v>44786</v>
      </c>
      <c r="E3584" s="63">
        <v>0</v>
      </c>
    </row>
    <row r="3585" spans="1:5">
      <c r="A3585" s="61" t="s">
        <v>195</v>
      </c>
      <c r="B3585" s="61" t="s">
        <v>383</v>
      </c>
      <c r="C3585" s="62">
        <v>44787</v>
      </c>
      <c r="D3585" s="62">
        <v>44787</v>
      </c>
      <c r="E3585" s="63">
        <v>0</v>
      </c>
    </row>
    <row r="3586" spans="1:5">
      <c r="A3586" s="61" t="s">
        <v>195</v>
      </c>
      <c r="B3586" s="61" t="s">
        <v>383</v>
      </c>
      <c r="C3586" s="62">
        <v>44788</v>
      </c>
      <c r="D3586" s="62">
        <v>44788</v>
      </c>
      <c r="E3586" s="63">
        <v>0</v>
      </c>
    </row>
    <row r="3587" spans="1:5">
      <c r="A3587" s="61" t="s">
        <v>195</v>
      </c>
      <c r="B3587" s="61" t="s">
        <v>383</v>
      </c>
      <c r="C3587" s="62">
        <v>44789</v>
      </c>
      <c r="D3587" s="62">
        <v>44789</v>
      </c>
      <c r="E3587" s="63">
        <v>0</v>
      </c>
    </row>
    <row r="3588" spans="1:5">
      <c r="A3588" s="61" t="s">
        <v>195</v>
      </c>
      <c r="B3588" s="61" t="s">
        <v>383</v>
      </c>
      <c r="C3588" s="62">
        <v>44790</v>
      </c>
      <c r="D3588" s="62">
        <v>44790</v>
      </c>
      <c r="E3588" s="63">
        <v>0</v>
      </c>
    </row>
    <row r="3589" spans="1:5">
      <c r="A3589" s="61" t="s">
        <v>195</v>
      </c>
      <c r="B3589" s="61" t="s">
        <v>383</v>
      </c>
      <c r="C3589" s="62">
        <v>44791</v>
      </c>
      <c r="D3589" s="62">
        <v>44791</v>
      </c>
      <c r="E3589" s="63">
        <v>0</v>
      </c>
    </row>
    <row r="3590" spans="1:5">
      <c r="A3590" s="61" t="s">
        <v>195</v>
      </c>
      <c r="B3590" s="61" t="s">
        <v>383</v>
      </c>
      <c r="C3590" s="62">
        <v>44792</v>
      </c>
      <c r="D3590" s="62">
        <v>44792</v>
      </c>
      <c r="E3590" s="63">
        <v>0</v>
      </c>
    </row>
    <row r="3591" spans="1:5">
      <c r="A3591" s="61" t="s">
        <v>195</v>
      </c>
      <c r="B3591" s="61" t="s">
        <v>383</v>
      </c>
      <c r="C3591" s="62">
        <v>44793</v>
      </c>
      <c r="D3591" s="62">
        <v>44793</v>
      </c>
      <c r="E3591" s="63">
        <v>0</v>
      </c>
    </row>
    <row r="3592" spans="1:5">
      <c r="A3592" s="61" t="s">
        <v>195</v>
      </c>
      <c r="B3592" s="61" t="s">
        <v>383</v>
      </c>
      <c r="C3592" s="62">
        <v>44794</v>
      </c>
      <c r="D3592" s="62">
        <v>44794</v>
      </c>
      <c r="E3592" s="63">
        <v>0</v>
      </c>
    </row>
    <row r="3593" spans="1:5">
      <c r="A3593" s="61" t="s">
        <v>195</v>
      </c>
      <c r="B3593" s="61" t="s">
        <v>383</v>
      </c>
      <c r="C3593" s="62">
        <v>44795</v>
      </c>
      <c r="D3593" s="62">
        <v>44795</v>
      </c>
      <c r="E3593" s="63">
        <v>0</v>
      </c>
    </row>
    <row r="3594" spans="1:5">
      <c r="A3594" s="61" t="s">
        <v>195</v>
      </c>
      <c r="B3594" s="61" t="s">
        <v>383</v>
      </c>
      <c r="C3594" s="62">
        <v>44796</v>
      </c>
      <c r="D3594" s="62">
        <v>44796</v>
      </c>
      <c r="E3594" s="63">
        <v>0</v>
      </c>
    </row>
    <row r="3595" spans="1:5">
      <c r="A3595" s="61" t="s">
        <v>195</v>
      </c>
      <c r="B3595" s="61" t="s">
        <v>383</v>
      </c>
      <c r="C3595" s="62">
        <v>44797</v>
      </c>
      <c r="D3595" s="62">
        <v>44797</v>
      </c>
      <c r="E3595" s="63">
        <v>0</v>
      </c>
    </row>
    <row r="3596" spans="1:5">
      <c r="A3596" s="61" t="s">
        <v>195</v>
      </c>
      <c r="B3596" s="61" t="s">
        <v>383</v>
      </c>
      <c r="C3596" s="62">
        <v>44798</v>
      </c>
      <c r="D3596" s="62">
        <v>44798</v>
      </c>
      <c r="E3596" s="63">
        <v>0</v>
      </c>
    </row>
    <row r="3597" spans="1:5">
      <c r="A3597" s="61" t="s">
        <v>195</v>
      </c>
      <c r="B3597" s="61" t="s">
        <v>383</v>
      </c>
      <c r="C3597" s="62">
        <v>44799</v>
      </c>
      <c r="D3597" s="62">
        <v>44799</v>
      </c>
      <c r="E3597" s="63">
        <v>0</v>
      </c>
    </row>
    <row r="3598" spans="1:5">
      <c r="A3598" s="61" t="s">
        <v>195</v>
      </c>
      <c r="B3598" s="61" t="s">
        <v>383</v>
      </c>
      <c r="C3598" s="62">
        <v>44800</v>
      </c>
      <c r="D3598" s="62">
        <v>44800</v>
      </c>
      <c r="E3598" s="63">
        <v>0</v>
      </c>
    </row>
    <row r="3599" spans="1:5">
      <c r="A3599" s="61" t="s">
        <v>195</v>
      </c>
      <c r="B3599" s="61" t="s">
        <v>383</v>
      </c>
      <c r="C3599" s="62">
        <v>44801</v>
      </c>
      <c r="D3599" s="62">
        <v>44801</v>
      </c>
      <c r="E3599" s="63">
        <v>0</v>
      </c>
    </row>
    <row r="3600" spans="1:5">
      <c r="A3600" s="61" t="s">
        <v>195</v>
      </c>
      <c r="B3600" s="61" t="s">
        <v>383</v>
      </c>
      <c r="C3600" s="62">
        <v>44802</v>
      </c>
      <c r="D3600" s="62">
        <v>44802</v>
      </c>
      <c r="E3600" s="63">
        <v>0</v>
      </c>
    </row>
    <row r="3601" spans="1:5">
      <c r="A3601" s="61" t="s">
        <v>195</v>
      </c>
      <c r="B3601" s="61" t="s">
        <v>383</v>
      </c>
      <c r="C3601" s="62">
        <v>44803</v>
      </c>
      <c r="D3601" s="62">
        <v>44803</v>
      </c>
      <c r="E3601" s="63">
        <v>0</v>
      </c>
    </row>
    <row r="3602" spans="1:5">
      <c r="A3602" s="61" t="s">
        <v>66</v>
      </c>
      <c r="B3602" s="61" t="s">
        <v>380</v>
      </c>
      <c r="C3602" s="62">
        <v>44774</v>
      </c>
      <c r="D3602" s="62">
        <v>44774</v>
      </c>
      <c r="E3602" s="63">
        <v>0</v>
      </c>
    </row>
    <row r="3603" spans="1:5">
      <c r="A3603" s="61" t="s">
        <v>66</v>
      </c>
      <c r="B3603" s="61" t="s">
        <v>380</v>
      </c>
      <c r="C3603" s="62">
        <v>44775</v>
      </c>
      <c r="D3603" s="62">
        <v>44775</v>
      </c>
      <c r="E3603" s="63">
        <v>0</v>
      </c>
    </row>
    <row r="3604" spans="1:5">
      <c r="A3604" s="61" t="s">
        <v>66</v>
      </c>
      <c r="B3604" s="61" t="s">
        <v>380</v>
      </c>
      <c r="C3604" s="62">
        <v>44776</v>
      </c>
      <c r="D3604" s="62">
        <v>44776</v>
      </c>
      <c r="E3604" s="63">
        <v>0</v>
      </c>
    </row>
    <row r="3605" spans="1:5">
      <c r="A3605" s="61" t="s">
        <v>66</v>
      </c>
      <c r="B3605" s="61" t="s">
        <v>380</v>
      </c>
      <c r="C3605" s="62">
        <v>44777</v>
      </c>
      <c r="D3605" s="62">
        <v>44777</v>
      </c>
      <c r="E3605" s="63">
        <v>0</v>
      </c>
    </row>
    <row r="3606" spans="1:5">
      <c r="A3606" s="61" t="s">
        <v>66</v>
      </c>
      <c r="B3606" s="61" t="s">
        <v>380</v>
      </c>
      <c r="C3606" s="62">
        <v>44778</v>
      </c>
      <c r="D3606" s="62">
        <v>44778</v>
      </c>
      <c r="E3606" s="63">
        <v>0</v>
      </c>
    </row>
    <row r="3607" spans="1:5">
      <c r="A3607" s="61" t="s">
        <v>66</v>
      </c>
      <c r="B3607" s="61" t="s">
        <v>380</v>
      </c>
      <c r="C3607" s="62">
        <v>44779</v>
      </c>
      <c r="D3607" s="62">
        <v>44779</v>
      </c>
      <c r="E3607" s="63">
        <v>0</v>
      </c>
    </row>
    <row r="3608" spans="1:5">
      <c r="A3608" s="61" t="s">
        <v>66</v>
      </c>
      <c r="B3608" s="61" t="s">
        <v>380</v>
      </c>
      <c r="C3608" s="62">
        <v>44780</v>
      </c>
      <c r="D3608" s="62">
        <v>44780</v>
      </c>
      <c r="E3608" s="63">
        <v>0</v>
      </c>
    </row>
    <row r="3609" spans="1:5">
      <c r="A3609" s="61" t="s">
        <v>66</v>
      </c>
      <c r="B3609" s="61" t="s">
        <v>380</v>
      </c>
      <c r="C3609" s="62">
        <v>44781</v>
      </c>
      <c r="D3609" s="62">
        <v>44781</v>
      </c>
      <c r="E3609" s="63">
        <v>0</v>
      </c>
    </row>
    <row r="3610" spans="1:5">
      <c r="A3610" s="61" t="s">
        <v>66</v>
      </c>
      <c r="B3610" s="61" t="s">
        <v>380</v>
      </c>
      <c r="C3610" s="62">
        <v>44782</v>
      </c>
      <c r="D3610" s="62">
        <v>44782</v>
      </c>
      <c r="E3610" s="63">
        <v>0</v>
      </c>
    </row>
    <row r="3611" spans="1:5">
      <c r="A3611" s="61" t="s">
        <v>66</v>
      </c>
      <c r="B3611" s="61" t="s">
        <v>380</v>
      </c>
      <c r="C3611" s="62">
        <v>44783</v>
      </c>
      <c r="D3611" s="62">
        <v>44783</v>
      </c>
      <c r="E3611" s="63">
        <v>0</v>
      </c>
    </row>
    <row r="3612" spans="1:5">
      <c r="A3612" s="61" t="s">
        <v>66</v>
      </c>
      <c r="B3612" s="61" t="s">
        <v>380</v>
      </c>
      <c r="C3612" s="62">
        <v>44784</v>
      </c>
      <c r="D3612" s="62">
        <v>44784</v>
      </c>
      <c r="E3612" s="63">
        <v>0</v>
      </c>
    </row>
    <row r="3613" spans="1:5">
      <c r="A3613" s="61" t="s">
        <v>66</v>
      </c>
      <c r="B3613" s="61" t="s">
        <v>380</v>
      </c>
      <c r="C3613" s="62">
        <v>44785</v>
      </c>
      <c r="D3613" s="62">
        <v>44785</v>
      </c>
      <c r="E3613" s="63">
        <v>0</v>
      </c>
    </row>
    <row r="3614" spans="1:5">
      <c r="A3614" s="61" t="s">
        <v>66</v>
      </c>
      <c r="B3614" s="61" t="s">
        <v>380</v>
      </c>
      <c r="C3614" s="62">
        <v>44786</v>
      </c>
      <c r="D3614" s="62">
        <v>44786</v>
      </c>
      <c r="E3614" s="63">
        <v>0</v>
      </c>
    </row>
    <row r="3615" spans="1:5">
      <c r="A3615" s="61" t="s">
        <v>66</v>
      </c>
      <c r="B3615" s="61" t="s">
        <v>380</v>
      </c>
      <c r="C3615" s="62">
        <v>44787</v>
      </c>
      <c r="D3615" s="62">
        <v>44787</v>
      </c>
      <c r="E3615" s="63">
        <v>0</v>
      </c>
    </row>
    <row r="3616" spans="1:5">
      <c r="A3616" s="61" t="s">
        <v>66</v>
      </c>
      <c r="B3616" s="61" t="s">
        <v>380</v>
      </c>
      <c r="C3616" s="62">
        <v>44788</v>
      </c>
      <c r="D3616" s="62">
        <v>44788</v>
      </c>
      <c r="E3616" s="63">
        <v>0</v>
      </c>
    </row>
    <row r="3617" spans="1:5">
      <c r="A3617" s="61" t="s">
        <v>66</v>
      </c>
      <c r="B3617" s="61" t="s">
        <v>380</v>
      </c>
      <c r="C3617" s="62">
        <v>44789</v>
      </c>
      <c r="D3617" s="62">
        <v>44789</v>
      </c>
      <c r="E3617" s="63">
        <v>0</v>
      </c>
    </row>
    <row r="3618" spans="1:5">
      <c r="A3618" s="61" t="s">
        <v>66</v>
      </c>
      <c r="B3618" s="61" t="s">
        <v>380</v>
      </c>
      <c r="C3618" s="62">
        <v>44790</v>
      </c>
      <c r="D3618" s="62">
        <v>44790</v>
      </c>
      <c r="E3618" s="63">
        <v>0</v>
      </c>
    </row>
    <row r="3619" spans="1:5">
      <c r="A3619" s="61" t="s">
        <v>66</v>
      </c>
      <c r="B3619" s="61" t="s">
        <v>380</v>
      </c>
      <c r="C3619" s="62">
        <v>44791</v>
      </c>
      <c r="D3619" s="62">
        <v>44791</v>
      </c>
      <c r="E3619" s="63">
        <v>0</v>
      </c>
    </row>
    <row r="3620" spans="1:5">
      <c r="A3620" s="61" t="s">
        <v>66</v>
      </c>
      <c r="B3620" s="61" t="s">
        <v>380</v>
      </c>
      <c r="C3620" s="62">
        <v>44792</v>
      </c>
      <c r="D3620" s="62">
        <v>44792</v>
      </c>
      <c r="E3620" s="63">
        <v>0</v>
      </c>
    </row>
    <row r="3621" spans="1:5">
      <c r="A3621" s="61" t="s">
        <v>66</v>
      </c>
      <c r="B3621" s="61" t="s">
        <v>380</v>
      </c>
      <c r="C3621" s="62">
        <v>44793</v>
      </c>
      <c r="D3621" s="62">
        <v>44793</v>
      </c>
      <c r="E3621" s="63">
        <v>0</v>
      </c>
    </row>
    <row r="3622" spans="1:5">
      <c r="A3622" s="61" t="s">
        <v>66</v>
      </c>
      <c r="B3622" s="61" t="s">
        <v>380</v>
      </c>
      <c r="C3622" s="62">
        <v>44794</v>
      </c>
      <c r="D3622" s="62">
        <v>44794</v>
      </c>
      <c r="E3622" s="63">
        <v>0</v>
      </c>
    </row>
    <row r="3623" spans="1:5">
      <c r="A3623" s="61" t="s">
        <v>66</v>
      </c>
      <c r="B3623" s="61" t="s">
        <v>380</v>
      </c>
      <c r="C3623" s="62">
        <v>44795</v>
      </c>
      <c r="D3623" s="62">
        <v>44795</v>
      </c>
      <c r="E3623" s="63">
        <v>0</v>
      </c>
    </row>
    <row r="3624" spans="1:5">
      <c r="A3624" s="61" t="s">
        <v>66</v>
      </c>
      <c r="B3624" s="61" t="s">
        <v>380</v>
      </c>
      <c r="C3624" s="62">
        <v>44796</v>
      </c>
      <c r="D3624" s="62">
        <v>44796</v>
      </c>
      <c r="E3624" s="63">
        <v>0</v>
      </c>
    </row>
    <row r="3625" spans="1:5">
      <c r="A3625" s="61" t="s">
        <v>66</v>
      </c>
      <c r="B3625" s="61" t="s">
        <v>380</v>
      </c>
      <c r="C3625" s="62">
        <v>44797</v>
      </c>
      <c r="D3625" s="62">
        <v>44797</v>
      </c>
      <c r="E3625" s="63">
        <v>0</v>
      </c>
    </row>
    <row r="3626" spans="1:5">
      <c r="A3626" s="61" t="s">
        <v>66</v>
      </c>
      <c r="B3626" s="61" t="s">
        <v>380</v>
      </c>
      <c r="C3626" s="62">
        <v>44798</v>
      </c>
      <c r="D3626" s="62">
        <v>44798</v>
      </c>
      <c r="E3626" s="63">
        <v>0</v>
      </c>
    </row>
    <row r="3627" spans="1:5">
      <c r="A3627" s="61" t="s">
        <v>66</v>
      </c>
      <c r="B3627" s="61" t="s">
        <v>380</v>
      </c>
      <c r="C3627" s="62">
        <v>44799</v>
      </c>
      <c r="D3627" s="62">
        <v>44799</v>
      </c>
      <c r="E3627" s="63">
        <v>0</v>
      </c>
    </row>
    <row r="3628" spans="1:5">
      <c r="A3628" s="61" t="s">
        <v>66</v>
      </c>
      <c r="B3628" s="61" t="s">
        <v>380</v>
      </c>
      <c r="C3628" s="62">
        <v>44800</v>
      </c>
      <c r="D3628" s="62">
        <v>44800</v>
      </c>
      <c r="E3628" s="63">
        <v>0</v>
      </c>
    </row>
    <row r="3629" spans="1:5">
      <c r="A3629" s="61" t="s">
        <v>66</v>
      </c>
      <c r="B3629" s="61" t="s">
        <v>380</v>
      </c>
      <c r="C3629" s="62">
        <v>44801</v>
      </c>
      <c r="D3629" s="62">
        <v>44801</v>
      </c>
      <c r="E3629" s="63">
        <v>0</v>
      </c>
    </row>
    <row r="3630" spans="1:5">
      <c r="A3630" s="61" t="s">
        <v>66</v>
      </c>
      <c r="B3630" s="61" t="s">
        <v>380</v>
      </c>
      <c r="C3630" s="62">
        <v>44802</v>
      </c>
      <c r="D3630" s="62">
        <v>44802</v>
      </c>
      <c r="E3630" s="63">
        <v>0</v>
      </c>
    </row>
    <row r="3631" spans="1:5">
      <c r="A3631" s="61" t="s">
        <v>66</v>
      </c>
      <c r="B3631" s="61" t="s">
        <v>380</v>
      </c>
      <c r="C3631" s="62">
        <v>44803</v>
      </c>
      <c r="D3631" s="62">
        <v>44803</v>
      </c>
      <c r="E3631" s="63">
        <v>0</v>
      </c>
    </row>
    <row r="3632" spans="1:5">
      <c r="A3632" s="61" t="s">
        <v>196</v>
      </c>
      <c r="B3632" s="61" t="s">
        <v>381</v>
      </c>
      <c r="C3632" s="62">
        <v>44774</v>
      </c>
      <c r="D3632" s="62">
        <v>44774</v>
      </c>
      <c r="E3632" s="63">
        <v>0</v>
      </c>
    </row>
    <row r="3633" spans="1:5">
      <c r="A3633" s="61" t="s">
        <v>196</v>
      </c>
      <c r="B3633" s="61" t="s">
        <v>381</v>
      </c>
      <c r="C3633" s="62">
        <v>44775</v>
      </c>
      <c r="D3633" s="62">
        <v>44775</v>
      </c>
      <c r="E3633" s="63">
        <v>0</v>
      </c>
    </row>
    <row r="3634" spans="1:5">
      <c r="A3634" s="61" t="s">
        <v>196</v>
      </c>
      <c r="B3634" s="61" t="s">
        <v>381</v>
      </c>
      <c r="C3634" s="62">
        <v>44776</v>
      </c>
      <c r="D3634" s="62">
        <v>44776</v>
      </c>
      <c r="E3634" s="63">
        <v>0</v>
      </c>
    </row>
    <row r="3635" spans="1:5">
      <c r="A3635" s="61" t="s">
        <v>196</v>
      </c>
      <c r="B3635" s="61" t="s">
        <v>381</v>
      </c>
      <c r="C3635" s="62">
        <v>44777</v>
      </c>
      <c r="D3635" s="62">
        <v>44777</v>
      </c>
      <c r="E3635" s="63">
        <v>67.290000000000006</v>
      </c>
    </row>
    <row r="3636" spans="1:5">
      <c r="A3636" s="61" t="s">
        <v>196</v>
      </c>
      <c r="B3636" s="61" t="s">
        <v>381</v>
      </c>
      <c r="C3636" s="62">
        <v>44778</v>
      </c>
      <c r="D3636" s="62">
        <v>44778</v>
      </c>
      <c r="E3636" s="63">
        <v>0</v>
      </c>
    </row>
    <row r="3637" spans="1:5">
      <c r="A3637" s="61" t="s">
        <v>196</v>
      </c>
      <c r="B3637" s="61" t="s">
        <v>381</v>
      </c>
      <c r="C3637" s="62">
        <v>44779</v>
      </c>
      <c r="D3637" s="62">
        <v>44779</v>
      </c>
      <c r="E3637" s="63">
        <v>0</v>
      </c>
    </row>
    <row r="3638" spans="1:5">
      <c r="A3638" s="61" t="s">
        <v>196</v>
      </c>
      <c r="B3638" s="61" t="s">
        <v>381</v>
      </c>
      <c r="C3638" s="62">
        <v>44780</v>
      </c>
      <c r="D3638" s="62">
        <v>44780</v>
      </c>
      <c r="E3638" s="63">
        <v>0</v>
      </c>
    </row>
    <row r="3639" spans="1:5">
      <c r="A3639" s="61" t="s">
        <v>196</v>
      </c>
      <c r="B3639" s="61" t="s">
        <v>381</v>
      </c>
      <c r="C3639" s="62">
        <v>44781</v>
      </c>
      <c r="D3639" s="62">
        <v>44781</v>
      </c>
      <c r="E3639" s="63">
        <v>0</v>
      </c>
    </row>
    <row r="3640" spans="1:5">
      <c r="A3640" s="61" t="s">
        <v>196</v>
      </c>
      <c r="B3640" s="61" t="s">
        <v>381</v>
      </c>
      <c r="C3640" s="62">
        <v>44782</v>
      </c>
      <c r="D3640" s="62">
        <v>44782</v>
      </c>
      <c r="E3640" s="63">
        <v>0</v>
      </c>
    </row>
    <row r="3641" spans="1:5">
      <c r="A3641" s="61" t="s">
        <v>196</v>
      </c>
      <c r="B3641" s="61" t="s">
        <v>381</v>
      </c>
      <c r="C3641" s="62">
        <v>44783</v>
      </c>
      <c r="D3641" s="62">
        <v>44783</v>
      </c>
      <c r="E3641" s="63">
        <v>0</v>
      </c>
    </row>
    <row r="3642" spans="1:5">
      <c r="A3642" s="61" t="s">
        <v>196</v>
      </c>
      <c r="B3642" s="61" t="s">
        <v>381</v>
      </c>
      <c r="C3642" s="62">
        <v>44784</v>
      </c>
      <c r="D3642" s="62">
        <v>44784</v>
      </c>
      <c r="E3642" s="63">
        <v>0</v>
      </c>
    </row>
    <row r="3643" spans="1:5">
      <c r="A3643" s="61" t="s">
        <v>196</v>
      </c>
      <c r="B3643" s="61" t="s">
        <v>381</v>
      </c>
      <c r="C3643" s="62">
        <v>44785</v>
      </c>
      <c r="D3643" s="62">
        <v>44785</v>
      </c>
      <c r="E3643" s="63">
        <v>0</v>
      </c>
    </row>
    <row r="3644" spans="1:5">
      <c r="A3644" s="61" t="s">
        <v>196</v>
      </c>
      <c r="B3644" s="61" t="s">
        <v>381</v>
      </c>
      <c r="C3644" s="62">
        <v>44786</v>
      </c>
      <c r="D3644" s="62">
        <v>44786</v>
      </c>
      <c r="E3644" s="63">
        <v>0</v>
      </c>
    </row>
    <row r="3645" spans="1:5">
      <c r="A3645" s="61" t="s">
        <v>196</v>
      </c>
      <c r="B3645" s="61" t="s">
        <v>381</v>
      </c>
      <c r="C3645" s="62">
        <v>44787</v>
      </c>
      <c r="D3645" s="62">
        <v>44787</v>
      </c>
      <c r="E3645" s="63">
        <v>0</v>
      </c>
    </row>
    <row r="3646" spans="1:5">
      <c r="A3646" s="61" t="s">
        <v>196</v>
      </c>
      <c r="B3646" s="61" t="s">
        <v>381</v>
      </c>
      <c r="C3646" s="62">
        <v>44788</v>
      </c>
      <c r="D3646" s="62">
        <v>44788</v>
      </c>
      <c r="E3646" s="63">
        <v>0</v>
      </c>
    </row>
    <row r="3647" spans="1:5">
      <c r="A3647" s="61" t="s">
        <v>196</v>
      </c>
      <c r="B3647" s="61" t="s">
        <v>381</v>
      </c>
      <c r="C3647" s="62">
        <v>44789</v>
      </c>
      <c r="D3647" s="62">
        <v>44789</v>
      </c>
      <c r="E3647" s="63">
        <v>0</v>
      </c>
    </row>
    <row r="3648" spans="1:5">
      <c r="A3648" s="61" t="s">
        <v>196</v>
      </c>
      <c r="B3648" s="61" t="s">
        <v>381</v>
      </c>
      <c r="C3648" s="62">
        <v>44790</v>
      </c>
      <c r="D3648" s="62">
        <v>44790</v>
      </c>
      <c r="E3648" s="63">
        <v>0</v>
      </c>
    </row>
    <row r="3649" spans="1:5">
      <c r="A3649" s="61" t="s">
        <v>196</v>
      </c>
      <c r="B3649" s="61" t="s">
        <v>381</v>
      </c>
      <c r="C3649" s="62">
        <v>44791</v>
      </c>
      <c r="D3649" s="62">
        <v>44791</v>
      </c>
      <c r="E3649" s="63">
        <v>0</v>
      </c>
    </row>
    <row r="3650" spans="1:5">
      <c r="A3650" s="61" t="s">
        <v>196</v>
      </c>
      <c r="B3650" s="61" t="s">
        <v>381</v>
      </c>
      <c r="C3650" s="62">
        <v>44792</v>
      </c>
      <c r="D3650" s="62">
        <v>44792</v>
      </c>
      <c r="E3650" s="63">
        <v>0</v>
      </c>
    </row>
    <row r="3651" spans="1:5">
      <c r="A3651" s="61" t="s">
        <v>196</v>
      </c>
      <c r="B3651" s="61" t="s">
        <v>381</v>
      </c>
      <c r="C3651" s="62">
        <v>44793</v>
      </c>
      <c r="D3651" s="62">
        <v>44793</v>
      </c>
      <c r="E3651" s="63">
        <v>0</v>
      </c>
    </row>
    <row r="3652" spans="1:5">
      <c r="A3652" s="61" t="s">
        <v>196</v>
      </c>
      <c r="B3652" s="61" t="s">
        <v>381</v>
      </c>
      <c r="C3652" s="62">
        <v>44794</v>
      </c>
      <c r="D3652" s="62">
        <v>44794</v>
      </c>
      <c r="E3652" s="63">
        <v>0</v>
      </c>
    </row>
    <row r="3653" spans="1:5">
      <c r="A3653" s="61" t="s">
        <v>196</v>
      </c>
      <c r="B3653" s="61" t="s">
        <v>381</v>
      </c>
      <c r="C3653" s="62">
        <v>44795</v>
      </c>
      <c r="D3653" s="62">
        <v>44795</v>
      </c>
      <c r="E3653" s="63">
        <v>0</v>
      </c>
    </row>
    <row r="3654" spans="1:5">
      <c r="A3654" s="61" t="s">
        <v>196</v>
      </c>
      <c r="B3654" s="61" t="s">
        <v>381</v>
      </c>
      <c r="C3654" s="62">
        <v>44796</v>
      </c>
      <c r="D3654" s="62">
        <v>44796</v>
      </c>
      <c r="E3654" s="63">
        <v>0</v>
      </c>
    </row>
    <row r="3655" spans="1:5">
      <c r="A3655" s="61" t="s">
        <v>196</v>
      </c>
      <c r="B3655" s="61" t="s">
        <v>381</v>
      </c>
      <c r="C3655" s="62">
        <v>44797</v>
      </c>
      <c r="D3655" s="62">
        <v>44797</v>
      </c>
      <c r="E3655" s="63">
        <v>0</v>
      </c>
    </row>
    <row r="3656" spans="1:5">
      <c r="A3656" s="61" t="s">
        <v>196</v>
      </c>
      <c r="B3656" s="61" t="s">
        <v>381</v>
      </c>
      <c r="C3656" s="62">
        <v>44798</v>
      </c>
      <c r="D3656" s="62">
        <v>44798</v>
      </c>
      <c r="E3656" s="63">
        <v>0</v>
      </c>
    </row>
    <row r="3657" spans="1:5">
      <c r="A3657" s="61" t="s">
        <v>196</v>
      </c>
      <c r="B3657" s="61" t="s">
        <v>381</v>
      </c>
      <c r="C3657" s="62">
        <v>44799</v>
      </c>
      <c r="D3657" s="62">
        <v>44799</v>
      </c>
      <c r="E3657" s="63">
        <v>0</v>
      </c>
    </row>
    <row r="3658" spans="1:5">
      <c r="A3658" s="61" t="s">
        <v>196</v>
      </c>
      <c r="B3658" s="61" t="s">
        <v>381</v>
      </c>
      <c r="C3658" s="62">
        <v>44800</v>
      </c>
      <c r="D3658" s="62">
        <v>44800</v>
      </c>
      <c r="E3658" s="63">
        <v>0</v>
      </c>
    </row>
    <row r="3659" spans="1:5">
      <c r="A3659" s="61" t="s">
        <v>196</v>
      </c>
      <c r="B3659" s="61" t="s">
        <v>381</v>
      </c>
      <c r="C3659" s="62">
        <v>44801</v>
      </c>
      <c r="D3659" s="62">
        <v>44801</v>
      </c>
      <c r="E3659" s="63">
        <v>0</v>
      </c>
    </row>
    <row r="3660" spans="1:5">
      <c r="A3660" s="61" t="s">
        <v>196</v>
      </c>
      <c r="B3660" s="61" t="s">
        <v>381</v>
      </c>
      <c r="C3660" s="62">
        <v>44802</v>
      </c>
      <c r="D3660" s="62">
        <v>44802</v>
      </c>
      <c r="E3660" s="63">
        <v>0</v>
      </c>
    </row>
    <row r="3661" spans="1:5">
      <c r="A3661" s="61" t="s">
        <v>196</v>
      </c>
      <c r="B3661" s="61" t="s">
        <v>381</v>
      </c>
      <c r="C3661" s="62">
        <v>44803</v>
      </c>
      <c r="D3661" s="62">
        <v>44803</v>
      </c>
      <c r="E3661" s="63">
        <v>0</v>
      </c>
    </row>
    <row r="3662" spans="1:5">
      <c r="A3662" s="61" t="s">
        <v>197</v>
      </c>
      <c r="B3662" s="61" t="s">
        <v>382</v>
      </c>
      <c r="C3662" s="62">
        <v>44774</v>
      </c>
      <c r="D3662" s="62">
        <v>44774</v>
      </c>
      <c r="E3662" s="63">
        <v>0</v>
      </c>
    </row>
    <row r="3663" spans="1:5">
      <c r="A3663" s="61" t="s">
        <v>197</v>
      </c>
      <c r="B3663" s="61" t="s">
        <v>382</v>
      </c>
      <c r="C3663" s="62">
        <v>44775</v>
      </c>
      <c r="D3663" s="62">
        <v>44775</v>
      </c>
      <c r="E3663" s="63">
        <v>0</v>
      </c>
    </row>
    <row r="3664" spans="1:5">
      <c r="A3664" s="61" t="s">
        <v>197</v>
      </c>
      <c r="B3664" s="61" t="s">
        <v>382</v>
      </c>
      <c r="C3664" s="62">
        <v>44776</v>
      </c>
      <c r="D3664" s="62">
        <v>44776</v>
      </c>
      <c r="E3664" s="63">
        <v>0</v>
      </c>
    </row>
    <row r="3665" spans="1:5">
      <c r="A3665" s="61" t="s">
        <v>197</v>
      </c>
      <c r="B3665" s="61" t="s">
        <v>382</v>
      </c>
      <c r="C3665" s="62">
        <v>44777</v>
      </c>
      <c r="D3665" s="62">
        <v>44777</v>
      </c>
      <c r="E3665" s="63">
        <v>0</v>
      </c>
    </row>
    <row r="3666" spans="1:5">
      <c r="A3666" s="61" t="s">
        <v>197</v>
      </c>
      <c r="B3666" s="61" t="s">
        <v>382</v>
      </c>
      <c r="C3666" s="62">
        <v>44778</v>
      </c>
      <c r="D3666" s="62">
        <v>44778</v>
      </c>
      <c r="E3666" s="63">
        <v>0</v>
      </c>
    </row>
    <row r="3667" spans="1:5">
      <c r="A3667" s="61" t="s">
        <v>197</v>
      </c>
      <c r="B3667" s="61" t="s">
        <v>382</v>
      </c>
      <c r="C3667" s="62">
        <v>44779</v>
      </c>
      <c r="D3667" s="62">
        <v>44779</v>
      </c>
      <c r="E3667" s="63">
        <v>0</v>
      </c>
    </row>
    <row r="3668" spans="1:5">
      <c r="A3668" s="61" t="s">
        <v>197</v>
      </c>
      <c r="B3668" s="61" t="s">
        <v>382</v>
      </c>
      <c r="C3668" s="62">
        <v>44780</v>
      </c>
      <c r="D3668" s="62">
        <v>44780</v>
      </c>
      <c r="E3668" s="63">
        <v>0</v>
      </c>
    </row>
    <row r="3669" spans="1:5">
      <c r="A3669" s="61" t="s">
        <v>197</v>
      </c>
      <c r="B3669" s="61" t="s">
        <v>382</v>
      </c>
      <c r="C3669" s="62">
        <v>44781</v>
      </c>
      <c r="D3669" s="62">
        <v>44781</v>
      </c>
      <c r="E3669" s="63">
        <v>0</v>
      </c>
    </row>
    <row r="3670" spans="1:5">
      <c r="A3670" s="61" t="s">
        <v>197</v>
      </c>
      <c r="B3670" s="61" t="s">
        <v>382</v>
      </c>
      <c r="C3670" s="62">
        <v>44782</v>
      </c>
      <c r="D3670" s="62">
        <v>44782</v>
      </c>
      <c r="E3670" s="63">
        <v>0</v>
      </c>
    </row>
    <row r="3671" spans="1:5">
      <c r="A3671" s="61" t="s">
        <v>197</v>
      </c>
      <c r="B3671" s="61" t="s">
        <v>382</v>
      </c>
      <c r="C3671" s="62">
        <v>44783</v>
      </c>
      <c r="D3671" s="62">
        <v>44783</v>
      </c>
      <c r="E3671" s="63">
        <v>0</v>
      </c>
    </row>
    <row r="3672" spans="1:5">
      <c r="A3672" s="61" t="s">
        <v>197</v>
      </c>
      <c r="B3672" s="61" t="s">
        <v>382</v>
      </c>
      <c r="C3672" s="62">
        <v>44784</v>
      </c>
      <c r="D3672" s="62">
        <v>44784</v>
      </c>
      <c r="E3672" s="63">
        <v>0</v>
      </c>
    </row>
    <row r="3673" spans="1:5">
      <c r="A3673" s="61" t="s">
        <v>197</v>
      </c>
      <c r="B3673" s="61" t="s">
        <v>382</v>
      </c>
      <c r="C3673" s="62">
        <v>44785</v>
      </c>
      <c r="D3673" s="62">
        <v>44785</v>
      </c>
      <c r="E3673" s="63">
        <v>0</v>
      </c>
    </row>
    <row r="3674" spans="1:5">
      <c r="A3674" s="61" t="s">
        <v>197</v>
      </c>
      <c r="B3674" s="61" t="s">
        <v>382</v>
      </c>
      <c r="C3674" s="62">
        <v>44786</v>
      </c>
      <c r="D3674" s="62">
        <v>44786</v>
      </c>
      <c r="E3674" s="63">
        <v>0</v>
      </c>
    </row>
    <row r="3675" spans="1:5">
      <c r="A3675" s="61" t="s">
        <v>197</v>
      </c>
      <c r="B3675" s="61" t="s">
        <v>382</v>
      </c>
      <c r="C3675" s="62">
        <v>44787</v>
      </c>
      <c r="D3675" s="62">
        <v>44787</v>
      </c>
      <c r="E3675" s="63">
        <v>0</v>
      </c>
    </row>
    <row r="3676" spans="1:5">
      <c r="A3676" s="61" t="s">
        <v>197</v>
      </c>
      <c r="B3676" s="61" t="s">
        <v>382</v>
      </c>
      <c r="C3676" s="62">
        <v>44788</v>
      </c>
      <c r="D3676" s="62">
        <v>44788</v>
      </c>
      <c r="E3676" s="63">
        <v>0</v>
      </c>
    </row>
    <row r="3677" spans="1:5">
      <c r="A3677" s="61" t="s">
        <v>197</v>
      </c>
      <c r="B3677" s="61" t="s">
        <v>382</v>
      </c>
      <c r="C3677" s="62">
        <v>44789</v>
      </c>
      <c r="D3677" s="62">
        <v>44789</v>
      </c>
      <c r="E3677" s="63">
        <v>0</v>
      </c>
    </row>
    <row r="3678" spans="1:5">
      <c r="A3678" s="61" t="s">
        <v>197</v>
      </c>
      <c r="B3678" s="61" t="s">
        <v>382</v>
      </c>
      <c r="C3678" s="62">
        <v>44790</v>
      </c>
      <c r="D3678" s="62">
        <v>44790</v>
      </c>
      <c r="E3678" s="63">
        <v>0</v>
      </c>
    </row>
    <row r="3679" spans="1:5">
      <c r="A3679" s="61" t="s">
        <v>197</v>
      </c>
      <c r="B3679" s="61" t="s">
        <v>382</v>
      </c>
      <c r="C3679" s="62">
        <v>44791</v>
      </c>
      <c r="D3679" s="62">
        <v>44791</v>
      </c>
      <c r="E3679" s="63">
        <v>0</v>
      </c>
    </row>
    <row r="3680" spans="1:5">
      <c r="A3680" s="61" t="s">
        <v>197</v>
      </c>
      <c r="B3680" s="61" t="s">
        <v>382</v>
      </c>
      <c r="C3680" s="62">
        <v>44792</v>
      </c>
      <c r="D3680" s="62">
        <v>44792</v>
      </c>
      <c r="E3680" s="63">
        <v>0</v>
      </c>
    </row>
    <row r="3681" spans="1:5">
      <c r="A3681" s="61" t="s">
        <v>197</v>
      </c>
      <c r="B3681" s="61" t="s">
        <v>382</v>
      </c>
      <c r="C3681" s="62">
        <v>44793</v>
      </c>
      <c r="D3681" s="62">
        <v>44793</v>
      </c>
      <c r="E3681" s="63">
        <v>0</v>
      </c>
    </row>
    <row r="3682" spans="1:5">
      <c r="A3682" s="61" t="s">
        <v>197</v>
      </c>
      <c r="B3682" s="61" t="s">
        <v>382</v>
      </c>
      <c r="C3682" s="62">
        <v>44794</v>
      </c>
      <c r="D3682" s="62">
        <v>44794</v>
      </c>
      <c r="E3682" s="63">
        <v>0</v>
      </c>
    </row>
    <row r="3683" spans="1:5">
      <c r="A3683" s="61" t="s">
        <v>197</v>
      </c>
      <c r="B3683" s="61" t="s">
        <v>382</v>
      </c>
      <c r="C3683" s="62">
        <v>44795</v>
      </c>
      <c r="D3683" s="62">
        <v>44795</v>
      </c>
      <c r="E3683" s="63">
        <v>0</v>
      </c>
    </row>
    <row r="3684" spans="1:5">
      <c r="A3684" s="61" t="s">
        <v>197</v>
      </c>
      <c r="B3684" s="61" t="s">
        <v>382</v>
      </c>
      <c r="C3684" s="62">
        <v>44796</v>
      </c>
      <c r="D3684" s="62">
        <v>44796</v>
      </c>
      <c r="E3684" s="63">
        <v>0</v>
      </c>
    </row>
    <row r="3685" spans="1:5">
      <c r="A3685" s="61" t="s">
        <v>197</v>
      </c>
      <c r="B3685" s="61" t="s">
        <v>382</v>
      </c>
      <c r="C3685" s="62">
        <v>44797</v>
      </c>
      <c r="D3685" s="62">
        <v>44797</v>
      </c>
      <c r="E3685" s="63">
        <v>0</v>
      </c>
    </row>
    <row r="3686" spans="1:5">
      <c r="A3686" s="61" t="s">
        <v>197</v>
      </c>
      <c r="B3686" s="61" t="s">
        <v>382</v>
      </c>
      <c r="C3686" s="62">
        <v>44798</v>
      </c>
      <c r="D3686" s="62">
        <v>44798</v>
      </c>
      <c r="E3686" s="63">
        <v>0</v>
      </c>
    </row>
    <row r="3687" spans="1:5">
      <c r="A3687" s="61" t="s">
        <v>197</v>
      </c>
      <c r="B3687" s="61" t="s">
        <v>382</v>
      </c>
      <c r="C3687" s="62">
        <v>44799</v>
      </c>
      <c r="D3687" s="62">
        <v>44799</v>
      </c>
      <c r="E3687" s="63">
        <v>0</v>
      </c>
    </row>
    <row r="3688" spans="1:5">
      <c r="A3688" s="61" t="s">
        <v>197</v>
      </c>
      <c r="B3688" s="61" t="s">
        <v>382</v>
      </c>
      <c r="C3688" s="62">
        <v>44800</v>
      </c>
      <c r="D3688" s="62">
        <v>44800</v>
      </c>
      <c r="E3688" s="63">
        <v>0</v>
      </c>
    </row>
    <row r="3689" spans="1:5">
      <c r="A3689" s="61" t="s">
        <v>197</v>
      </c>
      <c r="B3689" s="61" t="s">
        <v>382</v>
      </c>
      <c r="C3689" s="62">
        <v>44801</v>
      </c>
      <c r="D3689" s="62">
        <v>44801</v>
      </c>
      <c r="E3689" s="63">
        <v>0</v>
      </c>
    </row>
    <row r="3690" spans="1:5">
      <c r="A3690" s="61" t="s">
        <v>197</v>
      </c>
      <c r="B3690" s="61" t="s">
        <v>382</v>
      </c>
      <c r="C3690" s="62">
        <v>44802</v>
      </c>
      <c r="D3690" s="62">
        <v>44802</v>
      </c>
      <c r="E3690" s="63">
        <v>0</v>
      </c>
    </row>
    <row r="3691" spans="1:5">
      <c r="A3691" s="61" t="s">
        <v>197</v>
      </c>
      <c r="B3691" s="61" t="s">
        <v>382</v>
      </c>
      <c r="C3691" s="62">
        <v>44803</v>
      </c>
      <c r="D3691" s="62">
        <v>44803</v>
      </c>
      <c r="E3691" s="63">
        <v>0</v>
      </c>
    </row>
    <row r="3692" spans="1:5">
      <c r="A3692" s="61" t="s">
        <v>198</v>
      </c>
      <c r="B3692" s="61" t="s">
        <v>383</v>
      </c>
      <c r="C3692" s="62">
        <v>44774</v>
      </c>
      <c r="D3692" s="62">
        <v>44774</v>
      </c>
      <c r="E3692" s="63">
        <v>0</v>
      </c>
    </row>
    <row r="3693" spans="1:5">
      <c r="A3693" s="61" t="s">
        <v>198</v>
      </c>
      <c r="B3693" s="61" t="s">
        <v>383</v>
      </c>
      <c r="C3693" s="62">
        <v>44775</v>
      </c>
      <c r="D3693" s="62">
        <v>44775</v>
      </c>
      <c r="E3693" s="63">
        <v>0</v>
      </c>
    </row>
    <row r="3694" spans="1:5">
      <c r="A3694" s="61" t="s">
        <v>198</v>
      </c>
      <c r="B3694" s="61" t="s">
        <v>383</v>
      </c>
      <c r="C3694" s="62">
        <v>44776</v>
      </c>
      <c r="D3694" s="62">
        <v>44776</v>
      </c>
      <c r="E3694" s="63">
        <v>0</v>
      </c>
    </row>
    <row r="3695" spans="1:5">
      <c r="A3695" s="61" t="s">
        <v>198</v>
      </c>
      <c r="B3695" s="61" t="s">
        <v>383</v>
      </c>
      <c r="C3695" s="62">
        <v>44777</v>
      </c>
      <c r="D3695" s="62">
        <v>44777</v>
      </c>
      <c r="E3695" s="63">
        <v>0</v>
      </c>
    </row>
    <row r="3696" spans="1:5">
      <c r="A3696" s="61" t="s">
        <v>198</v>
      </c>
      <c r="B3696" s="61" t="s">
        <v>383</v>
      </c>
      <c r="C3696" s="62">
        <v>44778</v>
      </c>
      <c r="D3696" s="62">
        <v>44778</v>
      </c>
      <c r="E3696" s="63">
        <v>0</v>
      </c>
    </row>
    <row r="3697" spans="1:5">
      <c r="A3697" s="61" t="s">
        <v>198</v>
      </c>
      <c r="B3697" s="61" t="s">
        <v>383</v>
      </c>
      <c r="C3697" s="62">
        <v>44779</v>
      </c>
      <c r="D3697" s="62">
        <v>44779</v>
      </c>
      <c r="E3697" s="63">
        <v>0</v>
      </c>
    </row>
    <row r="3698" spans="1:5">
      <c r="A3698" s="61" t="s">
        <v>198</v>
      </c>
      <c r="B3698" s="61" t="s">
        <v>383</v>
      </c>
      <c r="C3698" s="62">
        <v>44780</v>
      </c>
      <c r="D3698" s="62">
        <v>44780</v>
      </c>
      <c r="E3698" s="63">
        <v>0</v>
      </c>
    </row>
    <row r="3699" spans="1:5">
      <c r="A3699" s="61" t="s">
        <v>198</v>
      </c>
      <c r="B3699" s="61" t="s">
        <v>383</v>
      </c>
      <c r="C3699" s="62">
        <v>44781</v>
      </c>
      <c r="D3699" s="62">
        <v>44781</v>
      </c>
      <c r="E3699" s="63">
        <v>0</v>
      </c>
    </row>
    <row r="3700" spans="1:5">
      <c r="A3700" s="61" t="s">
        <v>198</v>
      </c>
      <c r="B3700" s="61" t="s">
        <v>383</v>
      </c>
      <c r="C3700" s="62">
        <v>44782</v>
      </c>
      <c r="D3700" s="62">
        <v>44782</v>
      </c>
      <c r="E3700" s="63">
        <v>0</v>
      </c>
    </row>
    <row r="3701" spans="1:5">
      <c r="A3701" s="61" t="s">
        <v>198</v>
      </c>
      <c r="B3701" s="61" t="s">
        <v>383</v>
      </c>
      <c r="C3701" s="62">
        <v>44783</v>
      </c>
      <c r="D3701" s="62">
        <v>44783</v>
      </c>
      <c r="E3701" s="63">
        <v>0</v>
      </c>
    </row>
    <row r="3702" spans="1:5">
      <c r="A3702" s="61" t="s">
        <v>198</v>
      </c>
      <c r="B3702" s="61" t="s">
        <v>383</v>
      </c>
      <c r="C3702" s="62">
        <v>44784</v>
      </c>
      <c r="D3702" s="62">
        <v>44784</v>
      </c>
      <c r="E3702" s="63">
        <v>0</v>
      </c>
    </row>
    <row r="3703" spans="1:5">
      <c r="A3703" s="61" t="s">
        <v>198</v>
      </c>
      <c r="B3703" s="61" t="s">
        <v>383</v>
      </c>
      <c r="C3703" s="62">
        <v>44785</v>
      </c>
      <c r="D3703" s="62">
        <v>44785</v>
      </c>
      <c r="E3703" s="63">
        <v>0</v>
      </c>
    </row>
    <row r="3704" spans="1:5">
      <c r="A3704" s="61" t="s">
        <v>198</v>
      </c>
      <c r="B3704" s="61" t="s">
        <v>383</v>
      </c>
      <c r="C3704" s="62">
        <v>44786</v>
      </c>
      <c r="D3704" s="62">
        <v>44786</v>
      </c>
      <c r="E3704" s="63">
        <v>0</v>
      </c>
    </row>
    <row r="3705" spans="1:5">
      <c r="A3705" s="61" t="s">
        <v>198</v>
      </c>
      <c r="B3705" s="61" t="s">
        <v>383</v>
      </c>
      <c r="C3705" s="62">
        <v>44787</v>
      </c>
      <c r="D3705" s="62">
        <v>44787</v>
      </c>
      <c r="E3705" s="63">
        <v>0</v>
      </c>
    </row>
    <row r="3706" spans="1:5">
      <c r="A3706" s="61" t="s">
        <v>198</v>
      </c>
      <c r="B3706" s="61" t="s">
        <v>383</v>
      </c>
      <c r="C3706" s="62">
        <v>44788</v>
      </c>
      <c r="D3706" s="62">
        <v>44788</v>
      </c>
      <c r="E3706" s="63">
        <v>0</v>
      </c>
    </row>
    <row r="3707" spans="1:5">
      <c r="A3707" s="61" t="s">
        <v>198</v>
      </c>
      <c r="B3707" s="61" t="s">
        <v>383</v>
      </c>
      <c r="C3707" s="62">
        <v>44789</v>
      </c>
      <c r="D3707" s="62">
        <v>44789</v>
      </c>
      <c r="E3707" s="63">
        <v>0</v>
      </c>
    </row>
    <row r="3708" spans="1:5">
      <c r="A3708" s="61" t="s">
        <v>198</v>
      </c>
      <c r="B3708" s="61" t="s">
        <v>383</v>
      </c>
      <c r="C3708" s="62">
        <v>44790</v>
      </c>
      <c r="D3708" s="62">
        <v>44790</v>
      </c>
      <c r="E3708" s="63">
        <v>0</v>
      </c>
    </row>
    <row r="3709" spans="1:5">
      <c r="A3709" s="61" t="s">
        <v>198</v>
      </c>
      <c r="B3709" s="61" t="s">
        <v>383</v>
      </c>
      <c r="C3709" s="62">
        <v>44791</v>
      </c>
      <c r="D3709" s="62">
        <v>44791</v>
      </c>
      <c r="E3709" s="63">
        <v>0</v>
      </c>
    </row>
    <row r="3710" spans="1:5">
      <c r="A3710" s="61" t="s">
        <v>198</v>
      </c>
      <c r="B3710" s="61" t="s">
        <v>383</v>
      </c>
      <c r="C3710" s="62">
        <v>44792</v>
      </c>
      <c r="D3710" s="62">
        <v>44792</v>
      </c>
      <c r="E3710" s="63">
        <v>0</v>
      </c>
    </row>
    <row r="3711" spans="1:5">
      <c r="A3711" s="61" t="s">
        <v>198</v>
      </c>
      <c r="B3711" s="61" t="s">
        <v>383</v>
      </c>
      <c r="C3711" s="62">
        <v>44793</v>
      </c>
      <c r="D3711" s="62">
        <v>44793</v>
      </c>
      <c r="E3711" s="63">
        <v>0</v>
      </c>
    </row>
    <row r="3712" spans="1:5">
      <c r="A3712" s="61" t="s">
        <v>198</v>
      </c>
      <c r="B3712" s="61" t="s">
        <v>383</v>
      </c>
      <c r="C3712" s="62">
        <v>44794</v>
      </c>
      <c r="D3712" s="62">
        <v>44794</v>
      </c>
      <c r="E3712" s="63">
        <v>0</v>
      </c>
    </row>
    <row r="3713" spans="1:5">
      <c r="A3713" s="61" t="s">
        <v>198</v>
      </c>
      <c r="B3713" s="61" t="s">
        <v>383</v>
      </c>
      <c r="C3713" s="62">
        <v>44795</v>
      </c>
      <c r="D3713" s="62">
        <v>44795</v>
      </c>
      <c r="E3713" s="63">
        <v>0</v>
      </c>
    </row>
    <row r="3714" spans="1:5">
      <c r="A3714" s="61" t="s">
        <v>198</v>
      </c>
      <c r="B3714" s="61" t="s">
        <v>383</v>
      </c>
      <c r="C3714" s="62">
        <v>44796</v>
      </c>
      <c r="D3714" s="62">
        <v>44796</v>
      </c>
      <c r="E3714" s="63">
        <v>0</v>
      </c>
    </row>
    <row r="3715" spans="1:5">
      <c r="A3715" s="61" t="s">
        <v>198</v>
      </c>
      <c r="B3715" s="61" t="s">
        <v>383</v>
      </c>
      <c r="C3715" s="62">
        <v>44797</v>
      </c>
      <c r="D3715" s="62">
        <v>44797</v>
      </c>
      <c r="E3715" s="63">
        <v>0</v>
      </c>
    </row>
    <row r="3716" spans="1:5">
      <c r="A3716" s="61" t="s">
        <v>198</v>
      </c>
      <c r="B3716" s="61" t="s">
        <v>383</v>
      </c>
      <c r="C3716" s="62">
        <v>44798</v>
      </c>
      <c r="D3716" s="62">
        <v>44798</v>
      </c>
      <c r="E3716" s="63">
        <v>0</v>
      </c>
    </row>
    <row r="3717" spans="1:5">
      <c r="A3717" s="61" t="s">
        <v>198</v>
      </c>
      <c r="B3717" s="61" t="s">
        <v>383</v>
      </c>
      <c r="C3717" s="62">
        <v>44799</v>
      </c>
      <c r="D3717" s="62">
        <v>44799</v>
      </c>
      <c r="E3717" s="63">
        <v>0</v>
      </c>
    </row>
    <row r="3718" spans="1:5">
      <c r="A3718" s="61" t="s">
        <v>198</v>
      </c>
      <c r="B3718" s="61" t="s">
        <v>383</v>
      </c>
      <c r="C3718" s="62">
        <v>44800</v>
      </c>
      <c r="D3718" s="62">
        <v>44800</v>
      </c>
      <c r="E3718" s="63">
        <v>0</v>
      </c>
    </row>
    <row r="3719" spans="1:5">
      <c r="A3719" s="61" t="s">
        <v>198</v>
      </c>
      <c r="B3719" s="61" t="s">
        <v>383</v>
      </c>
      <c r="C3719" s="62">
        <v>44801</v>
      </c>
      <c r="D3719" s="62">
        <v>44801</v>
      </c>
      <c r="E3719" s="63">
        <v>0</v>
      </c>
    </row>
    <row r="3720" spans="1:5">
      <c r="A3720" s="61" t="s">
        <v>198</v>
      </c>
      <c r="B3720" s="61" t="s">
        <v>383</v>
      </c>
      <c r="C3720" s="62">
        <v>44802</v>
      </c>
      <c r="D3720" s="62">
        <v>44802</v>
      </c>
      <c r="E3720" s="63">
        <v>0</v>
      </c>
    </row>
    <row r="3721" spans="1:5">
      <c r="A3721" s="61" t="s">
        <v>198</v>
      </c>
      <c r="B3721" s="61" t="s">
        <v>383</v>
      </c>
      <c r="C3721" s="62">
        <v>44803</v>
      </c>
      <c r="D3721" s="62">
        <v>44803</v>
      </c>
      <c r="E3721" s="63">
        <v>0</v>
      </c>
    </row>
    <row r="3722" spans="1:5">
      <c r="A3722" s="61" t="s">
        <v>68</v>
      </c>
      <c r="B3722" s="61" t="s">
        <v>380</v>
      </c>
      <c r="C3722" s="62">
        <v>44774</v>
      </c>
      <c r="D3722" s="62">
        <v>44774</v>
      </c>
      <c r="E3722" s="63">
        <v>0</v>
      </c>
    </row>
    <row r="3723" spans="1:5">
      <c r="A3723" s="61" t="s">
        <v>68</v>
      </c>
      <c r="B3723" s="61" t="s">
        <v>380</v>
      </c>
      <c r="C3723" s="62">
        <v>44775</v>
      </c>
      <c r="D3723" s="62">
        <v>44775</v>
      </c>
      <c r="E3723" s="63">
        <v>626.19000000000005</v>
      </c>
    </row>
    <row r="3724" spans="1:5">
      <c r="A3724" s="61" t="s">
        <v>68</v>
      </c>
      <c r="B3724" s="61" t="s">
        <v>380</v>
      </c>
      <c r="C3724" s="62">
        <v>44776</v>
      </c>
      <c r="D3724" s="62">
        <v>44776</v>
      </c>
      <c r="E3724" s="63">
        <v>0</v>
      </c>
    </row>
    <row r="3725" spans="1:5">
      <c r="A3725" s="61" t="s">
        <v>68</v>
      </c>
      <c r="B3725" s="61" t="s">
        <v>380</v>
      </c>
      <c r="C3725" s="62">
        <v>44777</v>
      </c>
      <c r="D3725" s="62">
        <v>44777</v>
      </c>
      <c r="E3725" s="63">
        <v>0</v>
      </c>
    </row>
    <row r="3726" spans="1:5">
      <c r="A3726" s="61" t="s">
        <v>68</v>
      </c>
      <c r="B3726" s="61" t="s">
        <v>380</v>
      </c>
      <c r="C3726" s="62">
        <v>44778</v>
      </c>
      <c r="D3726" s="62">
        <v>44778</v>
      </c>
      <c r="E3726" s="63">
        <v>0</v>
      </c>
    </row>
    <row r="3727" spans="1:5">
      <c r="A3727" s="61" t="s">
        <v>68</v>
      </c>
      <c r="B3727" s="61" t="s">
        <v>380</v>
      </c>
      <c r="C3727" s="62">
        <v>44779</v>
      </c>
      <c r="D3727" s="62">
        <v>44779</v>
      </c>
      <c r="E3727" s="63">
        <v>0</v>
      </c>
    </row>
    <row r="3728" spans="1:5">
      <c r="A3728" s="61" t="s">
        <v>68</v>
      </c>
      <c r="B3728" s="61" t="s">
        <v>380</v>
      </c>
      <c r="C3728" s="62">
        <v>44780</v>
      </c>
      <c r="D3728" s="62">
        <v>44780</v>
      </c>
      <c r="E3728" s="63">
        <v>0</v>
      </c>
    </row>
    <row r="3729" spans="1:5">
      <c r="A3729" s="61" t="s">
        <v>68</v>
      </c>
      <c r="B3729" s="61" t="s">
        <v>380</v>
      </c>
      <c r="C3729" s="62">
        <v>44781</v>
      </c>
      <c r="D3729" s="62">
        <v>44781</v>
      </c>
      <c r="E3729" s="63">
        <v>0</v>
      </c>
    </row>
    <row r="3730" spans="1:5">
      <c r="A3730" s="61" t="s">
        <v>68</v>
      </c>
      <c r="B3730" s="61" t="s">
        <v>380</v>
      </c>
      <c r="C3730" s="62">
        <v>44782</v>
      </c>
      <c r="D3730" s="62">
        <v>44782</v>
      </c>
      <c r="E3730" s="63">
        <v>583.13</v>
      </c>
    </row>
    <row r="3731" spans="1:5">
      <c r="A3731" s="61" t="s">
        <v>68</v>
      </c>
      <c r="B3731" s="61" t="s">
        <v>380</v>
      </c>
      <c r="C3731" s="62">
        <v>44783</v>
      </c>
      <c r="D3731" s="62">
        <v>44783</v>
      </c>
      <c r="E3731" s="63">
        <v>0</v>
      </c>
    </row>
    <row r="3732" spans="1:5">
      <c r="A3732" s="61" t="s">
        <v>68</v>
      </c>
      <c r="B3732" s="61" t="s">
        <v>380</v>
      </c>
      <c r="C3732" s="62">
        <v>44784</v>
      </c>
      <c r="D3732" s="62">
        <v>44784</v>
      </c>
      <c r="E3732" s="63">
        <v>0</v>
      </c>
    </row>
    <row r="3733" spans="1:5">
      <c r="A3733" s="61" t="s">
        <v>68</v>
      </c>
      <c r="B3733" s="61" t="s">
        <v>380</v>
      </c>
      <c r="C3733" s="62">
        <v>44785</v>
      </c>
      <c r="D3733" s="62">
        <v>44785</v>
      </c>
      <c r="E3733" s="63">
        <v>0</v>
      </c>
    </row>
    <row r="3734" spans="1:5">
      <c r="A3734" s="61" t="s">
        <v>68</v>
      </c>
      <c r="B3734" s="61" t="s">
        <v>380</v>
      </c>
      <c r="C3734" s="62">
        <v>44786</v>
      </c>
      <c r="D3734" s="62">
        <v>44786</v>
      </c>
      <c r="E3734" s="63">
        <v>0</v>
      </c>
    </row>
    <row r="3735" spans="1:5">
      <c r="A3735" s="61" t="s">
        <v>68</v>
      </c>
      <c r="B3735" s="61" t="s">
        <v>380</v>
      </c>
      <c r="C3735" s="62">
        <v>44787</v>
      </c>
      <c r="D3735" s="62">
        <v>44787</v>
      </c>
      <c r="E3735" s="63">
        <v>0</v>
      </c>
    </row>
    <row r="3736" spans="1:5">
      <c r="A3736" s="61" t="s">
        <v>68</v>
      </c>
      <c r="B3736" s="61" t="s">
        <v>380</v>
      </c>
      <c r="C3736" s="62">
        <v>44788</v>
      </c>
      <c r="D3736" s="62">
        <v>44788</v>
      </c>
      <c r="E3736" s="63">
        <v>0</v>
      </c>
    </row>
    <row r="3737" spans="1:5">
      <c r="A3737" s="61" t="s">
        <v>68</v>
      </c>
      <c r="B3737" s="61" t="s">
        <v>380</v>
      </c>
      <c r="C3737" s="62">
        <v>44789</v>
      </c>
      <c r="D3737" s="62">
        <v>44789</v>
      </c>
      <c r="E3737" s="63">
        <v>0</v>
      </c>
    </row>
    <row r="3738" spans="1:5">
      <c r="A3738" s="61" t="s">
        <v>68</v>
      </c>
      <c r="B3738" s="61" t="s">
        <v>380</v>
      </c>
      <c r="C3738" s="62">
        <v>44790</v>
      </c>
      <c r="D3738" s="62">
        <v>44790</v>
      </c>
      <c r="E3738" s="63">
        <v>0</v>
      </c>
    </row>
    <row r="3739" spans="1:5">
      <c r="A3739" s="61" t="s">
        <v>68</v>
      </c>
      <c r="B3739" s="61" t="s">
        <v>380</v>
      </c>
      <c r="C3739" s="62">
        <v>44791</v>
      </c>
      <c r="D3739" s="62">
        <v>44791</v>
      </c>
      <c r="E3739" s="63">
        <v>704.85</v>
      </c>
    </row>
    <row r="3740" spans="1:5">
      <c r="A3740" s="61" t="s">
        <v>68</v>
      </c>
      <c r="B3740" s="61" t="s">
        <v>380</v>
      </c>
      <c r="C3740" s="62">
        <v>44792</v>
      </c>
      <c r="D3740" s="62">
        <v>44792</v>
      </c>
      <c r="E3740" s="63">
        <v>0</v>
      </c>
    </row>
    <row r="3741" spans="1:5">
      <c r="A3741" s="61" t="s">
        <v>68</v>
      </c>
      <c r="B3741" s="61" t="s">
        <v>380</v>
      </c>
      <c r="C3741" s="62">
        <v>44793</v>
      </c>
      <c r="D3741" s="62">
        <v>44793</v>
      </c>
      <c r="E3741" s="63">
        <v>0</v>
      </c>
    </row>
    <row r="3742" spans="1:5">
      <c r="A3742" s="61" t="s">
        <v>68</v>
      </c>
      <c r="B3742" s="61" t="s">
        <v>380</v>
      </c>
      <c r="C3742" s="62">
        <v>44794</v>
      </c>
      <c r="D3742" s="62">
        <v>44794</v>
      </c>
      <c r="E3742" s="63">
        <v>0</v>
      </c>
    </row>
    <row r="3743" spans="1:5">
      <c r="A3743" s="61" t="s">
        <v>68</v>
      </c>
      <c r="B3743" s="61" t="s">
        <v>380</v>
      </c>
      <c r="C3743" s="62">
        <v>44795</v>
      </c>
      <c r="D3743" s="62">
        <v>44795</v>
      </c>
      <c r="E3743" s="63">
        <v>0</v>
      </c>
    </row>
    <row r="3744" spans="1:5">
      <c r="A3744" s="61" t="s">
        <v>68</v>
      </c>
      <c r="B3744" s="61" t="s">
        <v>380</v>
      </c>
      <c r="C3744" s="62">
        <v>44796</v>
      </c>
      <c r="D3744" s="62">
        <v>44796</v>
      </c>
      <c r="E3744" s="63">
        <v>541.4</v>
      </c>
    </row>
    <row r="3745" spans="1:5">
      <c r="A3745" s="61" t="s">
        <v>68</v>
      </c>
      <c r="B3745" s="61" t="s">
        <v>380</v>
      </c>
      <c r="C3745" s="62">
        <v>44797</v>
      </c>
      <c r="D3745" s="62">
        <v>44797</v>
      </c>
      <c r="E3745" s="63">
        <v>0</v>
      </c>
    </row>
    <row r="3746" spans="1:5">
      <c r="A3746" s="61" t="s">
        <v>68</v>
      </c>
      <c r="B3746" s="61" t="s">
        <v>380</v>
      </c>
      <c r="C3746" s="62">
        <v>44798</v>
      </c>
      <c r="D3746" s="62">
        <v>44798</v>
      </c>
      <c r="E3746" s="63">
        <v>0</v>
      </c>
    </row>
    <row r="3747" spans="1:5">
      <c r="A3747" s="61" t="s">
        <v>68</v>
      </c>
      <c r="B3747" s="61" t="s">
        <v>380</v>
      </c>
      <c r="C3747" s="62">
        <v>44799</v>
      </c>
      <c r="D3747" s="62">
        <v>44799</v>
      </c>
      <c r="E3747" s="63">
        <v>0</v>
      </c>
    </row>
    <row r="3748" spans="1:5">
      <c r="A3748" s="61" t="s">
        <v>68</v>
      </c>
      <c r="B3748" s="61" t="s">
        <v>380</v>
      </c>
      <c r="C3748" s="62">
        <v>44800</v>
      </c>
      <c r="D3748" s="62">
        <v>44800</v>
      </c>
      <c r="E3748" s="63">
        <v>0</v>
      </c>
    </row>
    <row r="3749" spans="1:5">
      <c r="A3749" s="61" t="s">
        <v>68</v>
      </c>
      <c r="B3749" s="61" t="s">
        <v>380</v>
      </c>
      <c r="C3749" s="62">
        <v>44801</v>
      </c>
      <c r="D3749" s="62">
        <v>44801</v>
      </c>
      <c r="E3749" s="63">
        <v>0</v>
      </c>
    </row>
    <row r="3750" spans="1:5">
      <c r="A3750" s="61" t="s">
        <v>68</v>
      </c>
      <c r="B3750" s="61" t="s">
        <v>380</v>
      </c>
      <c r="C3750" s="62">
        <v>44802</v>
      </c>
      <c r="D3750" s="62">
        <v>44802</v>
      </c>
      <c r="E3750" s="63">
        <v>0</v>
      </c>
    </row>
    <row r="3751" spans="1:5">
      <c r="A3751" s="61" t="s">
        <v>68</v>
      </c>
      <c r="B3751" s="61" t="s">
        <v>380</v>
      </c>
      <c r="C3751" s="62">
        <v>44803</v>
      </c>
      <c r="D3751" s="62">
        <v>44803</v>
      </c>
      <c r="E3751" s="63">
        <v>0</v>
      </c>
    </row>
    <row r="3752" spans="1:5">
      <c r="A3752" s="61" t="s">
        <v>199</v>
      </c>
      <c r="B3752" s="61" t="s">
        <v>381</v>
      </c>
      <c r="C3752" s="62">
        <v>44774</v>
      </c>
      <c r="D3752" s="62">
        <v>44774</v>
      </c>
      <c r="E3752" s="63">
        <v>0</v>
      </c>
    </row>
    <row r="3753" spans="1:5">
      <c r="A3753" s="61" t="s">
        <v>199</v>
      </c>
      <c r="B3753" s="61" t="s">
        <v>381</v>
      </c>
      <c r="C3753" s="62">
        <v>44775</v>
      </c>
      <c r="D3753" s="62">
        <v>44775</v>
      </c>
      <c r="E3753" s="63">
        <v>0</v>
      </c>
    </row>
    <row r="3754" spans="1:5">
      <c r="A3754" s="61" t="s">
        <v>199</v>
      </c>
      <c r="B3754" s="61" t="s">
        <v>381</v>
      </c>
      <c r="C3754" s="62">
        <v>44776</v>
      </c>
      <c r="D3754" s="62">
        <v>44776</v>
      </c>
      <c r="E3754" s="63">
        <v>0</v>
      </c>
    </row>
    <row r="3755" spans="1:5">
      <c r="A3755" s="61" t="s">
        <v>199</v>
      </c>
      <c r="B3755" s="61" t="s">
        <v>381</v>
      </c>
      <c r="C3755" s="62">
        <v>44777</v>
      </c>
      <c r="D3755" s="62">
        <v>44777</v>
      </c>
      <c r="E3755" s="63">
        <v>0</v>
      </c>
    </row>
    <row r="3756" spans="1:5">
      <c r="A3756" s="61" t="s">
        <v>199</v>
      </c>
      <c r="B3756" s="61" t="s">
        <v>381</v>
      </c>
      <c r="C3756" s="62">
        <v>44778</v>
      </c>
      <c r="D3756" s="62">
        <v>44778</v>
      </c>
      <c r="E3756" s="63">
        <v>413.86</v>
      </c>
    </row>
    <row r="3757" spans="1:5">
      <c r="A3757" s="61" t="s">
        <v>199</v>
      </c>
      <c r="B3757" s="61" t="s">
        <v>381</v>
      </c>
      <c r="C3757" s="62">
        <v>44779</v>
      </c>
      <c r="D3757" s="62">
        <v>44779</v>
      </c>
      <c r="E3757" s="63">
        <v>0</v>
      </c>
    </row>
    <row r="3758" spans="1:5">
      <c r="A3758" s="61" t="s">
        <v>199</v>
      </c>
      <c r="B3758" s="61" t="s">
        <v>381</v>
      </c>
      <c r="C3758" s="62">
        <v>44780</v>
      </c>
      <c r="D3758" s="62">
        <v>44780</v>
      </c>
      <c r="E3758" s="63">
        <v>0</v>
      </c>
    </row>
    <row r="3759" spans="1:5">
      <c r="A3759" s="61" t="s">
        <v>199</v>
      </c>
      <c r="B3759" s="61" t="s">
        <v>381</v>
      </c>
      <c r="C3759" s="62">
        <v>44781</v>
      </c>
      <c r="D3759" s="62">
        <v>44781</v>
      </c>
      <c r="E3759" s="63">
        <v>0</v>
      </c>
    </row>
    <row r="3760" spans="1:5">
      <c r="A3760" s="61" t="s">
        <v>199</v>
      </c>
      <c r="B3760" s="61" t="s">
        <v>381</v>
      </c>
      <c r="C3760" s="62">
        <v>44782</v>
      </c>
      <c r="D3760" s="62">
        <v>44782</v>
      </c>
      <c r="E3760" s="63">
        <v>0</v>
      </c>
    </row>
    <row r="3761" spans="1:5">
      <c r="A3761" s="61" t="s">
        <v>199</v>
      </c>
      <c r="B3761" s="61" t="s">
        <v>381</v>
      </c>
      <c r="C3761" s="62">
        <v>44783</v>
      </c>
      <c r="D3761" s="62">
        <v>44783</v>
      </c>
      <c r="E3761" s="63">
        <v>0</v>
      </c>
    </row>
    <row r="3762" spans="1:5">
      <c r="A3762" s="61" t="s">
        <v>199</v>
      </c>
      <c r="B3762" s="61" t="s">
        <v>381</v>
      </c>
      <c r="C3762" s="62">
        <v>44784</v>
      </c>
      <c r="D3762" s="62">
        <v>44784</v>
      </c>
      <c r="E3762" s="63">
        <v>0</v>
      </c>
    </row>
    <row r="3763" spans="1:5">
      <c r="A3763" s="61" t="s">
        <v>199</v>
      </c>
      <c r="B3763" s="61" t="s">
        <v>381</v>
      </c>
      <c r="C3763" s="62">
        <v>44785</v>
      </c>
      <c r="D3763" s="62">
        <v>44785</v>
      </c>
      <c r="E3763" s="63">
        <v>385.6</v>
      </c>
    </row>
    <row r="3764" spans="1:5">
      <c r="A3764" s="61" t="s">
        <v>199</v>
      </c>
      <c r="B3764" s="61" t="s">
        <v>381</v>
      </c>
      <c r="C3764" s="62">
        <v>44786</v>
      </c>
      <c r="D3764" s="62">
        <v>44786</v>
      </c>
      <c r="E3764" s="63">
        <v>0</v>
      </c>
    </row>
    <row r="3765" spans="1:5">
      <c r="A3765" s="61" t="s">
        <v>199</v>
      </c>
      <c r="B3765" s="61" t="s">
        <v>381</v>
      </c>
      <c r="C3765" s="62">
        <v>44787</v>
      </c>
      <c r="D3765" s="62">
        <v>44787</v>
      </c>
      <c r="E3765" s="63">
        <v>0</v>
      </c>
    </row>
    <row r="3766" spans="1:5">
      <c r="A3766" s="61" t="s">
        <v>199</v>
      </c>
      <c r="B3766" s="61" t="s">
        <v>381</v>
      </c>
      <c r="C3766" s="62">
        <v>44788</v>
      </c>
      <c r="D3766" s="62">
        <v>44788</v>
      </c>
      <c r="E3766" s="63">
        <v>0</v>
      </c>
    </row>
    <row r="3767" spans="1:5">
      <c r="A3767" s="61" t="s">
        <v>199</v>
      </c>
      <c r="B3767" s="61" t="s">
        <v>381</v>
      </c>
      <c r="C3767" s="62">
        <v>44789</v>
      </c>
      <c r="D3767" s="62">
        <v>44789</v>
      </c>
      <c r="E3767" s="63">
        <v>0</v>
      </c>
    </row>
    <row r="3768" spans="1:5">
      <c r="A3768" s="61" t="s">
        <v>199</v>
      </c>
      <c r="B3768" s="61" t="s">
        <v>381</v>
      </c>
      <c r="C3768" s="62">
        <v>44790</v>
      </c>
      <c r="D3768" s="62">
        <v>44790</v>
      </c>
      <c r="E3768" s="63">
        <v>0</v>
      </c>
    </row>
    <row r="3769" spans="1:5">
      <c r="A3769" s="61" t="s">
        <v>199</v>
      </c>
      <c r="B3769" s="61" t="s">
        <v>381</v>
      </c>
      <c r="C3769" s="62">
        <v>44791</v>
      </c>
      <c r="D3769" s="62">
        <v>44791</v>
      </c>
      <c r="E3769" s="63">
        <v>0</v>
      </c>
    </row>
    <row r="3770" spans="1:5">
      <c r="A3770" s="61" t="s">
        <v>199</v>
      </c>
      <c r="B3770" s="61" t="s">
        <v>381</v>
      </c>
      <c r="C3770" s="62">
        <v>44792</v>
      </c>
      <c r="D3770" s="62">
        <v>44792</v>
      </c>
      <c r="E3770" s="63">
        <v>0</v>
      </c>
    </row>
    <row r="3771" spans="1:5">
      <c r="A3771" s="61" t="s">
        <v>199</v>
      </c>
      <c r="B3771" s="61" t="s">
        <v>381</v>
      </c>
      <c r="C3771" s="62">
        <v>44793</v>
      </c>
      <c r="D3771" s="62">
        <v>44793</v>
      </c>
      <c r="E3771" s="63">
        <v>0</v>
      </c>
    </row>
    <row r="3772" spans="1:5">
      <c r="A3772" s="61" t="s">
        <v>199</v>
      </c>
      <c r="B3772" s="61" t="s">
        <v>381</v>
      </c>
      <c r="C3772" s="62">
        <v>44794</v>
      </c>
      <c r="D3772" s="62">
        <v>44794</v>
      </c>
      <c r="E3772" s="63">
        <v>0</v>
      </c>
    </row>
    <row r="3773" spans="1:5">
      <c r="A3773" s="61" t="s">
        <v>199</v>
      </c>
      <c r="B3773" s="61" t="s">
        <v>381</v>
      </c>
      <c r="C3773" s="62">
        <v>44795</v>
      </c>
      <c r="D3773" s="62">
        <v>44795</v>
      </c>
      <c r="E3773" s="63">
        <v>15.61</v>
      </c>
    </row>
    <row r="3774" spans="1:5">
      <c r="A3774" s="61" t="s">
        <v>199</v>
      </c>
      <c r="B3774" s="61" t="s">
        <v>381</v>
      </c>
      <c r="C3774" s="62">
        <v>44796</v>
      </c>
      <c r="D3774" s="62">
        <v>44796</v>
      </c>
      <c r="E3774" s="63">
        <v>500.29999999999995</v>
      </c>
    </row>
    <row r="3775" spans="1:5">
      <c r="A3775" s="61" t="s">
        <v>199</v>
      </c>
      <c r="B3775" s="61" t="s">
        <v>381</v>
      </c>
      <c r="C3775" s="62">
        <v>44797</v>
      </c>
      <c r="D3775" s="62">
        <v>44797</v>
      </c>
      <c r="E3775" s="63">
        <v>0</v>
      </c>
    </row>
    <row r="3776" spans="1:5">
      <c r="A3776" s="61" t="s">
        <v>199</v>
      </c>
      <c r="B3776" s="61" t="s">
        <v>381</v>
      </c>
      <c r="C3776" s="62">
        <v>44798</v>
      </c>
      <c r="D3776" s="62">
        <v>44798</v>
      </c>
      <c r="E3776" s="63">
        <v>0</v>
      </c>
    </row>
    <row r="3777" spans="1:5">
      <c r="A3777" s="61" t="s">
        <v>199</v>
      </c>
      <c r="B3777" s="61" t="s">
        <v>381</v>
      </c>
      <c r="C3777" s="62">
        <v>44799</v>
      </c>
      <c r="D3777" s="62">
        <v>44799</v>
      </c>
      <c r="E3777" s="63">
        <v>0</v>
      </c>
    </row>
    <row r="3778" spans="1:5">
      <c r="A3778" s="61" t="s">
        <v>199</v>
      </c>
      <c r="B3778" s="61" t="s">
        <v>381</v>
      </c>
      <c r="C3778" s="62">
        <v>44800</v>
      </c>
      <c r="D3778" s="62">
        <v>44800</v>
      </c>
      <c r="E3778" s="63">
        <v>0</v>
      </c>
    </row>
    <row r="3779" spans="1:5">
      <c r="A3779" s="61" t="s">
        <v>199</v>
      </c>
      <c r="B3779" s="61" t="s">
        <v>381</v>
      </c>
      <c r="C3779" s="62">
        <v>44801</v>
      </c>
      <c r="D3779" s="62">
        <v>44801</v>
      </c>
      <c r="E3779" s="63">
        <v>0</v>
      </c>
    </row>
    <row r="3780" spans="1:5">
      <c r="A3780" s="61" t="s">
        <v>199</v>
      </c>
      <c r="B3780" s="61" t="s">
        <v>381</v>
      </c>
      <c r="C3780" s="62">
        <v>44802</v>
      </c>
      <c r="D3780" s="62">
        <v>44802</v>
      </c>
      <c r="E3780" s="63">
        <v>0</v>
      </c>
    </row>
    <row r="3781" spans="1:5">
      <c r="A3781" s="61" t="s">
        <v>199</v>
      </c>
      <c r="B3781" s="61" t="s">
        <v>381</v>
      </c>
      <c r="C3781" s="62">
        <v>44803</v>
      </c>
      <c r="D3781" s="62">
        <v>44803</v>
      </c>
      <c r="E3781" s="63">
        <v>0</v>
      </c>
    </row>
    <row r="3782" spans="1:5">
      <c r="A3782" s="61" t="s">
        <v>200</v>
      </c>
      <c r="B3782" s="61" t="s">
        <v>382</v>
      </c>
      <c r="C3782" s="62">
        <v>44774</v>
      </c>
      <c r="D3782" s="62">
        <v>44774</v>
      </c>
      <c r="E3782" s="63">
        <v>0</v>
      </c>
    </row>
    <row r="3783" spans="1:5">
      <c r="A3783" s="61" t="s">
        <v>200</v>
      </c>
      <c r="B3783" s="61" t="s">
        <v>382</v>
      </c>
      <c r="C3783" s="62">
        <v>44775</v>
      </c>
      <c r="D3783" s="62">
        <v>44775</v>
      </c>
      <c r="E3783" s="63">
        <v>0</v>
      </c>
    </row>
    <row r="3784" spans="1:5">
      <c r="A3784" s="61" t="s">
        <v>200</v>
      </c>
      <c r="B3784" s="61" t="s">
        <v>382</v>
      </c>
      <c r="C3784" s="62">
        <v>44776</v>
      </c>
      <c r="D3784" s="62">
        <v>44776</v>
      </c>
      <c r="E3784" s="63">
        <v>0</v>
      </c>
    </row>
    <row r="3785" spans="1:5">
      <c r="A3785" s="61" t="s">
        <v>200</v>
      </c>
      <c r="B3785" s="61" t="s">
        <v>382</v>
      </c>
      <c r="C3785" s="62">
        <v>44777</v>
      </c>
      <c r="D3785" s="62">
        <v>44777</v>
      </c>
      <c r="E3785" s="63">
        <v>0</v>
      </c>
    </row>
    <row r="3786" spans="1:5">
      <c r="A3786" s="61" t="s">
        <v>200</v>
      </c>
      <c r="B3786" s="61" t="s">
        <v>382</v>
      </c>
      <c r="C3786" s="62">
        <v>44778</v>
      </c>
      <c r="D3786" s="62">
        <v>44778</v>
      </c>
      <c r="E3786" s="63">
        <v>0</v>
      </c>
    </row>
    <row r="3787" spans="1:5">
      <c r="A3787" s="61" t="s">
        <v>200</v>
      </c>
      <c r="B3787" s="61" t="s">
        <v>382</v>
      </c>
      <c r="C3787" s="62">
        <v>44779</v>
      </c>
      <c r="D3787" s="62">
        <v>44779</v>
      </c>
      <c r="E3787" s="63">
        <v>0</v>
      </c>
    </row>
    <row r="3788" spans="1:5">
      <c r="A3788" s="61" t="s">
        <v>200</v>
      </c>
      <c r="B3788" s="61" t="s">
        <v>382</v>
      </c>
      <c r="C3788" s="62">
        <v>44780</v>
      </c>
      <c r="D3788" s="62">
        <v>44780</v>
      </c>
      <c r="E3788" s="63">
        <v>0</v>
      </c>
    </row>
    <row r="3789" spans="1:5">
      <c r="A3789" s="61" t="s">
        <v>200</v>
      </c>
      <c r="B3789" s="61" t="s">
        <v>382</v>
      </c>
      <c r="C3789" s="62">
        <v>44781</v>
      </c>
      <c r="D3789" s="62">
        <v>44781</v>
      </c>
      <c r="E3789" s="63">
        <v>0</v>
      </c>
    </row>
    <row r="3790" spans="1:5">
      <c r="A3790" s="61" t="s">
        <v>200</v>
      </c>
      <c r="B3790" s="61" t="s">
        <v>382</v>
      </c>
      <c r="C3790" s="62">
        <v>44782</v>
      </c>
      <c r="D3790" s="62">
        <v>44782</v>
      </c>
      <c r="E3790" s="63">
        <v>0</v>
      </c>
    </row>
    <row r="3791" spans="1:5">
      <c r="A3791" s="61" t="s">
        <v>200</v>
      </c>
      <c r="B3791" s="61" t="s">
        <v>382</v>
      </c>
      <c r="C3791" s="62">
        <v>44783</v>
      </c>
      <c r="D3791" s="62">
        <v>44783</v>
      </c>
      <c r="E3791" s="63">
        <v>0</v>
      </c>
    </row>
    <row r="3792" spans="1:5">
      <c r="A3792" s="61" t="s">
        <v>200</v>
      </c>
      <c r="B3792" s="61" t="s">
        <v>382</v>
      </c>
      <c r="C3792" s="62">
        <v>44784</v>
      </c>
      <c r="D3792" s="62">
        <v>44784</v>
      </c>
      <c r="E3792" s="63">
        <v>0</v>
      </c>
    </row>
    <row r="3793" spans="1:5">
      <c r="A3793" s="61" t="s">
        <v>200</v>
      </c>
      <c r="B3793" s="61" t="s">
        <v>382</v>
      </c>
      <c r="C3793" s="62">
        <v>44785</v>
      </c>
      <c r="D3793" s="62">
        <v>44785</v>
      </c>
      <c r="E3793" s="63">
        <v>0</v>
      </c>
    </row>
    <row r="3794" spans="1:5">
      <c r="A3794" s="61" t="s">
        <v>200</v>
      </c>
      <c r="B3794" s="61" t="s">
        <v>382</v>
      </c>
      <c r="C3794" s="62">
        <v>44786</v>
      </c>
      <c r="D3794" s="62">
        <v>44786</v>
      </c>
      <c r="E3794" s="63">
        <v>0</v>
      </c>
    </row>
    <row r="3795" spans="1:5">
      <c r="A3795" s="61" t="s">
        <v>200</v>
      </c>
      <c r="B3795" s="61" t="s">
        <v>382</v>
      </c>
      <c r="C3795" s="62">
        <v>44787</v>
      </c>
      <c r="D3795" s="62">
        <v>44787</v>
      </c>
      <c r="E3795" s="63">
        <v>0</v>
      </c>
    </row>
    <row r="3796" spans="1:5">
      <c r="A3796" s="61" t="s">
        <v>200</v>
      </c>
      <c r="B3796" s="61" t="s">
        <v>382</v>
      </c>
      <c r="C3796" s="62">
        <v>44788</v>
      </c>
      <c r="D3796" s="62">
        <v>44788</v>
      </c>
      <c r="E3796" s="63">
        <v>0</v>
      </c>
    </row>
    <row r="3797" spans="1:5">
      <c r="A3797" s="61" t="s">
        <v>200</v>
      </c>
      <c r="B3797" s="61" t="s">
        <v>382</v>
      </c>
      <c r="C3797" s="62">
        <v>44789</v>
      </c>
      <c r="D3797" s="62">
        <v>44789</v>
      </c>
      <c r="E3797" s="63">
        <v>0</v>
      </c>
    </row>
    <row r="3798" spans="1:5">
      <c r="A3798" s="61" t="s">
        <v>200</v>
      </c>
      <c r="B3798" s="61" t="s">
        <v>382</v>
      </c>
      <c r="C3798" s="62">
        <v>44790</v>
      </c>
      <c r="D3798" s="62">
        <v>44790</v>
      </c>
      <c r="E3798" s="63">
        <v>0</v>
      </c>
    </row>
    <row r="3799" spans="1:5">
      <c r="A3799" s="61" t="s">
        <v>200</v>
      </c>
      <c r="B3799" s="61" t="s">
        <v>382</v>
      </c>
      <c r="C3799" s="62">
        <v>44791</v>
      </c>
      <c r="D3799" s="62">
        <v>44791</v>
      </c>
      <c r="E3799" s="63">
        <v>0</v>
      </c>
    </row>
    <row r="3800" spans="1:5">
      <c r="A3800" s="61" t="s">
        <v>200</v>
      </c>
      <c r="B3800" s="61" t="s">
        <v>382</v>
      </c>
      <c r="C3800" s="62">
        <v>44792</v>
      </c>
      <c r="D3800" s="62">
        <v>44792</v>
      </c>
      <c r="E3800" s="63">
        <v>0</v>
      </c>
    </row>
    <row r="3801" spans="1:5">
      <c r="A3801" s="61" t="s">
        <v>200</v>
      </c>
      <c r="B3801" s="61" t="s">
        <v>382</v>
      </c>
      <c r="C3801" s="62">
        <v>44793</v>
      </c>
      <c r="D3801" s="62">
        <v>44793</v>
      </c>
      <c r="E3801" s="63">
        <v>0</v>
      </c>
    </row>
    <row r="3802" spans="1:5">
      <c r="A3802" s="61" t="s">
        <v>200</v>
      </c>
      <c r="B3802" s="61" t="s">
        <v>382</v>
      </c>
      <c r="C3802" s="62">
        <v>44794</v>
      </c>
      <c r="D3802" s="62">
        <v>44794</v>
      </c>
      <c r="E3802" s="63">
        <v>0</v>
      </c>
    </row>
    <row r="3803" spans="1:5">
      <c r="A3803" s="61" t="s">
        <v>200</v>
      </c>
      <c r="B3803" s="61" t="s">
        <v>382</v>
      </c>
      <c r="C3803" s="62">
        <v>44795</v>
      </c>
      <c r="D3803" s="62">
        <v>44795</v>
      </c>
      <c r="E3803" s="63">
        <v>0</v>
      </c>
    </row>
    <row r="3804" spans="1:5">
      <c r="A3804" s="61" t="s">
        <v>200</v>
      </c>
      <c r="B3804" s="61" t="s">
        <v>382</v>
      </c>
      <c r="C3804" s="62">
        <v>44796</v>
      </c>
      <c r="D3804" s="62">
        <v>44796</v>
      </c>
      <c r="E3804" s="63">
        <v>0</v>
      </c>
    </row>
    <row r="3805" spans="1:5">
      <c r="A3805" s="61" t="s">
        <v>200</v>
      </c>
      <c r="B3805" s="61" t="s">
        <v>382</v>
      </c>
      <c r="C3805" s="62">
        <v>44797</v>
      </c>
      <c r="D3805" s="62">
        <v>44797</v>
      </c>
      <c r="E3805" s="63">
        <v>0</v>
      </c>
    </row>
    <row r="3806" spans="1:5">
      <c r="A3806" s="61" t="s">
        <v>200</v>
      </c>
      <c r="B3806" s="61" t="s">
        <v>382</v>
      </c>
      <c r="C3806" s="62">
        <v>44798</v>
      </c>
      <c r="D3806" s="62">
        <v>44798</v>
      </c>
      <c r="E3806" s="63">
        <v>0</v>
      </c>
    </row>
    <row r="3807" spans="1:5">
      <c r="A3807" s="61" t="s">
        <v>200</v>
      </c>
      <c r="B3807" s="61" t="s">
        <v>382</v>
      </c>
      <c r="C3807" s="62">
        <v>44799</v>
      </c>
      <c r="D3807" s="62">
        <v>44799</v>
      </c>
      <c r="E3807" s="63">
        <v>0</v>
      </c>
    </row>
    <row r="3808" spans="1:5">
      <c r="A3808" s="61" t="s">
        <v>200</v>
      </c>
      <c r="B3808" s="61" t="s">
        <v>382</v>
      </c>
      <c r="C3808" s="62">
        <v>44800</v>
      </c>
      <c r="D3808" s="62">
        <v>44800</v>
      </c>
      <c r="E3808" s="63">
        <v>0</v>
      </c>
    </row>
    <row r="3809" spans="1:5">
      <c r="A3809" s="61" t="s">
        <v>200</v>
      </c>
      <c r="B3809" s="61" t="s">
        <v>382</v>
      </c>
      <c r="C3809" s="62">
        <v>44801</v>
      </c>
      <c r="D3809" s="62">
        <v>44801</v>
      </c>
      <c r="E3809" s="63">
        <v>0</v>
      </c>
    </row>
    <row r="3810" spans="1:5">
      <c r="A3810" s="61" t="s">
        <v>200</v>
      </c>
      <c r="B3810" s="61" t="s">
        <v>382</v>
      </c>
      <c r="C3810" s="62">
        <v>44802</v>
      </c>
      <c r="D3810" s="62">
        <v>44802</v>
      </c>
      <c r="E3810" s="63">
        <v>0</v>
      </c>
    </row>
    <row r="3811" spans="1:5">
      <c r="A3811" s="61" t="s">
        <v>200</v>
      </c>
      <c r="B3811" s="61" t="s">
        <v>382</v>
      </c>
      <c r="C3811" s="62">
        <v>44803</v>
      </c>
      <c r="D3811" s="62">
        <v>44803</v>
      </c>
      <c r="E3811" s="63">
        <v>0</v>
      </c>
    </row>
    <row r="3812" spans="1:5">
      <c r="A3812" s="61" t="s">
        <v>201</v>
      </c>
      <c r="B3812" s="61" t="s">
        <v>383</v>
      </c>
      <c r="C3812" s="62">
        <v>44774</v>
      </c>
      <c r="D3812" s="62">
        <v>44774</v>
      </c>
      <c r="E3812" s="63">
        <v>0</v>
      </c>
    </row>
    <row r="3813" spans="1:5">
      <c r="A3813" s="61" t="s">
        <v>201</v>
      </c>
      <c r="B3813" s="61" t="s">
        <v>383</v>
      </c>
      <c r="C3813" s="62">
        <v>44775</v>
      </c>
      <c r="D3813" s="62">
        <v>44775</v>
      </c>
      <c r="E3813" s="63">
        <v>0</v>
      </c>
    </row>
    <row r="3814" spans="1:5">
      <c r="A3814" s="61" t="s">
        <v>201</v>
      </c>
      <c r="B3814" s="61" t="s">
        <v>383</v>
      </c>
      <c r="C3814" s="62">
        <v>44776</v>
      </c>
      <c r="D3814" s="62">
        <v>44776</v>
      </c>
      <c r="E3814" s="63">
        <v>0</v>
      </c>
    </row>
    <row r="3815" spans="1:5">
      <c r="A3815" s="61" t="s">
        <v>201</v>
      </c>
      <c r="B3815" s="61" t="s">
        <v>383</v>
      </c>
      <c r="C3815" s="62">
        <v>44777</v>
      </c>
      <c r="D3815" s="62">
        <v>44777</v>
      </c>
      <c r="E3815" s="63">
        <v>0</v>
      </c>
    </row>
    <row r="3816" spans="1:5">
      <c r="A3816" s="61" t="s">
        <v>201</v>
      </c>
      <c r="B3816" s="61" t="s">
        <v>383</v>
      </c>
      <c r="C3816" s="62">
        <v>44778</v>
      </c>
      <c r="D3816" s="62">
        <v>44778</v>
      </c>
      <c r="E3816" s="63">
        <v>0</v>
      </c>
    </row>
    <row r="3817" spans="1:5">
      <c r="A3817" s="61" t="s">
        <v>201</v>
      </c>
      <c r="B3817" s="61" t="s">
        <v>383</v>
      </c>
      <c r="C3817" s="62">
        <v>44779</v>
      </c>
      <c r="D3817" s="62">
        <v>44779</v>
      </c>
      <c r="E3817" s="63">
        <v>0</v>
      </c>
    </row>
    <row r="3818" spans="1:5">
      <c r="A3818" s="61" t="s">
        <v>201</v>
      </c>
      <c r="B3818" s="61" t="s">
        <v>383</v>
      </c>
      <c r="C3818" s="62">
        <v>44780</v>
      </c>
      <c r="D3818" s="62">
        <v>44780</v>
      </c>
      <c r="E3818" s="63">
        <v>0</v>
      </c>
    </row>
    <row r="3819" spans="1:5">
      <c r="A3819" s="61" t="s">
        <v>201</v>
      </c>
      <c r="B3819" s="61" t="s">
        <v>383</v>
      </c>
      <c r="C3819" s="62">
        <v>44781</v>
      </c>
      <c r="D3819" s="62">
        <v>44781</v>
      </c>
      <c r="E3819" s="63">
        <v>0</v>
      </c>
    </row>
    <row r="3820" spans="1:5">
      <c r="A3820" s="61" t="s">
        <v>201</v>
      </c>
      <c r="B3820" s="61" t="s">
        <v>383</v>
      </c>
      <c r="C3820" s="62">
        <v>44782</v>
      </c>
      <c r="D3820" s="62">
        <v>44782</v>
      </c>
      <c r="E3820" s="63">
        <v>0</v>
      </c>
    </row>
    <row r="3821" spans="1:5">
      <c r="A3821" s="61" t="s">
        <v>201</v>
      </c>
      <c r="B3821" s="61" t="s">
        <v>383</v>
      </c>
      <c r="C3821" s="62">
        <v>44783</v>
      </c>
      <c r="D3821" s="62">
        <v>44783</v>
      </c>
      <c r="E3821" s="63">
        <v>0</v>
      </c>
    </row>
    <row r="3822" spans="1:5">
      <c r="A3822" s="61" t="s">
        <v>201</v>
      </c>
      <c r="B3822" s="61" t="s">
        <v>383</v>
      </c>
      <c r="C3822" s="62">
        <v>44784</v>
      </c>
      <c r="D3822" s="62">
        <v>44784</v>
      </c>
      <c r="E3822" s="63">
        <v>0</v>
      </c>
    </row>
    <row r="3823" spans="1:5">
      <c r="A3823" s="61" t="s">
        <v>201</v>
      </c>
      <c r="B3823" s="61" t="s">
        <v>383</v>
      </c>
      <c r="C3823" s="62">
        <v>44785</v>
      </c>
      <c r="D3823" s="62">
        <v>44785</v>
      </c>
      <c r="E3823" s="63">
        <v>0</v>
      </c>
    </row>
    <row r="3824" spans="1:5">
      <c r="A3824" s="61" t="s">
        <v>201</v>
      </c>
      <c r="B3824" s="61" t="s">
        <v>383</v>
      </c>
      <c r="C3824" s="62">
        <v>44786</v>
      </c>
      <c r="D3824" s="62">
        <v>44786</v>
      </c>
      <c r="E3824" s="63">
        <v>0</v>
      </c>
    </row>
    <row r="3825" spans="1:5">
      <c r="A3825" s="61" t="s">
        <v>201</v>
      </c>
      <c r="B3825" s="61" t="s">
        <v>383</v>
      </c>
      <c r="C3825" s="62">
        <v>44787</v>
      </c>
      <c r="D3825" s="62">
        <v>44787</v>
      </c>
      <c r="E3825" s="63">
        <v>0</v>
      </c>
    </row>
    <row r="3826" spans="1:5">
      <c r="A3826" s="61" t="s">
        <v>201</v>
      </c>
      <c r="B3826" s="61" t="s">
        <v>383</v>
      </c>
      <c r="C3826" s="62">
        <v>44788</v>
      </c>
      <c r="D3826" s="62">
        <v>44788</v>
      </c>
      <c r="E3826" s="63">
        <v>0</v>
      </c>
    </row>
    <row r="3827" spans="1:5">
      <c r="A3827" s="61" t="s">
        <v>201</v>
      </c>
      <c r="B3827" s="61" t="s">
        <v>383</v>
      </c>
      <c r="C3827" s="62">
        <v>44789</v>
      </c>
      <c r="D3827" s="62">
        <v>44789</v>
      </c>
      <c r="E3827" s="63">
        <v>0</v>
      </c>
    </row>
    <row r="3828" spans="1:5">
      <c r="A3828" s="61" t="s">
        <v>201</v>
      </c>
      <c r="B3828" s="61" t="s">
        <v>383</v>
      </c>
      <c r="C3828" s="62">
        <v>44790</v>
      </c>
      <c r="D3828" s="62">
        <v>44790</v>
      </c>
      <c r="E3828" s="63">
        <v>0</v>
      </c>
    </row>
    <row r="3829" spans="1:5">
      <c r="A3829" s="61" t="s">
        <v>201</v>
      </c>
      <c r="B3829" s="61" t="s">
        <v>383</v>
      </c>
      <c r="C3829" s="62">
        <v>44791</v>
      </c>
      <c r="D3829" s="62">
        <v>44791</v>
      </c>
      <c r="E3829" s="63">
        <v>0</v>
      </c>
    </row>
    <row r="3830" spans="1:5">
      <c r="A3830" s="61" t="s">
        <v>201</v>
      </c>
      <c r="B3830" s="61" t="s">
        <v>383</v>
      </c>
      <c r="C3830" s="62">
        <v>44792</v>
      </c>
      <c r="D3830" s="62">
        <v>44792</v>
      </c>
      <c r="E3830" s="63">
        <v>0</v>
      </c>
    </row>
    <row r="3831" spans="1:5">
      <c r="A3831" s="61" t="s">
        <v>201</v>
      </c>
      <c r="B3831" s="61" t="s">
        <v>383</v>
      </c>
      <c r="C3831" s="62">
        <v>44793</v>
      </c>
      <c r="D3831" s="62">
        <v>44793</v>
      </c>
      <c r="E3831" s="63">
        <v>0</v>
      </c>
    </row>
    <row r="3832" spans="1:5">
      <c r="A3832" s="61" t="s">
        <v>201</v>
      </c>
      <c r="B3832" s="61" t="s">
        <v>383</v>
      </c>
      <c r="C3832" s="62">
        <v>44794</v>
      </c>
      <c r="D3832" s="62">
        <v>44794</v>
      </c>
      <c r="E3832" s="63">
        <v>0</v>
      </c>
    </row>
    <row r="3833" spans="1:5">
      <c r="A3833" s="61" t="s">
        <v>201</v>
      </c>
      <c r="B3833" s="61" t="s">
        <v>383</v>
      </c>
      <c r="C3833" s="62">
        <v>44795</v>
      </c>
      <c r="D3833" s="62">
        <v>44795</v>
      </c>
      <c r="E3833" s="63">
        <v>0</v>
      </c>
    </row>
    <row r="3834" spans="1:5">
      <c r="A3834" s="61" t="s">
        <v>201</v>
      </c>
      <c r="B3834" s="61" t="s">
        <v>383</v>
      </c>
      <c r="C3834" s="62">
        <v>44796</v>
      </c>
      <c r="D3834" s="62">
        <v>44796</v>
      </c>
      <c r="E3834" s="63">
        <v>0</v>
      </c>
    </row>
    <row r="3835" spans="1:5">
      <c r="A3835" s="61" t="s">
        <v>201</v>
      </c>
      <c r="B3835" s="61" t="s">
        <v>383</v>
      </c>
      <c r="C3835" s="62">
        <v>44797</v>
      </c>
      <c r="D3835" s="62">
        <v>44797</v>
      </c>
      <c r="E3835" s="63">
        <v>0</v>
      </c>
    </row>
    <row r="3836" spans="1:5">
      <c r="A3836" s="61" t="s">
        <v>201</v>
      </c>
      <c r="B3836" s="61" t="s">
        <v>383</v>
      </c>
      <c r="C3836" s="62">
        <v>44798</v>
      </c>
      <c r="D3836" s="62">
        <v>44798</v>
      </c>
      <c r="E3836" s="63">
        <v>0</v>
      </c>
    </row>
    <row r="3837" spans="1:5">
      <c r="A3837" s="61" t="s">
        <v>201</v>
      </c>
      <c r="B3837" s="61" t="s">
        <v>383</v>
      </c>
      <c r="C3837" s="62">
        <v>44799</v>
      </c>
      <c r="D3837" s="62">
        <v>44799</v>
      </c>
      <c r="E3837" s="63">
        <v>0</v>
      </c>
    </row>
    <row r="3838" spans="1:5">
      <c r="A3838" s="61" t="s">
        <v>201</v>
      </c>
      <c r="B3838" s="61" t="s">
        <v>383</v>
      </c>
      <c r="C3838" s="62">
        <v>44800</v>
      </c>
      <c r="D3838" s="62">
        <v>44800</v>
      </c>
      <c r="E3838" s="63">
        <v>0</v>
      </c>
    </row>
    <row r="3839" spans="1:5">
      <c r="A3839" s="61" t="s">
        <v>201</v>
      </c>
      <c r="B3839" s="61" t="s">
        <v>383</v>
      </c>
      <c r="C3839" s="62">
        <v>44801</v>
      </c>
      <c r="D3839" s="62">
        <v>44801</v>
      </c>
      <c r="E3839" s="63">
        <v>0</v>
      </c>
    </row>
    <row r="3840" spans="1:5">
      <c r="A3840" s="61" t="s">
        <v>201</v>
      </c>
      <c r="B3840" s="61" t="s">
        <v>383</v>
      </c>
      <c r="C3840" s="62">
        <v>44802</v>
      </c>
      <c r="D3840" s="62">
        <v>44802</v>
      </c>
      <c r="E3840" s="63">
        <v>0</v>
      </c>
    </row>
    <row r="3841" spans="1:5">
      <c r="A3841" s="61" t="s">
        <v>201</v>
      </c>
      <c r="B3841" s="61" t="s">
        <v>383</v>
      </c>
      <c r="C3841" s="62">
        <v>44803</v>
      </c>
      <c r="D3841" s="62">
        <v>44803</v>
      </c>
      <c r="E3841" s="63">
        <v>0</v>
      </c>
    </row>
    <row r="3842" spans="1:5">
      <c r="A3842" s="61" t="s">
        <v>69</v>
      </c>
      <c r="B3842" s="61" t="s">
        <v>380</v>
      </c>
      <c r="C3842" s="62">
        <v>44774</v>
      </c>
      <c r="D3842" s="62">
        <v>44774</v>
      </c>
      <c r="E3842" s="63">
        <v>0</v>
      </c>
    </row>
    <row r="3843" spans="1:5">
      <c r="A3843" s="61" t="s">
        <v>69</v>
      </c>
      <c r="B3843" s="61" t="s">
        <v>380</v>
      </c>
      <c r="C3843" s="62">
        <v>44775</v>
      </c>
      <c r="D3843" s="62">
        <v>44775</v>
      </c>
      <c r="E3843" s="63">
        <v>0</v>
      </c>
    </row>
    <row r="3844" spans="1:5">
      <c r="A3844" s="61" t="s">
        <v>69</v>
      </c>
      <c r="B3844" s="61" t="s">
        <v>380</v>
      </c>
      <c r="C3844" s="62">
        <v>44776</v>
      </c>
      <c r="D3844" s="62">
        <v>44776</v>
      </c>
      <c r="E3844" s="63">
        <v>0</v>
      </c>
    </row>
    <row r="3845" spans="1:5">
      <c r="A3845" s="61" t="s">
        <v>69</v>
      </c>
      <c r="B3845" s="61" t="s">
        <v>380</v>
      </c>
      <c r="C3845" s="62">
        <v>44777</v>
      </c>
      <c r="D3845" s="62">
        <v>44777</v>
      </c>
      <c r="E3845" s="63">
        <v>0</v>
      </c>
    </row>
    <row r="3846" spans="1:5">
      <c r="A3846" s="61" t="s">
        <v>69</v>
      </c>
      <c r="B3846" s="61" t="s">
        <v>380</v>
      </c>
      <c r="C3846" s="62">
        <v>44778</v>
      </c>
      <c r="D3846" s="62">
        <v>44778</v>
      </c>
      <c r="E3846" s="63">
        <v>0</v>
      </c>
    </row>
    <row r="3847" spans="1:5">
      <c r="A3847" s="61" t="s">
        <v>69</v>
      </c>
      <c r="B3847" s="61" t="s">
        <v>380</v>
      </c>
      <c r="C3847" s="62">
        <v>44779</v>
      </c>
      <c r="D3847" s="62">
        <v>44779</v>
      </c>
      <c r="E3847" s="63">
        <v>0</v>
      </c>
    </row>
    <row r="3848" spans="1:5">
      <c r="A3848" s="61" t="s">
        <v>69</v>
      </c>
      <c r="B3848" s="61" t="s">
        <v>380</v>
      </c>
      <c r="C3848" s="62">
        <v>44780</v>
      </c>
      <c r="D3848" s="62">
        <v>44780</v>
      </c>
      <c r="E3848" s="63">
        <v>0</v>
      </c>
    </row>
    <row r="3849" spans="1:5">
      <c r="A3849" s="61" t="s">
        <v>69</v>
      </c>
      <c r="B3849" s="61" t="s">
        <v>380</v>
      </c>
      <c r="C3849" s="62">
        <v>44781</v>
      </c>
      <c r="D3849" s="62">
        <v>44781</v>
      </c>
      <c r="E3849" s="63">
        <v>0</v>
      </c>
    </row>
    <row r="3850" spans="1:5">
      <c r="A3850" s="61" t="s">
        <v>69</v>
      </c>
      <c r="B3850" s="61" t="s">
        <v>380</v>
      </c>
      <c r="C3850" s="62">
        <v>44782</v>
      </c>
      <c r="D3850" s="62">
        <v>44782</v>
      </c>
      <c r="E3850" s="63">
        <v>0</v>
      </c>
    </row>
    <row r="3851" spans="1:5">
      <c r="A3851" s="61" t="s">
        <v>69</v>
      </c>
      <c r="B3851" s="61" t="s">
        <v>380</v>
      </c>
      <c r="C3851" s="62">
        <v>44783</v>
      </c>
      <c r="D3851" s="62">
        <v>44783</v>
      </c>
      <c r="E3851" s="63">
        <v>572.01</v>
      </c>
    </row>
    <row r="3852" spans="1:5">
      <c r="A3852" s="61" t="s">
        <v>69</v>
      </c>
      <c r="B3852" s="61" t="s">
        <v>380</v>
      </c>
      <c r="C3852" s="62">
        <v>44784</v>
      </c>
      <c r="D3852" s="62">
        <v>44784</v>
      </c>
      <c r="E3852" s="63">
        <v>0</v>
      </c>
    </row>
    <row r="3853" spans="1:5">
      <c r="A3853" s="61" t="s">
        <v>69</v>
      </c>
      <c r="B3853" s="61" t="s">
        <v>380</v>
      </c>
      <c r="C3853" s="62">
        <v>44785</v>
      </c>
      <c r="D3853" s="62">
        <v>44785</v>
      </c>
      <c r="E3853" s="63">
        <v>100.94</v>
      </c>
    </row>
    <row r="3854" spans="1:5">
      <c r="A3854" s="61" t="s">
        <v>69</v>
      </c>
      <c r="B3854" s="61" t="s">
        <v>380</v>
      </c>
      <c r="C3854" s="62">
        <v>44786</v>
      </c>
      <c r="D3854" s="62">
        <v>44786</v>
      </c>
      <c r="E3854" s="63">
        <v>0</v>
      </c>
    </row>
    <row r="3855" spans="1:5">
      <c r="A3855" s="61" t="s">
        <v>69</v>
      </c>
      <c r="B3855" s="61" t="s">
        <v>380</v>
      </c>
      <c r="C3855" s="62">
        <v>44787</v>
      </c>
      <c r="D3855" s="62">
        <v>44787</v>
      </c>
      <c r="E3855" s="63">
        <v>0</v>
      </c>
    </row>
    <row r="3856" spans="1:5">
      <c r="A3856" s="61" t="s">
        <v>69</v>
      </c>
      <c r="B3856" s="61" t="s">
        <v>380</v>
      </c>
      <c r="C3856" s="62">
        <v>44788</v>
      </c>
      <c r="D3856" s="62">
        <v>44788</v>
      </c>
      <c r="E3856" s="63">
        <v>0</v>
      </c>
    </row>
    <row r="3857" spans="1:5">
      <c r="A3857" s="61" t="s">
        <v>69</v>
      </c>
      <c r="B3857" s="61" t="s">
        <v>380</v>
      </c>
      <c r="C3857" s="62">
        <v>44789</v>
      </c>
      <c r="D3857" s="62">
        <v>44789</v>
      </c>
      <c r="E3857" s="63">
        <v>281.29000000000002</v>
      </c>
    </row>
    <row r="3858" spans="1:5">
      <c r="A3858" s="61" t="s">
        <v>69</v>
      </c>
      <c r="B3858" s="61" t="s">
        <v>380</v>
      </c>
      <c r="C3858" s="62">
        <v>44790</v>
      </c>
      <c r="D3858" s="62">
        <v>44790</v>
      </c>
      <c r="E3858" s="63">
        <v>0</v>
      </c>
    </row>
    <row r="3859" spans="1:5">
      <c r="A3859" s="61" t="s">
        <v>69</v>
      </c>
      <c r="B3859" s="61" t="s">
        <v>380</v>
      </c>
      <c r="C3859" s="62">
        <v>44791</v>
      </c>
      <c r="D3859" s="62">
        <v>44791</v>
      </c>
      <c r="E3859" s="63">
        <v>0</v>
      </c>
    </row>
    <row r="3860" spans="1:5">
      <c r="A3860" s="61" t="s">
        <v>69</v>
      </c>
      <c r="B3860" s="61" t="s">
        <v>380</v>
      </c>
      <c r="C3860" s="62">
        <v>44792</v>
      </c>
      <c r="D3860" s="62">
        <v>44792</v>
      </c>
      <c r="E3860" s="63">
        <v>0</v>
      </c>
    </row>
    <row r="3861" spans="1:5">
      <c r="A3861" s="61" t="s">
        <v>69</v>
      </c>
      <c r="B3861" s="61" t="s">
        <v>380</v>
      </c>
      <c r="C3861" s="62">
        <v>44793</v>
      </c>
      <c r="D3861" s="62">
        <v>44793</v>
      </c>
      <c r="E3861" s="63">
        <v>0</v>
      </c>
    </row>
    <row r="3862" spans="1:5">
      <c r="A3862" s="61" t="s">
        <v>69</v>
      </c>
      <c r="B3862" s="61" t="s">
        <v>380</v>
      </c>
      <c r="C3862" s="62">
        <v>44794</v>
      </c>
      <c r="D3862" s="62">
        <v>44794</v>
      </c>
      <c r="E3862" s="63">
        <v>0</v>
      </c>
    </row>
    <row r="3863" spans="1:5">
      <c r="A3863" s="61" t="s">
        <v>69</v>
      </c>
      <c r="B3863" s="61" t="s">
        <v>380</v>
      </c>
      <c r="C3863" s="62">
        <v>44795</v>
      </c>
      <c r="D3863" s="62">
        <v>44795</v>
      </c>
      <c r="E3863" s="63">
        <v>0</v>
      </c>
    </row>
    <row r="3864" spans="1:5">
      <c r="A3864" s="61" t="s">
        <v>69</v>
      </c>
      <c r="B3864" s="61" t="s">
        <v>380</v>
      </c>
      <c r="C3864" s="62">
        <v>44796</v>
      </c>
      <c r="D3864" s="62">
        <v>44796</v>
      </c>
      <c r="E3864" s="63">
        <v>168.24</v>
      </c>
    </row>
    <row r="3865" spans="1:5">
      <c r="A3865" s="61" t="s">
        <v>69</v>
      </c>
      <c r="B3865" s="61" t="s">
        <v>380</v>
      </c>
      <c r="C3865" s="62">
        <v>44797</v>
      </c>
      <c r="D3865" s="62">
        <v>44797</v>
      </c>
      <c r="E3865" s="63">
        <v>0</v>
      </c>
    </row>
    <row r="3866" spans="1:5">
      <c r="A3866" s="61" t="s">
        <v>69</v>
      </c>
      <c r="B3866" s="61" t="s">
        <v>380</v>
      </c>
      <c r="C3866" s="62">
        <v>44798</v>
      </c>
      <c r="D3866" s="62">
        <v>44798</v>
      </c>
      <c r="E3866" s="63">
        <v>0</v>
      </c>
    </row>
    <row r="3867" spans="1:5">
      <c r="A3867" s="61" t="s">
        <v>69</v>
      </c>
      <c r="B3867" s="61" t="s">
        <v>380</v>
      </c>
      <c r="C3867" s="62">
        <v>44799</v>
      </c>
      <c r="D3867" s="62">
        <v>44799</v>
      </c>
      <c r="E3867" s="63">
        <v>0</v>
      </c>
    </row>
    <row r="3868" spans="1:5">
      <c r="A3868" s="61" t="s">
        <v>69</v>
      </c>
      <c r="B3868" s="61" t="s">
        <v>380</v>
      </c>
      <c r="C3868" s="62">
        <v>44800</v>
      </c>
      <c r="D3868" s="62">
        <v>44800</v>
      </c>
      <c r="E3868" s="63">
        <v>0</v>
      </c>
    </row>
    <row r="3869" spans="1:5">
      <c r="A3869" s="61" t="s">
        <v>69</v>
      </c>
      <c r="B3869" s="61" t="s">
        <v>380</v>
      </c>
      <c r="C3869" s="62">
        <v>44801</v>
      </c>
      <c r="D3869" s="62">
        <v>44801</v>
      </c>
      <c r="E3869" s="63">
        <v>0</v>
      </c>
    </row>
    <row r="3870" spans="1:5">
      <c r="A3870" s="61" t="s">
        <v>69</v>
      </c>
      <c r="B3870" s="61" t="s">
        <v>380</v>
      </c>
      <c r="C3870" s="62">
        <v>44802</v>
      </c>
      <c r="D3870" s="62">
        <v>44802</v>
      </c>
      <c r="E3870" s="63">
        <v>533.58000000000004</v>
      </c>
    </row>
    <row r="3871" spans="1:5">
      <c r="A3871" s="61" t="s">
        <v>69</v>
      </c>
      <c r="B3871" s="61" t="s">
        <v>380</v>
      </c>
      <c r="C3871" s="62">
        <v>44803</v>
      </c>
      <c r="D3871" s="62">
        <v>44803</v>
      </c>
      <c r="E3871" s="63">
        <v>0</v>
      </c>
    </row>
    <row r="3872" spans="1:5">
      <c r="A3872" s="61" t="s">
        <v>202</v>
      </c>
      <c r="B3872" s="61" t="s">
        <v>381</v>
      </c>
      <c r="C3872" s="62">
        <v>44774</v>
      </c>
      <c r="D3872" s="62">
        <v>44774</v>
      </c>
      <c r="E3872" s="63">
        <v>0</v>
      </c>
    </row>
    <row r="3873" spans="1:5">
      <c r="A3873" s="61" t="s">
        <v>202</v>
      </c>
      <c r="B3873" s="61" t="s">
        <v>381</v>
      </c>
      <c r="C3873" s="62">
        <v>44775</v>
      </c>
      <c r="D3873" s="62">
        <v>44775</v>
      </c>
      <c r="E3873" s="63">
        <v>0</v>
      </c>
    </row>
    <row r="3874" spans="1:5">
      <c r="A3874" s="61" t="s">
        <v>202</v>
      </c>
      <c r="B3874" s="61" t="s">
        <v>381</v>
      </c>
      <c r="C3874" s="62">
        <v>44776</v>
      </c>
      <c r="D3874" s="62">
        <v>44776</v>
      </c>
      <c r="E3874" s="63">
        <v>0</v>
      </c>
    </row>
    <row r="3875" spans="1:5">
      <c r="A3875" s="61" t="s">
        <v>202</v>
      </c>
      <c r="B3875" s="61" t="s">
        <v>381</v>
      </c>
      <c r="C3875" s="62">
        <v>44777</v>
      </c>
      <c r="D3875" s="62">
        <v>44777</v>
      </c>
      <c r="E3875" s="63">
        <v>0</v>
      </c>
    </row>
    <row r="3876" spans="1:5">
      <c r="A3876" s="61" t="s">
        <v>202</v>
      </c>
      <c r="B3876" s="61" t="s">
        <v>381</v>
      </c>
      <c r="C3876" s="62">
        <v>44778</v>
      </c>
      <c r="D3876" s="62">
        <v>44778</v>
      </c>
      <c r="E3876" s="63">
        <v>0</v>
      </c>
    </row>
    <row r="3877" spans="1:5">
      <c r="A3877" s="61" t="s">
        <v>202</v>
      </c>
      <c r="B3877" s="61" t="s">
        <v>381</v>
      </c>
      <c r="C3877" s="62">
        <v>44779</v>
      </c>
      <c r="D3877" s="62">
        <v>44779</v>
      </c>
      <c r="E3877" s="63">
        <v>0</v>
      </c>
    </row>
    <row r="3878" spans="1:5">
      <c r="A3878" s="61" t="s">
        <v>202</v>
      </c>
      <c r="B3878" s="61" t="s">
        <v>381</v>
      </c>
      <c r="C3878" s="62">
        <v>44780</v>
      </c>
      <c r="D3878" s="62">
        <v>44780</v>
      </c>
      <c r="E3878" s="63">
        <v>0</v>
      </c>
    </row>
    <row r="3879" spans="1:5">
      <c r="A3879" s="61" t="s">
        <v>202</v>
      </c>
      <c r="B3879" s="61" t="s">
        <v>381</v>
      </c>
      <c r="C3879" s="62">
        <v>44781</v>
      </c>
      <c r="D3879" s="62">
        <v>44781</v>
      </c>
      <c r="E3879" s="63">
        <v>0</v>
      </c>
    </row>
    <row r="3880" spans="1:5">
      <c r="A3880" s="61" t="s">
        <v>202</v>
      </c>
      <c r="B3880" s="61" t="s">
        <v>381</v>
      </c>
      <c r="C3880" s="62">
        <v>44782</v>
      </c>
      <c r="D3880" s="62">
        <v>44782</v>
      </c>
      <c r="E3880" s="63">
        <v>16.82</v>
      </c>
    </row>
    <row r="3881" spans="1:5">
      <c r="A3881" s="61" t="s">
        <v>202</v>
      </c>
      <c r="B3881" s="61" t="s">
        <v>381</v>
      </c>
      <c r="C3881" s="62">
        <v>44783</v>
      </c>
      <c r="D3881" s="62">
        <v>44783</v>
      </c>
      <c r="E3881" s="63">
        <v>0</v>
      </c>
    </row>
    <row r="3882" spans="1:5">
      <c r="A3882" s="61" t="s">
        <v>202</v>
      </c>
      <c r="B3882" s="61" t="s">
        <v>381</v>
      </c>
      <c r="C3882" s="62">
        <v>44784</v>
      </c>
      <c r="D3882" s="62">
        <v>44784</v>
      </c>
      <c r="E3882" s="63">
        <v>0</v>
      </c>
    </row>
    <row r="3883" spans="1:5">
      <c r="A3883" s="61" t="s">
        <v>202</v>
      </c>
      <c r="B3883" s="61" t="s">
        <v>381</v>
      </c>
      <c r="C3883" s="62">
        <v>44785</v>
      </c>
      <c r="D3883" s="62">
        <v>44785</v>
      </c>
      <c r="E3883" s="63">
        <v>0</v>
      </c>
    </row>
    <row r="3884" spans="1:5">
      <c r="A3884" s="61" t="s">
        <v>202</v>
      </c>
      <c r="B3884" s="61" t="s">
        <v>381</v>
      </c>
      <c r="C3884" s="62">
        <v>44786</v>
      </c>
      <c r="D3884" s="62">
        <v>44786</v>
      </c>
      <c r="E3884" s="63">
        <v>0</v>
      </c>
    </row>
    <row r="3885" spans="1:5">
      <c r="A3885" s="61" t="s">
        <v>202</v>
      </c>
      <c r="B3885" s="61" t="s">
        <v>381</v>
      </c>
      <c r="C3885" s="62">
        <v>44787</v>
      </c>
      <c r="D3885" s="62">
        <v>44787</v>
      </c>
      <c r="E3885" s="63">
        <v>0</v>
      </c>
    </row>
    <row r="3886" spans="1:5">
      <c r="A3886" s="61" t="s">
        <v>202</v>
      </c>
      <c r="B3886" s="61" t="s">
        <v>381</v>
      </c>
      <c r="C3886" s="62">
        <v>44788</v>
      </c>
      <c r="D3886" s="62">
        <v>44788</v>
      </c>
      <c r="E3886" s="63">
        <v>0</v>
      </c>
    </row>
    <row r="3887" spans="1:5">
      <c r="A3887" s="61" t="s">
        <v>202</v>
      </c>
      <c r="B3887" s="61" t="s">
        <v>381</v>
      </c>
      <c r="C3887" s="62">
        <v>44789</v>
      </c>
      <c r="D3887" s="62">
        <v>44789</v>
      </c>
      <c r="E3887" s="63">
        <v>0</v>
      </c>
    </row>
    <row r="3888" spans="1:5">
      <c r="A3888" s="61" t="s">
        <v>202</v>
      </c>
      <c r="B3888" s="61" t="s">
        <v>381</v>
      </c>
      <c r="C3888" s="62">
        <v>44790</v>
      </c>
      <c r="D3888" s="62">
        <v>44790</v>
      </c>
      <c r="E3888" s="63">
        <v>0</v>
      </c>
    </row>
    <row r="3889" spans="1:5">
      <c r="A3889" s="61" t="s">
        <v>202</v>
      </c>
      <c r="B3889" s="61" t="s">
        <v>381</v>
      </c>
      <c r="C3889" s="62">
        <v>44791</v>
      </c>
      <c r="D3889" s="62">
        <v>44791</v>
      </c>
      <c r="E3889" s="63">
        <v>0</v>
      </c>
    </row>
    <row r="3890" spans="1:5">
      <c r="A3890" s="61" t="s">
        <v>202</v>
      </c>
      <c r="B3890" s="61" t="s">
        <v>381</v>
      </c>
      <c r="C3890" s="62">
        <v>44792</v>
      </c>
      <c r="D3890" s="62">
        <v>44792</v>
      </c>
      <c r="E3890" s="63">
        <v>0</v>
      </c>
    </row>
    <row r="3891" spans="1:5">
      <c r="A3891" s="61" t="s">
        <v>202</v>
      </c>
      <c r="B3891" s="61" t="s">
        <v>381</v>
      </c>
      <c r="C3891" s="62">
        <v>44793</v>
      </c>
      <c r="D3891" s="62">
        <v>44793</v>
      </c>
      <c r="E3891" s="63">
        <v>0</v>
      </c>
    </row>
    <row r="3892" spans="1:5">
      <c r="A3892" s="61" t="s">
        <v>202</v>
      </c>
      <c r="B3892" s="61" t="s">
        <v>381</v>
      </c>
      <c r="C3892" s="62">
        <v>44794</v>
      </c>
      <c r="D3892" s="62">
        <v>44794</v>
      </c>
      <c r="E3892" s="63">
        <v>0</v>
      </c>
    </row>
    <row r="3893" spans="1:5">
      <c r="A3893" s="61" t="s">
        <v>202</v>
      </c>
      <c r="B3893" s="61" t="s">
        <v>381</v>
      </c>
      <c r="C3893" s="62">
        <v>44795</v>
      </c>
      <c r="D3893" s="62">
        <v>44795</v>
      </c>
      <c r="E3893" s="63">
        <v>53.84</v>
      </c>
    </row>
    <row r="3894" spans="1:5">
      <c r="A3894" s="61" t="s">
        <v>202</v>
      </c>
      <c r="B3894" s="61" t="s">
        <v>381</v>
      </c>
      <c r="C3894" s="62">
        <v>44796</v>
      </c>
      <c r="D3894" s="62">
        <v>44796</v>
      </c>
      <c r="E3894" s="63">
        <v>962.32</v>
      </c>
    </row>
    <row r="3895" spans="1:5">
      <c r="A3895" s="61" t="s">
        <v>202</v>
      </c>
      <c r="B3895" s="61" t="s">
        <v>381</v>
      </c>
      <c r="C3895" s="62">
        <v>44797</v>
      </c>
      <c r="D3895" s="62">
        <v>44797</v>
      </c>
      <c r="E3895" s="63">
        <v>0</v>
      </c>
    </row>
    <row r="3896" spans="1:5">
      <c r="A3896" s="61" t="s">
        <v>202</v>
      </c>
      <c r="B3896" s="61" t="s">
        <v>381</v>
      </c>
      <c r="C3896" s="62">
        <v>44798</v>
      </c>
      <c r="D3896" s="62">
        <v>44798</v>
      </c>
      <c r="E3896" s="63">
        <v>0</v>
      </c>
    </row>
    <row r="3897" spans="1:5">
      <c r="A3897" s="61" t="s">
        <v>202</v>
      </c>
      <c r="B3897" s="61" t="s">
        <v>381</v>
      </c>
      <c r="C3897" s="62">
        <v>44799</v>
      </c>
      <c r="D3897" s="62">
        <v>44799</v>
      </c>
      <c r="E3897" s="63">
        <v>0</v>
      </c>
    </row>
    <row r="3898" spans="1:5">
      <c r="A3898" s="61" t="s">
        <v>202</v>
      </c>
      <c r="B3898" s="61" t="s">
        <v>381</v>
      </c>
      <c r="C3898" s="62">
        <v>44800</v>
      </c>
      <c r="D3898" s="62">
        <v>44800</v>
      </c>
      <c r="E3898" s="63">
        <v>0</v>
      </c>
    </row>
    <row r="3899" spans="1:5">
      <c r="A3899" s="61" t="s">
        <v>202</v>
      </c>
      <c r="B3899" s="61" t="s">
        <v>381</v>
      </c>
      <c r="C3899" s="62">
        <v>44801</v>
      </c>
      <c r="D3899" s="62">
        <v>44801</v>
      </c>
      <c r="E3899" s="63">
        <v>0</v>
      </c>
    </row>
    <row r="3900" spans="1:5">
      <c r="A3900" s="61" t="s">
        <v>202</v>
      </c>
      <c r="B3900" s="61" t="s">
        <v>381</v>
      </c>
      <c r="C3900" s="62">
        <v>44802</v>
      </c>
      <c r="D3900" s="62">
        <v>44802</v>
      </c>
      <c r="E3900" s="63">
        <v>6202.78</v>
      </c>
    </row>
    <row r="3901" spans="1:5">
      <c r="A3901" s="61" t="s">
        <v>202</v>
      </c>
      <c r="B3901" s="61" t="s">
        <v>381</v>
      </c>
      <c r="C3901" s="62">
        <v>44803</v>
      </c>
      <c r="D3901" s="62">
        <v>44803</v>
      </c>
      <c r="E3901" s="63">
        <v>0</v>
      </c>
    </row>
    <row r="3902" spans="1:5">
      <c r="A3902" s="61" t="s">
        <v>203</v>
      </c>
      <c r="B3902" s="61" t="s">
        <v>382</v>
      </c>
      <c r="C3902" s="62">
        <v>44774</v>
      </c>
      <c r="D3902" s="62">
        <v>44774</v>
      </c>
      <c r="E3902" s="63">
        <v>0</v>
      </c>
    </row>
    <row r="3903" spans="1:5">
      <c r="A3903" s="61" t="s">
        <v>203</v>
      </c>
      <c r="B3903" s="61" t="s">
        <v>382</v>
      </c>
      <c r="C3903" s="62">
        <v>44775</v>
      </c>
      <c r="D3903" s="62">
        <v>44775</v>
      </c>
      <c r="E3903" s="63">
        <v>0</v>
      </c>
    </row>
    <row r="3904" spans="1:5">
      <c r="A3904" s="61" t="s">
        <v>203</v>
      </c>
      <c r="B3904" s="61" t="s">
        <v>382</v>
      </c>
      <c r="C3904" s="62">
        <v>44776</v>
      </c>
      <c r="D3904" s="62">
        <v>44776</v>
      </c>
      <c r="E3904" s="63">
        <v>0</v>
      </c>
    </row>
    <row r="3905" spans="1:5">
      <c r="A3905" s="61" t="s">
        <v>203</v>
      </c>
      <c r="B3905" s="61" t="s">
        <v>382</v>
      </c>
      <c r="C3905" s="62">
        <v>44777</v>
      </c>
      <c r="D3905" s="62">
        <v>44777</v>
      </c>
      <c r="E3905" s="63">
        <v>0</v>
      </c>
    </row>
    <row r="3906" spans="1:5">
      <c r="A3906" s="61" t="s">
        <v>203</v>
      </c>
      <c r="B3906" s="61" t="s">
        <v>382</v>
      </c>
      <c r="C3906" s="62">
        <v>44778</v>
      </c>
      <c r="D3906" s="62">
        <v>44778</v>
      </c>
      <c r="E3906" s="63">
        <v>0</v>
      </c>
    </row>
    <row r="3907" spans="1:5">
      <c r="A3907" s="61" t="s">
        <v>203</v>
      </c>
      <c r="B3907" s="61" t="s">
        <v>382</v>
      </c>
      <c r="C3907" s="62">
        <v>44779</v>
      </c>
      <c r="D3907" s="62">
        <v>44779</v>
      </c>
      <c r="E3907" s="63">
        <v>0</v>
      </c>
    </row>
    <row r="3908" spans="1:5">
      <c r="A3908" s="61" t="s">
        <v>203</v>
      </c>
      <c r="B3908" s="61" t="s">
        <v>382</v>
      </c>
      <c r="C3908" s="62">
        <v>44780</v>
      </c>
      <c r="D3908" s="62">
        <v>44780</v>
      </c>
      <c r="E3908" s="63">
        <v>0</v>
      </c>
    </row>
    <row r="3909" spans="1:5">
      <c r="A3909" s="61" t="s">
        <v>203</v>
      </c>
      <c r="B3909" s="61" t="s">
        <v>382</v>
      </c>
      <c r="C3909" s="62">
        <v>44781</v>
      </c>
      <c r="D3909" s="62">
        <v>44781</v>
      </c>
      <c r="E3909" s="63">
        <v>0</v>
      </c>
    </row>
    <row r="3910" spans="1:5">
      <c r="A3910" s="61" t="s">
        <v>203</v>
      </c>
      <c r="B3910" s="61" t="s">
        <v>382</v>
      </c>
      <c r="C3910" s="62">
        <v>44782</v>
      </c>
      <c r="D3910" s="62">
        <v>44782</v>
      </c>
      <c r="E3910" s="63">
        <v>0</v>
      </c>
    </row>
    <row r="3911" spans="1:5">
      <c r="A3911" s="61" t="s">
        <v>203</v>
      </c>
      <c r="B3911" s="61" t="s">
        <v>382</v>
      </c>
      <c r="C3911" s="62">
        <v>44783</v>
      </c>
      <c r="D3911" s="62">
        <v>44783</v>
      </c>
      <c r="E3911" s="63">
        <v>0</v>
      </c>
    </row>
    <row r="3912" spans="1:5">
      <c r="A3912" s="61" t="s">
        <v>203</v>
      </c>
      <c r="B3912" s="61" t="s">
        <v>382</v>
      </c>
      <c r="C3912" s="62">
        <v>44784</v>
      </c>
      <c r="D3912" s="62">
        <v>44784</v>
      </c>
      <c r="E3912" s="63">
        <v>0</v>
      </c>
    </row>
    <row r="3913" spans="1:5">
      <c r="A3913" s="61" t="s">
        <v>203</v>
      </c>
      <c r="B3913" s="61" t="s">
        <v>382</v>
      </c>
      <c r="C3913" s="62">
        <v>44785</v>
      </c>
      <c r="D3913" s="62">
        <v>44785</v>
      </c>
      <c r="E3913" s="63">
        <v>0</v>
      </c>
    </row>
    <row r="3914" spans="1:5">
      <c r="A3914" s="61" t="s">
        <v>203</v>
      </c>
      <c r="B3914" s="61" t="s">
        <v>382</v>
      </c>
      <c r="C3914" s="62">
        <v>44786</v>
      </c>
      <c r="D3914" s="62">
        <v>44786</v>
      </c>
      <c r="E3914" s="63">
        <v>0</v>
      </c>
    </row>
    <row r="3915" spans="1:5">
      <c r="A3915" s="61" t="s">
        <v>203</v>
      </c>
      <c r="B3915" s="61" t="s">
        <v>382</v>
      </c>
      <c r="C3915" s="62">
        <v>44787</v>
      </c>
      <c r="D3915" s="62">
        <v>44787</v>
      </c>
      <c r="E3915" s="63">
        <v>0</v>
      </c>
    </row>
    <row r="3916" spans="1:5">
      <c r="A3916" s="61" t="s">
        <v>203</v>
      </c>
      <c r="B3916" s="61" t="s">
        <v>382</v>
      </c>
      <c r="C3916" s="62">
        <v>44788</v>
      </c>
      <c r="D3916" s="62">
        <v>44788</v>
      </c>
      <c r="E3916" s="63">
        <v>0</v>
      </c>
    </row>
    <row r="3917" spans="1:5">
      <c r="A3917" s="61" t="s">
        <v>203</v>
      </c>
      <c r="B3917" s="61" t="s">
        <v>382</v>
      </c>
      <c r="C3917" s="62">
        <v>44789</v>
      </c>
      <c r="D3917" s="62">
        <v>44789</v>
      </c>
      <c r="E3917" s="63">
        <v>0</v>
      </c>
    </row>
    <row r="3918" spans="1:5">
      <c r="A3918" s="61" t="s">
        <v>203</v>
      </c>
      <c r="B3918" s="61" t="s">
        <v>382</v>
      </c>
      <c r="C3918" s="62">
        <v>44790</v>
      </c>
      <c r="D3918" s="62">
        <v>44790</v>
      </c>
      <c r="E3918" s="63">
        <v>0</v>
      </c>
    </row>
    <row r="3919" spans="1:5">
      <c r="A3919" s="61" t="s">
        <v>203</v>
      </c>
      <c r="B3919" s="61" t="s">
        <v>382</v>
      </c>
      <c r="C3919" s="62">
        <v>44791</v>
      </c>
      <c r="D3919" s="62">
        <v>44791</v>
      </c>
      <c r="E3919" s="63">
        <v>0</v>
      </c>
    </row>
    <row r="3920" spans="1:5">
      <c r="A3920" s="61" t="s">
        <v>203</v>
      </c>
      <c r="B3920" s="61" t="s">
        <v>382</v>
      </c>
      <c r="C3920" s="62">
        <v>44792</v>
      </c>
      <c r="D3920" s="62">
        <v>44792</v>
      </c>
      <c r="E3920" s="63">
        <v>0</v>
      </c>
    </row>
    <row r="3921" spans="1:5">
      <c r="A3921" s="61" t="s">
        <v>203</v>
      </c>
      <c r="B3921" s="61" t="s">
        <v>382</v>
      </c>
      <c r="C3921" s="62">
        <v>44793</v>
      </c>
      <c r="D3921" s="62">
        <v>44793</v>
      </c>
      <c r="E3921" s="63">
        <v>0</v>
      </c>
    </row>
    <row r="3922" spans="1:5">
      <c r="A3922" s="61" t="s">
        <v>203</v>
      </c>
      <c r="B3922" s="61" t="s">
        <v>382</v>
      </c>
      <c r="C3922" s="62">
        <v>44794</v>
      </c>
      <c r="D3922" s="62">
        <v>44794</v>
      </c>
      <c r="E3922" s="63">
        <v>0</v>
      </c>
    </row>
    <row r="3923" spans="1:5">
      <c r="A3923" s="61" t="s">
        <v>203</v>
      </c>
      <c r="B3923" s="61" t="s">
        <v>382</v>
      </c>
      <c r="C3923" s="62">
        <v>44795</v>
      </c>
      <c r="D3923" s="62">
        <v>44795</v>
      </c>
      <c r="E3923" s="63">
        <v>0</v>
      </c>
    </row>
    <row r="3924" spans="1:5">
      <c r="A3924" s="61" t="s">
        <v>203</v>
      </c>
      <c r="B3924" s="61" t="s">
        <v>382</v>
      </c>
      <c r="C3924" s="62">
        <v>44796</v>
      </c>
      <c r="D3924" s="62">
        <v>44796</v>
      </c>
      <c r="E3924" s="63">
        <v>0</v>
      </c>
    </row>
    <row r="3925" spans="1:5">
      <c r="A3925" s="61" t="s">
        <v>203</v>
      </c>
      <c r="B3925" s="61" t="s">
        <v>382</v>
      </c>
      <c r="C3925" s="62">
        <v>44797</v>
      </c>
      <c r="D3925" s="62">
        <v>44797</v>
      </c>
      <c r="E3925" s="63">
        <v>0</v>
      </c>
    </row>
    <row r="3926" spans="1:5">
      <c r="A3926" s="61" t="s">
        <v>203</v>
      </c>
      <c r="B3926" s="61" t="s">
        <v>382</v>
      </c>
      <c r="C3926" s="62">
        <v>44798</v>
      </c>
      <c r="D3926" s="62">
        <v>44798</v>
      </c>
      <c r="E3926" s="63">
        <v>0</v>
      </c>
    </row>
    <row r="3927" spans="1:5">
      <c r="A3927" s="61" t="s">
        <v>203</v>
      </c>
      <c r="B3927" s="61" t="s">
        <v>382</v>
      </c>
      <c r="C3927" s="62">
        <v>44799</v>
      </c>
      <c r="D3927" s="62">
        <v>44799</v>
      </c>
      <c r="E3927" s="63">
        <v>0</v>
      </c>
    </row>
    <row r="3928" spans="1:5">
      <c r="A3928" s="61" t="s">
        <v>203</v>
      </c>
      <c r="B3928" s="61" t="s">
        <v>382</v>
      </c>
      <c r="C3928" s="62">
        <v>44800</v>
      </c>
      <c r="D3928" s="62">
        <v>44800</v>
      </c>
      <c r="E3928" s="63">
        <v>0</v>
      </c>
    </row>
    <row r="3929" spans="1:5">
      <c r="A3929" s="61" t="s">
        <v>203</v>
      </c>
      <c r="B3929" s="61" t="s">
        <v>382</v>
      </c>
      <c r="C3929" s="62">
        <v>44801</v>
      </c>
      <c r="D3929" s="62">
        <v>44801</v>
      </c>
      <c r="E3929" s="63">
        <v>0</v>
      </c>
    </row>
    <row r="3930" spans="1:5">
      <c r="A3930" s="61" t="s">
        <v>203</v>
      </c>
      <c r="B3930" s="61" t="s">
        <v>382</v>
      </c>
      <c r="C3930" s="62">
        <v>44802</v>
      </c>
      <c r="D3930" s="62">
        <v>44802</v>
      </c>
      <c r="E3930" s="63">
        <v>0</v>
      </c>
    </row>
    <row r="3931" spans="1:5">
      <c r="A3931" s="61" t="s">
        <v>203</v>
      </c>
      <c r="B3931" s="61" t="s">
        <v>382</v>
      </c>
      <c r="C3931" s="62">
        <v>44803</v>
      </c>
      <c r="D3931" s="62">
        <v>44803</v>
      </c>
      <c r="E3931" s="63">
        <v>0</v>
      </c>
    </row>
    <row r="3932" spans="1:5">
      <c r="A3932" s="61" t="s">
        <v>204</v>
      </c>
      <c r="B3932" s="61" t="s">
        <v>383</v>
      </c>
      <c r="C3932" s="62">
        <v>44774</v>
      </c>
      <c r="D3932" s="62">
        <v>44774</v>
      </c>
      <c r="E3932" s="63">
        <v>0</v>
      </c>
    </row>
    <row r="3933" spans="1:5">
      <c r="A3933" s="61" t="s">
        <v>204</v>
      </c>
      <c r="B3933" s="61" t="s">
        <v>383</v>
      </c>
      <c r="C3933" s="62">
        <v>44775</v>
      </c>
      <c r="D3933" s="62">
        <v>44775</v>
      </c>
      <c r="E3933" s="63">
        <v>0</v>
      </c>
    </row>
    <row r="3934" spans="1:5">
      <c r="A3934" s="61" t="s">
        <v>204</v>
      </c>
      <c r="B3934" s="61" t="s">
        <v>383</v>
      </c>
      <c r="C3934" s="62">
        <v>44776</v>
      </c>
      <c r="D3934" s="62">
        <v>44776</v>
      </c>
      <c r="E3934" s="63">
        <v>0</v>
      </c>
    </row>
    <row r="3935" spans="1:5">
      <c r="A3935" s="61" t="s">
        <v>204</v>
      </c>
      <c r="B3935" s="61" t="s">
        <v>383</v>
      </c>
      <c r="C3935" s="62">
        <v>44777</v>
      </c>
      <c r="D3935" s="62">
        <v>44777</v>
      </c>
      <c r="E3935" s="63">
        <v>0</v>
      </c>
    </row>
    <row r="3936" spans="1:5">
      <c r="A3936" s="61" t="s">
        <v>204</v>
      </c>
      <c r="B3936" s="61" t="s">
        <v>383</v>
      </c>
      <c r="C3936" s="62">
        <v>44778</v>
      </c>
      <c r="D3936" s="62">
        <v>44778</v>
      </c>
      <c r="E3936" s="63">
        <v>0</v>
      </c>
    </row>
    <row r="3937" spans="1:5">
      <c r="A3937" s="61" t="s">
        <v>204</v>
      </c>
      <c r="B3937" s="61" t="s">
        <v>383</v>
      </c>
      <c r="C3937" s="62">
        <v>44779</v>
      </c>
      <c r="D3937" s="62">
        <v>44779</v>
      </c>
      <c r="E3937" s="63">
        <v>0</v>
      </c>
    </row>
    <row r="3938" spans="1:5">
      <c r="A3938" s="61" t="s">
        <v>204</v>
      </c>
      <c r="B3938" s="61" t="s">
        <v>383</v>
      </c>
      <c r="C3938" s="62">
        <v>44780</v>
      </c>
      <c r="D3938" s="62">
        <v>44780</v>
      </c>
      <c r="E3938" s="63">
        <v>0</v>
      </c>
    </row>
    <row r="3939" spans="1:5">
      <c r="A3939" s="61" t="s">
        <v>204</v>
      </c>
      <c r="B3939" s="61" t="s">
        <v>383</v>
      </c>
      <c r="C3939" s="62">
        <v>44781</v>
      </c>
      <c r="D3939" s="62">
        <v>44781</v>
      </c>
      <c r="E3939" s="63">
        <v>0</v>
      </c>
    </row>
    <row r="3940" spans="1:5">
      <c r="A3940" s="61" t="s">
        <v>204</v>
      </c>
      <c r="B3940" s="61" t="s">
        <v>383</v>
      </c>
      <c r="C3940" s="62">
        <v>44782</v>
      </c>
      <c r="D3940" s="62">
        <v>44782</v>
      </c>
      <c r="E3940" s="63">
        <v>0</v>
      </c>
    </row>
    <row r="3941" spans="1:5">
      <c r="A3941" s="61" t="s">
        <v>204</v>
      </c>
      <c r="B3941" s="61" t="s">
        <v>383</v>
      </c>
      <c r="C3941" s="62">
        <v>44783</v>
      </c>
      <c r="D3941" s="62">
        <v>44783</v>
      </c>
      <c r="E3941" s="63">
        <v>0</v>
      </c>
    </row>
    <row r="3942" spans="1:5">
      <c r="A3942" s="61" t="s">
        <v>204</v>
      </c>
      <c r="B3942" s="61" t="s">
        <v>383</v>
      </c>
      <c r="C3942" s="62">
        <v>44784</v>
      </c>
      <c r="D3942" s="62">
        <v>44784</v>
      </c>
      <c r="E3942" s="63">
        <v>0</v>
      </c>
    </row>
    <row r="3943" spans="1:5">
      <c r="A3943" s="61" t="s">
        <v>204</v>
      </c>
      <c r="B3943" s="61" t="s">
        <v>383</v>
      </c>
      <c r="C3943" s="62">
        <v>44785</v>
      </c>
      <c r="D3943" s="62">
        <v>44785</v>
      </c>
      <c r="E3943" s="63">
        <v>0</v>
      </c>
    </row>
    <row r="3944" spans="1:5">
      <c r="A3944" s="61" t="s">
        <v>204</v>
      </c>
      <c r="B3944" s="61" t="s">
        <v>383</v>
      </c>
      <c r="C3944" s="62">
        <v>44786</v>
      </c>
      <c r="D3944" s="62">
        <v>44786</v>
      </c>
      <c r="E3944" s="63">
        <v>0</v>
      </c>
    </row>
    <row r="3945" spans="1:5">
      <c r="A3945" s="61" t="s">
        <v>204</v>
      </c>
      <c r="B3945" s="61" t="s">
        <v>383</v>
      </c>
      <c r="C3945" s="62">
        <v>44787</v>
      </c>
      <c r="D3945" s="62">
        <v>44787</v>
      </c>
      <c r="E3945" s="63">
        <v>0</v>
      </c>
    </row>
    <row r="3946" spans="1:5">
      <c r="A3946" s="61" t="s">
        <v>204</v>
      </c>
      <c r="B3946" s="61" t="s">
        <v>383</v>
      </c>
      <c r="C3946" s="62">
        <v>44788</v>
      </c>
      <c r="D3946" s="62">
        <v>44788</v>
      </c>
      <c r="E3946" s="63">
        <v>0</v>
      </c>
    </row>
    <row r="3947" spans="1:5">
      <c r="A3947" s="61" t="s">
        <v>204</v>
      </c>
      <c r="B3947" s="61" t="s">
        <v>383</v>
      </c>
      <c r="C3947" s="62">
        <v>44789</v>
      </c>
      <c r="D3947" s="62">
        <v>44789</v>
      </c>
      <c r="E3947" s="63">
        <v>0</v>
      </c>
    </row>
    <row r="3948" spans="1:5">
      <c r="A3948" s="61" t="s">
        <v>204</v>
      </c>
      <c r="B3948" s="61" t="s">
        <v>383</v>
      </c>
      <c r="C3948" s="62">
        <v>44790</v>
      </c>
      <c r="D3948" s="62">
        <v>44790</v>
      </c>
      <c r="E3948" s="63">
        <v>0</v>
      </c>
    </row>
    <row r="3949" spans="1:5">
      <c r="A3949" s="61" t="s">
        <v>204</v>
      </c>
      <c r="B3949" s="61" t="s">
        <v>383</v>
      </c>
      <c r="C3949" s="62">
        <v>44791</v>
      </c>
      <c r="D3949" s="62">
        <v>44791</v>
      </c>
      <c r="E3949" s="63">
        <v>0</v>
      </c>
    </row>
    <row r="3950" spans="1:5">
      <c r="A3950" s="61" t="s">
        <v>204</v>
      </c>
      <c r="B3950" s="61" t="s">
        <v>383</v>
      </c>
      <c r="C3950" s="62">
        <v>44792</v>
      </c>
      <c r="D3950" s="62">
        <v>44792</v>
      </c>
      <c r="E3950" s="63">
        <v>0</v>
      </c>
    </row>
    <row r="3951" spans="1:5">
      <c r="A3951" s="61" t="s">
        <v>204</v>
      </c>
      <c r="B3951" s="61" t="s">
        <v>383</v>
      </c>
      <c r="C3951" s="62">
        <v>44793</v>
      </c>
      <c r="D3951" s="62">
        <v>44793</v>
      </c>
      <c r="E3951" s="63">
        <v>0</v>
      </c>
    </row>
    <row r="3952" spans="1:5">
      <c r="A3952" s="61" t="s">
        <v>204</v>
      </c>
      <c r="B3952" s="61" t="s">
        <v>383</v>
      </c>
      <c r="C3952" s="62">
        <v>44794</v>
      </c>
      <c r="D3952" s="62">
        <v>44794</v>
      </c>
      <c r="E3952" s="63">
        <v>0</v>
      </c>
    </row>
    <row r="3953" spans="1:5">
      <c r="A3953" s="61" t="s">
        <v>204</v>
      </c>
      <c r="B3953" s="61" t="s">
        <v>383</v>
      </c>
      <c r="C3953" s="62">
        <v>44795</v>
      </c>
      <c r="D3953" s="62">
        <v>44795</v>
      </c>
      <c r="E3953" s="63">
        <v>0</v>
      </c>
    </row>
    <row r="3954" spans="1:5">
      <c r="A3954" s="61" t="s">
        <v>204</v>
      </c>
      <c r="B3954" s="61" t="s">
        <v>383</v>
      </c>
      <c r="C3954" s="62">
        <v>44796</v>
      </c>
      <c r="D3954" s="62">
        <v>44796</v>
      </c>
      <c r="E3954" s="63">
        <v>0</v>
      </c>
    </row>
    <row r="3955" spans="1:5">
      <c r="A3955" s="61" t="s">
        <v>204</v>
      </c>
      <c r="B3955" s="61" t="s">
        <v>383</v>
      </c>
      <c r="C3955" s="62">
        <v>44797</v>
      </c>
      <c r="D3955" s="62">
        <v>44797</v>
      </c>
      <c r="E3955" s="63">
        <v>0</v>
      </c>
    </row>
    <row r="3956" spans="1:5">
      <c r="A3956" s="61" t="s">
        <v>204</v>
      </c>
      <c r="B3956" s="61" t="s">
        <v>383</v>
      </c>
      <c r="C3956" s="62">
        <v>44798</v>
      </c>
      <c r="D3956" s="62">
        <v>44798</v>
      </c>
      <c r="E3956" s="63">
        <v>0</v>
      </c>
    </row>
    <row r="3957" spans="1:5">
      <c r="A3957" s="61" t="s">
        <v>204</v>
      </c>
      <c r="B3957" s="61" t="s">
        <v>383</v>
      </c>
      <c r="C3957" s="62">
        <v>44799</v>
      </c>
      <c r="D3957" s="62">
        <v>44799</v>
      </c>
      <c r="E3957" s="63">
        <v>0</v>
      </c>
    </row>
    <row r="3958" spans="1:5">
      <c r="A3958" s="61" t="s">
        <v>204</v>
      </c>
      <c r="B3958" s="61" t="s">
        <v>383</v>
      </c>
      <c r="C3958" s="62">
        <v>44800</v>
      </c>
      <c r="D3958" s="62">
        <v>44800</v>
      </c>
      <c r="E3958" s="63">
        <v>0</v>
      </c>
    </row>
    <row r="3959" spans="1:5">
      <c r="A3959" s="61" t="s">
        <v>204</v>
      </c>
      <c r="B3959" s="61" t="s">
        <v>383</v>
      </c>
      <c r="C3959" s="62">
        <v>44801</v>
      </c>
      <c r="D3959" s="62">
        <v>44801</v>
      </c>
      <c r="E3959" s="63">
        <v>0</v>
      </c>
    </row>
    <row r="3960" spans="1:5">
      <c r="A3960" s="61" t="s">
        <v>204</v>
      </c>
      <c r="B3960" s="61" t="s">
        <v>383</v>
      </c>
      <c r="C3960" s="62">
        <v>44802</v>
      </c>
      <c r="D3960" s="62">
        <v>44802</v>
      </c>
      <c r="E3960" s="63">
        <v>0</v>
      </c>
    </row>
    <row r="3961" spans="1:5">
      <c r="A3961" s="61" t="s">
        <v>204</v>
      </c>
      <c r="B3961" s="61" t="s">
        <v>383</v>
      </c>
      <c r="C3961" s="62">
        <v>44803</v>
      </c>
      <c r="D3961" s="62">
        <v>44803</v>
      </c>
      <c r="E3961" s="63">
        <v>0</v>
      </c>
    </row>
    <row r="3962" spans="1:5">
      <c r="A3962" s="61" t="s">
        <v>71</v>
      </c>
      <c r="B3962" s="61" t="s">
        <v>380</v>
      </c>
      <c r="C3962" s="62">
        <v>44774</v>
      </c>
      <c r="D3962" s="62">
        <v>44774</v>
      </c>
      <c r="E3962" s="63">
        <v>0</v>
      </c>
    </row>
    <row r="3963" spans="1:5">
      <c r="A3963" s="61" t="s">
        <v>71</v>
      </c>
      <c r="B3963" s="61" t="s">
        <v>380</v>
      </c>
      <c r="C3963" s="62">
        <v>44775</v>
      </c>
      <c r="D3963" s="62">
        <v>44775</v>
      </c>
      <c r="E3963" s="63">
        <v>0</v>
      </c>
    </row>
    <row r="3964" spans="1:5">
      <c r="A3964" s="61" t="s">
        <v>71</v>
      </c>
      <c r="B3964" s="61" t="s">
        <v>380</v>
      </c>
      <c r="C3964" s="62">
        <v>44776</v>
      </c>
      <c r="D3964" s="62">
        <v>44776</v>
      </c>
      <c r="E3964" s="63">
        <v>0</v>
      </c>
    </row>
    <row r="3965" spans="1:5">
      <c r="A3965" s="61" t="s">
        <v>71</v>
      </c>
      <c r="B3965" s="61" t="s">
        <v>380</v>
      </c>
      <c r="C3965" s="62">
        <v>44777</v>
      </c>
      <c r="D3965" s="62">
        <v>44777</v>
      </c>
      <c r="E3965" s="63">
        <v>0</v>
      </c>
    </row>
    <row r="3966" spans="1:5">
      <c r="A3966" s="61" t="s">
        <v>71</v>
      </c>
      <c r="B3966" s="61" t="s">
        <v>380</v>
      </c>
      <c r="C3966" s="62">
        <v>44778</v>
      </c>
      <c r="D3966" s="62">
        <v>44778</v>
      </c>
      <c r="E3966" s="63">
        <v>0</v>
      </c>
    </row>
    <row r="3967" spans="1:5">
      <c r="A3967" s="61" t="s">
        <v>71</v>
      </c>
      <c r="B3967" s="61" t="s">
        <v>380</v>
      </c>
      <c r="C3967" s="62">
        <v>44779</v>
      </c>
      <c r="D3967" s="62">
        <v>44779</v>
      </c>
      <c r="E3967" s="63">
        <v>0</v>
      </c>
    </row>
    <row r="3968" spans="1:5">
      <c r="A3968" s="61" t="s">
        <v>71</v>
      </c>
      <c r="B3968" s="61" t="s">
        <v>380</v>
      </c>
      <c r="C3968" s="62">
        <v>44780</v>
      </c>
      <c r="D3968" s="62">
        <v>44780</v>
      </c>
      <c r="E3968" s="63">
        <v>0</v>
      </c>
    </row>
    <row r="3969" spans="1:5">
      <c r="A3969" s="61" t="s">
        <v>71</v>
      </c>
      <c r="B3969" s="61" t="s">
        <v>380</v>
      </c>
      <c r="C3969" s="62">
        <v>44781</v>
      </c>
      <c r="D3969" s="62">
        <v>44781</v>
      </c>
      <c r="E3969" s="63">
        <v>0</v>
      </c>
    </row>
    <row r="3970" spans="1:5">
      <c r="A3970" s="61" t="s">
        <v>71</v>
      </c>
      <c r="B3970" s="61" t="s">
        <v>380</v>
      </c>
      <c r="C3970" s="62">
        <v>44782</v>
      </c>
      <c r="D3970" s="62">
        <v>44782</v>
      </c>
      <c r="E3970" s="63">
        <v>0</v>
      </c>
    </row>
    <row r="3971" spans="1:5">
      <c r="A3971" s="61" t="s">
        <v>71</v>
      </c>
      <c r="B3971" s="61" t="s">
        <v>380</v>
      </c>
      <c r="C3971" s="62">
        <v>44783</v>
      </c>
      <c r="D3971" s="62">
        <v>44783</v>
      </c>
      <c r="E3971" s="63">
        <v>35.33</v>
      </c>
    </row>
    <row r="3972" spans="1:5">
      <c r="A3972" s="61" t="s">
        <v>71</v>
      </c>
      <c r="B3972" s="61" t="s">
        <v>380</v>
      </c>
      <c r="C3972" s="62">
        <v>44784</v>
      </c>
      <c r="D3972" s="62">
        <v>44784</v>
      </c>
      <c r="E3972" s="63">
        <v>242.6</v>
      </c>
    </row>
    <row r="3973" spans="1:5">
      <c r="A3973" s="61" t="s">
        <v>71</v>
      </c>
      <c r="B3973" s="61" t="s">
        <v>380</v>
      </c>
      <c r="C3973" s="62">
        <v>44785</v>
      </c>
      <c r="D3973" s="62">
        <v>44785</v>
      </c>
      <c r="E3973" s="63">
        <v>0</v>
      </c>
    </row>
    <row r="3974" spans="1:5">
      <c r="A3974" s="61" t="s">
        <v>71</v>
      </c>
      <c r="B3974" s="61" t="s">
        <v>380</v>
      </c>
      <c r="C3974" s="62">
        <v>44786</v>
      </c>
      <c r="D3974" s="62">
        <v>44786</v>
      </c>
      <c r="E3974" s="63">
        <v>0</v>
      </c>
    </row>
    <row r="3975" spans="1:5">
      <c r="A3975" s="61" t="s">
        <v>71</v>
      </c>
      <c r="B3975" s="61" t="s">
        <v>380</v>
      </c>
      <c r="C3975" s="62">
        <v>44787</v>
      </c>
      <c r="D3975" s="62">
        <v>44787</v>
      </c>
      <c r="E3975" s="63">
        <v>0</v>
      </c>
    </row>
    <row r="3976" spans="1:5">
      <c r="A3976" s="61" t="s">
        <v>71</v>
      </c>
      <c r="B3976" s="61" t="s">
        <v>380</v>
      </c>
      <c r="C3976" s="62">
        <v>44788</v>
      </c>
      <c r="D3976" s="62">
        <v>44788</v>
      </c>
      <c r="E3976" s="63">
        <v>0</v>
      </c>
    </row>
    <row r="3977" spans="1:5">
      <c r="A3977" s="61" t="s">
        <v>71</v>
      </c>
      <c r="B3977" s="61" t="s">
        <v>380</v>
      </c>
      <c r="C3977" s="62">
        <v>44789</v>
      </c>
      <c r="D3977" s="62">
        <v>44789</v>
      </c>
      <c r="E3977" s="63">
        <v>0</v>
      </c>
    </row>
    <row r="3978" spans="1:5">
      <c r="A3978" s="61" t="s">
        <v>71</v>
      </c>
      <c r="B3978" s="61" t="s">
        <v>380</v>
      </c>
      <c r="C3978" s="62">
        <v>44790</v>
      </c>
      <c r="D3978" s="62">
        <v>44790</v>
      </c>
      <c r="E3978" s="63">
        <v>0</v>
      </c>
    </row>
    <row r="3979" spans="1:5">
      <c r="A3979" s="61" t="s">
        <v>71</v>
      </c>
      <c r="B3979" s="61" t="s">
        <v>380</v>
      </c>
      <c r="C3979" s="62">
        <v>44791</v>
      </c>
      <c r="D3979" s="62">
        <v>44791</v>
      </c>
      <c r="E3979" s="63">
        <v>0</v>
      </c>
    </row>
    <row r="3980" spans="1:5">
      <c r="A3980" s="61" t="s">
        <v>71</v>
      </c>
      <c r="B3980" s="61" t="s">
        <v>380</v>
      </c>
      <c r="C3980" s="62">
        <v>44792</v>
      </c>
      <c r="D3980" s="62">
        <v>44792</v>
      </c>
      <c r="E3980" s="63">
        <v>0</v>
      </c>
    </row>
    <row r="3981" spans="1:5">
      <c r="A3981" s="61" t="s">
        <v>71</v>
      </c>
      <c r="B3981" s="61" t="s">
        <v>380</v>
      </c>
      <c r="C3981" s="62">
        <v>44793</v>
      </c>
      <c r="D3981" s="62">
        <v>44793</v>
      </c>
      <c r="E3981" s="63">
        <v>0</v>
      </c>
    </row>
    <row r="3982" spans="1:5">
      <c r="A3982" s="61" t="s">
        <v>71</v>
      </c>
      <c r="B3982" s="61" t="s">
        <v>380</v>
      </c>
      <c r="C3982" s="62">
        <v>44794</v>
      </c>
      <c r="D3982" s="62">
        <v>44794</v>
      </c>
      <c r="E3982" s="63">
        <v>0</v>
      </c>
    </row>
    <row r="3983" spans="1:5">
      <c r="A3983" s="61" t="s">
        <v>71</v>
      </c>
      <c r="B3983" s="61" t="s">
        <v>380</v>
      </c>
      <c r="C3983" s="62">
        <v>44795</v>
      </c>
      <c r="D3983" s="62">
        <v>44795</v>
      </c>
      <c r="E3983" s="63">
        <v>0</v>
      </c>
    </row>
    <row r="3984" spans="1:5">
      <c r="A3984" s="61" t="s">
        <v>71</v>
      </c>
      <c r="B3984" s="61" t="s">
        <v>380</v>
      </c>
      <c r="C3984" s="62">
        <v>44796</v>
      </c>
      <c r="D3984" s="62">
        <v>44796</v>
      </c>
      <c r="E3984" s="63">
        <v>0</v>
      </c>
    </row>
    <row r="3985" spans="1:5">
      <c r="A3985" s="61" t="s">
        <v>71</v>
      </c>
      <c r="B3985" s="61" t="s">
        <v>380</v>
      </c>
      <c r="C3985" s="62">
        <v>44797</v>
      </c>
      <c r="D3985" s="62">
        <v>44797</v>
      </c>
      <c r="E3985" s="63">
        <v>0</v>
      </c>
    </row>
    <row r="3986" spans="1:5">
      <c r="A3986" s="61" t="s">
        <v>71</v>
      </c>
      <c r="B3986" s="61" t="s">
        <v>380</v>
      </c>
      <c r="C3986" s="62">
        <v>44798</v>
      </c>
      <c r="D3986" s="62">
        <v>44798</v>
      </c>
      <c r="E3986" s="63">
        <v>139.63999999999999</v>
      </c>
    </row>
    <row r="3987" spans="1:5">
      <c r="A3987" s="61" t="s">
        <v>71</v>
      </c>
      <c r="B3987" s="61" t="s">
        <v>380</v>
      </c>
      <c r="C3987" s="62">
        <v>44799</v>
      </c>
      <c r="D3987" s="62">
        <v>44799</v>
      </c>
      <c r="E3987" s="63">
        <v>0</v>
      </c>
    </row>
    <row r="3988" spans="1:5">
      <c r="A3988" s="61" t="s">
        <v>71</v>
      </c>
      <c r="B3988" s="61" t="s">
        <v>380</v>
      </c>
      <c r="C3988" s="62">
        <v>44800</v>
      </c>
      <c r="D3988" s="62">
        <v>44800</v>
      </c>
      <c r="E3988" s="63">
        <v>0</v>
      </c>
    </row>
    <row r="3989" spans="1:5">
      <c r="A3989" s="61" t="s">
        <v>71</v>
      </c>
      <c r="B3989" s="61" t="s">
        <v>380</v>
      </c>
      <c r="C3989" s="62">
        <v>44801</v>
      </c>
      <c r="D3989" s="62">
        <v>44801</v>
      </c>
      <c r="E3989" s="63">
        <v>0</v>
      </c>
    </row>
    <row r="3990" spans="1:5">
      <c r="A3990" s="61" t="s">
        <v>71</v>
      </c>
      <c r="B3990" s="61" t="s">
        <v>380</v>
      </c>
      <c r="C3990" s="62">
        <v>44802</v>
      </c>
      <c r="D3990" s="62">
        <v>44802</v>
      </c>
      <c r="E3990" s="63">
        <v>0</v>
      </c>
    </row>
    <row r="3991" spans="1:5">
      <c r="A3991" s="61" t="s">
        <v>71</v>
      </c>
      <c r="B3991" s="61" t="s">
        <v>380</v>
      </c>
      <c r="C3991" s="62">
        <v>44803</v>
      </c>
      <c r="D3991" s="62">
        <v>44803</v>
      </c>
      <c r="E3991" s="63">
        <v>0</v>
      </c>
    </row>
    <row r="3992" spans="1:5">
      <c r="A3992" s="61" t="s">
        <v>205</v>
      </c>
      <c r="B3992" s="61" t="s">
        <v>381</v>
      </c>
      <c r="C3992" s="62">
        <v>44774</v>
      </c>
      <c r="D3992" s="62">
        <v>44774</v>
      </c>
      <c r="E3992" s="63">
        <v>0</v>
      </c>
    </row>
    <row r="3993" spans="1:5">
      <c r="A3993" s="61" t="s">
        <v>205</v>
      </c>
      <c r="B3993" s="61" t="s">
        <v>381</v>
      </c>
      <c r="C3993" s="62">
        <v>44775</v>
      </c>
      <c r="D3993" s="62">
        <v>44775</v>
      </c>
      <c r="E3993" s="63">
        <v>0</v>
      </c>
    </row>
    <row r="3994" spans="1:5">
      <c r="A3994" s="61" t="s">
        <v>205</v>
      </c>
      <c r="B3994" s="61" t="s">
        <v>381</v>
      </c>
      <c r="C3994" s="62">
        <v>44776</v>
      </c>
      <c r="D3994" s="62">
        <v>44776</v>
      </c>
      <c r="E3994" s="63">
        <v>0</v>
      </c>
    </row>
    <row r="3995" spans="1:5">
      <c r="A3995" s="61" t="s">
        <v>205</v>
      </c>
      <c r="B3995" s="61" t="s">
        <v>381</v>
      </c>
      <c r="C3995" s="62">
        <v>44777</v>
      </c>
      <c r="D3995" s="62">
        <v>44777</v>
      </c>
      <c r="E3995" s="63">
        <v>0</v>
      </c>
    </row>
    <row r="3996" spans="1:5">
      <c r="A3996" s="61" t="s">
        <v>205</v>
      </c>
      <c r="B3996" s="61" t="s">
        <v>381</v>
      </c>
      <c r="C3996" s="62">
        <v>44778</v>
      </c>
      <c r="D3996" s="62">
        <v>44778</v>
      </c>
      <c r="E3996" s="63">
        <v>0</v>
      </c>
    </row>
    <row r="3997" spans="1:5">
      <c r="A3997" s="61" t="s">
        <v>205</v>
      </c>
      <c r="B3997" s="61" t="s">
        <v>381</v>
      </c>
      <c r="C3997" s="62">
        <v>44779</v>
      </c>
      <c r="D3997" s="62">
        <v>44779</v>
      </c>
      <c r="E3997" s="63">
        <v>0</v>
      </c>
    </row>
    <row r="3998" spans="1:5">
      <c r="A3998" s="61" t="s">
        <v>205</v>
      </c>
      <c r="B3998" s="61" t="s">
        <v>381</v>
      </c>
      <c r="C3998" s="62">
        <v>44780</v>
      </c>
      <c r="D3998" s="62">
        <v>44780</v>
      </c>
      <c r="E3998" s="63">
        <v>0</v>
      </c>
    </row>
    <row r="3999" spans="1:5">
      <c r="A3999" s="61" t="s">
        <v>205</v>
      </c>
      <c r="B3999" s="61" t="s">
        <v>381</v>
      </c>
      <c r="C3999" s="62">
        <v>44781</v>
      </c>
      <c r="D3999" s="62">
        <v>44781</v>
      </c>
      <c r="E3999" s="63">
        <v>0</v>
      </c>
    </row>
    <row r="4000" spans="1:5">
      <c r="A4000" s="61" t="s">
        <v>205</v>
      </c>
      <c r="B4000" s="61" t="s">
        <v>381</v>
      </c>
      <c r="C4000" s="62">
        <v>44782</v>
      </c>
      <c r="D4000" s="62">
        <v>44782</v>
      </c>
      <c r="E4000" s="63">
        <v>0</v>
      </c>
    </row>
    <row r="4001" spans="1:5">
      <c r="A4001" s="61" t="s">
        <v>205</v>
      </c>
      <c r="B4001" s="61" t="s">
        <v>381</v>
      </c>
      <c r="C4001" s="62">
        <v>44783</v>
      </c>
      <c r="D4001" s="62">
        <v>44783</v>
      </c>
      <c r="E4001" s="63">
        <v>1762.11</v>
      </c>
    </row>
    <row r="4002" spans="1:5">
      <c r="A4002" s="61" t="s">
        <v>205</v>
      </c>
      <c r="B4002" s="61" t="s">
        <v>381</v>
      </c>
      <c r="C4002" s="62">
        <v>44784</v>
      </c>
      <c r="D4002" s="62">
        <v>44784</v>
      </c>
      <c r="E4002" s="63">
        <v>148.05000000000001</v>
      </c>
    </row>
    <row r="4003" spans="1:5">
      <c r="A4003" s="61" t="s">
        <v>205</v>
      </c>
      <c r="B4003" s="61" t="s">
        <v>381</v>
      </c>
      <c r="C4003" s="62">
        <v>44785</v>
      </c>
      <c r="D4003" s="62">
        <v>44785</v>
      </c>
      <c r="E4003" s="63">
        <v>0</v>
      </c>
    </row>
    <row r="4004" spans="1:5">
      <c r="A4004" s="61" t="s">
        <v>205</v>
      </c>
      <c r="B4004" s="61" t="s">
        <v>381</v>
      </c>
      <c r="C4004" s="62">
        <v>44786</v>
      </c>
      <c r="D4004" s="62">
        <v>44786</v>
      </c>
      <c r="E4004" s="63">
        <v>0</v>
      </c>
    </row>
    <row r="4005" spans="1:5">
      <c r="A4005" s="61" t="s">
        <v>205</v>
      </c>
      <c r="B4005" s="61" t="s">
        <v>381</v>
      </c>
      <c r="C4005" s="62">
        <v>44787</v>
      </c>
      <c r="D4005" s="62">
        <v>44787</v>
      </c>
      <c r="E4005" s="63">
        <v>0</v>
      </c>
    </row>
    <row r="4006" spans="1:5">
      <c r="A4006" s="61" t="s">
        <v>205</v>
      </c>
      <c r="B4006" s="61" t="s">
        <v>381</v>
      </c>
      <c r="C4006" s="62">
        <v>44788</v>
      </c>
      <c r="D4006" s="62">
        <v>44788</v>
      </c>
      <c r="E4006" s="63">
        <v>0</v>
      </c>
    </row>
    <row r="4007" spans="1:5">
      <c r="A4007" s="61" t="s">
        <v>205</v>
      </c>
      <c r="B4007" s="61" t="s">
        <v>381</v>
      </c>
      <c r="C4007" s="62">
        <v>44789</v>
      </c>
      <c r="D4007" s="62">
        <v>44789</v>
      </c>
      <c r="E4007" s="63">
        <v>0</v>
      </c>
    </row>
    <row r="4008" spans="1:5">
      <c r="A4008" s="61" t="s">
        <v>205</v>
      </c>
      <c r="B4008" s="61" t="s">
        <v>381</v>
      </c>
      <c r="C4008" s="62">
        <v>44790</v>
      </c>
      <c r="D4008" s="62">
        <v>44790</v>
      </c>
      <c r="E4008" s="63">
        <v>0</v>
      </c>
    </row>
    <row r="4009" spans="1:5">
      <c r="A4009" s="61" t="s">
        <v>205</v>
      </c>
      <c r="B4009" s="61" t="s">
        <v>381</v>
      </c>
      <c r="C4009" s="62">
        <v>44791</v>
      </c>
      <c r="D4009" s="62">
        <v>44791</v>
      </c>
      <c r="E4009" s="63">
        <v>0</v>
      </c>
    </row>
    <row r="4010" spans="1:5">
      <c r="A4010" s="61" t="s">
        <v>205</v>
      </c>
      <c r="B4010" s="61" t="s">
        <v>381</v>
      </c>
      <c r="C4010" s="62">
        <v>44792</v>
      </c>
      <c r="D4010" s="62">
        <v>44792</v>
      </c>
      <c r="E4010" s="63">
        <v>0</v>
      </c>
    </row>
    <row r="4011" spans="1:5">
      <c r="A4011" s="61" t="s">
        <v>205</v>
      </c>
      <c r="B4011" s="61" t="s">
        <v>381</v>
      </c>
      <c r="C4011" s="62">
        <v>44793</v>
      </c>
      <c r="D4011" s="62">
        <v>44793</v>
      </c>
      <c r="E4011" s="63">
        <v>0</v>
      </c>
    </row>
    <row r="4012" spans="1:5">
      <c r="A4012" s="61" t="s">
        <v>205</v>
      </c>
      <c r="B4012" s="61" t="s">
        <v>381</v>
      </c>
      <c r="C4012" s="62">
        <v>44794</v>
      </c>
      <c r="D4012" s="62">
        <v>44794</v>
      </c>
      <c r="E4012" s="63">
        <v>0</v>
      </c>
    </row>
    <row r="4013" spans="1:5">
      <c r="A4013" s="61" t="s">
        <v>205</v>
      </c>
      <c r="B4013" s="61" t="s">
        <v>381</v>
      </c>
      <c r="C4013" s="62">
        <v>44795</v>
      </c>
      <c r="D4013" s="62">
        <v>44795</v>
      </c>
      <c r="E4013" s="63">
        <v>0</v>
      </c>
    </row>
    <row r="4014" spans="1:5">
      <c r="A4014" s="61" t="s">
        <v>205</v>
      </c>
      <c r="B4014" s="61" t="s">
        <v>381</v>
      </c>
      <c r="C4014" s="62">
        <v>44796</v>
      </c>
      <c r="D4014" s="62">
        <v>44796</v>
      </c>
      <c r="E4014" s="63">
        <v>0</v>
      </c>
    </row>
    <row r="4015" spans="1:5">
      <c r="A4015" s="61" t="s">
        <v>205</v>
      </c>
      <c r="B4015" s="61" t="s">
        <v>381</v>
      </c>
      <c r="C4015" s="62">
        <v>44797</v>
      </c>
      <c r="D4015" s="62">
        <v>44797</v>
      </c>
      <c r="E4015" s="63">
        <v>0</v>
      </c>
    </row>
    <row r="4016" spans="1:5">
      <c r="A4016" s="61" t="s">
        <v>205</v>
      </c>
      <c r="B4016" s="61" t="s">
        <v>381</v>
      </c>
      <c r="C4016" s="62">
        <v>44798</v>
      </c>
      <c r="D4016" s="62">
        <v>44798</v>
      </c>
      <c r="E4016" s="63">
        <v>0</v>
      </c>
    </row>
    <row r="4017" spans="1:5">
      <c r="A4017" s="61" t="s">
        <v>205</v>
      </c>
      <c r="B4017" s="61" t="s">
        <v>381</v>
      </c>
      <c r="C4017" s="62">
        <v>44799</v>
      </c>
      <c r="D4017" s="62">
        <v>44799</v>
      </c>
      <c r="E4017" s="63">
        <v>0</v>
      </c>
    </row>
    <row r="4018" spans="1:5">
      <c r="A4018" s="61" t="s">
        <v>205</v>
      </c>
      <c r="B4018" s="61" t="s">
        <v>381</v>
      </c>
      <c r="C4018" s="62">
        <v>44800</v>
      </c>
      <c r="D4018" s="62">
        <v>44800</v>
      </c>
      <c r="E4018" s="63">
        <v>0</v>
      </c>
    </row>
    <row r="4019" spans="1:5">
      <c r="A4019" s="61" t="s">
        <v>205</v>
      </c>
      <c r="B4019" s="61" t="s">
        <v>381</v>
      </c>
      <c r="C4019" s="62">
        <v>44801</v>
      </c>
      <c r="D4019" s="62">
        <v>44801</v>
      </c>
      <c r="E4019" s="63">
        <v>0</v>
      </c>
    </row>
    <row r="4020" spans="1:5">
      <c r="A4020" s="61" t="s">
        <v>205</v>
      </c>
      <c r="B4020" s="61" t="s">
        <v>381</v>
      </c>
      <c r="C4020" s="62">
        <v>44802</v>
      </c>
      <c r="D4020" s="62">
        <v>44802</v>
      </c>
      <c r="E4020" s="63">
        <v>0</v>
      </c>
    </row>
    <row r="4021" spans="1:5">
      <c r="A4021" s="61" t="s">
        <v>205</v>
      </c>
      <c r="B4021" s="61" t="s">
        <v>381</v>
      </c>
      <c r="C4021" s="62">
        <v>44803</v>
      </c>
      <c r="D4021" s="62">
        <v>44803</v>
      </c>
      <c r="E4021" s="63">
        <v>0</v>
      </c>
    </row>
    <row r="4022" spans="1:5">
      <c r="A4022" s="61" t="s">
        <v>206</v>
      </c>
      <c r="B4022" s="61" t="s">
        <v>382</v>
      </c>
      <c r="C4022" s="62">
        <v>44774</v>
      </c>
      <c r="D4022" s="62">
        <v>44774</v>
      </c>
      <c r="E4022" s="63">
        <v>0</v>
      </c>
    </row>
    <row r="4023" spans="1:5">
      <c r="A4023" s="61" t="s">
        <v>206</v>
      </c>
      <c r="B4023" s="61" t="s">
        <v>382</v>
      </c>
      <c r="C4023" s="62">
        <v>44775</v>
      </c>
      <c r="D4023" s="62">
        <v>44775</v>
      </c>
      <c r="E4023" s="63">
        <v>0</v>
      </c>
    </row>
    <row r="4024" spans="1:5">
      <c r="A4024" s="61" t="s">
        <v>206</v>
      </c>
      <c r="B4024" s="61" t="s">
        <v>382</v>
      </c>
      <c r="C4024" s="62">
        <v>44776</v>
      </c>
      <c r="D4024" s="62">
        <v>44776</v>
      </c>
      <c r="E4024" s="63">
        <v>0</v>
      </c>
    </row>
    <row r="4025" spans="1:5">
      <c r="A4025" s="61" t="s">
        <v>206</v>
      </c>
      <c r="B4025" s="61" t="s">
        <v>382</v>
      </c>
      <c r="C4025" s="62">
        <v>44777</v>
      </c>
      <c r="D4025" s="62">
        <v>44777</v>
      </c>
      <c r="E4025" s="63">
        <v>0</v>
      </c>
    </row>
    <row r="4026" spans="1:5">
      <c r="A4026" s="61" t="s">
        <v>206</v>
      </c>
      <c r="B4026" s="61" t="s">
        <v>382</v>
      </c>
      <c r="C4026" s="62">
        <v>44778</v>
      </c>
      <c r="D4026" s="62">
        <v>44778</v>
      </c>
      <c r="E4026" s="63">
        <v>0</v>
      </c>
    </row>
    <row r="4027" spans="1:5">
      <c r="A4027" s="61" t="s">
        <v>206</v>
      </c>
      <c r="B4027" s="61" t="s">
        <v>382</v>
      </c>
      <c r="C4027" s="62">
        <v>44779</v>
      </c>
      <c r="D4027" s="62">
        <v>44779</v>
      </c>
      <c r="E4027" s="63">
        <v>0</v>
      </c>
    </row>
    <row r="4028" spans="1:5">
      <c r="A4028" s="61" t="s">
        <v>206</v>
      </c>
      <c r="B4028" s="61" t="s">
        <v>382</v>
      </c>
      <c r="C4028" s="62">
        <v>44780</v>
      </c>
      <c r="D4028" s="62">
        <v>44780</v>
      </c>
      <c r="E4028" s="63">
        <v>0</v>
      </c>
    </row>
    <row r="4029" spans="1:5">
      <c r="A4029" s="61" t="s">
        <v>206</v>
      </c>
      <c r="B4029" s="61" t="s">
        <v>382</v>
      </c>
      <c r="C4029" s="62">
        <v>44781</v>
      </c>
      <c r="D4029" s="62">
        <v>44781</v>
      </c>
      <c r="E4029" s="63">
        <v>0</v>
      </c>
    </row>
    <row r="4030" spans="1:5">
      <c r="A4030" s="61" t="s">
        <v>206</v>
      </c>
      <c r="B4030" s="61" t="s">
        <v>382</v>
      </c>
      <c r="C4030" s="62">
        <v>44782</v>
      </c>
      <c r="D4030" s="62">
        <v>44782</v>
      </c>
      <c r="E4030" s="63">
        <v>0</v>
      </c>
    </row>
    <row r="4031" spans="1:5">
      <c r="A4031" s="61" t="s">
        <v>206</v>
      </c>
      <c r="B4031" s="61" t="s">
        <v>382</v>
      </c>
      <c r="C4031" s="62">
        <v>44783</v>
      </c>
      <c r="D4031" s="62">
        <v>44783</v>
      </c>
      <c r="E4031" s="63">
        <v>0</v>
      </c>
    </row>
    <row r="4032" spans="1:5">
      <c r="A4032" s="61" t="s">
        <v>206</v>
      </c>
      <c r="B4032" s="61" t="s">
        <v>382</v>
      </c>
      <c r="C4032" s="62">
        <v>44784</v>
      </c>
      <c r="D4032" s="62">
        <v>44784</v>
      </c>
      <c r="E4032" s="63">
        <v>148.05000000000001</v>
      </c>
    </row>
    <row r="4033" spans="1:5">
      <c r="A4033" s="61" t="s">
        <v>206</v>
      </c>
      <c r="B4033" s="61" t="s">
        <v>382</v>
      </c>
      <c r="C4033" s="62">
        <v>44785</v>
      </c>
      <c r="D4033" s="62">
        <v>44785</v>
      </c>
      <c r="E4033" s="63">
        <v>0</v>
      </c>
    </row>
    <row r="4034" spans="1:5">
      <c r="A4034" s="61" t="s">
        <v>206</v>
      </c>
      <c r="B4034" s="61" t="s">
        <v>382</v>
      </c>
      <c r="C4034" s="62">
        <v>44786</v>
      </c>
      <c r="D4034" s="62">
        <v>44786</v>
      </c>
      <c r="E4034" s="63">
        <v>0</v>
      </c>
    </row>
    <row r="4035" spans="1:5">
      <c r="A4035" s="61" t="s">
        <v>206</v>
      </c>
      <c r="B4035" s="61" t="s">
        <v>382</v>
      </c>
      <c r="C4035" s="62">
        <v>44787</v>
      </c>
      <c r="D4035" s="62">
        <v>44787</v>
      </c>
      <c r="E4035" s="63">
        <v>0</v>
      </c>
    </row>
    <row r="4036" spans="1:5">
      <c r="A4036" s="61" t="s">
        <v>206</v>
      </c>
      <c r="B4036" s="61" t="s">
        <v>382</v>
      </c>
      <c r="C4036" s="62">
        <v>44788</v>
      </c>
      <c r="D4036" s="62">
        <v>44788</v>
      </c>
      <c r="E4036" s="63">
        <v>0</v>
      </c>
    </row>
    <row r="4037" spans="1:5">
      <c r="A4037" s="61" t="s">
        <v>206</v>
      </c>
      <c r="B4037" s="61" t="s">
        <v>382</v>
      </c>
      <c r="C4037" s="62">
        <v>44789</v>
      </c>
      <c r="D4037" s="62">
        <v>44789</v>
      </c>
      <c r="E4037" s="63">
        <v>0</v>
      </c>
    </row>
    <row r="4038" spans="1:5">
      <c r="A4038" s="61" t="s">
        <v>206</v>
      </c>
      <c r="B4038" s="61" t="s">
        <v>382</v>
      </c>
      <c r="C4038" s="62">
        <v>44790</v>
      </c>
      <c r="D4038" s="62">
        <v>44790</v>
      </c>
      <c r="E4038" s="63">
        <v>0</v>
      </c>
    </row>
    <row r="4039" spans="1:5">
      <c r="A4039" s="61" t="s">
        <v>206</v>
      </c>
      <c r="B4039" s="61" t="s">
        <v>382</v>
      </c>
      <c r="C4039" s="62">
        <v>44791</v>
      </c>
      <c r="D4039" s="62">
        <v>44791</v>
      </c>
      <c r="E4039" s="63">
        <v>0</v>
      </c>
    </row>
    <row r="4040" spans="1:5">
      <c r="A4040" s="61" t="s">
        <v>206</v>
      </c>
      <c r="B4040" s="61" t="s">
        <v>382</v>
      </c>
      <c r="C4040" s="62">
        <v>44792</v>
      </c>
      <c r="D4040" s="62">
        <v>44792</v>
      </c>
      <c r="E4040" s="63">
        <v>0</v>
      </c>
    </row>
    <row r="4041" spans="1:5">
      <c r="A4041" s="61" t="s">
        <v>206</v>
      </c>
      <c r="B4041" s="61" t="s">
        <v>382</v>
      </c>
      <c r="C4041" s="62">
        <v>44793</v>
      </c>
      <c r="D4041" s="62">
        <v>44793</v>
      </c>
      <c r="E4041" s="63">
        <v>0</v>
      </c>
    </row>
    <row r="4042" spans="1:5">
      <c r="A4042" s="61" t="s">
        <v>206</v>
      </c>
      <c r="B4042" s="61" t="s">
        <v>382</v>
      </c>
      <c r="C4042" s="62">
        <v>44794</v>
      </c>
      <c r="D4042" s="62">
        <v>44794</v>
      </c>
      <c r="E4042" s="63">
        <v>0</v>
      </c>
    </row>
    <row r="4043" spans="1:5">
      <c r="A4043" s="61" t="s">
        <v>206</v>
      </c>
      <c r="B4043" s="61" t="s">
        <v>382</v>
      </c>
      <c r="C4043" s="62">
        <v>44795</v>
      </c>
      <c r="D4043" s="62">
        <v>44795</v>
      </c>
      <c r="E4043" s="63">
        <v>0</v>
      </c>
    </row>
    <row r="4044" spans="1:5">
      <c r="A4044" s="61" t="s">
        <v>206</v>
      </c>
      <c r="B4044" s="61" t="s">
        <v>382</v>
      </c>
      <c r="C4044" s="62">
        <v>44796</v>
      </c>
      <c r="D4044" s="62">
        <v>44796</v>
      </c>
      <c r="E4044" s="63">
        <v>0</v>
      </c>
    </row>
    <row r="4045" spans="1:5">
      <c r="A4045" s="61" t="s">
        <v>206</v>
      </c>
      <c r="B4045" s="61" t="s">
        <v>382</v>
      </c>
      <c r="C4045" s="62">
        <v>44797</v>
      </c>
      <c r="D4045" s="62">
        <v>44797</v>
      </c>
      <c r="E4045" s="63">
        <v>0</v>
      </c>
    </row>
    <row r="4046" spans="1:5">
      <c r="A4046" s="61" t="s">
        <v>206</v>
      </c>
      <c r="B4046" s="61" t="s">
        <v>382</v>
      </c>
      <c r="C4046" s="62">
        <v>44798</v>
      </c>
      <c r="D4046" s="62">
        <v>44798</v>
      </c>
      <c r="E4046" s="63">
        <v>0</v>
      </c>
    </row>
    <row r="4047" spans="1:5">
      <c r="A4047" s="61" t="s">
        <v>206</v>
      </c>
      <c r="B4047" s="61" t="s">
        <v>382</v>
      </c>
      <c r="C4047" s="62">
        <v>44799</v>
      </c>
      <c r="D4047" s="62">
        <v>44799</v>
      </c>
      <c r="E4047" s="63">
        <v>0</v>
      </c>
    </row>
    <row r="4048" spans="1:5">
      <c r="A4048" s="61" t="s">
        <v>206</v>
      </c>
      <c r="B4048" s="61" t="s">
        <v>382</v>
      </c>
      <c r="C4048" s="62">
        <v>44800</v>
      </c>
      <c r="D4048" s="62">
        <v>44800</v>
      </c>
      <c r="E4048" s="63">
        <v>0</v>
      </c>
    </row>
    <row r="4049" spans="1:5">
      <c r="A4049" s="61" t="s">
        <v>206</v>
      </c>
      <c r="B4049" s="61" t="s">
        <v>382</v>
      </c>
      <c r="C4049" s="62">
        <v>44801</v>
      </c>
      <c r="D4049" s="62">
        <v>44801</v>
      </c>
      <c r="E4049" s="63">
        <v>0</v>
      </c>
    </row>
    <row r="4050" spans="1:5">
      <c r="A4050" s="61" t="s">
        <v>206</v>
      </c>
      <c r="B4050" s="61" t="s">
        <v>382</v>
      </c>
      <c r="C4050" s="62">
        <v>44802</v>
      </c>
      <c r="D4050" s="62">
        <v>44802</v>
      </c>
      <c r="E4050" s="63">
        <v>0</v>
      </c>
    </row>
    <row r="4051" spans="1:5">
      <c r="A4051" s="61" t="s">
        <v>206</v>
      </c>
      <c r="B4051" s="61" t="s">
        <v>382</v>
      </c>
      <c r="C4051" s="62">
        <v>44803</v>
      </c>
      <c r="D4051" s="62">
        <v>44803</v>
      </c>
      <c r="E4051" s="63">
        <v>0</v>
      </c>
    </row>
    <row r="4052" spans="1:5">
      <c r="A4052" s="61" t="s">
        <v>207</v>
      </c>
      <c r="B4052" s="61" t="s">
        <v>383</v>
      </c>
      <c r="C4052" s="62">
        <v>44774</v>
      </c>
      <c r="D4052" s="62">
        <v>44774</v>
      </c>
      <c r="E4052" s="63">
        <v>0</v>
      </c>
    </row>
    <row r="4053" spans="1:5">
      <c r="A4053" s="61" t="s">
        <v>207</v>
      </c>
      <c r="B4053" s="61" t="s">
        <v>383</v>
      </c>
      <c r="C4053" s="62">
        <v>44775</v>
      </c>
      <c r="D4053" s="62">
        <v>44775</v>
      </c>
      <c r="E4053" s="63">
        <v>0</v>
      </c>
    </row>
    <row r="4054" spans="1:5">
      <c r="A4054" s="61" t="s">
        <v>207</v>
      </c>
      <c r="B4054" s="61" t="s">
        <v>383</v>
      </c>
      <c r="C4054" s="62">
        <v>44776</v>
      </c>
      <c r="D4054" s="62">
        <v>44776</v>
      </c>
      <c r="E4054" s="63">
        <v>0</v>
      </c>
    </row>
    <row r="4055" spans="1:5">
      <c r="A4055" s="61" t="s">
        <v>207</v>
      </c>
      <c r="B4055" s="61" t="s">
        <v>383</v>
      </c>
      <c r="C4055" s="62">
        <v>44777</v>
      </c>
      <c r="D4055" s="62">
        <v>44777</v>
      </c>
      <c r="E4055" s="63">
        <v>0</v>
      </c>
    </row>
    <row r="4056" spans="1:5">
      <c r="A4056" s="61" t="s">
        <v>207</v>
      </c>
      <c r="B4056" s="61" t="s">
        <v>383</v>
      </c>
      <c r="C4056" s="62">
        <v>44778</v>
      </c>
      <c r="D4056" s="62">
        <v>44778</v>
      </c>
      <c r="E4056" s="63">
        <v>0</v>
      </c>
    </row>
    <row r="4057" spans="1:5">
      <c r="A4057" s="61" t="s">
        <v>207</v>
      </c>
      <c r="B4057" s="61" t="s">
        <v>383</v>
      </c>
      <c r="C4057" s="62">
        <v>44779</v>
      </c>
      <c r="D4057" s="62">
        <v>44779</v>
      </c>
      <c r="E4057" s="63">
        <v>0</v>
      </c>
    </row>
    <row r="4058" spans="1:5">
      <c r="A4058" s="61" t="s">
        <v>207</v>
      </c>
      <c r="B4058" s="61" t="s">
        <v>383</v>
      </c>
      <c r="C4058" s="62">
        <v>44780</v>
      </c>
      <c r="D4058" s="62">
        <v>44780</v>
      </c>
      <c r="E4058" s="63">
        <v>0</v>
      </c>
    </row>
    <row r="4059" spans="1:5">
      <c r="A4059" s="61" t="s">
        <v>207</v>
      </c>
      <c r="B4059" s="61" t="s">
        <v>383</v>
      </c>
      <c r="C4059" s="62">
        <v>44781</v>
      </c>
      <c r="D4059" s="62">
        <v>44781</v>
      </c>
      <c r="E4059" s="63">
        <v>0</v>
      </c>
    </row>
    <row r="4060" spans="1:5">
      <c r="A4060" s="61" t="s">
        <v>207</v>
      </c>
      <c r="B4060" s="61" t="s">
        <v>383</v>
      </c>
      <c r="C4060" s="62">
        <v>44782</v>
      </c>
      <c r="D4060" s="62">
        <v>44782</v>
      </c>
      <c r="E4060" s="63">
        <v>0</v>
      </c>
    </row>
    <row r="4061" spans="1:5">
      <c r="A4061" s="61" t="s">
        <v>207</v>
      </c>
      <c r="B4061" s="61" t="s">
        <v>383</v>
      </c>
      <c r="C4061" s="62">
        <v>44783</v>
      </c>
      <c r="D4061" s="62">
        <v>44783</v>
      </c>
      <c r="E4061" s="63">
        <v>0</v>
      </c>
    </row>
    <row r="4062" spans="1:5">
      <c r="A4062" s="61" t="s">
        <v>207</v>
      </c>
      <c r="B4062" s="61" t="s">
        <v>383</v>
      </c>
      <c r="C4062" s="62">
        <v>44784</v>
      </c>
      <c r="D4062" s="62">
        <v>44784</v>
      </c>
      <c r="E4062" s="63">
        <v>114.4</v>
      </c>
    </row>
    <row r="4063" spans="1:5">
      <c r="A4063" s="61" t="s">
        <v>207</v>
      </c>
      <c r="B4063" s="61" t="s">
        <v>383</v>
      </c>
      <c r="C4063" s="62">
        <v>44785</v>
      </c>
      <c r="D4063" s="62">
        <v>44785</v>
      </c>
      <c r="E4063" s="63">
        <v>0</v>
      </c>
    </row>
    <row r="4064" spans="1:5">
      <c r="A4064" s="61" t="s">
        <v>207</v>
      </c>
      <c r="B4064" s="61" t="s">
        <v>383</v>
      </c>
      <c r="C4064" s="62">
        <v>44786</v>
      </c>
      <c r="D4064" s="62">
        <v>44786</v>
      </c>
      <c r="E4064" s="63">
        <v>0</v>
      </c>
    </row>
    <row r="4065" spans="1:5">
      <c r="A4065" s="61" t="s">
        <v>207</v>
      </c>
      <c r="B4065" s="61" t="s">
        <v>383</v>
      </c>
      <c r="C4065" s="62">
        <v>44787</v>
      </c>
      <c r="D4065" s="62">
        <v>44787</v>
      </c>
      <c r="E4065" s="63">
        <v>0</v>
      </c>
    </row>
    <row r="4066" spans="1:5">
      <c r="A4066" s="61" t="s">
        <v>207</v>
      </c>
      <c r="B4066" s="61" t="s">
        <v>383</v>
      </c>
      <c r="C4066" s="62">
        <v>44788</v>
      </c>
      <c r="D4066" s="62">
        <v>44788</v>
      </c>
      <c r="E4066" s="63">
        <v>0</v>
      </c>
    </row>
    <row r="4067" spans="1:5">
      <c r="A4067" s="61" t="s">
        <v>207</v>
      </c>
      <c r="B4067" s="61" t="s">
        <v>383</v>
      </c>
      <c r="C4067" s="62">
        <v>44789</v>
      </c>
      <c r="D4067" s="62">
        <v>44789</v>
      </c>
      <c r="E4067" s="63">
        <v>0</v>
      </c>
    </row>
    <row r="4068" spans="1:5">
      <c r="A4068" s="61" t="s">
        <v>207</v>
      </c>
      <c r="B4068" s="61" t="s">
        <v>383</v>
      </c>
      <c r="C4068" s="62">
        <v>44790</v>
      </c>
      <c r="D4068" s="62">
        <v>44790</v>
      </c>
      <c r="E4068" s="63">
        <v>0</v>
      </c>
    </row>
    <row r="4069" spans="1:5">
      <c r="A4069" s="61" t="s">
        <v>207</v>
      </c>
      <c r="B4069" s="61" t="s">
        <v>383</v>
      </c>
      <c r="C4069" s="62">
        <v>44791</v>
      </c>
      <c r="D4069" s="62">
        <v>44791</v>
      </c>
      <c r="E4069" s="63">
        <v>0</v>
      </c>
    </row>
    <row r="4070" spans="1:5">
      <c r="A4070" s="61" t="s">
        <v>207</v>
      </c>
      <c r="B4070" s="61" t="s">
        <v>383</v>
      </c>
      <c r="C4070" s="62">
        <v>44792</v>
      </c>
      <c r="D4070" s="62">
        <v>44792</v>
      </c>
      <c r="E4070" s="63">
        <v>0</v>
      </c>
    </row>
    <row r="4071" spans="1:5">
      <c r="A4071" s="61" t="s">
        <v>207</v>
      </c>
      <c r="B4071" s="61" t="s">
        <v>383</v>
      </c>
      <c r="C4071" s="62">
        <v>44793</v>
      </c>
      <c r="D4071" s="62">
        <v>44793</v>
      </c>
      <c r="E4071" s="63">
        <v>0</v>
      </c>
    </row>
    <row r="4072" spans="1:5">
      <c r="A4072" s="61" t="s">
        <v>207</v>
      </c>
      <c r="B4072" s="61" t="s">
        <v>383</v>
      </c>
      <c r="C4072" s="62">
        <v>44794</v>
      </c>
      <c r="D4072" s="62">
        <v>44794</v>
      </c>
      <c r="E4072" s="63">
        <v>0</v>
      </c>
    </row>
    <row r="4073" spans="1:5">
      <c r="A4073" s="61" t="s">
        <v>207</v>
      </c>
      <c r="B4073" s="61" t="s">
        <v>383</v>
      </c>
      <c r="C4073" s="62">
        <v>44795</v>
      </c>
      <c r="D4073" s="62">
        <v>44795</v>
      </c>
      <c r="E4073" s="63">
        <v>0</v>
      </c>
    </row>
    <row r="4074" spans="1:5">
      <c r="A4074" s="61" t="s">
        <v>207</v>
      </c>
      <c r="B4074" s="61" t="s">
        <v>383</v>
      </c>
      <c r="C4074" s="62">
        <v>44796</v>
      </c>
      <c r="D4074" s="62">
        <v>44796</v>
      </c>
      <c r="E4074" s="63">
        <v>0</v>
      </c>
    </row>
    <row r="4075" spans="1:5">
      <c r="A4075" s="61" t="s">
        <v>207</v>
      </c>
      <c r="B4075" s="61" t="s">
        <v>383</v>
      </c>
      <c r="C4075" s="62">
        <v>44797</v>
      </c>
      <c r="D4075" s="62">
        <v>44797</v>
      </c>
      <c r="E4075" s="63">
        <v>0</v>
      </c>
    </row>
    <row r="4076" spans="1:5">
      <c r="A4076" s="61" t="s">
        <v>207</v>
      </c>
      <c r="B4076" s="61" t="s">
        <v>383</v>
      </c>
      <c r="C4076" s="62">
        <v>44798</v>
      </c>
      <c r="D4076" s="62">
        <v>44798</v>
      </c>
      <c r="E4076" s="63">
        <v>0</v>
      </c>
    </row>
    <row r="4077" spans="1:5">
      <c r="A4077" s="61" t="s">
        <v>207</v>
      </c>
      <c r="B4077" s="61" t="s">
        <v>383</v>
      </c>
      <c r="C4077" s="62">
        <v>44799</v>
      </c>
      <c r="D4077" s="62">
        <v>44799</v>
      </c>
      <c r="E4077" s="63">
        <v>114.4</v>
      </c>
    </row>
    <row r="4078" spans="1:5">
      <c r="A4078" s="61" t="s">
        <v>207</v>
      </c>
      <c r="B4078" s="61" t="s">
        <v>383</v>
      </c>
      <c r="C4078" s="62">
        <v>44800</v>
      </c>
      <c r="D4078" s="62">
        <v>44800</v>
      </c>
      <c r="E4078" s="63">
        <v>0</v>
      </c>
    </row>
    <row r="4079" spans="1:5">
      <c r="A4079" s="61" t="s">
        <v>207</v>
      </c>
      <c r="B4079" s="61" t="s">
        <v>383</v>
      </c>
      <c r="C4079" s="62">
        <v>44801</v>
      </c>
      <c r="D4079" s="62">
        <v>44801</v>
      </c>
      <c r="E4079" s="63">
        <v>0</v>
      </c>
    </row>
    <row r="4080" spans="1:5">
      <c r="A4080" s="61" t="s">
        <v>207</v>
      </c>
      <c r="B4080" s="61" t="s">
        <v>383</v>
      </c>
      <c r="C4080" s="62">
        <v>44802</v>
      </c>
      <c r="D4080" s="62">
        <v>44802</v>
      </c>
      <c r="E4080" s="63">
        <v>0</v>
      </c>
    </row>
    <row r="4081" spans="1:5">
      <c r="A4081" s="61" t="s">
        <v>207</v>
      </c>
      <c r="B4081" s="61" t="s">
        <v>383</v>
      </c>
      <c r="C4081" s="62">
        <v>44803</v>
      </c>
      <c r="D4081" s="62">
        <v>44803</v>
      </c>
      <c r="E4081" s="63">
        <v>0</v>
      </c>
    </row>
    <row r="4082" spans="1:5">
      <c r="A4082" s="61" t="s">
        <v>73</v>
      </c>
      <c r="B4082" s="61" t="s">
        <v>380</v>
      </c>
      <c r="C4082" s="62">
        <v>44774</v>
      </c>
      <c r="D4082" s="62">
        <v>44774</v>
      </c>
      <c r="E4082" s="63">
        <v>0</v>
      </c>
    </row>
    <row r="4083" spans="1:5">
      <c r="A4083" s="61" t="s">
        <v>73</v>
      </c>
      <c r="B4083" s="61" t="s">
        <v>380</v>
      </c>
      <c r="C4083" s="62">
        <v>44775</v>
      </c>
      <c r="D4083" s="62">
        <v>44775</v>
      </c>
      <c r="E4083" s="63">
        <v>0</v>
      </c>
    </row>
    <row r="4084" spans="1:5">
      <c r="A4084" s="61" t="s">
        <v>73</v>
      </c>
      <c r="B4084" s="61" t="s">
        <v>380</v>
      </c>
      <c r="C4084" s="62">
        <v>44776</v>
      </c>
      <c r="D4084" s="62">
        <v>44776</v>
      </c>
      <c r="E4084" s="63">
        <v>0</v>
      </c>
    </row>
    <row r="4085" spans="1:5">
      <c r="A4085" s="61" t="s">
        <v>73</v>
      </c>
      <c r="B4085" s="61" t="s">
        <v>380</v>
      </c>
      <c r="C4085" s="62">
        <v>44777</v>
      </c>
      <c r="D4085" s="62">
        <v>44777</v>
      </c>
      <c r="E4085" s="63">
        <v>0</v>
      </c>
    </row>
    <row r="4086" spans="1:5">
      <c r="A4086" s="61" t="s">
        <v>73</v>
      </c>
      <c r="B4086" s="61" t="s">
        <v>380</v>
      </c>
      <c r="C4086" s="62">
        <v>44778</v>
      </c>
      <c r="D4086" s="62">
        <v>44778</v>
      </c>
      <c r="E4086" s="63">
        <v>0</v>
      </c>
    </row>
    <row r="4087" spans="1:5">
      <c r="A4087" s="61" t="s">
        <v>73</v>
      </c>
      <c r="B4087" s="61" t="s">
        <v>380</v>
      </c>
      <c r="C4087" s="62">
        <v>44779</v>
      </c>
      <c r="D4087" s="62">
        <v>44779</v>
      </c>
      <c r="E4087" s="63">
        <v>0</v>
      </c>
    </row>
    <row r="4088" spans="1:5">
      <c r="A4088" s="61" t="s">
        <v>73</v>
      </c>
      <c r="B4088" s="61" t="s">
        <v>380</v>
      </c>
      <c r="C4088" s="62">
        <v>44780</v>
      </c>
      <c r="D4088" s="62">
        <v>44780</v>
      </c>
      <c r="E4088" s="63">
        <v>0</v>
      </c>
    </row>
    <row r="4089" spans="1:5">
      <c r="A4089" s="61" t="s">
        <v>73</v>
      </c>
      <c r="B4089" s="61" t="s">
        <v>380</v>
      </c>
      <c r="C4089" s="62">
        <v>44781</v>
      </c>
      <c r="D4089" s="62">
        <v>44781</v>
      </c>
      <c r="E4089" s="63">
        <v>0</v>
      </c>
    </row>
    <row r="4090" spans="1:5">
      <c r="A4090" s="61" t="s">
        <v>73</v>
      </c>
      <c r="B4090" s="61" t="s">
        <v>380</v>
      </c>
      <c r="C4090" s="62">
        <v>44782</v>
      </c>
      <c r="D4090" s="62">
        <v>44782</v>
      </c>
      <c r="E4090" s="63">
        <v>0</v>
      </c>
    </row>
    <row r="4091" spans="1:5">
      <c r="A4091" s="61" t="s">
        <v>73</v>
      </c>
      <c r="B4091" s="61" t="s">
        <v>380</v>
      </c>
      <c r="C4091" s="62">
        <v>44783</v>
      </c>
      <c r="D4091" s="62">
        <v>44783</v>
      </c>
      <c r="E4091" s="63">
        <v>0</v>
      </c>
    </row>
    <row r="4092" spans="1:5">
      <c r="A4092" s="61" t="s">
        <v>73</v>
      </c>
      <c r="B4092" s="61" t="s">
        <v>380</v>
      </c>
      <c r="C4092" s="62">
        <v>44784</v>
      </c>
      <c r="D4092" s="62">
        <v>44784</v>
      </c>
      <c r="E4092" s="63">
        <v>0</v>
      </c>
    </row>
    <row r="4093" spans="1:5">
      <c r="A4093" s="61" t="s">
        <v>73</v>
      </c>
      <c r="B4093" s="61" t="s">
        <v>380</v>
      </c>
      <c r="C4093" s="62">
        <v>44785</v>
      </c>
      <c r="D4093" s="62">
        <v>44785</v>
      </c>
      <c r="E4093" s="63">
        <v>0</v>
      </c>
    </row>
    <row r="4094" spans="1:5">
      <c r="A4094" s="61" t="s">
        <v>73</v>
      </c>
      <c r="B4094" s="61" t="s">
        <v>380</v>
      </c>
      <c r="C4094" s="62">
        <v>44786</v>
      </c>
      <c r="D4094" s="62">
        <v>44786</v>
      </c>
      <c r="E4094" s="63">
        <v>0</v>
      </c>
    </row>
    <row r="4095" spans="1:5">
      <c r="A4095" s="61" t="s">
        <v>73</v>
      </c>
      <c r="B4095" s="61" t="s">
        <v>380</v>
      </c>
      <c r="C4095" s="62">
        <v>44787</v>
      </c>
      <c r="D4095" s="62">
        <v>44787</v>
      </c>
      <c r="E4095" s="63">
        <v>0</v>
      </c>
    </row>
    <row r="4096" spans="1:5">
      <c r="A4096" s="61" t="s">
        <v>73</v>
      </c>
      <c r="B4096" s="61" t="s">
        <v>380</v>
      </c>
      <c r="C4096" s="62">
        <v>44788</v>
      </c>
      <c r="D4096" s="62">
        <v>44788</v>
      </c>
      <c r="E4096" s="63">
        <v>0</v>
      </c>
    </row>
    <row r="4097" spans="1:5">
      <c r="A4097" s="61" t="s">
        <v>73</v>
      </c>
      <c r="B4097" s="61" t="s">
        <v>380</v>
      </c>
      <c r="C4097" s="62">
        <v>44789</v>
      </c>
      <c r="D4097" s="62">
        <v>44789</v>
      </c>
      <c r="E4097" s="63">
        <v>0</v>
      </c>
    </row>
    <row r="4098" spans="1:5">
      <c r="A4098" s="61" t="s">
        <v>73</v>
      </c>
      <c r="B4098" s="61" t="s">
        <v>380</v>
      </c>
      <c r="C4098" s="62">
        <v>44790</v>
      </c>
      <c r="D4098" s="62">
        <v>44790</v>
      </c>
      <c r="E4098" s="63">
        <v>0</v>
      </c>
    </row>
    <row r="4099" spans="1:5">
      <c r="A4099" s="61" t="s">
        <v>73</v>
      </c>
      <c r="B4099" s="61" t="s">
        <v>380</v>
      </c>
      <c r="C4099" s="62">
        <v>44791</v>
      </c>
      <c r="D4099" s="62">
        <v>44791</v>
      </c>
      <c r="E4099" s="63">
        <v>0</v>
      </c>
    </row>
    <row r="4100" spans="1:5">
      <c r="A4100" s="61" t="s">
        <v>73</v>
      </c>
      <c r="B4100" s="61" t="s">
        <v>380</v>
      </c>
      <c r="C4100" s="62">
        <v>44792</v>
      </c>
      <c r="D4100" s="62">
        <v>44792</v>
      </c>
      <c r="E4100" s="63">
        <v>0</v>
      </c>
    </row>
    <row r="4101" spans="1:5">
      <c r="A4101" s="61" t="s">
        <v>73</v>
      </c>
      <c r="B4101" s="61" t="s">
        <v>380</v>
      </c>
      <c r="C4101" s="62">
        <v>44793</v>
      </c>
      <c r="D4101" s="62">
        <v>44793</v>
      </c>
      <c r="E4101" s="63">
        <v>0</v>
      </c>
    </row>
    <row r="4102" spans="1:5">
      <c r="A4102" s="61" t="s">
        <v>73</v>
      </c>
      <c r="B4102" s="61" t="s">
        <v>380</v>
      </c>
      <c r="C4102" s="62">
        <v>44794</v>
      </c>
      <c r="D4102" s="62">
        <v>44794</v>
      </c>
      <c r="E4102" s="63">
        <v>0</v>
      </c>
    </row>
    <row r="4103" spans="1:5">
      <c r="A4103" s="61" t="s">
        <v>73</v>
      </c>
      <c r="B4103" s="61" t="s">
        <v>380</v>
      </c>
      <c r="C4103" s="62">
        <v>44795</v>
      </c>
      <c r="D4103" s="62">
        <v>44795</v>
      </c>
      <c r="E4103" s="63">
        <v>0</v>
      </c>
    </row>
    <row r="4104" spans="1:5">
      <c r="A4104" s="61" t="s">
        <v>73</v>
      </c>
      <c r="B4104" s="61" t="s">
        <v>380</v>
      </c>
      <c r="C4104" s="62">
        <v>44796</v>
      </c>
      <c r="D4104" s="62">
        <v>44796</v>
      </c>
      <c r="E4104" s="63">
        <v>0</v>
      </c>
    </row>
    <row r="4105" spans="1:5">
      <c r="A4105" s="61" t="s">
        <v>73</v>
      </c>
      <c r="B4105" s="61" t="s">
        <v>380</v>
      </c>
      <c r="C4105" s="62">
        <v>44797</v>
      </c>
      <c r="D4105" s="62">
        <v>44797</v>
      </c>
      <c r="E4105" s="63">
        <v>0</v>
      </c>
    </row>
    <row r="4106" spans="1:5">
      <c r="A4106" s="61" t="s">
        <v>73</v>
      </c>
      <c r="B4106" s="61" t="s">
        <v>380</v>
      </c>
      <c r="C4106" s="62">
        <v>44798</v>
      </c>
      <c r="D4106" s="62">
        <v>44798</v>
      </c>
      <c r="E4106" s="63">
        <v>0</v>
      </c>
    </row>
    <row r="4107" spans="1:5">
      <c r="A4107" s="61" t="s">
        <v>73</v>
      </c>
      <c r="B4107" s="61" t="s">
        <v>380</v>
      </c>
      <c r="C4107" s="62">
        <v>44799</v>
      </c>
      <c r="D4107" s="62">
        <v>44799</v>
      </c>
      <c r="E4107" s="63">
        <v>0</v>
      </c>
    </row>
    <row r="4108" spans="1:5">
      <c r="A4108" s="61" t="s">
        <v>73</v>
      </c>
      <c r="B4108" s="61" t="s">
        <v>380</v>
      </c>
      <c r="C4108" s="62">
        <v>44800</v>
      </c>
      <c r="D4108" s="62">
        <v>44800</v>
      </c>
      <c r="E4108" s="63">
        <v>0</v>
      </c>
    </row>
    <row r="4109" spans="1:5">
      <c r="A4109" s="61" t="s">
        <v>73</v>
      </c>
      <c r="B4109" s="61" t="s">
        <v>380</v>
      </c>
      <c r="C4109" s="62">
        <v>44801</v>
      </c>
      <c r="D4109" s="62">
        <v>44801</v>
      </c>
      <c r="E4109" s="63">
        <v>0</v>
      </c>
    </row>
    <row r="4110" spans="1:5">
      <c r="A4110" s="61" t="s">
        <v>73</v>
      </c>
      <c r="B4110" s="61" t="s">
        <v>380</v>
      </c>
      <c r="C4110" s="62">
        <v>44802</v>
      </c>
      <c r="D4110" s="62">
        <v>44802</v>
      </c>
      <c r="E4110" s="63">
        <v>0</v>
      </c>
    </row>
    <row r="4111" spans="1:5">
      <c r="A4111" s="61" t="s">
        <v>73</v>
      </c>
      <c r="B4111" s="61" t="s">
        <v>380</v>
      </c>
      <c r="C4111" s="62">
        <v>44803</v>
      </c>
      <c r="D4111" s="62">
        <v>44803</v>
      </c>
      <c r="E4111" s="63">
        <v>0</v>
      </c>
    </row>
    <row r="4112" spans="1:5">
      <c r="A4112" s="61" t="s">
        <v>208</v>
      </c>
      <c r="B4112" s="61" t="s">
        <v>381</v>
      </c>
      <c r="C4112" s="62">
        <v>44774</v>
      </c>
      <c r="D4112" s="62">
        <v>44774</v>
      </c>
      <c r="E4112" s="63">
        <v>0</v>
      </c>
    </row>
    <row r="4113" spans="1:5">
      <c r="A4113" s="61" t="s">
        <v>208</v>
      </c>
      <c r="B4113" s="61" t="s">
        <v>381</v>
      </c>
      <c r="C4113" s="62">
        <v>44775</v>
      </c>
      <c r="D4113" s="62">
        <v>44775</v>
      </c>
      <c r="E4113" s="63">
        <v>0</v>
      </c>
    </row>
    <row r="4114" spans="1:5">
      <c r="A4114" s="61" t="s">
        <v>208</v>
      </c>
      <c r="B4114" s="61" t="s">
        <v>381</v>
      </c>
      <c r="C4114" s="62">
        <v>44776</v>
      </c>
      <c r="D4114" s="62">
        <v>44776</v>
      </c>
      <c r="E4114" s="63">
        <v>0</v>
      </c>
    </row>
    <row r="4115" spans="1:5">
      <c r="A4115" s="61" t="s">
        <v>208</v>
      </c>
      <c r="B4115" s="61" t="s">
        <v>381</v>
      </c>
      <c r="C4115" s="62">
        <v>44777</v>
      </c>
      <c r="D4115" s="62">
        <v>44777</v>
      </c>
      <c r="E4115" s="63">
        <v>0</v>
      </c>
    </row>
    <row r="4116" spans="1:5">
      <c r="A4116" s="61" t="s">
        <v>208</v>
      </c>
      <c r="B4116" s="61" t="s">
        <v>381</v>
      </c>
      <c r="C4116" s="62">
        <v>44778</v>
      </c>
      <c r="D4116" s="62">
        <v>44778</v>
      </c>
      <c r="E4116" s="63">
        <v>0</v>
      </c>
    </row>
    <row r="4117" spans="1:5">
      <c r="A4117" s="61" t="s">
        <v>208</v>
      </c>
      <c r="B4117" s="61" t="s">
        <v>381</v>
      </c>
      <c r="C4117" s="62">
        <v>44779</v>
      </c>
      <c r="D4117" s="62">
        <v>44779</v>
      </c>
      <c r="E4117" s="63">
        <v>0</v>
      </c>
    </row>
    <row r="4118" spans="1:5">
      <c r="A4118" s="61" t="s">
        <v>208</v>
      </c>
      <c r="B4118" s="61" t="s">
        <v>381</v>
      </c>
      <c r="C4118" s="62">
        <v>44780</v>
      </c>
      <c r="D4118" s="62">
        <v>44780</v>
      </c>
      <c r="E4118" s="63">
        <v>0</v>
      </c>
    </row>
    <row r="4119" spans="1:5">
      <c r="A4119" s="61" t="s">
        <v>208</v>
      </c>
      <c r="B4119" s="61" t="s">
        <v>381</v>
      </c>
      <c r="C4119" s="62">
        <v>44781</v>
      </c>
      <c r="D4119" s="62">
        <v>44781</v>
      </c>
      <c r="E4119" s="63">
        <v>0</v>
      </c>
    </row>
    <row r="4120" spans="1:5">
      <c r="A4120" s="61" t="s">
        <v>208</v>
      </c>
      <c r="B4120" s="61" t="s">
        <v>381</v>
      </c>
      <c r="C4120" s="62">
        <v>44782</v>
      </c>
      <c r="D4120" s="62">
        <v>44782</v>
      </c>
      <c r="E4120" s="63">
        <v>0</v>
      </c>
    </row>
    <row r="4121" spans="1:5">
      <c r="A4121" s="61" t="s">
        <v>208</v>
      </c>
      <c r="B4121" s="61" t="s">
        <v>381</v>
      </c>
      <c r="C4121" s="62">
        <v>44783</v>
      </c>
      <c r="D4121" s="62">
        <v>44783</v>
      </c>
      <c r="E4121" s="63">
        <v>0</v>
      </c>
    </row>
    <row r="4122" spans="1:5">
      <c r="A4122" s="61" t="s">
        <v>208</v>
      </c>
      <c r="B4122" s="61" t="s">
        <v>381</v>
      </c>
      <c r="C4122" s="62">
        <v>44784</v>
      </c>
      <c r="D4122" s="62">
        <v>44784</v>
      </c>
      <c r="E4122" s="63">
        <v>0</v>
      </c>
    </row>
    <row r="4123" spans="1:5">
      <c r="A4123" s="61" t="s">
        <v>208</v>
      </c>
      <c r="B4123" s="61" t="s">
        <v>381</v>
      </c>
      <c r="C4123" s="62">
        <v>44785</v>
      </c>
      <c r="D4123" s="62">
        <v>44785</v>
      </c>
      <c r="E4123" s="63">
        <v>0</v>
      </c>
    </row>
    <row r="4124" spans="1:5">
      <c r="A4124" s="61" t="s">
        <v>208</v>
      </c>
      <c r="B4124" s="61" t="s">
        <v>381</v>
      </c>
      <c r="C4124" s="62">
        <v>44786</v>
      </c>
      <c r="D4124" s="62">
        <v>44786</v>
      </c>
      <c r="E4124" s="63">
        <v>0</v>
      </c>
    </row>
    <row r="4125" spans="1:5">
      <c r="A4125" s="61" t="s">
        <v>208</v>
      </c>
      <c r="B4125" s="61" t="s">
        <v>381</v>
      </c>
      <c r="C4125" s="62">
        <v>44787</v>
      </c>
      <c r="D4125" s="62">
        <v>44787</v>
      </c>
      <c r="E4125" s="63">
        <v>0</v>
      </c>
    </row>
    <row r="4126" spans="1:5">
      <c r="A4126" s="61" t="s">
        <v>208</v>
      </c>
      <c r="B4126" s="61" t="s">
        <v>381</v>
      </c>
      <c r="C4126" s="62">
        <v>44788</v>
      </c>
      <c r="D4126" s="62">
        <v>44788</v>
      </c>
      <c r="E4126" s="63">
        <v>0</v>
      </c>
    </row>
    <row r="4127" spans="1:5">
      <c r="A4127" s="61" t="s">
        <v>208</v>
      </c>
      <c r="B4127" s="61" t="s">
        <v>381</v>
      </c>
      <c r="C4127" s="62">
        <v>44789</v>
      </c>
      <c r="D4127" s="62">
        <v>44789</v>
      </c>
      <c r="E4127" s="63">
        <v>0</v>
      </c>
    </row>
    <row r="4128" spans="1:5">
      <c r="A4128" s="61" t="s">
        <v>208</v>
      </c>
      <c r="B4128" s="61" t="s">
        <v>381</v>
      </c>
      <c r="C4128" s="62">
        <v>44790</v>
      </c>
      <c r="D4128" s="62">
        <v>44790</v>
      </c>
      <c r="E4128" s="63">
        <v>0</v>
      </c>
    </row>
    <row r="4129" spans="1:5">
      <c r="A4129" s="61" t="s">
        <v>208</v>
      </c>
      <c r="B4129" s="61" t="s">
        <v>381</v>
      </c>
      <c r="C4129" s="62">
        <v>44791</v>
      </c>
      <c r="D4129" s="62">
        <v>44791</v>
      </c>
      <c r="E4129" s="63">
        <v>0</v>
      </c>
    </row>
    <row r="4130" spans="1:5">
      <c r="A4130" s="61" t="s">
        <v>208</v>
      </c>
      <c r="B4130" s="61" t="s">
        <v>381</v>
      </c>
      <c r="C4130" s="62">
        <v>44792</v>
      </c>
      <c r="D4130" s="62">
        <v>44792</v>
      </c>
      <c r="E4130" s="63">
        <v>0</v>
      </c>
    </row>
    <row r="4131" spans="1:5">
      <c r="A4131" s="61" t="s">
        <v>208</v>
      </c>
      <c r="B4131" s="61" t="s">
        <v>381</v>
      </c>
      <c r="C4131" s="62">
        <v>44793</v>
      </c>
      <c r="D4131" s="62">
        <v>44793</v>
      </c>
      <c r="E4131" s="63">
        <v>0</v>
      </c>
    </row>
    <row r="4132" spans="1:5">
      <c r="A4132" s="61" t="s">
        <v>208</v>
      </c>
      <c r="B4132" s="61" t="s">
        <v>381</v>
      </c>
      <c r="C4132" s="62">
        <v>44794</v>
      </c>
      <c r="D4132" s="62">
        <v>44794</v>
      </c>
      <c r="E4132" s="63">
        <v>0</v>
      </c>
    </row>
    <row r="4133" spans="1:5">
      <c r="A4133" s="61" t="s">
        <v>208</v>
      </c>
      <c r="B4133" s="61" t="s">
        <v>381</v>
      </c>
      <c r="C4133" s="62">
        <v>44795</v>
      </c>
      <c r="D4133" s="62">
        <v>44795</v>
      </c>
      <c r="E4133" s="63">
        <v>0</v>
      </c>
    </row>
    <row r="4134" spans="1:5">
      <c r="A4134" s="61" t="s">
        <v>208</v>
      </c>
      <c r="B4134" s="61" t="s">
        <v>381</v>
      </c>
      <c r="C4134" s="62">
        <v>44796</v>
      </c>
      <c r="D4134" s="62">
        <v>44796</v>
      </c>
      <c r="E4134" s="63">
        <v>0</v>
      </c>
    </row>
    <row r="4135" spans="1:5">
      <c r="A4135" s="61" t="s">
        <v>208</v>
      </c>
      <c r="B4135" s="61" t="s">
        <v>381</v>
      </c>
      <c r="C4135" s="62">
        <v>44797</v>
      </c>
      <c r="D4135" s="62">
        <v>44797</v>
      </c>
      <c r="E4135" s="63">
        <v>0</v>
      </c>
    </row>
    <row r="4136" spans="1:5">
      <c r="A4136" s="61" t="s">
        <v>208</v>
      </c>
      <c r="B4136" s="61" t="s">
        <v>381</v>
      </c>
      <c r="C4136" s="62">
        <v>44798</v>
      </c>
      <c r="D4136" s="62">
        <v>44798</v>
      </c>
      <c r="E4136" s="63">
        <v>0</v>
      </c>
    </row>
    <row r="4137" spans="1:5">
      <c r="A4137" s="61" t="s">
        <v>208</v>
      </c>
      <c r="B4137" s="61" t="s">
        <v>381</v>
      </c>
      <c r="C4137" s="62">
        <v>44799</v>
      </c>
      <c r="D4137" s="62">
        <v>44799</v>
      </c>
      <c r="E4137" s="63">
        <v>0</v>
      </c>
    </row>
    <row r="4138" spans="1:5">
      <c r="A4138" s="61" t="s">
        <v>208</v>
      </c>
      <c r="B4138" s="61" t="s">
        <v>381</v>
      </c>
      <c r="C4138" s="62">
        <v>44800</v>
      </c>
      <c r="D4138" s="62">
        <v>44800</v>
      </c>
      <c r="E4138" s="63">
        <v>0</v>
      </c>
    </row>
    <row r="4139" spans="1:5">
      <c r="A4139" s="61" t="s">
        <v>208</v>
      </c>
      <c r="B4139" s="61" t="s">
        <v>381</v>
      </c>
      <c r="C4139" s="62">
        <v>44801</v>
      </c>
      <c r="D4139" s="62">
        <v>44801</v>
      </c>
      <c r="E4139" s="63">
        <v>0</v>
      </c>
    </row>
    <row r="4140" spans="1:5">
      <c r="A4140" s="61" t="s">
        <v>208</v>
      </c>
      <c r="B4140" s="61" t="s">
        <v>381</v>
      </c>
      <c r="C4140" s="62">
        <v>44802</v>
      </c>
      <c r="D4140" s="62">
        <v>44802</v>
      </c>
      <c r="E4140" s="63">
        <v>0</v>
      </c>
    </row>
    <row r="4141" spans="1:5">
      <c r="A4141" s="61" t="s">
        <v>208</v>
      </c>
      <c r="B4141" s="61" t="s">
        <v>381</v>
      </c>
      <c r="C4141" s="62">
        <v>44803</v>
      </c>
      <c r="D4141" s="62">
        <v>44803</v>
      </c>
      <c r="E4141" s="63">
        <v>0</v>
      </c>
    </row>
    <row r="4142" spans="1:5">
      <c r="A4142" s="61" t="s">
        <v>209</v>
      </c>
      <c r="B4142" s="61" t="s">
        <v>382</v>
      </c>
      <c r="C4142" s="62">
        <v>44774</v>
      </c>
      <c r="D4142" s="62">
        <v>44774</v>
      </c>
      <c r="E4142" s="63">
        <v>0</v>
      </c>
    </row>
    <row r="4143" spans="1:5">
      <c r="A4143" s="61" t="s">
        <v>209</v>
      </c>
      <c r="B4143" s="61" t="s">
        <v>382</v>
      </c>
      <c r="C4143" s="62">
        <v>44775</v>
      </c>
      <c r="D4143" s="62">
        <v>44775</v>
      </c>
      <c r="E4143" s="63">
        <v>0</v>
      </c>
    </row>
    <row r="4144" spans="1:5">
      <c r="A4144" s="61" t="s">
        <v>209</v>
      </c>
      <c r="B4144" s="61" t="s">
        <v>382</v>
      </c>
      <c r="C4144" s="62">
        <v>44776</v>
      </c>
      <c r="D4144" s="62">
        <v>44776</v>
      </c>
      <c r="E4144" s="63">
        <v>0</v>
      </c>
    </row>
    <row r="4145" spans="1:5">
      <c r="A4145" s="61" t="s">
        <v>209</v>
      </c>
      <c r="B4145" s="61" t="s">
        <v>382</v>
      </c>
      <c r="C4145" s="62">
        <v>44777</v>
      </c>
      <c r="D4145" s="62">
        <v>44777</v>
      </c>
      <c r="E4145" s="63">
        <v>0</v>
      </c>
    </row>
    <row r="4146" spans="1:5">
      <c r="A4146" s="61" t="s">
        <v>209</v>
      </c>
      <c r="B4146" s="61" t="s">
        <v>382</v>
      </c>
      <c r="C4146" s="62">
        <v>44778</v>
      </c>
      <c r="D4146" s="62">
        <v>44778</v>
      </c>
      <c r="E4146" s="63">
        <v>0</v>
      </c>
    </row>
    <row r="4147" spans="1:5">
      <c r="A4147" s="61" t="s">
        <v>209</v>
      </c>
      <c r="B4147" s="61" t="s">
        <v>382</v>
      </c>
      <c r="C4147" s="62">
        <v>44779</v>
      </c>
      <c r="D4147" s="62">
        <v>44779</v>
      </c>
      <c r="E4147" s="63">
        <v>0</v>
      </c>
    </row>
    <row r="4148" spans="1:5">
      <c r="A4148" s="61" t="s">
        <v>209</v>
      </c>
      <c r="B4148" s="61" t="s">
        <v>382</v>
      </c>
      <c r="C4148" s="62">
        <v>44780</v>
      </c>
      <c r="D4148" s="62">
        <v>44780</v>
      </c>
      <c r="E4148" s="63">
        <v>0</v>
      </c>
    </row>
    <row r="4149" spans="1:5">
      <c r="A4149" s="61" t="s">
        <v>209</v>
      </c>
      <c r="B4149" s="61" t="s">
        <v>382</v>
      </c>
      <c r="C4149" s="62">
        <v>44781</v>
      </c>
      <c r="D4149" s="62">
        <v>44781</v>
      </c>
      <c r="E4149" s="63">
        <v>0</v>
      </c>
    </row>
    <row r="4150" spans="1:5">
      <c r="A4150" s="61" t="s">
        <v>209</v>
      </c>
      <c r="B4150" s="61" t="s">
        <v>382</v>
      </c>
      <c r="C4150" s="62">
        <v>44782</v>
      </c>
      <c r="D4150" s="62">
        <v>44782</v>
      </c>
      <c r="E4150" s="63">
        <v>0</v>
      </c>
    </row>
    <row r="4151" spans="1:5">
      <c r="A4151" s="61" t="s">
        <v>209</v>
      </c>
      <c r="B4151" s="61" t="s">
        <v>382</v>
      </c>
      <c r="C4151" s="62">
        <v>44783</v>
      </c>
      <c r="D4151" s="62">
        <v>44783</v>
      </c>
      <c r="E4151" s="63">
        <v>0</v>
      </c>
    </row>
    <row r="4152" spans="1:5">
      <c r="A4152" s="61" t="s">
        <v>209</v>
      </c>
      <c r="B4152" s="61" t="s">
        <v>382</v>
      </c>
      <c r="C4152" s="62">
        <v>44784</v>
      </c>
      <c r="D4152" s="62">
        <v>44784</v>
      </c>
      <c r="E4152" s="63">
        <v>0</v>
      </c>
    </row>
    <row r="4153" spans="1:5">
      <c r="A4153" s="61" t="s">
        <v>209</v>
      </c>
      <c r="B4153" s="61" t="s">
        <v>382</v>
      </c>
      <c r="C4153" s="62">
        <v>44785</v>
      </c>
      <c r="D4153" s="62">
        <v>44785</v>
      </c>
      <c r="E4153" s="63">
        <v>0</v>
      </c>
    </row>
    <row r="4154" spans="1:5">
      <c r="A4154" s="61" t="s">
        <v>209</v>
      </c>
      <c r="B4154" s="61" t="s">
        <v>382</v>
      </c>
      <c r="C4154" s="62">
        <v>44786</v>
      </c>
      <c r="D4154" s="62">
        <v>44786</v>
      </c>
      <c r="E4154" s="63">
        <v>0</v>
      </c>
    </row>
    <row r="4155" spans="1:5">
      <c r="A4155" s="61" t="s">
        <v>209</v>
      </c>
      <c r="B4155" s="61" t="s">
        <v>382</v>
      </c>
      <c r="C4155" s="62">
        <v>44787</v>
      </c>
      <c r="D4155" s="62">
        <v>44787</v>
      </c>
      <c r="E4155" s="63">
        <v>0</v>
      </c>
    </row>
    <row r="4156" spans="1:5">
      <c r="A4156" s="61" t="s">
        <v>209</v>
      </c>
      <c r="B4156" s="61" t="s">
        <v>382</v>
      </c>
      <c r="C4156" s="62">
        <v>44788</v>
      </c>
      <c r="D4156" s="62">
        <v>44788</v>
      </c>
      <c r="E4156" s="63">
        <v>0</v>
      </c>
    </row>
    <row r="4157" spans="1:5">
      <c r="A4157" s="61" t="s">
        <v>209</v>
      </c>
      <c r="B4157" s="61" t="s">
        <v>382</v>
      </c>
      <c r="C4157" s="62">
        <v>44789</v>
      </c>
      <c r="D4157" s="62">
        <v>44789</v>
      </c>
      <c r="E4157" s="63">
        <v>0</v>
      </c>
    </row>
    <row r="4158" spans="1:5">
      <c r="A4158" s="61" t="s">
        <v>209</v>
      </c>
      <c r="B4158" s="61" t="s">
        <v>382</v>
      </c>
      <c r="C4158" s="62">
        <v>44790</v>
      </c>
      <c r="D4158" s="62">
        <v>44790</v>
      </c>
      <c r="E4158" s="63">
        <v>0</v>
      </c>
    </row>
    <row r="4159" spans="1:5">
      <c r="A4159" s="61" t="s">
        <v>209</v>
      </c>
      <c r="B4159" s="61" t="s">
        <v>382</v>
      </c>
      <c r="C4159" s="62">
        <v>44791</v>
      </c>
      <c r="D4159" s="62">
        <v>44791</v>
      </c>
      <c r="E4159" s="63">
        <v>0</v>
      </c>
    </row>
    <row r="4160" spans="1:5">
      <c r="A4160" s="61" t="s">
        <v>209</v>
      </c>
      <c r="B4160" s="61" t="s">
        <v>382</v>
      </c>
      <c r="C4160" s="62">
        <v>44792</v>
      </c>
      <c r="D4160" s="62">
        <v>44792</v>
      </c>
      <c r="E4160" s="63">
        <v>0</v>
      </c>
    </row>
    <row r="4161" spans="1:5">
      <c r="A4161" s="61" t="s">
        <v>209</v>
      </c>
      <c r="B4161" s="61" t="s">
        <v>382</v>
      </c>
      <c r="C4161" s="62">
        <v>44793</v>
      </c>
      <c r="D4161" s="62">
        <v>44793</v>
      </c>
      <c r="E4161" s="63">
        <v>0</v>
      </c>
    </row>
    <row r="4162" spans="1:5">
      <c r="A4162" s="61" t="s">
        <v>209</v>
      </c>
      <c r="B4162" s="61" t="s">
        <v>382</v>
      </c>
      <c r="C4162" s="62">
        <v>44794</v>
      </c>
      <c r="D4162" s="62">
        <v>44794</v>
      </c>
      <c r="E4162" s="63">
        <v>0</v>
      </c>
    </row>
    <row r="4163" spans="1:5">
      <c r="A4163" s="61" t="s">
        <v>209</v>
      </c>
      <c r="B4163" s="61" t="s">
        <v>382</v>
      </c>
      <c r="C4163" s="62">
        <v>44795</v>
      </c>
      <c r="D4163" s="62">
        <v>44795</v>
      </c>
      <c r="E4163" s="63">
        <v>0</v>
      </c>
    </row>
    <row r="4164" spans="1:5">
      <c r="A4164" s="61" t="s">
        <v>209</v>
      </c>
      <c r="B4164" s="61" t="s">
        <v>382</v>
      </c>
      <c r="C4164" s="62">
        <v>44796</v>
      </c>
      <c r="D4164" s="62">
        <v>44796</v>
      </c>
      <c r="E4164" s="63">
        <v>0</v>
      </c>
    </row>
    <row r="4165" spans="1:5">
      <c r="A4165" s="61" t="s">
        <v>209</v>
      </c>
      <c r="B4165" s="61" t="s">
        <v>382</v>
      </c>
      <c r="C4165" s="62">
        <v>44797</v>
      </c>
      <c r="D4165" s="62">
        <v>44797</v>
      </c>
      <c r="E4165" s="63">
        <v>0</v>
      </c>
    </row>
    <row r="4166" spans="1:5">
      <c r="A4166" s="61" t="s">
        <v>209</v>
      </c>
      <c r="B4166" s="61" t="s">
        <v>382</v>
      </c>
      <c r="C4166" s="62">
        <v>44798</v>
      </c>
      <c r="D4166" s="62">
        <v>44798</v>
      </c>
      <c r="E4166" s="63">
        <v>0</v>
      </c>
    </row>
    <row r="4167" spans="1:5">
      <c r="A4167" s="61" t="s">
        <v>209</v>
      </c>
      <c r="B4167" s="61" t="s">
        <v>382</v>
      </c>
      <c r="C4167" s="62">
        <v>44799</v>
      </c>
      <c r="D4167" s="62">
        <v>44799</v>
      </c>
      <c r="E4167" s="63">
        <v>0</v>
      </c>
    </row>
    <row r="4168" spans="1:5">
      <c r="A4168" s="61" t="s">
        <v>209</v>
      </c>
      <c r="B4168" s="61" t="s">
        <v>382</v>
      </c>
      <c r="C4168" s="62">
        <v>44800</v>
      </c>
      <c r="D4168" s="62">
        <v>44800</v>
      </c>
      <c r="E4168" s="63">
        <v>0</v>
      </c>
    </row>
    <row r="4169" spans="1:5">
      <c r="A4169" s="61" t="s">
        <v>209</v>
      </c>
      <c r="B4169" s="61" t="s">
        <v>382</v>
      </c>
      <c r="C4169" s="62">
        <v>44801</v>
      </c>
      <c r="D4169" s="62">
        <v>44801</v>
      </c>
      <c r="E4169" s="63">
        <v>0</v>
      </c>
    </row>
    <row r="4170" spans="1:5">
      <c r="A4170" s="61" t="s">
        <v>209</v>
      </c>
      <c r="B4170" s="61" t="s">
        <v>382</v>
      </c>
      <c r="C4170" s="62">
        <v>44802</v>
      </c>
      <c r="D4170" s="62">
        <v>44802</v>
      </c>
      <c r="E4170" s="63">
        <v>0</v>
      </c>
    </row>
    <row r="4171" spans="1:5">
      <c r="A4171" s="61" t="s">
        <v>209</v>
      </c>
      <c r="B4171" s="61" t="s">
        <v>382</v>
      </c>
      <c r="C4171" s="62">
        <v>44803</v>
      </c>
      <c r="D4171" s="62">
        <v>44803</v>
      </c>
      <c r="E4171" s="63">
        <v>0</v>
      </c>
    </row>
    <row r="4172" spans="1:5">
      <c r="A4172" s="61" t="s">
        <v>210</v>
      </c>
      <c r="B4172" s="61" t="s">
        <v>383</v>
      </c>
      <c r="C4172" s="62">
        <v>44774</v>
      </c>
      <c r="D4172" s="62">
        <v>44774</v>
      </c>
      <c r="E4172" s="63">
        <v>0</v>
      </c>
    </row>
    <row r="4173" spans="1:5">
      <c r="A4173" s="61" t="s">
        <v>210</v>
      </c>
      <c r="B4173" s="61" t="s">
        <v>383</v>
      </c>
      <c r="C4173" s="62">
        <v>44775</v>
      </c>
      <c r="D4173" s="62">
        <v>44775</v>
      </c>
      <c r="E4173" s="63">
        <v>0</v>
      </c>
    </row>
    <row r="4174" spans="1:5">
      <c r="A4174" s="61" t="s">
        <v>210</v>
      </c>
      <c r="B4174" s="61" t="s">
        <v>383</v>
      </c>
      <c r="C4174" s="62">
        <v>44776</v>
      </c>
      <c r="D4174" s="62">
        <v>44776</v>
      </c>
      <c r="E4174" s="63">
        <v>0</v>
      </c>
    </row>
    <row r="4175" spans="1:5">
      <c r="A4175" s="61" t="s">
        <v>210</v>
      </c>
      <c r="B4175" s="61" t="s">
        <v>383</v>
      </c>
      <c r="C4175" s="62">
        <v>44777</v>
      </c>
      <c r="D4175" s="62">
        <v>44777</v>
      </c>
      <c r="E4175" s="63">
        <v>0</v>
      </c>
    </row>
    <row r="4176" spans="1:5">
      <c r="A4176" s="61" t="s">
        <v>210</v>
      </c>
      <c r="B4176" s="61" t="s">
        <v>383</v>
      </c>
      <c r="C4176" s="62">
        <v>44778</v>
      </c>
      <c r="D4176" s="62">
        <v>44778</v>
      </c>
      <c r="E4176" s="63">
        <v>0</v>
      </c>
    </row>
    <row r="4177" spans="1:5">
      <c r="A4177" s="61" t="s">
        <v>210</v>
      </c>
      <c r="B4177" s="61" t="s">
        <v>383</v>
      </c>
      <c r="C4177" s="62">
        <v>44779</v>
      </c>
      <c r="D4177" s="62">
        <v>44779</v>
      </c>
      <c r="E4177" s="63">
        <v>0</v>
      </c>
    </row>
    <row r="4178" spans="1:5">
      <c r="A4178" s="61" t="s">
        <v>210</v>
      </c>
      <c r="B4178" s="61" t="s">
        <v>383</v>
      </c>
      <c r="C4178" s="62">
        <v>44780</v>
      </c>
      <c r="D4178" s="62">
        <v>44780</v>
      </c>
      <c r="E4178" s="63">
        <v>0</v>
      </c>
    </row>
    <row r="4179" spans="1:5">
      <c r="A4179" s="61" t="s">
        <v>210</v>
      </c>
      <c r="B4179" s="61" t="s">
        <v>383</v>
      </c>
      <c r="C4179" s="62">
        <v>44781</v>
      </c>
      <c r="D4179" s="62">
        <v>44781</v>
      </c>
      <c r="E4179" s="63">
        <v>0</v>
      </c>
    </row>
    <row r="4180" spans="1:5">
      <c r="A4180" s="61" t="s">
        <v>210</v>
      </c>
      <c r="B4180" s="61" t="s">
        <v>383</v>
      </c>
      <c r="C4180" s="62">
        <v>44782</v>
      </c>
      <c r="D4180" s="62">
        <v>44782</v>
      </c>
      <c r="E4180" s="63">
        <v>0</v>
      </c>
    </row>
    <row r="4181" spans="1:5">
      <c r="A4181" s="61" t="s">
        <v>210</v>
      </c>
      <c r="B4181" s="61" t="s">
        <v>383</v>
      </c>
      <c r="C4181" s="62">
        <v>44783</v>
      </c>
      <c r="D4181" s="62">
        <v>44783</v>
      </c>
      <c r="E4181" s="63">
        <v>0</v>
      </c>
    </row>
    <row r="4182" spans="1:5">
      <c r="A4182" s="61" t="s">
        <v>210</v>
      </c>
      <c r="B4182" s="61" t="s">
        <v>383</v>
      </c>
      <c r="C4182" s="62">
        <v>44784</v>
      </c>
      <c r="D4182" s="62">
        <v>44784</v>
      </c>
      <c r="E4182" s="63">
        <v>0</v>
      </c>
    </row>
    <row r="4183" spans="1:5">
      <c r="A4183" s="61" t="s">
        <v>210</v>
      </c>
      <c r="B4183" s="61" t="s">
        <v>383</v>
      </c>
      <c r="C4183" s="62">
        <v>44785</v>
      </c>
      <c r="D4183" s="62">
        <v>44785</v>
      </c>
      <c r="E4183" s="63">
        <v>0</v>
      </c>
    </row>
    <row r="4184" spans="1:5">
      <c r="A4184" s="61" t="s">
        <v>210</v>
      </c>
      <c r="B4184" s="61" t="s">
        <v>383</v>
      </c>
      <c r="C4184" s="62">
        <v>44786</v>
      </c>
      <c r="D4184" s="62">
        <v>44786</v>
      </c>
      <c r="E4184" s="63">
        <v>0</v>
      </c>
    </row>
    <row r="4185" spans="1:5">
      <c r="A4185" s="61" t="s">
        <v>210</v>
      </c>
      <c r="B4185" s="61" t="s">
        <v>383</v>
      </c>
      <c r="C4185" s="62">
        <v>44787</v>
      </c>
      <c r="D4185" s="62">
        <v>44787</v>
      </c>
      <c r="E4185" s="63">
        <v>0</v>
      </c>
    </row>
    <row r="4186" spans="1:5">
      <c r="A4186" s="61" t="s">
        <v>210</v>
      </c>
      <c r="B4186" s="61" t="s">
        <v>383</v>
      </c>
      <c r="C4186" s="62">
        <v>44788</v>
      </c>
      <c r="D4186" s="62">
        <v>44788</v>
      </c>
      <c r="E4186" s="63">
        <v>0</v>
      </c>
    </row>
    <row r="4187" spans="1:5">
      <c r="A4187" s="61" t="s">
        <v>210</v>
      </c>
      <c r="B4187" s="61" t="s">
        <v>383</v>
      </c>
      <c r="C4187" s="62">
        <v>44789</v>
      </c>
      <c r="D4187" s="62">
        <v>44789</v>
      </c>
      <c r="E4187" s="63">
        <v>0</v>
      </c>
    </row>
    <row r="4188" spans="1:5">
      <c r="A4188" s="61" t="s">
        <v>210</v>
      </c>
      <c r="B4188" s="61" t="s">
        <v>383</v>
      </c>
      <c r="C4188" s="62">
        <v>44790</v>
      </c>
      <c r="D4188" s="62">
        <v>44790</v>
      </c>
      <c r="E4188" s="63">
        <v>0</v>
      </c>
    </row>
    <row r="4189" spans="1:5">
      <c r="A4189" s="61" t="s">
        <v>210</v>
      </c>
      <c r="B4189" s="61" t="s">
        <v>383</v>
      </c>
      <c r="C4189" s="62">
        <v>44791</v>
      </c>
      <c r="D4189" s="62">
        <v>44791</v>
      </c>
      <c r="E4189" s="63">
        <v>0</v>
      </c>
    </row>
    <row r="4190" spans="1:5">
      <c r="A4190" s="61" t="s">
        <v>210</v>
      </c>
      <c r="B4190" s="61" t="s">
        <v>383</v>
      </c>
      <c r="C4190" s="62">
        <v>44792</v>
      </c>
      <c r="D4190" s="62">
        <v>44792</v>
      </c>
      <c r="E4190" s="63">
        <v>0</v>
      </c>
    </row>
    <row r="4191" spans="1:5">
      <c r="A4191" s="61" t="s">
        <v>210</v>
      </c>
      <c r="B4191" s="61" t="s">
        <v>383</v>
      </c>
      <c r="C4191" s="62">
        <v>44793</v>
      </c>
      <c r="D4191" s="62">
        <v>44793</v>
      </c>
      <c r="E4191" s="63">
        <v>0</v>
      </c>
    </row>
    <row r="4192" spans="1:5">
      <c r="A4192" s="61" t="s">
        <v>210</v>
      </c>
      <c r="B4192" s="61" t="s">
        <v>383</v>
      </c>
      <c r="C4192" s="62">
        <v>44794</v>
      </c>
      <c r="D4192" s="62">
        <v>44794</v>
      </c>
      <c r="E4192" s="63">
        <v>0</v>
      </c>
    </row>
    <row r="4193" spans="1:5">
      <c r="A4193" s="61" t="s">
        <v>210</v>
      </c>
      <c r="B4193" s="61" t="s">
        <v>383</v>
      </c>
      <c r="C4193" s="62">
        <v>44795</v>
      </c>
      <c r="D4193" s="62">
        <v>44795</v>
      </c>
      <c r="E4193" s="63">
        <v>0</v>
      </c>
    </row>
    <row r="4194" spans="1:5">
      <c r="A4194" s="61" t="s">
        <v>210</v>
      </c>
      <c r="B4194" s="61" t="s">
        <v>383</v>
      </c>
      <c r="C4194" s="62">
        <v>44796</v>
      </c>
      <c r="D4194" s="62">
        <v>44796</v>
      </c>
      <c r="E4194" s="63">
        <v>0</v>
      </c>
    </row>
    <row r="4195" spans="1:5">
      <c r="A4195" s="61" t="s">
        <v>210</v>
      </c>
      <c r="B4195" s="61" t="s">
        <v>383</v>
      </c>
      <c r="C4195" s="62">
        <v>44797</v>
      </c>
      <c r="D4195" s="62">
        <v>44797</v>
      </c>
      <c r="E4195" s="63">
        <v>0</v>
      </c>
    </row>
    <row r="4196" spans="1:5">
      <c r="A4196" s="61" t="s">
        <v>210</v>
      </c>
      <c r="B4196" s="61" t="s">
        <v>383</v>
      </c>
      <c r="C4196" s="62">
        <v>44798</v>
      </c>
      <c r="D4196" s="62">
        <v>44798</v>
      </c>
      <c r="E4196" s="63">
        <v>0</v>
      </c>
    </row>
    <row r="4197" spans="1:5">
      <c r="A4197" s="61" t="s">
        <v>210</v>
      </c>
      <c r="B4197" s="61" t="s">
        <v>383</v>
      </c>
      <c r="C4197" s="62">
        <v>44799</v>
      </c>
      <c r="D4197" s="62">
        <v>44799</v>
      </c>
      <c r="E4197" s="63">
        <v>0</v>
      </c>
    </row>
    <row r="4198" spans="1:5">
      <c r="A4198" s="61" t="s">
        <v>210</v>
      </c>
      <c r="B4198" s="61" t="s">
        <v>383</v>
      </c>
      <c r="C4198" s="62">
        <v>44800</v>
      </c>
      <c r="D4198" s="62">
        <v>44800</v>
      </c>
      <c r="E4198" s="63">
        <v>0</v>
      </c>
    </row>
    <row r="4199" spans="1:5">
      <c r="A4199" s="61" t="s">
        <v>210</v>
      </c>
      <c r="B4199" s="61" t="s">
        <v>383</v>
      </c>
      <c r="C4199" s="62">
        <v>44801</v>
      </c>
      <c r="D4199" s="62">
        <v>44801</v>
      </c>
      <c r="E4199" s="63">
        <v>0</v>
      </c>
    </row>
    <row r="4200" spans="1:5">
      <c r="A4200" s="61" t="s">
        <v>210</v>
      </c>
      <c r="B4200" s="61" t="s">
        <v>383</v>
      </c>
      <c r="C4200" s="62">
        <v>44802</v>
      </c>
      <c r="D4200" s="62">
        <v>44802</v>
      </c>
      <c r="E4200" s="63">
        <v>0</v>
      </c>
    </row>
    <row r="4201" spans="1:5">
      <c r="A4201" s="61" t="s">
        <v>210</v>
      </c>
      <c r="B4201" s="61" t="s">
        <v>383</v>
      </c>
      <c r="C4201" s="62">
        <v>44803</v>
      </c>
      <c r="D4201" s="62">
        <v>44803</v>
      </c>
      <c r="E4201" s="63">
        <v>0</v>
      </c>
    </row>
    <row r="4202" spans="1:5">
      <c r="A4202" s="61" t="s">
        <v>75</v>
      </c>
      <c r="B4202" s="61" t="s">
        <v>380</v>
      </c>
      <c r="C4202" s="62">
        <v>44774</v>
      </c>
      <c r="D4202" s="62">
        <v>44774</v>
      </c>
      <c r="E4202" s="63">
        <v>0</v>
      </c>
    </row>
    <row r="4203" spans="1:5">
      <c r="A4203" s="61" t="s">
        <v>75</v>
      </c>
      <c r="B4203" s="61" t="s">
        <v>380</v>
      </c>
      <c r="C4203" s="62">
        <v>44775</v>
      </c>
      <c r="D4203" s="62">
        <v>44775</v>
      </c>
      <c r="E4203" s="63">
        <v>0</v>
      </c>
    </row>
    <row r="4204" spans="1:5">
      <c r="A4204" s="61" t="s">
        <v>75</v>
      </c>
      <c r="B4204" s="61" t="s">
        <v>380</v>
      </c>
      <c r="C4204" s="62">
        <v>44776</v>
      </c>
      <c r="D4204" s="62">
        <v>44776</v>
      </c>
      <c r="E4204" s="63">
        <v>0</v>
      </c>
    </row>
    <row r="4205" spans="1:5">
      <c r="A4205" s="61" t="s">
        <v>75</v>
      </c>
      <c r="B4205" s="61" t="s">
        <v>380</v>
      </c>
      <c r="C4205" s="62">
        <v>44777</v>
      </c>
      <c r="D4205" s="62">
        <v>44777</v>
      </c>
      <c r="E4205" s="63">
        <v>0</v>
      </c>
    </row>
    <row r="4206" spans="1:5">
      <c r="A4206" s="61" t="s">
        <v>75</v>
      </c>
      <c r="B4206" s="61" t="s">
        <v>380</v>
      </c>
      <c r="C4206" s="62">
        <v>44778</v>
      </c>
      <c r="D4206" s="62">
        <v>44778</v>
      </c>
      <c r="E4206" s="63">
        <v>0</v>
      </c>
    </row>
    <row r="4207" spans="1:5">
      <c r="A4207" s="61" t="s">
        <v>75</v>
      </c>
      <c r="B4207" s="61" t="s">
        <v>380</v>
      </c>
      <c r="C4207" s="62">
        <v>44779</v>
      </c>
      <c r="D4207" s="62">
        <v>44779</v>
      </c>
      <c r="E4207" s="63">
        <v>0</v>
      </c>
    </row>
    <row r="4208" spans="1:5">
      <c r="A4208" s="61" t="s">
        <v>75</v>
      </c>
      <c r="B4208" s="61" t="s">
        <v>380</v>
      </c>
      <c r="C4208" s="62">
        <v>44780</v>
      </c>
      <c r="D4208" s="62">
        <v>44780</v>
      </c>
      <c r="E4208" s="63">
        <v>0</v>
      </c>
    </row>
    <row r="4209" spans="1:5">
      <c r="A4209" s="61" t="s">
        <v>75</v>
      </c>
      <c r="B4209" s="61" t="s">
        <v>380</v>
      </c>
      <c r="C4209" s="62">
        <v>44781</v>
      </c>
      <c r="D4209" s="62">
        <v>44781</v>
      </c>
      <c r="E4209" s="63">
        <v>0</v>
      </c>
    </row>
    <row r="4210" spans="1:5">
      <c r="A4210" s="61" t="s">
        <v>75</v>
      </c>
      <c r="B4210" s="61" t="s">
        <v>380</v>
      </c>
      <c r="C4210" s="62">
        <v>44782</v>
      </c>
      <c r="D4210" s="62">
        <v>44782</v>
      </c>
      <c r="E4210" s="63">
        <v>0</v>
      </c>
    </row>
    <row r="4211" spans="1:5">
      <c r="A4211" s="61" t="s">
        <v>75</v>
      </c>
      <c r="B4211" s="61" t="s">
        <v>380</v>
      </c>
      <c r="C4211" s="62">
        <v>44783</v>
      </c>
      <c r="D4211" s="62">
        <v>44783</v>
      </c>
      <c r="E4211" s="63">
        <v>0</v>
      </c>
    </row>
    <row r="4212" spans="1:5">
      <c r="A4212" s="61" t="s">
        <v>75</v>
      </c>
      <c r="B4212" s="61" t="s">
        <v>380</v>
      </c>
      <c r="C4212" s="62">
        <v>44784</v>
      </c>
      <c r="D4212" s="62">
        <v>44784</v>
      </c>
      <c r="E4212" s="63">
        <v>0</v>
      </c>
    </row>
    <row r="4213" spans="1:5">
      <c r="A4213" s="61" t="s">
        <v>75</v>
      </c>
      <c r="B4213" s="61" t="s">
        <v>380</v>
      </c>
      <c r="C4213" s="62">
        <v>44785</v>
      </c>
      <c r="D4213" s="62">
        <v>44785</v>
      </c>
      <c r="E4213" s="63">
        <v>0</v>
      </c>
    </row>
    <row r="4214" spans="1:5">
      <c r="A4214" s="61" t="s">
        <v>75</v>
      </c>
      <c r="B4214" s="61" t="s">
        <v>380</v>
      </c>
      <c r="C4214" s="62">
        <v>44786</v>
      </c>
      <c r="D4214" s="62">
        <v>44786</v>
      </c>
      <c r="E4214" s="63">
        <v>0</v>
      </c>
    </row>
    <row r="4215" spans="1:5">
      <c r="A4215" s="61" t="s">
        <v>75</v>
      </c>
      <c r="B4215" s="61" t="s">
        <v>380</v>
      </c>
      <c r="C4215" s="62">
        <v>44787</v>
      </c>
      <c r="D4215" s="62">
        <v>44787</v>
      </c>
      <c r="E4215" s="63">
        <v>0</v>
      </c>
    </row>
    <row r="4216" spans="1:5">
      <c r="A4216" s="61" t="s">
        <v>75</v>
      </c>
      <c r="B4216" s="61" t="s">
        <v>380</v>
      </c>
      <c r="C4216" s="62">
        <v>44788</v>
      </c>
      <c r="D4216" s="62">
        <v>44788</v>
      </c>
      <c r="E4216" s="63">
        <v>0</v>
      </c>
    </row>
    <row r="4217" spans="1:5">
      <c r="A4217" s="61" t="s">
        <v>75</v>
      </c>
      <c r="B4217" s="61" t="s">
        <v>380</v>
      </c>
      <c r="C4217" s="62">
        <v>44789</v>
      </c>
      <c r="D4217" s="62">
        <v>44789</v>
      </c>
      <c r="E4217" s="63">
        <v>0</v>
      </c>
    </row>
    <row r="4218" spans="1:5">
      <c r="A4218" s="61" t="s">
        <v>75</v>
      </c>
      <c r="B4218" s="61" t="s">
        <v>380</v>
      </c>
      <c r="C4218" s="62">
        <v>44790</v>
      </c>
      <c r="D4218" s="62">
        <v>44790</v>
      </c>
      <c r="E4218" s="63">
        <v>0</v>
      </c>
    </row>
    <row r="4219" spans="1:5">
      <c r="A4219" s="61" t="s">
        <v>75</v>
      </c>
      <c r="B4219" s="61" t="s">
        <v>380</v>
      </c>
      <c r="C4219" s="62">
        <v>44791</v>
      </c>
      <c r="D4219" s="62">
        <v>44791</v>
      </c>
      <c r="E4219" s="63">
        <v>0</v>
      </c>
    </row>
    <row r="4220" spans="1:5">
      <c r="A4220" s="61" t="s">
        <v>75</v>
      </c>
      <c r="B4220" s="61" t="s">
        <v>380</v>
      </c>
      <c r="C4220" s="62">
        <v>44792</v>
      </c>
      <c r="D4220" s="62">
        <v>44792</v>
      </c>
      <c r="E4220" s="63">
        <v>0</v>
      </c>
    </row>
    <row r="4221" spans="1:5">
      <c r="A4221" s="61" t="s">
        <v>75</v>
      </c>
      <c r="B4221" s="61" t="s">
        <v>380</v>
      </c>
      <c r="C4221" s="62">
        <v>44793</v>
      </c>
      <c r="D4221" s="62">
        <v>44793</v>
      </c>
      <c r="E4221" s="63">
        <v>0</v>
      </c>
    </row>
    <row r="4222" spans="1:5">
      <c r="A4222" s="61" t="s">
        <v>75</v>
      </c>
      <c r="B4222" s="61" t="s">
        <v>380</v>
      </c>
      <c r="C4222" s="62">
        <v>44794</v>
      </c>
      <c r="D4222" s="62">
        <v>44794</v>
      </c>
      <c r="E4222" s="63">
        <v>0</v>
      </c>
    </row>
    <row r="4223" spans="1:5">
      <c r="A4223" s="61" t="s">
        <v>75</v>
      </c>
      <c r="B4223" s="61" t="s">
        <v>380</v>
      </c>
      <c r="C4223" s="62">
        <v>44795</v>
      </c>
      <c r="D4223" s="62">
        <v>44795</v>
      </c>
      <c r="E4223" s="63">
        <v>0</v>
      </c>
    </row>
    <row r="4224" spans="1:5">
      <c r="A4224" s="61" t="s">
        <v>75</v>
      </c>
      <c r="B4224" s="61" t="s">
        <v>380</v>
      </c>
      <c r="C4224" s="62">
        <v>44796</v>
      </c>
      <c r="D4224" s="62">
        <v>44796</v>
      </c>
      <c r="E4224" s="63">
        <v>0</v>
      </c>
    </row>
    <row r="4225" spans="1:5">
      <c r="A4225" s="61" t="s">
        <v>75</v>
      </c>
      <c r="B4225" s="61" t="s">
        <v>380</v>
      </c>
      <c r="C4225" s="62">
        <v>44797</v>
      </c>
      <c r="D4225" s="62">
        <v>44797</v>
      </c>
      <c r="E4225" s="63">
        <v>0</v>
      </c>
    </row>
    <row r="4226" spans="1:5">
      <c r="A4226" s="61" t="s">
        <v>75</v>
      </c>
      <c r="B4226" s="61" t="s">
        <v>380</v>
      </c>
      <c r="C4226" s="62">
        <v>44798</v>
      </c>
      <c r="D4226" s="62">
        <v>44798</v>
      </c>
      <c r="E4226" s="63">
        <v>0</v>
      </c>
    </row>
    <row r="4227" spans="1:5">
      <c r="A4227" s="61" t="s">
        <v>75</v>
      </c>
      <c r="B4227" s="61" t="s">
        <v>380</v>
      </c>
      <c r="C4227" s="62">
        <v>44799</v>
      </c>
      <c r="D4227" s="62">
        <v>44799</v>
      </c>
      <c r="E4227" s="63">
        <v>0</v>
      </c>
    </row>
    <row r="4228" spans="1:5">
      <c r="A4228" s="61" t="s">
        <v>75</v>
      </c>
      <c r="B4228" s="61" t="s">
        <v>380</v>
      </c>
      <c r="C4228" s="62">
        <v>44800</v>
      </c>
      <c r="D4228" s="62">
        <v>44800</v>
      </c>
      <c r="E4228" s="63">
        <v>0</v>
      </c>
    </row>
    <row r="4229" spans="1:5">
      <c r="A4229" s="61" t="s">
        <v>75</v>
      </c>
      <c r="B4229" s="61" t="s">
        <v>380</v>
      </c>
      <c r="C4229" s="62">
        <v>44801</v>
      </c>
      <c r="D4229" s="62">
        <v>44801</v>
      </c>
      <c r="E4229" s="63">
        <v>0</v>
      </c>
    </row>
    <row r="4230" spans="1:5">
      <c r="A4230" s="61" t="s">
        <v>75</v>
      </c>
      <c r="B4230" s="61" t="s">
        <v>380</v>
      </c>
      <c r="C4230" s="62">
        <v>44802</v>
      </c>
      <c r="D4230" s="62">
        <v>44802</v>
      </c>
      <c r="E4230" s="63">
        <v>0</v>
      </c>
    </row>
    <row r="4231" spans="1:5">
      <c r="A4231" s="61" t="s">
        <v>75</v>
      </c>
      <c r="B4231" s="61" t="s">
        <v>380</v>
      </c>
      <c r="C4231" s="62">
        <v>44803</v>
      </c>
      <c r="D4231" s="62">
        <v>44803</v>
      </c>
      <c r="E4231" s="63">
        <v>0</v>
      </c>
    </row>
    <row r="4232" spans="1:5">
      <c r="A4232" s="61" t="s">
        <v>211</v>
      </c>
      <c r="B4232" s="61" t="s">
        <v>381</v>
      </c>
      <c r="C4232" s="62">
        <v>44774</v>
      </c>
      <c r="D4232" s="62">
        <v>44774</v>
      </c>
      <c r="E4232" s="63">
        <v>0</v>
      </c>
    </row>
    <row r="4233" spans="1:5">
      <c r="A4233" s="61" t="s">
        <v>211</v>
      </c>
      <c r="B4233" s="61" t="s">
        <v>381</v>
      </c>
      <c r="C4233" s="62">
        <v>44775</v>
      </c>
      <c r="D4233" s="62">
        <v>44775</v>
      </c>
      <c r="E4233" s="63">
        <v>0</v>
      </c>
    </row>
    <row r="4234" spans="1:5">
      <c r="A4234" s="61" t="s">
        <v>211</v>
      </c>
      <c r="B4234" s="61" t="s">
        <v>381</v>
      </c>
      <c r="C4234" s="62">
        <v>44776</v>
      </c>
      <c r="D4234" s="62">
        <v>44776</v>
      </c>
      <c r="E4234" s="63">
        <v>0</v>
      </c>
    </row>
    <row r="4235" spans="1:5">
      <c r="A4235" s="61" t="s">
        <v>211</v>
      </c>
      <c r="B4235" s="61" t="s">
        <v>381</v>
      </c>
      <c r="C4235" s="62">
        <v>44777</v>
      </c>
      <c r="D4235" s="62">
        <v>44777</v>
      </c>
      <c r="E4235" s="63">
        <v>0</v>
      </c>
    </row>
    <row r="4236" spans="1:5">
      <c r="A4236" s="61" t="s">
        <v>211</v>
      </c>
      <c r="B4236" s="61" t="s">
        <v>381</v>
      </c>
      <c r="C4236" s="62">
        <v>44778</v>
      </c>
      <c r="D4236" s="62">
        <v>44778</v>
      </c>
      <c r="E4236" s="63">
        <v>0</v>
      </c>
    </row>
    <row r="4237" spans="1:5">
      <c r="A4237" s="61" t="s">
        <v>211</v>
      </c>
      <c r="B4237" s="61" t="s">
        <v>381</v>
      </c>
      <c r="C4237" s="62">
        <v>44779</v>
      </c>
      <c r="D4237" s="62">
        <v>44779</v>
      </c>
      <c r="E4237" s="63">
        <v>0</v>
      </c>
    </row>
    <row r="4238" spans="1:5">
      <c r="A4238" s="61" t="s">
        <v>211</v>
      </c>
      <c r="B4238" s="61" t="s">
        <v>381</v>
      </c>
      <c r="C4238" s="62">
        <v>44780</v>
      </c>
      <c r="D4238" s="62">
        <v>44780</v>
      </c>
      <c r="E4238" s="63">
        <v>0</v>
      </c>
    </row>
    <row r="4239" spans="1:5">
      <c r="A4239" s="61" t="s">
        <v>211</v>
      </c>
      <c r="B4239" s="61" t="s">
        <v>381</v>
      </c>
      <c r="C4239" s="62">
        <v>44781</v>
      </c>
      <c r="D4239" s="62">
        <v>44781</v>
      </c>
      <c r="E4239" s="63">
        <v>0</v>
      </c>
    </row>
    <row r="4240" spans="1:5">
      <c r="A4240" s="61" t="s">
        <v>211</v>
      </c>
      <c r="B4240" s="61" t="s">
        <v>381</v>
      </c>
      <c r="C4240" s="62">
        <v>44782</v>
      </c>
      <c r="D4240" s="62">
        <v>44782</v>
      </c>
      <c r="E4240" s="63">
        <v>0</v>
      </c>
    </row>
    <row r="4241" spans="1:5">
      <c r="A4241" s="61" t="s">
        <v>211</v>
      </c>
      <c r="B4241" s="61" t="s">
        <v>381</v>
      </c>
      <c r="C4241" s="62">
        <v>44783</v>
      </c>
      <c r="D4241" s="62">
        <v>44783</v>
      </c>
      <c r="E4241" s="63">
        <v>0</v>
      </c>
    </row>
    <row r="4242" spans="1:5">
      <c r="A4242" s="61" t="s">
        <v>211</v>
      </c>
      <c r="B4242" s="61" t="s">
        <v>381</v>
      </c>
      <c r="C4242" s="62">
        <v>44784</v>
      </c>
      <c r="D4242" s="62">
        <v>44784</v>
      </c>
      <c r="E4242" s="63">
        <v>0</v>
      </c>
    </row>
    <row r="4243" spans="1:5">
      <c r="A4243" s="61" t="s">
        <v>211</v>
      </c>
      <c r="B4243" s="61" t="s">
        <v>381</v>
      </c>
      <c r="C4243" s="62">
        <v>44785</v>
      </c>
      <c r="D4243" s="62">
        <v>44785</v>
      </c>
      <c r="E4243" s="63">
        <v>0</v>
      </c>
    </row>
    <row r="4244" spans="1:5">
      <c r="A4244" s="61" t="s">
        <v>211</v>
      </c>
      <c r="B4244" s="61" t="s">
        <v>381</v>
      </c>
      <c r="C4244" s="62">
        <v>44786</v>
      </c>
      <c r="D4244" s="62">
        <v>44786</v>
      </c>
      <c r="E4244" s="63">
        <v>0</v>
      </c>
    </row>
    <row r="4245" spans="1:5">
      <c r="A4245" s="61" t="s">
        <v>211</v>
      </c>
      <c r="B4245" s="61" t="s">
        <v>381</v>
      </c>
      <c r="C4245" s="62">
        <v>44787</v>
      </c>
      <c r="D4245" s="62">
        <v>44787</v>
      </c>
      <c r="E4245" s="63">
        <v>0</v>
      </c>
    </row>
    <row r="4246" spans="1:5">
      <c r="A4246" s="61" t="s">
        <v>211</v>
      </c>
      <c r="B4246" s="61" t="s">
        <v>381</v>
      </c>
      <c r="C4246" s="62">
        <v>44788</v>
      </c>
      <c r="D4246" s="62">
        <v>44788</v>
      </c>
      <c r="E4246" s="63">
        <v>0</v>
      </c>
    </row>
    <row r="4247" spans="1:5">
      <c r="A4247" s="61" t="s">
        <v>211</v>
      </c>
      <c r="B4247" s="61" t="s">
        <v>381</v>
      </c>
      <c r="C4247" s="62">
        <v>44789</v>
      </c>
      <c r="D4247" s="62">
        <v>44789</v>
      </c>
      <c r="E4247" s="63">
        <v>0</v>
      </c>
    </row>
    <row r="4248" spans="1:5">
      <c r="A4248" s="61" t="s">
        <v>211</v>
      </c>
      <c r="B4248" s="61" t="s">
        <v>381</v>
      </c>
      <c r="C4248" s="62">
        <v>44790</v>
      </c>
      <c r="D4248" s="62">
        <v>44790</v>
      </c>
      <c r="E4248" s="63">
        <v>0</v>
      </c>
    </row>
    <row r="4249" spans="1:5">
      <c r="A4249" s="61" t="s">
        <v>211</v>
      </c>
      <c r="B4249" s="61" t="s">
        <v>381</v>
      </c>
      <c r="C4249" s="62">
        <v>44791</v>
      </c>
      <c r="D4249" s="62">
        <v>44791</v>
      </c>
      <c r="E4249" s="63">
        <v>0</v>
      </c>
    </row>
    <row r="4250" spans="1:5">
      <c r="A4250" s="61" t="s">
        <v>211</v>
      </c>
      <c r="B4250" s="61" t="s">
        <v>381</v>
      </c>
      <c r="C4250" s="62">
        <v>44792</v>
      </c>
      <c r="D4250" s="62">
        <v>44792</v>
      </c>
      <c r="E4250" s="63">
        <v>0</v>
      </c>
    </row>
    <row r="4251" spans="1:5">
      <c r="A4251" s="61" t="s">
        <v>211</v>
      </c>
      <c r="B4251" s="61" t="s">
        <v>381</v>
      </c>
      <c r="C4251" s="62">
        <v>44793</v>
      </c>
      <c r="D4251" s="62">
        <v>44793</v>
      </c>
      <c r="E4251" s="63">
        <v>0</v>
      </c>
    </row>
    <row r="4252" spans="1:5">
      <c r="A4252" s="61" t="s">
        <v>211</v>
      </c>
      <c r="B4252" s="61" t="s">
        <v>381</v>
      </c>
      <c r="C4252" s="62">
        <v>44794</v>
      </c>
      <c r="D4252" s="62">
        <v>44794</v>
      </c>
      <c r="E4252" s="63">
        <v>0</v>
      </c>
    </row>
    <row r="4253" spans="1:5">
      <c r="A4253" s="61" t="s">
        <v>211</v>
      </c>
      <c r="B4253" s="61" t="s">
        <v>381</v>
      </c>
      <c r="C4253" s="62">
        <v>44795</v>
      </c>
      <c r="D4253" s="62">
        <v>44795</v>
      </c>
      <c r="E4253" s="63">
        <v>0</v>
      </c>
    </row>
    <row r="4254" spans="1:5">
      <c r="A4254" s="61" t="s">
        <v>211</v>
      </c>
      <c r="B4254" s="61" t="s">
        <v>381</v>
      </c>
      <c r="C4254" s="62">
        <v>44796</v>
      </c>
      <c r="D4254" s="62">
        <v>44796</v>
      </c>
      <c r="E4254" s="63">
        <v>0</v>
      </c>
    </row>
    <row r="4255" spans="1:5">
      <c r="A4255" s="61" t="s">
        <v>211</v>
      </c>
      <c r="B4255" s="61" t="s">
        <v>381</v>
      </c>
      <c r="C4255" s="62">
        <v>44797</v>
      </c>
      <c r="D4255" s="62">
        <v>44797</v>
      </c>
      <c r="E4255" s="63">
        <v>0</v>
      </c>
    </row>
    <row r="4256" spans="1:5">
      <c r="A4256" s="61" t="s">
        <v>211</v>
      </c>
      <c r="B4256" s="61" t="s">
        <v>381</v>
      </c>
      <c r="C4256" s="62">
        <v>44798</v>
      </c>
      <c r="D4256" s="62">
        <v>44798</v>
      </c>
      <c r="E4256" s="63">
        <v>0</v>
      </c>
    </row>
    <row r="4257" spans="1:5">
      <c r="A4257" s="61" t="s">
        <v>211</v>
      </c>
      <c r="B4257" s="61" t="s">
        <v>381</v>
      </c>
      <c r="C4257" s="62">
        <v>44799</v>
      </c>
      <c r="D4257" s="62">
        <v>44799</v>
      </c>
      <c r="E4257" s="63">
        <v>0</v>
      </c>
    </row>
    <row r="4258" spans="1:5">
      <c r="A4258" s="61" t="s">
        <v>211</v>
      </c>
      <c r="B4258" s="61" t="s">
        <v>381</v>
      </c>
      <c r="C4258" s="62">
        <v>44800</v>
      </c>
      <c r="D4258" s="62">
        <v>44800</v>
      </c>
      <c r="E4258" s="63">
        <v>0</v>
      </c>
    </row>
    <row r="4259" spans="1:5">
      <c r="A4259" s="61" t="s">
        <v>211</v>
      </c>
      <c r="B4259" s="61" t="s">
        <v>381</v>
      </c>
      <c r="C4259" s="62">
        <v>44801</v>
      </c>
      <c r="D4259" s="62">
        <v>44801</v>
      </c>
      <c r="E4259" s="63">
        <v>0</v>
      </c>
    </row>
    <row r="4260" spans="1:5">
      <c r="A4260" s="61" t="s">
        <v>211</v>
      </c>
      <c r="B4260" s="61" t="s">
        <v>381</v>
      </c>
      <c r="C4260" s="62">
        <v>44802</v>
      </c>
      <c r="D4260" s="62">
        <v>44802</v>
      </c>
      <c r="E4260" s="63">
        <v>0</v>
      </c>
    </row>
    <row r="4261" spans="1:5">
      <c r="A4261" s="61" t="s">
        <v>211</v>
      </c>
      <c r="B4261" s="61" t="s">
        <v>381</v>
      </c>
      <c r="C4261" s="62">
        <v>44803</v>
      </c>
      <c r="D4261" s="62">
        <v>44803</v>
      </c>
      <c r="E4261" s="63">
        <v>0</v>
      </c>
    </row>
    <row r="4262" spans="1:5">
      <c r="A4262" s="61" t="s">
        <v>212</v>
      </c>
      <c r="B4262" s="61" t="s">
        <v>382</v>
      </c>
      <c r="C4262" s="62">
        <v>44774</v>
      </c>
      <c r="D4262" s="62">
        <v>44774</v>
      </c>
      <c r="E4262" s="63">
        <v>0</v>
      </c>
    </row>
    <row r="4263" spans="1:5">
      <c r="A4263" s="61" t="s">
        <v>212</v>
      </c>
      <c r="B4263" s="61" t="s">
        <v>382</v>
      </c>
      <c r="C4263" s="62">
        <v>44775</v>
      </c>
      <c r="D4263" s="62">
        <v>44775</v>
      </c>
      <c r="E4263" s="63">
        <v>0</v>
      </c>
    </row>
    <row r="4264" spans="1:5">
      <c r="A4264" s="61" t="s">
        <v>212</v>
      </c>
      <c r="B4264" s="61" t="s">
        <v>382</v>
      </c>
      <c r="C4264" s="62">
        <v>44776</v>
      </c>
      <c r="D4264" s="62">
        <v>44776</v>
      </c>
      <c r="E4264" s="63">
        <v>0</v>
      </c>
    </row>
    <row r="4265" spans="1:5">
      <c r="A4265" s="61" t="s">
        <v>212</v>
      </c>
      <c r="B4265" s="61" t="s">
        <v>382</v>
      </c>
      <c r="C4265" s="62">
        <v>44777</v>
      </c>
      <c r="D4265" s="62">
        <v>44777</v>
      </c>
      <c r="E4265" s="63">
        <v>0</v>
      </c>
    </row>
    <row r="4266" spans="1:5">
      <c r="A4266" s="61" t="s">
        <v>212</v>
      </c>
      <c r="B4266" s="61" t="s">
        <v>382</v>
      </c>
      <c r="C4266" s="62">
        <v>44778</v>
      </c>
      <c r="D4266" s="62">
        <v>44778</v>
      </c>
      <c r="E4266" s="63">
        <v>0</v>
      </c>
    </row>
    <row r="4267" spans="1:5">
      <c r="A4267" s="61" t="s">
        <v>212</v>
      </c>
      <c r="B4267" s="61" t="s">
        <v>382</v>
      </c>
      <c r="C4267" s="62">
        <v>44779</v>
      </c>
      <c r="D4267" s="62">
        <v>44779</v>
      </c>
      <c r="E4267" s="63">
        <v>0</v>
      </c>
    </row>
    <row r="4268" spans="1:5">
      <c r="A4268" s="61" t="s">
        <v>212</v>
      </c>
      <c r="B4268" s="61" t="s">
        <v>382</v>
      </c>
      <c r="C4268" s="62">
        <v>44780</v>
      </c>
      <c r="D4268" s="62">
        <v>44780</v>
      </c>
      <c r="E4268" s="63">
        <v>0</v>
      </c>
    </row>
    <row r="4269" spans="1:5">
      <c r="A4269" s="61" t="s">
        <v>212</v>
      </c>
      <c r="B4269" s="61" t="s">
        <v>382</v>
      </c>
      <c r="C4269" s="62">
        <v>44781</v>
      </c>
      <c r="D4269" s="62">
        <v>44781</v>
      </c>
      <c r="E4269" s="63">
        <v>0</v>
      </c>
    </row>
    <row r="4270" spans="1:5">
      <c r="A4270" s="61" t="s">
        <v>212</v>
      </c>
      <c r="B4270" s="61" t="s">
        <v>382</v>
      </c>
      <c r="C4270" s="62">
        <v>44782</v>
      </c>
      <c r="D4270" s="62">
        <v>44782</v>
      </c>
      <c r="E4270" s="63">
        <v>0</v>
      </c>
    </row>
    <row r="4271" spans="1:5">
      <c r="A4271" s="61" t="s">
        <v>212</v>
      </c>
      <c r="B4271" s="61" t="s">
        <v>382</v>
      </c>
      <c r="C4271" s="62">
        <v>44783</v>
      </c>
      <c r="D4271" s="62">
        <v>44783</v>
      </c>
      <c r="E4271" s="63">
        <v>0</v>
      </c>
    </row>
    <row r="4272" spans="1:5">
      <c r="A4272" s="61" t="s">
        <v>212</v>
      </c>
      <c r="B4272" s="61" t="s">
        <v>382</v>
      </c>
      <c r="C4272" s="62">
        <v>44784</v>
      </c>
      <c r="D4272" s="62">
        <v>44784</v>
      </c>
      <c r="E4272" s="63">
        <v>0</v>
      </c>
    </row>
    <row r="4273" spans="1:5">
      <c r="A4273" s="61" t="s">
        <v>212</v>
      </c>
      <c r="B4273" s="61" t="s">
        <v>382</v>
      </c>
      <c r="C4273" s="62">
        <v>44785</v>
      </c>
      <c r="D4273" s="62">
        <v>44785</v>
      </c>
      <c r="E4273" s="63">
        <v>0</v>
      </c>
    </row>
    <row r="4274" spans="1:5">
      <c r="A4274" s="61" t="s">
        <v>212</v>
      </c>
      <c r="B4274" s="61" t="s">
        <v>382</v>
      </c>
      <c r="C4274" s="62">
        <v>44786</v>
      </c>
      <c r="D4274" s="62">
        <v>44786</v>
      </c>
      <c r="E4274" s="63">
        <v>0</v>
      </c>
    </row>
    <row r="4275" spans="1:5">
      <c r="A4275" s="61" t="s">
        <v>212</v>
      </c>
      <c r="B4275" s="61" t="s">
        <v>382</v>
      </c>
      <c r="C4275" s="62">
        <v>44787</v>
      </c>
      <c r="D4275" s="62">
        <v>44787</v>
      </c>
      <c r="E4275" s="63">
        <v>0</v>
      </c>
    </row>
    <row r="4276" spans="1:5">
      <c r="A4276" s="61" t="s">
        <v>212</v>
      </c>
      <c r="B4276" s="61" t="s">
        <v>382</v>
      </c>
      <c r="C4276" s="62">
        <v>44788</v>
      </c>
      <c r="D4276" s="62">
        <v>44788</v>
      </c>
      <c r="E4276" s="63">
        <v>0</v>
      </c>
    </row>
    <row r="4277" spans="1:5">
      <c r="A4277" s="61" t="s">
        <v>212</v>
      </c>
      <c r="B4277" s="61" t="s">
        <v>382</v>
      </c>
      <c r="C4277" s="62">
        <v>44789</v>
      </c>
      <c r="D4277" s="62">
        <v>44789</v>
      </c>
      <c r="E4277" s="63">
        <v>0</v>
      </c>
    </row>
    <row r="4278" spans="1:5">
      <c r="A4278" s="61" t="s">
        <v>212</v>
      </c>
      <c r="B4278" s="61" t="s">
        <v>382</v>
      </c>
      <c r="C4278" s="62">
        <v>44790</v>
      </c>
      <c r="D4278" s="62">
        <v>44790</v>
      </c>
      <c r="E4278" s="63">
        <v>0</v>
      </c>
    </row>
    <row r="4279" spans="1:5">
      <c r="A4279" s="61" t="s">
        <v>212</v>
      </c>
      <c r="B4279" s="61" t="s">
        <v>382</v>
      </c>
      <c r="C4279" s="62">
        <v>44791</v>
      </c>
      <c r="D4279" s="62">
        <v>44791</v>
      </c>
      <c r="E4279" s="63">
        <v>0</v>
      </c>
    </row>
    <row r="4280" spans="1:5">
      <c r="A4280" s="61" t="s">
        <v>212</v>
      </c>
      <c r="B4280" s="61" t="s">
        <v>382</v>
      </c>
      <c r="C4280" s="62">
        <v>44792</v>
      </c>
      <c r="D4280" s="62">
        <v>44792</v>
      </c>
      <c r="E4280" s="63">
        <v>0</v>
      </c>
    </row>
    <row r="4281" spans="1:5">
      <c r="A4281" s="61" t="s">
        <v>212</v>
      </c>
      <c r="B4281" s="61" t="s">
        <v>382</v>
      </c>
      <c r="C4281" s="62">
        <v>44793</v>
      </c>
      <c r="D4281" s="62">
        <v>44793</v>
      </c>
      <c r="E4281" s="63">
        <v>0</v>
      </c>
    </row>
    <row r="4282" spans="1:5">
      <c r="A4282" s="61" t="s">
        <v>212</v>
      </c>
      <c r="B4282" s="61" t="s">
        <v>382</v>
      </c>
      <c r="C4282" s="62">
        <v>44794</v>
      </c>
      <c r="D4282" s="62">
        <v>44794</v>
      </c>
      <c r="E4282" s="63">
        <v>0</v>
      </c>
    </row>
    <row r="4283" spans="1:5">
      <c r="A4283" s="61" t="s">
        <v>212</v>
      </c>
      <c r="B4283" s="61" t="s">
        <v>382</v>
      </c>
      <c r="C4283" s="62">
        <v>44795</v>
      </c>
      <c r="D4283" s="62">
        <v>44795</v>
      </c>
      <c r="E4283" s="63">
        <v>0</v>
      </c>
    </row>
    <row r="4284" spans="1:5">
      <c r="A4284" s="61" t="s">
        <v>212</v>
      </c>
      <c r="B4284" s="61" t="s">
        <v>382</v>
      </c>
      <c r="C4284" s="62">
        <v>44796</v>
      </c>
      <c r="D4284" s="62">
        <v>44796</v>
      </c>
      <c r="E4284" s="63">
        <v>0</v>
      </c>
    </row>
    <row r="4285" spans="1:5">
      <c r="A4285" s="61" t="s">
        <v>212</v>
      </c>
      <c r="B4285" s="61" t="s">
        <v>382</v>
      </c>
      <c r="C4285" s="62">
        <v>44797</v>
      </c>
      <c r="D4285" s="62">
        <v>44797</v>
      </c>
      <c r="E4285" s="63">
        <v>0</v>
      </c>
    </row>
    <row r="4286" spans="1:5">
      <c r="A4286" s="61" t="s">
        <v>212</v>
      </c>
      <c r="B4286" s="61" t="s">
        <v>382</v>
      </c>
      <c r="C4286" s="62">
        <v>44798</v>
      </c>
      <c r="D4286" s="62">
        <v>44798</v>
      </c>
      <c r="E4286" s="63">
        <v>0</v>
      </c>
    </row>
    <row r="4287" spans="1:5">
      <c r="A4287" s="61" t="s">
        <v>212</v>
      </c>
      <c r="B4287" s="61" t="s">
        <v>382</v>
      </c>
      <c r="C4287" s="62">
        <v>44799</v>
      </c>
      <c r="D4287" s="62">
        <v>44799</v>
      </c>
      <c r="E4287" s="63">
        <v>0</v>
      </c>
    </row>
    <row r="4288" spans="1:5">
      <c r="A4288" s="61" t="s">
        <v>212</v>
      </c>
      <c r="B4288" s="61" t="s">
        <v>382</v>
      </c>
      <c r="C4288" s="62">
        <v>44800</v>
      </c>
      <c r="D4288" s="62">
        <v>44800</v>
      </c>
      <c r="E4288" s="63">
        <v>0</v>
      </c>
    </row>
    <row r="4289" spans="1:5">
      <c r="A4289" s="61" t="s">
        <v>212</v>
      </c>
      <c r="B4289" s="61" t="s">
        <v>382</v>
      </c>
      <c r="C4289" s="62">
        <v>44801</v>
      </c>
      <c r="D4289" s="62">
        <v>44801</v>
      </c>
      <c r="E4289" s="63">
        <v>0</v>
      </c>
    </row>
    <row r="4290" spans="1:5">
      <c r="A4290" s="61" t="s">
        <v>212</v>
      </c>
      <c r="B4290" s="61" t="s">
        <v>382</v>
      </c>
      <c r="C4290" s="62">
        <v>44802</v>
      </c>
      <c r="D4290" s="62">
        <v>44802</v>
      </c>
      <c r="E4290" s="63">
        <v>0</v>
      </c>
    </row>
    <row r="4291" spans="1:5">
      <c r="A4291" s="61" t="s">
        <v>212</v>
      </c>
      <c r="B4291" s="61" t="s">
        <v>382</v>
      </c>
      <c r="C4291" s="62">
        <v>44803</v>
      </c>
      <c r="D4291" s="62">
        <v>44803</v>
      </c>
      <c r="E4291" s="63">
        <v>0</v>
      </c>
    </row>
    <row r="4292" spans="1:5">
      <c r="A4292" s="61" t="s">
        <v>213</v>
      </c>
      <c r="B4292" s="61" t="s">
        <v>383</v>
      </c>
      <c r="C4292" s="62">
        <v>44774</v>
      </c>
      <c r="D4292" s="62">
        <v>44774</v>
      </c>
      <c r="E4292" s="63">
        <v>0</v>
      </c>
    </row>
    <row r="4293" spans="1:5">
      <c r="A4293" s="61" t="s">
        <v>213</v>
      </c>
      <c r="B4293" s="61" t="s">
        <v>383</v>
      </c>
      <c r="C4293" s="62">
        <v>44775</v>
      </c>
      <c r="D4293" s="62">
        <v>44775</v>
      </c>
      <c r="E4293" s="63">
        <v>0</v>
      </c>
    </row>
    <row r="4294" spans="1:5">
      <c r="A4294" s="61" t="s">
        <v>213</v>
      </c>
      <c r="B4294" s="61" t="s">
        <v>383</v>
      </c>
      <c r="C4294" s="62">
        <v>44776</v>
      </c>
      <c r="D4294" s="62">
        <v>44776</v>
      </c>
      <c r="E4294" s="63">
        <v>0</v>
      </c>
    </row>
    <row r="4295" spans="1:5">
      <c r="A4295" s="61" t="s">
        <v>213</v>
      </c>
      <c r="B4295" s="61" t="s">
        <v>383</v>
      </c>
      <c r="C4295" s="62">
        <v>44777</v>
      </c>
      <c r="D4295" s="62">
        <v>44777</v>
      </c>
      <c r="E4295" s="63">
        <v>0</v>
      </c>
    </row>
    <row r="4296" spans="1:5">
      <c r="A4296" s="61" t="s">
        <v>213</v>
      </c>
      <c r="B4296" s="61" t="s">
        <v>383</v>
      </c>
      <c r="C4296" s="62">
        <v>44778</v>
      </c>
      <c r="D4296" s="62">
        <v>44778</v>
      </c>
      <c r="E4296" s="63">
        <v>0</v>
      </c>
    </row>
    <row r="4297" spans="1:5">
      <c r="A4297" s="61" t="s">
        <v>213</v>
      </c>
      <c r="B4297" s="61" t="s">
        <v>383</v>
      </c>
      <c r="C4297" s="62">
        <v>44779</v>
      </c>
      <c r="D4297" s="62">
        <v>44779</v>
      </c>
      <c r="E4297" s="63">
        <v>0</v>
      </c>
    </row>
    <row r="4298" spans="1:5">
      <c r="A4298" s="61" t="s">
        <v>213</v>
      </c>
      <c r="B4298" s="61" t="s">
        <v>383</v>
      </c>
      <c r="C4298" s="62">
        <v>44780</v>
      </c>
      <c r="D4298" s="62">
        <v>44780</v>
      </c>
      <c r="E4298" s="63">
        <v>0</v>
      </c>
    </row>
    <row r="4299" spans="1:5">
      <c r="A4299" s="61" t="s">
        <v>213</v>
      </c>
      <c r="B4299" s="61" t="s">
        <v>383</v>
      </c>
      <c r="C4299" s="62">
        <v>44781</v>
      </c>
      <c r="D4299" s="62">
        <v>44781</v>
      </c>
      <c r="E4299" s="63">
        <v>0</v>
      </c>
    </row>
    <row r="4300" spans="1:5">
      <c r="A4300" s="61" t="s">
        <v>213</v>
      </c>
      <c r="B4300" s="61" t="s">
        <v>383</v>
      </c>
      <c r="C4300" s="62">
        <v>44782</v>
      </c>
      <c r="D4300" s="62">
        <v>44782</v>
      </c>
      <c r="E4300" s="63">
        <v>0</v>
      </c>
    </row>
    <row r="4301" spans="1:5">
      <c r="A4301" s="61" t="s">
        <v>213</v>
      </c>
      <c r="B4301" s="61" t="s">
        <v>383</v>
      </c>
      <c r="C4301" s="62">
        <v>44783</v>
      </c>
      <c r="D4301" s="62">
        <v>44783</v>
      </c>
      <c r="E4301" s="63">
        <v>0</v>
      </c>
    </row>
    <row r="4302" spans="1:5">
      <c r="A4302" s="61" t="s">
        <v>213</v>
      </c>
      <c r="B4302" s="61" t="s">
        <v>383</v>
      </c>
      <c r="C4302" s="62">
        <v>44784</v>
      </c>
      <c r="D4302" s="62">
        <v>44784</v>
      </c>
      <c r="E4302" s="63">
        <v>0</v>
      </c>
    </row>
    <row r="4303" spans="1:5">
      <c r="A4303" s="61" t="s">
        <v>213</v>
      </c>
      <c r="B4303" s="61" t="s">
        <v>383</v>
      </c>
      <c r="C4303" s="62">
        <v>44785</v>
      </c>
      <c r="D4303" s="62">
        <v>44785</v>
      </c>
      <c r="E4303" s="63">
        <v>0</v>
      </c>
    </row>
    <row r="4304" spans="1:5">
      <c r="A4304" s="61" t="s">
        <v>213</v>
      </c>
      <c r="B4304" s="61" t="s">
        <v>383</v>
      </c>
      <c r="C4304" s="62">
        <v>44786</v>
      </c>
      <c r="D4304" s="62">
        <v>44786</v>
      </c>
      <c r="E4304" s="63">
        <v>0</v>
      </c>
    </row>
    <row r="4305" spans="1:5">
      <c r="A4305" s="61" t="s">
        <v>213</v>
      </c>
      <c r="B4305" s="61" t="s">
        <v>383</v>
      </c>
      <c r="C4305" s="62">
        <v>44787</v>
      </c>
      <c r="D4305" s="62">
        <v>44787</v>
      </c>
      <c r="E4305" s="63">
        <v>0</v>
      </c>
    </row>
    <row r="4306" spans="1:5">
      <c r="A4306" s="61" t="s">
        <v>213</v>
      </c>
      <c r="B4306" s="61" t="s">
        <v>383</v>
      </c>
      <c r="C4306" s="62">
        <v>44788</v>
      </c>
      <c r="D4306" s="62">
        <v>44788</v>
      </c>
      <c r="E4306" s="63">
        <v>0</v>
      </c>
    </row>
    <row r="4307" spans="1:5">
      <c r="A4307" s="61" t="s">
        <v>213</v>
      </c>
      <c r="B4307" s="61" t="s">
        <v>383</v>
      </c>
      <c r="C4307" s="62">
        <v>44789</v>
      </c>
      <c r="D4307" s="62">
        <v>44789</v>
      </c>
      <c r="E4307" s="63">
        <v>0</v>
      </c>
    </row>
    <row r="4308" spans="1:5">
      <c r="A4308" s="61" t="s">
        <v>213</v>
      </c>
      <c r="B4308" s="61" t="s">
        <v>383</v>
      </c>
      <c r="C4308" s="62">
        <v>44790</v>
      </c>
      <c r="D4308" s="62">
        <v>44790</v>
      </c>
      <c r="E4308" s="63">
        <v>0</v>
      </c>
    </row>
    <row r="4309" spans="1:5">
      <c r="A4309" s="61" t="s">
        <v>213</v>
      </c>
      <c r="B4309" s="61" t="s">
        <v>383</v>
      </c>
      <c r="C4309" s="62">
        <v>44791</v>
      </c>
      <c r="D4309" s="62">
        <v>44791</v>
      </c>
      <c r="E4309" s="63">
        <v>0</v>
      </c>
    </row>
    <row r="4310" spans="1:5">
      <c r="A4310" s="61" t="s">
        <v>213</v>
      </c>
      <c r="B4310" s="61" t="s">
        <v>383</v>
      </c>
      <c r="C4310" s="62">
        <v>44792</v>
      </c>
      <c r="D4310" s="62">
        <v>44792</v>
      </c>
      <c r="E4310" s="63">
        <v>0</v>
      </c>
    </row>
    <row r="4311" spans="1:5">
      <c r="A4311" s="61" t="s">
        <v>213</v>
      </c>
      <c r="B4311" s="61" t="s">
        <v>383</v>
      </c>
      <c r="C4311" s="62">
        <v>44793</v>
      </c>
      <c r="D4311" s="62">
        <v>44793</v>
      </c>
      <c r="E4311" s="63">
        <v>0</v>
      </c>
    </row>
    <row r="4312" spans="1:5">
      <c r="A4312" s="61" t="s">
        <v>213</v>
      </c>
      <c r="B4312" s="61" t="s">
        <v>383</v>
      </c>
      <c r="C4312" s="62">
        <v>44794</v>
      </c>
      <c r="D4312" s="62">
        <v>44794</v>
      </c>
      <c r="E4312" s="63">
        <v>0</v>
      </c>
    </row>
    <row r="4313" spans="1:5">
      <c r="A4313" s="61" t="s">
        <v>213</v>
      </c>
      <c r="B4313" s="61" t="s">
        <v>383</v>
      </c>
      <c r="C4313" s="62">
        <v>44795</v>
      </c>
      <c r="D4313" s="62">
        <v>44795</v>
      </c>
      <c r="E4313" s="63">
        <v>0</v>
      </c>
    </row>
    <row r="4314" spans="1:5">
      <c r="A4314" s="61" t="s">
        <v>213</v>
      </c>
      <c r="B4314" s="61" t="s">
        <v>383</v>
      </c>
      <c r="C4314" s="62">
        <v>44796</v>
      </c>
      <c r="D4314" s="62">
        <v>44796</v>
      </c>
      <c r="E4314" s="63">
        <v>0</v>
      </c>
    </row>
    <row r="4315" spans="1:5">
      <c r="A4315" s="61" t="s">
        <v>213</v>
      </c>
      <c r="B4315" s="61" t="s">
        <v>383</v>
      </c>
      <c r="C4315" s="62">
        <v>44797</v>
      </c>
      <c r="D4315" s="62">
        <v>44797</v>
      </c>
      <c r="E4315" s="63">
        <v>0</v>
      </c>
    </row>
    <row r="4316" spans="1:5">
      <c r="A4316" s="61" t="s">
        <v>213</v>
      </c>
      <c r="B4316" s="61" t="s">
        <v>383</v>
      </c>
      <c r="C4316" s="62">
        <v>44798</v>
      </c>
      <c r="D4316" s="62">
        <v>44798</v>
      </c>
      <c r="E4316" s="63">
        <v>0</v>
      </c>
    </row>
    <row r="4317" spans="1:5">
      <c r="A4317" s="61" t="s">
        <v>213</v>
      </c>
      <c r="B4317" s="61" t="s">
        <v>383</v>
      </c>
      <c r="C4317" s="62">
        <v>44799</v>
      </c>
      <c r="D4317" s="62">
        <v>44799</v>
      </c>
      <c r="E4317" s="63">
        <v>0</v>
      </c>
    </row>
    <row r="4318" spans="1:5">
      <c r="A4318" s="61" t="s">
        <v>213</v>
      </c>
      <c r="B4318" s="61" t="s">
        <v>383</v>
      </c>
      <c r="C4318" s="62">
        <v>44800</v>
      </c>
      <c r="D4318" s="62">
        <v>44800</v>
      </c>
      <c r="E4318" s="63">
        <v>0</v>
      </c>
    </row>
    <row r="4319" spans="1:5">
      <c r="A4319" s="61" t="s">
        <v>213</v>
      </c>
      <c r="B4319" s="61" t="s">
        <v>383</v>
      </c>
      <c r="C4319" s="62">
        <v>44801</v>
      </c>
      <c r="D4319" s="62">
        <v>44801</v>
      </c>
      <c r="E4319" s="63">
        <v>0</v>
      </c>
    </row>
    <row r="4320" spans="1:5">
      <c r="A4320" s="61" t="s">
        <v>213</v>
      </c>
      <c r="B4320" s="61" t="s">
        <v>383</v>
      </c>
      <c r="C4320" s="62">
        <v>44802</v>
      </c>
      <c r="D4320" s="62">
        <v>44802</v>
      </c>
      <c r="E4320" s="63">
        <v>0</v>
      </c>
    </row>
    <row r="4321" spans="1:5">
      <c r="A4321" s="61" t="s">
        <v>213</v>
      </c>
      <c r="B4321" s="61" t="s">
        <v>383</v>
      </c>
      <c r="C4321" s="62">
        <v>44803</v>
      </c>
      <c r="D4321" s="62">
        <v>44803</v>
      </c>
      <c r="E4321" s="63">
        <v>0</v>
      </c>
    </row>
    <row r="4322" spans="1:5">
      <c r="A4322" s="61" t="s">
        <v>77</v>
      </c>
      <c r="B4322" s="61" t="s">
        <v>380</v>
      </c>
      <c r="C4322" s="62">
        <v>44774</v>
      </c>
      <c r="D4322" s="62">
        <v>44774</v>
      </c>
      <c r="E4322" s="63">
        <v>0</v>
      </c>
    </row>
    <row r="4323" spans="1:5">
      <c r="A4323" s="61" t="s">
        <v>77</v>
      </c>
      <c r="B4323" s="61" t="s">
        <v>380</v>
      </c>
      <c r="C4323" s="62">
        <v>44775</v>
      </c>
      <c r="D4323" s="62">
        <v>44775</v>
      </c>
      <c r="E4323" s="63">
        <v>0</v>
      </c>
    </row>
    <row r="4324" spans="1:5">
      <c r="A4324" s="61" t="s">
        <v>77</v>
      </c>
      <c r="B4324" s="61" t="s">
        <v>380</v>
      </c>
      <c r="C4324" s="62">
        <v>44776</v>
      </c>
      <c r="D4324" s="62">
        <v>44776</v>
      </c>
      <c r="E4324" s="63">
        <v>0</v>
      </c>
    </row>
    <row r="4325" spans="1:5">
      <c r="A4325" s="61" t="s">
        <v>77</v>
      </c>
      <c r="B4325" s="61" t="s">
        <v>380</v>
      </c>
      <c r="C4325" s="62">
        <v>44777</v>
      </c>
      <c r="D4325" s="62">
        <v>44777</v>
      </c>
      <c r="E4325" s="63">
        <v>0</v>
      </c>
    </row>
    <row r="4326" spans="1:5">
      <c r="A4326" s="61" t="s">
        <v>77</v>
      </c>
      <c r="B4326" s="61" t="s">
        <v>380</v>
      </c>
      <c r="C4326" s="62">
        <v>44778</v>
      </c>
      <c r="D4326" s="62">
        <v>44778</v>
      </c>
      <c r="E4326" s="63">
        <v>467.7</v>
      </c>
    </row>
    <row r="4327" spans="1:5">
      <c r="A4327" s="61" t="s">
        <v>77</v>
      </c>
      <c r="B4327" s="61" t="s">
        <v>380</v>
      </c>
      <c r="C4327" s="62">
        <v>44779</v>
      </c>
      <c r="D4327" s="62">
        <v>44779</v>
      </c>
      <c r="E4327" s="63">
        <v>0</v>
      </c>
    </row>
    <row r="4328" spans="1:5">
      <c r="A4328" s="61" t="s">
        <v>77</v>
      </c>
      <c r="B4328" s="61" t="s">
        <v>380</v>
      </c>
      <c r="C4328" s="62">
        <v>44780</v>
      </c>
      <c r="D4328" s="62">
        <v>44780</v>
      </c>
      <c r="E4328" s="63">
        <v>0</v>
      </c>
    </row>
    <row r="4329" spans="1:5">
      <c r="A4329" s="61" t="s">
        <v>77</v>
      </c>
      <c r="B4329" s="61" t="s">
        <v>380</v>
      </c>
      <c r="C4329" s="62">
        <v>44781</v>
      </c>
      <c r="D4329" s="62">
        <v>44781</v>
      </c>
      <c r="E4329" s="63">
        <v>0</v>
      </c>
    </row>
    <row r="4330" spans="1:5">
      <c r="A4330" s="61" t="s">
        <v>77</v>
      </c>
      <c r="B4330" s="61" t="s">
        <v>380</v>
      </c>
      <c r="C4330" s="62">
        <v>44782</v>
      </c>
      <c r="D4330" s="62">
        <v>44782</v>
      </c>
      <c r="E4330" s="63">
        <v>0</v>
      </c>
    </row>
    <row r="4331" spans="1:5">
      <c r="A4331" s="61" t="s">
        <v>77</v>
      </c>
      <c r="B4331" s="61" t="s">
        <v>380</v>
      </c>
      <c r="C4331" s="62">
        <v>44783</v>
      </c>
      <c r="D4331" s="62">
        <v>44783</v>
      </c>
      <c r="E4331" s="63">
        <v>259.46000000000004</v>
      </c>
    </row>
    <row r="4332" spans="1:5">
      <c r="A4332" s="61" t="s">
        <v>77</v>
      </c>
      <c r="B4332" s="61" t="s">
        <v>380</v>
      </c>
      <c r="C4332" s="62">
        <v>44784</v>
      </c>
      <c r="D4332" s="62">
        <v>44784</v>
      </c>
      <c r="E4332" s="63">
        <v>0</v>
      </c>
    </row>
    <row r="4333" spans="1:5">
      <c r="A4333" s="61" t="s">
        <v>77</v>
      </c>
      <c r="B4333" s="61" t="s">
        <v>380</v>
      </c>
      <c r="C4333" s="62">
        <v>44785</v>
      </c>
      <c r="D4333" s="62">
        <v>44785</v>
      </c>
      <c r="E4333" s="63">
        <v>467.7</v>
      </c>
    </row>
    <row r="4334" spans="1:5">
      <c r="A4334" s="61" t="s">
        <v>77</v>
      </c>
      <c r="B4334" s="61" t="s">
        <v>380</v>
      </c>
      <c r="C4334" s="62">
        <v>44786</v>
      </c>
      <c r="D4334" s="62">
        <v>44786</v>
      </c>
      <c r="E4334" s="63">
        <v>0</v>
      </c>
    </row>
    <row r="4335" spans="1:5">
      <c r="A4335" s="61" t="s">
        <v>77</v>
      </c>
      <c r="B4335" s="61" t="s">
        <v>380</v>
      </c>
      <c r="C4335" s="62">
        <v>44787</v>
      </c>
      <c r="D4335" s="62">
        <v>44787</v>
      </c>
      <c r="E4335" s="63">
        <v>0</v>
      </c>
    </row>
    <row r="4336" spans="1:5">
      <c r="A4336" s="61" t="s">
        <v>77</v>
      </c>
      <c r="B4336" s="61" t="s">
        <v>380</v>
      </c>
      <c r="C4336" s="62">
        <v>44788</v>
      </c>
      <c r="D4336" s="62">
        <v>44788</v>
      </c>
      <c r="E4336" s="63">
        <v>0</v>
      </c>
    </row>
    <row r="4337" spans="1:5">
      <c r="A4337" s="61" t="s">
        <v>77</v>
      </c>
      <c r="B4337" s="61" t="s">
        <v>380</v>
      </c>
      <c r="C4337" s="62">
        <v>44789</v>
      </c>
      <c r="D4337" s="62">
        <v>44789</v>
      </c>
      <c r="E4337" s="63">
        <v>0</v>
      </c>
    </row>
    <row r="4338" spans="1:5">
      <c r="A4338" s="61" t="s">
        <v>77</v>
      </c>
      <c r="B4338" s="61" t="s">
        <v>380</v>
      </c>
      <c r="C4338" s="62">
        <v>44790</v>
      </c>
      <c r="D4338" s="62">
        <v>44790</v>
      </c>
      <c r="E4338" s="63">
        <v>0</v>
      </c>
    </row>
    <row r="4339" spans="1:5">
      <c r="A4339" s="61" t="s">
        <v>77</v>
      </c>
      <c r="B4339" s="61" t="s">
        <v>380</v>
      </c>
      <c r="C4339" s="62">
        <v>44791</v>
      </c>
      <c r="D4339" s="62">
        <v>44791</v>
      </c>
      <c r="E4339" s="63">
        <v>963.26</v>
      </c>
    </row>
    <row r="4340" spans="1:5">
      <c r="A4340" s="61" t="s">
        <v>77</v>
      </c>
      <c r="B4340" s="61" t="s">
        <v>380</v>
      </c>
      <c r="C4340" s="62">
        <v>44792</v>
      </c>
      <c r="D4340" s="62">
        <v>44792</v>
      </c>
      <c r="E4340" s="63">
        <v>0</v>
      </c>
    </row>
    <row r="4341" spans="1:5">
      <c r="A4341" s="61" t="s">
        <v>77</v>
      </c>
      <c r="B4341" s="61" t="s">
        <v>380</v>
      </c>
      <c r="C4341" s="62">
        <v>44793</v>
      </c>
      <c r="D4341" s="62">
        <v>44793</v>
      </c>
      <c r="E4341" s="63">
        <v>0</v>
      </c>
    </row>
    <row r="4342" spans="1:5">
      <c r="A4342" s="61" t="s">
        <v>77</v>
      </c>
      <c r="B4342" s="61" t="s">
        <v>380</v>
      </c>
      <c r="C4342" s="62">
        <v>44794</v>
      </c>
      <c r="D4342" s="62">
        <v>44794</v>
      </c>
      <c r="E4342" s="63">
        <v>0</v>
      </c>
    </row>
    <row r="4343" spans="1:5">
      <c r="A4343" s="61" t="s">
        <v>77</v>
      </c>
      <c r="B4343" s="61" t="s">
        <v>380</v>
      </c>
      <c r="C4343" s="62">
        <v>44795</v>
      </c>
      <c r="D4343" s="62">
        <v>44795</v>
      </c>
      <c r="E4343" s="63">
        <v>0</v>
      </c>
    </row>
    <row r="4344" spans="1:5">
      <c r="A4344" s="61" t="s">
        <v>77</v>
      </c>
      <c r="B4344" s="61" t="s">
        <v>380</v>
      </c>
      <c r="C4344" s="62">
        <v>44796</v>
      </c>
      <c r="D4344" s="62">
        <v>44796</v>
      </c>
      <c r="E4344" s="63">
        <v>0</v>
      </c>
    </row>
    <row r="4345" spans="1:5">
      <c r="A4345" s="61" t="s">
        <v>77</v>
      </c>
      <c r="B4345" s="61" t="s">
        <v>380</v>
      </c>
      <c r="C4345" s="62">
        <v>44797</v>
      </c>
      <c r="D4345" s="62">
        <v>44797</v>
      </c>
      <c r="E4345" s="63">
        <v>0</v>
      </c>
    </row>
    <row r="4346" spans="1:5">
      <c r="A4346" s="61" t="s">
        <v>77</v>
      </c>
      <c r="B4346" s="61" t="s">
        <v>380</v>
      </c>
      <c r="C4346" s="62">
        <v>44798</v>
      </c>
      <c r="D4346" s="62">
        <v>44798</v>
      </c>
      <c r="E4346" s="63">
        <v>0</v>
      </c>
    </row>
    <row r="4347" spans="1:5">
      <c r="A4347" s="61" t="s">
        <v>77</v>
      </c>
      <c r="B4347" s="61" t="s">
        <v>380</v>
      </c>
      <c r="C4347" s="62">
        <v>44799</v>
      </c>
      <c r="D4347" s="62">
        <v>44799</v>
      </c>
      <c r="E4347" s="63">
        <v>440.78</v>
      </c>
    </row>
    <row r="4348" spans="1:5">
      <c r="A4348" s="61" t="s">
        <v>77</v>
      </c>
      <c r="B4348" s="61" t="s">
        <v>380</v>
      </c>
      <c r="C4348" s="62">
        <v>44800</v>
      </c>
      <c r="D4348" s="62">
        <v>44800</v>
      </c>
      <c r="E4348" s="63">
        <v>0</v>
      </c>
    </row>
    <row r="4349" spans="1:5">
      <c r="A4349" s="61" t="s">
        <v>77</v>
      </c>
      <c r="B4349" s="61" t="s">
        <v>380</v>
      </c>
      <c r="C4349" s="62">
        <v>44801</v>
      </c>
      <c r="D4349" s="62">
        <v>44801</v>
      </c>
      <c r="E4349" s="63">
        <v>0</v>
      </c>
    </row>
    <row r="4350" spans="1:5">
      <c r="A4350" s="61" t="s">
        <v>77</v>
      </c>
      <c r="B4350" s="61" t="s">
        <v>380</v>
      </c>
      <c r="C4350" s="62">
        <v>44802</v>
      </c>
      <c r="D4350" s="62">
        <v>44802</v>
      </c>
      <c r="E4350" s="63">
        <v>497.9</v>
      </c>
    </row>
    <row r="4351" spans="1:5">
      <c r="A4351" s="61" t="s">
        <v>77</v>
      </c>
      <c r="B4351" s="61" t="s">
        <v>380</v>
      </c>
      <c r="C4351" s="62">
        <v>44803</v>
      </c>
      <c r="D4351" s="62">
        <v>44803</v>
      </c>
      <c r="E4351" s="63">
        <v>0</v>
      </c>
    </row>
    <row r="4352" spans="1:5">
      <c r="A4352" s="61" t="s">
        <v>214</v>
      </c>
      <c r="B4352" s="61" t="s">
        <v>381</v>
      </c>
      <c r="C4352" s="62">
        <v>44774</v>
      </c>
      <c r="D4352" s="62">
        <v>44774</v>
      </c>
      <c r="E4352" s="63">
        <v>0</v>
      </c>
    </row>
    <row r="4353" spans="1:5">
      <c r="A4353" s="61" t="s">
        <v>214</v>
      </c>
      <c r="B4353" s="61" t="s">
        <v>381</v>
      </c>
      <c r="C4353" s="62">
        <v>44775</v>
      </c>
      <c r="D4353" s="62">
        <v>44775</v>
      </c>
      <c r="E4353" s="63">
        <v>0</v>
      </c>
    </row>
    <row r="4354" spans="1:5">
      <c r="A4354" s="61" t="s">
        <v>214</v>
      </c>
      <c r="B4354" s="61" t="s">
        <v>381</v>
      </c>
      <c r="C4354" s="62">
        <v>44776</v>
      </c>
      <c r="D4354" s="62">
        <v>44776</v>
      </c>
      <c r="E4354" s="63">
        <v>0</v>
      </c>
    </row>
    <row r="4355" spans="1:5">
      <c r="A4355" s="61" t="s">
        <v>214</v>
      </c>
      <c r="B4355" s="61" t="s">
        <v>381</v>
      </c>
      <c r="C4355" s="62">
        <v>44777</v>
      </c>
      <c r="D4355" s="62">
        <v>44777</v>
      </c>
      <c r="E4355" s="63">
        <v>0</v>
      </c>
    </row>
    <row r="4356" spans="1:5">
      <c r="A4356" s="61" t="s">
        <v>214</v>
      </c>
      <c r="B4356" s="61" t="s">
        <v>381</v>
      </c>
      <c r="C4356" s="62">
        <v>44778</v>
      </c>
      <c r="D4356" s="62">
        <v>44778</v>
      </c>
      <c r="E4356" s="63">
        <v>0</v>
      </c>
    </row>
    <row r="4357" spans="1:5">
      <c r="A4357" s="61" t="s">
        <v>214</v>
      </c>
      <c r="B4357" s="61" t="s">
        <v>381</v>
      </c>
      <c r="C4357" s="62">
        <v>44779</v>
      </c>
      <c r="D4357" s="62">
        <v>44779</v>
      </c>
      <c r="E4357" s="63">
        <v>0</v>
      </c>
    </row>
    <row r="4358" spans="1:5">
      <c r="A4358" s="61" t="s">
        <v>214</v>
      </c>
      <c r="B4358" s="61" t="s">
        <v>381</v>
      </c>
      <c r="C4358" s="62">
        <v>44780</v>
      </c>
      <c r="D4358" s="62">
        <v>44780</v>
      </c>
      <c r="E4358" s="63">
        <v>0</v>
      </c>
    </row>
    <row r="4359" spans="1:5">
      <c r="A4359" s="61" t="s">
        <v>214</v>
      </c>
      <c r="B4359" s="61" t="s">
        <v>381</v>
      </c>
      <c r="C4359" s="62">
        <v>44781</v>
      </c>
      <c r="D4359" s="62">
        <v>44781</v>
      </c>
      <c r="E4359" s="63">
        <v>0</v>
      </c>
    </row>
    <row r="4360" spans="1:5">
      <c r="A4360" s="61" t="s">
        <v>214</v>
      </c>
      <c r="B4360" s="61" t="s">
        <v>381</v>
      </c>
      <c r="C4360" s="62">
        <v>44782</v>
      </c>
      <c r="D4360" s="62">
        <v>44782</v>
      </c>
      <c r="E4360" s="63">
        <v>953.49</v>
      </c>
    </row>
    <row r="4361" spans="1:5">
      <c r="A4361" s="61" t="s">
        <v>214</v>
      </c>
      <c r="B4361" s="61" t="s">
        <v>381</v>
      </c>
      <c r="C4361" s="62">
        <v>44783</v>
      </c>
      <c r="D4361" s="62">
        <v>44783</v>
      </c>
      <c r="E4361" s="63">
        <v>26.24</v>
      </c>
    </row>
    <row r="4362" spans="1:5">
      <c r="A4362" s="61" t="s">
        <v>214</v>
      </c>
      <c r="B4362" s="61" t="s">
        <v>381</v>
      </c>
      <c r="C4362" s="62">
        <v>44784</v>
      </c>
      <c r="D4362" s="62">
        <v>44784</v>
      </c>
      <c r="E4362" s="63">
        <v>0</v>
      </c>
    </row>
    <row r="4363" spans="1:5">
      <c r="A4363" s="61" t="s">
        <v>214</v>
      </c>
      <c r="B4363" s="61" t="s">
        <v>381</v>
      </c>
      <c r="C4363" s="62">
        <v>44785</v>
      </c>
      <c r="D4363" s="62">
        <v>44785</v>
      </c>
      <c r="E4363" s="63">
        <v>0</v>
      </c>
    </row>
    <row r="4364" spans="1:5">
      <c r="A4364" s="61" t="s">
        <v>214</v>
      </c>
      <c r="B4364" s="61" t="s">
        <v>381</v>
      </c>
      <c r="C4364" s="62">
        <v>44786</v>
      </c>
      <c r="D4364" s="62">
        <v>44786</v>
      </c>
      <c r="E4364" s="63">
        <v>0</v>
      </c>
    </row>
    <row r="4365" spans="1:5">
      <c r="A4365" s="61" t="s">
        <v>214</v>
      </c>
      <c r="B4365" s="61" t="s">
        <v>381</v>
      </c>
      <c r="C4365" s="62">
        <v>44787</v>
      </c>
      <c r="D4365" s="62">
        <v>44787</v>
      </c>
      <c r="E4365" s="63">
        <v>0</v>
      </c>
    </row>
    <row r="4366" spans="1:5">
      <c r="A4366" s="61" t="s">
        <v>214</v>
      </c>
      <c r="B4366" s="61" t="s">
        <v>381</v>
      </c>
      <c r="C4366" s="62">
        <v>44788</v>
      </c>
      <c r="D4366" s="62">
        <v>44788</v>
      </c>
      <c r="E4366" s="63">
        <v>0</v>
      </c>
    </row>
    <row r="4367" spans="1:5">
      <c r="A4367" s="61" t="s">
        <v>214</v>
      </c>
      <c r="B4367" s="61" t="s">
        <v>381</v>
      </c>
      <c r="C4367" s="62">
        <v>44789</v>
      </c>
      <c r="D4367" s="62">
        <v>44789</v>
      </c>
      <c r="E4367" s="63">
        <v>0</v>
      </c>
    </row>
    <row r="4368" spans="1:5">
      <c r="A4368" s="61" t="s">
        <v>214</v>
      </c>
      <c r="B4368" s="61" t="s">
        <v>381</v>
      </c>
      <c r="C4368" s="62">
        <v>44790</v>
      </c>
      <c r="D4368" s="62">
        <v>44790</v>
      </c>
      <c r="E4368" s="63">
        <v>0</v>
      </c>
    </row>
    <row r="4369" spans="1:5">
      <c r="A4369" s="61" t="s">
        <v>214</v>
      </c>
      <c r="B4369" s="61" t="s">
        <v>381</v>
      </c>
      <c r="C4369" s="62">
        <v>44791</v>
      </c>
      <c r="D4369" s="62">
        <v>44791</v>
      </c>
      <c r="E4369" s="63">
        <v>0</v>
      </c>
    </row>
    <row r="4370" spans="1:5">
      <c r="A4370" s="61" t="s">
        <v>214</v>
      </c>
      <c r="B4370" s="61" t="s">
        <v>381</v>
      </c>
      <c r="C4370" s="62">
        <v>44792</v>
      </c>
      <c r="D4370" s="62">
        <v>44792</v>
      </c>
      <c r="E4370" s="63">
        <v>0</v>
      </c>
    </row>
    <row r="4371" spans="1:5">
      <c r="A4371" s="61" t="s">
        <v>214</v>
      </c>
      <c r="B4371" s="61" t="s">
        <v>381</v>
      </c>
      <c r="C4371" s="62">
        <v>44793</v>
      </c>
      <c r="D4371" s="62">
        <v>44793</v>
      </c>
      <c r="E4371" s="63">
        <v>0</v>
      </c>
    </row>
    <row r="4372" spans="1:5">
      <c r="A4372" s="61" t="s">
        <v>214</v>
      </c>
      <c r="B4372" s="61" t="s">
        <v>381</v>
      </c>
      <c r="C4372" s="62">
        <v>44794</v>
      </c>
      <c r="D4372" s="62">
        <v>44794</v>
      </c>
      <c r="E4372" s="63">
        <v>0</v>
      </c>
    </row>
    <row r="4373" spans="1:5">
      <c r="A4373" s="61" t="s">
        <v>214</v>
      </c>
      <c r="B4373" s="61" t="s">
        <v>381</v>
      </c>
      <c r="C4373" s="62">
        <v>44795</v>
      </c>
      <c r="D4373" s="62">
        <v>44795</v>
      </c>
      <c r="E4373" s="63">
        <v>835.67</v>
      </c>
    </row>
    <row r="4374" spans="1:5">
      <c r="A4374" s="61" t="s">
        <v>214</v>
      </c>
      <c r="B4374" s="61" t="s">
        <v>381</v>
      </c>
      <c r="C4374" s="62">
        <v>44796</v>
      </c>
      <c r="D4374" s="62">
        <v>44796</v>
      </c>
      <c r="E4374" s="63">
        <v>703.33</v>
      </c>
    </row>
    <row r="4375" spans="1:5">
      <c r="A4375" s="61" t="s">
        <v>214</v>
      </c>
      <c r="B4375" s="61" t="s">
        <v>381</v>
      </c>
      <c r="C4375" s="62">
        <v>44797</v>
      </c>
      <c r="D4375" s="62">
        <v>44797</v>
      </c>
      <c r="E4375" s="63">
        <v>0</v>
      </c>
    </row>
    <row r="4376" spans="1:5">
      <c r="A4376" s="61" t="s">
        <v>214</v>
      </c>
      <c r="B4376" s="61" t="s">
        <v>381</v>
      </c>
      <c r="C4376" s="62">
        <v>44798</v>
      </c>
      <c r="D4376" s="62">
        <v>44798</v>
      </c>
      <c r="E4376" s="63">
        <v>0</v>
      </c>
    </row>
    <row r="4377" spans="1:5">
      <c r="A4377" s="61" t="s">
        <v>214</v>
      </c>
      <c r="B4377" s="61" t="s">
        <v>381</v>
      </c>
      <c r="C4377" s="62">
        <v>44799</v>
      </c>
      <c r="D4377" s="62">
        <v>44799</v>
      </c>
      <c r="E4377" s="63">
        <v>0</v>
      </c>
    </row>
    <row r="4378" spans="1:5">
      <c r="A4378" s="61" t="s">
        <v>214</v>
      </c>
      <c r="B4378" s="61" t="s">
        <v>381</v>
      </c>
      <c r="C4378" s="62">
        <v>44800</v>
      </c>
      <c r="D4378" s="62">
        <v>44800</v>
      </c>
      <c r="E4378" s="63">
        <v>0</v>
      </c>
    </row>
    <row r="4379" spans="1:5">
      <c r="A4379" s="61" t="s">
        <v>214</v>
      </c>
      <c r="B4379" s="61" t="s">
        <v>381</v>
      </c>
      <c r="C4379" s="62">
        <v>44801</v>
      </c>
      <c r="D4379" s="62">
        <v>44801</v>
      </c>
      <c r="E4379" s="63">
        <v>0</v>
      </c>
    </row>
    <row r="4380" spans="1:5">
      <c r="A4380" s="61" t="s">
        <v>214</v>
      </c>
      <c r="B4380" s="61" t="s">
        <v>381</v>
      </c>
      <c r="C4380" s="62">
        <v>44802</v>
      </c>
      <c r="D4380" s="62">
        <v>44802</v>
      </c>
      <c r="E4380" s="63">
        <v>75.37</v>
      </c>
    </row>
    <row r="4381" spans="1:5">
      <c r="A4381" s="61" t="s">
        <v>214</v>
      </c>
      <c r="B4381" s="61" t="s">
        <v>381</v>
      </c>
      <c r="C4381" s="62">
        <v>44803</v>
      </c>
      <c r="D4381" s="62">
        <v>44803</v>
      </c>
      <c r="E4381" s="63">
        <v>0</v>
      </c>
    </row>
    <row r="4382" spans="1:5">
      <c r="A4382" s="61" t="s">
        <v>215</v>
      </c>
      <c r="B4382" s="61" t="s">
        <v>382</v>
      </c>
      <c r="C4382" s="62">
        <v>44774</v>
      </c>
      <c r="D4382" s="62">
        <v>44774</v>
      </c>
      <c r="E4382" s="63">
        <v>0</v>
      </c>
    </row>
    <row r="4383" spans="1:5">
      <c r="A4383" s="61" t="s">
        <v>215</v>
      </c>
      <c r="B4383" s="61" t="s">
        <v>382</v>
      </c>
      <c r="C4383" s="62">
        <v>44775</v>
      </c>
      <c r="D4383" s="62">
        <v>44775</v>
      </c>
      <c r="E4383" s="63">
        <v>0</v>
      </c>
    </row>
    <row r="4384" spans="1:5">
      <c r="A4384" s="61" t="s">
        <v>215</v>
      </c>
      <c r="B4384" s="61" t="s">
        <v>382</v>
      </c>
      <c r="C4384" s="62">
        <v>44776</v>
      </c>
      <c r="D4384" s="62">
        <v>44776</v>
      </c>
      <c r="E4384" s="63">
        <v>0</v>
      </c>
    </row>
    <row r="4385" spans="1:5">
      <c r="A4385" s="61" t="s">
        <v>215</v>
      </c>
      <c r="B4385" s="61" t="s">
        <v>382</v>
      </c>
      <c r="C4385" s="62">
        <v>44777</v>
      </c>
      <c r="D4385" s="62">
        <v>44777</v>
      </c>
      <c r="E4385" s="63">
        <v>0</v>
      </c>
    </row>
    <row r="4386" spans="1:5">
      <c r="A4386" s="61" t="s">
        <v>215</v>
      </c>
      <c r="B4386" s="61" t="s">
        <v>382</v>
      </c>
      <c r="C4386" s="62">
        <v>44778</v>
      </c>
      <c r="D4386" s="62">
        <v>44778</v>
      </c>
      <c r="E4386" s="63">
        <v>0</v>
      </c>
    </row>
    <row r="4387" spans="1:5">
      <c r="A4387" s="61" t="s">
        <v>215</v>
      </c>
      <c r="B4387" s="61" t="s">
        <v>382</v>
      </c>
      <c r="C4387" s="62">
        <v>44779</v>
      </c>
      <c r="D4387" s="62">
        <v>44779</v>
      </c>
      <c r="E4387" s="63">
        <v>0</v>
      </c>
    </row>
    <row r="4388" spans="1:5">
      <c r="A4388" s="61" t="s">
        <v>215</v>
      </c>
      <c r="B4388" s="61" t="s">
        <v>382</v>
      </c>
      <c r="C4388" s="62">
        <v>44780</v>
      </c>
      <c r="D4388" s="62">
        <v>44780</v>
      </c>
      <c r="E4388" s="63">
        <v>0</v>
      </c>
    </row>
    <row r="4389" spans="1:5">
      <c r="A4389" s="61" t="s">
        <v>215</v>
      </c>
      <c r="B4389" s="61" t="s">
        <v>382</v>
      </c>
      <c r="C4389" s="62">
        <v>44781</v>
      </c>
      <c r="D4389" s="62">
        <v>44781</v>
      </c>
      <c r="E4389" s="63">
        <v>0</v>
      </c>
    </row>
    <row r="4390" spans="1:5">
      <c r="A4390" s="61" t="s">
        <v>215</v>
      </c>
      <c r="B4390" s="61" t="s">
        <v>382</v>
      </c>
      <c r="C4390" s="62">
        <v>44782</v>
      </c>
      <c r="D4390" s="62">
        <v>44782</v>
      </c>
      <c r="E4390" s="63">
        <v>0</v>
      </c>
    </row>
    <row r="4391" spans="1:5">
      <c r="A4391" s="61" t="s">
        <v>215</v>
      </c>
      <c r="B4391" s="61" t="s">
        <v>382</v>
      </c>
      <c r="C4391" s="62">
        <v>44783</v>
      </c>
      <c r="D4391" s="62">
        <v>44783</v>
      </c>
      <c r="E4391" s="63">
        <v>0</v>
      </c>
    </row>
    <row r="4392" spans="1:5">
      <c r="A4392" s="61" t="s">
        <v>215</v>
      </c>
      <c r="B4392" s="61" t="s">
        <v>382</v>
      </c>
      <c r="C4392" s="62">
        <v>44784</v>
      </c>
      <c r="D4392" s="62">
        <v>44784</v>
      </c>
      <c r="E4392" s="63">
        <v>0</v>
      </c>
    </row>
    <row r="4393" spans="1:5">
      <c r="A4393" s="61" t="s">
        <v>215</v>
      </c>
      <c r="B4393" s="61" t="s">
        <v>382</v>
      </c>
      <c r="C4393" s="62">
        <v>44785</v>
      </c>
      <c r="D4393" s="62">
        <v>44785</v>
      </c>
      <c r="E4393" s="63">
        <v>0</v>
      </c>
    </row>
    <row r="4394" spans="1:5">
      <c r="A4394" s="61" t="s">
        <v>215</v>
      </c>
      <c r="B4394" s="61" t="s">
        <v>382</v>
      </c>
      <c r="C4394" s="62">
        <v>44786</v>
      </c>
      <c r="D4394" s="62">
        <v>44786</v>
      </c>
      <c r="E4394" s="63">
        <v>0</v>
      </c>
    </row>
    <row r="4395" spans="1:5">
      <c r="A4395" s="61" t="s">
        <v>215</v>
      </c>
      <c r="B4395" s="61" t="s">
        <v>382</v>
      </c>
      <c r="C4395" s="62">
        <v>44787</v>
      </c>
      <c r="D4395" s="62">
        <v>44787</v>
      </c>
      <c r="E4395" s="63">
        <v>0</v>
      </c>
    </row>
    <row r="4396" spans="1:5">
      <c r="A4396" s="61" t="s">
        <v>215</v>
      </c>
      <c r="B4396" s="61" t="s">
        <v>382</v>
      </c>
      <c r="C4396" s="62">
        <v>44788</v>
      </c>
      <c r="D4396" s="62">
        <v>44788</v>
      </c>
      <c r="E4396" s="63">
        <v>0</v>
      </c>
    </row>
    <row r="4397" spans="1:5">
      <c r="A4397" s="61" t="s">
        <v>215</v>
      </c>
      <c r="B4397" s="61" t="s">
        <v>382</v>
      </c>
      <c r="C4397" s="62">
        <v>44789</v>
      </c>
      <c r="D4397" s="62">
        <v>44789</v>
      </c>
      <c r="E4397" s="63">
        <v>0</v>
      </c>
    </row>
    <row r="4398" spans="1:5">
      <c r="A4398" s="61" t="s">
        <v>215</v>
      </c>
      <c r="B4398" s="61" t="s">
        <v>382</v>
      </c>
      <c r="C4398" s="62">
        <v>44790</v>
      </c>
      <c r="D4398" s="62">
        <v>44790</v>
      </c>
      <c r="E4398" s="63">
        <v>0</v>
      </c>
    </row>
    <row r="4399" spans="1:5">
      <c r="A4399" s="61" t="s">
        <v>215</v>
      </c>
      <c r="B4399" s="61" t="s">
        <v>382</v>
      </c>
      <c r="C4399" s="62">
        <v>44791</v>
      </c>
      <c r="D4399" s="62">
        <v>44791</v>
      </c>
      <c r="E4399" s="63">
        <v>0</v>
      </c>
    </row>
    <row r="4400" spans="1:5">
      <c r="A4400" s="61" t="s">
        <v>215</v>
      </c>
      <c r="B4400" s="61" t="s">
        <v>382</v>
      </c>
      <c r="C4400" s="62">
        <v>44792</v>
      </c>
      <c r="D4400" s="62">
        <v>44792</v>
      </c>
      <c r="E4400" s="63">
        <v>0</v>
      </c>
    </row>
    <row r="4401" spans="1:5">
      <c r="A4401" s="61" t="s">
        <v>215</v>
      </c>
      <c r="B4401" s="61" t="s">
        <v>382</v>
      </c>
      <c r="C4401" s="62">
        <v>44793</v>
      </c>
      <c r="D4401" s="62">
        <v>44793</v>
      </c>
      <c r="E4401" s="63">
        <v>0</v>
      </c>
    </row>
    <row r="4402" spans="1:5">
      <c r="A4402" s="61" t="s">
        <v>215</v>
      </c>
      <c r="B4402" s="61" t="s">
        <v>382</v>
      </c>
      <c r="C4402" s="62">
        <v>44794</v>
      </c>
      <c r="D4402" s="62">
        <v>44794</v>
      </c>
      <c r="E4402" s="63">
        <v>0</v>
      </c>
    </row>
    <row r="4403" spans="1:5">
      <c r="A4403" s="61" t="s">
        <v>215</v>
      </c>
      <c r="B4403" s="61" t="s">
        <v>382</v>
      </c>
      <c r="C4403" s="62">
        <v>44795</v>
      </c>
      <c r="D4403" s="62">
        <v>44795</v>
      </c>
      <c r="E4403" s="63">
        <v>0</v>
      </c>
    </row>
    <row r="4404" spans="1:5">
      <c r="A4404" s="61" t="s">
        <v>215</v>
      </c>
      <c r="B4404" s="61" t="s">
        <v>382</v>
      </c>
      <c r="C4404" s="62">
        <v>44796</v>
      </c>
      <c r="D4404" s="62">
        <v>44796</v>
      </c>
      <c r="E4404" s="63">
        <v>0</v>
      </c>
    </row>
    <row r="4405" spans="1:5">
      <c r="A4405" s="61" t="s">
        <v>215</v>
      </c>
      <c r="B4405" s="61" t="s">
        <v>382</v>
      </c>
      <c r="C4405" s="62">
        <v>44797</v>
      </c>
      <c r="D4405" s="62">
        <v>44797</v>
      </c>
      <c r="E4405" s="63">
        <v>0</v>
      </c>
    </row>
    <row r="4406" spans="1:5">
      <c r="A4406" s="61" t="s">
        <v>215</v>
      </c>
      <c r="B4406" s="61" t="s">
        <v>382</v>
      </c>
      <c r="C4406" s="62">
        <v>44798</v>
      </c>
      <c r="D4406" s="62">
        <v>44798</v>
      </c>
      <c r="E4406" s="63">
        <v>0</v>
      </c>
    </row>
    <row r="4407" spans="1:5">
      <c r="A4407" s="61" t="s">
        <v>215</v>
      </c>
      <c r="B4407" s="61" t="s">
        <v>382</v>
      </c>
      <c r="C4407" s="62">
        <v>44799</v>
      </c>
      <c r="D4407" s="62">
        <v>44799</v>
      </c>
      <c r="E4407" s="63">
        <v>0</v>
      </c>
    </row>
    <row r="4408" spans="1:5">
      <c r="A4408" s="61" t="s">
        <v>215</v>
      </c>
      <c r="B4408" s="61" t="s">
        <v>382</v>
      </c>
      <c r="C4408" s="62">
        <v>44800</v>
      </c>
      <c r="D4408" s="62">
        <v>44800</v>
      </c>
      <c r="E4408" s="63">
        <v>0</v>
      </c>
    </row>
    <row r="4409" spans="1:5">
      <c r="A4409" s="61" t="s">
        <v>215</v>
      </c>
      <c r="B4409" s="61" t="s">
        <v>382</v>
      </c>
      <c r="C4409" s="62">
        <v>44801</v>
      </c>
      <c r="D4409" s="62">
        <v>44801</v>
      </c>
      <c r="E4409" s="63">
        <v>0</v>
      </c>
    </row>
    <row r="4410" spans="1:5">
      <c r="A4410" s="61" t="s">
        <v>215</v>
      </c>
      <c r="B4410" s="61" t="s">
        <v>382</v>
      </c>
      <c r="C4410" s="62">
        <v>44802</v>
      </c>
      <c r="D4410" s="62">
        <v>44802</v>
      </c>
      <c r="E4410" s="63">
        <v>0</v>
      </c>
    </row>
    <row r="4411" spans="1:5">
      <c r="A4411" s="61" t="s">
        <v>215</v>
      </c>
      <c r="B4411" s="61" t="s">
        <v>382</v>
      </c>
      <c r="C4411" s="62">
        <v>44803</v>
      </c>
      <c r="D4411" s="62">
        <v>44803</v>
      </c>
      <c r="E4411" s="63">
        <v>0</v>
      </c>
    </row>
    <row r="4412" spans="1:5">
      <c r="A4412" s="61" t="s">
        <v>216</v>
      </c>
      <c r="B4412" s="61" t="s">
        <v>383</v>
      </c>
      <c r="C4412" s="62">
        <v>44774</v>
      </c>
      <c r="D4412" s="62">
        <v>44774</v>
      </c>
      <c r="E4412" s="63">
        <v>0</v>
      </c>
    </row>
    <row r="4413" spans="1:5">
      <c r="A4413" s="61" t="s">
        <v>216</v>
      </c>
      <c r="B4413" s="61" t="s">
        <v>383</v>
      </c>
      <c r="C4413" s="62">
        <v>44775</v>
      </c>
      <c r="D4413" s="62">
        <v>44775</v>
      </c>
      <c r="E4413" s="63">
        <v>0</v>
      </c>
    </row>
    <row r="4414" spans="1:5">
      <c r="A4414" s="61" t="s">
        <v>216</v>
      </c>
      <c r="B4414" s="61" t="s">
        <v>383</v>
      </c>
      <c r="C4414" s="62">
        <v>44776</v>
      </c>
      <c r="D4414" s="62">
        <v>44776</v>
      </c>
      <c r="E4414" s="63">
        <v>0</v>
      </c>
    </row>
    <row r="4415" spans="1:5">
      <c r="A4415" s="61" t="s">
        <v>216</v>
      </c>
      <c r="B4415" s="61" t="s">
        <v>383</v>
      </c>
      <c r="C4415" s="62">
        <v>44777</v>
      </c>
      <c r="D4415" s="62">
        <v>44777</v>
      </c>
      <c r="E4415" s="63">
        <v>0</v>
      </c>
    </row>
    <row r="4416" spans="1:5">
      <c r="A4416" s="61" t="s">
        <v>216</v>
      </c>
      <c r="B4416" s="61" t="s">
        <v>383</v>
      </c>
      <c r="C4416" s="62">
        <v>44778</v>
      </c>
      <c r="D4416" s="62">
        <v>44778</v>
      </c>
      <c r="E4416" s="63">
        <v>0</v>
      </c>
    </row>
    <row r="4417" spans="1:5">
      <c r="A4417" s="61" t="s">
        <v>216</v>
      </c>
      <c r="B4417" s="61" t="s">
        <v>383</v>
      </c>
      <c r="C4417" s="62">
        <v>44779</v>
      </c>
      <c r="D4417" s="62">
        <v>44779</v>
      </c>
      <c r="E4417" s="63">
        <v>0</v>
      </c>
    </row>
    <row r="4418" spans="1:5">
      <c r="A4418" s="61" t="s">
        <v>216</v>
      </c>
      <c r="B4418" s="61" t="s">
        <v>383</v>
      </c>
      <c r="C4418" s="62">
        <v>44780</v>
      </c>
      <c r="D4418" s="62">
        <v>44780</v>
      </c>
      <c r="E4418" s="63">
        <v>0</v>
      </c>
    </row>
    <row r="4419" spans="1:5">
      <c r="A4419" s="61" t="s">
        <v>216</v>
      </c>
      <c r="B4419" s="61" t="s">
        <v>383</v>
      </c>
      <c r="C4419" s="62">
        <v>44781</v>
      </c>
      <c r="D4419" s="62">
        <v>44781</v>
      </c>
      <c r="E4419" s="63">
        <v>0</v>
      </c>
    </row>
    <row r="4420" spans="1:5">
      <c r="A4420" s="61" t="s">
        <v>216</v>
      </c>
      <c r="B4420" s="61" t="s">
        <v>383</v>
      </c>
      <c r="C4420" s="62">
        <v>44782</v>
      </c>
      <c r="D4420" s="62">
        <v>44782</v>
      </c>
      <c r="E4420" s="63">
        <v>0</v>
      </c>
    </row>
    <row r="4421" spans="1:5">
      <c r="A4421" s="61" t="s">
        <v>216</v>
      </c>
      <c r="B4421" s="61" t="s">
        <v>383</v>
      </c>
      <c r="C4421" s="62">
        <v>44783</v>
      </c>
      <c r="D4421" s="62">
        <v>44783</v>
      </c>
      <c r="E4421" s="63">
        <v>0</v>
      </c>
    </row>
    <row r="4422" spans="1:5">
      <c r="A4422" s="61" t="s">
        <v>216</v>
      </c>
      <c r="B4422" s="61" t="s">
        <v>383</v>
      </c>
      <c r="C4422" s="62">
        <v>44784</v>
      </c>
      <c r="D4422" s="62">
        <v>44784</v>
      </c>
      <c r="E4422" s="63">
        <v>0</v>
      </c>
    </row>
    <row r="4423" spans="1:5">
      <c r="A4423" s="61" t="s">
        <v>216</v>
      </c>
      <c r="B4423" s="61" t="s">
        <v>383</v>
      </c>
      <c r="C4423" s="62">
        <v>44785</v>
      </c>
      <c r="D4423" s="62">
        <v>44785</v>
      </c>
      <c r="E4423" s="63">
        <v>0</v>
      </c>
    </row>
    <row r="4424" spans="1:5">
      <c r="A4424" s="61" t="s">
        <v>216</v>
      </c>
      <c r="B4424" s="61" t="s">
        <v>383</v>
      </c>
      <c r="C4424" s="62">
        <v>44786</v>
      </c>
      <c r="D4424" s="62">
        <v>44786</v>
      </c>
      <c r="E4424" s="63">
        <v>0</v>
      </c>
    </row>
    <row r="4425" spans="1:5">
      <c r="A4425" s="61" t="s">
        <v>216</v>
      </c>
      <c r="B4425" s="61" t="s">
        <v>383</v>
      </c>
      <c r="C4425" s="62">
        <v>44787</v>
      </c>
      <c r="D4425" s="62">
        <v>44787</v>
      </c>
      <c r="E4425" s="63">
        <v>0</v>
      </c>
    </row>
    <row r="4426" spans="1:5">
      <c r="A4426" s="61" t="s">
        <v>216</v>
      </c>
      <c r="B4426" s="61" t="s">
        <v>383</v>
      </c>
      <c r="C4426" s="62">
        <v>44788</v>
      </c>
      <c r="D4426" s="62">
        <v>44788</v>
      </c>
      <c r="E4426" s="63">
        <v>0</v>
      </c>
    </row>
    <row r="4427" spans="1:5">
      <c r="A4427" s="61" t="s">
        <v>216</v>
      </c>
      <c r="B4427" s="61" t="s">
        <v>383</v>
      </c>
      <c r="C4427" s="62">
        <v>44789</v>
      </c>
      <c r="D4427" s="62">
        <v>44789</v>
      </c>
      <c r="E4427" s="63">
        <v>0</v>
      </c>
    </row>
    <row r="4428" spans="1:5">
      <c r="A4428" s="61" t="s">
        <v>216</v>
      </c>
      <c r="B4428" s="61" t="s">
        <v>383</v>
      </c>
      <c r="C4428" s="62">
        <v>44790</v>
      </c>
      <c r="D4428" s="62">
        <v>44790</v>
      </c>
      <c r="E4428" s="63">
        <v>0</v>
      </c>
    </row>
    <row r="4429" spans="1:5">
      <c r="A4429" s="61" t="s">
        <v>216</v>
      </c>
      <c r="B4429" s="61" t="s">
        <v>383</v>
      </c>
      <c r="C4429" s="62">
        <v>44791</v>
      </c>
      <c r="D4429" s="62">
        <v>44791</v>
      </c>
      <c r="E4429" s="63">
        <v>0</v>
      </c>
    </row>
    <row r="4430" spans="1:5">
      <c r="A4430" s="61" t="s">
        <v>216</v>
      </c>
      <c r="B4430" s="61" t="s">
        <v>383</v>
      </c>
      <c r="C4430" s="62">
        <v>44792</v>
      </c>
      <c r="D4430" s="62">
        <v>44792</v>
      </c>
      <c r="E4430" s="63">
        <v>0</v>
      </c>
    </row>
    <row r="4431" spans="1:5">
      <c r="A4431" s="61" t="s">
        <v>216</v>
      </c>
      <c r="B4431" s="61" t="s">
        <v>383</v>
      </c>
      <c r="C4431" s="62">
        <v>44793</v>
      </c>
      <c r="D4431" s="62">
        <v>44793</v>
      </c>
      <c r="E4431" s="63">
        <v>0</v>
      </c>
    </row>
    <row r="4432" spans="1:5">
      <c r="A4432" s="61" t="s">
        <v>216</v>
      </c>
      <c r="B4432" s="61" t="s">
        <v>383</v>
      </c>
      <c r="C4432" s="62">
        <v>44794</v>
      </c>
      <c r="D4432" s="62">
        <v>44794</v>
      </c>
      <c r="E4432" s="63">
        <v>0</v>
      </c>
    </row>
    <row r="4433" spans="1:5">
      <c r="A4433" s="61" t="s">
        <v>216</v>
      </c>
      <c r="B4433" s="61" t="s">
        <v>383</v>
      </c>
      <c r="C4433" s="62">
        <v>44795</v>
      </c>
      <c r="D4433" s="62">
        <v>44795</v>
      </c>
      <c r="E4433" s="63">
        <v>0</v>
      </c>
    </row>
    <row r="4434" spans="1:5">
      <c r="A4434" s="61" t="s">
        <v>216</v>
      </c>
      <c r="B4434" s="61" t="s">
        <v>383</v>
      </c>
      <c r="C4434" s="62">
        <v>44796</v>
      </c>
      <c r="D4434" s="62">
        <v>44796</v>
      </c>
      <c r="E4434" s="63">
        <v>0</v>
      </c>
    </row>
    <row r="4435" spans="1:5">
      <c r="A4435" s="61" t="s">
        <v>216</v>
      </c>
      <c r="B4435" s="61" t="s">
        <v>383</v>
      </c>
      <c r="C4435" s="62">
        <v>44797</v>
      </c>
      <c r="D4435" s="62">
        <v>44797</v>
      </c>
      <c r="E4435" s="63">
        <v>0</v>
      </c>
    </row>
    <row r="4436" spans="1:5">
      <c r="A4436" s="61" t="s">
        <v>216</v>
      </c>
      <c r="B4436" s="61" t="s">
        <v>383</v>
      </c>
      <c r="C4436" s="62">
        <v>44798</v>
      </c>
      <c r="D4436" s="62">
        <v>44798</v>
      </c>
      <c r="E4436" s="63">
        <v>0</v>
      </c>
    </row>
    <row r="4437" spans="1:5">
      <c r="A4437" s="61" t="s">
        <v>216</v>
      </c>
      <c r="B4437" s="61" t="s">
        <v>383</v>
      </c>
      <c r="C4437" s="62">
        <v>44799</v>
      </c>
      <c r="D4437" s="62">
        <v>44799</v>
      </c>
      <c r="E4437" s="63">
        <v>0</v>
      </c>
    </row>
    <row r="4438" spans="1:5">
      <c r="A4438" s="61" t="s">
        <v>216</v>
      </c>
      <c r="B4438" s="61" t="s">
        <v>383</v>
      </c>
      <c r="C4438" s="62">
        <v>44800</v>
      </c>
      <c r="D4438" s="62">
        <v>44800</v>
      </c>
      <c r="E4438" s="63">
        <v>0</v>
      </c>
    </row>
    <row r="4439" spans="1:5">
      <c r="A4439" s="61" t="s">
        <v>216</v>
      </c>
      <c r="B4439" s="61" t="s">
        <v>383</v>
      </c>
      <c r="C4439" s="62">
        <v>44801</v>
      </c>
      <c r="D4439" s="62">
        <v>44801</v>
      </c>
      <c r="E4439" s="63">
        <v>0</v>
      </c>
    </row>
    <row r="4440" spans="1:5">
      <c r="A4440" s="61" t="s">
        <v>216</v>
      </c>
      <c r="B4440" s="61" t="s">
        <v>383</v>
      </c>
      <c r="C4440" s="62">
        <v>44802</v>
      </c>
      <c r="D4440" s="62">
        <v>44802</v>
      </c>
      <c r="E4440" s="63">
        <v>669.11</v>
      </c>
    </row>
    <row r="4441" spans="1:5">
      <c r="A4441" s="61" t="s">
        <v>216</v>
      </c>
      <c r="B4441" s="61" t="s">
        <v>383</v>
      </c>
      <c r="C4441" s="62">
        <v>44803</v>
      </c>
      <c r="D4441" s="62">
        <v>44803</v>
      </c>
      <c r="E4441" s="63">
        <v>0</v>
      </c>
    </row>
    <row r="4442" spans="1:5">
      <c r="A4442" s="61" t="s">
        <v>79</v>
      </c>
      <c r="B4442" s="61" t="s">
        <v>380</v>
      </c>
      <c r="C4442" s="62">
        <v>44774</v>
      </c>
      <c r="D4442" s="62">
        <v>44774</v>
      </c>
      <c r="E4442" s="63">
        <v>0</v>
      </c>
    </row>
    <row r="4443" spans="1:5">
      <c r="A4443" s="61" t="s">
        <v>79</v>
      </c>
      <c r="B4443" s="61" t="s">
        <v>380</v>
      </c>
      <c r="C4443" s="62">
        <v>44775</v>
      </c>
      <c r="D4443" s="62">
        <v>44775</v>
      </c>
      <c r="E4443" s="63">
        <v>0</v>
      </c>
    </row>
    <row r="4444" spans="1:5">
      <c r="A4444" s="61" t="s">
        <v>79</v>
      </c>
      <c r="B4444" s="61" t="s">
        <v>380</v>
      </c>
      <c r="C4444" s="62">
        <v>44776</v>
      </c>
      <c r="D4444" s="62">
        <v>44776</v>
      </c>
      <c r="E4444" s="63">
        <v>0</v>
      </c>
    </row>
    <row r="4445" spans="1:5">
      <c r="A4445" s="61" t="s">
        <v>79</v>
      </c>
      <c r="B4445" s="61" t="s">
        <v>380</v>
      </c>
      <c r="C4445" s="62">
        <v>44777</v>
      </c>
      <c r="D4445" s="62">
        <v>44777</v>
      </c>
      <c r="E4445" s="63">
        <v>0</v>
      </c>
    </row>
    <row r="4446" spans="1:5">
      <c r="A4446" s="61" t="s">
        <v>79</v>
      </c>
      <c r="B4446" s="61" t="s">
        <v>380</v>
      </c>
      <c r="C4446" s="62">
        <v>44778</v>
      </c>
      <c r="D4446" s="62">
        <v>44778</v>
      </c>
      <c r="E4446" s="63">
        <v>0</v>
      </c>
    </row>
    <row r="4447" spans="1:5">
      <c r="A4447" s="61" t="s">
        <v>79</v>
      </c>
      <c r="B4447" s="61" t="s">
        <v>380</v>
      </c>
      <c r="C4447" s="62">
        <v>44779</v>
      </c>
      <c r="D4447" s="62">
        <v>44779</v>
      </c>
      <c r="E4447" s="63">
        <v>0</v>
      </c>
    </row>
    <row r="4448" spans="1:5">
      <c r="A4448" s="61" t="s">
        <v>79</v>
      </c>
      <c r="B4448" s="61" t="s">
        <v>380</v>
      </c>
      <c r="C4448" s="62">
        <v>44780</v>
      </c>
      <c r="D4448" s="62">
        <v>44780</v>
      </c>
      <c r="E4448" s="63">
        <v>0</v>
      </c>
    </row>
    <row r="4449" spans="1:5">
      <c r="A4449" s="61" t="s">
        <v>79</v>
      </c>
      <c r="B4449" s="61" t="s">
        <v>380</v>
      </c>
      <c r="C4449" s="62">
        <v>44781</v>
      </c>
      <c r="D4449" s="62">
        <v>44781</v>
      </c>
      <c r="E4449" s="63">
        <v>0</v>
      </c>
    </row>
    <row r="4450" spans="1:5">
      <c r="A4450" s="61" t="s">
        <v>79</v>
      </c>
      <c r="B4450" s="61" t="s">
        <v>380</v>
      </c>
      <c r="C4450" s="62">
        <v>44782</v>
      </c>
      <c r="D4450" s="62">
        <v>44782</v>
      </c>
      <c r="E4450" s="63">
        <v>0</v>
      </c>
    </row>
    <row r="4451" spans="1:5">
      <c r="A4451" s="61" t="s">
        <v>79</v>
      </c>
      <c r="B4451" s="61" t="s">
        <v>380</v>
      </c>
      <c r="C4451" s="62">
        <v>44783</v>
      </c>
      <c r="D4451" s="62">
        <v>44783</v>
      </c>
      <c r="E4451" s="63">
        <v>59.32</v>
      </c>
    </row>
    <row r="4452" spans="1:5">
      <c r="A4452" s="61" t="s">
        <v>79</v>
      </c>
      <c r="B4452" s="61" t="s">
        <v>380</v>
      </c>
      <c r="C4452" s="62">
        <v>44784</v>
      </c>
      <c r="D4452" s="62">
        <v>44784</v>
      </c>
      <c r="E4452" s="63">
        <v>0</v>
      </c>
    </row>
    <row r="4453" spans="1:5">
      <c r="A4453" s="61" t="s">
        <v>79</v>
      </c>
      <c r="B4453" s="61" t="s">
        <v>380</v>
      </c>
      <c r="C4453" s="62">
        <v>44785</v>
      </c>
      <c r="D4453" s="62">
        <v>44785</v>
      </c>
      <c r="E4453" s="63">
        <v>0</v>
      </c>
    </row>
    <row r="4454" spans="1:5">
      <c r="A4454" s="61" t="s">
        <v>79</v>
      </c>
      <c r="B4454" s="61" t="s">
        <v>380</v>
      </c>
      <c r="C4454" s="62">
        <v>44786</v>
      </c>
      <c r="D4454" s="62">
        <v>44786</v>
      </c>
      <c r="E4454" s="63">
        <v>0</v>
      </c>
    </row>
    <row r="4455" spans="1:5">
      <c r="A4455" s="61" t="s">
        <v>79</v>
      </c>
      <c r="B4455" s="61" t="s">
        <v>380</v>
      </c>
      <c r="C4455" s="62">
        <v>44787</v>
      </c>
      <c r="D4455" s="62">
        <v>44787</v>
      </c>
      <c r="E4455" s="63">
        <v>0</v>
      </c>
    </row>
    <row r="4456" spans="1:5">
      <c r="A4456" s="61" t="s">
        <v>79</v>
      </c>
      <c r="B4456" s="61" t="s">
        <v>380</v>
      </c>
      <c r="C4456" s="62">
        <v>44788</v>
      </c>
      <c r="D4456" s="62">
        <v>44788</v>
      </c>
      <c r="E4456" s="63">
        <v>201.88</v>
      </c>
    </row>
    <row r="4457" spans="1:5">
      <c r="A4457" s="61" t="s">
        <v>79</v>
      </c>
      <c r="B4457" s="61" t="s">
        <v>380</v>
      </c>
      <c r="C4457" s="62">
        <v>44789</v>
      </c>
      <c r="D4457" s="62">
        <v>44789</v>
      </c>
      <c r="E4457" s="63">
        <v>0</v>
      </c>
    </row>
    <row r="4458" spans="1:5">
      <c r="A4458" s="61" t="s">
        <v>79</v>
      </c>
      <c r="B4458" s="61" t="s">
        <v>380</v>
      </c>
      <c r="C4458" s="62">
        <v>44790</v>
      </c>
      <c r="D4458" s="62">
        <v>44790</v>
      </c>
      <c r="E4458" s="63">
        <v>0</v>
      </c>
    </row>
    <row r="4459" spans="1:5">
      <c r="A4459" s="61" t="s">
        <v>79</v>
      </c>
      <c r="B4459" s="61" t="s">
        <v>380</v>
      </c>
      <c r="C4459" s="62">
        <v>44791</v>
      </c>
      <c r="D4459" s="62">
        <v>44791</v>
      </c>
      <c r="E4459" s="63">
        <v>0</v>
      </c>
    </row>
    <row r="4460" spans="1:5">
      <c r="A4460" s="61" t="s">
        <v>79</v>
      </c>
      <c r="B4460" s="61" t="s">
        <v>380</v>
      </c>
      <c r="C4460" s="62">
        <v>44792</v>
      </c>
      <c r="D4460" s="62">
        <v>44792</v>
      </c>
      <c r="E4460" s="63">
        <v>0</v>
      </c>
    </row>
    <row r="4461" spans="1:5">
      <c r="A4461" s="61" t="s">
        <v>79</v>
      </c>
      <c r="B4461" s="61" t="s">
        <v>380</v>
      </c>
      <c r="C4461" s="62">
        <v>44793</v>
      </c>
      <c r="D4461" s="62">
        <v>44793</v>
      </c>
      <c r="E4461" s="63">
        <v>0</v>
      </c>
    </row>
    <row r="4462" spans="1:5">
      <c r="A4462" s="61" t="s">
        <v>79</v>
      </c>
      <c r="B4462" s="61" t="s">
        <v>380</v>
      </c>
      <c r="C4462" s="62">
        <v>44794</v>
      </c>
      <c r="D4462" s="62">
        <v>44794</v>
      </c>
      <c r="E4462" s="63">
        <v>0</v>
      </c>
    </row>
    <row r="4463" spans="1:5">
      <c r="A4463" s="61" t="s">
        <v>79</v>
      </c>
      <c r="B4463" s="61" t="s">
        <v>380</v>
      </c>
      <c r="C4463" s="62">
        <v>44795</v>
      </c>
      <c r="D4463" s="62">
        <v>44795</v>
      </c>
      <c r="E4463" s="63">
        <v>0</v>
      </c>
    </row>
    <row r="4464" spans="1:5">
      <c r="A4464" s="61" t="s">
        <v>79</v>
      </c>
      <c r="B4464" s="61" t="s">
        <v>380</v>
      </c>
      <c r="C4464" s="62">
        <v>44796</v>
      </c>
      <c r="D4464" s="62">
        <v>44796</v>
      </c>
      <c r="E4464" s="63">
        <v>0</v>
      </c>
    </row>
    <row r="4465" spans="1:5">
      <c r="A4465" s="61" t="s">
        <v>79</v>
      </c>
      <c r="B4465" s="61" t="s">
        <v>380</v>
      </c>
      <c r="C4465" s="62">
        <v>44797</v>
      </c>
      <c r="D4465" s="62">
        <v>44797</v>
      </c>
      <c r="E4465" s="63">
        <v>0</v>
      </c>
    </row>
    <row r="4466" spans="1:5">
      <c r="A4466" s="61" t="s">
        <v>79</v>
      </c>
      <c r="B4466" s="61" t="s">
        <v>380</v>
      </c>
      <c r="C4466" s="62">
        <v>44798</v>
      </c>
      <c r="D4466" s="62">
        <v>44798</v>
      </c>
      <c r="E4466" s="63">
        <v>0</v>
      </c>
    </row>
    <row r="4467" spans="1:5">
      <c r="A4467" s="61" t="s">
        <v>79</v>
      </c>
      <c r="B4467" s="61" t="s">
        <v>380</v>
      </c>
      <c r="C4467" s="62">
        <v>44799</v>
      </c>
      <c r="D4467" s="62">
        <v>44799</v>
      </c>
      <c r="E4467" s="63">
        <v>0</v>
      </c>
    </row>
    <row r="4468" spans="1:5">
      <c r="A4468" s="61" t="s">
        <v>79</v>
      </c>
      <c r="B4468" s="61" t="s">
        <v>380</v>
      </c>
      <c r="C4468" s="62">
        <v>44800</v>
      </c>
      <c r="D4468" s="62">
        <v>44800</v>
      </c>
      <c r="E4468" s="63">
        <v>0</v>
      </c>
    </row>
    <row r="4469" spans="1:5">
      <c r="A4469" s="61" t="s">
        <v>79</v>
      </c>
      <c r="B4469" s="61" t="s">
        <v>380</v>
      </c>
      <c r="C4469" s="62">
        <v>44801</v>
      </c>
      <c r="D4469" s="62">
        <v>44801</v>
      </c>
      <c r="E4469" s="63">
        <v>0</v>
      </c>
    </row>
    <row r="4470" spans="1:5">
      <c r="A4470" s="61" t="s">
        <v>79</v>
      </c>
      <c r="B4470" s="61" t="s">
        <v>380</v>
      </c>
      <c r="C4470" s="62">
        <v>44802</v>
      </c>
      <c r="D4470" s="62">
        <v>44802</v>
      </c>
      <c r="E4470" s="63">
        <v>225.62</v>
      </c>
    </row>
    <row r="4471" spans="1:5">
      <c r="A4471" s="61" t="s">
        <v>79</v>
      </c>
      <c r="B4471" s="61" t="s">
        <v>380</v>
      </c>
      <c r="C4471" s="62">
        <v>44803</v>
      </c>
      <c r="D4471" s="62">
        <v>44803</v>
      </c>
      <c r="E4471" s="63">
        <v>0</v>
      </c>
    </row>
    <row r="4472" spans="1:5">
      <c r="A4472" s="61" t="s">
        <v>217</v>
      </c>
      <c r="B4472" s="61" t="s">
        <v>381</v>
      </c>
      <c r="C4472" s="62">
        <v>44774</v>
      </c>
      <c r="D4472" s="62">
        <v>44774</v>
      </c>
      <c r="E4472" s="63">
        <v>0</v>
      </c>
    </row>
    <row r="4473" spans="1:5">
      <c r="A4473" s="61" t="s">
        <v>217</v>
      </c>
      <c r="B4473" s="61" t="s">
        <v>381</v>
      </c>
      <c r="C4473" s="62">
        <v>44775</v>
      </c>
      <c r="D4473" s="62">
        <v>44775</v>
      </c>
      <c r="E4473" s="63">
        <v>0</v>
      </c>
    </row>
    <row r="4474" spans="1:5">
      <c r="A4474" s="61" t="s">
        <v>217</v>
      </c>
      <c r="B4474" s="61" t="s">
        <v>381</v>
      </c>
      <c r="C4474" s="62">
        <v>44776</v>
      </c>
      <c r="D4474" s="62">
        <v>44776</v>
      </c>
      <c r="E4474" s="63">
        <v>0</v>
      </c>
    </row>
    <row r="4475" spans="1:5">
      <c r="A4475" s="61" t="s">
        <v>217</v>
      </c>
      <c r="B4475" s="61" t="s">
        <v>381</v>
      </c>
      <c r="C4475" s="62">
        <v>44777</v>
      </c>
      <c r="D4475" s="62">
        <v>44777</v>
      </c>
      <c r="E4475" s="63">
        <v>0</v>
      </c>
    </row>
    <row r="4476" spans="1:5">
      <c r="A4476" s="61" t="s">
        <v>217</v>
      </c>
      <c r="B4476" s="61" t="s">
        <v>381</v>
      </c>
      <c r="C4476" s="62">
        <v>44778</v>
      </c>
      <c r="D4476" s="62">
        <v>44778</v>
      </c>
      <c r="E4476" s="63">
        <v>0</v>
      </c>
    </row>
    <row r="4477" spans="1:5">
      <c r="A4477" s="61" t="s">
        <v>217</v>
      </c>
      <c r="B4477" s="61" t="s">
        <v>381</v>
      </c>
      <c r="C4477" s="62">
        <v>44779</v>
      </c>
      <c r="D4477" s="62">
        <v>44779</v>
      </c>
      <c r="E4477" s="63">
        <v>0</v>
      </c>
    </row>
    <row r="4478" spans="1:5">
      <c r="A4478" s="61" t="s">
        <v>217</v>
      </c>
      <c r="B4478" s="61" t="s">
        <v>381</v>
      </c>
      <c r="C4478" s="62">
        <v>44780</v>
      </c>
      <c r="D4478" s="62">
        <v>44780</v>
      </c>
      <c r="E4478" s="63">
        <v>0</v>
      </c>
    </row>
    <row r="4479" spans="1:5">
      <c r="A4479" s="61" t="s">
        <v>217</v>
      </c>
      <c r="B4479" s="61" t="s">
        <v>381</v>
      </c>
      <c r="C4479" s="62">
        <v>44781</v>
      </c>
      <c r="D4479" s="62">
        <v>44781</v>
      </c>
      <c r="E4479" s="63">
        <v>201.88</v>
      </c>
    </row>
    <row r="4480" spans="1:5">
      <c r="A4480" s="61" t="s">
        <v>217</v>
      </c>
      <c r="B4480" s="61" t="s">
        <v>381</v>
      </c>
      <c r="C4480" s="62">
        <v>44782</v>
      </c>
      <c r="D4480" s="62">
        <v>44782</v>
      </c>
      <c r="E4480" s="63">
        <v>65.349999999999994</v>
      </c>
    </row>
    <row r="4481" spans="1:5">
      <c r="A4481" s="61" t="s">
        <v>217</v>
      </c>
      <c r="B4481" s="61" t="s">
        <v>381</v>
      </c>
      <c r="C4481" s="62">
        <v>44783</v>
      </c>
      <c r="D4481" s="62">
        <v>44783</v>
      </c>
      <c r="E4481" s="63">
        <v>0</v>
      </c>
    </row>
    <row r="4482" spans="1:5">
      <c r="A4482" s="61" t="s">
        <v>217</v>
      </c>
      <c r="B4482" s="61" t="s">
        <v>381</v>
      </c>
      <c r="C4482" s="62">
        <v>44784</v>
      </c>
      <c r="D4482" s="62">
        <v>44784</v>
      </c>
      <c r="E4482" s="63">
        <v>0</v>
      </c>
    </row>
    <row r="4483" spans="1:5">
      <c r="A4483" s="61" t="s">
        <v>217</v>
      </c>
      <c r="B4483" s="61" t="s">
        <v>381</v>
      </c>
      <c r="C4483" s="62">
        <v>44785</v>
      </c>
      <c r="D4483" s="62">
        <v>44785</v>
      </c>
      <c r="E4483" s="63">
        <v>0</v>
      </c>
    </row>
    <row r="4484" spans="1:5">
      <c r="A4484" s="61" t="s">
        <v>217</v>
      </c>
      <c r="B4484" s="61" t="s">
        <v>381</v>
      </c>
      <c r="C4484" s="62">
        <v>44786</v>
      </c>
      <c r="D4484" s="62">
        <v>44786</v>
      </c>
      <c r="E4484" s="63">
        <v>0</v>
      </c>
    </row>
    <row r="4485" spans="1:5">
      <c r="A4485" s="61" t="s">
        <v>217</v>
      </c>
      <c r="B4485" s="61" t="s">
        <v>381</v>
      </c>
      <c r="C4485" s="62">
        <v>44787</v>
      </c>
      <c r="D4485" s="62">
        <v>44787</v>
      </c>
      <c r="E4485" s="63">
        <v>0</v>
      </c>
    </row>
    <row r="4486" spans="1:5">
      <c r="A4486" s="61" t="s">
        <v>217</v>
      </c>
      <c r="B4486" s="61" t="s">
        <v>381</v>
      </c>
      <c r="C4486" s="62">
        <v>44788</v>
      </c>
      <c r="D4486" s="62">
        <v>44788</v>
      </c>
      <c r="E4486" s="63">
        <v>0</v>
      </c>
    </row>
    <row r="4487" spans="1:5">
      <c r="A4487" s="61" t="s">
        <v>217</v>
      </c>
      <c r="B4487" s="61" t="s">
        <v>381</v>
      </c>
      <c r="C4487" s="62">
        <v>44789</v>
      </c>
      <c r="D4487" s="62">
        <v>44789</v>
      </c>
      <c r="E4487" s="63">
        <v>0</v>
      </c>
    </row>
    <row r="4488" spans="1:5">
      <c r="A4488" s="61" t="s">
        <v>217</v>
      </c>
      <c r="B4488" s="61" t="s">
        <v>381</v>
      </c>
      <c r="C4488" s="62">
        <v>44790</v>
      </c>
      <c r="D4488" s="62">
        <v>44790</v>
      </c>
      <c r="E4488" s="63">
        <v>0</v>
      </c>
    </row>
    <row r="4489" spans="1:5">
      <c r="A4489" s="61" t="s">
        <v>217</v>
      </c>
      <c r="B4489" s="61" t="s">
        <v>381</v>
      </c>
      <c r="C4489" s="62">
        <v>44791</v>
      </c>
      <c r="D4489" s="62">
        <v>44791</v>
      </c>
      <c r="E4489" s="63">
        <v>0</v>
      </c>
    </row>
    <row r="4490" spans="1:5">
      <c r="A4490" s="61" t="s">
        <v>217</v>
      </c>
      <c r="B4490" s="61" t="s">
        <v>381</v>
      </c>
      <c r="C4490" s="62">
        <v>44792</v>
      </c>
      <c r="D4490" s="62">
        <v>44792</v>
      </c>
      <c r="E4490" s="63">
        <v>0</v>
      </c>
    </row>
    <row r="4491" spans="1:5">
      <c r="A4491" s="61" t="s">
        <v>217</v>
      </c>
      <c r="B4491" s="61" t="s">
        <v>381</v>
      </c>
      <c r="C4491" s="62">
        <v>44793</v>
      </c>
      <c r="D4491" s="62">
        <v>44793</v>
      </c>
      <c r="E4491" s="63">
        <v>0</v>
      </c>
    </row>
    <row r="4492" spans="1:5">
      <c r="A4492" s="61" t="s">
        <v>217</v>
      </c>
      <c r="B4492" s="61" t="s">
        <v>381</v>
      </c>
      <c r="C4492" s="62">
        <v>44794</v>
      </c>
      <c r="D4492" s="62">
        <v>44794</v>
      </c>
      <c r="E4492" s="63">
        <v>0</v>
      </c>
    </row>
    <row r="4493" spans="1:5">
      <c r="A4493" s="61" t="s">
        <v>217</v>
      </c>
      <c r="B4493" s="61" t="s">
        <v>381</v>
      </c>
      <c r="C4493" s="62">
        <v>44795</v>
      </c>
      <c r="D4493" s="62">
        <v>44795</v>
      </c>
      <c r="E4493" s="63">
        <v>179.74</v>
      </c>
    </row>
    <row r="4494" spans="1:5">
      <c r="A4494" s="61" t="s">
        <v>217</v>
      </c>
      <c r="B4494" s="61" t="s">
        <v>381</v>
      </c>
      <c r="C4494" s="62">
        <v>44796</v>
      </c>
      <c r="D4494" s="62">
        <v>44796</v>
      </c>
      <c r="E4494" s="63">
        <v>116.24</v>
      </c>
    </row>
    <row r="4495" spans="1:5">
      <c r="A4495" s="61" t="s">
        <v>217</v>
      </c>
      <c r="B4495" s="61" t="s">
        <v>381</v>
      </c>
      <c r="C4495" s="62">
        <v>44797</v>
      </c>
      <c r="D4495" s="62">
        <v>44797</v>
      </c>
      <c r="E4495" s="63">
        <v>0</v>
      </c>
    </row>
    <row r="4496" spans="1:5">
      <c r="A4496" s="61" t="s">
        <v>217</v>
      </c>
      <c r="B4496" s="61" t="s">
        <v>381</v>
      </c>
      <c r="C4496" s="62">
        <v>44798</v>
      </c>
      <c r="D4496" s="62">
        <v>44798</v>
      </c>
      <c r="E4496" s="63">
        <v>0</v>
      </c>
    </row>
    <row r="4497" spans="1:5">
      <c r="A4497" s="61" t="s">
        <v>217</v>
      </c>
      <c r="B4497" s="61" t="s">
        <v>381</v>
      </c>
      <c r="C4497" s="62">
        <v>44799</v>
      </c>
      <c r="D4497" s="62">
        <v>44799</v>
      </c>
      <c r="E4497" s="63">
        <v>0</v>
      </c>
    </row>
    <row r="4498" spans="1:5">
      <c r="A4498" s="61" t="s">
        <v>217</v>
      </c>
      <c r="B4498" s="61" t="s">
        <v>381</v>
      </c>
      <c r="C4498" s="62">
        <v>44800</v>
      </c>
      <c r="D4498" s="62">
        <v>44800</v>
      </c>
      <c r="E4498" s="63">
        <v>0</v>
      </c>
    </row>
    <row r="4499" spans="1:5">
      <c r="A4499" s="61" t="s">
        <v>217</v>
      </c>
      <c r="B4499" s="61" t="s">
        <v>381</v>
      </c>
      <c r="C4499" s="62">
        <v>44801</v>
      </c>
      <c r="D4499" s="62">
        <v>44801</v>
      </c>
      <c r="E4499" s="63">
        <v>0</v>
      </c>
    </row>
    <row r="4500" spans="1:5">
      <c r="A4500" s="61" t="s">
        <v>217</v>
      </c>
      <c r="B4500" s="61" t="s">
        <v>381</v>
      </c>
      <c r="C4500" s="62">
        <v>44802</v>
      </c>
      <c r="D4500" s="62">
        <v>44802</v>
      </c>
      <c r="E4500" s="63">
        <v>0</v>
      </c>
    </row>
    <row r="4501" spans="1:5">
      <c r="A4501" s="61" t="s">
        <v>217</v>
      </c>
      <c r="B4501" s="61" t="s">
        <v>381</v>
      </c>
      <c r="C4501" s="62">
        <v>44803</v>
      </c>
      <c r="D4501" s="62">
        <v>44803</v>
      </c>
      <c r="E4501" s="63">
        <v>0</v>
      </c>
    </row>
    <row r="4502" spans="1:5">
      <c r="A4502" s="61" t="s">
        <v>218</v>
      </c>
      <c r="B4502" s="61" t="s">
        <v>382</v>
      </c>
      <c r="C4502" s="62">
        <v>44774</v>
      </c>
      <c r="D4502" s="62">
        <v>44774</v>
      </c>
      <c r="E4502" s="63">
        <v>0</v>
      </c>
    </row>
    <row r="4503" spans="1:5">
      <c r="A4503" s="61" t="s">
        <v>218</v>
      </c>
      <c r="B4503" s="61" t="s">
        <v>382</v>
      </c>
      <c r="C4503" s="62">
        <v>44775</v>
      </c>
      <c r="D4503" s="62">
        <v>44775</v>
      </c>
      <c r="E4503" s="63">
        <v>0</v>
      </c>
    </row>
    <row r="4504" spans="1:5">
      <c r="A4504" s="61" t="s">
        <v>218</v>
      </c>
      <c r="B4504" s="61" t="s">
        <v>382</v>
      </c>
      <c r="C4504" s="62">
        <v>44776</v>
      </c>
      <c r="D4504" s="62">
        <v>44776</v>
      </c>
      <c r="E4504" s="63">
        <v>0</v>
      </c>
    </row>
    <row r="4505" spans="1:5">
      <c r="A4505" s="61" t="s">
        <v>218</v>
      </c>
      <c r="B4505" s="61" t="s">
        <v>382</v>
      </c>
      <c r="C4505" s="62">
        <v>44777</v>
      </c>
      <c r="D4505" s="62">
        <v>44777</v>
      </c>
      <c r="E4505" s="63">
        <v>0</v>
      </c>
    </row>
    <row r="4506" spans="1:5">
      <c r="A4506" s="61" t="s">
        <v>218</v>
      </c>
      <c r="B4506" s="61" t="s">
        <v>382</v>
      </c>
      <c r="C4506" s="62">
        <v>44778</v>
      </c>
      <c r="D4506" s="62">
        <v>44778</v>
      </c>
      <c r="E4506" s="63">
        <v>0</v>
      </c>
    </row>
    <row r="4507" spans="1:5">
      <c r="A4507" s="61" t="s">
        <v>218</v>
      </c>
      <c r="B4507" s="61" t="s">
        <v>382</v>
      </c>
      <c r="C4507" s="62">
        <v>44779</v>
      </c>
      <c r="D4507" s="62">
        <v>44779</v>
      </c>
      <c r="E4507" s="63">
        <v>0</v>
      </c>
    </row>
    <row r="4508" spans="1:5">
      <c r="A4508" s="61" t="s">
        <v>218</v>
      </c>
      <c r="B4508" s="61" t="s">
        <v>382</v>
      </c>
      <c r="C4508" s="62">
        <v>44780</v>
      </c>
      <c r="D4508" s="62">
        <v>44780</v>
      </c>
      <c r="E4508" s="63">
        <v>0</v>
      </c>
    </row>
    <row r="4509" spans="1:5">
      <c r="A4509" s="61" t="s">
        <v>218</v>
      </c>
      <c r="B4509" s="61" t="s">
        <v>382</v>
      </c>
      <c r="C4509" s="62">
        <v>44781</v>
      </c>
      <c r="D4509" s="62">
        <v>44781</v>
      </c>
      <c r="E4509" s="63">
        <v>0</v>
      </c>
    </row>
    <row r="4510" spans="1:5">
      <c r="A4510" s="61" t="s">
        <v>218</v>
      </c>
      <c r="B4510" s="61" t="s">
        <v>382</v>
      </c>
      <c r="C4510" s="62">
        <v>44782</v>
      </c>
      <c r="D4510" s="62">
        <v>44782</v>
      </c>
      <c r="E4510" s="63">
        <v>0</v>
      </c>
    </row>
    <row r="4511" spans="1:5">
      <c r="A4511" s="61" t="s">
        <v>218</v>
      </c>
      <c r="B4511" s="61" t="s">
        <v>382</v>
      </c>
      <c r="C4511" s="62">
        <v>44783</v>
      </c>
      <c r="D4511" s="62">
        <v>44783</v>
      </c>
      <c r="E4511" s="63">
        <v>0</v>
      </c>
    </row>
    <row r="4512" spans="1:5">
      <c r="A4512" s="61" t="s">
        <v>218</v>
      </c>
      <c r="B4512" s="61" t="s">
        <v>382</v>
      </c>
      <c r="C4512" s="62">
        <v>44784</v>
      </c>
      <c r="D4512" s="62">
        <v>44784</v>
      </c>
      <c r="E4512" s="63">
        <v>0</v>
      </c>
    </row>
    <row r="4513" spans="1:5">
      <c r="A4513" s="61" t="s">
        <v>218</v>
      </c>
      <c r="B4513" s="61" t="s">
        <v>382</v>
      </c>
      <c r="C4513" s="62">
        <v>44785</v>
      </c>
      <c r="D4513" s="62">
        <v>44785</v>
      </c>
      <c r="E4513" s="63">
        <v>0</v>
      </c>
    </row>
    <row r="4514" spans="1:5">
      <c r="A4514" s="61" t="s">
        <v>218</v>
      </c>
      <c r="B4514" s="61" t="s">
        <v>382</v>
      </c>
      <c r="C4514" s="62">
        <v>44786</v>
      </c>
      <c r="D4514" s="62">
        <v>44786</v>
      </c>
      <c r="E4514" s="63">
        <v>0</v>
      </c>
    </row>
    <row r="4515" spans="1:5">
      <c r="A4515" s="61" t="s">
        <v>218</v>
      </c>
      <c r="B4515" s="61" t="s">
        <v>382</v>
      </c>
      <c r="C4515" s="62">
        <v>44787</v>
      </c>
      <c r="D4515" s="62">
        <v>44787</v>
      </c>
      <c r="E4515" s="63">
        <v>0</v>
      </c>
    </row>
    <row r="4516" spans="1:5">
      <c r="A4516" s="61" t="s">
        <v>218</v>
      </c>
      <c r="B4516" s="61" t="s">
        <v>382</v>
      </c>
      <c r="C4516" s="62">
        <v>44788</v>
      </c>
      <c r="D4516" s="62">
        <v>44788</v>
      </c>
      <c r="E4516" s="63">
        <v>0</v>
      </c>
    </row>
    <row r="4517" spans="1:5">
      <c r="A4517" s="61" t="s">
        <v>218</v>
      </c>
      <c r="B4517" s="61" t="s">
        <v>382</v>
      </c>
      <c r="C4517" s="62">
        <v>44789</v>
      </c>
      <c r="D4517" s="62">
        <v>44789</v>
      </c>
      <c r="E4517" s="63">
        <v>0</v>
      </c>
    </row>
    <row r="4518" spans="1:5">
      <c r="A4518" s="61" t="s">
        <v>218</v>
      </c>
      <c r="B4518" s="61" t="s">
        <v>382</v>
      </c>
      <c r="C4518" s="62">
        <v>44790</v>
      </c>
      <c r="D4518" s="62">
        <v>44790</v>
      </c>
      <c r="E4518" s="63">
        <v>0</v>
      </c>
    </row>
    <row r="4519" spans="1:5">
      <c r="A4519" s="61" t="s">
        <v>218</v>
      </c>
      <c r="B4519" s="61" t="s">
        <v>382</v>
      </c>
      <c r="C4519" s="62">
        <v>44791</v>
      </c>
      <c r="D4519" s="62">
        <v>44791</v>
      </c>
      <c r="E4519" s="63">
        <v>0</v>
      </c>
    </row>
    <row r="4520" spans="1:5">
      <c r="A4520" s="61" t="s">
        <v>218</v>
      </c>
      <c r="B4520" s="61" t="s">
        <v>382</v>
      </c>
      <c r="C4520" s="62">
        <v>44792</v>
      </c>
      <c r="D4520" s="62">
        <v>44792</v>
      </c>
      <c r="E4520" s="63">
        <v>0</v>
      </c>
    </row>
    <row r="4521" spans="1:5">
      <c r="A4521" s="61" t="s">
        <v>218</v>
      </c>
      <c r="B4521" s="61" t="s">
        <v>382</v>
      </c>
      <c r="C4521" s="62">
        <v>44793</v>
      </c>
      <c r="D4521" s="62">
        <v>44793</v>
      </c>
      <c r="E4521" s="63">
        <v>0</v>
      </c>
    </row>
    <row r="4522" spans="1:5">
      <c r="A4522" s="61" t="s">
        <v>218</v>
      </c>
      <c r="B4522" s="61" t="s">
        <v>382</v>
      </c>
      <c r="C4522" s="62">
        <v>44794</v>
      </c>
      <c r="D4522" s="62">
        <v>44794</v>
      </c>
      <c r="E4522" s="63">
        <v>0</v>
      </c>
    </row>
    <row r="4523" spans="1:5">
      <c r="A4523" s="61" t="s">
        <v>218</v>
      </c>
      <c r="B4523" s="61" t="s">
        <v>382</v>
      </c>
      <c r="C4523" s="62">
        <v>44795</v>
      </c>
      <c r="D4523" s="62">
        <v>44795</v>
      </c>
      <c r="E4523" s="63">
        <v>0</v>
      </c>
    </row>
    <row r="4524" spans="1:5">
      <c r="A4524" s="61" t="s">
        <v>218</v>
      </c>
      <c r="B4524" s="61" t="s">
        <v>382</v>
      </c>
      <c r="C4524" s="62">
        <v>44796</v>
      </c>
      <c r="D4524" s="62">
        <v>44796</v>
      </c>
      <c r="E4524" s="63">
        <v>0</v>
      </c>
    </row>
    <row r="4525" spans="1:5">
      <c r="A4525" s="61" t="s">
        <v>218</v>
      </c>
      <c r="B4525" s="61" t="s">
        <v>382</v>
      </c>
      <c r="C4525" s="62">
        <v>44797</v>
      </c>
      <c r="D4525" s="62">
        <v>44797</v>
      </c>
      <c r="E4525" s="63">
        <v>0</v>
      </c>
    </row>
    <row r="4526" spans="1:5">
      <c r="A4526" s="61" t="s">
        <v>218</v>
      </c>
      <c r="B4526" s="61" t="s">
        <v>382</v>
      </c>
      <c r="C4526" s="62">
        <v>44798</v>
      </c>
      <c r="D4526" s="62">
        <v>44798</v>
      </c>
      <c r="E4526" s="63">
        <v>0</v>
      </c>
    </row>
    <row r="4527" spans="1:5">
      <c r="A4527" s="61" t="s">
        <v>218</v>
      </c>
      <c r="B4527" s="61" t="s">
        <v>382</v>
      </c>
      <c r="C4527" s="62">
        <v>44799</v>
      </c>
      <c r="D4527" s="62">
        <v>44799</v>
      </c>
      <c r="E4527" s="63">
        <v>0</v>
      </c>
    </row>
    <row r="4528" spans="1:5">
      <c r="A4528" s="61" t="s">
        <v>218</v>
      </c>
      <c r="B4528" s="61" t="s">
        <v>382</v>
      </c>
      <c r="C4528" s="62">
        <v>44800</v>
      </c>
      <c r="D4528" s="62">
        <v>44800</v>
      </c>
      <c r="E4528" s="63">
        <v>0</v>
      </c>
    </row>
    <row r="4529" spans="1:5">
      <c r="A4529" s="61" t="s">
        <v>218</v>
      </c>
      <c r="B4529" s="61" t="s">
        <v>382</v>
      </c>
      <c r="C4529" s="62">
        <v>44801</v>
      </c>
      <c r="D4529" s="62">
        <v>44801</v>
      </c>
      <c r="E4529" s="63">
        <v>0</v>
      </c>
    </row>
    <row r="4530" spans="1:5">
      <c r="A4530" s="61" t="s">
        <v>218</v>
      </c>
      <c r="B4530" s="61" t="s">
        <v>382</v>
      </c>
      <c r="C4530" s="62">
        <v>44802</v>
      </c>
      <c r="D4530" s="62">
        <v>44802</v>
      </c>
      <c r="E4530" s="63">
        <v>0</v>
      </c>
    </row>
    <row r="4531" spans="1:5">
      <c r="A4531" s="61" t="s">
        <v>218</v>
      </c>
      <c r="B4531" s="61" t="s">
        <v>382</v>
      </c>
      <c r="C4531" s="62">
        <v>44803</v>
      </c>
      <c r="D4531" s="62">
        <v>44803</v>
      </c>
      <c r="E4531" s="63">
        <v>0</v>
      </c>
    </row>
    <row r="4532" spans="1:5">
      <c r="A4532" s="61" t="s">
        <v>219</v>
      </c>
      <c r="B4532" s="61" t="s">
        <v>383</v>
      </c>
      <c r="C4532" s="62">
        <v>44774</v>
      </c>
      <c r="D4532" s="62">
        <v>44774</v>
      </c>
      <c r="E4532" s="63">
        <v>0</v>
      </c>
    </row>
    <row r="4533" spans="1:5">
      <c r="A4533" s="61" t="s">
        <v>219</v>
      </c>
      <c r="B4533" s="61" t="s">
        <v>383</v>
      </c>
      <c r="C4533" s="62">
        <v>44775</v>
      </c>
      <c r="D4533" s="62">
        <v>44775</v>
      </c>
      <c r="E4533" s="63">
        <v>0</v>
      </c>
    </row>
    <row r="4534" spans="1:5">
      <c r="A4534" s="61" t="s">
        <v>219</v>
      </c>
      <c r="B4534" s="61" t="s">
        <v>383</v>
      </c>
      <c r="C4534" s="62">
        <v>44776</v>
      </c>
      <c r="D4534" s="62">
        <v>44776</v>
      </c>
      <c r="E4534" s="63">
        <v>0</v>
      </c>
    </row>
    <row r="4535" spans="1:5">
      <c r="A4535" s="61" t="s">
        <v>219</v>
      </c>
      <c r="B4535" s="61" t="s">
        <v>383</v>
      </c>
      <c r="C4535" s="62">
        <v>44777</v>
      </c>
      <c r="D4535" s="62">
        <v>44777</v>
      </c>
      <c r="E4535" s="63">
        <v>0</v>
      </c>
    </row>
    <row r="4536" spans="1:5">
      <c r="A4536" s="61" t="s">
        <v>219</v>
      </c>
      <c r="B4536" s="61" t="s">
        <v>383</v>
      </c>
      <c r="C4536" s="62">
        <v>44778</v>
      </c>
      <c r="D4536" s="62">
        <v>44778</v>
      </c>
      <c r="E4536" s="63">
        <v>0</v>
      </c>
    </row>
    <row r="4537" spans="1:5">
      <c r="A4537" s="61" t="s">
        <v>219</v>
      </c>
      <c r="B4537" s="61" t="s">
        <v>383</v>
      </c>
      <c r="C4537" s="62">
        <v>44779</v>
      </c>
      <c r="D4537" s="62">
        <v>44779</v>
      </c>
      <c r="E4537" s="63">
        <v>0</v>
      </c>
    </row>
    <row r="4538" spans="1:5">
      <c r="A4538" s="61" t="s">
        <v>219</v>
      </c>
      <c r="B4538" s="61" t="s">
        <v>383</v>
      </c>
      <c r="C4538" s="62">
        <v>44780</v>
      </c>
      <c r="D4538" s="62">
        <v>44780</v>
      </c>
      <c r="E4538" s="63">
        <v>0</v>
      </c>
    </row>
    <row r="4539" spans="1:5">
      <c r="A4539" s="61" t="s">
        <v>219</v>
      </c>
      <c r="B4539" s="61" t="s">
        <v>383</v>
      </c>
      <c r="C4539" s="62">
        <v>44781</v>
      </c>
      <c r="D4539" s="62">
        <v>44781</v>
      </c>
      <c r="E4539" s="63">
        <v>0</v>
      </c>
    </row>
    <row r="4540" spans="1:5">
      <c r="A4540" s="61" t="s">
        <v>219</v>
      </c>
      <c r="B4540" s="61" t="s">
        <v>383</v>
      </c>
      <c r="C4540" s="62">
        <v>44782</v>
      </c>
      <c r="D4540" s="62">
        <v>44782</v>
      </c>
      <c r="E4540" s="63">
        <v>0</v>
      </c>
    </row>
    <row r="4541" spans="1:5">
      <c r="A4541" s="61" t="s">
        <v>219</v>
      </c>
      <c r="B4541" s="61" t="s">
        <v>383</v>
      </c>
      <c r="C4541" s="62">
        <v>44783</v>
      </c>
      <c r="D4541" s="62">
        <v>44783</v>
      </c>
      <c r="E4541" s="63">
        <v>0</v>
      </c>
    </row>
    <row r="4542" spans="1:5">
      <c r="A4542" s="61" t="s">
        <v>219</v>
      </c>
      <c r="B4542" s="61" t="s">
        <v>383</v>
      </c>
      <c r="C4542" s="62">
        <v>44784</v>
      </c>
      <c r="D4542" s="62">
        <v>44784</v>
      </c>
      <c r="E4542" s="63">
        <v>0</v>
      </c>
    </row>
    <row r="4543" spans="1:5">
      <c r="A4543" s="61" t="s">
        <v>219</v>
      </c>
      <c r="B4543" s="61" t="s">
        <v>383</v>
      </c>
      <c r="C4543" s="62">
        <v>44785</v>
      </c>
      <c r="D4543" s="62">
        <v>44785</v>
      </c>
      <c r="E4543" s="63">
        <v>0</v>
      </c>
    </row>
    <row r="4544" spans="1:5">
      <c r="A4544" s="61" t="s">
        <v>219</v>
      </c>
      <c r="B4544" s="61" t="s">
        <v>383</v>
      </c>
      <c r="C4544" s="62">
        <v>44786</v>
      </c>
      <c r="D4544" s="62">
        <v>44786</v>
      </c>
      <c r="E4544" s="63">
        <v>0</v>
      </c>
    </row>
    <row r="4545" spans="1:5">
      <c r="A4545" s="61" t="s">
        <v>219</v>
      </c>
      <c r="B4545" s="61" t="s">
        <v>383</v>
      </c>
      <c r="C4545" s="62">
        <v>44787</v>
      </c>
      <c r="D4545" s="62">
        <v>44787</v>
      </c>
      <c r="E4545" s="63">
        <v>0</v>
      </c>
    </row>
    <row r="4546" spans="1:5">
      <c r="A4546" s="61" t="s">
        <v>219</v>
      </c>
      <c r="B4546" s="61" t="s">
        <v>383</v>
      </c>
      <c r="C4546" s="62">
        <v>44788</v>
      </c>
      <c r="D4546" s="62">
        <v>44788</v>
      </c>
      <c r="E4546" s="63">
        <v>0</v>
      </c>
    </row>
    <row r="4547" spans="1:5">
      <c r="A4547" s="61" t="s">
        <v>219</v>
      </c>
      <c r="B4547" s="61" t="s">
        <v>383</v>
      </c>
      <c r="C4547" s="62">
        <v>44789</v>
      </c>
      <c r="D4547" s="62">
        <v>44789</v>
      </c>
      <c r="E4547" s="63">
        <v>0</v>
      </c>
    </row>
    <row r="4548" spans="1:5">
      <c r="A4548" s="61" t="s">
        <v>219</v>
      </c>
      <c r="B4548" s="61" t="s">
        <v>383</v>
      </c>
      <c r="C4548" s="62">
        <v>44790</v>
      </c>
      <c r="D4548" s="62">
        <v>44790</v>
      </c>
      <c r="E4548" s="63">
        <v>0</v>
      </c>
    </row>
    <row r="4549" spans="1:5">
      <c r="A4549" s="61" t="s">
        <v>219</v>
      </c>
      <c r="B4549" s="61" t="s">
        <v>383</v>
      </c>
      <c r="C4549" s="62">
        <v>44791</v>
      </c>
      <c r="D4549" s="62">
        <v>44791</v>
      </c>
      <c r="E4549" s="63">
        <v>0</v>
      </c>
    </row>
    <row r="4550" spans="1:5">
      <c r="A4550" s="61" t="s">
        <v>219</v>
      </c>
      <c r="B4550" s="61" t="s">
        <v>383</v>
      </c>
      <c r="C4550" s="62">
        <v>44792</v>
      </c>
      <c r="D4550" s="62">
        <v>44792</v>
      </c>
      <c r="E4550" s="63">
        <v>0</v>
      </c>
    </row>
    <row r="4551" spans="1:5">
      <c r="A4551" s="61" t="s">
        <v>219</v>
      </c>
      <c r="B4551" s="61" t="s">
        <v>383</v>
      </c>
      <c r="C4551" s="62">
        <v>44793</v>
      </c>
      <c r="D4551" s="62">
        <v>44793</v>
      </c>
      <c r="E4551" s="63">
        <v>0</v>
      </c>
    </row>
    <row r="4552" spans="1:5">
      <c r="A4552" s="61" t="s">
        <v>219</v>
      </c>
      <c r="B4552" s="61" t="s">
        <v>383</v>
      </c>
      <c r="C4552" s="62">
        <v>44794</v>
      </c>
      <c r="D4552" s="62">
        <v>44794</v>
      </c>
      <c r="E4552" s="63">
        <v>0</v>
      </c>
    </row>
    <row r="4553" spans="1:5">
      <c r="A4553" s="61" t="s">
        <v>219</v>
      </c>
      <c r="B4553" s="61" t="s">
        <v>383</v>
      </c>
      <c r="C4553" s="62">
        <v>44795</v>
      </c>
      <c r="D4553" s="62">
        <v>44795</v>
      </c>
      <c r="E4553" s="63">
        <v>0</v>
      </c>
    </row>
    <row r="4554" spans="1:5">
      <c r="A4554" s="61" t="s">
        <v>219</v>
      </c>
      <c r="B4554" s="61" t="s">
        <v>383</v>
      </c>
      <c r="C4554" s="62">
        <v>44796</v>
      </c>
      <c r="D4554" s="62">
        <v>44796</v>
      </c>
      <c r="E4554" s="63">
        <v>0</v>
      </c>
    </row>
    <row r="4555" spans="1:5">
      <c r="A4555" s="61" t="s">
        <v>219</v>
      </c>
      <c r="B4555" s="61" t="s">
        <v>383</v>
      </c>
      <c r="C4555" s="62">
        <v>44797</v>
      </c>
      <c r="D4555" s="62">
        <v>44797</v>
      </c>
      <c r="E4555" s="63">
        <v>0</v>
      </c>
    </row>
    <row r="4556" spans="1:5">
      <c r="A4556" s="61" t="s">
        <v>219</v>
      </c>
      <c r="B4556" s="61" t="s">
        <v>383</v>
      </c>
      <c r="C4556" s="62">
        <v>44798</v>
      </c>
      <c r="D4556" s="62">
        <v>44798</v>
      </c>
      <c r="E4556" s="63">
        <v>0</v>
      </c>
    </row>
    <row r="4557" spans="1:5">
      <c r="A4557" s="61" t="s">
        <v>219</v>
      </c>
      <c r="B4557" s="61" t="s">
        <v>383</v>
      </c>
      <c r="C4557" s="62">
        <v>44799</v>
      </c>
      <c r="D4557" s="62">
        <v>44799</v>
      </c>
      <c r="E4557" s="63">
        <v>0</v>
      </c>
    </row>
    <row r="4558" spans="1:5">
      <c r="A4558" s="61" t="s">
        <v>219</v>
      </c>
      <c r="B4558" s="61" t="s">
        <v>383</v>
      </c>
      <c r="C4558" s="62">
        <v>44800</v>
      </c>
      <c r="D4558" s="62">
        <v>44800</v>
      </c>
      <c r="E4558" s="63">
        <v>0</v>
      </c>
    </row>
    <row r="4559" spans="1:5">
      <c r="A4559" s="61" t="s">
        <v>219</v>
      </c>
      <c r="B4559" s="61" t="s">
        <v>383</v>
      </c>
      <c r="C4559" s="62">
        <v>44801</v>
      </c>
      <c r="D4559" s="62">
        <v>44801</v>
      </c>
      <c r="E4559" s="63">
        <v>0</v>
      </c>
    </row>
    <row r="4560" spans="1:5">
      <c r="A4560" s="61" t="s">
        <v>219</v>
      </c>
      <c r="B4560" s="61" t="s">
        <v>383</v>
      </c>
      <c r="C4560" s="62">
        <v>44802</v>
      </c>
      <c r="D4560" s="62">
        <v>44802</v>
      </c>
      <c r="E4560" s="63">
        <v>0</v>
      </c>
    </row>
    <row r="4561" spans="1:5">
      <c r="A4561" s="61" t="s">
        <v>219</v>
      </c>
      <c r="B4561" s="61" t="s">
        <v>383</v>
      </c>
      <c r="C4561" s="62">
        <v>44803</v>
      </c>
      <c r="D4561" s="62">
        <v>44803</v>
      </c>
      <c r="E4561" s="63">
        <v>0</v>
      </c>
    </row>
    <row r="4562" spans="1:5">
      <c r="A4562" s="61" t="s">
        <v>81</v>
      </c>
      <c r="B4562" s="61" t="s">
        <v>380</v>
      </c>
      <c r="C4562" s="62">
        <v>44774</v>
      </c>
      <c r="D4562" s="62">
        <v>44774</v>
      </c>
      <c r="E4562" s="63">
        <v>0</v>
      </c>
    </row>
    <row r="4563" spans="1:5">
      <c r="A4563" s="61" t="s">
        <v>81</v>
      </c>
      <c r="B4563" s="61" t="s">
        <v>380</v>
      </c>
      <c r="C4563" s="62">
        <v>44775</v>
      </c>
      <c r="D4563" s="62">
        <v>44775</v>
      </c>
      <c r="E4563" s="63">
        <v>0</v>
      </c>
    </row>
    <row r="4564" spans="1:5">
      <c r="A4564" s="61" t="s">
        <v>81</v>
      </c>
      <c r="B4564" s="61" t="s">
        <v>380</v>
      </c>
      <c r="C4564" s="62">
        <v>44776</v>
      </c>
      <c r="D4564" s="62">
        <v>44776</v>
      </c>
      <c r="E4564" s="63">
        <v>0</v>
      </c>
    </row>
    <row r="4565" spans="1:5">
      <c r="A4565" s="61" t="s">
        <v>81</v>
      </c>
      <c r="B4565" s="61" t="s">
        <v>380</v>
      </c>
      <c r="C4565" s="62">
        <v>44777</v>
      </c>
      <c r="D4565" s="62">
        <v>44777</v>
      </c>
      <c r="E4565" s="63">
        <v>0</v>
      </c>
    </row>
    <row r="4566" spans="1:5">
      <c r="A4566" s="61" t="s">
        <v>81</v>
      </c>
      <c r="B4566" s="61" t="s">
        <v>380</v>
      </c>
      <c r="C4566" s="62">
        <v>44778</v>
      </c>
      <c r="D4566" s="62">
        <v>44778</v>
      </c>
      <c r="E4566" s="63">
        <v>0</v>
      </c>
    </row>
    <row r="4567" spans="1:5">
      <c r="A4567" s="61" t="s">
        <v>81</v>
      </c>
      <c r="B4567" s="61" t="s">
        <v>380</v>
      </c>
      <c r="C4567" s="62">
        <v>44779</v>
      </c>
      <c r="D4567" s="62">
        <v>44779</v>
      </c>
      <c r="E4567" s="63">
        <v>0</v>
      </c>
    </row>
    <row r="4568" spans="1:5">
      <c r="A4568" s="61" t="s">
        <v>81</v>
      </c>
      <c r="B4568" s="61" t="s">
        <v>380</v>
      </c>
      <c r="C4568" s="62">
        <v>44780</v>
      </c>
      <c r="D4568" s="62">
        <v>44780</v>
      </c>
      <c r="E4568" s="63">
        <v>0</v>
      </c>
    </row>
    <row r="4569" spans="1:5">
      <c r="A4569" s="61" t="s">
        <v>81</v>
      </c>
      <c r="B4569" s="61" t="s">
        <v>380</v>
      </c>
      <c r="C4569" s="62">
        <v>44781</v>
      </c>
      <c r="D4569" s="62">
        <v>44781</v>
      </c>
      <c r="E4569" s="63">
        <v>0</v>
      </c>
    </row>
    <row r="4570" spans="1:5">
      <c r="A4570" s="61" t="s">
        <v>81</v>
      </c>
      <c r="B4570" s="61" t="s">
        <v>380</v>
      </c>
      <c r="C4570" s="62">
        <v>44782</v>
      </c>
      <c r="D4570" s="62">
        <v>44782</v>
      </c>
      <c r="E4570" s="63">
        <v>0</v>
      </c>
    </row>
    <row r="4571" spans="1:5">
      <c r="A4571" s="61" t="s">
        <v>81</v>
      </c>
      <c r="B4571" s="61" t="s">
        <v>380</v>
      </c>
      <c r="C4571" s="62">
        <v>44783</v>
      </c>
      <c r="D4571" s="62">
        <v>44783</v>
      </c>
      <c r="E4571" s="63">
        <v>0</v>
      </c>
    </row>
    <row r="4572" spans="1:5">
      <c r="A4572" s="61" t="s">
        <v>81</v>
      </c>
      <c r="B4572" s="61" t="s">
        <v>380</v>
      </c>
      <c r="C4572" s="62">
        <v>44784</v>
      </c>
      <c r="D4572" s="62">
        <v>44784</v>
      </c>
      <c r="E4572" s="63">
        <v>0</v>
      </c>
    </row>
    <row r="4573" spans="1:5">
      <c r="A4573" s="61" t="s">
        <v>81</v>
      </c>
      <c r="B4573" s="61" t="s">
        <v>380</v>
      </c>
      <c r="C4573" s="62">
        <v>44785</v>
      </c>
      <c r="D4573" s="62">
        <v>44785</v>
      </c>
      <c r="E4573" s="63">
        <v>0</v>
      </c>
    </row>
    <row r="4574" spans="1:5">
      <c r="A4574" s="61" t="s">
        <v>81</v>
      </c>
      <c r="B4574" s="61" t="s">
        <v>380</v>
      </c>
      <c r="C4574" s="62">
        <v>44786</v>
      </c>
      <c r="D4574" s="62">
        <v>44786</v>
      </c>
      <c r="E4574" s="63">
        <v>0</v>
      </c>
    </row>
    <row r="4575" spans="1:5">
      <c r="A4575" s="61" t="s">
        <v>81</v>
      </c>
      <c r="B4575" s="61" t="s">
        <v>380</v>
      </c>
      <c r="C4575" s="62">
        <v>44787</v>
      </c>
      <c r="D4575" s="62">
        <v>44787</v>
      </c>
      <c r="E4575" s="63">
        <v>0</v>
      </c>
    </row>
    <row r="4576" spans="1:5">
      <c r="A4576" s="61" t="s">
        <v>81</v>
      </c>
      <c r="B4576" s="61" t="s">
        <v>380</v>
      </c>
      <c r="C4576" s="62">
        <v>44788</v>
      </c>
      <c r="D4576" s="62">
        <v>44788</v>
      </c>
      <c r="E4576" s="63">
        <v>0</v>
      </c>
    </row>
    <row r="4577" spans="1:5">
      <c r="A4577" s="61" t="s">
        <v>81</v>
      </c>
      <c r="B4577" s="61" t="s">
        <v>380</v>
      </c>
      <c r="C4577" s="62">
        <v>44789</v>
      </c>
      <c r="D4577" s="62">
        <v>44789</v>
      </c>
      <c r="E4577" s="63">
        <v>0</v>
      </c>
    </row>
    <row r="4578" spans="1:5">
      <c r="A4578" s="61" t="s">
        <v>81</v>
      </c>
      <c r="B4578" s="61" t="s">
        <v>380</v>
      </c>
      <c r="C4578" s="62">
        <v>44790</v>
      </c>
      <c r="D4578" s="62">
        <v>44790</v>
      </c>
      <c r="E4578" s="63">
        <v>0</v>
      </c>
    </row>
    <row r="4579" spans="1:5">
      <c r="A4579" s="61" t="s">
        <v>81</v>
      </c>
      <c r="B4579" s="61" t="s">
        <v>380</v>
      </c>
      <c r="C4579" s="62">
        <v>44791</v>
      </c>
      <c r="D4579" s="62">
        <v>44791</v>
      </c>
      <c r="E4579" s="63">
        <v>0</v>
      </c>
    </row>
    <row r="4580" spans="1:5">
      <c r="A4580" s="61" t="s">
        <v>81</v>
      </c>
      <c r="B4580" s="61" t="s">
        <v>380</v>
      </c>
      <c r="C4580" s="62">
        <v>44792</v>
      </c>
      <c r="D4580" s="62">
        <v>44792</v>
      </c>
      <c r="E4580" s="63">
        <v>0</v>
      </c>
    </row>
    <row r="4581" spans="1:5">
      <c r="A4581" s="61" t="s">
        <v>81</v>
      </c>
      <c r="B4581" s="61" t="s">
        <v>380</v>
      </c>
      <c r="C4581" s="62">
        <v>44793</v>
      </c>
      <c r="D4581" s="62">
        <v>44793</v>
      </c>
      <c r="E4581" s="63">
        <v>0</v>
      </c>
    </row>
    <row r="4582" spans="1:5">
      <c r="A4582" s="61" t="s">
        <v>81</v>
      </c>
      <c r="B4582" s="61" t="s">
        <v>380</v>
      </c>
      <c r="C4582" s="62">
        <v>44794</v>
      </c>
      <c r="D4582" s="62">
        <v>44794</v>
      </c>
      <c r="E4582" s="63">
        <v>0</v>
      </c>
    </row>
    <row r="4583" spans="1:5">
      <c r="A4583" s="61" t="s">
        <v>81</v>
      </c>
      <c r="B4583" s="61" t="s">
        <v>380</v>
      </c>
      <c r="C4583" s="62">
        <v>44795</v>
      </c>
      <c r="D4583" s="62">
        <v>44795</v>
      </c>
      <c r="E4583" s="63">
        <v>0</v>
      </c>
    </row>
    <row r="4584" spans="1:5">
      <c r="A4584" s="61" t="s">
        <v>81</v>
      </c>
      <c r="B4584" s="61" t="s">
        <v>380</v>
      </c>
      <c r="C4584" s="62">
        <v>44796</v>
      </c>
      <c r="D4584" s="62">
        <v>44796</v>
      </c>
      <c r="E4584" s="63">
        <v>0</v>
      </c>
    </row>
    <row r="4585" spans="1:5">
      <c r="A4585" s="61" t="s">
        <v>81</v>
      </c>
      <c r="B4585" s="61" t="s">
        <v>380</v>
      </c>
      <c r="C4585" s="62">
        <v>44797</v>
      </c>
      <c r="D4585" s="62">
        <v>44797</v>
      </c>
      <c r="E4585" s="63">
        <v>0</v>
      </c>
    </row>
    <row r="4586" spans="1:5">
      <c r="A4586" s="61" t="s">
        <v>81</v>
      </c>
      <c r="B4586" s="61" t="s">
        <v>380</v>
      </c>
      <c r="C4586" s="62">
        <v>44798</v>
      </c>
      <c r="D4586" s="62">
        <v>44798</v>
      </c>
      <c r="E4586" s="63">
        <v>0</v>
      </c>
    </row>
    <row r="4587" spans="1:5">
      <c r="A4587" s="61" t="s">
        <v>81</v>
      </c>
      <c r="B4587" s="61" t="s">
        <v>380</v>
      </c>
      <c r="C4587" s="62">
        <v>44799</v>
      </c>
      <c r="D4587" s="62">
        <v>44799</v>
      </c>
      <c r="E4587" s="63">
        <v>0</v>
      </c>
    </row>
    <row r="4588" spans="1:5">
      <c r="A4588" s="61" t="s">
        <v>81</v>
      </c>
      <c r="B4588" s="61" t="s">
        <v>380</v>
      </c>
      <c r="C4588" s="62">
        <v>44800</v>
      </c>
      <c r="D4588" s="62">
        <v>44800</v>
      </c>
      <c r="E4588" s="63">
        <v>0</v>
      </c>
    </row>
    <row r="4589" spans="1:5">
      <c r="A4589" s="61" t="s">
        <v>81</v>
      </c>
      <c r="B4589" s="61" t="s">
        <v>380</v>
      </c>
      <c r="C4589" s="62">
        <v>44801</v>
      </c>
      <c r="D4589" s="62">
        <v>44801</v>
      </c>
      <c r="E4589" s="63">
        <v>0</v>
      </c>
    </row>
    <row r="4590" spans="1:5">
      <c r="A4590" s="61" t="s">
        <v>81</v>
      </c>
      <c r="B4590" s="61" t="s">
        <v>380</v>
      </c>
      <c r="C4590" s="62">
        <v>44802</v>
      </c>
      <c r="D4590" s="62">
        <v>44802</v>
      </c>
      <c r="E4590" s="63">
        <v>0</v>
      </c>
    </row>
    <row r="4591" spans="1:5">
      <c r="A4591" s="61" t="s">
        <v>81</v>
      </c>
      <c r="B4591" s="61" t="s">
        <v>380</v>
      </c>
      <c r="C4591" s="62">
        <v>44803</v>
      </c>
      <c r="D4591" s="62">
        <v>44803</v>
      </c>
      <c r="E4591" s="63">
        <v>0</v>
      </c>
    </row>
    <row r="4592" spans="1:5">
      <c r="A4592" s="61" t="s">
        <v>220</v>
      </c>
      <c r="B4592" s="61" t="s">
        <v>381</v>
      </c>
      <c r="C4592" s="62">
        <v>44774</v>
      </c>
      <c r="D4592" s="62">
        <v>44774</v>
      </c>
      <c r="E4592" s="63">
        <v>0</v>
      </c>
    </row>
    <row r="4593" spans="1:5">
      <c r="A4593" s="61" t="s">
        <v>220</v>
      </c>
      <c r="B4593" s="61" t="s">
        <v>381</v>
      </c>
      <c r="C4593" s="62">
        <v>44775</v>
      </c>
      <c r="D4593" s="62">
        <v>44775</v>
      </c>
      <c r="E4593" s="63">
        <v>0</v>
      </c>
    </row>
    <row r="4594" spans="1:5">
      <c r="A4594" s="61" t="s">
        <v>220</v>
      </c>
      <c r="B4594" s="61" t="s">
        <v>381</v>
      </c>
      <c r="C4594" s="62">
        <v>44776</v>
      </c>
      <c r="D4594" s="62">
        <v>44776</v>
      </c>
      <c r="E4594" s="63">
        <v>0</v>
      </c>
    </row>
    <row r="4595" spans="1:5">
      <c r="A4595" s="61" t="s">
        <v>220</v>
      </c>
      <c r="B4595" s="61" t="s">
        <v>381</v>
      </c>
      <c r="C4595" s="62">
        <v>44777</v>
      </c>
      <c r="D4595" s="62">
        <v>44777</v>
      </c>
      <c r="E4595" s="63">
        <v>0</v>
      </c>
    </row>
    <row r="4596" spans="1:5">
      <c r="A4596" s="61" t="s">
        <v>220</v>
      </c>
      <c r="B4596" s="61" t="s">
        <v>381</v>
      </c>
      <c r="C4596" s="62">
        <v>44778</v>
      </c>
      <c r="D4596" s="62">
        <v>44778</v>
      </c>
      <c r="E4596" s="63">
        <v>0</v>
      </c>
    </row>
    <row r="4597" spans="1:5">
      <c r="A4597" s="61" t="s">
        <v>220</v>
      </c>
      <c r="B4597" s="61" t="s">
        <v>381</v>
      </c>
      <c r="C4597" s="62">
        <v>44779</v>
      </c>
      <c r="D4597" s="62">
        <v>44779</v>
      </c>
      <c r="E4597" s="63">
        <v>0</v>
      </c>
    </row>
    <row r="4598" spans="1:5">
      <c r="A4598" s="61" t="s">
        <v>220</v>
      </c>
      <c r="B4598" s="61" t="s">
        <v>381</v>
      </c>
      <c r="C4598" s="62">
        <v>44780</v>
      </c>
      <c r="D4598" s="62">
        <v>44780</v>
      </c>
      <c r="E4598" s="63">
        <v>0</v>
      </c>
    </row>
    <row r="4599" spans="1:5">
      <c r="A4599" s="61" t="s">
        <v>220</v>
      </c>
      <c r="B4599" s="61" t="s">
        <v>381</v>
      </c>
      <c r="C4599" s="62">
        <v>44781</v>
      </c>
      <c r="D4599" s="62">
        <v>44781</v>
      </c>
      <c r="E4599" s="63">
        <v>0</v>
      </c>
    </row>
    <row r="4600" spans="1:5">
      <c r="A4600" s="61" t="s">
        <v>220</v>
      </c>
      <c r="B4600" s="61" t="s">
        <v>381</v>
      </c>
      <c r="C4600" s="62">
        <v>44782</v>
      </c>
      <c r="D4600" s="62">
        <v>44782</v>
      </c>
      <c r="E4600" s="63">
        <v>0</v>
      </c>
    </row>
    <row r="4601" spans="1:5">
      <c r="A4601" s="61" t="s">
        <v>220</v>
      </c>
      <c r="B4601" s="61" t="s">
        <v>381</v>
      </c>
      <c r="C4601" s="62">
        <v>44783</v>
      </c>
      <c r="D4601" s="62">
        <v>44783</v>
      </c>
      <c r="E4601" s="63">
        <v>0</v>
      </c>
    </row>
    <row r="4602" spans="1:5">
      <c r="A4602" s="61" t="s">
        <v>220</v>
      </c>
      <c r="B4602" s="61" t="s">
        <v>381</v>
      </c>
      <c r="C4602" s="62">
        <v>44784</v>
      </c>
      <c r="D4602" s="62">
        <v>44784</v>
      </c>
      <c r="E4602" s="63">
        <v>0</v>
      </c>
    </row>
    <row r="4603" spans="1:5">
      <c r="A4603" s="61" t="s">
        <v>220</v>
      </c>
      <c r="B4603" s="61" t="s">
        <v>381</v>
      </c>
      <c r="C4603" s="62">
        <v>44785</v>
      </c>
      <c r="D4603" s="62">
        <v>44785</v>
      </c>
      <c r="E4603" s="63">
        <v>436.74</v>
      </c>
    </row>
    <row r="4604" spans="1:5">
      <c r="A4604" s="61" t="s">
        <v>220</v>
      </c>
      <c r="B4604" s="61" t="s">
        <v>381</v>
      </c>
      <c r="C4604" s="62">
        <v>44786</v>
      </c>
      <c r="D4604" s="62">
        <v>44786</v>
      </c>
      <c r="E4604" s="63">
        <v>0</v>
      </c>
    </row>
    <row r="4605" spans="1:5">
      <c r="A4605" s="61" t="s">
        <v>220</v>
      </c>
      <c r="B4605" s="61" t="s">
        <v>381</v>
      </c>
      <c r="C4605" s="62">
        <v>44787</v>
      </c>
      <c r="D4605" s="62">
        <v>44787</v>
      </c>
      <c r="E4605" s="63">
        <v>0</v>
      </c>
    </row>
    <row r="4606" spans="1:5">
      <c r="A4606" s="61" t="s">
        <v>220</v>
      </c>
      <c r="B4606" s="61" t="s">
        <v>381</v>
      </c>
      <c r="C4606" s="62">
        <v>44788</v>
      </c>
      <c r="D4606" s="62">
        <v>44788</v>
      </c>
      <c r="E4606" s="63">
        <v>0</v>
      </c>
    </row>
    <row r="4607" spans="1:5">
      <c r="A4607" s="61" t="s">
        <v>220</v>
      </c>
      <c r="B4607" s="61" t="s">
        <v>381</v>
      </c>
      <c r="C4607" s="62">
        <v>44789</v>
      </c>
      <c r="D4607" s="62">
        <v>44789</v>
      </c>
      <c r="E4607" s="63">
        <v>0</v>
      </c>
    </row>
    <row r="4608" spans="1:5">
      <c r="A4608" s="61" t="s">
        <v>220</v>
      </c>
      <c r="B4608" s="61" t="s">
        <v>381</v>
      </c>
      <c r="C4608" s="62">
        <v>44790</v>
      </c>
      <c r="D4608" s="62">
        <v>44790</v>
      </c>
      <c r="E4608" s="63">
        <v>0</v>
      </c>
    </row>
    <row r="4609" spans="1:5">
      <c r="A4609" s="61" t="s">
        <v>220</v>
      </c>
      <c r="B4609" s="61" t="s">
        <v>381</v>
      </c>
      <c r="C4609" s="62">
        <v>44791</v>
      </c>
      <c r="D4609" s="62">
        <v>44791</v>
      </c>
      <c r="E4609" s="63">
        <v>0</v>
      </c>
    </row>
    <row r="4610" spans="1:5">
      <c r="A4610" s="61" t="s">
        <v>220</v>
      </c>
      <c r="B4610" s="61" t="s">
        <v>381</v>
      </c>
      <c r="C4610" s="62">
        <v>44792</v>
      </c>
      <c r="D4610" s="62">
        <v>44792</v>
      </c>
      <c r="E4610" s="63">
        <v>0</v>
      </c>
    </row>
    <row r="4611" spans="1:5">
      <c r="A4611" s="61" t="s">
        <v>220</v>
      </c>
      <c r="B4611" s="61" t="s">
        <v>381</v>
      </c>
      <c r="C4611" s="62">
        <v>44793</v>
      </c>
      <c r="D4611" s="62">
        <v>44793</v>
      </c>
      <c r="E4611" s="63">
        <v>0</v>
      </c>
    </row>
    <row r="4612" spans="1:5">
      <c r="A4612" s="61" t="s">
        <v>220</v>
      </c>
      <c r="B4612" s="61" t="s">
        <v>381</v>
      </c>
      <c r="C4612" s="62">
        <v>44794</v>
      </c>
      <c r="D4612" s="62">
        <v>44794</v>
      </c>
      <c r="E4612" s="63">
        <v>0</v>
      </c>
    </row>
    <row r="4613" spans="1:5">
      <c r="A4613" s="61" t="s">
        <v>220</v>
      </c>
      <c r="B4613" s="61" t="s">
        <v>381</v>
      </c>
      <c r="C4613" s="62">
        <v>44795</v>
      </c>
      <c r="D4613" s="62">
        <v>44795</v>
      </c>
      <c r="E4613" s="63">
        <v>0</v>
      </c>
    </row>
    <row r="4614" spans="1:5">
      <c r="A4614" s="61" t="s">
        <v>220</v>
      </c>
      <c r="B4614" s="61" t="s">
        <v>381</v>
      </c>
      <c r="C4614" s="62">
        <v>44796</v>
      </c>
      <c r="D4614" s="62">
        <v>44796</v>
      </c>
      <c r="E4614" s="63">
        <v>0</v>
      </c>
    </row>
    <row r="4615" spans="1:5">
      <c r="A4615" s="61" t="s">
        <v>220</v>
      </c>
      <c r="B4615" s="61" t="s">
        <v>381</v>
      </c>
      <c r="C4615" s="62">
        <v>44797</v>
      </c>
      <c r="D4615" s="62">
        <v>44797</v>
      </c>
      <c r="E4615" s="63">
        <v>0</v>
      </c>
    </row>
    <row r="4616" spans="1:5">
      <c r="A4616" s="61" t="s">
        <v>220</v>
      </c>
      <c r="B4616" s="61" t="s">
        <v>381</v>
      </c>
      <c r="C4616" s="62">
        <v>44798</v>
      </c>
      <c r="D4616" s="62">
        <v>44798</v>
      </c>
      <c r="E4616" s="63">
        <v>0</v>
      </c>
    </row>
    <row r="4617" spans="1:5">
      <c r="A4617" s="61" t="s">
        <v>220</v>
      </c>
      <c r="B4617" s="61" t="s">
        <v>381</v>
      </c>
      <c r="C4617" s="62">
        <v>44799</v>
      </c>
      <c r="D4617" s="62">
        <v>44799</v>
      </c>
      <c r="E4617" s="63">
        <v>0</v>
      </c>
    </row>
    <row r="4618" spans="1:5">
      <c r="A4618" s="61" t="s">
        <v>220</v>
      </c>
      <c r="B4618" s="61" t="s">
        <v>381</v>
      </c>
      <c r="C4618" s="62">
        <v>44800</v>
      </c>
      <c r="D4618" s="62">
        <v>44800</v>
      </c>
      <c r="E4618" s="63">
        <v>0</v>
      </c>
    </row>
    <row r="4619" spans="1:5">
      <c r="A4619" s="61" t="s">
        <v>220</v>
      </c>
      <c r="B4619" s="61" t="s">
        <v>381</v>
      </c>
      <c r="C4619" s="62">
        <v>44801</v>
      </c>
      <c r="D4619" s="62">
        <v>44801</v>
      </c>
      <c r="E4619" s="63">
        <v>0</v>
      </c>
    </row>
    <row r="4620" spans="1:5">
      <c r="A4620" s="61" t="s">
        <v>220</v>
      </c>
      <c r="B4620" s="61" t="s">
        <v>381</v>
      </c>
      <c r="C4620" s="62">
        <v>44802</v>
      </c>
      <c r="D4620" s="62">
        <v>44802</v>
      </c>
      <c r="E4620" s="63">
        <v>0</v>
      </c>
    </row>
    <row r="4621" spans="1:5">
      <c r="A4621" s="61" t="s">
        <v>220</v>
      </c>
      <c r="B4621" s="61" t="s">
        <v>381</v>
      </c>
      <c r="C4621" s="62">
        <v>44803</v>
      </c>
      <c r="D4621" s="62">
        <v>44803</v>
      </c>
      <c r="E4621" s="63">
        <v>0</v>
      </c>
    </row>
    <row r="4622" spans="1:5">
      <c r="A4622" s="61" t="s">
        <v>221</v>
      </c>
      <c r="B4622" s="61" t="s">
        <v>382</v>
      </c>
      <c r="C4622" s="62">
        <v>44774</v>
      </c>
      <c r="D4622" s="62">
        <v>44774</v>
      </c>
      <c r="E4622" s="63">
        <v>0</v>
      </c>
    </row>
    <row r="4623" spans="1:5">
      <c r="A4623" s="61" t="s">
        <v>221</v>
      </c>
      <c r="B4623" s="61" t="s">
        <v>382</v>
      </c>
      <c r="C4623" s="62">
        <v>44775</v>
      </c>
      <c r="D4623" s="62">
        <v>44775</v>
      </c>
      <c r="E4623" s="63">
        <v>0</v>
      </c>
    </row>
    <row r="4624" spans="1:5">
      <c r="A4624" s="61" t="s">
        <v>221</v>
      </c>
      <c r="B4624" s="61" t="s">
        <v>382</v>
      </c>
      <c r="C4624" s="62">
        <v>44776</v>
      </c>
      <c r="D4624" s="62">
        <v>44776</v>
      </c>
      <c r="E4624" s="63">
        <v>0</v>
      </c>
    </row>
    <row r="4625" spans="1:5">
      <c r="A4625" s="61" t="s">
        <v>221</v>
      </c>
      <c r="B4625" s="61" t="s">
        <v>382</v>
      </c>
      <c r="C4625" s="62">
        <v>44777</v>
      </c>
      <c r="D4625" s="62">
        <v>44777</v>
      </c>
      <c r="E4625" s="63">
        <v>0</v>
      </c>
    </row>
    <row r="4626" spans="1:5">
      <c r="A4626" s="61" t="s">
        <v>221</v>
      </c>
      <c r="B4626" s="61" t="s">
        <v>382</v>
      </c>
      <c r="C4626" s="62">
        <v>44778</v>
      </c>
      <c r="D4626" s="62">
        <v>44778</v>
      </c>
      <c r="E4626" s="63">
        <v>0</v>
      </c>
    </row>
    <row r="4627" spans="1:5">
      <c r="A4627" s="61" t="s">
        <v>221</v>
      </c>
      <c r="B4627" s="61" t="s">
        <v>382</v>
      </c>
      <c r="C4627" s="62">
        <v>44779</v>
      </c>
      <c r="D4627" s="62">
        <v>44779</v>
      </c>
      <c r="E4627" s="63">
        <v>0</v>
      </c>
    </row>
    <row r="4628" spans="1:5">
      <c r="A4628" s="61" t="s">
        <v>221</v>
      </c>
      <c r="B4628" s="61" t="s">
        <v>382</v>
      </c>
      <c r="C4628" s="62">
        <v>44780</v>
      </c>
      <c r="D4628" s="62">
        <v>44780</v>
      </c>
      <c r="E4628" s="63">
        <v>0</v>
      </c>
    </row>
    <row r="4629" spans="1:5">
      <c r="A4629" s="61" t="s">
        <v>221</v>
      </c>
      <c r="B4629" s="61" t="s">
        <v>382</v>
      </c>
      <c r="C4629" s="62">
        <v>44781</v>
      </c>
      <c r="D4629" s="62">
        <v>44781</v>
      </c>
      <c r="E4629" s="63">
        <v>0</v>
      </c>
    </row>
    <row r="4630" spans="1:5">
      <c r="A4630" s="61" t="s">
        <v>221</v>
      </c>
      <c r="B4630" s="61" t="s">
        <v>382</v>
      </c>
      <c r="C4630" s="62">
        <v>44782</v>
      </c>
      <c r="D4630" s="62">
        <v>44782</v>
      </c>
      <c r="E4630" s="63">
        <v>0</v>
      </c>
    </row>
    <row r="4631" spans="1:5">
      <c r="A4631" s="61" t="s">
        <v>221</v>
      </c>
      <c r="B4631" s="61" t="s">
        <v>382</v>
      </c>
      <c r="C4631" s="62">
        <v>44783</v>
      </c>
      <c r="D4631" s="62">
        <v>44783</v>
      </c>
      <c r="E4631" s="63">
        <v>0</v>
      </c>
    </row>
    <row r="4632" spans="1:5">
      <c r="A4632" s="61" t="s">
        <v>221</v>
      </c>
      <c r="B4632" s="61" t="s">
        <v>382</v>
      </c>
      <c r="C4632" s="62">
        <v>44784</v>
      </c>
      <c r="D4632" s="62">
        <v>44784</v>
      </c>
      <c r="E4632" s="63">
        <v>0</v>
      </c>
    </row>
    <row r="4633" spans="1:5">
      <c r="A4633" s="61" t="s">
        <v>221</v>
      </c>
      <c r="B4633" s="61" t="s">
        <v>382</v>
      </c>
      <c r="C4633" s="62">
        <v>44785</v>
      </c>
      <c r="D4633" s="62">
        <v>44785</v>
      </c>
      <c r="E4633" s="63">
        <v>0</v>
      </c>
    </row>
    <row r="4634" spans="1:5">
      <c r="A4634" s="61" t="s">
        <v>221</v>
      </c>
      <c r="B4634" s="61" t="s">
        <v>382</v>
      </c>
      <c r="C4634" s="62">
        <v>44786</v>
      </c>
      <c r="D4634" s="62">
        <v>44786</v>
      </c>
      <c r="E4634" s="63">
        <v>0</v>
      </c>
    </row>
    <row r="4635" spans="1:5">
      <c r="A4635" s="61" t="s">
        <v>221</v>
      </c>
      <c r="B4635" s="61" t="s">
        <v>382</v>
      </c>
      <c r="C4635" s="62">
        <v>44787</v>
      </c>
      <c r="D4635" s="62">
        <v>44787</v>
      </c>
      <c r="E4635" s="63">
        <v>0</v>
      </c>
    </row>
    <row r="4636" spans="1:5">
      <c r="A4636" s="61" t="s">
        <v>221</v>
      </c>
      <c r="B4636" s="61" t="s">
        <v>382</v>
      </c>
      <c r="C4636" s="62">
        <v>44788</v>
      </c>
      <c r="D4636" s="62">
        <v>44788</v>
      </c>
      <c r="E4636" s="63">
        <v>0</v>
      </c>
    </row>
    <row r="4637" spans="1:5">
      <c r="A4637" s="61" t="s">
        <v>221</v>
      </c>
      <c r="B4637" s="61" t="s">
        <v>382</v>
      </c>
      <c r="C4637" s="62">
        <v>44789</v>
      </c>
      <c r="D4637" s="62">
        <v>44789</v>
      </c>
      <c r="E4637" s="63">
        <v>0</v>
      </c>
    </row>
    <row r="4638" spans="1:5">
      <c r="A4638" s="61" t="s">
        <v>221</v>
      </c>
      <c r="B4638" s="61" t="s">
        <v>382</v>
      </c>
      <c r="C4638" s="62">
        <v>44790</v>
      </c>
      <c r="D4638" s="62">
        <v>44790</v>
      </c>
      <c r="E4638" s="63">
        <v>0</v>
      </c>
    </row>
    <row r="4639" spans="1:5">
      <c r="A4639" s="61" t="s">
        <v>221</v>
      </c>
      <c r="B4639" s="61" t="s">
        <v>382</v>
      </c>
      <c r="C4639" s="62">
        <v>44791</v>
      </c>
      <c r="D4639" s="62">
        <v>44791</v>
      </c>
      <c r="E4639" s="63">
        <v>0</v>
      </c>
    </row>
    <row r="4640" spans="1:5">
      <c r="A4640" s="61" t="s">
        <v>221</v>
      </c>
      <c r="B4640" s="61" t="s">
        <v>382</v>
      </c>
      <c r="C4640" s="62">
        <v>44792</v>
      </c>
      <c r="D4640" s="62">
        <v>44792</v>
      </c>
      <c r="E4640" s="63">
        <v>0</v>
      </c>
    </row>
    <row r="4641" spans="1:5">
      <c r="A4641" s="61" t="s">
        <v>221</v>
      </c>
      <c r="B4641" s="61" t="s">
        <v>382</v>
      </c>
      <c r="C4641" s="62">
        <v>44793</v>
      </c>
      <c r="D4641" s="62">
        <v>44793</v>
      </c>
      <c r="E4641" s="63">
        <v>0</v>
      </c>
    </row>
    <row r="4642" spans="1:5">
      <c r="A4642" s="61" t="s">
        <v>221</v>
      </c>
      <c r="B4642" s="61" t="s">
        <v>382</v>
      </c>
      <c r="C4642" s="62">
        <v>44794</v>
      </c>
      <c r="D4642" s="62">
        <v>44794</v>
      </c>
      <c r="E4642" s="63">
        <v>0</v>
      </c>
    </row>
    <row r="4643" spans="1:5">
      <c r="A4643" s="61" t="s">
        <v>221</v>
      </c>
      <c r="B4643" s="61" t="s">
        <v>382</v>
      </c>
      <c r="C4643" s="62">
        <v>44795</v>
      </c>
      <c r="D4643" s="62">
        <v>44795</v>
      </c>
      <c r="E4643" s="63">
        <v>0</v>
      </c>
    </row>
    <row r="4644" spans="1:5">
      <c r="A4644" s="61" t="s">
        <v>221</v>
      </c>
      <c r="B4644" s="61" t="s">
        <v>382</v>
      </c>
      <c r="C4644" s="62">
        <v>44796</v>
      </c>
      <c r="D4644" s="62">
        <v>44796</v>
      </c>
      <c r="E4644" s="63">
        <v>0</v>
      </c>
    </row>
    <row r="4645" spans="1:5">
      <c r="A4645" s="61" t="s">
        <v>221</v>
      </c>
      <c r="B4645" s="61" t="s">
        <v>382</v>
      </c>
      <c r="C4645" s="62">
        <v>44797</v>
      </c>
      <c r="D4645" s="62">
        <v>44797</v>
      </c>
      <c r="E4645" s="63">
        <v>0</v>
      </c>
    </row>
    <row r="4646" spans="1:5">
      <c r="A4646" s="61" t="s">
        <v>221</v>
      </c>
      <c r="B4646" s="61" t="s">
        <v>382</v>
      </c>
      <c r="C4646" s="62">
        <v>44798</v>
      </c>
      <c r="D4646" s="62">
        <v>44798</v>
      </c>
      <c r="E4646" s="63">
        <v>0</v>
      </c>
    </row>
    <row r="4647" spans="1:5">
      <c r="A4647" s="61" t="s">
        <v>221</v>
      </c>
      <c r="B4647" s="61" t="s">
        <v>382</v>
      </c>
      <c r="C4647" s="62">
        <v>44799</v>
      </c>
      <c r="D4647" s="62">
        <v>44799</v>
      </c>
      <c r="E4647" s="63">
        <v>0</v>
      </c>
    </row>
    <row r="4648" spans="1:5">
      <c r="A4648" s="61" t="s">
        <v>221</v>
      </c>
      <c r="B4648" s="61" t="s">
        <v>382</v>
      </c>
      <c r="C4648" s="62">
        <v>44800</v>
      </c>
      <c r="D4648" s="62">
        <v>44800</v>
      </c>
      <c r="E4648" s="63">
        <v>0</v>
      </c>
    </row>
    <row r="4649" spans="1:5">
      <c r="A4649" s="61" t="s">
        <v>221</v>
      </c>
      <c r="B4649" s="61" t="s">
        <v>382</v>
      </c>
      <c r="C4649" s="62">
        <v>44801</v>
      </c>
      <c r="D4649" s="62">
        <v>44801</v>
      </c>
      <c r="E4649" s="63">
        <v>0</v>
      </c>
    </row>
    <row r="4650" spans="1:5">
      <c r="A4650" s="61" t="s">
        <v>221</v>
      </c>
      <c r="B4650" s="61" t="s">
        <v>382</v>
      </c>
      <c r="C4650" s="62">
        <v>44802</v>
      </c>
      <c r="D4650" s="62">
        <v>44802</v>
      </c>
      <c r="E4650" s="63">
        <v>0</v>
      </c>
    </row>
    <row r="4651" spans="1:5">
      <c r="A4651" s="61" t="s">
        <v>221</v>
      </c>
      <c r="B4651" s="61" t="s">
        <v>382</v>
      </c>
      <c r="C4651" s="62">
        <v>44803</v>
      </c>
      <c r="D4651" s="62">
        <v>44803</v>
      </c>
      <c r="E4651" s="63">
        <v>0</v>
      </c>
    </row>
    <row r="4652" spans="1:5">
      <c r="A4652" s="61" t="s">
        <v>222</v>
      </c>
      <c r="B4652" s="61" t="s">
        <v>383</v>
      </c>
      <c r="C4652" s="62">
        <v>44774</v>
      </c>
      <c r="D4652" s="62">
        <v>44774</v>
      </c>
      <c r="E4652" s="63">
        <v>0</v>
      </c>
    </row>
    <row r="4653" spans="1:5">
      <c r="A4653" s="61" t="s">
        <v>222</v>
      </c>
      <c r="B4653" s="61" t="s">
        <v>383</v>
      </c>
      <c r="C4653" s="62">
        <v>44775</v>
      </c>
      <c r="D4653" s="62">
        <v>44775</v>
      </c>
      <c r="E4653" s="63">
        <v>0</v>
      </c>
    </row>
    <row r="4654" spans="1:5">
      <c r="A4654" s="61" t="s">
        <v>222</v>
      </c>
      <c r="B4654" s="61" t="s">
        <v>383</v>
      </c>
      <c r="C4654" s="62">
        <v>44776</v>
      </c>
      <c r="D4654" s="62">
        <v>44776</v>
      </c>
      <c r="E4654" s="63">
        <v>0</v>
      </c>
    </row>
    <row r="4655" spans="1:5">
      <c r="A4655" s="61" t="s">
        <v>222</v>
      </c>
      <c r="B4655" s="61" t="s">
        <v>383</v>
      </c>
      <c r="C4655" s="62">
        <v>44777</v>
      </c>
      <c r="D4655" s="62">
        <v>44777</v>
      </c>
      <c r="E4655" s="63">
        <v>0</v>
      </c>
    </row>
    <row r="4656" spans="1:5">
      <c r="A4656" s="61" t="s">
        <v>222</v>
      </c>
      <c r="B4656" s="61" t="s">
        <v>383</v>
      </c>
      <c r="C4656" s="62">
        <v>44778</v>
      </c>
      <c r="D4656" s="62">
        <v>44778</v>
      </c>
      <c r="E4656" s="63">
        <v>0</v>
      </c>
    </row>
    <row r="4657" spans="1:5">
      <c r="A4657" s="61" t="s">
        <v>222</v>
      </c>
      <c r="B4657" s="61" t="s">
        <v>383</v>
      </c>
      <c r="C4657" s="62">
        <v>44779</v>
      </c>
      <c r="D4657" s="62">
        <v>44779</v>
      </c>
      <c r="E4657" s="63">
        <v>0</v>
      </c>
    </row>
    <row r="4658" spans="1:5">
      <c r="A4658" s="61" t="s">
        <v>222</v>
      </c>
      <c r="B4658" s="61" t="s">
        <v>383</v>
      </c>
      <c r="C4658" s="62">
        <v>44780</v>
      </c>
      <c r="D4658" s="62">
        <v>44780</v>
      </c>
      <c r="E4658" s="63">
        <v>0</v>
      </c>
    </row>
    <row r="4659" spans="1:5">
      <c r="A4659" s="61" t="s">
        <v>222</v>
      </c>
      <c r="B4659" s="61" t="s">
        <v>383</v>
      </c>
      <c r="C4659" s="62">
        <v>44781</v>
      </c>
      <c r="D4659" s="62">
        <v>44781</v>
      </c>
      <c r="E4659" s="63">
        <v>0</v>
      </c>
    </row>
    <row r="4660" spans="1:5">
      <c r="A4660" s="61" t="s">
        <v>222</v>
      </c>
      <c r="B4660" s="61" t="s">
        <v>383</v>
      </c>
      <c r="C4660" s="62">
        <v>44782</v>
      </c>
      <c r="D4660" s="62">
        <v>44782</v>
      </c>
      <c r="E4660" s="63">
        <v>0</v>
      </c>
    </row>
    <row r="4661" spans="1:5">
      <c r="A4661" s="61" t="s">
        <v>222</v>
      </c>
      <c r="B4661" s="61" t="s">
        <v>383</v>
      </c>
      <c r="C4661" s="62">
        <v>44783</v>
      </c>
      <c r="D4661" s="62">
        <v>44783</v>
      </c>
      <c r="E4661" s="63">
        <v>0</v>
      </c>
    </row>
    <row r="4662" spans="1:5">
      <c r="A4662" s="61" t="s">
        <v>222</v>
      </c>
      <c r="B4662" s="61" t="s">
        <v>383</v>
      </c>
      <c r="C4662" s="62">
        <v>44784</v>
      </c>
      <c r="D4662" s="62">
        <v>44784</v>
      </c>
      <c r="E4662" s="63">
        <v>0</v>
      </c>
    </row>
    <row r="4663" spans="1:5">
      <c r="A4663" s="61" t="s">
        <v>222</v>
      </c>
      <c r="B4663" s="61" t="s">
        <v>383</v>
      </c>
      <c r="C4663" s="62">
        <v>44785</v>
      </c>
      <c r="D4663" s="62">
        <v>44785</v>
      </c>
      <c r="E4663" s="63">
        <v>0</v>
      </c>
    </row>
    <row r="4664" spans="1:5">
      <c r="A4664" s="61" t="s">
        <v>222</v>
      </c>
      <c r="B4664" s="61" t="s">
        <v>383</v>
      </c>
      <c r="C4664" s="62">
        <v>44786</v>
      </c>
      <c r="D4664" s="62">
        <v>44786</v>
      </c>
      <c r="E4664" s="63">
        <v>0</v>
      </c>
    </row>
    <row r="4665" spans="1:5">
      <c r="A4665" s="61" t="s">
        <v>222</v>
      </c>
      <c r="B4665" s="61" t="s">
        <v>383</v>
      </c>
      <c r="C4665" s="62">
        <v>44787</v>
      </c>
      <c r="D4665" s="62">
        <v>44787</v>
      </c>
      <c r="E4665" s="63">
        <v>0</v>
      </c>
    </row>
    <row r="4666" spans="1:5">
      <c r="A4666" s="61" t="s">
        <v>222</v>
      </c>
      <c r="B4666" s="61" t="s">
        <v>383</v>
      </c>
      <c r="C4666" s="62">
        <v>44788</v>
      </c>
      <c r="D4666" s="62">
        <v>44788</v>
      </c>
      <c r="E4666" s="63">
        <v>0</v>
      </c>
    </row>
    <row r="4667" spans="1:5">
      <c r="A4667" s="61" t="s">
        <v>222</v>
      </c>
      <c r="B4667" s="61" t="s">
        <v>383</v>
      </c>
      <c r="C4667" s="62">
        <v>44789</v>
      </c>
      <c r="D4667" s="62">
        <v>44789</v>
      </c>
      <c r="E4667" s="63">
        <v>0</v>
      </c>
    </row>
    <row r="4668" spans="1:5">
      <c r="A4668" s="61" t="s">
        <v>222</v>
      </c>
      <c r="B4668" s="61" t="s">
        <v>383</v>
      </c>
      <c r="C4668" s="62">
        <v>44790</v>
      </c>
      <c r="D4668" s="62">
        <v>44790</v>
      </c>
      <c r="E4668" s="63">
        <v>0</v>
      </c>
    </row>
    <row r="4669" spans="1:5">
      <c r="A4669" s="61" t="s">
        <v>222</v>
      </c>
      <c r="B4669" s="61" t="s">
        <v>383</v>
      </c>
      <c r="C4669" s="62">
        <v>44791</v>
      </c>
      <c r="D4669" s="62">
        <v>44791</v>
      </c>
      <c r="E4669" s="63">
        <v>0</v>
      </c>
    </row>
    <row r="4670" spans="1:5">
      <c r="A4670" s="61" t="s">
        <v>222</v>
      </c>
      <c r="B4670" s="61" t="s">
        <v>383</v>
      </c>
      <c r="C4670" s="62">
        <v>44792</v>
      </c>
      <c r="D4670" s="62">
        <v>44792</v>
      </c>
      <c r="E4670" s="63">
        <v>0</v>
      </c>
    </row>
    <row r="4671" spans="1:5">
      <c r="A4671" s="61" t="s">
        <v>222</v>
      </c>
      <c r="B4671" s="61" t="s">
        <v>383</v>
      </c>
      <c r="C4671" s="62">
        <v>44793</v>
      </c>
      <c r="D4671" s="62">
        <v>44793</v>
      </c>
      <c r="E4671" s="63">
        <v>0</v>
      </c>
    </row>
    <row r="4672" spans="1:5">
      <c r="A4672" s="61" t="s">
        <v>222</v>
      </c>
      <c r="B4672" s="61" t="s">
        <v>383</v>
      </c>
      <c r="C4672" s="62">
        <v>44794</v>
      </c>
      <c r="D4672" s="62">
        <v>44794</v>
      </c>
      <c r="E4672" s="63">
        <v>0</v>
      </c>
    </row>
    <row r="4673" spans="1:5">
      <c r="A4673" s="61" t="s">
        <v>222</v>
      </c>
      <c r="B4673" s="61" t="s">
        <v>383</v>
      </c>
      <c r="C4673" s="62">
        <v>44795</v>
      </c>
      <c r="D4673" s="62">
        <v>44795</v>
      </c>
      <c r="E4673" s="63">
        <v>0</v>
      </c>
    </row>
    <row r="4674" spans="1:5">
      <c r="A4674" s="61" t="s">
        <v>222</v>
      </c>
      <c r="B4674" s="61" t="s">
        <v>383</v>
      </c>
      <c r="C4674" s="62">
        <v>44796</v>
      </c>
      <c r="D4674" s="62">
        <v>44796</v>
      </c>
      <c r="E4674" s="63">
        <v>0</v>
      </c>
    </row>
    <row r="4675" spans="1:5">
      <c r="A4675" s="61" t="s">
        <v>222</v>
      </c>
      <c r="B4675" s="61" t="s">
        <v>383</v>
      </c>
      <c r="C4675" s="62">
        <v>44797</v>
      </c>
      <c r="D4675" s="62">
        <v>44797</v>
      </c>
      <c r="E4675" s="63">
        <v>0</v>
      </c>
    </row>
    <row r="4676" spans="1:5">
      <c r="A4676" s="61" t="s">
        <v>222</v>
      </c>
      <c r="B4676" s="61" t="s">
        <v>383</v>
      </c>
      <c r="C4676" s="62">
        <v>44798</v>
      </c>
      <c r="D4676" s="62">
        <v>44798</v>
      </c>
      <c r="E4676" s="63">
        <v>0</v>
      </c>
    </row>
    <row r="4677" spans="1:5">
      <c r="A4677" s="61" t="s">
        <v>222</v>
      </c>
      <c r="B4677" s="61" t="s">
        <v>383</v>
      </c>
      <c r="C4677" s="62">
        <v>44799</v>
      </c>
      <c r="D4677" s="62">
        <v>44799</v>
      </c>
      <c r="E4677" s="63">
        <v>0</v>
      </c>
    </row>
    <row r="4678" spans="1:5">
      <c r="A4678" s="61" t="s">
        <v>222</v>
      </c>
      <c r="B4678" s="61" t="s">
        <v>383</v>
      </c>
      <c r="C4678" s="62">
        <v>44800</v>
      </c>
      <c r="D4678" s="62">
        <v>44800</v>
      </c>
      <c r="E4678" s="63">
        <v>0</v>
      </c>
    </row>
    <row r="4679" spans="1:5">
      <c r="A4679" s="61" t="s">
        <v>222</v>
      </c>
      <c r="B4679" s="61" t="s">
        <v>383</v>
      </c>
      <c r="C4679" s="62">
        <v>44801</v>
      </c>
      <c r="D4679" s="62">
        <v>44801</v>
      </c>
      <c r="E4679" s="63">
        <v>0</v>
      </c>
    </row>
    <row r="4680" spans="1:5">
      <c r="A4680" s="61" t="s">
        <v>222</v>
      </c>
      <c r="B4680" s="61" t="s">
        <v>383</v>
      </c>
      <c r="C4680" s="62">
        <v>44802</v>
      </c>
      <c r="D4680" s="62">
        <v>44802</v>
      </c>
      <c r="E4680" s="63">
        <v>0</v>
      </c>
    </row>
    <row r="4681" spans="1:5">
      <c r="A4681" s="61" t="s">
        <v>222</v>
      </c>
      <c r="B4681" s="61" t="s">
        <v>383</v>
      </c>
      <c r="C4681" s="62">
        <v>44803</v>
      </c>
      <c r="D4681" s="62">
        <v>44803</v>
      </c>
      <c r="E4681" s="63">
        <v>0</v>
      </c>
    </row>
    <row r="4682" spans="1:5">
      <c r="A4682" s="61" t="s">
        <v>83</v>
      </c>
      <c r="B4682" s="61" t="s">
        <v>380</v>
      </c>
      <c r="C4682" s="62">
        <v>44774</v>
      </c>
      <c r="D4682" s="62">
        <v>44774</v>
      </c>
      <c r="E4682" s="63">
        <v>0</v>
      </c>
    </row>
    <row r="4683" spans="1:5">
      <c r="A4683" s="61" t="s">
        <v>83</v>
      </c>
      <c r="B4683" s="61" t="s">
        <v>380</v>
      </c>
      <c r="C4683" s="62">
        <v>44775</v>
      </c>
      <c r="D4683" s="62">
        <v>44775</v>
      </c>
      <c r="E4683" s="63">
        <v>0</v>
      </c>
    </row>
    <row r="4684" spans="1:5">
      <c r="A4684" s="61" t="s">
        <v>83</v>
      </c>
      <c r="B4684" s="61" t="s">
        <v>380</v>
      </c>
      <c r="C4684" s="62">
        <v>44776</v>
      </c>
      <c r="D4684" s="62">
        <v>44776</v>
      </c>
      <c r="E4684" s="63">
        <v>0</v>
      </c>
    </row>
    <row r="4685" spans="1:5">
      <c r="A4685" s="61" t="s">
        <v>83</v>
      </c>
      <c r="B4685" s="61" t="s">
        <v>380</v>
      </c>
      <c r="C4685" s="62">
        <v>44777</v>
      </c>
      <c r="D4685" s="62">
        <v>44777</v>
      </c>
      <c r="E4685" s="63">
        <v>0</v>
      </c>
    </row>
    <row r="4686" spans="1:5">
      <c r="A4686" s="61" t="s">
        <v>83</v>
      </c>
      <c r="B4686" s="61" t="s">
        <v>380</v>
      </c>
      <c r="C4686" s="62">
        <v>44778</v>
      </c>
      <c r="D4686" s="62">
        <v>44778</v>
      </c>
      <c r="E4686" s="63">
        <v>0</v>
      </c>
    </row>
    <row r="4687" spans="1:5">
      <c r="A4687" s="61" t="s">
        <v>83</v>
      </c>
      <c r="B4687" s="61" t="s">
        <v>380</v>
      </c>
      <c r="C4687" s="62">
        <v>44779</v>
      </c>
      <c r="D4687" s="62">
        <v>44779</v>
      </c>
      <c r="E4687" s="63">
        <v>0</v>
      </c>
    </row>
    <row r="4688" spans="1:5">
      <c r="A4688" s="61" t="s">
        <v>83</v>
      </c>
      <c r="B4688" s="61" t="s">
        <v>380</v>
      </c>
      <c r="C4688" s="62">
        <v>44780</v>
      </c>
      <c r="D4688" s="62">
        <v>44780</v>
      </c>
      <c r="E4688" s="63">
        <v>0</v>
      </c>
    </row>
    <row r="4689" spans="1:5">
      <c r="A4689" s="61" t="s">
        <v>83</v>
      </c>
      <c r="B4689" s="61" t="s">
        <v>380</v>
      </c>
      <c r="C4689" s="62">
        <v>44781</v>
      </c>
      <c r="D4689" s="62">
        <v>44781</v>
      </c>
      <c r="E4689" s="63">
        <v>0</v>
      </c>
    </row>
    <row r="4690" spans="1:5">
      <c r="A4690" s="61" t="s">
        <v>83</v>
      </c>
      <c r="B4690" s="61" t="s">
        <v>380</v>
      </c>
      <c r="C4690" s="62">
        <v>44782</v>
      </c>
      <c r="D4690" s="62">
        <v>44782</v>
      </c>
      <c r="E4690" s="63">
        <v>0</v>
      </c>
    </row>
    <row r="4691" spans="1:5">
      <c r="A4691" s="61" t="s">
        <v>83</v>
      </c>
      <c r="B4691" s="61" t="s">
        <v>380</v>
      </c>
      <c r="C4691" s="62">
        <v>44783</v>
      </c>
      <c r="D4691" s="62">
        <v>44783</v>
      </c>
      <c r="E4691" s="63">
        <v>0</v>
      </c>
    </row>
    <row r="4692" spans="1:5">
      <c r="A4692" s="61" t="s">
        <v>83</v>
      </c>
      <c r="B4692" s="61" t="s">
        <v>380</v>
      </c>
      <c r="C4692" s="62">
        <v>44784</v>
      </c>
      <c r="D4692" s="62">
        <v>44784</v>
      </c>
      <c r="E4692" s="63">
        <v>0</v>
      </c>
    </row>
    <row r="4693" spans="1:5">
      <c r="A4693" s="61" t="s">
        <v>83</v>
      </c>
      <c r="B4693" s="61" t="s">
        <v>380</v>
      </c>
      <c r="C4693" s="62">
        <v>44785</v>
      </c>
      <c r="D4693" s="62">
        <v>44785</v>
      </c>
      <c r="E4693" s="63">
        <v>0</v>
      </c>
    </row>
    <row r="4694" spans="1:5">
      <c r="A4694" s="61" t="s">
        <v>83</v>
      </c>
      <c r="B4694" s="61" t="s">
        <v>380</v>
      </c>
      <c r="C4694" s="62">
        <v>44786</v>
      </c>
      <c r="D4694" s="62">
        <v>44786</v>
      </c>
      <c r="E4694" s="63">
        <v>0</v>
      </c>
    </row>
    <row r="4695" spans="1:5">
      <c r="A4695" s="61" t="s">
        <v>83</v>
      </c>
      <c r="B4695" s="61" t="s">
        <v>380</v>
      </c>
      <c r="C4695" s="62">
        <v>44787</v>
      </c>
      <c r="D4695" s="62">
        <v>44787</v>
      </c>
      <c r="E4695" s="63">
        <v>0</v>
      </c>
    </row>
    <row r="4696" spans="1:5">
      <c r="A4696" s="61" t="s">
        <v>83</v>
      </c>
      <c r="B4696" s="61" t="s">
        <v>380</v>
      </c>
      <c r="C4696" s="62">
        <v>44788</v>
      </c>
      <c r="D4696" s="62">
        <v>44788</v>
      </c>
      <c r="E4696" s="63">
        <v>0</v>
      </c>
    </row>
    <row r="4697" spans="1:5">
      <c r="A4697" s="61" t="s">
        <v>83</v>
      </c>
      <c r="B4697" s="61" t="s">
        <v>380</v>
      </c>
      <c r="C4697" s="62">
        <v>44789</v>
      </c>
      <c r="D4697" s="62">
        <v>44789</v>
      </c>
      <c r="E4697" s="63">
        <v>0</v>
      </c>
    </row>
    <row r="4698" spans="1:5">
      <c r="A4698" s="61" t="s">
        <v>83</v>
      </c>
      <c r="B4698" s="61" t="s">
        <v>380</v>
      </c>
      <c r="C4698" s="62">
        <v>44790</v>
      </c>
      <c r="D4698" s="62">
        <v>44790</v>
      </c>
      <c r="E4698" s="63">
        <v>0</v>
      </c>
    </row>
    <row r="4699" spans="1:5">
      <c r="A4699" s="61" t="s">
        <v>83</v>
      </c>
      <c r="B4699" s="61" t="s">
        <v>380</v>
      </c>
      <c r="C4699" s="62">
        <v>44791</v>
      </c>
      <c r="D4699" s="62">
        <v>44791</v>
      </c>
      <c r="E4699" s="63">
        <v>0</v>
      </c>
    </row>
    <row r="4700" spans="1:5">
      <c r="A4700" s="61" t="s">
        <v>83</v>
      </c>
      <c r="B4700" s="61" t="s">
        <v>380</v>
      </c>
      <c r="C4700" s="62">
        <v>44792</v>
      </c>
      <c r="D4700" s="62">
        <v>44792</v>
      </c>
      <c r="E4700" s="63">
        <v>0</v>
      </c>
    </row>
    <row r="4701" spans="1:5">
      <c r="A4701" s="61" t="s">
        <v>83</v>
      </c>
      <c r="B4701" s="61" t="s">
        <v>380</v>
      </c>
      <c r="C4701" s="62">
        <v>44793</v>
      </c>
      <c r="D4701" s="62">
        <v>44793</v>
      </c>
      <c r="E4701" s="63">
        <v>0</v>
      </c>
    </row>
    <row r="4702" spans="1:5">
      <c r="A4702" s="61" t="s">
        <v>83</v>
      </c>
      <c r="B4702" s="61" t="s">
        <v>380</v>
      </c>
      <c r="C4702" s="62">
        <v>44794</v>
      </c>
      <c r="D4702" s="62">
        <v>44794</v>
      </c>
      <c r="E4702" s="63">
        <v>0</v>
      </c>
    </row>
    <row r="4703" spans="1:5">
      <c r="A4703" s="61" t="s">
        <v>83</v>
      </c>
      <c r="B4703" s="61" t="s">
        <v>380</v>
      </c>
      <c r="C4703" s="62">
        <v>44795</v>
      </c>
      <c r="D4703" s="62">
        <v>44795</v>
      </c>
      <c r="E4703" s="63">
        <v>0</v>
      </c>
    </row>
    <row r="4704" spans="1:5">
      <c r="A4704" s="61" t="s">
        <v>83</v>
      </c>
      <c r="B4704" s="61" t="s">
        <v>380</v>
      </c>
      <c r="C4704" s="62">
        <v>44796</v>
      </c>
      <c r="D4704" s="62">
        <v>44796</v>
      </c>
      <c r="E4704" s="63">
        <v>0</v>
      </c>
    </row>
    <row r="4705" spans="1:5">
      <c r="A4705" s="61" t="s">
        <v>83</v>
      </c>
      <c r="B4705" s="61" t="s">
        <v>380</v>
      </c>
      <c r="C4705" s="62">
        <v>44797</v>
      </c>
      <c r="D4705" s="62">
        <v>44797</v>
      </c>
      <c r="E4705" s="63">
        <v>0</v>
      </c>
    </row>
    <row r="4706" spans="1:5">
      <c r="A4706" s="61" t="s">
        <v>83</v>
      </c>
      <c r="B4706" s="61" t="s">
        <v>380</v>
      </c>
      <c r="C4706" s="62">
        <v>44798</v>
      </c>
      <c r="D4706" s="62">
        <v>44798</v>
      </c>
      <c r="E4706" s="63">
        <v>0</v>
      </c>
    </row>
    <row r="4707" spans="1:5">
      <c r="A4707" s="61" t="s">
        <v>83</v>
      </c>
      <c r="B4707" s="61" t="s">
        <v>380</v>
      </c>
      <c r="C4707" s="62">
        <v>44799</v>
      </c>
      <c r="D4707" s="62">
        <v>44799</v>
      </c>
      <c r="E4707" s="63">
        <v>0</v>
      </c>
    </row>
    <row r="4708" spans="1:5">
      <c r="A4708" s="61" t="s">
        <v>83</v>
      </c>
      <c r="B4708" s="61" t="s">
        <v>380</v>
      </c>
      <c r="C4708" s="62">
        <v>44800</v>
      </c>
      <c r="D4708" s="62">
        <v>44800</v>
      </c>
      <c r="E4708" s="63">
        <v>0</v>
      </c>
    </row>
    <row r="4709" spans="1:5">
      <c r="A4709" s="61" t="s">
        <v>83</v>
      </c>
      <c r="B4709" s="61" t="s">
        <v>380</v>
      </c>
      <c r="C4709" s="62">
        <v>44801</v>
      </c>
      <c r="D4709" s="62">
        <v>44801</v>
      </c>
      <c r="E4709" s="63">
        <v>0</v>
      </c>
    </row>
    <row r="4710" spans="1:5">
      <c r="A4710" s="61" t="s">
        <v>83</v>
      </c>
      <c r="B4710" s="61" t="s">
        <v>380</v>
      </c>
      <c r="C4710" s="62">
        <v>44802</v>
      </c>
      <c r="D4710" s="62">
        <v>44802</v>
      </c>
      <c r="E4710" s="63">
        <v>0</v>
      </c>
    </row>
    <row r="4711" spans="1:5">
      <c r="A4711" s="61" t="s">
        <v>83</v>
      </c>
      <c r="B4711" s="61" t="s">
        <v>380</v>
      </c>
      <c r="C4711" s="62">
        <v>44803</v>
      </c>
      <c r="D4711" s="62">
        <v>44803</v>
      </c>
      <c r="E4711" s="63">
        <v>0</v>
      </c>
    </row>
    <row r="4712" spans="1:5">
      <c r="A4712" s="61" t="s">
        <v>223</v>
      </c>
      <c r="B4712" s="61" t="s">
        <v>381</v>
      </c>
      <c r="C4712" s="62">
        <v>44774</v>
      </c>
      <c r="D4712" s="62">
        <v>44774</v>
      </c>
      <c r="E4712" s="63">
        <v>0</v>
      </c>
    </row>
    <row r="4713" spans="1:5">
      <c r="A4713" s="61" t="s">
        <v>223</v>
      </c>
      <c r="B4713" s="61" t="s">
        <v>381</v>
      </c>
      <c r="C4713" s="62">
        <v>44775</v>
      </c>
      <c r="D4713" s="62">
        <v>44775</v>
      </c>
      <c r="E4713" s="63">
        <v>0</v>
      </c>
    </row>
    <row r="4714" spans="1:5">
      <c r="A4714" s="61" t="s">
        <v>223</v>
      </c>
      <c r="B4714" s="61" t="s">
        <v>381</v>
      </c>
      <c r="C4714" s="62">
        <v>44776</v>
      </c>
      <c r="D4714" s="62">
        <v>44776</v>
      </c>
      <c r="E4714" s="63">
        <v>0</v>
      </c>
    </row>
    <row r="4715" spans="1:5">
      <c r="A4715" s="61" t="s">
        <v>223</v>
      </c>
      <c r="B4715" s="61" t="s">
        <v>381</v>
      </c>
      <c r="C4715" s="62">
        <v>44777</v>
      </c>
      <c r="D4715" s="62">
        <v>44777</v>
      </c>
      <c r="E4715" s="63">
        <v>0</v>
      </c>
    </row>
    <row r="4716" spans="1:5">
      <c r="A4716" s="61" t="s">
        <v>223</v>
      </c>
      <c r="B4716" s="61" t="s">
        <v>381</v>
      </c>
      <c r="C4716" s="62">
        <v>44778</v>
      </c>
      <c r="D4716" s="62">
        <v>44778</v>
      </c>
      <c r="E4716" s="63">
        <v>0</v>
      </c>
    </row>
    <row r="4717" spans="1:5">
      <c r="A4717" s="61" t="s">
        <v>223</v>
      </c>
      <c r="B4717" s="61" t="s">
        <v>381</v>
      </c>
      <c r="C4717" s="62">
        <v>44779</v>
      </c>
      <c r="D4717" s="62">
        <v>44779</v>
      </c>
      <c r="E4717" s="63">
        <v>0</v>
      </c>
    </row>
    <row r="4718" spans="1:5">
      <c r="A4718" s="61" t="s">
        <v>223</v>
      </c>
      <c r="B4718" s="61" t="s">
        <v>381</v>
      </c>
      <c r="C4718" s="62">
        <v>44780</v>
      </c>
      <c r="D4718" s="62">
        <v>44780</v>
      </c>
      <c r="E4718" s="63">
        <v>0</v>
      </c>
    </row>
    <row r="4719" spans="1:5">
      <c r="A4719" s="61" t="s">
        <v>223</v>
      </c>
      <c r="B4719" s="61" t="s">
        <v>381</v>
      </c>
      <c r="C4719" s="62">
        <v>44781</v>
      </c>
      <c r="D4719" s="62">
        <v>44781</v>
      </c>
      <c r="E4719" s="63">
        <v>0</v>
      </c>
    </row>
    <row r="4720" spans="1:5">
      <c r="A4720" s="61" t="s">
        <v>223</v>
      </c>
      <c r="B4720" s="61" t="s">
        <v>381</v>
      </c>
      <c r="C4720" s="62">
        <v>44782</v>
      </c>
      <c r="D4720" s="62">
        <v>44782</v>
      </c>
      <c r="E4720" s="63">
        <v>0</v>
      </c>
    </row>
    <row r="4721" spans="1:5">
      <c r="A4721" s="61" t="s">
        <v>223</v>
      </c>
      <c r="B4721" s="61" t="s">
        <v>381</v>
      </c>
      <c r="C4721" s="62">
        <v>44783</v>
      </c>
      <c r="D4721" s="62">
        <v>44783</v>
      </c>
      <c r="E4721" s="63">
        <v>0</v>
      </c>
    </row>
    <row r="4722" spans="1:5">
      <c r="A4722" s="61" t="s">
        <v>223</v>
      </c>
      <c r="B4722" s="61" t="s">
        <v>381</v>
      </c>
      <c r="C4722" s="62">
        <v>44784</v>
      </c>
      <c r="D4722" s="62">
        <v>44784</v>
      </c>
      <c r="E4722" s="63">
        <v>0</v>
      </c>
    </row>
    <row r="4723" spans="1:5">
      <c r="A4723" s="61" t="s">
        <v>223</v>
      </c>
      <c r="B4723" s="61" t="s">
        <v>381</v>
      </c>
      <c r="C4723" s="62">
        <v>44785</v>
      </c>
      <c r="D4723" s="62">
        <v>44785</v>
      </c>
      <c r="E4723" s="63">
        <v>0</v>
      </c>
    </row>
    <row r="4724" spans="1:5">
      <c r="A4724" s="61" t="s">
        <v>223</v>
      </c>
      <c r="B4724" s="61" t="s">
        <v>381</v>
      </c>
      <c r="C4724" s="62">
        <v>44786</v>
      </c>
      <c r="D4724" s="62">
        <v>44786</v>
      </c>
      <c r="E4724" s="63">
        <v>0</v>
      </c>
    </row>
    <row r="4725" spans="1:5">
      <c r="A4725" s="61" t="s">
        <v>223</v>
      </c>
      <c r="B4725" s="61" t="s">
        <v>381</v>
      </c>
      <c r="C4725" s="62">
        <v>44787</v>
      </c>
      <c r="D4725" s="62">
        <v>44787</v>
      </c>
      <c r="E4725" s="63">
        <v>0</v>
      </c>
    </row>
    <row r="4726" spans="1:5">
      <c r="A4726" s="61" t="s">
        <v>223</v>
      </c>
      <c r="B4726" s="61" t="s">
        <v>381</v>
      </c>
      <c r="C4726" s="62">
        <v>44788</v>
      </c>
      <c r="D4726" s="62">
        <v>44788</v>
      </c>
      <c r="E4726" s="63">
        <v>0</v>
      </c>
    </row>
    <row r="4727" spans="1:5">
      <c r="A4727" s="61" t="s">
        <v>223</v>
      </c>
      <c r="B4727" s="61" t="s">
        <v>381</v>
      </c>
      <c r="C4727" s="62">
        <v>44789</v>
      </c>
      <c r="D4727" s="62">
        <v>44789</v>
      </c>
      <c r="E4727" s="63">
        <v>0</v>
      </c>
    </row>
    <row r="4728" spans="1:5">
      <c r="A4728" s="61" t="s">
        <v>223</v>
      </c>
      <c r="B4728" s="61" t="s">
        <v>381</v>
      </c>
      <c r="C4728" s="62">
        <v>44790</v>
      </c>
      <c r="D4728" s="62">
        <v>44790</v>
      </c>
      <c r="E4728" s="63">
        <v>0</v>
      </c>
    </row>
    <row r="4729" spans="1:5">
      <c r="A4729" s="61" t="s">
        <v>223</v>
      </c>
      <c r="B4729" s="61" t="s">
        <v>381</v>
      </c>
      <c r="C4729" s="62">
        <v>44791</v>
      </c>
      <c r="D4729" s="62">
        <v>44791</v>
      </c>
      <c r="E4729" s="63">
        <v>0</v>
      </c>
    </row>
    <row r="4730" spans="1:5">
      <c r="A4730" s="61" t="s">
        <v>223</v>
      </c>
      <c r="B4730" s="61" t="s">
        <v>381</v>
      </c>
      <c r="C4730" s="62">
        <v>44792</v>
      </c>
      <c r="D4730" s="62">
        <v>44792</v>
      </c>
      <c r="E4730" s="63">
        <v>0</v>
      </c>
    </row>
    <row r="4731" spans="1:5">
      <c r="A4731" s="61" t="s">
        <v>223</v>
      </c>
      <c r="B4731" s="61" t="s">
        <v>381</v>
      </c>
      <c r="C4731" s="62">
        <v>44793</v>
      </c>
      <c r="D4731" s="62">
        <v>44793</v>
      </c>
      <c r="E4731" s="63">
        <v>0</v>
      </c>
    </row>
    <row r="4732" spans="1:5">
      <c r="A4732" s="61" t="s">
        <v>223</v>
      </c>
      <c r="B4732" s="61" t="s">
        <v>381</v>
      </c>
      <c r="C4732" s="62">
        <v>44794</v>
      </c>
      <c r="D4732" s="62">
        <v>44794</v>
      </c>
      <c r="E4732" s="63">
        <v>0</v>
      </c>
    </row>
    <row r="4733" spans="1:5">
      <c r="A4733" s="61" t="s">
        <v>223</v>
      </c>
      <c r="B4733" s="61" t="s">
        <v>381</v>
      </c>
      <c r="C4733" s="62">
        <v>44795</v>
      </c>
      <c r="D4733" s="62">
        <v>44795</v>
      </c>
      <c r="E4733" s="63">
        <v>0</v>
      </c>
    </row>
    <row r="4734" spans="1:5">
      <c r="A4734" s="61" t="s">
        <v>223</v>
      </c>
      <c r="B4734" s="61" t="s">
        <v>381</v>
      </c>
      <c r="C4734" s="62">
        <v>44796</v>
      </c>
      <c r="D4734" s="62">
        <v>44796</v>
      </c>
      <c r="E4734" s="63">
        <v>0</v>
      </c>
    </row>
    <row r="4735" spans="1:5">
      <c r="A4735" s="61" t="s">
        <v>223</v>
      </c>
      <c r="B4735" s="61" t="s">
        <v>381</v>
      </c>
      <c r="C4735" s="62">
        <v>44797</v>
      </c>
      <c r="D4735" s="62">
        <v>44797</v>
      </c>
      <c r="E4735" s="63">
        <v>0</v>
      </c>
    </row>
    <row r="4736" spans="1:5">
      <c r="A4736" s="61" t="s">
        <v>223</v>
      </c>
      <c r="B4736" s="61" t="s">
        <v>381</v>
      </c>
      <c r="C4736" s="62">
        <v>44798</v>
      </c>
      <c r="D4736" s="62">
        <v>44798</v>
      </c>
      <c r="E4736" s="63">
        <v>0</v>
      </c>
    </row>
    <row r="4737" spans="1:5">
      <c r="A4737" s="61" t="s">
        <v>223</v>
      </c>
      <c r="B4737" s="61" t="s">
        <v>381</v>
      </c>
      <c r="C4737" s="62">
        <v>44799</v>
      </c>
      <c r="D4737" s="62">
        <v>44799</v>
      </c>
      <c r="E4737" s="63">
        <v>0</v>
      </c>
    </row>
    <row r="4738" spans="1:5">
      <c r="A4738" s="61" t="s">
        <v>223</v>
      </c>
      <c r="B4738" s="61" t="s">
        <v>381</v>
      </c>
      <c r="C4738" s="62">
        <v>44800</v>
      </c>
      <c r="D4738" s="62">
        <v>44800</v>
      </c>
      <c r="E4738" s="63">
        <v>0</v>
      </c>
    </row>
    <row r="4739" spans="1:5">
      <c r="A4739" s="61" t="s">
        <v>223</v>
      </c>
      <c r="B4739" s="61" t="s">
        <v>381</v>
      </c>
      <c r="C4739" s="62">
        <v>44801</v>
      </c>
      <c r="D4739" s="62">
        <v>44801</v>
      </c>
      <c r="E4739" s="63">
        <v>0</v>
      </c>
    </row>
    <row r="4740" spans="1:5">
      <c r="A4740" s="61" t="s">
        <v>223</v>
      </c>
      <c r="B4740" s="61" t="s">
        <v>381</v>
      </c>
      <c r="C4740" s="62">
        <v>44802</v>
      </c>
      <c r="D4740" s="62">
        <v>44802</v>
      </c>
      <c r="E4740" s="63">
        <v>0</v>
      </c>
    </row>
    <row r="4741" spans="1:5">
      <c r="A4741" s="61" t="s">
        <v>223</v>
      </c>
      <c r="B4741" s="61" t="s">
        <v>381</v>
      </c>
      <c r="C4741" s="62">
        <v>44803</v>
      </c>
      <c r="D4741" s="62">
        <v>44803</v>
      </c>
      <c r="E4741" s="63">
        <v>0</v>
      </c>
    </row>
    <row r="4742" spans="1:5">
      <c r="A4742" s="61" t="s">
        <v>224</v>
      </c>
      <c r="B4742" s="61" t="s">
        <v>382</v>
      </c>
      <c r="C4742" s="62">
        <v>44774</v>
      </c>
      <c r="D4742" s="62">
        <v>44774</v>
      </c>
      <c r="E4742" s="63">
        <v>0</v>
      </c>
    </row>
    <row r="4743" spans="1:5">
      <c r="A4743" s="61" t="s">
        <v>224</v>
      </c>
      <c r="B4743" s="61" t="s">
        <v>382</v>
      </c>
      <c r="C4743" s="62">
        <v>44775</v>
      </c>
      <c r="D4743" s="62">
        <v>44775</v>
      </c>
      <c r="E4743" s="63">
        <v>0</v>
      </c>
    </row>
    <row r="4744" spans="1:5">
      <c r="A4744" s="61" t="s">
        <v>224</v>
      </c>
      <c r="B4744" s="61" t="s">
        <v>382</v>
      </c>
      <c r="C4744" s="62">
        <v>44776</v>
      </c>
      <c r="D4744" s="62">
        <v>44776</v>
      </c>
      <c r="E4744" s="63">
        <v>0</v>
      </c>
    </row>
    <row r="4745" spans="1:5">
      <c r="A4745" s="61" t="s">
        <v>224</v>
      </c>
      <c r="B4745" s="61" t="s">
        <v>382</v>
      </c>
      <c r="C4745" s="62">
        <v>44777</v>
      </c>
      <c r="D4745" s="62">
        <v>44777</v>
      </c>
      <c r="E4745" s="63">
        <v>0</v>
      </c>
    </row>
    <row r="4746" spans="1:5">
      <c r="A4746" s="61" t="s">
        <v>224</v>
      </c>
      <c r="B4746" s="61" t="s">
        <v>382</v>
      </c>
      <c r="C4746" s="62">
        <v>44778</v>
      </c>
      <c r="D4746" s="62">
        <v>44778</v>
      </c>
      <c r="E4746" s="63">
        <v>0</v>
      </c>
    </row>
    <row r="4747" spans="1:5">
      <c r="A4747" s="61" t="s">
        <v>224</v>
      </c>
      <c r="B4747" s="61" t="s">
        <v>382</v>
      </c>
      <c r="C4747" s="62">
        <v>44779</v>
      </c>
      <c r="D4747" s="62">
        <v>44779</v>
      </c>
      <c r="E4747" s="63">
        <v>0</v>
      </c>
    </row>
    <row r="4748" spans="1:5">
      <c r="A4748" s="61" t="s">
        <v>224</v>
      </c>
      <c r="B4748" s="61" t="s">
        <v>382</v>
      </c>
      <c r="C4748" s="62">
        <v>44780</v>
      </c>
      <c r="D4748" s="62">
        <v>44780</v>
      </c>
      <c r="E4748" s="63">
        <v>0</v>
      </c>
    </row>
    <row r="4749" spans="1:5">
      <c r="A4749" s="61" t="s">
        <v>224</v>
      </c>
      <c r="B4749" s="61" t="s">
        <v>382</v>
      </c>
      <c r="C4749" s="62">
        <v>44781</v>
      </c>
      <c r="D4749" s="62">
        <v>44781</v>
      </c>
      <c r="E4749" s="63">
        <v>0</v>
      </c>
    </row>
    <row r="4750" spans="1:5">
      <c r="A4750" s="61" t="s">
        <v>224</v>
      </c>
      <c r="B4750" s="61" t="s">
        <v>382</v>
      </c>
      <c r="C4750" s="62">
        <v>44782</v>
      </c>
      <c r="D4750" s="62">
        <v>44782</v>
      </c>
      <c r="E4750" s="63">
        <v>0</v>
      </c>
    </row>
    <row r="4751" spans="1:5">
      <c r="A4751" s="61" t="s">
        <v>224</v>
      </c>
      <c r="B4751" s="61" t="s">
        <v>382</v>
      </c>
      <c r="C4751" s="62">
        <v>44783</v>
      </c>
      <c r="D4751" s="62">
        <v>44783</v>
      </c>
      <c r="E4751" s="63">
        <v>0</v>
      </c>
    </row>
    <row r="4752" spans="1:5">
      <c r="A4752" s="61" t="s">
        <v>224</v>
      </c>
      <c r="B4752" s="61" t="s">
        <v>382</v>
      </c>
      <c r="C4752" s="62">
        <v>44784</v>
      </c>
      <c r="D4752" s="62">
        <v>44784</v>
      </c>
      <c r="E4752" s="63">
        <v>0</v>
      </c>
    </row>
    <row r="4753" spans="1:5">
      <c r="A4753" s="61" t="s">
        <v>224</v>
      </c>
      <c r="B4753" s="61" t="s">
        <v>382</v>
      </c>
      <c r="C4753" s="62">
        <v>44785</v>
      </c>
      <c r="D4753" s="62">
        <v>44785</v>
      </c>
      <c r="E4753" s="63">
        <v>0</v>
      </c>
    </row>
    <row r="4754" spans="1:5">
      <c r="A4754" s="61" t="s">
        <v>224</v>
      </c>
      <c r="B4754" s="61" t="s">
        <v>382</v>
      </c>
      <c r="C4754" s="62">
        <v>44786</v>
      </c>
      <c r="D4754" s="62">
        <v>44786</v>
      </c>
      <c r="E4754" s="63">
        <v>0</v>
      </c>
    </row>
    <row r="4755" spans="1:5">
      <c r="A4755" s="61" t="s">
        <v>224</v>
      </c>
      <c r="B4755" s="61" t="s">
        <v>382</v>
      </c>
      <c r="C4755" s="62">
        <v>44787</v>
      </c>
      <c r="D4755" s="62">
        <v>44787</v>
      </c>
      <c r="E4755" s="63">
        <v>0</v>
      </c>
    </row>
    <row r="4756" spans="1:5">
      <c r="A4756" s="61" t="s">
        <v>224</v>
      </c>
      <c r="B4756" s="61" t="s">
        <v>382</v>
      </c>
      <c r="C4756" s="62">
        <v>44788</v>
      </c>
      <c r="D4756" s="62">
        <v>44788</v>
      </c>
      <c r="E4756" s="63">
        <v>0</v>
      </c>
    </row>
    <row r="4757" spans="1:5">
      <c r="A4757" s="61" t="s">
        <v>224</v>
      </c>
      <c r="B4757" s="61" t="s">
        <v>382</v>
      </c>
      <c r="C4757" s="62">
        <v>44789</v>
      </c>
      <c r="D4757" s="62">
        <v>44789</v>
      </c>
      <c r="E4757" s="63">
        <v>0</v>
      </c>
    </row>
    <row r="4758" spans="1:5">
      <c r="A4758" s="61" t="s">
        <v>224</v>
      </c>
      <c r="B4758" s="61" t="s">
        <v>382</v>
      </c>
      <c r="C4758" s="62">
        <v>44790</v>
      </c>
      <c r="D4758" s="62">
        <v>44790</v>
      </c>
      <c r="E4758" s="63">
        <v>0</v>
      </c>
    </row>
    <row r="4759" spans="1:5">
      <c r="A4759" s="61" t="s">
        <v>224</v>
      </c>
      <c r="B4759" s="61" t="s">
        <v>382</v>
      </c>
      <c r="C4759" s="62">
        <v>44791</v>
      </c>
      <c r="D4759" s="62">
        <v>44791</v>
      </c>
      <c r="E4759" s="63">
        <v>0</v>
      </c>
    </row>
    <row r="4760" spans="1:5">
      <c r="A4760" s="61" t="s">
        <v>224</v>
      </c>
      <c r="B4760" s="61" t="s">
        <v>382</v>
      </c>
      <c r="C4760" s="62">
        <v>44792</v>
      </c>
      <c r="D4760" s="62">
        <v>44792</v>
      </c>
      <c r="E4760" s="63">
        <v>0</v>
      </c>
    </row>
    <row r="4761" spans="1:5">
      <c r="A4761" s="61" t="s">
        <v>224</v>
      </c>
      <c r="B4761" s="61" t="s">
        <v>382</v>
      </c>
      <c r="C4761" s="62">
        <v>44793</v>
      </c>
      <c r="D4761" s="62">
        <v>44793</v>
      </c>
      <c r="E4761" s="63">
        <v>0</v>
      </c>
    </row>
    <row r="4762" spans="1:5">
      <c r="A4762" s="61" t="s">
        <v>224</v>
      </c>
      <c r="B4762" s="61" t="s">
        <v>382</v>
      </c>
      <c r="C4762" s="62">
        <v>44794</v>
      </c>
      <c r="D4762" s="62">
        <v>44794</v>
      </c>
      <c r="E4762" s="63">
        <v>0</v>
      </c>
    </row>
    <row r="4763" spans="1:5">
      <c r="A4763" s="61" t="s">
        <v>224</v>
      </c>
      <c r="B4763" s="61" t="s">
        <v>382</v>
      </c>
      <c r="C4763" s="62">
        <v>44795</v>
      </c>
      <c r="D4763" s="62">
        <v>44795</v>
      </c>
      <c r="E4763" s="63">
        <v>0</v>
      </c>
    </row>
    <row r="4764" spans="1:5">
      <c r="A4764" s="61" t="s">
        <v>224</v>
      </c>
      <c r="B4764" s="61" t="s">
        <v>382</v>
      </c>
      <c r="C4764" s="62">
        <v>44796</v>
      </c>
      <c r="D4764" s="62">
        <v>44796</v>
      </c>
      <c r="E4764" s="63">
        <v>0</v>
      </c>
    </row>
    <row r="4765" spans="1:5">
      <c r="A4765" s="61" t="s">
        <v>224</v>
      </c>
      <c r="B4765" s="61" t="s">
        <v>382</v>
      </c>
      <c r="C4765" s="62">
        <v>44797</v>
      </c>
      <c r="D4765" s="62">
        <v>44797</v>
      </c>
      <c r="E4765" s="63">
        <v>0</v>
      </c>
    </row>
    <row r="4766" spans="1:5">
      <c r="A4766" s="61" t="s">
        <v>224</v>
      </c>
      <c r="B4766" s="61" t="s">
        <v>382</v>
      </c>
      <c r="C4766" s="62">
        <v>44798</v>
      </c>
      <c r="D4766" s="62">
        <v>44798</v>
      </c>
      <c r="E4766" s="63">
        <v>0</v>
      </c>
    </row>
    <row r="4767" spans="1:5">
      <c r="A4767" s="61" t="s">
        <v>224</v>
      </c>
      <c r="B4767" s="61" t="s">
        <v>382</v>
      </c>
      <c r="C4767" s="62">
        <v>44799</v>
      </c>
      <c r="D4767" s="62">
        <v>44799</v>
      </c>
      <c r="E4767" s="63">
        <v>0</v>
      </c>
    </row>
    <row r="4768" spans="1:5">
      <c r="A4768" s="61" t="s">
        <v>224</v>
      </c>
      <c r="B4768" s="61" t="s">
        <v>382</v>
      </c>
      <c r="C4768" s="62">
        <v>44800</v>
      </c>
      <c r="D4768" s="62">
        <v>44800</v>
      </c>
      <c r="E4768" s="63">
        <v>0</v>
      </c>
    </row>
    <row r="4769" spans="1:5">
      <c r="A4769" s="61" t="s">
        <v>224</v>
      </c>
      <c r="B4769" s="61" t="s">
        <v>382</v>
      </c>
      <c r="C4769" s="62">
        <v>44801</v>
      </c>
      <c r="D4769" s="62">
        <v>44801</v>
      </c>
      <c r="E4769" s="63">
        <v>0</v>
      </c>
    </row>
    <row r="4770" spans="1:5">
      <c r="A4770" s="61" t="s">
        <v>224</v>
      </c>
      <c r="B4770" s="61" t="s">
        <v>382</v>
      </c>
      <c r="C4770" s="62">
        <v>44802</v>
      </c>
      <c r="D4770" s="62">
        <v>44802</v>
      </c>
      <c r="E4770" s="63">
        <v>0</v>
      </c>
    </row>
    <row r="4771" spans="1:5">
      <c r="A4771" s="61" t="s">
        <v>224</v>
      </c>
      <c r="B4771" s="61" t="s">
        <v>382</v>
      </c>
      <c r="C4771" s="62">
        <v>44803</v>
      </c>
      <c r="D4771" s="62">
        <v>44803</v>
      </c>
      <c r="E4771" s="63">
        <v>0</v>
      </c>
    </row>
    <row r="4772" spans="1:5">
      <c r="A4772" s="61" t="s">
        <v>225</v>
      </c>
      <c r="B4772" s="61" t="s">
        <v>383</v>
      </c>
      <c r="C4772" s="62">
        <v>44774</v>
      </c>
      <c r="D4772" s="62">
        <v>44774</v>
      </c>
      <c r="E4772" s="63">
        <v>0</v>
      </c>
    </row>
    <row r="4773" spans="1:5">
      <c r="A4773" s="61" t="s">
        <v>225</v>
      </c>
      <c r="B4773" s="61" t="s">
        <v>383</v>
      </c>
      <c r="C4773" s="62">
        <v>44775</v>
      </c>
      <c r="D4773" s="62">
        <v>44775</v>
      </c>
      <c r="E4773" s="63">
        <v>0</v>
      </c>
    </row>
    <row r="4774" spans="1:5">
      <c r="A4774" s="61" t="s">
        <v>225</v>
      </c>
      <c r="B4774" s="61" t="s">
        <v>383</v>
      </c>
      <c r="C4774" s="62">
        <v>44776</v>
      </c>
      <c r="D4774" s="62">
        <v>44776</v>
      </c>
      <c r="E4774" s="63">
        <v>0</v>
      </c>
    </row>
    <row r="4775" spans="1:5">
      <c r="A4775" s="61" t="s">
        <v>225</v>
      </c>
      <c r="B4775" s="61" t="s">
        <v>383</v>
      </c>
      <c r="C4775" s="62">
        <v>44777</v>
      </c>
      <c r="D4775" s="62">
        <v>44777</v>
      </c>
      <c r="E4775" s="63">
        <v>0</v>
      </c>
    </row>
    <row r="4776" spans="1:5">
      <c r="A4776" s="61" t="s">
        <v>225</v>
      </c>
      <c r="B4776" s="61" t="s">
        <v>383</v>
      </c>
      <c r="C4776" s="62">
        <v>44778</v>
      </c>
      <c r="D4776" s="62">
        <v>44778</v>
      </c>
      <c r="E4776" s="63">
        <v>0</v>
      </c>
    </row>
    <row r="4777" spans="1:5">
      <c r="A4777" s="61" t="s">
        <v>225</v>
      </c>
      <c r="B4777" s="61" t="s">
        <v>383</v>
      </c>
      <c r="C4777" s="62">
        <v>44779</v>
      </c>
      <c r="D4777" s="62">
        <v>44779</v>
      </c>
      <c r="E4777" s="63">
        <v>0</v>
      </c>
    </row>
    <row r="4778" spans="1:5">
      <c r="A4778" s="61" t="s">
        <v>225</v>
      </c>
      <c r="B4778" s="61" t="s">
        <v>383</v>
      </c>
      <c r="C4778" s="62">
        <v>44780</v>
      </c>
      <c r="D4778" s="62">
        <v>44780</v>
      </c>
      <c r="E4778" s="63">
        <v>0</v>
      </c>
    </row>
    <row r="4779" spans="1:5">
      <c r="A4779" s="61" t="s">
        <v>225</v>
      </c>
      <c r="B4779" s="61" t="s">
        <v>383</v>
      </c>
      <c r="C4779" s="62">
        <v>44781</v>
      </c>
      <c r="D4779" s="62">
        <v>44781</v>
      </c>
      <c r="E4779" s="63">
        <v>0</v>
      </c>
    </row>
    <row r="4780" spans="1:5">
      <c r="A4780" s="61" t="s">
        <v>225</v>
      </c>
      <c r="B4780" s="61" t="s">
        <v>383</v>
      </c>
      <c r="C4780" s="62">
        <v>44782</v>
      </c>
      <c r="D4780" s="62">
        <v>44782</v>
      </c>
      <c r="E4780" s="63">
        <v>0</v>
      </c>
    </row>
    <row r="4781" spans="1:5">
      <c r="A4781" s="61" t="s">
        <v>225</v>
      </c>
      <c r="B4781" s="61" t="s">
        <v>383</v>
      </c>
      <c r="C4781" s="62">
        <v>44783</v>
      </c>
      <c r="D4781" s="62">
        <v>44783</v>
      </c>
      <c r="E4781" s="63">
        <v>0</v>
      </c>
    </row>
    <row r="4782" spans="1:5">
      <c r="A4782" s="61" t="s">
        <v>225</v>
      </c>
      <c r="B4782" s="61" t="s">
        <v>383</v>
      </c>
      <c r="C4782" s="62">
        <v>44784</v>
      </c>
      <c r="D4782" s="62">
        <v>44784</v>
      </c>
      <c r="E4782" s="63">
        <v>0</v>
      </c>
    </row>
    <row r="4783" spans="1:5">
      <c r="A4783" s="61" t="s">
        <v>225</v>
      </c>
      <c r="B4783" s="61" t="s">
        <v>383</v>
      </c>
      <c r="C4783" s="62">
        <v>44785</v>
      </c>
      <c r="D4783" s="62">
        <v>44785</v>
      </c>
      <c r="E4783" s="63">
        <v>0</v>
      </c>
    </row>
    <row r="4784" spans="1:5">
      <c r="A4784" s="61" t="s">
        <v>225</v>
      </c>
      <c r="B4784" s="61" t="s">
        <v>383</v>
      </c>
      <c r="C4784" s="62">
        <v>44786</v>
      </c>
      <c r="D4784" s="62">
        <v>44786</v>
      </c>
      <c r="E4784" s="63">
        <v>0</v>
      </c>
    </row>
    <row r="4785" spans="1:5">
      <c r="A4785" s="61" t="s">
        <v>225</v>
      </c>
      <c r="B4785" s="61" t="s">
        <v>383</v>
      </c>
      <c r="C4785" s="62">
        <v>44787</v>
      </c>
      <c r="D4785" s="62">
        <v>44787</v>
      </c>
      <c r="E4785" s="63">
        <v>0</v>
      </c>
    </row>
    <row r="4786" spans="1:5">
      <c r="A4786" s="61" t="s">
        <v>225</v>
      </c>
      <c r="B4786" s="61" t="s">
        <v>383</v>
      </c>
      <c r="C4786" s="62">
        <v>44788</v>
      </c>
      <c r="D4786" s="62">
        <v>44788</v>
      </c>
      <c r="E4786" s="63">
        <v>0</v>
      </c>
    </row>
    <row r="4787" spans="1:5">
      <c r="A4787" s="61" t="s">
        <v>225</v>
      </c>
      <c r="B4787" s="61" t="s">
        <v>383</v>
      </c>
      <c r="C4787" s="62">
        <v>44789</v>
      </c>
      <c r="D4787" s="62">
        <v>44789</v>
      </c>
      <c r="E4787" s="63">
        <v>0</v>
      </c>
    </row>
    <row r="4788" spans="1:5">
      <c r="A4788" s="61" t="s">
        <v>225</v>
      </c>
      <c r="B4788" s="61" t="s">
        <v>383</v>
      </c>
      <c r="C4788" s="62">
        <v>44790</v>
      </c>
      <c r="D4788" s="62">
        <v>44790</v>
      </c>
      <c r="E4788" s="63">
        <v>0</v>
      </c>
    </row>
    <row r="4789" spans="1:5">
      <c r="A4789" s="61" t="s">
        <v>225</v>
      </c>
      <c r="B4789" s="61" t="s">
        <v>383</v>
      </c>
      <c r="C4789" s="62">
        <v>44791</v>
      </c>
      <c r="D4789" s="62">
        <v>44791</v>
      </c>
      <c r="E4789" s="63">
        <v>0</v>
      </c>
    </row>
    <row r="4790" spans="1:5">
      <c r="A4790" s="61" t="s">
        <v>225</v>
      </c>
      <c r="B4790" s="61" t="s">
        <v>383</v>
      </c>
      <c r="C4790" s="62">
        <v>44792</v>
      </c>
      <c r="D4790" s="62">
        <v>44792</v>
      </c>
      <c r="E4790" s="63">
        <v>0</v>
      </c>
    </row>
    <row r="4791" spans="1:5">
      <c r="A4791" s="61" t="s">
        <v>225</v>
      </c>
      <c r="B4791" s="61" t="s">
        <v>383</v>
      </c>
      <c r="C4791" s="62">
        <v>44793</v>
      </c>
      <c r="D4791" s="62">
        <v>44793</v>
      </c>
      <c r="E4791" s="63">
        <v>0</v>
      </c>
    </row>
    <row r="4792" spans="1:5">
      <c r="A4792" s="61" t="s">
        <v>225</v>
      </c>
      <c r="B4792" s="61" t="s">
        <v>383</v>
      </c>
      <c r="C4792" s="62">
        <v>44794</v>
      </c>
      <c r="D4792" s="62">
        <v>44794</v>
      </c>
      <c r="E4792" s="63">
        <v>0</v>
      </c>
    </row>
    <row r="4793" spans="1:5">
      <c r="A4793" s="61" t="s">
        <v>225</v>
      </c>
      <c r="B4793" s="61" t="s">
        <v>383</v>
      </c>
      <c r="C4793" s="62">
        <v>44795</v>
      </c>
      <c r="D4793" s="62">
        <v>44795</v>
      </c>
      <c r="E4793" s="63">
        <v>0</v>
      </c>
    </row>
    <row r="4794" spans="1:5">
      <c r="A4794" s="61" t="s">
        <v>225</v>
      </c>
      <c r="B4794" s="61" t="s">
        <v>383</v>
      </c>
      <c r="C4794" s="62">
        <v>44796</v>
      </c>
      <c r="D4794" s="62">
        <v>44796</v>
      </c>
      <c r="E4794" s="63">
        <v>0</v>
      </c>
    </row>
    <row r="4795" spans="1:5">
      <c r="A4795" s="61" t="s">
        <v>225</v>
      </c>
      <c r="B4795" s="61" t="s">
        <v>383</v>
      </c>
      <c r="C4795" s="62">
        <v>44797</v>
      </c>
      <c r="D4795" s="62">
        <v>44797</v>
      </c>
      <c r="E4795" s="63">
        <v>0</v>
      </c>
    </row>
    <row r="4796" spans="1:5">
      <c r="A4796" s="61" t="s">
        <v>225</v>
      </c>
      <c r="B4796" s="61" t="s">
        <v>383</v>
      </c>
      <c r="C4796" s="62">
        <v>44798</v>
      </c>
      <c r="D4796" s="62">
        <v>44798</v>
      </c>
      <c r="E4796" s="63">
        <v>0</v>
      </c>
    </row>
    <row r="4797" spans="1:5">
      <c r="A4797" s="61" t="s">
        <v>225</v>
      </c>
      <c r="B4797" s="61" t="s">
        <v>383</v>
      </c>
      <c r="C4797" s="62">
        <v>44799</v>
      </c>
      <c r="D4797" s="62">
        <v>44799</v>
      </c>
      <c r="E4797" s="63">
        <v>0</v>
      </c>
    </row>
    <row r="4798" spans="1:5">
      <c r="A4798" s="61" t="s">
        <v>225</v>
      </c>
      <c r="B4798" s="61" t="s">
        <v>383</v>
      </c>
      <c r="C4798" s="62">
        <v>44800</v>
      </c>
      <c r="D4798" s="62">
        <v>44800</v>
      </c>
      <c r="E4798" s="63">
        <v>0</v>
      </c>
    </row>
    <row r="4799" spans="1:5">
      <c r="A4799" s="61" t="s">
        <v>225</v>
      </c>
      <c r="B4799" s="61" t="s">
        <v>383</v>
      </c>
      <c r="C4799" s="62">
        <v>44801</v>
      </c>
      <c r="D4799" s="62">
        <v>44801</v>
      </c>
      <c r="E4799" s="63">
        <v>0</v>
      </c>
    </row>
    <row r="4800" spans="1:5">
      <c r="A4800" s="61" t="s">
        <v>225</v>
      </c>
      <c r="B4800" s="61" t="s">
        <v>383</v>
      </c>
      <c r="C4800" s="62">
        <v>44802</v>
      </c>
      <c r="D4800" s="62">
        <v>44802</v>
      </c>
      <c r="E4800" s="63">
        <v>0</v>
      </c>
    </row>
    <row r="4801" spans="1:5">
      <c r="A4801" s="61" t="s">
        <v>225</v>
      </c>
      <c r="B4801" s="61" t="s">
        <v>383</v>
      </c>
      <c r="C4801" s="62">
        <v>44803</v>
      </c>
      <c r="D4801" s="62">
        <v>44803</v>
      </c>
      <c r="E4801" s="63">
        <v>0</v>
      </c>
    </row>
    <row r="4802" spans="1:5">
      <c r="A4802" s="61" t="s">
        <v>85</v>
      </c>
      <c r="B4802" s="61" t="s">
        <v>380</v>
      </c>
      <c r="C4802" s="62">
        <v>44774</v>
      </c>
      <c r="D4802" s="62">
        <v>44774</v>
      </c>
      <c r="E4802" s="63">
        <v>0</v>
      </c>
    </row>
    <row r="4803" spans="1:5">
      <c r="A4803" s="61" t="s">
        <v>85</v>
      </c>
      <c r="B4803" s="61" t="s">
        <v>380</v>
      </c>
      <c r="C4803" s="62">
        <v>44775</v>
      </c>
      <c r="D4803" s="62">
        <v>44775</v>
      </c>
      <c r="E4803" s="63">
        <v>0</v>
      </c>
    </row>
    <row r="4804" spans="1:5">
      <c r="A4804" s="61" t="s">
        <v>85</v>
      </c>
      <c r="B4804" s="61" t="s">
        <v>380</v>
      </c>
      <c r="C4804" s="62">
        <v>44776</v>
      </c>
      <c r="D4804" s="62">
        <v>44776</v>
      </c>
      <c r="E4804" s="63">
        <v>0</v>
      </c>
    </row>
    <row r="4805" spans="1:5">
      <c r="A4805" s="61" t="s">
        <v>85</v>
      </c>
      <c r="B4805" s="61" t="s">
        <v>380</v>
      </c>
      <c r="C4805" s="62">
        <v>44777</v>
      </c>
      <c r="D4805" s="62">
        <v>44777</v>
      </c>
      <c r="E4805" s="63">
        <v>0</v>
      </c>
    </row>
    <row r="4806" spans="1:5">
      <c r="A4806" s="61" t="s">
        <v>85</v>
      </c>
      <c r="B4806" s="61" t="s">
        <v>380</v>
      </c>
      <c r="C4806" s="62">
        <v>44778</v>
      </c>
      <c r="D4806" s="62">
        <v>44778</v>
      </c>
      <c r="E4806" s="63">
        <v>0</v>
      </c>
    </row>
    <row r="4807" spans="1:5">
      <c r="A4807" s="61" t="s">
        <v>85</v>
      </c>
      <c r="B4807" s="61" t="s">
        <v>380</v>
      </c>
      <c r="C4807" s="62">
        <v>44779</v>
      </c>
      <c r="D4807" s="62">
        <v>44779</v>
      </c>
      <c r="E4807" s="63">
        <v>0</v>
      </c>
    </row>
    <row r="4808" spans="1:5">
      <c r="A4808" s="61" t="s">
        <v>85</v>
      </c>
      <c r="B4808" s="61" t="s">
        <v>380</v>
      </c>
      <c r="C4808" s="62">
        <v>44780</v>
      </c>
      <c r="D4808" s="62">
        <v>44780</v>
      </c>
      <c r="E4808" s="63">
        <v>0</v>
      </c>
    </row>
    <row r="4809" spans="1:5">
      <c r="A4809" s="61" t="s">
        <v>85</v>
      </c>
      <c r="B4809" s="61" t="s">
        <v>380</v>
      </c>
      <c r="C4809" s="62">
        <v>44781</v>
      </c>
      <c r="D4809" s="62">
        <v>44781</v>
      </c>
      <c r="E4809" s="63">
        <v>0</v>
      </c>
    </row>
    <row r="4810" spans="1:5">
      <c r="A4810" s="61" t="s">
        <v>85</v>
      </c>
      <c r="B4810" s="61" t="s">
        <v>380</v>
      </c>
      <c r="C4810" s="62">
        <v>44782</v>
      </c>
      <c r="D4810" s="62">
        <v>44782</v>
      </c>
      <c r="E4810" s="63">
        <v>0</v>
      </c>
    </row>
    <row r="4811" spans="1:5">
      <c r="A4811" s="61" t="s">
        <v>85</v>
      </c>
      <c r="B4811" s="61" t="s">
        <v>380</v>
      </c>
      <c r="C4811" s="62">
        <v>44783</v>
      </c>
      <c r="D4811" s="62">
        <v>44783</v>
      </c>
      <c r="E4811" s="63">
        <v>0</v>
      </c>
    </row>
    <row r="4812" spans="1:5">
      <c r="A4812" s="61" t="s">
        <v>85</v>
      </c>
      <c r="B4812" s="61" t="s">
        <v>380</v>
      </c>
      <c r="C4812" s="62">
        <v>44784</v>
      </c>
      <c r="D4812" s="62">
        <v>44784</v>
      </c>
      <c r="E4812" s="63">
        <v>0</v>
      </c>
    </row>
    <row r="4813" spans="1:5">
      <c r="A4813" s="61" t="s">
        <v>85</v>
      </c>
      <c r="B4813" s="61" t="s">
        <v>380</v>
      </c>
      <c r="C4813" s="62">
        <v>44785</v>
      </c>
      <c r="D4813" s="62">
        <v>44785</v>
      </c>
      <c r="E4813" s="63">
        <v>0</v>
      </c>
    </row>
    <row r="4814" spans="1:5">
      <c r="A4814" s="61" t="s">
        <v>85</v>
      </c>
      <c r="B4814" s="61" t="s">
        <v>380</v>
      </c>
      <c r="C4814" s="62">
        <v>44786</v>
      </c>
      <c r="D4814" s="62">
        <v>44786</v>
      </c>
      <c r="E4814" s="63">
        <v>0</v>
      </c>
    </row>
    <row r="4815" spans="1:5">
      <c r="A4815" s="61" t="s">
        <v>85</v>
      </c>
      <c r="B4815" s="61" t="s">
        <v>380</v>
      </c>
      <c r="C4815" s="62">
        <v>44787</v>
      </c>
      <c r="D4815" s="62">
        <v>44787</v>
      </c>
      <c r="E4815" s="63">
        <v>0</v>
      </c>
    </row>
    <row r="4816" spans="1:5">
      <c r="A4816" s="61" t="s">
        <v>85</v>
      </c>
      <c r="B4816" s="61" t="s">
        <v>380</v>
      </c>
      <c r="C4816" s="62">
        <v>44788</v>
      </c>
      <c r="D4816" s="62">
        <v>44788</v>
      </c>
      <c r="E4816" s="63">
        <v>0</v>
      </c>
    </row>
    <row r="4817" spans="1:5">
      <c r="A4817" s="61" t="s">
        <v>85</v>
      </c>
      <c r="B4817" s="61" t="s">
        <v>380</v>
      </c>
      <c r="C4817" s="62">
        <v>44789</v>
      </c>
      <c r="D4817" s="62">
        <v>44789</v>
      </c>
      <c r="E4817" s="63">
        <v>0</v>
      </c>
    </row>
    <row r="4818" spans="1:5">
      <c r="A4818" s="61" t="s">
        <v>85</v>
      </c>
      <c r="B4818" s="61" t="s">
        <v>380</v>
      </c>
      <c r="C4818" s="62">
        <v>44790</v>
      </c>
      <c r="D4818" s="62">
        <v>44790</v>
      </c>
      <c r="E4818" s="63">
        <v>0</v>
      </c>
    </row>
    <row r="4819" spans="1:5">
      <c r="A4819" s="61" t="s">
        <v>85</v>
      </c>
      <c r="B4819" s="61" t="s">
        <v>380</v>
      </c>
      <c r="C4819" s="62">
        <v>44791</v>
      </c>
      <c r="D4819" s="62">
        <v>44791</v>
      </c>
      <c r="E4819" s="63">
        <v>0</v>
      </c>
    </row>
    <row r="4820" spans="1:5">
      <c r="A4820" s="61" t="s">
        <v>85</v>
      </c>
      <c r="B4820" s="61" t="s">
        <v>380</v>
      </c>
      <c r="C4820" s="62">
        <v>44792</v>
      </c>
      <c r="D4820" s="62">
        <v>44792</v>
      </c>
      <c r="E4820" s="63">
        <v>0</v>
      </c>
    </row>
    <row r="4821" spans="1:5">
      <c r="A4821" s="61" t="s">
        <v>85</v>
      </c>
      <c r="B4821" s="61" t="s">
        <v>380</v>
      </c>
      <c r="C4821" s="62">
        <v>44793</v>
      </c>
      <c r="D4821" s="62">
        <v>44793</v>
      </c>
      <c r="E4821" s="63">
        <v>0</v>
      </c>
    </row>
    <row r="4822" spans="1:5">
      <c r="A4822" s="61" t="s">
        <v>85</v>
      </c>
      <c r="B4822" s="61" t="s">
        <v>380</v>
      </c>
      <c r="C4822" s="62">
        <v>44794</v>
      </c>
      <c r="D4822" s="62">
        <v>44794</v>
      </c>
      <c r="E4822" s="63">
        <v>0</v>
      </c>
    </row>
    <row r="4823" spans="1:5">
      <c r="A4823" s="61" t="s">
        <v>85</v>
      </c>
      <c r="B4823" s="61" t="s">
        <v>380</v>
      </c>
      <c r="C4823" s="62">
        <v>44795</v>
      </c>
      <c r="D4823" s="62">
        <v>44795</v>
      </c>
      <c r="E4823" s="63">
        <v>0</v>
      </c>
    </row>
    <row r="4824" spans="1:5">
      <c r="A4824" s="61" t="s">
        <v>85</v>
      </c>
      <c r="B4824" s="61" t="s">
        <v>380</v>
      </c>
      <c r="C4824" s="62">
        <v>44796</v>
      </c>
      <c r="D4824" s="62">
        <v>44796</v>
      </c>
      <c r="E4824" s="63">
        <v>0</v>
      </c>
    </row>
    <row r="4825" spans="1:5">
      <c r="A4825" s="61" t="s">
        <v>85</v>
      </c>
      <c r="B4825" s="61" t="s">
        <v>380</v>
      </c>
      <c r="C4825" s="62">
        <v>44797</v>
      </c>
      <c r="D4825" s="62">
        <v>44797</v>
      </c>
      <c r="E4825" s="63">
        <v>0</v>
      </c>
    </row>
    <row r="4826" spans="1:5">
      <c r="A4826" s="61" t="s">
        <v>85</v>
      </c>
      <c r="B4826" s="61" t="s">
        <v>380</v>
      </c>
      <c r="C4826" s="62">
        <v>44798</v>
      </c>
      <c r="D4826" s="62">
        <v>44798</v>
      </c>
      <c r="E4826" s="63">
        <v>0</v>
      </c>
    </row>
    <row r="4827" spans="1:5">
      <c r="A4827" s="61" t="s">
        <v>85</v>
      </c>
      <c r="B4827" s="61" t="s">
        <v>380</v>
      </c>
      <c r="C4827" s="62">
        <v>44799</v>
      </c>
      <c r="D4827" s="62">
        <v>44799</v>
      </c>
      <c r="E4827" s="63">
        <v>0</v>
      </c>
    </row>
    <row r="4828" spans="1:5">
      <c r="A4828" s="61" t="s">
        <v>85</v>
      </c>
      <c r="B4828" s="61" t="s">
        <v>380</v>
      </c>
      <c r="C4828" s="62">
        <v>44800</v>
      </c>
      <c r="D4828" s="62">
        <v>44800</v>
      </c>
      <c r="E4828" s="63">
        <v>0</v>
      </c>
    </row>
    <row r="4829" spans="1:5">
      <c r="A4829" s="61" t="s">
        <v>85</v>
      </c>
      <c r="B4829" s="61" t="s">
        <v>380</v>
      </c>
      <c r="C4829" s="62">
        <v>44801</v>
      </c>
      <c r="D4829" s="62">
        <v>44801</v>
      </c>
      <c r="E4829" s="63">
        <v>0</v>
      </c>
    </row>
    <row r="4830" spans="1:5">
      <c r="A4830" s="61" t="s">
        <v>85</v>
      </c>
      <c r="B4830" s="61" t="s">
        <v>380</v>
      </c>
      <c r="C4830" s="62">
        <v>44802</v>
      </c>
      <c r="D4830" s="62">
        <v>44802</v>
      </c>
      <c r="E4830" s="63">
        <v>0</v>
      </c>
    </row>
    <row r="4831" spans="1:5">
      <c r="A4831" s="61" t="s">
        <v>85</v>
      </c>
      <c r="B4831" s="61" t="s">
        <v>380</v>
      </c>
      <c r="C4831" s="62">
        <v>44803</v>
      </c>
      <c r="D4831" s="62">
        <v>44803</v>
      </c>
      <c r="E4831" s="63">
        <v>0</v>
      </c>
    </row>
    <row r="4832" spans="1:5">
      <c r="A4832" s="61" t="s">
        <v>226</v>
      </c>
      <c r="B4832" s="61" t="s">
        <v>381</v>
      </c>
      <c r="C4832" s="62">
        <v>44774</v>
      </c>
      <c r="D4832" s="62">
        <v>44774</v>
      </c>
      <c r="E4832" s="63">
        <v>0</v>
      </c>
    </row>
    <row r="4833" spans="1:5">
      <c r="A4833" s="61" t="s">
        <v>226</v>
      </c>
      <c r="B4833" s="61" t="s">
        <v>381</v>
      </c>
      <c r="C4833" s="62">
        <v>44775</v>
      </c>
      <c r="D4833" s="62">
        <v>44775</v>
      </c>
      <c r="E4833" s="63">
        <v>0</v>
      </c>
    </row>
    <row r="4834" spans="1:5">
      <c r="A4834" s="61" t="s">
        <v>226</v>
      </c>
      <c r="B4834" s="61" t="s">
        <v>381</v>
      </c>
      <c r="C4834" s="62">
        <v>44776</v>
      </c>
      <c r="D4834" s="62">
        <v>44776</v>
      </c>
      <c r="E4834" s="63">
        <v>0</v>
      </c>
    </row>
    <row r="4835" spans="1:5">
      <c r="A4835" s="61" t="s">
        <v>226</v>
      </c>
      <c r="B4835" s="61" t="s">
        <v>381</v>
      </c>
      <c r="C4835" s="62">
        <v>44777</v>
      </c>
      <c r="D4835" s="62">
        <v>44777</v>
      </c>
      <c r="E4835" s="63">
        <v>0</v>
      </c>
    </row>
    <row r="4836" spans="1:5">
      <c r="A4836" s="61" t="s">
        <v>226</v>
      </c>
      <c r="B4836" s="61" t="s">
        <v>381</v>
      </c>
      <c r="C4836" s="62">
        <v>44778</v>
      </c>
      <c r="D4836" s="62">
        <v>44778</v>
      </c>
      <c r="E4836" s="63">
        <v>0</v>
      </c>
    </row>
    <row r="4837" spans="1:5">
      <c r="A4837" s="61" t="s">
        <v>226</v>
      </c>
      <c r="B4837" s="61" t="s">
        <v>381</v>
      </c>
      <c r="C4837" s="62">
        <v>44779</v>
      </c>
      <c r="D4837" s="62">
        <v>44779</v>
      </c>
      <c r="E4837" s="63">
        <v>0</v>
      </c>
    </row>
    <row r="4838" spans="1:5">
      <c r="A4838" s="61" t="s">
        <v>226</v>
      </c>
      <c r="B4838" s="61" t="s">
        <v>381</v>
      </c>
      <c r="C4838" s="62">
        <v>44780</v>
      </c>
      <c r="D4838" s="62">
        <v>44780</v>
      </c>
      <c r="E4838" s="63">
        <v>0</v>
      </c>
    </row>
    <row r="4839" spans="1:5">
      <c r="A4839" s="61" t="s">
        <v>226</v>
      </c>
      <c r="B4839" s="61" t="s">
        <v>381</v>
      </c>
      <c r="C4839" s="62">
        <v>44781</v>
      </c>
      <c r="D4839" s="62">
        <v>44781</v>
      </c>
      <c r="E4839" s="63">
        <v>0</v>
      </c>
    </row>
    <row r="4840" spans="1:5">
      <c r="A4840" s="61" t="s">
        <v>226</v>
      </c>
      <c r="B4840" s="61" t="s">
        <v>381</v>
      </c>
      <c r="C4840" s="62">
        <v>44782</v>
      </c>
      <c r="D4840" s="62">
        <v>44782</v>
      </c>
      <c r="E4840" s="63">
        <v>0</v>
      </c>
    </row>
    <row r="4841" spans="1:5">
      <c r="A4841" s="61" t="s">
        <v>226</v>
      </c>
      <c r="B4841" s="61" t="s">
        <v>381</v>
      </c>
      <c r="C4841" s="62">
        <v>44783</v>
      </c>
      <c r="D4841" s="62">
        <v>44783</v>
      </c>
      <c r="E4841" s="63">
        <v>0</v>
      </c>
    </row>
    <row r="4842" spans="1:5">
      <c r="A4842" s="61" t="s">
        <v>226</v>
      </c>
      <c r="B4842" s="61" t="s">
        <v>381</v>
      </c>
      <c r="C4842" s="62">
        <v>44784</v>
      </c>
      <c r="D4842" s="62">
        <v>44784</v>
      </c>
      <c r="E4842" s="63">
        <v>0</v>
      </c>
    </row>
    <row r="4843" spans="1:5">
      <c r="A4843" s="61" t="s">
        <v>226</v>
      </c>
      <c r="B4843" s="61" t="s">
        <v>381</v>
      </c>
      <c r="C4843" s="62">
        <v>44785</v>
      </c>
      <c r="D4843" s="62">
        <v>44785</v>
      </c>
      <c r="E4843" s="63">
        <v>0</v>
      </c>
    </row>
    <row r="4844" spans="1:5">
      <c r="A4844" s="61" t="s">
        <v>226</v>
      </c>
      <c r="B4844" s="61" t="s">
        <v>381</v>
      </c>
      <c r="C4844" s="62">
        <v>44786</v>
      </c>
      <c r="D4844" s="62">
        <v>44786</v>
      </c>
      <c r="E4844" s="63">
        <v>0</v>
      </c>
    </row>
    <row r="4845" spans="1:5">
      <c r="A4845" s="61" t="s">
        <v>226</v>
      </c>
      <c r="B4845" s="61" t="s">
        <v>381</v>
      </c>
      <c r="C4845" s="62">
        <v>44787</v>
      </c>
      <c r="D4845" s="62">
        <v>44787</v>
      </c>
      <c r="E4845" s="63">
        <v>0</v>
      </c>
    </row>
    <row r="4846" spans="1:5">
      <c r="A4846" s="61" t="s">
        <v>226</v>
      </c>
      <c r="B4846" s="61" t="s">
        <v>381</v>
      </c>
      <c r="C4846" s="62">
        <v>44788</v>
      </c>
      <c r="D4846" s="62">
        <v>44788</v>
      </c>
      <c r="E4846" s="63">
        <v>0</v>
      </c>
    </row>
    <row r="4847" spans="1:5">
      <c r="A4847" s="61" t="s">
        <v>226</v>
      </c>
      <c r="B4847" s="61" t="s">
        <v>381</v>
      </c>
      <c r="C4847" s="62">
        <v>44789</v>
      </c>
      <c r="D4847" s="62">
        <v>44789</v>
      </c>
      <c r="E4847" s="63">
        <v>0</v>
      </c>
    </row>
    <row r="4848" spans="1:5">
      <c r="A4848" s="61" t="s">
        <v>226</v>
      </c>
      <c r="B4848" s="61" t="s">
        <v>381</v>
      </c>
      <c r="C4848" s="62">
        <v>44790</v>
      </c>
      <c r="D4848" s="62">
        <v>44790</v>
      </c>
      <c r="E4848" s="63">
        <v>0</v>
      </c>
    </row>
    <row r="4849" spans="1:5">
      <c r="A4849" s="61" t="s">
        <v>226</v>
      </c>
      <c r="B4849" s="61" t="s">
        <v>381</v>
      </c>
      <c r="C4849" s="62">
        <v>44791</v>
      </c>
      <c r="D4849" s="62">
        <v>44791</v>
      </c>
      <c r="E4849" s="63">
        <v>0</v>
      </c>
    </row>
    <row r="4850" spans="1:5">
      <c r="A4850" s="61" t="s">
        <v>226</v>
      </c>
      <c r="B4850" s="61" t="s">
        <v>381</v>
      </c>
      <c r="C4850" s="62">
        <v>44792</v>
      </c>
      <c r="D4850" s="62">
        <v>44792</v>
      </c>
      <c r="E4850" s="63">
        <v>0</v>
      </c>
    </row>
    <row r="4851" spans="1:5">
      <c r="A4851" s="61" t="s">
        <v>226</v>
      </c>
      <c r="B4851" s="61" t="s">
        <v>381</v>
      </c>
      <c r="C4851" s="62">
        <v>44793</v>
      </c>
      <c r="D4851" s="62">
        <v>44793</v>
      </c>
      <c r="E4851" s="63">
        <v>0</v>
      </c>
    </row>
    <row r="4852" spans="1:5">
      <c r="A4852" s="61" t="s">
        <v>226</v>
      </c>
      <c r="B4852" s="61" t="s">
        <v>381</v>
      </c>
      <c r="C4852" s="62">
        <v>44794</v>
      </c>
      <c r="D4852" s="62">
        <v>44794</v>
      </c>
      <c r="E4852" s="63">
        <v>0</v>
      </c>
    </row>
    <row r="4853" spans="1:5">
      <c r="A4853" s="61" t="s">
        <v>226</v>
      </c>
      <c r="B4853" s="61" t="s">
        <v>381</v>
      </c>
      <c r="C4853" s="62">
        <v>44795</v>
      </c>
      <c r="D4853" s="62">
        <v>44795</v>
      </c>
      <c r="E4853" s="63">
        <v>0</v>
      </c>
    </row>
    <row r="4854" spans="1:5">
      <c r="A4854" s="61" t="s">
        <v>226</v>
      </c>
      <c r="B4854" s="61" t="s">
        <v>381</v>
      </c>
      <c r="C4854" s="62">
        <v>44796</v>
      </c>
      <c r="D4854" s="62">
        <v>44796</v>
      </c>
      <c r="E4854" s="63">
        <v>0</v>
      </c>
    </row>
    <row r="4855" spans="1:5">
      <c r="A4855" s="61" t="s">
        <v>226</v>
      </c>
      <c r="B4855" s="61" t="s">
        <v>381</v>
      </c>
      <c r="C4855" s="62">
        <v>44797</v>
      </c>
      <c r="D4855" s="62">
        <v>44797</v>
      </c>
      <c r="E4855" s="63">
        <v>0</v>
      </c>
    </row>
    <row r="4856" spans="1:5">
      <c r="A4856" s="61" t="s">
        <v>226</v>
      </c>
      <c r="B4856" s="61" t="s">
        <v>381</v>
      </c>
      <c r="C4856" s="62">
        <v>44798</v>
      </c>
      <c r="D4856" s="62">
        <v>44798</v>
      </c>
      <c r="E4856" s="63">
        <v>0</v>
      </c>
    </row>
    <row r="4857" spans="1:5">
      <c r="A4857" s="61" t="s">
        <v>226</v>
      </c>
      <c r="B4857" s="61" t="s">
        <v>381</v>
      </c>
      <c r="C4857" s="62">
        <v>44799</v>
      </c>
      <c r="D4857" s="62">
        <v>44799</v>
      </c>
      <c r="E4857" s="63">
        <v>0</v>
      </c>
    </row>
    <row r="4858" spans="1:5">
      <c r="A4858" s="61" t="s">
        <v>226</v>
      </c>
      <c r="B4858" s="61" t="s">
        <v>381</v>
      </c>
      <c r="C4858" s="62">
        <v>44800</v>
      </c>
      <c r="D4858" s="62">
        <v>44800</v>
      </c>
      <c r="E4858" s="63">
        <v>0</v>
      </c>
    </row>
    <row r="4859" spans="1:5">
      <c r="A4859" s="61" t="s">
        <v>226</v>
      </c>
      <c r="B4859" s="61" t="s">
        <v>381</v>
      </c>
      <c r="C4859" s="62">
        <v>44801</v>
      </c>
      <c r="D4859" s="62">
        <v>44801</v>
      </c>
      <c r="E4859" s="63">
        <v>0</v>
      </c>
    </row>
    <row r="4860" spans="1:5">
      <c r="A4860" s="61" t="s">
        <v>226</v>
      </c>
      <c r="B4860" s="61" t="s">
        <v>381</v>
      </c>
      <c r="C4860" s="62">
        <v>44802</v>
      </c>
      <c r="D4860" s="62">
        <v>44802</v>
      </c>
      <c r="E4860" s="63">
        <v>0</v>
      </c>
    </row>
    <row r="4861" spans="1:5">
      <c r="A4861" s="61" t="s">
        <v>226</v>
      </c>
      <c r="B4861" s="61" t="s">
        <v>381</v>
      </c>
      <c r="C4861" s="62">
        <v>44803</v>
      </c>
      <c r="D4861" s="62">
        <v>44803</v>
      </c>
      <c r="E4861" s="63">
        <v>0</v>
      </c>
    </row>
    <row r="4862" spans="1:5">
      <c r="A4862" s="61" t="s">
        <v>227</v>
      </c>
      <c r="B4862" s="61" t="s">
        <v>382</v>
      </c>
      <c r="C4862" s="62">
        <v>44774</v>
      </c>
      <c r="D4862" s="62">
        <v>44774</v>
      </c>
      <c r="E4862" s="63">
        <v>0</v>
      </c>
    </row>
    <row r="4863" spans="1:5">
      <c r="A4863" s="61" t="s">
        <v>227</v>
      </c>
      <c r="B4863" s="61" t="s">
        <v>382</v>
      </c>
      <c r="C4863" s="62">
        <v>44775</v>
      </c>
      <c r="D4863" s="62">
        <v>44775</v>
      </c>
      <c r="E4863" s="63">
        <v>0</v>
      </c>
    </row>
    <row r="4864" spans="1:5">
      <c r="A4864" s="61" t="s">
        <v>227</v>
      </c>
      <c r="B4864" s="61" t="s">
        <v>382</v>
      </c>
      <c r="C4864" s="62">
        <v>44776</v>
      </c>
      <c r="D4864" s="62">
        <v>44776</v>
      </c>
      <c r="E4864" s="63">
        <v>0</v>
      </c>
    </row>
    <row r="4865" spans="1:5">
      <c r="A4865" s="61" t="s">
        <v>227</v>
      </c>
      <c r="B4865" s="61" t="s">
        <v>382</v>
      </c>
      <c r="C4865" s="62">
        <v>44777</v>
      </c>
      <c r="D4865" s="62">
        <v>44777</v>
      </c>
      <c r="E4865" s="63">
        <v>0</v>
      </c>
    </row>
    <row r="4866" spans="1:5">
      <c r="A4866" s="61" t="s">
        <v>227</v>
      </c>
      <c r="B4866" s="61" t="s">
        <v>382</v>
      </c>
      <c r="C4866" s="62">
        <v>44778</v>
      </c>
      <c r="D4866" s="62">
        <v>44778</v>
      </c>
      <c r="E4866" s="63">
        <v>0</v>
      </c>
    </row>
    <row r="4867" spans="1:5">
      <c r="A4867" s="61" t="s">
        <v>227</v>
      </c>
      <c r="B4867" s="61" t="s">
        <v>382</v>
      </c>
      <c r="C4867" s="62">
        <v>44779</v>
      </c>
      <c r="D4867" s="62">
        <v>44779</v>
      </c>
      <c r="E4867" s="63">
        <v>0</v>
      </c>
    </row>
    <row r="4868" spans="1:5">
      <c r="A4868" s="61" t="s">
        <v>227</v>
      </c>
      <c r="B4868" s="61" t="s">
        <v>382</v>
      </c>
      <c r="C4868" s="62">
        <v>44780</v>
      </c>
      <c r="D4868" s="62">
        <v>44780</v>
      </c>
      <c r="E4868" s="63">
        <v>0</v>
      </c>
    </row>
    <row r="4869" spans="1:5">
      <c r="A4869" s="61" t="s">
        <v>227</v>
      </c>
      <c r="B4869" s="61" t="s">
        <v>382</v>
      </c>
      <c r="C4869" s="62">
        <v>44781</v>
      </c>
      <c r="D4869" s="62">
        <v>44781</v>
      </c>
      <c r="E4869" s="63">
        <v>0</v>
      </c>
    </row>
    <row r="4870" spans="1:5">
      <c r="A4870" s="61" t="s">
        <v>227</v>
      </c>
      <c r="B4870" s="61" t="s">
        <v>382</v>
      </c>
      <c r="C4870" s="62">
        <v>44782</v>
      </c>
      <c r="D4870" s="62">
        <v>44782</v>
      </c>
      <c r="E4870" s="63">
        <v>0</v>
      </c>
    </row>
    <row r="4871" spans="1:5">
      <c r="A4871" s="61" t="s">
        <v>227</v>
      </c>
      <c r="B4871" s="61" t="s">
        <v>382</v>
      </c>
      <c r="C4871" s="62">
        <v>44783</v>
      </c>
      <c r="D4871" s="62">
        <v>44783</v>
      </c>
      <c r="E4871" s="63">
        <v>0</v>
      </c>
    </row>
    <row r="4872" spans="1:5">
      <c r="A4872" s="61" t="s">
        <v>227</v>
      </c>
      <c r="B4872" s="61" t="s">
        <v>382</v>
      </c>
      <c r="C4872" s="62">
        <v>44784</v>
      </c>
      <c r="D4872" s="62">
        <v>44784</v>
      </c>
      <c r="E4872" s="63">
        <v>0</v>
      </c>
    </row>
    <row r="4873" spans="1:5">
      <c r="A4873" s="61" t="s">
        <v>227</v>
      </c>
      <c r="B4873" s="61" t="s">
        <v>382</v>
      </c>
      <c r="C4873" s="62">
        <v>44785</v>
      </c>
      <c r="D4873" s="62">
        <v>44785</v>
      </c>
      <c r="E4873" s="63">
        <v>0</v>
      </c>
    </row>
    <row r="4874" spans="1:5">
      <c r="A4874" s="61" t="s">
        <v>227</v>
      </c>
      <c r="B4874" s="61" t="s">
        <v>382</v>
      </c>
      <c r="C4874" s="62">
        <v>44786</v>
      </c>
      <c r="D4874" s="62">
        <v>44786</v>
      </c>
      <c r="E4874" s="63">
        <v>0</v>
      </c>
    </row>
    <row r="4875" spans="1:5">
      <c r="A4875" s="61" t="s">
        <v>227</v>
      </c>
      <c r="B4875" s="61" t="s">
        <v>382</v>
      </c>
      <c r="C4875" s="62">
        <v>44787</v>
      </c>
      <c r="D4875" s="62">
        <v>44787</v>
      </c>
      <c r="E4875" s="63">
        <v>0</v>
      </c>
    </row>
    <row r="4876" spans="1:5">
      <c r="A4876" s="61" t="s">
        <v>227</v>
      </c>
      <c r="B4876" s="61" t="s">
        <v>382</v>
      </c>
      <c r="C4876" s="62">
        <v>44788</v>
      </c>
      <c r="D4876" s="62">
        <v>44788</v>
      </c>
      <c r="E4876" s="63">
        <v>0</v>
      </c>
    </row>
    <row r="4877" spans="1:5">
      <c r="A4877" s="61" t="s">
        <v>227</v>
      </c>
      <c r="B4877" s="61" t="s">
        <v>382</v>
      </c>
      <c r="C4877" s="62">
        <v>44789</v>
      </c>
      <c r="D4877" s="62">
        <v>44789</v>
      </c>
      <c r="E4877" s="63">
        <v>0</v>
      </c>
    </row>
    <row r="4878" spans="1:5">
      <c r="A4878" s="61" t="s">
        <v>227</v>
      </c>
      <c r="B4878" s="61" t="s">
        <v>382</v>
      </c>
      <c r="C4878" s="62">
        <v>44790</v>
      </c>
      <c r="D4878" s="62">
        <v>44790</v>
      </c>
      <c r="E4878" s="63">
        <v>0</v>
      </c>
    </row>
    <row r="4879" spans="1:5">
      <c r="A4879" s="61" t="s">
        <v>227</v>
      </c>
      <c r="B4879" s="61" t="s">
        <v>382</v>
      </c>
      <c r="C4879" s="62">
        <v>44791</v>
      </c>
      <c r="D4879" s="62">
        <v>44791</v>
      </c>
      <c r="E4879" s="63">
        <v>0</v>
      </c>
    </row>
    <row r="4880" spans="1:5">
      <c r="A4880" s="61" t="s">
        <v>227</v>
      </c>
      <c r="B4880" s="61" t="s">
        <v>382</v>
      </c>
      <c r="C4880" s="62">
        <v>44792</v>
      </c>
      <c r="D4880" s="62">
        <v>44792</v>
      </c>
      <c r="E4880" s="63">
        <v>0</v>
      </c>
    </row>
    <row r="4881" spans="1:5">
      <c r="A4881" s="61" t="s">
        <v>227</v>
      </c>
      <c r="B4881" s="61" t="s">
        <v>382</v>
      </c>
      <c r="C4881" s="62">
        <v>44793</v>
      </c>
      <c r="D4881" s="62">
        <v>44793</v>
      </c>
      <c r="E4881" s="63">
        <v>0</v>
      </c>
    </row>
    <row r="4882" spans="1:5">
      <c r="A4882" s="61" t="s">
        <v>227</v>
      </c>
      <c r="B4882" s="61" t="s">
        <v>382</v>
      </c>
      <c r="C4882" s="62">
        <v>44794</v>
      </c>
      <c r="D4882" s="62">
        <v>44794</v>
      </c>
      <c r="E4882" s="63">
        <v>0</v>
      </c>
    </row>
    <row r="4883" spans="1:5">
      <c r="A4883" s="61" t="s">
        <v>227</v>
      </c>
      <c r="B4883" s="61" t="s">
        <v>382</v>
      </c>
      <c r="C4883" s="62">
        <v>44795</v>
      </c>
      <c r="D4883" s="62">
        <v>44795</v>
      </c>
      <c r="E4883" s="63">
        <v>0</v>
      </c>
    </row>
    <row r="4884" spans="1:5">
      <c r="A4884" s="61" t="s">
        <v>227</v>
      </c>
      <c r="B4884" s="61" t="s">
        <v>382</v>
      </c>
      <c r="C4884" s="62">
        <v>44796</v>
      </c>
      <c r="D4884" s="62">
        <v>44796</v>
      </c>
      <c r="E4884" s="63">
        <v>0</v>
      </c>
    </row>
    <row r="4885" spans="1:5">
      <c r="A4885" s="61" t="s">
        <v>227</v>
      </c>
      <c r="B4885" s="61" t="s">
        <v>382</v>
      </c>
      <c r="C4885" s="62">
        <v>44797</v>
      </c>
      <c r="D4885" s="62">
        <v>44797</v>
      </c>
      <c r="E4885" s="63">
        <v>0</v>
      </c>
    </row>
    <row r="4886" spans="1:5">
      <c r="A4886" s="61" t="s">
        <v>227</v>
      </c>
      <c r="B4886" s="61" t="s">
        <v>382</v>
      </c>
      <c r="C4886" s="62">
        <v>44798</v>
      </c>
      <c r="D4886" s="62">
        <v>44798</v>
      </c>
      <c r="E4886" s="63">
        <v>0</v>
      </c>
    </row>
    <row r="4887" spans="1:5">
      <c r="A4887" s="61" t="s">
        <v>227</v>
      </c>
      <c r="B4887" s="61" t="s">
        <v>382</v>
      </c>
      <c r="C4887" s="62">
        <v>44799</v>
      </c>
      <c r="D4887" s="62">
        <v>44799</v>
      </c>
      <c r="E4887" s="63">
        <v>0</v>
      </c>
    </row>
    <row r="4888" spans="1:5">
      <c r="A4888" s="61" t="s">
        <v>227</v>
      </c>
      <c r="B4888" s="61" t="s">
        <v>382</v>
      </c>
      <c r="C4888" s="62">
        <v>44800</v>
      </c>
      <c r="D4888" s="62">
        <v>44800</v>
      </c>
      <c r="E4888" s="63">
        <v>0</v>
      </c>
    </row>
    <row r="4889" spans="1:5">
      <c r="A4889" s="61" t="s">
        <v>227</v>
      </c>
      <c r="B4889" s="61" t="s">
        <v>382</v>
      </c>
      <c r="C4889" s="62">
        <v>44801</v>
      </c>
      <c r="D4889" s="62">
        <v>44801</v>
      </c>
      <c r="E4889" s="63">
        <v>0</v>
      </c>
    </row>
    <row r="4890" spans="1:5">
      <c r="A4890" s="61" t="s">
        <v>227</v>
      </c>
      <c r="B4890" s="61" t="s">
        <v>382</v>
      </c>
      <c r="C4890" s="62">
        <v>44802</v>
      </c>
      <c r="D4890" s="62">
        <v>44802</v>
      </c>
      <c r="E4890" s="63">
        <v>0</v>
      </c>
    </row>
    <row r="4891" spans="1:5">
      <c r="A4891" s="61" t="s">
        <v>227</v>
      </c>
      <c r="B4891" s="61" t="s">
        <v>382</v>
      </c>
      <c r="C4891" s="62">
        <v>44803</v>
      </c>
      <c r="D4891" s="62">
        <v>44803</v>
      </c>
      <c r="E4891" s="63">
        <v>0</v>
      </c>
    </row>
    <row r="4892" spans="1:5">
      <c r="A4892" s="61" t="s">
        <v>228</v>
      </c>
      <c r="B4892" s="61" t="s">
        <v>383</v>
      </c>
      <c r="C4892" s="62">
        <v>44774</v>
      </c>
      <c r="D4892" s="62">
        <v>44774</v>
      </c>
      <c r="E4892" s="63">
        <v>0</v>
      </c>
    </row>
    <row r="4893" spans="1:5">
      <c r="A4893" s="61" t="s">
        <v>228</v>
      </c>
      <c r="B4893" s="61" t="s">
        <v>383</v>
      </c>
      <c r="C4893" s="62">
        <v>44775</v>
      </c>
      <c r="D4893" s="62">
        <v>44775</v>
      </c>
      <c r="E4893" s="63">
        <v>0</v>
      </c>
    </row>
    <row r="4894" spans="1:5">
      <c r="A4894" s="61" t="s">
        <v>228</v>
      </c>
      <c r="B4894" s="61" t="s">
        <v>383</v>
      </c>
      <c r="C4894" s="62">
        <v>44776</v>
      </c>
      <c r="D4894" s="62">
        <v>44776</v>
      </c>
      <c r="E4894" s="63">
        <v>0</v>
      </c>
    </row>
    <row r="4895" spans="1:5">
      <c r="A4895" s="61" t="s">
        <v>228</v>
      </c>
      <c r="B4895" s="61" t="s">
        <v>383</v>
      </c>
      <c r="C4895" s="62">
        <v>44777</v>
      </c>
      <c r="D4895" s="62">
        <v>44777</v>
      </c>
      <c r="E4895" s="63">
        <v>0</v>
      </c>
    </row>
    <row r="4896" spans="1:5">
      <c r="A4896" s="61" t="s">
        <v>228</v>
      </c>
      <c r="B4896" s="61" t="s">
        <v>383</v>
      </c>
      <c r="C4896" s="62">
        <v>44778</v>
      </c>
      <c r="D4896" s="62">
        <v>44778</v>
      </c>
      <c r="E4896" s="63">
        <v>0</v>
      </c>
    </row>
    <row r="4897" spans="1:5">
      <c r="A4897" s="61" t="s">
        <v>228</v>
      </c>
      <c r="B4897" s="61" t="s">
        <v>383</v>
      </c>
      <c r="C4897" s="62">
        <v>44779</v>
      </c>
      <c r="D4897" s="62">
        <v>44779</v>
      </c>
      <c r="E4897" s="63">
        <v>0</v>
      </c>
    </row>
    <row r="4898" spans="1:5">
      <c r="A4898" s="61" t="s">
        <v>228</v>
      </c>
      <c r="B4898" s="61" t="s">
        <v>383</v>
      </c>
      <c r="C4898" s="62">
        <v>44780</v>
      </c>
      <c r="D4898" s="62">
        <v>44780</v>
      </c>
      <c r="E4898" s="63">
        <v>0</v>
      </c>
    </row>
    <row r="4899" spans="1:5">
      <c r="A4899" s="61" t="s">
        <v>228</v>
      </c>
      <c r="B4899" s="61" t="s">
        <v>383</v>
      </c>
      <c r="C4899" s="62">
        <v>44781</v>
      </c>
      <c r="D4899" s="62">
        <v>44781</v>
      </c>
      <c r="E4899" s="63">
        <v>0</v>
      </c>
    </row>
    <row r="4900" spans="1:5">
      <c r="A4900" s="61" t="s">
        <v>228</v>
      </c>
      <c r="B4900" s="61" t="s">
        <v>383</v>
      </c>
      <c r="C4900" s="62">
        <v>44782</v>
      </c>
      <c r="D4900" s="62">
        <v>44782</v>
      </c>
      <c r="E4900" s="63">
        <v>0</v>
      </c>
    </row>
    <row r="4901" spans="1:5">
      <c r="A4901" s="61" t="s">
        <v>228</v>
      </c>
      <c r="B4901" s="61" t="s">
        <v>383</v>
      </c>
      <c r="C4901" s="62">
        <v>44783</v>
      </c>
      <c r="D4901" s="62">
        <v>44783</v>
      </c>
      <c r="E4901" s="63">
        <v>0</v>
      </c>
    </row>
    <row r="4902" spans="1:5">
      <c r="A4902" s="61" t="s">
        <v>228</v>
      </c>
      <c r="B4902" s="61" t="s">
        <v>383</v>
      </c>
      <c r="C4902" s="62">
        <v>44784</v>
      </c>
      <c r="D4902" s="62">
        <v>44784</v>
      </c>
      <c r="E4902" s="63">
        <v>0</v>
      </c>
    </row>
    <row r="4903" spans="1:5">
      <c r="A4903" s="61" t="s">
        <v>228</v>
      </c>
      <c r="B4903" s="61" t="s">
        <v>383</v>
      </c>
      <c r="C4903" s="62">
        <v>44785</v>
      </c>
      <c r="D4903" s="62">
        <v>44785</v>
      </c>
      <c r="E4903" s="63">
        <v>0</v>
      </c>
    </row>
    <row r="4904" spans="1:5">
      <c r="A4904" s="61" t="s">
        <v>228</v>
      </c>
      <c r="B4904" s="61" t="s">
        <v>383</v>
      </c>
      <c r="C4904" s="62">
        <v>44786</v>
      </c>
      <c r="D4904" s="62">
        <v>44786</v>
      </c>
      <c r="E4904" s="63">
        <v>0</v>
      </c>
    </row>
    <row r="4905" spans="1:5">
      <c r="A4905" s="61" t="s">
        <v>228</v>
      </c>
      <c r="B4905" s="61" t="s">
        <v>383</v>
      </c>
      <c r="C4905" s="62">
        <v>44787</v>
      </c>
      <c r="D4905" s="62">
        <v>44787</v>
      </c>
      <c r="E4905" s="63">
        <v>0</v>
      </c>
    </row>
    <row r="4906" spans="1:5">
      <c r="A4906" s="61" t="s">
        <v>228</v>
      </c>
      <c r="B4906" s="61" t="s">
        <v>383</v>
      </c>
      <c r="C4906" s="62">
        <v>44788</v>
      </c>
      <c r="D4906" s="62">
        <v>44788</v>
      </c>
      <c r="E4906" s="63">
        <v>0</v>
      </c>
    </row>
    <row r="4907" spans="1:5">
      <c r="A4907" s="61" t="s">
        <v>228</v>
      </c>
      <c r="B4907" s="61" t="s">
        <v>383</v>
      </c>
      <c r="C4907" s="62">
        <v>44789</v>
      </c>
      <c r="D4907" s="62">
        <v>44789</v>
      </c>
      <c r="E4907" s="63">
        <v>0</v>
      </c>
    </row>
    <row r="4908" spans="1:5">
      <c r="A4908" s="61" t="s">
        <v>228</v>
      </c>
      <c r="B4908" s="61" t="s">
        <v>383</v>
      </c>
      <c r="C4908" s="62">
        <v>44790</v>
      </c>
      <c r="D4908" s="62">
        <v>44790</v>
      </c>
      <c r="E4908" s="63">
        <v>0</v>
      </c>
    </row>
    <row r="4909" spans="1:5">
      <c r="A4909" s="61" t="s">
        <v>228</v>
      </c>
      <c r="B4909" s="61" t="s">
        <v>383</v>
      </c>
      <c r="C4909" s="62">
        <v>44791</v>
      </c>
      <c r="D4909" s="62">
        <v>44791</v>
      </c>
      <c r="E4909" s="63">
        <v>0</v>
      </c>
    </row>
    <row r="4910" spans="1:5">
      <c r="A4910" s="61" t="s">
        <v>228</v>
      </c>
      <c r="B4910" s="61" t="s">
        <v>383</v>
      </c>
      <c r="C4910" s="62">
        <v>44792</v>
      </c>
      <c r="D4910" s="62">
        <v>44792</v>
      </c>
      <c r="E4910" s="63">
        <v>0</v>
      </c>
    </row>
    <row r="4911" spans="1:5">
      <c r="A4911" s="61" t="s">
        <v>228</v>
      </c>
      <c r="B4911" s="61" t="s">
        <v>383</v>
      </c>
      <c r="C4911" s="62">
        <v>44793</v>
      </c>
      <c r="D4911" s="62">
        <v>44793</v>
      </c>
      <c r="E4911" s="63">
        <v>0</v>
      </c>
    </row>
    <row r="4912" spans="1:5">
      <c r="A4912" s="61" t="s">
        <v>228</v>
      </c>
      <c r="B4912" s="61" t="s">
        <v>383</v>
      </c>
      <c r="C4912" s="62">
        <v>44794</v>
      </c>
      <c r="D4912" s="62">
        <v>44794</v>
      </c>
      <c r="E4912" s="63">
        <v>0</v>
      </c>
    </row>
    <row r="4913" spans="1:5">
      <c r="A4913" s="61" t="s">
        <v>228</v>
      </c>
      <c r="B4913" s="61" t="s">
        <v>383</v>
      </c>
      <c r="C4913" s="62">
        <v>44795</v>
      </c>
      <c r="D4913" s="62">
        <v>44795</v>
      </c>
      <c r="E4913" s="63">
        <v>0</v>
      </c>
    </row>
    <row r="4914" spans="1:5">
      <c r="A4914" s="61" t="s">
        <v>228</v>
      </c>
      <c r="B4914" s="61" t="s">
        <v>383</v>
      </c>
      <c r="C4914" s="62">
        <v>44796</v>
      </c>
      <c r="D4914" s="62">
        <v>44796</v>
      </c>
      <c r="E4914" s="63">
        <v>0</v>
      </c>
    </row>
    <row r="4915" spans="1:5">
      <c r="A4915" s="61" t="s">
        <v>228</v>
      </c>
      <c r="B4915" s="61" t="s">
        <v>383</v>
      </c>
      <c r="C4915" s="62">
        <v>44797</v>
      </c>
      <c r="D4915" s="62">
        <v>44797</v>
      </c>
      <c r="E4915" s="63">
        <v>0</v>
      </c>
    </row>
    <row r="4916" spans="1:5">
      <c r="A4916" s="61" t="s">
        <v>228</v>
      </c>
      <c r="B4916" s="61" t="s">
        <v>383</v>
      </c>
      <c r="C4916" s="62">
        <v>44798</v>
      </c>
      <c r="D4916" s="62">
        <v>44798</v>
      </c>
      <c r="E4916" s="63">
        <v>0</v>
      </c>
    </row>
    <row r="4917" spans="1:5">
      <c r="A4917" s="61" t="s">
        <v>228</v>
      </c>
      <c r="B4917" s="61" t="s">
        <v>383</v>
      </c>
      <c r="C4917" s="62">
        <v>44799</v>
      </c>
      <c r="D4917" s="62">
        <v>44799</v>
      </c>
      <c r="E4917" s="63">
        <v>0</v>
      </c>
    </row>
    <row r="4918" spans="1:5">
      <c r="A4918" s="61" t="s">
        <v>228</v>
      </c>
      <c r="B4918" s="61" t="s">
        <v>383</v>
      </c>
      <c r="C4918" s="62">
        <v>44800</v>
      </c>
      <c r="D4918" s="62">
        <v>44800</v>
      </c>
      <c r="E4918" s="63">
        <v>0</v>
      </c>
    </row>
    <row r="4919" spans="1:5">
      <c r="A4919" s="61" t="s">
        <v>228</v>
      </c>
      <c r="B4919" s="61" t="s">
        <v>383</v>
      </c>
      <c r="C4919" s="62">
        <v>44801</v>
      </c>
      <c r="D4919" s="62">
        <v>44801</v>
      </c>
      <c r="E4919" s="63">
        <v>0</v>
      </c>
    </row>
    <row r="4920" spans="1:5">
      <c r="A4920" s="61" t="s">
        <v>228</v>
      </c>
      <c r="B4920" s="61" t="s">
        <v>383</v>
      </c>
      <c r="C4920" s="62">
        <v>44802</v>
      </c>
      <c r="D4920" s="62">
        <v>44802</v>
      </c>
      <c r="E4920" s="63">
        <v>0</v>
      </c>
    </row>
    <row r="4921" spans="1:5">
      <c r="A4921" s="61" t="s">
        <v>228</v>
      </c>
      <c r="B4921" s="61" t="s">
        <v>383</v>
      </c>
      <c r="C4921" s="62">
        <v>44803</v>
      </c>
      <c r="D4921" s="62">
        <v>44803</v>
      </c>
      <c r="E4921" s="63">
        <v>0</v>
      </c>
    </row>
    <row r="4922" spans="1:5">
      <c r="A4922" s="61" t="s">
        <v>87</v>
      </c>
      <c r="B4922" s="61" t="s">
        <v>380</v>
      </c>
      <c r="C4922" s="62">
        <v>44774</v>
      </c>
      <c r="D4922" s="62">
        <v>44774</v>
      </c>
      <c r="E4922" s="63">
        <v>0</v>
      </c>
    </row>
    <row r="4923" spans="1:5">
      <c r="A4923" s="61" t="s">
        <v>87</v>
      </c>
      <c r="B4923" s="61" t="s">
        <v>380</v>
      </c>
      <c r="C4923" s="62">
        <v>44775</v>
      </c>
      <c r="D4923" s="62">
        <v>44775</v>
      </c>
      <c r="E4923" s="63">
        <v>0</v>
      </c>
    </row>
    <row r="4924" spans="1:5">
      <c r="A4924" s="61" t="s">
        <v>87</v>
      </c>
      <c r="B4924" s="61" t="s">
        <v>380</v>
      </c>
      <c r="C4924" s="62">
        <v>44776</v>
      </c>
      <c r="D4924" s="62">
        <v>44776</v>
      </c>
      <c r="E4924" s="63">
        <v>0</v>
      </c>
    </row>
    <row r="4925" spans="1:5">
      <c r="A4925" s="61" t="s">
        <v>87</v>
      </c>
      <c r="B4925" s="61" t="s">
        <v>380</v>
      </c>
      <c r="C4925" s="62">
        <v>44777</v>
      </c>
      <c r="D4925" s="62">
        <v>44777</v>
      </c>
      <c r="E4925" s="63">
        <v>0</v>
      </c>
    </row>
    <row r="4926" spans="1:5">
      <c r="A4926" s="61" t="s">
        <v>87</v>
      </c>
      <c r="B4926" s="61" t="s">
        <v>380</v>
      </c>
      <c r="C4926" s="62">
        <v>44778</v>
      </c>
      <c r="D4926" s="62">
        <v>44778</v>
      </c>
      <c r="E4926" s="63">
        <v>0</v>
      </c>
    </row>
    <row r="4927" spans="1:5">
      <c r="A4927" s="61" t="s">
        <v>87</v>
      </c>
      <c r="B4927" s="61" t="s">
        <v>380</v>
      </c>
      <c r="C4927" s="62">
        <v>44779</v>
      </c>
      <c r="D4927" s="62">
        <v>44779</v>
      </c>
      <c r="E4927" s="63">
        <v>0</v>
      </c>
    </row>
    <row r="4928" spans="1:5">
      <c r="A4928" s="61" t="s">
        <v>87</v>
      </c>
      <c r="B4928" s="61" t="s">
        <v>380</v>
      </c>
      <c r="C4928" s="62">
        <v>44780</v>
      </c>
      <c r="D4928" s="62">
        <v>44780</v>
      </c>
      <c r="E4928" s="63">
        <v>0</v>
      </c>
    </row>
    <row r="4929" spans="1:5">
      <c r="A4929" s="61" t="s">
        <v>87</v>
      </c>
      <c r="B4929" s="61" t="s">
        <v>380</v>
      </c>
      <c r="C4929" s="62">
        <v>44781</v>
      </c>
      <c r="D4929" s="62">
        <v>44781</v>
      </c>
      <c r="E4929" s="63">
        <v>0</v>
      </c>
    </row>
    <row r="4930" spans="1:5">
      <c r="A4930" s="61" t="s">
        <v>87</v>
      </c>
      <c r="B4930" s="61" t="s">
        <v>380</v>
      </c>
      <c r="C4930" s="62">
        <v>44782</v>
      </c>
      <c r="D4930" s="62">
        <v>44782</v>
      </c>
      <c r="E4930" s="63">
        <v>0</v>
      </c>
    </row>
    <row r="4931" spans="1:5">
      <c r="A4931" s="61" t="s">
        <v>87</v>
      </c>
      <c r="B4931" s="61" t="s">
        <v>380</v>
      </c>
      <c r="C4931" s="62">
        <v>44783</v>
      </c>
      <c r="D4931" s="62">
        <v>44783</v>
      </c>
      <c r="E4931" s="63">
        <v>0</v>
      </c>
    </row>
    <row r="4932" spans="1:5">
      <c r="A4932" s="61" t="s">
        <v>87</v>
      </c>
      <c r="B4932" s="61" t="s">
        <v>380</v>
      </c>
      <c r="C4932" s="62">
        <v>44784</v>
      </c>
      <c r="D4932" s="62">
        <v>44784</v>
      </c>
      <c r="E4932" s="63">
        <v>0</v>
      </c>
    </row>
    <row r="4933" spans="1:5">
      <c r="A4933" s="61" t="s">
        <v>87</v>
      </c>
      <c r="B4933" s="61" t="s">
        <v>380</v>
      </c>
      <c r="C4933" s="62">
        <v>44785</v>
      </c>
      <c r="D4933" s="62">
        <v>44785</v>
      </c>
      <c r="E4933" s="63">
        <v>0</v>
      </c>
    </row>
    <row r="4934" spans="1:5">
      <c r="A4934" s="61" t="s">
        <v>87</v>
      </c>
      <c r="B4934" s="61" t="s">
        <v>380</v>
      </c>
      <c r="C4934" s="62">
        <v>44786</v>
      </c>
      <c r="D4934" s="62">
        <v>44786</v>
      </c>
      <c r="E4934" s="63">
        <v>0</v>
      </c>
    </row>
    <row r="4935" spans="1:5">
      <c r="A4935" s="61" t="s">
        <v>87</v>
      </c>
      <c r="B4935" s="61" t="s">
        <v>380</v>
      </c>
      <c r="C4935" s="62">
        <v>44787</v>
      </c>
      <c r="D4935" s="62">
        <v>44787</v>
      </c>
      <c r="E4935" s="63">
        <v>0</v>
      </c>
    </row>
    <row r="4936" spans="1:5">
      <c r="A4936" s="61" t="s">
        <v>87</v>
      </c>
      <c r="B4936" s="61" t="s">
        <v>380</v>
      </c>
      <c r="C4936" s="62">
        <v>44788</v>
      </c>
      <c r="D4936" s="62">
        <v>44788</v>
      </c>
      <c r="E4936" s="63">
        <v>0</v>
      </c>
    </row>
    <row r="4937" spans="1:5">
      <c r="A4937" s="61" t="s">
        <v>87</v>
      </c>
      <c r="B4937" s="61" t="s">
        <v>380</v>
      </c>
      <c r="C4937" s="62">
        <v>44789</v>
      </c>
      <c r="D4937" s="62">
        <v>44789</v>
      </c>
      <c r="E4937" s="63">
        <v>1479.66</v>
      </c>
    </row>
    <row r="4938" spans="1:5">
      <c r="A4938" s="61" t="s">
        <v>87</v>
      </c>
      <c r="B4938" s="61" t="s">
        <v>380</v>
      </c>
      <c r="C4938" s="62">
        <v>44790</v>
      </c>
      <c r="D4938" s="62">
        <v>44790</v>
      </c>
      <c r="E4938" s="63">
        <v>0</v>
      </c>
    </row>
    <row r="4939" spans="1:5">
      <c r="A4939" s="61" t="s">
        <v>87</v>
      </c>
      <c r="B4939" s="61" t="s">
        <v>380</v>
      </c>
      <c r="C4939" s="62">
        <v>44791</v>
      </c>
      <c r="D4939" s="62">
        <v>44791</v>
      </c>
      <c r="E4939" s="63">
        <v>0</v>
      </c>
    </row>
    <row r="4940" spans="1:5">
      <c r="A4940" s="61" t="s">
        <v>87</v>
      </c>
      <c r="B4940" s="61" t="s">
        <v>380</v>
      </c>
      <c r="C4940" s="62">
        <v>44792</v>
      </c>
      <c r="D4940" s="62">
        <v>44792</v>
      </c>
      <c r="E4940" s="63">
        <v>0</v>
      </c>
    </row>
    <row r="4941" spans="1:5">
      <c r="A4941" s="61" t="s">
        <v>87</v>
      </c>
      <c r="B4941" s="61" t="s">
        <v>380</v>
      </c>
      <c r="C4941" s="62">
        <v>44793</v>
      </c>
      <c r="D4941" s="62">
        <v>44793</v>
      </c>
      <c r="E4941" s="63">
        <v>0</v>
      </c>
    </row>
    <row r="4942" spans="1:5">
      <c r="A4942" s="61" t="s">
        <v>87</v>
      </c>
      <c r="B4942" s="61" t="s">
        <v>380</v>
      </c>
      <c r="C4942" s="62">
        <v>44794</v>
      </c>
      <c r="D4942" s="62">
        <v>44794</v>
      </c>
      <c r="E4942" s="63">
        <v>0</v>
      </c>
    </row>
    <row r="4943" spans="1:5">
      <c r="A4943" s="61" t="s">
        <v>87</v>
      </c>
      <c r="B4943" s="61" t="s">
        <v>380</v>
      </c>
      <c r="C4943" s="62">
        <v>44795</v>
      </c>
      <c r="D4943" s="62">
        <v>44795</v>
      </c>
      <c r="E4943" s="63">
        <v>0</v>
      </c>
    </row>
    <row r="4944" spans="1:5">
      <c r="A4944" s="61" t="s">
        <v>87</v>
      </c>
      <c r="B4944" s="61" t="s">
        <v>380</v>
      </c>
      <c r="C4944" s="62">
        <v>44796</v>
      </c>
      <c r="D4944" s="62">
        <v>44796</v>
      </c>
      <c r="E4944" s="63">
        <v>0</v>
      </c>
    </row>
    <row r="4945" spans="1:5">
      <c r="A4945" s="61" t="s">
        <v>87</v>
      </c>
      <c r="B4945" s="61" t="s">
        <v>380</v>
      </c>
      <c r="C4945" s="62">
        <v>44797</v>
      </c>
      <c r="D4945" s="62">
        <v>44797</v>
      </c>
      <c r="E4945" s="63">
        <v>0</v>
      </c>
    </row>
    <row r="4946" spans="1:5">
      <c r="A4946" s="61" t="s">
        <v>87</v>
      </c>
      <c r="B4946" s="61" t="s">
        <v>380</v>
      </c>
      <c r="C4946" s="62">
        <v>44798</v>
      </c>
      <c r="D4946" s="62">
        <v>44798</v>
      </c>
      <c r="E4946" s="63">
        <v>0</v>
      </c>
    </row>
    <row r="4947" spans="1:5">
      <c r="A4947" s="61" t="s">
        <v>87</v>
      </c>
      <c r="B4947" s="61" t="s">
        <v>380</v>
      </c>
      <c r="C4947" s="62">
        <v>44799</v>
      </c>
      <c r="D4947" s="62">
        <v>44799</v>
      </c>
      <c r="E4947" s="63">
        <v>0</v>
      </c>
    </row>
    <row r="4948" spans="1:5">
      <c r="A4948" s="61" t="s">
        <v>87</v>
      </c>
      <c r="B4948" s="61" t="s">
        <v>380</v>
      </c>
      <c r="C4948" s="62">
        <v>44800</v>
      </c>
      <c r="D4948" s="62">
        <v>44800</v>
      </c>
      <c r="E4948" s="63">
        <v>0</v>
      </c>
    </row>
    <row r="4949" spans="1:5">
      <c r="A4949" s="61" t="s">
        <v>87</v>
      </c>
      <c r="B4949" s="61" t="s">
        <v>380</v>
      </c>
      <c r="C4949" s="62">
        <v>44801</v>
      </c>
      <c r="D4949" s="62">
        <v>44801</v>
      </c>
      <c r="E4949" s="63">
        <v>0</v>
      </c>
    </row>
    <row r="4950" spans="1:5">
      <c r="A4950" s="61" t="s">
        <v>87</v>
      </c>
      <c r="B4950" s="61" t="s">
        <v>380</v>
      </c>
      <c r="C4950" s="62">
        <v>44802</v>
      </c>
      <c r="D4950" s="62">
        <v>44802</v>
      </c>
      <c r="E4950" s="63">
        <v>0</v>
      </c>
    </row>
    <row r="4951" spans="1:5">
      <c r="A4951" s="61" t="s">
        <v>87</v>
      </c>
      <c r="B4951" s="61" t="s">
        <v>380</v>
      </c>
      <c r="C4951" s="62">
        <v>44803</v>
      </c>
      <c r="D4951" s="62">
        <v>44803</v>
      </c>
      <c r="E4951" s="63">
        <v>0</v>
      </c>
    </row>
    <row r="4952" spans="1:5">
      <c r="A4952" s="61" t="s">
        <v>229</v>
      </c>
      <c r="B4952" s="61" t="s">
        <v>381</v>
      </c>
      <c r="C4952" s="62">
        <v>44774</v>
      </c>
      <c r="D4952" s="62">
        <v>44774</v>
      </c>
      <c r="E4952" s="63">
        <v>0</v>
      </c>
    </row>
    <row r="4953" spans="1:5">
      <c r="A4953" s="61" t="s">
        <v>229</v>
      </c>
      <c r="B4953" s="61" t="s">
        <v>381</v>
      </c>
      <c r="C4953" s="62">
        <v>44775</v>
      </c>
      <c r="D4953" s="62">
        <v>44775</v>
      </c>
      <c r="E4953" s="63">
        <v>0</v>
      </c>
    </row>
    <row r="4954" spans="1:5">
      <c r="A4954" s="61" t="s">
        <v>229</v>
      </c>
      <c r="B4954" s="61" t="s">
        <v>381</v>
      </c>
      <c r="C4954" s="62">
        <v>44776</v>
      </c>
      <c r="D4954" s="62">
        <v>44776</v>
      </c>
      <c r="E4954" s="63">
        <v>0</v>
      </c>
    </row>
    <row r="4955" spans="1:5">
      <c r="A4955" s="61" t="s">
        <v>229</v>
      </c>
      <c r="B4955" s="61" t="s">
        <v>381</v>
      </c>
      <c r="C4955" s="62">
        <v>44777</v>
      </c>
      <c r="D4955" s="62">
        <v>44777</v>
      </c>
      <c r="E4955" s="63">
        <v>0</v>
      </c>
    </row>
    <row r="4956" spans="1:5">
      <c r="A4956" s="61" t="s">
        <v>229</v>
      </c>
      <c r="B4956" s="61" t="s">
        <v>381</v>
      </c>
      <c r="C4956" s="62">
        <v>44778</v>
      </c>
      <c r="D4956" s="62">
        <v>44778</v>
      </c>
      <c r="E4956" s="63">
        <v>0</v>
      </c>
    </row>
    <row r="4957" spans="1:5">
      <c r="A4957" s="61" t="s">
        <v>229</v>
      </c>
      <c r="B4957" s="61" t="s">
        <v>381</v>
      </c>
      <c r="C4957" s="62">
        <v>44779</v>
      </c>
      <c r="D4957" s="62">
        <v>44779</v>
      </c>
      <c r="E4957" s="63">
        <v>0</v>
      </c>
    </row>
    <row r="4958" spans="1:5">
      <c r="A4958" s="61" t="s">
        <v>229</v>
      </c>
      <c r="B4958" s="61" t="s">
        <v>381</v>
      </c>
      <c r="C4958" s="62">
        <v>44780</v>
      </c>
      <c r="D4958" s="62">
        <v>44780</v>
      </c>
      <c r="E4958" s="63">
        <v>0</v>
      </c>
    </row>
    <row r="4959" spans="1:5">
      <c r="A4959" s="61" t="s">
        <v>229</v>
      </c>
      <c r="B4959" s="61" t="s">
        <v>381</v>
      </c>
      <c r="C4959" s="62">
        <v>44781</v>
      </c>
      <c r="D4959" s="62">
        <v>44781</v>
      </c>
      <c r="E4959" s="63">
        <v>0</v>
      </c>
    </row>
    <row r="4960" spans="1:5">
      <c r="A4960" s="61" t="s">
        <v>229</v>
      </c>
      <c r="B4960" s="61" t="s">
        <v>381</v>
      </c>
      <c r="C4960" s="62">
        <v>44782</v>
      </c>
      <c r="D4960" s="62">
        <v>44782</v>
      </c>
      <c r="E4960" s="63">
        <v>0</v>
      </c>
    </row>
    <row r="4961" spans="1:5">
      <c r="A4961" s="61" t="s">
        <v>229</v>
      </c>
      <c r="B4961" s="61" t="s">
        <v>381</v>
      </c>
      <c r="C4961" s="62">
        <v>44783</v>
      </c>
      <c r="D4961" s="62">
        <v>44783</v>
      </c>
      <c r="E4961" s="63">
        <v>0</v>
      </c>
    </row>
    <row r="4962" spans="1:5">
      <c r="A4962" s="61" t="s">
        <v>229</v>
      </c>
      <c r="B4962" s="61" t="s">
        <v>381</v>
      </c>
      <c r="C4962" s="62">
        <v>44784</v>
      </c>
      <c r="D4962" s="62">
        <v>44784</v>
      </c>
      <c r="E4962" s="63">
        <v>0</v>
      </c>
    </row>
    <row r="4963" spans="1:5">
      <c r="A4963" s="61" t="s">
        <v>229</v>
      </c>
      <c r="B4963" s="61" t="s">
        <v>381</v>
      </c>
      <c r="C4963" s="62">
        <v>44785</v>
      </c>
      <c r="D4963" s="62">
        <v>44785</v>
      </c>
      <c r="E4963" s="63">
        <v>0</v>
      </c>
    </row>
    <row r="4964" spans="1:5">
      <c r="A4964" s="61" t="s">
        <v>229</v>
      </c>
      <c r="B4964" s="61" t="s">
        <v>381</v>
      </c>
      <c r="C4964" s="62">
        <v>44786</v>
      </c>
      <c r="D4964" s="62">
        <v>44786</v>
      </c>
      <c r="E4964" s="63">
        <v>0</v>
      </c>
    </row>
    <row r="4965" spans="1:5">
      <c r="A4965" s="61" t="s">
        <v>229</v>
      </c>
      <c r="B4965" s="61" t="s">
        <v>381</v>
      </c>
      <c r="C4965" s="62">
        <v>44787</v>
      </c>
      <c r="D4965" s="62">
        <v>44787</v>
      </c>
      <c r="E4965" s="63">
        <v>0</v>
      </c>
    </row>
    <row r="4966" spans="1:5">
      <c r="A4966" s="61" t="s">
        <v>229</v>
      </c>
      <c r="B4966" s="61" t="s">
        <v>381</v>
      </c>
      <c r="C4966" s="62">
        <v>44788</v>
      </c>
      <c r="D4966" s="62">
        <v>44788</v>
      </c>
      <c r="E4966" s="63">
        <v>0</v>
      </c>
    </row>
    <row r="4967" spans="1:5">
      <c r="A4967" s="61" t="s">
        <v>229</v>
      </c>
      <c r="B4967" s="61" t="s">
        <v>381</v>
      </c>
      <c r="C4967" s="62">
        <v>44789</v>
      </c>
      <c r="D4967" s="62">
        <v>44789</v>
      </c>
      <c r="E4967" s="63">
        <v>0</v>
      </c>
    </row>
    <row r="4968" spans="1:5">
      <c r="A4968" s="61" t="s">
        <v>229</v>
      </c>
      <c r="B4968" s="61" t="s">
        <v>381</v>
      </c>
      <c r="C4968" s="62">
        <v>44790</v>
      </c>
      <c r="D4968" s="62">
        <v>44790</v>
      </c>
      <c r="E4968" s="63">
        <v>0</v>
      </c>
    </row>
    <row r="4969" spans="1:5">
      <c r="A4969" s="61" t="s">
        <v>229</v>
      </c>
      <c r="B4969" s="61" t="s">
        <v>381</v>
      </c>
      <c r="C4969" s="62">
        <v>44791</v>
      </c>
      <c r="D4969" s="62">
        <v>44791</v>
      </c>
      <c r="E4969" s="63">
        <v>0</v>
      </c>
    </row>
    <row r="4970" spans="1:5">
      <c r="A4970" s="61" t="s">
        <v>229</v>
      </c>
      <c r="B4970" s="61" t="s">
        <v>381</v>
      </c>
      <c r="C4970" s="62">
        <v>44792</v>
      </c>
      <c r="D4970" s="62">
        <v>44792</v>
      </c>
      <c r="E4970" s="63">
        <v>0</v>
      </c>
    </row>
    <row r="4971" spans="1:5">
      <c r="A4971" s="61" t="s">
        <v>229</v>
      </c>
      <c r="B4971" s="61" t="s">
        <v>381</v>
      </c>
      <c r="C4971" s="62">
        <v>44793</v>
      </c>
      <c r="D4971" s="62">
        <v>44793</v>
      </c>
      <c r="E4971" s="63">
        <v>0</v>
      </c>
    </row>
    <row r="4972" spans="1:5">
      <c r="A4972" s="61" t="s">
        <v>229</v>
      </c>
      <c r="B4972" s="61" t="s">
        <v>381</v>
      </c>
      <c r="C4972" s="62">
        <v>44794</v>
      </c>
      <c r="D4972" s="62">
        <v>44794</v>
      </c>
      <c r="E4972" s="63">
        <v>0</v>
      </c>
    </row>
    <row r="4973" spans="1:5">
      <c r="A4973" s="61" t="s">
        <v>229</v>
      </c>
      <c r="B4973" s="61" t="s">
        <v>381</v>
      </c>
      <c r="C4973" s="62">
        <v>44795</v>
      </c>
      <c r="D4973" s="62">
        <v>44795</v>
      </c>
      <c r="E4973" s="63">
        <v>0</v>
      </c>
    </row>
    <row r="4974" spans="1:5">
      <c r="A4974" s="61" t="s">
        <v>229</v>
      </c>
      <c r="B4974" s="61" t="s">
        <v>381</v>
      </c>
      <c r="C4974" s="62">
        <v>44796</v>
      </c>
      <c r="D4974" s="62">
        <v>44796</v>
      </c>
      <c r="E4974" s="63">
        <v>0</v>
      </c>
    </row>
    <row r="4975" spans="1:5">
      <c r="A4975" s="61" t="s">
        <v>229</v>
      </c>
      <c r="B4975" s="61" t="s">
        <v>381</v>
      </c>
      <c r="C4975" s="62">
        <v>44797</v>
      </c>
      <c r="D4975" s="62">
        <v>44797</v>
      </c>
      <c r="E4975" s="63">
        <v>0</v>
      </c>
    </row>
    <row r="4976" spans="1:5">
      <c r="A4976" s="61" t="s">
        <v>229</v>
      </c>
      <c r="B4976" s="61" t="s">
        <v>381</v>
      </c>
      <c r="C4976" s="62">
        <v>44798</v>
      </c>
      <c r="D4976" s="62">
        <v>44798</v>
      </c>
      <c r="E4976" s="63">
        <v>0</v>
      </c>
    </row>
    <row r="4977" spans="1:5">
      <c r="A4977" s="61" t="s">
        <v>229</v>
      </c>
      <c r="B4977" s="61" t="s">
        <v>381</v>
      </c>
      <c r="C4977" s="62">
        <v>44799</v>
      </c>
      <c r="D4977" s="62">
        <v>44799</v>
      </c>
      <c r="E4977" s="63">
        <v>0</v>
      </c>
    </row>
    <row r="4978" spans="1:5">
      <c r="A4978" s="61" t="s">
        <v>229</v>
      </c>
      <c r="B4978" s="61" t="s">
        <v>381</v>
      </c>
      <c r="C4978" s="62">
        <v>44800</v>
      </c>
      <c r="D4978" s="62">
        <v>44800</v>
      </c>
      <c r="E4978" s="63">
        <v>0</v>
      </c>
    </row>
    <row r="4979" spans="1:5">
      <c r="A4979" s="61" t="s">
        <v>229</v>
      </c>
      <c r="B4979" s="61" t="s">
        <v>381</v>
      </c>
      <c r="C4979" s="62">
        <v>44801</v>
      </c>
      <c r="D4979" s="62">
        <v>44801</v>
      </c>
      <c r="E4979" s="63">
        <v>0</v>
      </c>
    </row>
    <row r="4980" spans="1:5">
      <c r="A4980" s="61" t="s">
        <v>229</v>
      </c>
      <c r="B4980" s="61" t="s">
        <v>381</v>
      </c>
      <c r="C4980" s="62">
        <v>44802</v>
      </c>
      <c r="D4980" s="62">
        <v>44802</v>
      </c>
      <c r="E4980" s="63">
        <v>0</v>
      </c>
    </row>
    <row r="4981" spans="1:5">
      <c r="A4981" s="61" t="s">
        <v>229</v>
      </c>
      <c r="B4981" s="61" t="s">
        <v>381</v>
      </c>
      <c r="C4981" s="62">
        <v>44803</v>
      </c>
      <c r="D4981" s="62">
        <v>44803</v>
      </c>
      <c r="E4981" s="63">
        <v>0</v>
      </c>
    </row>
    <row r="4982" spans="1:5">
      <c r="A4982" s="61" t="s">
        <v>230</v>
      </c>
      <c r="B4982" s="61" t="s">
        <v>382</v>
      </c>
      <c r="C4982" s="62">
        <v>44774</v>
      </c>
      <c r="D4982" s="62">
        <v>44774</v>
      </c>
      <c r="E4982" s="63">
        <v>0</v>
      </c>
    </row>
    <row r="4983" spans="1:5">
      <c r="A4983" s="61" t="s">
        <v>230</v>
      </c>
      <c r="B4983" s="61" t="s">
        <v>382</v>
      </c>
      <c r="C4983" s="62">
        <v>44775</v>
      </c>
      <c r="D4983" s="62">
        <v>44775</v>
      </c>
      <c r="E4983" s="63">
        <v>0</v>
      </c>
    </row>
    <row r="4984" spans="1:5">
      <c r="A4984" s="61" t="s">
        <v>230</v>
      </c>
      <c r="B4984" s="61" t="s">
        <v>382</v>
      </c>
      <c r="C4984" s="62">
        <v>44776</v>
      </c>
      <c r="D4984" s="62">
        <v>44776</v>
      </c>
      <c r="E4984" s="63">
        <v>0</v>
      </c>
    </row>
    <row r="4985" spans="1:5">
      <c r="A4985" s="61" t="s">
        <v>230</v>
      </c>
      <c r="B4985" s="61" t="s">
        <v>382</v>
      </c>
      <c r="C4985" s="62">
        <v>44777</v>
      </c>
      <c r="D4985" s="62">
        <v>44777</v>
      </c>
      <c r="E4985" s="63">
        <v>0</v>
      </c>
    </row>
    <row r="4986" spans="1:5">
      <c r="A4986" s="61" t="s">
        <v>230</v>
      </c>
      <c r="B4986" s="61" t="s">
        <v>382</v>
      </c>
      <c r="C4986" s="62">
        <v>44778</v>
      </c>
      <c r="D4986" s="62">
        <v>44778</v>
      </c>
      <c r="E4986" s="63">
        <v>0</v>
      </c>
    </row>
    <row r="4987" spans="1:5">
      <c r="A4987" s="61" t="s">
        <v>230</v>
      </c>
      <c r="B4987" s="61" t="s">
        <v>382</v>
      </c>
      <c r="C4987" s="62">
        <v>44779</v>
      </c>
      <c r="D4987" s="62">
        <v>44779</v>
      </c>
      <c r="E4987" s="63">
        <v>0</v>
      </c>
    </row>
    <row r="4988" spans="1:5">
      <c r="A4988" s="61" t="s">
        <v>230</v>
      </c>
      <c r="B4988" s="61" t="s">
        <v>382</v>
      </c>
      <c r="C4988" s="62">
        <v>44780</v>
      </c>
      <c r="D4988" s="62">
        <v>44780</v>
      </c>
      <c r="E4988" s="63">
        <v>0</v>
      </c>
    </row>
    <row r="4989" spans="1:5">
      <c r="A4989" s="61" t="s">
        <v>230</v>
      </c>
      <c r="B4989" s="61" t="s">
        <v>382</v>
      </c>
      <c r="C4989" s="62">
        <v>44781</v>
      </c>
      <c r="D4989" s="62">
        <v>44781</v>
      </c>
      <c r="E4989" s="63">
        <v>0</v>
      </c>
    </row>
    <row r="4990" spans="1:5">
      <c r="A4990" s="61" t="s">
        <v>230</v>
      </c>
      <c r="B4990" s="61" t="s">
        <v>382</v>
      </c>
      <c r="C4990" s="62">
        <v>44782</v>
      </c>
      <c r="D4990" s="62">
        <v>44782</v>
      </c>
      <c r="E4990" s="63">
        <v>160.85</v>
      </c>
    </row>
    <row r="4991" spans="1:5">
      <c r="A4991" s="61" t="s">
        <v>230</v>
      </c>
      <c r="B4991" s="61" t="s">
        <v>382</v>
      </c>
      <c r="C4991" s="62">
        <v>44783</v>
      </c>
      <c r="D4991" s="62">
        <v>44783</v>
      </c>
      <c r="E4991" s="63">
        <v>0</v>
      </c>
    </row>
    <row r="4992" spans="1:5">
      <c r="A4992" s="61" t="s">
        <v>230</v>
      </c>
      <c r="B4992" s="61" t="s">
        <v>382</v>
      </c>
      <c r="C4992" s="62">
        <v>44784</v>
      </c>
      <c r="D4992" s="62">
        <v>44784</v>
      </c>
      <c r="E4992" s="63">
        <v>0</v>
      </c>
    </row>
    <row r="4993" spans="1:5">
      <c r="A4993" s="61" t="s">
        <v>230</v>
      </c>
      <c r="B4993" s="61" t="s">
        <v>382</v>
      </c>
      <c r="C4993" s="62">
        <v>44785</v>
      </c>
      <c r="D4993" s="62">
        <v>44785</v>
      </c>
      <c r="E4993" s="63">
        <v>0</v>
      </c>
    </row>
    <row r="4994" spans="1:5">
      <c r="A4994" s="61" t="s">
        <v>230</v>
      </c>
      <c r="B4994" s="61" t="s">
        <v>382</v>
      </c>
      <c r="C4994" s="62">
        <v>44786</v>
      </c>
      <c r="D4994" s="62">
        <v>44786</v>
      </c>
      <c r="E4994" s="63">
        <v>0</v>
      </c>
    </row>
    <row r="4995" spans="1:5">
      <c r="A4995" s="61" t="s">
        <v>230</v>
      </c>
      <c r="B4995" s="61" t="s">
        <v>382</v>
      </c>
      <c r="C4995" s="62">
        <v>44787</v>
      </c>
      <c r="D4995" s="62">
        <v>44787</v>
      </c>
      <c r="E4995" s="63">
        <v>0</v>
      </c>
    </row>
    <row r="4996" spans="1:5">
      <c r="A4996" s="61" t="s">
        <v>230</v>
      </c>
      <c r="B4996" s="61" t="s">
        <v>382</v>
      </c>
      <c r="C4996" s="62">
        <v>44788</v>
      </c>
      <c r="D4996" s="62">
        <v>44788</v>
      </c>
      <c r="E4996" s="63">
        <v>0</v>
      </c>
    </row>
    <row r="4997" spans="1:5">
      <c r="A4997" s="61" t="s">
        <v>230</v>
      </c>
      <c r="B4997" s="61" t="s">
        <v>382</v>
      </c>
      <c r="C4997" s="62">
        <v>44789</v>
      </c>
      <c r="D4997" s="62">
        <v>44789</v>
      </c>
      <c r="E4997" s="63">
        <v>0</v>
      </c>
    </row>
    <row r="4998" spans="1:5">
      <c r="A4998" s="61" t="s">
        <v>230</v>
      </c>
      <c r="B4998" s="61" t="s">
        <v>382</v>
      </c>
      <c r="C4998" s="62">
        <v>44790</v>
      </c>
      <c r="D4998" s="62">
        <v>44790</v>
      </c>
      <c r="E4998" s="63">
        <v>0</v>
      </c>
    </row>
    <row r="4999" spans="1:5">
      <c r="A4999" s="61" t="s">
        <v>230</v>
      </c>
      <c r="B4999" s="61" t="s">
        <v>382</v>
      </c>
      <c r="C4999" s="62">
        <v>44791</v>
      </c>
      <c r="D4999" s="62">
        <v>44791</v>
      </c>
      <c r="E4999" s="63">
        <v>0</v>
      </c>
    </row>
    <row r="5000" spans="1:5">
      <c r="A5000" s="61" t="s">
        <v>230</v>
      </c>
      <c r="B5000" s="61" t="s">
        <v>382</v>
      </c>
      <c r="C5000" s="62">
        <v>44792</v>
      </c>
      <c r="D5000" s="62">
        <v>44792</v>
      </c>
      <c r="E5000" s="63">
        <v>0</v>
      </c>
    </row>
    <row r="5001" spans="1:5">
      <c r="A5001" s="61" t="s">
        <v>230</v>
      </c>
      <c r="B5001" s="61" t="s">
        <v>382</v>
      </c>
      <c r="C5001" s="62">
        <v>44793</v>
      </c>
      <c r="D5001" s="62">
        <v>44793</v>
      </c>
      <c r="E5001" s="63">
        <v>0</v>
      </c>
    </row>
    <row r="5002" spans="1:5">
      <c r="A5002" s="61" t="s">
        <v>230</v>
      </c>
      <c r="B5002" s="61" t="s">
        <v>382</v>
      </c>
      <c r="C5002" s="62">
        <v>44794</v>
      </c>
      <c r="D5002" s="62">
        <v>44794</v>
      </c>
      <c r="E5002" s="63">
        <v>0</v>
      </c>
    </row>
    <row r="5003" spans="1:5">
      <c r="A5003" s="61" t="s">
        <v>230</v>
      </c>
      <c r="B5003" s="61" t="s">
        <v>382</v>
      </c>
      <c r="C5003" s="62">
        <v>44795</v>
      </c>
      <c r="D5003" s="62">
        <v>44795</v>
      </c>
      <c r="E5003" s="63">
        <v>0</v>
      </c>
    </row>
    <row r="5004" spans="1:5">
      <c r="A5004" s="61" t="s">
        <v>230</v>
      </c>
      <c r="B5004" s="61" t="s">
        <v>382</v>
      </c>
      <c r="C5004" s="62">
        <v>44796</v>
      </c>
      <c r="D5004" s="62">
        <v>44796</v>
      </c>
      <c r="E5004" s="63">
        <v>0</v>
      </c>
    </row>
    <row r="5005" spans="1:5">
      <c r="A5005" s="61" t="s">
        <v>230</v>
      </c>
      <c r="B5005" s="61" t="s">
        <v>382</v>
      </c>
      <c r="C5005" s="62">
        <v>44797</v>
      </c>
      <c r="D5005" s="62">
        <v>44797</v>
      </c>
      <c r="E5005" s="63">
        <v>0</v>
      </c>
    </row>
    <row r="5006" spans="1:5">
      <c r="A5006" s="61" t="s">
        <v>230</v>
      </c>
      <c r="B5006" s="61" t="s">
        <v>382</v>
      </c>
      <c r="C5006" s="62">
        <v>44798</v>
      </c>
      <c r="D5006" s="62">
        <v>44798</v>
      </c>
      <c r="E5006" s="63">
        <v>0</v>
      </c>
    </row>
    <row r="5007" spans="1:5">
      <c r="A5007" s="61" t="s">
        <v>230</v>
      </c>
      <c r="B5007" s="61" t="s">
        <v>382</v>
      </c>
      <c r="C5007" s="62">
        <v>44799</v>
      </c>
      <c r="D5007" s="62">
        <v>44799</v>
      </c>
      <c r="E5007" s="63">
        <v>0</v>
      </c>
    </row>
    <row r="5008" spans="1:5">
      <c r="A5008" s="61" t="s">
        <v>230</v>
      </c>
      <c r="B5008" s="61" t="s">
        <v>382</v>
      </c>
      <c r="C5008" s="62">
        <v>44800</v>
      </c>
      <c r="D5008" s="62">
        <v>44800</v>
      </c>
      <c r="E5008" s="63">
        <v>0</v>
      </c>
    </row>
    <row r="5009" spans="1:5">
      <c r="A5009" s="61" t="s">
        <v>230</v>
      </c>
      <c r="B5009" s="61" t="s">
        <v>382</v>
      </c>
      <c r="C5009" s="62">
        <v>44801</v>
      </c>
      <c r="D5009" s="62">
        <v>44801</v>
      </c>
      <c r="E5009" s="63">
        <v>0</v>
      </c>
    </row>
    <row r="5010" spans="1:5">
      <c r="A5010" s="61" t="s">
        <v>230</v>
      </c>
      <c r="B5010" s="61" t="s">
        <v>382</v>
      </c>
      <c r="C5010" s="62">
        <v>44802</v>
      </c>
      <c r="D5010" s="62">
        <v>44802</v>
      </c>
      <c r="E5010" s="63">
        <v>0</v>
      </c>
    </row>
    <row r="5011" spans="1:5">
      <c r="A5011" s="61" t="s">
        <v>230</v>
      </c>
      <c r="B5011" s="61" t="s">
        <v>382</v>
      </c>
      <c r="C5011" s="62">
        <v>44803</v>
      </c>
      <c r="D5011" s="62">
        <v>44803</v>
      </c>
      <c r="E5011" s="63">
        <v>0</v>
      </c>
    </row>
    <row r="5012" spans="1:5">
      <c r="A5012" s="61" t="s">
        <v>231</v>
      </c>
      <c r="B5012" s="61" t="s">
        <v>383</v>
      </c>
      <c r="C5012" s="62">
        <v>44774</v>
      </c>
      <c r="D5012" s="62">
        <v>44774</v>
      </c>
      <c r="E5012" s="63">
        <v>0</v>
      </c>
    </row>
    <row r="5013" spans="1:5">
      <c r="A5013" s="61" t="s">
        <v>231</v>
      </c>
      <c r="B5013" s="61" t="s">
        <v>383</v>
      </c>
      <c r="C5013" s="62">
        <v>44775</v>
      </c>
      <c r="D5013" s="62">
        <v>44775</v>
      </c>
      <c r="E5013" s="63">
        <v>0</v>
      </c>
    </row>
    <row r="5014" spans="1:5">
      <c r="A5014" s="61" t="s">
        <v>231</v>
      </c>
      <c r="B5014" s="61" t="s">
        <v>383</v>
      </c>
      <c r="C5014" s="62">
        <v>44776</v>
      </c>
      <c r="D5014" s="62">
        <v>44776</v>
      </c>
      <c r="E5014" s="63">
        <v>0</v>
      </c>
    </row>
    <row r="5015" spans="1:5">
      <c r="A5015" s="61" t="s">
        <v>231</v>
      </c>
      <c r="B5015" s="61" t="s">
        <v>383</v>
      </c>
      <c r="C5015" s="62">
        <v>44777</v>
      </c>
      <c r="D5015" s="62">
        <v>44777</v>
      </c>
      <c r="E5015" s="63">
        <v>0</v>
      </c>
    </row>
    <row r="5016" spans="1:5">
      <c r="A5016" s="61" t="s">
        <v>231</v>
      </c>
      <c r="B5016" s="61" t="s">
        <v>383</v>
      </c>
      <c r="C5016" s="62">
        <v>44778</v>
      </c>
      <c r="D5016" s="62">
        <v>44778</v>
      </c>
      <c r="E5016" s="63">
        <v>0</v>
      </c>
    </row>
    <row r="5017" spans="1:5">
      <c r="A5017" s="61" t="s">
        <v>231</v>
      </c>
      <c r="B5017" s="61" t="s">
        <v>383</v>
      </c>
      <c r="C5017" s="62">
        <v>44779</v>
      </c>
      <c r="D5017" s="62">
        <v>44779</v>
      </c>
      <c r="E5017" s="63">
        <v>0</v>
      </c>
    </row>
    <row r="5018" spans="1:5">
      <c r="A5018" s="61" t="s">
        <v>231</v>
      </c>
      <c r="B5018" s="61" t="s">
        <v>383</v>
      </c>
      <c r="C5018" s="62">
        <v>44780</v>
      </c>
      <c r="D5018" s="62">
        <v>44780</v>
      </c>
      <c r="E5018" s="63">
        <v>0</v>
      </c>
    </row>
    <row r="5019" spans="1:5">
      <c r="A5019" s="61" t="s">
        <v>231</v>
      </c>
      <c r="B5019" s="61" t="s">
        <v>383</v>
      </c>
      <c r="C5019" s="62">
        <v>44781</v>
      </c>
      <c r="D5019" s="62">
        <v>44781</v>
      </c>
      <c r="E5019" s="63">
        <v>0</v>
      </c>
    </row>
    <row r="5020" spans="1:5">
      <c r="A5020" s="61" t="s">
        <v>231</v>
      </c>
      <c r="B5020" s="61" t="s">
        <v>383</v>
      </c>
      <c r="C5020" s="62">
        <v>44782</v>
      </c>
      <c r="D5020" s="62">
        <v>44782</v>
      </c>
      <c r="E5020" s="63">
        <v>0</v>
      </c>
    </row>
    <row r="5021" spans="1:5">
      <c r="A5021" s="61" t="s">
        <v>231</v>
      </c>
      <c r="B5021" s="61" t="s">
        <v>383</v>
      </c>
      <c r="C5021" s="62">
        <v>44783</v>
      </c>
      <c r="D5021" s="62">
        <v>44783</v>
      </c>
      <c r="E5021" s="63">
        <v>0</v>
      </c>
    </row>
    <row r="5022" spans="1:5">
      <c r="A5022" s="61" t="s">
        <v>231</v>
      </c>
      <c r="B5022" s="61" t="s">
        <v>383</v>
      </c>
      <c r="C5022" s="62">
        <v>44784</v>
      </c>
      <c r="D5022" s="62">
        <v>44784</v>
      </c>
      <c r="E5022" s="63">
        <v>0</v>
      </c>
    </row>
    <row r="5023" spans="1:5">
      <c r="A5023" s="61" t="s">
        <v>231</v>
      </c>
      <c r="B5023" s="61" t="s">
        <v>383</v>
      </c>
      <c r="C5023" s="62">
        <v>44785</v>
      </c>
      <c r="D5023" s="62">
        <v>44785</v>
      </c>
      <c r="E5023" s="63">
        <v>0</v>
      </c>
    </row>
    <row r="5024" spans="1:5">
      <c r="A5024" s="61" t="s">
        <v>231</v>
      </c>
      <c r="B5024" s="61" t="s">
        <v>383</v>
      </c>
      <c r="C5024" s="62">
        <v>44786</v>
      </c>
      <c r="D5024" s="62">
        <v>44786</v>
      </c>
      <c r="E5024" s="63">
        <v>0</v>
      </c>
    </row>
    <row r="5025" spans="1:5">
      <c r="A5025" s="61" t="s">
        <v>231</v>
      </c>
      <c r="B5025" s="61" t="s">
        <v>383</v>
      </c>
      <c r="C5025" s="62">
        <v>44787</v>
      </c>
      <c r="D5025" s="62">
        <v>44787</v>
      </c>
      <c r="E5025" s="63">
        <v>0</v>
      </c>
    </row>
    <row r="5026" spans="1:5">
      <c r="A5026" s="61" t="s">
        <v>231</v>
      </c>
      <c r="B5026" s="61" t="s">
        <v>383</v>
      </c>
      <c r="C5026" s="62">
        <v>44788</v>
      </c>
      <c r="D5026" s="62">
        <v>44788</v>
      </c>
      <c r="E5026" s="63">
        <v>0</v>
      </c>
    </row>
    <row r="5027" spans="1:5">
      <c r="A5027" s="61" t="s">
        <v>231</v>
      </c>
      <c r="B5027" s="61" t="s">
        <v>383</v>
      </c>
      <c r="C5027" s="62">
        <v>44789</v>
      </c>
      <c r="D5027" s="62">
        <v>44789</v>
      </c>
      <c r="E5027" s="63">
        <v>0</v>
      </c>
    </row>
    <row r="5028" spans="1:5">
      <c r="A5028" s="61" t="s">
        <v>231</v>
      </c>
      <c r="B5028" s="61" t="s">
        <v>383</v>
      </c>
      <c r="C5028" s="62">
        <v>44790</v>
      </c>
      <c r="D5028" s="62">
        <v>44790</v>
      </c>
      <c r="E5028" s="63">
        <v>0</v>
      </c>
    </row>
    <row r="5029" spans="1:5">
      <c r="A5029" s="61" t="s">
        <v>231</v>
      </c>
      <c r="B5029" s="61" t="s">
        <v>383</v>
      </c>
      <c r="C5029" s="62">
        <v>44791</v>
      </c>
      <c r="D5029" s="62">
        <v>44791</v>
      </c>
      <c r="E5029" s="63">
        <v>0</v>
      </c>
    </row>
    <row r="5030" spans="1:5">
      <c r="A5030" s="61" t="s">
        <v>231</v>
      </c>
      <c r="B5030" s="61" t="s">
        <v>383</v>
      </c>
      <c r="C5030" s="62">
        <v>44792</v>
      </c>
      <c r="D5030" s="62">
        <v>44792</v>
      </c>
      <c r="E5030" s="63">
        <v>0</v>
      </c>
    </row>
    <row r="5031" spans="1:5">
      <c r="A5031" s="61" t="s">
        <v>231</v>
      </c>
      <c r="B5031" s="61" t="s">
        <v>383</v>
      </c>
      <c r="C5031" s="62">
        <v>44793</v>
      </c>
      <c r="D5031" s="62">
        <v>44793</v>
      </c>
      <c r="E5031" s="63">
        <v>0</v>
      </c>
    </row>
    <row r="5032" spans="1:5">
      <c r="A5032" s="61" t="s">
        <v>231</v>
      </c>
      <c r="B5032" s="61" t="s">
        <v>383</v>
      </c>
      <c r="C5032" s="62">
        <v>44794</v>
      </c>
      <c r="D5032" s="62">
        <v>44794</v>
      </c>
      <c r="E5032" s="63">
        <v>0</v>
      </c>
    </row>
    <row r="5033" spans="1:5">
      <c r="A5033" s="61" t="s">
        <v>231</v>
      </c>
      <c r="B5033" s="61" t="s">
        <v>383</v>
      </c>
      <c r="C5033" s="62">
        <v>44795</v>
      </c>
      <c r="D5033" s="62">
        <v>44795</v>
      </c>
      <c r="E5033" s="63">
        <v>0</v>
      </c>
    </row>
    <row r="5034" spans="1:5">
      <c r="A5034" s="61" t="s">
        <v>231</v>
      </c>
      <c r="B5034" s="61" t="s">
        <v>383</v>
      </c>
      <c r="C5034" s="62">
        <v>44796</v>
      </c>
      <c r="D5034" s="62">
        <v>44796</v>
      </c>
      <c r="E5034" s="63">
        <v>0</v>
      </c>
    </row>
    <row r="5035" spans="1:5">
      <c r="A5035" s="61" t="s">
        <v>231</v>
      </c>
      <c r="B5035" s="61" t="s">
        <v>383</v>
      </c>
      <c r="C5035" s="62">
        <v>44797</v>
      </c>
      <c r="D5035" s="62">
        <v>44797</v>
      </c>
      <c r="E5035" s="63">
        <v>0</v>
      </c>
    </row>
    <row r="5036" spans="1:5">
      <c r="A5036" s="61" t="s">
        <v>231</v>
      </c>
      <c r="B5036" s="61" t="s">
        <v>383</v>
      </c>
      <c r="C5036" s="62">
        <v>44798</v>
      </c>
      <c r="D5036" s="62">
        <v>44798</v>
      </c>
      <c r="E5036" s="63">
        <v>0</v>
      </c>
    </row>
    <row r="5037" spans="1:5">
      <c r="A5037" s="61" t="s">
        <v>231</v>
      </c>
      <c r="B5037" s="61" t="s">
        <v>383</v>
      </c>
      <c r="C5037" s="62">
        <v>44799</v>
      </c>
      <c r="D5037" s="62">
        <v>44799</v>
      </c>
      <c r="E5037" s="63">
        <v>0</v>
      </c>
    </row>
    <row r="5038" spans="1:5">
      <c r="A5038" s="61" t="s">
        <v>231</v>
      </c>
      <c r="B5038" s="61" t="s">
        <v>383</v>
      </c>
      <c r="C5038" s="62">
        <v>44800</v>
      </c>
      <c r="D5038" s="62">
        <v>44800</v>
      </c>
      <c r="E5038" s="63">
        <v>0</v>
      </c>
    </row>
    <row r="5039" spans="1:5">
      <c r="A5039" s="61" t="s">
        <v>231</v>
      </c>
      <c r="B5039" s="61" t="s">
        <v>383</v>
      </c>
      <c r="C5039" s="62">
        <v>44801</v>
      </c>
      <c r="D5039" s="62">
        <v>44801</v>
      </c>
      <c r="E5039" s="63">
        <v>0</v>
      </c>
    </row>
    <row r="5040" spans="1:5">
      <c r="A5040" s="61" t="s">
        <v>231</v>
      </c>
      <c r="B5040" s="61" t="s">
        <v>383</v>
      </c>
      <c r="C5040" s="62">
        <v>44802</v>
      </c>
      <c r="D5040" s="62">
        <v>44802</v>
      </c>
      <c r="E5040" s="63">
        <v>0</v>
      </c>
    </row>
    <row r="5041" spans="1:5">
      <c r="A5041" s="61" t="s">
        <v>231</v>
      </c>
      <c r="B5041" s="61" t="s">
        <v>383</v>
      </c>
      <c r="C5041" s="62">
        <v>44803</v>
      </c>
      <c r="D5041" s="62">
        <v>44803</v>
      </c>
      <c r="E5041" s="63">
        <v>0</v>
      </c>
    </row>
    <row r="5042" spans="1:5">
      <c r="A5042" s="61" t="s">
        <v>89</v>
      </c>
      <c r="B5042" s="61" t="s">
        <v>380</v>
      </c>
      <c r="C5042" s="62">
        <v>44774</v>
      </c>
      <c r="D5042" s="62">
        <v>44774</v>
      </c>
      <c r="E5042" s="63">
        <v>0</v>
      </c>
    </row>
    <row r="5043" spans="1:5">
      <c r="A5043" s="61" t="s">
        <v>89</v>
      </c>
      <c r="B5043" s="61" t="s">
        <v>380</v>
      </c>
      <c r="C5043" s="62">
        <v>44775</v>
      </c>
      <c r="D5043" s="62">
        <v>44775</v>
      </c>
      <c r="E5043" s="63">
        <v>0</v>
      </c>
    </row>
    <row r="5044" spans="1:5">
      <c r="A5044" s="61" t="s">
        <v>89</v>
      </c>
      <c r="B5044" s="61" t="s">
        <v>380</v>
      </c>
      <c r="C5044" s="62">
        <v>44776</v>
      </c>
      <c r="D5044" s="62">
        <v>44776</v>
      </c>
      <c r="E5044" s="63">
        <v>0</v>
      </c>
    </row>
    <row r="5045" spans="1:5">
      <c r="A5045" s="61" t="s">
        <v>89</v>
      </c>
      <c r="B5045" s="61" t="s">
        <v>380</v>
      </c>
      <c r="C5045" s="62">
        <v>44777</v>
      </c>
      <c r="D5045" s="62">
        <v>44777</v>
      </c>
      <c r="E5045" s="63">
        <v>0</v>
      </c>
    </row>
    <row r="5046" spans="1:5">
      <c r="A5046" s="61" t="s">
        <v>89</v>
      </c>
      <c r="B5046" s="61" t="s">
        <v>380</v>
      </c>
      <c r="C5046" s="62">
        <v>44778</v>
      </c>
      <c r="D5046" s="62">
        <v>44778</v>
      </c>
      <c r="E5046" s="63">
        <v>0</v>
      </c>
    </row>
    <row r="5047" spans="1:5">
      <c r="A5047" s="61" t="s">
        <v>89</v>
      </c>
      <c r="B5047" s="61" t="s">
        <v>380</v>
      </c>
      <c r="C5047" s="62">
        <v>44779</v>
      </c>
      <c r="D5047" s="62">
        <v>44779</v>
      </c>
      <c r="E5047" s="63">
        <v>0</v>
      </c>
    </row>
    <row r="5048" spans="1:5">
      <c r="A5048" s="61" t="s">
        <v>89</v>
      </c>
      <c r="B5048" s="61" t="s">
        <v>380</v>
      </c>
      <c r="C5048" s="62">
        <v>44780</v>
      </c>
      <c r="D5048" s="62">
        <v>44780</v>
      </c>
      <c r="E5048" s="63">
        <v>0</v>
      </c>
    </row>
    <row r="5049" spans="1:5">
      <c r="A5049" s="61" t="s">
        <v>89</v>
      </c>
      <c r="B5049" s="61" t="s">
        <v>380</v>
      </c>
      <c r="C5049" s="62">
        <v>44781</v>
      </c>
      <c r="D5049" s="62">
        <v>44781</v>
      </c>
      <c r="E5049" s="63">
        <v>0</v>
      </c>
    </row>
    <row r="5050" spans="1:5">
      <c r="A5050" s="61" t="s">
        <v>89</v>
      </c>
      <c r="B5050" s="61" t="s">
        <v>380</v>
      </c>
      <c r="C5050" s="62">
        <v>44782</v>
      </c>
      <c r="D5050" s="62">
        <v>44782</v>
      </c>
      <c r="E5050" s="63">
        <v>0</v>
      </c>
    </row>
    <row r="5051" spans="1:5">
      <c r="A5051" s="61" t="s">
        <v>89</v>
      </c>
      <c r="B5051" s="61" t="s">
        <v>380</v>
      </c>
      <c r="C5051" s="62">
        <v>44783</v>
      </c>
      <c r="D5051" s="62">
        <v>44783</v>
      </c>
      <c r="E5051" s="63">
        <v>0</v>
      </c>
    </row>
    <row r="5052" spans="1:5">
      <c r="A5052" s="61" t="s">
        <v>89</v>
      </c>
      <c r="B5052" s="61" t="s">
        <v>380</v>
      </c>
      <c r="C5052" s="62">
        <v>44784</v>
      </c>
      <c r="D5052" s="62">
        <v>44784</v>
      </c>
      <c r="E5052" s="63">
        <v>0</v>
      </c>
    </row>
    <row r="5053" spans="1:5">
      <c r="A5053" s="61" t="s">
        <v>89</v>
      </c>
      <c r="B5053" s="61" t="s">
        <v>380</v>
      </c>
      <c r="C5053" s="62">
        <v>44785</v>
      </c>
      <c r="D5053" s="62">
        <v>44785</v>
      </c>
      <c r="E5053" s="63">
        <v>0</v>
      </c>
    </row>
    <row r="5054" spans="1:5">
      <c r="A5054" s="61" t="s">
        <v>89</v>
      </c>
      <c r="B5054" s="61" t="s">
        <v>380</v>
      </c>
      <c r="C5054" s="62">
        <v>44786</v>
      </c>
      <c r="D5054" s="62">
        <v>44786</v>
      </c>
      <c r="E5054" s="63">
        <v>0</v>
      </c>
    </row>
    <row r="5055" spans="1:5">
      <c r="A5055" s="61" t="s">
        <v>89</v>
      </c>
      <c r="B5055" s="61" t="s">
        <v>380</v>
      </c>
      <c r="C5055" s="62">
        <v>44787</v>
      </c>
      <c r="D5055" s="62">
        <v>44787</v>
      </c>
      <c r="E5055" s="63">
        <v>0</v>
      </c>
    </row>
    <row r="5056" spans="1:5">
      <c r="A5056" s="61" t="s">
        <v>89</v>
      </c>
      <c r="B5056" s="61" t="s">
        <v>380</v>
      </c>
      <c r="C5056" s="62">
        <v>44788</v>
      </c>
      <c r="D5056" s="62">
        <v>44788</v>
      </c>
      <c r="E5056" s="63">
        <v>0</v>
      </c>
    </row>
    <row r="5057" spans="1:5">
      <c r="A5057" s="61" t="s">
        <v>89</v>
      </c>
      <c r="B5057" s="61" t="s">
        <v>380</v>
      </c>
      <c r="C5057" s="62">
        <v>44789</v>
      </c>
      <c r="D5057" s="62">
        <v>44789</v>
      </c>
      <c r="E5057" s="63">
        <v>0</v>
      </c>
    </row>
    <row r="5058" spans="1:5">
      <c r="A5058" s="61" t="s">
        <v>89</v>
      </c>
      <c r="B5058" s="61" t="s">
        <v>380</v>
      </c>
      <c r="C5058" s="62">
        <v>44790</v>
      </c>
      <c r="D5058" s="62">
        <v>44790</v>
      </c>
      <c r="E5058" s="63">
        <v>0</v>
      </c>
    </row>
    <row r="5059" spans="1:5">
      <c r="A5059" s="61" t="s">
        <v>89</v>
      </c>
      <c r="B5059" s="61" t="s">
        <v>380</v>
      </c>
      <c r="C5059" s="62">
        <v>44791</v>
      </c>
      <c r="D5059" s="62">
        <v>44791</v>
      </c>
      <c r="E5059" s="63">
        <v>0</v>
      </c>
    </row>
    <row r="5060" spans="1:5">
      <c r="A5060" s="61" t="s">
        <v>89</v>
      </c>
      <c r="B5060" s="61" t="s">
        <v>380</v>
      </c>
      <c r="C5060" s="62">
        <v>44792</v>
      </c>
      <c r="D5060" s="62">
        <v>44792</v>
      </c>
      <c r="E5060" s="63">
        <v>0</v>
      </c>
    </row>
    <row r="5061" spans="1:5">
      <c r="A5061" s="61" t="s">
        <v>89</v>
      </c>
      <c r="B5061" s="61" t="s">
        <v>380</v>
      </c>
      <c r="C5061" s="62">
        <v>44793</v>
      </c>
      <c r="D5061" s="62">
        <v>44793</v>
      </c>
      <c r="E5061" s="63">
        <v>0</v>
      </c>
    </row>
    <row r="5062" spans="1:5">
      <c r="A5062" s="61" t="s">
        <v>89</v>
      </c>
      <c r="B5062" s="61" t="s">
        <v>380</v>
      </c>
      <c r="C5062" s="62">
        <v>44794</v>
      </c>
      <c r="D5062" s="62">
        <v>44794</v>
      </c>
      <c r="E5062" s="63">
        <v>0</v>
      </c>
    </row>
    <row r="5063" spans="1:5">
      <c r="A5063" s="61" t="s">
        <v>89</v>
      </c>
      <c r="B5063" s="61" t="s">
        <v>380</v>
      </c>
      <c r="C5063" s="62">
        <v>44795</v>
      </c>
      <c r="D5063" s="62">
        <v>44795</v>
      </c>
      <c r="E5063" s="63">
        <v>0</v>
      </c>
    </row>
    <row r="5064" spans="1:5">
      <c r="A5064" s="61" t="s">
        <v>89</v>
      </c>
      <c r="B5064" s="61" t="s">
        <v>380</v>
      </c>
      <c r="C5064" s="62">
        <v>44796</v>
      </c>
      <c r="D5064" s="62">
        <v>44796</v>
      </c>
      <c r="E5064" s="63">
        <v>504.71</v>
      </c>
    </row>
    <row r="5065" spans="1:5">
      <c r="A5065" s="61" t="s">
        <v>89</v>
      </c>
      <c r="B5065" s="61" t="s">
        <v>380</v>
      </c>
      <c r="C5065" s="62">
        <v>44797</v>
      </c>
      <c r="D5065" s="62">
        <v>44797</v>
      </c>
      <c r="E5065" s="63">
        <v>0</v>
      </c>
    </row>
    <row r="5066" spans="1:5">
      <c r="A5066" s="61" t="s">
        <v>89</v>
      </c>
      <c r="B5066" s="61" t="s">
        <v>380</v>
      </c>
      <c r="C5066" s="62">
        <v>44798</v>
      </c>
      <c r="D5066" s="62">
        <v>44798</v>
      </c>
      <c r="E5066" s="63">
        <v>0</v>
      </c>
    </row>
    <row r="5067" spans="1:5">
      <c r="A5067" s="61" t="s">
        <v>89</v>
      </c>
      <c r="B5067" s="61" t="s">
        <v>380</v>
      </c>
      <c r="C5067" s="62">
        <v>44799</v>
      </c>
      <c r="D5067" s="62">
        <v>44799</v>
      </c>
      <c r="E5067" s="63">
        <v>0</v>
      </c>
    </row>
    <row r="5068" spans="1:5">
      <c r="A5068" s="61" t="s">
        <v>89</v>
      </c>
      <c r="B5068" s="61" t="s">
        <v>380</v>
      </c>
      <c r="C5068" s="62">
        <v>44800</v>
      </c>
      <c r="D5068" s="62">
        <v>44800</v>
      </c>
      <c r="E5068" s="63">
        <v>0</v>
      </c>
    </row>
    <row r="5069" spans="1:5">
      <c r="A5069" s="61" t="s">
        <v>89</v>
      </c>
      <c r="B5069" s="61" t="s">
        <v>380</v>
      </c>
      <c r="C5069" s="62">
        <v>44801</v>
      </c>
      <c r="D5069" s="62">
        <v>44801</v>
      </c>
      <c r="E5069" s="63">
        <v>0</v>
      </c>
    </row>
    <row r="5070" spans="1:5">
      <c r="A5070" s="61" t="s">
        <v>89</v>
      </c>
      <c r="B5070" s="61" t="s">
        <v>380</v>
      </c>
      <c r="C5070" s="62">
        <v>44802</v>
      </c>
      <c r="D5070" s="62">
        <v>44802</v>
      </c>
      <c r="E5070" s="63">
        <v>0</v>
      </c>
    </row>
    <row r="5071" spans="1:5">
      <c r="A5071" s="61" t="s">
        <v>89</v>
      </c>
      <c r="B5071" s="61" t="s">
        <v>380</v>
      </c>
      <c r="C5071" s="62">
        <v>44803</v>
      </c>
      <c r="D5071" s="62">
        <v>44803</v>
      </c>
      <c r="E5071" s="63">
        <v>0</v>
      </c>
    </row>
    <row r="5072" spans="1:5">
      <c r="A5072" s="61" t="s">
        <v>232</v>
      </c>
      <c r="B5072" s="61" t="s">
        <v>381</v>
      </c>
      <c r="C5072" s="62">
        <v>44774</v>
      </c>
      <c r="D5072" s="62">
        <v>44774</v>
      </c>
      <c r="E5072" s="63">
        <v>0</v>
      </c>
    </row>
    <row r="5073" spans="1:5">
      <c r="A5073" s="61" t="s">
        <v>232</v>
      </c>
      <c r="B5073" s="61" t="s">
        <v>381</v>
      </c>
      <c r="C5073" s="62">
        <v>44775</v>
      </c>
      <c r="D5073" s="62">
        <v>44775</v>
      </c>
      <c r="E5073" s="63">
        <v>0</v>
      </c>
    </row>
    <row r="5074" spans="1:5">
      <c r="A5074" s="61" t="s">
        <v>232</v>
      </c>
      <c r="B5074" s="61" t="s">
        <v>381</v>
      </c>
      <c r="C5074" s="62">
        <v>44776</v>
      </c>
      <c r="D5074" s="62">
        <v>44776</v>
      </c>
      <c r="E5074" s="63">
        <v>0</v>
      </c>
    </row>
    <row r="5075" spans="1:5">
      <c r="A5075" s="61" t="s">
        <v>232</v>
      </c>
      <c r="B5075" s="61" t="s">
        <v>381</v>
      </c>
      <c r="C5075" s="62">
        <v>44777</v>
      </c>
      <c r="D5075" s="62">
        <v>44777</v>
      </c>
      <c r="E5075" s="63">
        <v>0</v>
      </c>
    </row>
    <row r="5076" spans="1:5">
      <c r="A5076" s="61" t="s">
        <v>232</v>
      </c>
      <c r="B5076" s="61" t="s">
        <v>381</v>
      </c>
      <c r="C5076" s="62">
        <v>44778</v>
      </c>
      <c r="D5076" s="62">
        <v>44778</v>
      </c>
      <c r="E5076" s="63">
        <v>0</v>
      </c>
    </row>
    <row r="5077" spans="1:5">
      <c r="A5077" s="61" t="s">
        <v>232</v>
      </c>
      <c r="B5077" s="61" t="s">
        <v>381</v>
      </c>
      <c r="C5077" s="62">
        <v>44779</v>
      </c>
      <c r="D5077" s="62">
        <v>44779</v>
      </c>
      <c r="E5077" s="63">
        <v>0</v>
      </c>
    </row>
    <row r="5078" spans="1:5">
      <c r="A5078" s="61" t="s">
        <v>232</v>
      </c>
      <c r="B5078" s="61" t="s">
        <v>381</v>
      </c>
      <c r="C5078" s="62">
        <v>44780</v>
      </c>
      <c r="D5078" s="62">
        <v>44780</v>
      </c>
      <c r="E5078" s="63">
        <v>0</v>
      </c>
    </row>
    <row r="5079" spans="1:5">
      <c r="A5079" s="61" t="s">
        <v>232</v>
      </c>
      <c r="B5079" s="61" t="s">
        <v>381</v>
      </c>
      <c r="C5079" s="62">
        <v>44781</v>
      </c>
      <c r="D5079" s="62">
        <v>44781</v>
      </c>
      <c r="E5079" s="63">
        <v>0</v>
      </c>
    </row>
    <row r="5080" spans="1:5">
      <c r="A5080" s="61" t="s">
        <v>232</v>
      </c>
      <c r="B5080" s="61" t="s">
        <v>381</v>
      </c>
      <c r="C5080" s="62">
        <v>44782</v>
      </c>
      <c r="D5080" s="62">
        <v>44782</v>
      </c>
      <c r="E5080" s="63">
        <v>0</v>
      </c>
    </row>
    <row r="5081" spans="1:5">
      <c r="A5081" s="61" t="s">
        <v>232</v>
      </c>
      <c r="B5081" s="61" t="s">
        <v>381</v>
      </c>
      <c r="C5081" s="62">
        <v>44783</v>
      </c>
      <c r="D5081" s="62">
        <v>44783</v>
      </c>
      <c r="E5081" s="63">
        <v>0</v>
      </c>
    </row>
    <row r="5082" spans="1:5">
      <c r="A5082" s="61" t="s">
        <v>232</v>
      </c>
      <c r="B5082" s="61" t="s">
        <v>381</v>
      </c>
      <c r="C5082" s="62">
        <v>44784</v>
      </c>
      <c r="D5082" s="62">
        <v>44784</v>
      </c>
      <c r="E5082" s="63">
        <v>0</v>
      </c>
    </row>
    <row r="5083" spans="1:5">
      <c r="A5083" s="61" t="s">
        <v>232</v>
      </c>
      <c r="B5083" s="61" t="s">
        <v>381</v>
      </c>
      <c r="C5083" s="62">
        <v>44785</v>
      </c>
      <c r="D5083" s="62">
        <v>44785</v>
      </c>
      <c r="E5083" s="63">
        <v>0</v>
      </c>
    </row>
    <row r="5084" spans="1:5">
      <c r="A5084" s="61" t="s">
        <v>232</v>
      </c>
      <c r="B5084" s="61" t="s">
        <v>381</v>
      </c>
      <c r="C5084" s="62">
        <v>44786</v>
      </c>
      <c r="D5084" s="62">
        <v>44786</v>
      </c>
      <c r="E5084" s="63">
        <v>0</v>
      </c>
    </row>
    <row r="5085" spans="1:5">
      <c r="A5085" s="61" t="s">
        <v>232</v>
      </c>
      <c r="B5085" s="61" t="s">
        <v>381</v>
      </c>
      <c r="C5085" s="62">
        <v>44787</v>
      </c>
      <c r="D5085" s="62">
        <v>44787</v>
      </c>
      <c r="E5085" s="63">
        <v>0</v>
      </c>
    </row>
    <row r="5086" spans="1:5">
      <c r="A5086" s="61" t="s">
        <v>232</v>
      </c>
      <c r="B5086" s="61" t="s">
        <v>381</v>
      </c>
      <c r="C5086" s="62">
        <v>44788</v>
      </c>
      <c r="D5086" s="62">
        <v>44788</v>
      </c>
      <c r="E5086" s="63">
        <v>0</v>
      </c>
    </row>
    <row r="5087" spans="1:5">
      <c r="A5087" s="61" t="s">
        <v>232</v>
      </c>
      <c r="B5087" s="61" t="s">
        <v>381</v>
      </c>
      <c r="C5087" s="62">
        <v>44789</v>
      </c>
      <c r="D5087" s="62">
        <v>44789</v>
      </c>
      <c r="E5087" s="63">
        <v>0</v>
      </c>
    </row>
    <row r="5088" spans="1:5">
      <c r="A5088" s="61" t="s">
        <v>232</v>
      </c>
      <c r="B5088" s="61" t="s">
        <v>381</v>
      </c>
      <c r="C5088" s="62">
        <v>44790</v>
      </c>
      <c r="D5088" s="62">
        <v>44790</v>
      </c>
      <c r="E5088" s="63">
        <v>0</v>
      </c>
    </row>
    <row r="5089" spans="1:5">
      <c r="A5089" s="61" t="s">
        <v>232</v>
      </c>
      <c r="B5089" s="61" t="s">
        <v>381</v>
      </c>
      <c r="C5089" s="62">
        <v>44791</v>
      </c>
      <c r="D5089" s="62">
        <v>44791</v>
      </c>
      <c r="E5089" s="63">
        <v>0</v>
      </c>
    </row>
    <row r="5090" spans="1:5">
      <c r="A5090" s="61" t="s">
        <v>232</v>
      </c>
      <c r="B5090" s="61" t="s">
        <v>381</v>
      </c>
      <c r="C5090" s="62">
        <v>44792</v>
      </c>
      <c r="D5090" s="62">
        <v>44792</v>
      </c>
      <c r="E5090" s="63">
        <v>0</v>
      </c>
    </row>
    <row r="5091" spans="1:5">
      <c r="A5091" s="61" t="s">
        <v>232</v>
      </c>
      <c r="B5091" s="61" t="s">
        <v>381</v>
      </c>
      <c r="C5091" s="62">
        <v>44793</v>
      </c>
      <c r="D5091" s="62">
        <v>44793</v>
      </c>
      <c r="E5091" s="63">
        <v>0</v>
      </c>
    </row>
    <row r="5092" spans="1:5">
      <c r="A5092" s="61" t="s">
        <v>232</v>
      </c>
      <c r="B5092" s="61" t="s">
        <v>381</v>
      </c>
      <c r="C5092" s="62">
        <v>44794</v>
      </c>
      <c r="D5092" s="62">
        <v>44794</v>
      </c>
      <c r="E5092" s="63">
        <v>0</v>
      </c>
    </row>
    <row r="5093" spans="1:5">
      <c r="A5093" s="61" t="s">
        <v>232</v>
      </c>
      <c r="B5093" s="61" t="s">
        <v>381</v>
      </c>
      <c r="C5093" s="62">
        <v>44795</v>
      </c>
      <c r="D5093" s="62">
        <v>44795</v>
      </c>
      <c r="E5093" s="63">
        <v>0</v>
      </c>
    </row>
    <row r="5094" spans="1:5">
      <c r="A5094" s="61" t="s">
        <v>232</v>
      </c>
      <c r="B5094" s="61" t="s">
        <v>381</v>
      </c>
      <c r="C5094" s="62">
        <v>44796</v>
      </c>
      <c r="D5094" s="62">
        <v>44796</v>
      </c>
      <c r="E5094" s="63">
        <v>0</v>
      </c>
    </row>
    <row r="5095" spans="1:5">
      <c r="A5095" s="61" t="s">
        <v>232</v>
      </c>
      <c r="B5095" s="61" t="s">
        <v>381</v>
      </c>
      <c r="C5095" s="62">
        <v>44797</v>
      </c>
      <c r="D5095" s="62">
        <v>44797</v>
      </c>
      <c r="E5095" s="63">
        <v>0</v>
      </c>
    </row>
    <row r="5096" spans="1:5">
      <c r="A5096" s="61" t="s">
        <v>232</v>
      </c>
      <c r="B5096" s="61" t="s">
        <v>381</v>
      </c>
      <c r="C5096" s="62">
        <v>44798</v>
      </c>
      <c r="D5096" s="62">
        <v>44798</v>
      </c>
      <c r="E5096" s="63">
        <v>0</v>
      </c>
    </row>
    <row r="5097" spans="1:5">
      <c r="A5097" s="61" t="s">
        <v>232</v>
      </c>
      <c r="B5097" s="61" t="s">
        <v>381</v>
      </c>
      <c r="C5097" s="62">
        <v>44799</v>
      </c>
      <c r="D5097" s="62">
        <v>44799</v>
      </c>
      <c r="E5097" s="63">
        <v>0</v>
      </c>
    </row>
    <row r="5098" spans="1:5">
      <c r="A5098" s="61" t="s">
        <v>232</v>
      </c>
      <c r="B5098" s="61" t="s">
        <v>381</v>
      </c>
      <c r="C5098" s="62">
        <v>44800</v>
      </c>
      <c r="D5098" s="62">
        <v>44800</v>
      </c>
      <c r="E5098" s="63">
        <v>0</v>
      </c>
    </row>
    <row r="5099" spans="1:5">
      <c r="A5099" s="61" t="s">
        <v>232</v>
      </c>
      <c r="B5099" s="61" t="s">
        <v>381</v>
      </c>
      <c r="C5099" s="62">
        <v>44801</v>
      </c>
      <c r="D5099" s="62">
        <v>44801</v>
      </c>
      <c r="E5099" s="63">
        <v>0</v>
      </c>
    </row>
    <row r="5100" spans="1:5">
      <c r="A5100" s="61" t="s">
        <v>232</v>
      </c>
      <c r="B5100" s="61" t="s">
        <v>381</v>
      </c>
      <c r="C5100" s="62">
        <v>44802</v>
      </c>
      <c r="D5100" s="62">
        <v>44802</v>
      </c>
      <c r="E5100" s="63">
        <v>0</v>
      </c>
    </row>
    <row r="5101" spans="1:5">
      <c r="A5101" s="61" t="s">
        <v>232</v>
      </c>
      <c r="B5101" s="61" t="s">
        <v>381</v>
      </c>
      <c r="C5101" s="62">
        <v>44803</v>
      </c>
      <c r="D5101" s="62">
        <v>44803</v>
      </c>
      <c r="E5101" s="63">
        <v>0</v>
      </c>
    </row>
    <row r="5102" spans="1:5">
      <c r="A5102" s="61" t="s">
        <v>233</v>
      </c>
      <c r="B5102" s="61" t="s">
        <v>382</v>
      </c>
      <c r="C5102" s="62">
        <v>44774</v>
      </c>
      <c r="D5102" s="62">
        <v>44774</v>
      </c>
      <c r="E5102" s="63">
        <v>0</v>
      </c>
    </row>
    <row r="5103" spans="1:5">
      <c r="A5103" s="61" t="s">
        <v>233</v>
      </c>
      <c r="B5103" s="61" t="s">
        <v>382</v>
      </c>
      <c r="C5103" s="62">
        <v>44775</v>
      </c>
      <c r="D5103" s="62">
        <v>44775</v>
      </c>
      <c r="E5103" s="63">
        <v>0</v>
      </c>
    </row>
    <row r="5104" spans="1:5">
      <c r="A5104" s="61" t="s">
        <v>233</v>
      </c>
      <c r="B5104" s="61" t="s">
        <v>382</v>
      </c>
      <c r="C5104" s="62">
        <v>44776</v>
      </c>
      <c r="D5104" s="62">
        <v>44776</v>
      </c>
      <c r="E5104" s="63">
        <v>0</v>
      </c>
    </row>
    <row r="5105" spans="1:5">
      <c r="A5105" s="61" t="s">
        <v>233</v>
      </c>
      <c r="B5105" s="61" t="s">
        <v>382</v>
      </c>
      <c r="C5105" s="62">
        <v>44777</v>
      </c>
      <c r="D5105" s="62">
        <v>44777</v>
      </c>
      <c r="E5105" s="63">
        <v>0</v>
      </c>
    </row>
    <row r="5106" spans="1:5">
      <c r="A5106" s="61" t="s">
        <v>233</v>
      </c>
      <c r="B5106" s="61" t="s">
        <v>382</v>
      </c>
      <c r="C5106" s="62">
        <v>44778</v>
      </c>
      <c r="D5106" s="62">
        <v>44778</v>
      </c>
      <c r="E5106" s="63">
        <v>0</v>
      </c>
    </row>
    <row r="5107" spans="1:5">
      <c r="A5107" s="61" t="s">
        <v>233</v>
      </c>
      <c r="B5107" s="61" t="s">
        <v>382</v>
      </c>
      <c r="C5107" s="62">
        <v>44779</v>
      </c>
      <c r="D5107" s="62">
        <v>44779</v>
      </c>
      <c r="E5107" s="63">
        <v>0</v>
      </c>
    </row>
    <row r="5108" spans="1:5">
      <c r="A5108" s="61" t="s">
        <v>233</v>
      </c>
      <c r="B5108" s="61" t="s">
        <v>382</v>
      </c>
      <c r="C5108" s="62">
        <v>44780</v>
      </c>
      <c r="D5108" s="62">
        <v>44780</v>
      </c>
      <c r="E5108" s="63">
        <v>0</v>
      </c>
    </row>
    <row r="5109" spans="1:5">
      <c r="A5109" s="61" t="s">
        <v>233</v>
      </c>
      <c r="B5109" s="61" t="s">
        <v>382</v>
      </c>
      <c r="C5109" s="62">
        <v>44781</v>
      </c>
      <c r="D5109" s="62">
        <v>44781</v>
      </c>
      <c r="E5109" s="63">
        <v>0</v>
      </c>
    </row>
    <row r="5110" spans="1:5">
      <c r="A5110" s="61" t="s">
        <v>233</v>
      </c>
      <c r="B5110" s="61" t="s">
        <v>382</v>
      </c>
      <c r="C5110" s="62">
        <v>44782</v>
      </c>
      <c r="D5110" s="62">
        <v>44782</v>
      </c>
      <c r="E5110" s="63">
        <v>0</v>
      </c>
    </row>
    <row r="5111" spans="1:5">
      <c r="A5111" s="61" t="s">
        <v>233</v>
      </c>
      <c r="B5111" s="61" t="s">
        <v>382</v>
      </c>
      <c r="C5111" s="62">
        <v>44783</v>
      </c>
      <c r="D5111" s="62">
        <v>44783</v>
      </c>
      <c r="E5111" s="63">
        <v>0</v>
      </c>
    </row>
    <row r="5112" spans="1:5">
      <c r="A5112" s="61" t="s">
        <v>233</v>
      </c>
      <c r="B5112" s="61" t="s">
        <v>382</v>
      </c>
      <c r="C5112" s="62">
        <v>44784</v>
      </c>
      <c r="D5112" s="62">
        <v>44784</v>
      </c>
      <c r="E5112" s="63">
        <v>0</v>
      </c>
    </row>
    <row r="5113" spans="1:5">
      <c r="A5113" s="61" t="s">
        <v>233</v>
      </c>
      <c r="B5113" s="61" t="s">
        <v>382</v>
      </c>
      <c r="C5113" s="62">
        <v>44785</v>
      </c>
      <c r="D5113" s="62">
        <v>44785</v>
      </c>
      <c r="E5113" s="63">
        <v>0</v>
      </c>
    </row>
    <row r="5114" spans="1:5">
      <c r="A5114" s="61" t="s">
        <v>233</v>
      </c>
      <c r="B5114" s="61" t="s">
        <v>382</v>
      </c>
      <c r="C5114" s="62">
        <v>44786</v>
      </c>
      <c r="D5114" s="62">
        <v>44786</v>
      </c>
      <c r="E5114" s="63">
        <v>0</v>
      </c>
    </row>
    <row r="5115" spans="1:5">
      <c r="A5115" s="61" t="s">
        <v>233</v>
      </c>
      <c r="B5115" s="61" t="s">
        <v>382</v>
      </c>
      <c r="C5115" s="62">
        <v>44787</v>
      </c>
      <c r="D5115" s="62">
        <v>44787</v>
      </c>
      <c r="E5115" s="63">
        <v>0</v>
      </c>
    </row>
    <row r="5116" spans="1:5">
      <c r="A5116" s="61" t="s">
        <v>233</v>
      </c>
      <c r="B5116" s="61" t="s">
        <v>382</v>
      </c>
      <c r="C5116" s="62">
        <v>44788</v>
      </c>
      <c r="D5116" s="62">
        <v>44788</v>
      </c>
      <c r="E5116" s="63">
        <v>0</v>
      </c>
    </row>
    <row r="5117" spans="1:5">
      <c r="A5117" s="61" t="s">
        <v>233</v>
      </c>
      <c r="B5117" s="61" t="s">
        <v>382</v>
      </c>
      <c r="C5117" s="62">
        <v>44789</v>
      </c>
      <c r="D5117" s="62">
        <v>44789</v>
      </c>
      <c r="E5117" s="63">
        <v>0</v>
      </c>
    </row>
    <row r="5118" spans="1:5">
      <c r="A5118" s="61" t="s">
        <v>233</v>
      </c>
      <c r="B5118" s="61" t="s">
        <v>382</v>
      </c>
      <c r="C5118" s="62">
        <v>44790</v>
      </c>
      <c r="D5118" s="62">
        <v>44790</v>
      </c>
      <c r="E5118" s="63">
        <v>0</v>
      </c>
    </row>
    <row r="5119" spans="1:5">
      <c r="A5119" s="61" t="s">
        <v>233</v>
      </c>
      <c r="B5119" s="61" t="s">
        <v>382</v>
      </c>
      <c r="C5119" s="62">
        <v>44791</v>
      </c>
      <c r="D5119" s="62">
        <v>44791</v>
      </c>
      <c r="E5119" s="63">
        <v>0</v>
      </c>
    </row>
    <row r="5120" spans="1:5">
      <c r="A5120" s="61" t="s">
        <v>233</v>
      </c>
      <c r="B5120" s="61" t="s">
        <v>382</v>
      </c>
      <c r="C5120" s="62">
        <v>44792</v>
      </c>
      <c r="D5120" s="62">
        <v>44792</v>
      </c>
      <c r="E5120" s="63">
        <v>0</v>
      </c>
    </row>
    <row r="5121" spans="1:5">
      <c r="A5121" s="61" t="s">
        <v>233</v>
      </c>
      <c r="B5121" s="61" t="s">
        <v>382</v>
      </c>
      <c r="C5121" s="62">
        <v>44793</v>
      </c>
      <c r="D5121" s="62">
        <v>44793</v>
      </c>
      <c r="E5121" s="63">
        <v>0</v>
      </c>
    </row>
    <row r="5122" spans="1:5">
      <c r="A5122" s="61" t="s">
        <v>233</v>
      </c>
      <c r="B5122" s="61" t="s">
        <v>382</v>
      </c>
      <c r="C5122" s="62">
        <v>44794</v>
      </c>
      <c r="D5122" s="62">
        <v>44794</v>
      </c>
      <c r="E5122" s="63">
        <v>0</v>
      </c>
    </row>
    <row r="5123" spans="1:5">
      <c r="A5123" s="61" t="s">
        <v>233</v>
      </c>
      <c r="B5123" s="61" t="s">
        <v>382</v>
      </c>
      <c r="C5123" s="62">
        <v>44795</v>
      </c>
      <c r="D5123" s="62">
        <v>44795</v>
      </c>
      <c r="E5123" s="63">
        <v>0</v>
      </c>
    </row>
    <row r="5124" spans="1:5">
      <c r="A5124" s="61" t="s">
        <v>233</v>
      </c>
      <c r="B5124" s="61" t="s">
        <v>382</v>
      </c>
      <c r="C5124" s="62">
        <v>44796</v>
      </c>
      <c r="D5124" s="62">
        <v>44796</v>
      </c>
      <c r="E5124" s="63">
        <v>0</v>
      </c>
    </row>
    <row r="5125" spans="1:5">
      <c r="A5125" s="61" t="s">
        <v>233</v>
      </c>
      <c r="B5125" s="61" t="s">
        <v>382</v>
      </c>
      <c r="C5125" s="62">
        <v>44797</v>
      </c>
      <c r="D5125" s="62">
        <v>44797</v>
      </c>
      <c r="E5125" s="63">
        <v>0</v>
      </c>
    </row>
    <row r="5126" spans="1:5">
      <c r="A5126" s="61" t="s">
        <v>233</v>
      </c>
      <c r="B5126" s="61" t="s">
        <v>382</v>
      </c>
      <c r="C5126" s="62">
        <v>44798</v>
      </c>
      <c r="D5126" s="62">
        <v>44798</v>
      </c>
      <c r="E5126" s="63">
        <v>0</v>
      </c>
    </row>
    <row r="5127" spans="1:5">
      <c r="A5127" s="61" t="s">
        <v>233</v>
      </c>
      <c r="B5127" s="61" t="s">
        <v>382</v>
      </c>
      <c r="C5127" s="62">
        <v>44799</v>
      </c>
      <c r="D5127" s="62">
        <v>44799</v>
      </c>
      <c r="E5127" s="63">
        <v>0</v>
      </c>
    </row>
    <row r="5128" spans="1:5">
      <c r="A5128" s="61" t="s">
        <v>233</v>
      </c>
      <c r="B5128" s="61" t="s">
        <v>382</v>
      </c>
      <c r="C5128" s="62">
        <v>44800</v>
      </c>
      <c r="D5128" s="62">
        <v>44800</v>
      </c>
      <c r="E5128" s="63">
        <v>0</v>
      </c>
    </row>
    <row r="5129" spans="1:5">
      <c r="A5129" s="61" t="s">
        <v>233</v>
      </c>
      <c r="B5129" s="61" t="s">
        <v>382</v>
      </c>
      <c r="C5129" s="62">
        <v>44801</v>
      </c>
      <c r="D5129" s="62">
        <v>44801</v>
      </c>
      <c r="E5129" s="63">
        <v>0</v>
      </c>
    </row>
    <row r="5130" spans="1:5">
      <c r="A5130" s="61" t="s">
        <v>233</v>
      </c>
      <c r="B5130" s="61" t="s">
        <v>382</v>
      </c>
      <c r="C5130" s="62">
        <v>44802</v>
      </c>
      <c r="D5130" s="62">
        <v>44802</v>
      </c>
      <c r="E5130" s="63">
        <v>0</v>
      </c>
    </row>
    <row r="5131" spans="1:5">
      <c r="A5131" s="61" t="s">
        <v>233</v>
      </c>
      <c r="B5131" s="61" t="s">
        <v>382</v>
      </c>
      <c r="C5131" s="62">
        <v>44803</v>
      </c>
      <c r="D5131" s="62">
        <v>44803</v>
      </c>
      <c r="E5131" s="63">
        <v>0</v>
      </c>
    </row>
    <row r="5132" spans="1:5">
      <c r="A5132" s="61" t="s">
        <v>234</v>
      </c>
      <c r="B5132" s="61" t="s">
        <v>383</v>
      </c>
      <c r="C5132" s="62">
        <v>44774</v>
      </c>
      <c r="D5132" s="62">
        <v>44774</v>
      </c>
      <c r="E5132" s="63">
        <v>0</v>
      </c>
    </row>
    <row r="5133" spans="1:5">
      <c r="A5133" s="61" t="s">
        <v>234</v>
      </c>
      <c r="B5133" s="61" t="s">
        <v>383</v>
      </c>
      <c r="C5133" s="62">
        <v>44775</v>
      </c>
      <c r="D5133" s="62">
        <v>44775</v>
      </c>
      <c r="E5133" s="63">
        <v>0</v>
      </c>
    </row>
    <row r="5134" spans="1:5">
      <c r="A5134" s="61" t="s">
        <v>234</v>
      </c>
      <c r="B5134" s="61" t="s">
        <v>383</v>
      </c>
      <c r="C5134" s="62">
        <v>44776</v>
      </c>
      <c r="D5134" s="62">
        <v>44776</v>
      </c>
      <c r="E5134" s="63">
        <v>0</v>
      </c>
    </row>
    <row r="5135" spans="1:5">
      <c r="A5135" s="61" t="s">
        <v>234</v>
      </c>
      <c r="B5135" s="61" t="s">
        <v>383</v>
      </c>
      <c r="C5135" s="62">
        <v>44777</v>
      </c>
      <c r="D5135" s="62">
        <v>44777</v>
      </c>
      <c r="E5135" s="63">
        <v>0</v>
      </c>
    </row>
    <row r="5136" spans="1:5">
      <c r="A5136" s="61" t="s">
        <v>234</v>
      </c>
      <c r="B5136" s="61" t="s">
        <v>383</v>
      </c>
      <c r="C5136" s="62">
        <v>44778</v>
      </c>
      <c r="D5136" s="62">
        <v>44778</v>
      </c>
      <c r="E5136" s="63">
        <v>0</v>
      </c>
    </row>
    <row r="5137" spans="1:5">
      <c r="A5137" s="61" t="s">
        <v>234</v>
      </c>
      <c r="B5137" s="61" t="s">
        <v>383</v>
      </c>
      <c r="C5137" s="62">
        <v>44779</v>
      </c>
      <c r="D5137" s="62">
        <v>44779</v>
      </c>
      <c r="E5137" s="63">
        <v>0</v>
      </c>
    </row>
    <row r="5138" spans="1:5">
      <c r="A5138" s="61" t="s">
        <v>234</v>
      </c>
      <c r="B5138" s="61" t="s">
        <v>383</v>
      </c>
      <c r="C5138" s="62">
        <v>44780</v>
      </c>
      <c r="D5138" s="62">
        <v>44780</v>
      </c>
      <c r="E5138" s="63">
        <v>0</v>
      </c>
    </row>
    <row r="5139" spans="1:5">
      <c r="A5139" s="61" t="s">
        <v>234</v>
      </c>
      <c r="B5139" s="61" t="s">
        <v>383</v>
      </c>
      <c r="C5139" s="62">
        <v>44781</v>
      </c>
      <c r="D5139" s="62">
        <v>44781</v>
      </c>
      <c r="E5139" s="63">
        <v>0</v>
      </c>
    </row>
    <row r="5140" spans="1:5">
      <c r="A5140" s="61" t="s">
        <v>234</v>
      </c>
      <c r="B5140" s="61" t="s">
        <v>383</v>
      </c>
      <c r="C5140" s="62">
        <v>44782</v>
      </c>
      <c r="D5140" s="62">
        <v>44782</v>
      </c>
      <c r="E5140" s="63">
        <v>0</v>
      </c>
    </row>
    <row r="5141" spans="1:5">
      <c r="A5141" s="61" t="s">
        <v>234</v>
      </c>
      <c r="B5141" s="61" t="s">
        <v>383</v>
      </c>
      <c r="C5141" s="62">
        <v>44783</v>
      </c>
      <c r="D5141" s="62">
        <v>44783</v>
      </c>
      <c r="E5141" s="63">
        <v>0</v>
      </c>
    </row>
    <row r="5142" spans="1:5">
      <c r="A5142" s="61" t="s">
        <v>234</v>
      </c>
      <c r="B5142" s="61" t="s">
        <v>383</v>
      </c>
      <c r="C5142" s="62">
        <v>44784</v>
      </c>
      <c r="D5142" s="62">
        <v>44784</v>
      </c>
      <c r="E5142" s="63">
        <v>0</v>
      </c>
    </row>
    <row r="5143" spans="1:5">
      <c r="A5143" s="61" t="s">
        <v>234</v>
      </c>
      <c r="B5143" s="61" t="s">
        <v>383</v>
      </c>
      <c r="C5143" s="62">
        <v>44785</v>
      </c>
      <c r="D5143" s="62">
        <v>44785</v>
      </c>
      <c r="E5143" s="63">
        <v>0</v>
      </c>
    </row>
    <row r="5144" spans="1:5">
      <c r="A5144" s="61" t="s">
        <v>234</v>
      </c>
      <c r="B5144" s="61" t="s">
        <v>383</v>
      </c>
      <c r="C5144" s="62">
        <v>44786</v>
      </c>
      <c r="D5144" s="62">
        <v>44786</v>
      </c>
      <c r="E5144" s="63">
        <v>0</v>
      </c>
    </row>
    <row r="5145" spans="1:5">
      <c r="A5145" s="61" t="s">
        <v>234</v>
      </c>
      <c r="B5145" s="61" t="s">
        <v>383</v>
      </c>
      <c r="C5145" s="62">
        <v>44787</v>
      </c>
      <c r="D5145" s="62">
        <v>44787</v>
      </c>
      <c r="E5145" s="63">
        <v>0</v>
      </c>
    </row>
    <row r="5146" spans="1:5">
      <c r="A5146" s="61" t="s">
        <v>234</v>
      </c>
      <c r="B5146" s="61" t="s">
        <v>383</v>
      </c>
      <c r="C5146" s="62">
        <v>44788</v>
      </c>
      <c r="D5146" s="62">
        <v>44788</v>
      </c>
      <c r="E5146" s="63">
        <v>0</v>
      </c>
    </row>
    <row r="5147" spans="1:5">
      <c r="A5147" s="61" t="s">
        <v>234</v>
      </c>
      <c r="B5147" s="61" t="s">
        <v>383</v>
      </c>
      <c r="C5147" s="62">
        <v>44789</v>
      </c>
      <c r="D5147" s="62">
        <v>44789</v>
      </c>
      <c r="E5147" s="63">
        <v>0</v>
      </c>
    </row>
    <row r="5148" spans="1:5">
      <c r="A5148" s="61" t="s">
        <v>234</v>
      </c>
      <c r="B5148" s="61" t="s">
        <v>383</v>
      </c>
      <c r="C5148" s="62">
        <v>44790</v>
      </c>
      <c r="D5148" s="62">
        <v>44790</v>
      </c>
      <c r="E5148" s="63">
        <v>0</v>
      </c>
    </row>
    <row r="5149" spans="1:5">
      <c r="A5149" s="61" t="s">
        <v>234</v>
      </c>
      <c r="B5149" s="61" t="s">
        <v>383</v>
      </c>
      <c r="C5149" s="62">
        <v>44791</v>
      </c>
      <c r="D5149" s="62">
        <v>44791</v>
      </c>
      <c r="E5149" s="63">
        <v>0</v>
      </c>
    </row>
    <row r="5150" spans="1:5">
      <c r="A5150" s="61" t="s">
        <v>234</v>
      </c>
      <c r="B5150" s="61" t="s">
        <v>383</v>
      </c>
      <c r="C5150" s="62">
        <v>44792</v>
      </c>
      <c r="D5150" s="62">
        <v>44792</v>
      </c>
      <c r="E5150" s="63">
        <v>0</v>
      </c>
    </row>
    <row r="5151" spans="1:5">
      <c r="A5151" s="61" t="s">
        <v>234</v>
      </c>
      <c r="B5151" s="61" t="s">
        <v>383</v>
      </c>
      <c r="C5151" s="62">
        <v>44793</v>
      </c>
      <c r="D5151" s="62">
        <v>44793</v>
      </c>
      <c r="E5151" s="63">
        <v>0</v>
      </c>
    </row>
    <row r="5152" spans="1:5">
      <c r="A5152" s="61" t="s">
        <v>234</v>
      </c>
      <c r="B5152" s="61" t="s">
        <v>383</v>
      </c>
      <c r="C5152" s="62">
        <v>44794</v>
      </c>
      <c r="D5152" s="62">
        <v>44794</v>
      </c>
      <c r="E5152" s="63">
        <v>0</v>
      </c>
    </row>
    <row r="5153" spans="1:5">
      <c r="A5153" s="61" t="s">
        <v>234</v>
      </c>
      <c r="B5153" s="61" t="s">
        <v>383</v>
      </c>
      <c r="C5153" s="62">
        <v>44795</v>
      </c>
      <c r="D5153" s="62">
        <v>44795</v>
      </c>
      <c r="E5153" s="63">
        <v>0</v>
      </c>
    </row>
    <row r="5154" spans="1:5">
      <c r="A5154" s="61" t="s">
        <v>234</v>
      </c>
      <c r="B5154" s="61" t="s">
        <v>383</v>
      </c>
      <c r="C5154" s="62">
        <v>44796</v>
      </c>
      <c r="D5154" s="62">
        <v>44796</v>
      </c>
      <c r="E5154" s="63">
        <v>0</v>
      </c>
    </row>
    <row r="5155" spans="1:5">
      <c r="A5155" s="61" t="s">
        <v>234</v>
      </c>
      <c r="B5155" s="61" t="s">
        <v>383</v>
      </c>
      <c r="C5155" s="62">
        <v>44797</v>
      </c>
      <c r="D5155" s="62">
        <v>44797</v>
      </c>
      <c r="E5155" s="63">
        <v>0</v>
      </c>
    </row>
    <row r="5156" spans="1:5">
      <c r="A5156" s="61" t="s">
        <v>234</v>
      </c>
      <c r="B5156" s="61" t="s">
        <v>383</v>
      </c>
      <c r="C5156" s="62">
        <v>44798</v>
      </c>
      <c r="D5156" s="62">
        <v>44798</v>
      </c>
      <c r="E5156" s="63">
        <v>0</v>
      </c>
    </row>
    <row r="5157" spans="1:5">
      <c r="A5157" s="61" t="s">
        <v>234</v>
      </c>
      <c r="B5157" s="61" t="s">
        <v>383</v>
      </c>
      <c r="C5157" s="62">
        <v>44799</v>
      </c>
      <c r="D5157" s="62">
        <v>44799</v>
      </c>
      <c r="E5157" s="63">
        <v>0</v>
      </c>
    </row>
    <row r="5158" spans="1:5">
      <c r="A5158" s="61" t="s">
        <v>234</v>
      </c>
      <c r="B5158" s="61" t="s">
        <v>383</v>
      </c>
      <c r="C5158" s="62">
        <v>44800</v>
      </c>
      <c r="D5158" s="62">
        <v>44800</v>
      </c>
      <c r="E5158" s="63">
        <v>0</v>
      </c>
    </row>
    <row r="5159" spans="1:5">
      <c r="A5159" s="61" t="s">
        <v>234</v>
      </c>
      <c r="B5159" s="61" t="s">
        <v>383</v>
      </c>
      <c r="C5159" s="62">
        <v>44801</v>
      </c>
      <c r="D5159" s="62">
        <v>44801</v>
      </c>
      <c r="E5159" s="63">
        <v>0</v>
      </c>
    </row>
    <row r="5160" spans="1:5">
      <c r="A5160" s="61" t="s">
        <v>234</v>
      </c>
      <c r="B5160" s="61" t="s">
        <v>383</v>
      </c>
      <c r="C5160" s="62">
        <v>44802</v>
      </c>
      <c r="D5160" s="62">
        <v>44802</v>
      </c>
      <c r="E5160" s="63">
        <v>0</v>
      </c>
    </row>
    <row r="5161" spans="1:5">
      <c r="A5161" s="61" t="s">
        <v>234</v>
      </c>
      <c r="B5161" s="61" t="s">
        <v>383</v>
      </c>
      <c r="C5161" s="62">
        <v>44803</v>
      </c>
      <c r="D5161" s="62">
        <v>44803</v>
      </c>
      <c r="E5161" s="63">
        <v>0</v>
      </c>
    </row>
    <row r="5162" spans="1:5">
      <c r="A5162" s="61" t="s">
        <v>91</v>
      </c>
      <c r="B5162" s="61" t="s">
        <v>380</v>
      </c>
      <c r="C5162" s="62">
        <v>44774</v>
      </c>
      <c r="D5162" s="62">
        <v>44774</v>
      </c>
      <c r="E5162" s="63">
        <v>891.86</v>
      </c>
    </row>
    <row r="5163" spans="1:5">
      <c r="A5163" s="61" t="s">
        <v>91</v>
      </c>
      <c r="B5163" s="61" t="s">
        <v>380</v>
      </c>
      <c r="C5163" s="62">
        <v>44775</v>
      </c>
      <c r="D5163" s="62">
        <v>44775</v>
      </c>
      <c r="E5163" s="63">
        <v>79.22</v>
      </c>
    </row>
    <row r="5164" spans="1:5">
      <c r="A5164" s="61" t="s">
        <v>91</v>
      </c>
      <c r="B5164" s="61" t="s">
        <v>380</v>
      </c>
      <c r="C5164" s="62">
        <v>44776</v>
      </c>
      <c r="D5164" s="62">
        <v>44776</v>
      </c>
      <c r="E5164" s="63">
        <v>0</v>
      </c>
    </row>
    <row r="5165" spans="1:5">
      <c r="A5165" s="61" t="s">
        <v>91</v>
      </c>
      <c r="B5165" s="61" t="s">
        <v>380</v>
      </c>
      <c r="C5165" s="62">
        <v>44777</v>
      </c>
      <c r="D5165" s="62">
        <v>44777</v>
      </c>
      <c r="E5165" s="63">
        <v>0.63</v>
      </c>
    </row>
    <row r="5166" spans="1:5">
      <c r="A5166" s="61" t="s">
        <v>91</v>
      </c>
      <c r="B5166" s="61" t="s">
        <v>380</v>
      </c>
      <c r="C5166" s="62">
        <v>44778</v>
      </c>
      <c r="D5166" s="62">
        <v>44778</v>
      </c>
      <c r="E5166" s="63">
        <v>0</v>
      </c>
    </row>
    <row r="5167" spans="1:5">
      <c r="A5167" s="61" t="s">
        <v>91</v>
      </c>
      <c r="B5167" s="61" t="s">
        <v>380</v>
      </c>
      <c r="C5167" s="62">
        <v>44779</v>
      </c>
      <c r="D5167" s="62">
        <v>44779</v>
      </c>
      <c r="E5167" s="63">
        <v>0</v>
      </c>
    </row>
    <row r="5168" spans="1:5">
      <c r="A5168" s="61" t="s">
        <v>91</v>
      </c>
      <c r="B5168" s="61" t="s">
        <v>380</v>
      </c>
      <c r="C5168" s="62">
        <v>44780</v>
      </c>
      <c r="D5168" s="62">
        <v>44780</v>
      </c>
      <c r="E5168" s="63">
        <v>0</v>
      </c>
    </row>
    <row r="5169" spans="1:5">
      <c r="A5169" s="61" t="s">
        <v>91</v>
      </c>
      <c r="B5169" s="61" t="s">
        <v>380</v>
      </c>
      <c r="C5169" s="62">
        <v>44781</v>
      </c>
      <c r="D5169" s="62">
        <v>44781</v>
      </c>
      <c r="E5169" s="63">
        <v>0</v>
      </c>
    </row>
    <row r="5170" spans="1:5">
      <c r="A5170" s="61" t="s">
        <v>91</v>
      </c>
      <c r="B5170" s="61" t="s">
        <v>380</v>
      </c>
      <c r="C5170" s="62">
        <v>44782</v>
      </c>
      <c r="D5170" s="62">
        <v>44782</v>
      </c>
      <c r="E5170" s="63">
        <v>518.71</v>
      </c>
    </row>
    <row r="5171" spans="1:5">
      <c r="A5171" s="61" t="s">
        <v>91</v>
      </c>
      <c r="B5171" s="61" t="s">
        <v>380</v>
      </c>
      <c r="C5171" s="62">
        <v>44783</v>
      </c>
      <c r="D5171" s="62">
        <v>44783</v>
      </c>
      <c r="E5171" s="63">
        <v>386.34000000000003</v>
      </c>
    </row>
    <row r="5172" spans="1:5">
      <c r="A5172" s="61" t="s">
        <v>91</v>
      </c>
      <c r="B5172" s="61" t="s">
        <v>380</v>
      </c>
      <c r="C5172" s="62">
        <v>44784</v>
      </c>
      <c r="D5172" s="62">
        <v>44784</v>
      </c>
      <c r="E5172" s="63">
        <v>80.760000000000005</v>
      </c>
    </row>
    <row r="5173" spans="1:5">
      <c r="A5173" s="61" t="s">
        <v>91</v>
      </c>
      <c r="B5173" s="61" t="s">
        <v>380</v>
      </c>
      <c r="C5173" s="62">
        <v>44785</v>
      </c>
      <c r="D5173" s="62">
        <v>44785</v>
      </c>
      <c r="E5173" s="63">
        <v>0</v>
      </c>
    </row>
    <row r="5174" spans="1:5">
      <c r="A5174" s="61" t="s">
        <v>91</v>
      </c>
      <c r="B5174" s="61" t="s">
        <v>380</v>
      </c>
      <c r="C5174" s="62">
        <v>44786</v>
      </c>
      <c r="D5174" s="62">
        <v>44786</v>
      </c>
      <c r="E5174" s="63">
        <v>0</v>
      </c>
    </row>
    <row r="5175" spans="1:5">
      <c r="A5175" s="61" t="s">
        <v>91</v>
      </c>
      <c r="B5175" s="61" t="s">
        <v>380</v>
      </c>
      <c r="C5175" s="62">
        <v>44787</v>
      </c>
      <c r="D5175" s="62">
        <v>44787</v>
      </c>
      <c r="E5175" s="63">
        <v>0</v>
      </c>
    </row>
    <row r="5176" spans="1:5">
      <c r="A5176" s="61" t="s">
        <v>91</v>
      </c>
      <c r="B5176" s="61" t="s">
        <v>380</v>
      </c>
      <c r="C5176" s="62">
        <v>44788</v>
      </c>
      <c r="D5176" s="62">
        <v>44788</v>
      </c>
      <c r="E5176" s="63">
        <v>26.92</v>
      </c>
    </row>
    <row r="5177" spans="1:5">
      <c r="A5177" s="61" t="s">
        <v>91</v>
      </c>
      <c r="B5177" s="61" t="s">
        <v>380</v>
      </c>
      <c r="C5177" s="62">
        <v>44789</v>
      </c>
      <c r="D5177" s="62">
        <v>44789</v>
      </c>
      <c r="E5177" s="63">
        <v>0</v>
      </c>
    </row>
    <row r="5178" spans="1:5">
      <c r="A5178" s="61" t="s">
        <v>91</v>
      </c>
      <c r="B5178" s="61" t="s">
        <v>380</v>
      </c>
      <c r="C5178" s="62">
        <v>44790</v>
      </c>
      <c r="D5178" s="62">
        <v>44790</v>
      </c>
      <c r="E5178" s="63">
        <v>0</v>
      </c>
    </row>
    <row r="5179" spans="1:5">
      <c r="A5179" s="61" t="s">
        <v>91</v>
      </c>
      <c r="B5179" s="61" t="s">
        <v>380</v>
      </c>
      <c r="C5179" s="62">
        <v>44791</v>
      </c>
      <c r="D5179" s="62">
        <v>44791</v>
      </c>
      <c r="E5179" s="63">
        <v>0</v>
      </c>
    </row>
    <row r="5180" spans="1:5">
      <c r="A5180" s="61" t="s">
        <v>91</v>
      </c>
      <c r="B5180" s="61" t="s">
        <v>380</v>
      </c>
      <c r="C5180" s="62">
        <v>44792</v>
      </c>
      <c r="D5180" s="62">
        <v>44792</v>
      </c>
      <c r="E5180" s="63">
        <v>0</v>
      </c>
    </row>
    <row r="5181" spans="1:5">
      <c r="A5181" s="61" t="s">
        <v>91</v>
      </c>
      <c r="B5181" s="61" t="s">
        <v>380</v>
      </c>
      <c r="C5181" s="62">
        <v>44793</v>
      </c>
      <c r="D5181" s="62">
        <v>44793</v>
      </c>
      <c r="E5181" s="63">
        <v>0</v>
      </c>
    </row>
    <row r="5182" spans="1:5">
      <c r="A5182" s="61" t="s">
        <v>91</v>
      </c>
      <c r="B5182" s="61" t="s">
        <v>380</v>
      </c>
      <c r="C5182" s="62">
        <v>44794</v>
      </c>
      <c r="D5182" s="62">
        <v>44794</v>
      </c>
      <c r="E5182" s="63">
        <v>0</v>
      </c>
    </row>
    <row r="5183" spans="1:5">
      <c r="A5183" s="61" t="s">
        <v>91</v>
      </c>
      <c r="B5183" s="61" t="s">
        <v>380</v>
      </c>
      <c r="C5183" s="62">
        <v>44795</v>
      </c>
      <c r="D5183" s="62">
        <v>44795</v>
      </c>
      <c r="E5183" s="63">
        <v>0</v>
      </c>
    </row>
    <row r="5184" spans="1:5">
      <c r="A5184" s="61" t="s">
        <v>91</v>
      </c>
      <c r="B5184" s="61" t="s">
        <v>380</v>
      </c>
      <c r="C5184" s="62">
        <v>44796</v>
      </c>
      <c r="D5184" s="62">
        <v>44796</v>
      </c>
      <c r="E5184" s="63">
        <v>0</v>
      </c>
    </row>
    <row r="5185" spans="1:5">
      <c r="A5185" s="61" t="s">
        <v>91</v>
      </c>
      <c r="B5185" s="61" t="s">
        <v>380</v>
      </c>
      <c r="C5185" s="62">
        <v>44797</v>
      </c>
      <c r="D5185" s="62">
        <v>44797</v>
      </c>
      <c r="E5185" s="63">
        <v>1085.29</v>
      </c>
    </row>
    <row r="5186" spans="1:5">
      <c r="A5186" s="61" t="s">
        <v>91</v>
      </c>
      <c r="B5186" s="61" t="s">
        <v>380</v>
      </c>
      <c r="C5186" s="62">
        <v>44798</v>
      </c>
      <c r="D5186" s="62">
        <v>44798</v>
      </c>
      <c r="E5186" s="63">
        <v>0</v>
      </c>
    </row>
    <row r="5187" spans="1:5">
      <c r="A5187" s="61" t="s">
        <v>91</v>
      </c>
      <c r="B5187" s="61" t="s">
        <v>380</v>
      </c>
      <c r="C5187" s="62">
        <v>44799</v>
      </c>
      <c r="D5187" s="62">
        <v>44799</v>
      </c>
      <c r="E5187" s="63">
        <v>202.11</v>
      </c>
    </row>
    <row r="5188" spans="1:5">
      <c r="A5188" s="61" t="s">
        <v>91</v>
      </c>
      <c r="B5188" s="61" t="s">
        <v>380</v>
      </c>
      <c r="C5188" s="62">
        <v>44800</v>
      </c>
      <c r="D5188" s="62">
        <v>44800</v>
      </c>
      <c r="E5188" s="63">
        <v>0</v>
      </c>
    </row>
    <row r="5189" spans="1:5">
      <c r="A5189" s="61" t="s">
        <v>91</v>
      </c>
      <c r="B5189" s="61" t="s">
        <v>380</v>
      </c>
      <c r="C5189" s="62">
        <v>44801</v>
      </c>
      <c r="D5189" s="62">
        <v>44801</v>
      </c>
      <c r="E5189" s="63">
        <v>0</v>
      </c>
    </row>
    <row r="5190" spans="1:5">
      <c r="A5190" s="61" t="s">
        <v>91</v>
      </c>
      <c r="B5190" s="61" t="s">
        <v>380</v>
      </c>
      <c r="C5190" s="62">
        <v>44802</v>
      </c>
      <c r="D5190" s="62">
        <v>44802</v>
      </c>
      <c r="E5190" s="63">
        <v>0</v>
      </c>
    </row>
    <row r="5191" spans="1:5">
      <c r="A5191" s="61" t="s">
        <v>91</v>
      </c>
      <c r="B5191" s="61" t="s">
        <v>380</v>
      </c>
      <c r="C5191" s="62">
        <v>44803</v>
      </c>
      <c r="D5191" s="62">
        <v>44803</v>
      </c>
      <c r="E5191" s="63">
        <v>0</v>
      </c>
    </row>
    <row r="5192" spans="1:5">
      <c r="A5192" s="61" t="s">
        <v>235</v>
      </c>
      <c r="B5192" s="61" t="s">
        <v>381</v>
      </c>
      <c r="C5192" s="62">
        <v>44774</v>
      </c>
      <c r="D5192" s="62">
        <v>44774</v>
      </c>
      <c r="E5192" s="63">
        <v>0</v>
      </c>
    </row>
    <row r="5193" spans="1:5">
      <c r="A5193" s="61" t="s">
        <v>235</v>
      </c>
      <c r="B5193" s="61" t="s">
        <v>381</v>
      </c>
      <c r="C5193" s="62">
        <v>44775</v>
      </c>
      <c r="D5193" s="62">
        <v>44775</v>
      </c>
      <c r="E5193" s="63">
        <v>0</v>
      </c>
    </row>
    <row r="5194" spans="1:5">
      <c r="A5194" s="61" t="s">
        <v>235</v>
      </c>
      <c r="B5194" s="61" t="s">
        <v>381</v>
      </c>
      <c r="C5194" s="62">
        <v>44776</v>
      </c>
      <c r="D5194" s="62">
        <v>44776</v>
      </c>
      <c r="E5194" s="63">
        <v>0</v>
      </c>
    </row>
    <row r="5195" spans="1:5">
      <c r="A5195" s="61" t="s">
        <v>235</v>
      </c>
      <c r="B5195" s="61" t="s">
        <v>381</v>
      </c>
      <c r="C5195" s="62">
        <v>44777</v>
      </c>
      <c r="D5195" s="62">
        <v>44777</v>
      </c>
      <c r="E5195" s="63">
        <v>3.85</v>
      </c>
    </row>
    <row r="5196" spans="1:5">
      <c r="A5196" s="61" t="s">
        <v>235</v>
      </c>
      <c r="B5196" s="61" t="s">
        <v>381</v>
      </c>
      <c r="C5196" s="62">
        <v>44778</v>
      </c>
      <c r="D5196" s="62">
        <v>44778</v>
      </c>
      <c r="E5196" s="63">
        <v>0</v>
      </c>
    </row>
    <row r="5197" spans="1:5">
      <c r="A5197" s="61" t="s">
        <v>235</v>
      </c>
      <c r="B5197" s="61" t="s">
        <v>381</v>
      </c>
      <c r="C5197" s="62">
        <v>44779</v>
      </c>
      <c r="D5197" s="62">
        <v>44779</v>
      </c>
      <c r="E5197" s="63">
        <v>0</v>
      </c>
    </row>
    <row r="5198" spans="1:5">
      <c r="A5198" s="61" t="s">
        <v>235</v>
      </c>
      <c r="B5198" s="61" t="s">
        <v>381</v>
      </c>
      <c r="C5198" s="62">
        <v>44780</v>
      </c>
      <c r="D5198" s="62">
        <v>44780</v>
      </c>
      <c r="E5198" s="63">
        <v>0</v>
      </c>
    </row>
    <row r="5199" spans="1:5">
      <c r="A5199" s="61" t="s">
        <v>235</v>
      </c>
      <c r="B5199" s="61" t="s">
        <v>381</v>
      </c>
      <c r="C5199" s="62">
        <v>44781</v>
      </c>
      <c r="D5199" s="62">
        <v>44781</v>
      </c>
      <c r="E5199" s="63">
        <v>0</v>
      </c>
    </row>
    <row r="5200" spans="1:5">
      <c r="A5200" s="61" t="s">
        <v>235</v>
      </c>
      <c r="B5200" s="61" t="s">
        <v>381</v>
      </c>
      <c r="C5200" s="62">
        <v>44782</v>
      </c>
      <c r="D5200" s="62">
        <v>44782</v>
      </c>
      <c r="E5200" s="63">
        <v>465.9</v>
      </c>
    </row>
    <row r="5201" spans="1:5">
      <c r="A5201" s="61" t="s">
        <v>235</v>
      </c>
      <c r="B5201" s="61" t="s">
        <v>381</v>
      </c>
      <c r="C5201" s="62">
        <v>44783</v>
      </c>
      <c r="D5201" s="62">
        <v>44783</v>
      </c>
      <c r="E5201" s="63">
        <v>85.87</v>
      </c>
    </row>
    <row r="5202" spans="1:5">
      <c r="A5202" s="61" t="s">
        <v>235</v>
      </c>
      <c r="B5202" s="61" t="s">
        <v>381</v>
      </c>
      <c r="C5202" s="62">
        <v>44784</v>
      </c>
      <c r="D5202" s="62">
        <v>44784</v>
      </c>
      <c r="E5202" s="63">
        <v>43.74</v>
      </c>
    </row>
    <row r="5203" spans="1:5">
      <c r="A5203" s="61" t="s">
        <v>235</v>
      </c>
      <c r="B5203" s="61" t="s">
        <v>381</v>
      </c>
      <c r="C5203" s="62">
        <v>44785</v>
      </c>
      <c r="D5203" s="62">
        <v>44785</v>
      </c>
      <c r="E5203" s="63">
        <v>0</v>
      </c>
    </row>
    <row r="5204" spans="1:5">
      <c r="A5204" s="61" t="s">
        <v>235</v>
      </c>
      <c r="B5204" s="61" t="s">
        <v>381</v>
      </c>
      <c r="C5204" s="62">
        <v>44786</v>
      </c>
      <c r="D5204" s="62">
        <v>44786</v>
      </c>
      <c r="E5204" s="63">
        <v>0</v>
      </c>
    </row>
    <row r="5205" spans="1:5">
      <c r="A5205" s="61" t="s">
        <v>235</v>
      </c>
      <c r="B5205" s="61" t="s">
        <v>381</v>
      </c>
      <c r="C5205" s="62">
        <v>44787</v>
      </c>
      <c r="D5205" s="62">
        <v>44787</v>
      </c>
      <c r="E5205" s="63">
        <v>0</v>
      </c>
    </row>
    <row r="5206" spans="1:5">
      <c r="A5206" s="61" t="s">
        <v>235</v>
      </c>
      <c r="B5206" s="61" t="s">
        <v>381</v>
      </c>
      <c r="C5206" s="62">
        <v>44788</v>
      </c>
      <c r="D5206" s="62">
        <v>44788</v>
      </c>
      <c r="E5206" s="63">
        <v>0</v>
      </c>
    </row>
    <row r="5207" spans="1:5">
      <c r="A5207" s="61" t="s">
        <v>235</v>
      </c>
      <c r="B5207" s="61" t="s">
        <v>381</v>
      </c>
      <c r="C5207" s="62">
        <v>44789</v>
      </c>
      <c r="D5207" s="62">
        <v>44789</v>
      </c>
      <c r="E5207" s="63">
        <v>292.73</v>
      </c>
    </row>
    <row r="5208" spans="1:5">
      <c r="A5208" s="61" t="s">
        <v>235</v>
      </c>
      <c r="B5208" s="61" t="s">
        <v>381</v>
      </c>
      <c r="C5208" s="62">
        <v>44790</v>
      </c>
      <c r="D5208" s="62">
        <v>44790</v>
      </c>
      <c r="E5208" s="63">
        <v>0</v>
      </c>
    </row>
    <row r="5209" spans="1:5">
      <c r="A5209" s="61" t="s">
        <v>235</v>
      </c>
      <c r="B5209" s="61" t="s">
        <v>381</v>
      </c>
      <c r="C5209" s="62">
        <v>44791</v>
      </c>
      <c r="D5209" s="62">
        <v>44791</v>
      </c>
      <c r="E5209" s="63">
        <v>0</v>
      </c>
    </row>
    <row r="5210" spans="1:5">
      <c r="A5210" s="61" t="s">
        <v>235</v>
      </c>
      <c r="B5210" s="61" t="s">
        <v>381</v>
      </c>
      <c r="C5210" s="62">
        <v>44792</v>
      </c>
      <c r="D5210" s="62">
        <v>44792</v>
      </c>
      <c r="E5210" s="63">
        <v>47.11</v>
      </c>
    </row>
    <row r="5211" spans="1:5">
      <c r="A5211" s="61" t="s">
        <v>235</v>
      </c>
      <c r="B5211" s="61" t="s">
        <v>381</v>
      </c>
      <c r="C5211" s="62">
        <v>44793</v>
      </c>
      <c r="D5211" s="62">
        <v>44793</v>
      </c>
      <c r="E5211" s="63">
        <v>0</v>
      </c>
    </row>
    <row r="5212" spans="1:5">
      <c r="A5212" s="61" t="s">
        <v>235</v>
      </c>
      <c r="B5212" s="61" t="s">
        <v>381</v>
      </c>
      <c r="C5212" s="62">
        <v>44794</v>
      </c>
      <c r="D5212" s="62">
        <v>44794</v>
      </c>
      <c r="E5212" s="63">
        <v>0</v>
      </c>
    </row>
    <row r="5213" spans="1:5">
      <c r="A5213" s="61" t="s">
        <v>235</v>
      </c>
      <c r="B5213" s="61" t="s">
        <v>381</v>
      </c>
      <c r="C5213" s="62">
        <v>44795</v>
      </c>
      <c r="D5213" s="62">
        <v>44795</v>
      </c>
      <c r="E5213" s="63">
        <v>0</v>
      </c>
    </row>
    <row r="5214" spans="1:5">
      <c r="A5214" s="61" t="s">
        <v>235</v>
      </c>
      <c r="B5214" s="61" t="s">
        <v>381</v>
      </c>
      <c r="C5214" s="62">
        <v>44796</v>
      </c>
      <c r="D5214" s="62">
        <v>44796</v>
      </c>
      <c r="E5214" s="63">
        <v>0</v>
      </c>
    </row>
    <row r="5215" spans="1:5">
      <c r="A5215" s="61" t="s">
        <v>235</v>
      </c>
      <c r="B5215" s="61" t="s">
        <v>381</v>
      </c>
      <c r="C5215" s="62">
        <v>44797</v>
      </c>
      <c r="D5215" s="62">
        <v>44797</v>
      </c>
      <c r="E5215" s="63">
        <v>409.24</v>
      </c>
    </row>
    <row r="5216" spans="1:5">
      <c r="A5216" s="61" t="s">
        <v>235</v>
      </c>
      <c r="B5216" s="61" t="s">
        <v>381</v>
      </c>
      <c r="C5216" s="62">
        <v>44798</v>
      </c>
      <c r="D5216" s="62">
        <v>44798</v>
      </c>
      <c r="E5216" s="63">
        <v>0</v>
      </c>
    </row>
    <row r="5217" spans="1:5">
      <c r="A5217" s="61" t="s">
        <v>235</v>
      </c>
      <c r="B5217" s="61" t="s">
        <v>381</v>
      </c>
      <c r="C5217" s="62">
        <v>44799</v>
      </c>
      <c r="D5217" s="62">
        <v>44799</v>
      </c>
      <c r="E5217" s="63">
        <v>0</v>
      </c>
    </row>
    <row r="5218" spans="1:5">
      <c r="A5218" s="61" t="s">
        <v>235</v>
      </c>
      <c r="B5218" s="61" t="s">
        <v>381</v>
      </c>
      <c r="C5218" s="62">
        <v>44800</v>
      </c>
      <c r="D5218" s="62">
        <v>44800</v>
      </c>
      <c r="E5218" s="63">
        <v>0</v>
      </c>
    </row>
    <row r="5219" spans="1:5">
      <c r="A5219" s="61" t="s">
        <v>235</v>
      </c>
      <c r="B5219" s="61" t="s">
        <v>381</v>
      </c>
      <c r="C5219" s="62">
        <v>44801</v>
      </c>
      <c r="D5219" s="62">
        <v>44801</v>
      </c>
      <c r="E5219" s="63">
        <v>0</v>
      </c>
    </row>
    <row r="5220" spans="1:5">
      <c r="A5220" s="61" t="s">
        <v>235</v>
      </c>
      <c r="B5220" s="61" t="s">
        <v>381</v>
      </c>
      <c r="C5220" s="62">
        <v>44802</v>
      </c>
      <c r="D5220" s="62">
        <v>44802</v>
      </c>
      <c r="E5220" s="63">
        <v>0</v>
      </c>
    </row>
    <row r="5221" spans="1:5">
      <c r="A5221" s="61" t="s">
        <v>235</v>
      </c>
      <c r="B5221" s="61" t="s">
        <v>381</v>
      </c>
      <c r="C5221" s="62">
        <v>44803</v>
      </c>
      <c r="D5221" s="62">
        <v>44803</v>
      </c>
      <c r="E5221" s="63">
        <v>0</v>
      </c>
    </row>
    <row r="5222" spans="1:5">
      <c r="A5222" s="61" t="s">
        <v>236</v>
      </c>
      <c r="B5222" s="61" t="s">
        <v>382</v>
      </c>
      <c r="C5222" s="62">
        <v>44774</v>
      </c>
      <c r="D5222" s="62">
        <v>44774</v>
      </c>
      <c r="E5222" s="63">
        <v>0</v>
      </c>
    </row>
    <row r="5223" spans="1:5">
      <c r="A5223" s="61" t="s">
        <v>236</v>
      </c>
      <c r="B5223" s="61" t="s">
        <v>382</v>
      </c>
      <c r="C5223" s="62">
        <v>44775</v>
      </c>
      <c r="D5223" s="62">
        <v>44775</v>
      </c>
      <c r="E5223" s="63">
        <v>0</v>
      </c>
    </row>
    <row r="5224" spans="1:5">
      <c r="A5224" s="61" t="s">
        <v>236</v>
      </c>
      <c r="B5224" s="61" t="s">
        <v>382</v>
      </c>
      <c r="C5224" s="62">
        <v>44776</v>
      </c>
      <c r="D5224" s="62">
        <v>44776</v>
      </c>
      <c r="E5224" s="63">
        <v>0</v>
      </c>
    </row>
    <row r="5225" spans="1:5">
      <c r="A5225" s="61" t="s">
        <v>236</v>
      </c>
      <c r="B5225" s="61" t="s">
        <v>382</v>
      </c>
      <c r="C5225" s="62">
        <v>44777</v>
      </c>
      <c r="D5225" s="62">
        <v>44777</v>
      </c>
      <c r="E5225" s="63">
        <v>0</v>
      </c>
    </row>
    <row r="5226" spans="1:5">
      <c r="A5226" s="61" t="s">
        <v>236</v>
      </c>
      <c r="B5226" s="61" t="s">
        <v>382</v>
      </c>
      <c r="C5226" s="62">
        <v>44778</v>
      </c>
      <c r="D5226" s="62">
        <v>44778</v>
      </c>
      <c r="E5226" s="63">
        <v>0</v>
      </c>
    </row>
    <row r="5227" spans="1:5">
      <c r="A5227" s="61" t="s">
        <v>236</v>
      </c>
      <c r="B5227" s="61" t="s">
        <v>382</v>
      </c>
      <c r="C5227" s="62">
        <v>44779</v>
      </c>
      <c r="D5227" s="62">
        <v>44779</v>
      </c>
      <c r="E5227" s="63">
        <v>0</v>
      </c>
    </row>
    <row r="5228" spans="1:5">
      <c r="A5228" s="61" t="s">
        <v>236</v>
      </c>
      <c r="B5228" s="61" t="s">
        <v>382</v>
      </c>
      <c r="C5228" s="62">
        <v>44780</v>
      </c>
      <c r="D5228" s="62">
        <v>44780</v>
      </c>
      <c r="E5228" s="63">
        <v>0</v>
      </c>
    </row>
    <row r="5229" spans="1:5">
      <c r="A5229" s="61" t="s">
        <v>236</v>
      </c>
      <c r="B5229" s="61" t="s">
        <v>382</v>
      </c>
      <c r="C5229" s="62">
        <v>44781</v>
      </c>
      <c r="D5229" s="62">
        <v>44781</v>
      </c>
      <c r="E5229" s="63">
        <v>205.25</v>
      </c>
    </row>
    <row r="5230" spans="1:5">
      <c r="A5230" s="61" t="s">
        <v>236</v>
      </c>
      <c r="B5230" s="61" t="s">
        <v>382</v>
      </c>
      <c r="C5230" s="62">
        <v>44782</v>
      </c>
      <c r="D5230" s="62">
        <v>44782</v>
      </c>
      <c r="E5230" s="63">
        <v>0</v>
      </c>
    </row>
    <row r="5231" spans="1:5">
      <c r="A5231" s="61" t="s">
        <v>236</v>
      </c>
      <c r="B5231" s="61" t="s">
        <v>382</v>
      </c>
      <c r="C5231" s="62">
        <v>44783</v>
      </c>
      <c r="D5231" s="62">
        <v>44783</v>
      </c>
      <c r="E5231" s="63">
        <v>16.82</v>
      </c>
    </row>
    <row r="5232" spans="1:5">
      <c r="A5232" s="61" t="s">
        <v>236</v>
      </c>
      <c r="B5232" s="61" t="s">
        <v>382</v>
      </c>
      <c r="C5232" s="62">
        <v>44784</v>
      </c>
      <c r="D5232" s="62">
        <v>44784</v>
      </c>
      <c r="E5232" s="63">
        <v>40.81</v>
      </c>
    </row>
    <row r="5233" spans="1:5">
      <c r="A5233" s="61" t="s">
        <v>236</v>
      </c>
      <c r="B5233" s="61" t="s">
        <v>382</v>
      </c>
      <c r="C5233" s="62">
        <v>44785</v>
      </c>
      <c r="D5233" s="62">
        <v>44785</v>
      </c>
      <c r="E5233" s="63">
        <v>0</v>
      </c>
    </row>
    <row r="5234" spans="1:5">
      <c r="A5234" s="61" t="s">
        <v>236</v>
      </c>
      <c r="B5234" s="61" t="s">
        <v>382</v>
      </c>
      <c r="C5234" s="62">
        <v>44786</v>
      </c>
      <c r="D5234" s="62">
        <v>44786</v>
      </c>
      <c r="E5234" s="63">
        <v>0</v>
      </c>
    </row>
    <row r="5235" spans="1:5">
      <c r="A5235" s="61" t="s">
        <v>236</v>
      </c>
      <c r="B5235" s="61" t="s">
        <v>382</v>
      </c>
      <c r="C5235" s="62">
        <v>44787</v>
      </c>
      <c r="D5235" s="62">
        <v>44787</v>
      </c>
      <c r="E5235" s="63">
        <v>0</v>
      </c>
    </row>
    <row r="5236" spans="1:5">
      <c r="A5236" s="61" t="s">
        <v>236</v>
      </c>
      <c r="B5236" s="61" t="s">
        <v>382</v>
      </c>
      <c r="C5236" s="62">
        <v>44788</v>
      </c>
      <c r="D5236" s="62">
        <v>44788</v>
      </c>
      <c r="E5236" s="63">
        <v>0</v>
      </c>
    </row>
    <row r="5237" spans="1:5">
      <c r="A5237" s="61" t="s">
        <v>236</v>
      </c>
      <c r="B5237" s="61" t="s">
        <v>382</v>
      </c>
      <c r="C5237" s="62">
        <v>44789</v>
      </c>
      <c r="D5237" s="62">
        <v>44789</v>
      </c>
      <c r="E5237" s="63">
        <v>504.71</v>
      </c>
    </row>
    <row r="5238" spans="1:5">
      <c r="A5238" s="61" t="s">
        <v>236</v>
      </c>
      <c r="B5238" s="61" t="s">
        <v>382</v>
      </c>
      <c r="C5238" s="62">
        <v>44790</v>
      </c>
      <c r="D5238" s="62">
        <v>44790</v>
      </c>
      <c r="E5238" s="63">
        <v>0</v>
      </c>
    </row>
    <row r="5239" spans="1:5">
      <c r="A5239" s="61" t="s">
        <v>236</v>
      </c>
      <c r="B5239" s="61" t="s">
        <v>382</v>
      </c>
      <c r="C5239" s="62">
        <v>44791</v>
      </c>
      <c r="D5239" s="62">
        <v>44791</v>
      </c>
      <c r="E5239" s="63">
        <v>0</v>
      </c>
    </row>
    <row r="5240" spans="1:5">
      <c r="A5240" s="61" t="s">
        <v>236</v>
      </c>
      <c r="B5240" s="61" t="s">
        <v>382</v>
      </c>
      <c r="C5240" s="62">
        <v>44792</v>
      </c>
      <c r="D5240" s="62">
        <v>44792</v>
      </c>
      <c r="E5240" s="63">
        <v>0</v>
      </c>
    </row>
    <row r="5241" spans="1:5">
      <c r="A5241" s="61" t="s">
        <v>236</v>
      </c>
      <c r="B5241" s="61" t="s">
        <v>382</v>
      </c>
      <c r="C5241" s="62">
        <v>44793</v>
      </c>
      <c r="D5241" s="62">
        <v>44793</v>
      </c>
      <c r="E5241" s="63">
        <v>0</v>
      </c>
    </row>
    <row r="5242" spans="1:5">
      <c r="A5242" s="61" t="s">
        <v>236</v>
      </c>
      <c r="B5242" s="61" t="s">
        <v>382</v>
      </c>
      <c r="C5242" s="62">
        <v>44794</v>
      </c>
      <c r="D5242" s="62">
        <v>44794</v>
      </c>
      <c r="E5242" s="63">
        <v>0</v>
      </c>
    </row>
    <row r="5243" spans="1:5">
      <c r="A5243" s="61" t="s">
        <v>236</v>
      </c>
      <c r="B5243" s="61" t="s">
        <v>382</v>
      </c>
      <c r="C5243" s="62">
        <v>44795</v>
      </c>
      <c r="D5243" s="62">
        <v>44795</v>
      </c>
      <c r="E5243" s="63">
        <v>0</v>
      </c>
    </row>
    <row r="5244" spans="1:5">
      <c r="A5244" s="61" t="s">
        <v>236</v>
      </c>
      <c r="B5244" s="61" t="s">
        <v>382</v>
      </c>
      <c r="C5244" s="62">
        <v>44796</v>
      </c>
      <c r="D5244" s="62">
        <v>44796</v>
      </c>
      <c r="E5244" s="63">
        <v>0</v>
      </c>
    </row>
    <row r="5245" spans="1:5">
      <c r="A5245" s="61" t="s">
        <v>236</v>
      </c>
      <c r="B5245" s="61" t="s">
        <v>382</v>
      </c>
      <c r="C5245" s="62">
        <v>44797</v>
      </c>
      <c r="D5245" s="62">
        <v>44797</v>
      </c>
      <c r="E5245" s="63">
        <v>0</v>
      </c>
    </row>
    <row r="5246" spans="1:5">
      <c r="A5246" s="61" t="s">
        <v>236</v>
      </c>
      <c r="B5246" s="61" t="s">
        <v>382</v>
      </c>
      <c r="C5246" s="62">
        <v>44798</v>
      </c>
      <c r="D5246" s="62">
        <v>44798</v>
      </c>
      <c r="E5246" s="63">
        <v>0</v>
      </c>
    </row>
    <row r="5247" spans="1:5">
      <c r="A5247" s="61" t="s">
        <v>236</v>
      </c>
      <c r="B5247" s="61" t="s">
        <v>382</v>
      </c>
      <c r="C5247" s="62">
        <v>44799</v>
      </c>
      <c r="D5247" s="62">
        <v>44799</v>
      </c>
      <c r="E5247" s="63">
        <v>0</v>
      </c>
    </row>
    <row r="5248" spans="1:5">
      <c r="A5248" s="61" t="s">
        <v>236</v>
      </c>
      <c r="B5248" s="61" t="s">
        <v>382</v>
      </c>
      <c r="C5248" s="62">
        <v>44800</v>
      </c>
      <c r="D5248" s="62">
        <v>44800</v>
      </c>
      <c r="E5248" s="63">
        <v>0</v>
      </c>
    </row>
    <row r="5249" spans="1:5">
      <c r="A5249" s="61" t="s">
        <v>236</v>
      </c>
      <c r="B5249" s="61" t="s">
        <v>382</v>
      </c>
      <c r="C5249" s="62">
        <v>44801</v>
      </c>
      <c r="D5249" s="62">
        <v>44801</v>
      </c>
      <c r="E5249" s="63">
        <v>0</v>
      </c>
    </row>
    <row r="5250" spans="1:5">
      <c r="A5250" s="61" t="s">
        <v>236</v>
      </c>
      <c r="B5250" s="61" t="s">
        <v>382</v>
      </c>
      <c r="C5250" s="62">
        <v>44802</v>
      </c>
      <c r="D5250" s="62">
        <v>44802</v>
      </c>
      <c r="E5250" s="63">
        <v>0</v>
      </c>
    </row>
    <row r="5251" spans="1:5">
      <c r="A5251" s="61" t="s">
        <v>236</v>
      </c>
      <c r="B5251" s="61" t="s">
        <v>382</v>
      </c>
      <c r="C5251" s="62">
        <v>44803</v>
      </c>
      <c r="D5251" s="62">
        <v>44803</v>
      </c>
      <c r="E5251" s="63">
        <v>0</v>
      </c>
    </row>
    <row r="5252" spans="1:5">
      <c r="A5252" s="61" t="s">
        <v>237</v>
      </c>
      <c r="B5252" s="61" t="s">
        <v>383</v>
      </c>
      <c r="C5252" s="62">
        <v>44774</v>
      </c>
      <c r="D5252" s="62">
        <v>44774</v>
      </c>
      <c r="E5252" s="63">
        <v>0</v>
      </c>
    </row>
    <row r="5253" spans="1:5">
      <c r="A5253" s="61" t="s">
        <v>237</v>
      </c>
      <c r="B5253" s="61" t="s">
        <v>383</v>
      </c>
      <c r="C5253" s="62">
        <v>44775</v>
      </c>
      <c r="D5253" s="62">
        <v>44775</v>
      </c>
      <c r="E5253" s="63">
        <v>0</v>
      </c>
    </row>
    <row r="5254" spans="1:5">
      <c r="A5254" s="61" t="s">
        <v>237</v>
      </c>
      <c r="B5254" s="61" t="s">
        <v>383</v>
      </c>
      <c r="C5254" s="62">
        <v>44776</v>
      </c>
      <c r="D5254" s="62">
        <v>44776</v>
      </c>
      <c r="E5254" s="63">
        <v>0</v>
      </c>
    </row>
    <row r="5255" spans="1:5">
      <c r="A5255" s="61" t="s">
        <v>237</v>
      </c>
      <c r="B5255" s="61" t="s">
        <v>383</v>
      </c>
      <c r="C5255" s="62">
        <v>44777</v>
      </c>
      <c r="D5255" s="62">
        <v>44777</v>
      </c>
      <c r="E5255" s="63">
        <v>0</v>
      </c>
    </row>
    <row r="5256" spans="1:5">
      <c r="A5256" s="61" t="s">
        <v>237</v>
      </c>
      <c r="B5256" s="61" t="s">
        <v>383</v>
      </c>
      <c r="C5256" s="62">
        <v>44778</v>
      </c>
      <c r="D5256" s="62">
        <v>44778</v>
      </c>
      <c r="E5256" s="63">
        <v>0</v>
      </c>
    </row>
    <row r="5257" spans="1:5">
      <c r="A5257" s="61" t="s">
        <v>237</v>
      </c>
      <c r="B5257" s="61" t="s">
        <v>383</v>
      </c>
      <c r="C5257" s="62">
        <v>44779</v>
      </c>
      <c r="D5257" s="62">
        <v>44779</v>
      </c>
      <c r="E5257" s="63">
        <v>0</v>
      </c>
    </row>
    <row r="5258" spans="1:5">
      <c r="A5258" s="61" t="s">
        <v>237</v>
      </c>
      <c r="B5258" s="61" t="s">
        <v>383</v>
      </c>
      <c r="C5258" s="62">
        <v>44780</v>
      </c>
      <c r="D5258" s="62">
        <v>44780</v>
      </c>
      <c r="E5258" s="63">
        <v>0</v>
      </c>
    </row>
    <row r="5259" spans="1:5">
      <c r="A5259" s="61" t="s">
        <v>237</v>
      </c>
      <c r="B5259" s="61" t="s">
        <v>383</v>
      </c>
      <c r="C5259" s="62">
        <v>44781</v>
      </c>
      <c r="D5259" s="62">
        <v>44781</v>
      </c>
      <c r="E5259" s="63">
        <v>0</v>
      </c>
    </row>
    <row r="5260" spans="1:5">
      <c r="A5260" s="61" t="s">
        <v>237</v>
      </c>
      <c r="B5260" s="61" t="s">
        <v>383</v>
      </c>
      <c r="C5260" s="62">
        <v>44782</v>
      </c>
      <c r="D5260" s="62">
        <v>44782</v>
      </c>
      <c r="E5260" s="63">
        <v>0</v>
      </c>
    </row>
    <row r="5261" spans="1:5">
      <c r="A5261" s="61" t="s">
        <v>237</v>
      </c>
      <c r="B5261" s="61" t="s">
        <v>383</v>
      </c>
      <c r="C5261" s="62">
        <v>44783</v>
      </c>
      <c r="D5261" s="62">
        <v>44783</v>
      </c>
      <c r="E5261" s="63">
        <v>0</v>
      </c>
    </row>
    <row r="5262" spans="1:5">
      <c r="A5262" s="61" t="s">
        <v>237</v>
      </c>
      <c r="B5262" s="61" t="s">
        <v>383</v>
      </c>
      <c r="C5262" s="62">
        <v>44784</v>
      </c>
      <c r="D5262" s="62">
        <v>44784</v>
      </c>
      <c r="E5262" s="63">
        <v>0</v>
      </c>
    </row>
    <row r="5263" spans="1:5">
      <c r="A5263" s="61" t="s">
        <v>237</v>
      </c>
      <c r="B5263" s="61" t="s">
        <v>383</v>
      </c>
      <c r="C5263" s="62">
        <v>44785</v>
      </c>
      <c r="D5263" s="62">
        <v>44785</v>
      </c>
      <c r="E5263" s="63">
        <v>0</v>
      </c>
    </row>
    <row r="5264" spans="1:5">
      <c r="A5264" s="61" t="s">
        <v>237</v>
      </c>
      <c r="B5264" s="61" t="s">
        <v>383</v>
      </c>
      <c r="C5264" s="62">
        <v>44786</v>
      </c>
      <c r="D5264" s="62">
        <v>44786</v>
      </c>
      <c r="E5264" s="63">
        <v>0</v>
      </c>
    </row>
    <row r="5265" spans="1:5">
      <c r="A5265" s="61" t="s">
        <v>237</v>
      </c>
      <c r="B5265" s="61" t="s">
        <v>383</v>
      </c>
      <c r="C5265" s="62">
        <v>44787</v>
      </c>
      <c r="D5265" s="62">
        <v>44787</v>
      </c>
      <c r="E5265" s="63">
        <v>0</v>
      </c>
    </row>
    <row r="5266" spans="1:5">
      <c r="A5266" s="61" t="s">
        <v>237</v>
      </c>
      <c r="B5266" s="61" t="s">
        <v>383</v>
      </c>
      <c r="C5266" s="62">
        <v>44788</v>
      </c>
      <c r="D5266" s="62">
        <v>44788</v>
      </c>
      <c r="E5266" s="63">
        <v>0</v>
      </c>
    </row>
    <row r="5267" spans="1:5">
      <c r="A5267" s="61" t="s">
        <v>237</v>
      </c>
      <c r="B5267" s="61" t="s">
        <v>383</v>
      </c>
      <c r="C5267" s="62">
        <v>44789</v>
      </c>
      <c r="D5267" s="62">
        <v>44789</v>
      </c>
      <c r="E5267" s="63">
        <v>0</v>
      </c>
    </row>
    <row r="5268" spans="1:5">
      <c r="A5268" s="61" t="s">
        <v>237</v>
      </c>
      <c r="B5268" s="61" t="s">
        <v>383</v>
      </c>
      <c r="C5268" s="62">
        <v>44790</v>
      </c>
      <c r="D5268" s="62">
        <v>44790</v>
      </c>
      <c r="E5268" s="63">
        <v>0</v>
      </c>
    </row>
    <row r="5269" spans="1:5">
      <c r="A5269" s="61" t="s">
        <v>237</v>
      </c>
      <c r="B5269" s="61" t="s">
        <v>383</v>
      </c>
      <c r="C5269" s="62">
        <v>44791</v>
      </c>
      <c r="D5269" s="62">
        <v>44791</v>
      </c>
      <c r="E5269" s="63">
        <v>0</v>
      </c>
    </row>
    <row r="5270" spans="1:5">
      <c r="A5270" s="61" t="s">
        <v>237</v>
      </c>
      <c r="B5270" s="61" t="s">
        <v>383</v>
      </c>
      <c r="C5270" s="62">
        <v>44792</v>
      </c>
      <c r="D5270" s="62">
        <v>44792</v>
      </c>
      <c r="E5270" s="63">
        <v>0</v>
      </c>
    </row>
    <row r="5271" spans="1:5">
      <c r="A5271" s="61" t="s">
        <v>237</v>
      </c>
      <c r="B5271" s="61" t="s">
        <v>383</v>
      </c>
      <c r="C5271" s="62">
        <v>44793</v>
      </c>
      <c r="D5271" s="62">
        <v>44793</v>
      </c>
      <c r="E5271" s="63">
        <v>0</v>
      </c>
    </row>
    <row r="5272" spans="1:5">
      <c r="A5272" s="61" t="s">
        <v>237</v>
      </c>
      <c r="B5272" s="61" t="s">
        <v>383</v>
      </c>
      <c r="C5272" s="62">
        <v>44794</v>
      </c>
      <c r="D5272" s="62">
        <v>44794</v>
      </c>
      <c r="E5272" s="63">
        <v>0</v>
      </c>
    </row>
    <row r="5273" spans="1:5">
      <c r="A5273" s="61" t="s">
        <v>237</v>
      </c>
      <c r="B5273" s="61" t="s">
        <v>383</v>
      </c>
      <c r="C5273" s="62">
        <v>44795</v>
      </c>
      <c r="D5273" s="62">
        <v>44795</v>
      </c>
      <c r="E5273" s="63">
        <v>0</v>
      </c>
    </row>
    <row r="5274" spans="1:5">
      <c r="A5274" s="61" t="s">
        <v>237</v>
      </c>
      <c r="B5274" s="61" t="s">
        <v>383</v>
      </c>
      <c r="C5274" s="62">
        <v>44796</v>
      </c>
      <c r="D5274" s="62">
        <v>44796</v>
      </c>
      <c r="E5274" s="63">
        <v>0</v>
      </c>
    </row>
    <row r="5275" spans="1:5">
      <c r="A5275" s="61" t="s">
        <v>237</v>
      </c>
      <c r="B5275" s="61" t="s">
        <v>383</v>
      </c>
      <c r="C5275" s="62">
        <v>44797</v>
      </c>
      <c r="D5275" s="62">
        <v>44797</v>
      </c>
      <c r="E5275" s="63">
        <v>0</v>
      </c>
    </row>
    <row r="5276" spans="1:5">
      <c r="A5276" s="61" t="s">
        <v>237</v>
      </c>
      <c r="B5276" s="61" t="s">
        <v>383</v>
      </c>
      <c r="C5276" s="62">
        <v>44798</v>
      </c>
      <c r="D5276" s="62">
        <v>44798</v>
      </c>
      <c r="E5276" s="63">
        <v>0</v>
      </c>
    </row>
    <row r="5277" spans="1:5">
      <c r="A5277" s="61" t="s">
        <v>237</v>
      </c>
      <c r="B5277" s="61" t="s">
        <v>383</v>
      </c>
      <c r="C5277" s="62">
        <v>44799</v>
      </c>
      <c r="D5277" s="62">
        <v>44799</v>
      </c>
      <c r="E5277" s="63">
        <v>0</v>
      </c>
    </row>
    <row r="5278" spans="1:5">
      <c r="A5278" s="61" t="s">
        <v>237</v>
      </c>
      <c r="B5278" s="61" t="s">
        <v>383</v>
      </c>
      <c r="C5278" s="62">
        <v>44800</v>
      </c>
      <c r="D5278" s="62">
        <v>44800</v>
      </c>
      <c r="E5278" s="63">
        <v>0</v>
      </c>
    </row>
    <row r="5279" spans="1:5">
      <c r="A5279" s="61" t="s">
        <v>237</v>
      </c>
      <c r="B5279" s="61" t="s">
        <v>383</v>
      </c>
      <c r="C5279" s="62">
        <v>44801</v>
      </c>
      <c r="D5279" s="62">
        <v>44801</v>
      </c>
      <c r="E5279" s="63">
        <v>0</v>
      </c>
    </row>
    <row r="5280" spans="1:5">
      <c r="A5280" s="61" t="s">
        <v>237</v>
      </c>
      <c r="B5280" s="61" t="s">
        <v>383</v>
      </c>
      <c r="C5280" s="62">
        <v>44802</v>
      </c>
      <c r="D5280" s="62">
        <v>44802</v>
      </c>
      <c r="E5280" s="63">
        <v>0</v>
      </c>
    </row>
    <row r="5281" spans="1:5">
      <c r="A5281" s="61" t="s">
        <v>237</v>
      </c>
      <c r="B5281" s="61" t="s">
        <v>383</v>
      </c>
      <c r="C5281" s="62">
        <v>44803</v>
      </c>
      <c r="D5281" s="62">
        <v>44803</v>
      </c>
      <c r="E5281" s="63">
        <v>0</v>
      </c>
    </row>
    <row r="5282" spans="1:5">
      <c r="A5282" s="61" t="s">
        <v>93</v>
      </c>
      <c r="B5282" s="61" t="s">
        <v>380</v>
      </c>
      <c r="C5282" s="62">
        <v>44774</v>
      </c>
      <c r="D5282" s="62">
        <v>44774</v>
      </c>
      <c r="E5282" s="63">
        <v>0</v>
      </c>
    </row>
    <row r="5283" spans="1:5">
      <c r="A5283" s="61" t="s">
        <v>93</v>
      </c>
      <c r="B5283" s="61" t="s">
        <v>380</v>
      </c>
      <c r="C5283" s="62">
        <v>44775</v>
      </c>
      <c r="D5283" s="62">
        <v>44775</v>
      </c>
      <c r="E5283" s="63">
        <v>0</v>
      </c>
    </row>
    <row r="5284" spans="1:5">
      <c r="A5284" s="61" t="s">
        <v>93</v>
      </c>
      <c r="B5284" s="61" t="s">
        <v>380</v>
      </c>
      <c r="C5284" s="62">
        <v>44776</v>
      </c>
      <c r="D5284" s="62">
        <v>44776</v>
      </c>
      <c r="E5284" s="63">
        <v>0</v>
      </c>
    </row>
    <row r="5285" spans="1:5">
      <c r="A5285" s="61" t="s">
        <v>93</v>
      </c>
      <c r="B5285" s="61" t="s">
        <v>380</v>
      </c>
      <c r="C5285" s="62">
        <v>44777</v>
      </c>
      <c r="D5285" s="62">
        <v>44777</v>
      </c>
      <c r="E5285" s="63">
        <v>0</v>
      </c>
    </row>
    <row r="5286" spans="1:5">
      <c r="A5286" s="61" t="s">
        <v>93</v>
      </c>
      <c r="B5286" s="61" t="s">
        <v>380</v>
      </c>
      <c r="C5286" s="62">
        <v>44778</v>
      </c>
      <c r="D5286" s="62">
        <v>44778</v>
      </c>
      <c r="E5286" s="63">
        <v>0</v>
      </c>
    </row>
    <row r="5287" spans="1:5">
      <c r="A5287" s="61" t="s">
        <v>93</v>
      </c>
      <c r="B5287" s="61" t="s">
        <v>380</v>
      </c>
      <c r="C5287" s="62">
        <v>44779</v>
      </c>
      <c r="D5287" s="62">
        <v>44779</v>
      </c>
      <c r="E5287" s="63">
        <v>0</v>
      </c>
    </row>
    <row r="5288" spans="1:5">
      <c r="A5288" s="61" t="s">
        <v>93</v>
      </c>
      <c r="B5288" s="61" t="s">
        <v>380</v>
      </c>
      <c r="C5288" s="62">
        <v>44780</v>
      </c>
      <c r="D5288" s="62">
        <v>44780</v>
      </c>
      <c r="E5288" s="63">
        <v>0</v>
      </c>
    </row>
    <row r="5289" spans="1:5">
      <c r="A5289" s="61" t="s">
        <v>93</v>
      </c>
      <c r="B5289" s="61" t="s">
        <v>380</v>
      </c>
      <c r="C5289" s="62">
        <v>44781</v>
      </c>
      <c r="D5289" s="62">
        <v>44781</v>
      </c>
      <c r="E5289" s="63">
        <v>0</v>
      </c>
    </row>
    <row r="5290" spans="1:5">
      <c r="A5290" s="61" t="s">
        <v>93</v>
      </c>
      <c r="B5290" s="61" t="s">
        <v>380</v>
      </c>
      <c r="C5290" s="62">
        <v>44782</v>
      </c>
      <c r="D5290" s="62">
        <v>44782</v>
      </c>
      <c r="E5290" s="63">
        <v>0</v>
      </c>
    </row>
    <row r="5291" spans="1:5">
      <c r="A5291" s="61" t="s">
        <v>93</v>
      </c>
      <c r="B5291" s="61" t="s">
        <v>380</v>
      </c>
      <c r="C5291" s="62">
        <v>44783</v>
      </c>
      <c r="D5291" s="62">
        <v>44783</v>
      </c>
      <c r="E5291" s="63">
        <v>0</v>
      </c>
    </row>
    <row r="5292" spans="1:5">
      <c r="A5292" s="61" t="s">
        <v>93</v>
      </c>
      <c r="B5292" s="61" t="s">
        <v>380</v>
      </c>
      <c r="C5292" s="62">
        <v>44784</v>
      </c>
      <c r="D5292" s="62">
        <v>44784</v>
      </c>
      <c r="E5292" s="63">
        <v>0</v>
      </c>
    </row>
    <row r="5293" spans="1:5">
      <c r="A5293" s="61" t="s">
        <v>93</v>
      </c>
      <c r="B5293" s="61" t="s">
        <v>380</v>
      </c>
      <c r="C5293" s="62">
        <v>44785</v>
      </c>
      <c r="D5293" s="62">
        <v>44785</v>
      </c>
      <c r="E5293" s="63">
        <v>0</v>
      </c>
    </row>
    <row r="5294" spans="1:5">
      <c r="A5294" s="61" t="s">
        <v>93</v>
      </c>
      <c r="B5294" s="61" t="s">
        <v>380</v>
      </c>
      <c r="C5294" s="62">
        <v>44786</v>
      </c>
      <c r="D5294" s="62">
        <v>44786</v>
      </c>
      <c r="E5294" s="63">
        <v>0</v>
      </c>
    </row>
    <row r="5295" spans="1:5">
      <c r="A5295" s="61" t="s">
        <v>93</v>
      </c>
      <c r="B5295" s="61" t="s">
        <v>380</v>
      </c>
      <c r="C5295" s="62">
        <v>44787</v>
      </c>
      <c r="D5295" s="62">
        <v>44787</v>
      </c>
      <c r="E5295" s="63">
        <v>0</v>
      </c>
    </row>
    <row r="5296" spans="1:5">
      <c r="A5296" s="61" t="s">
        <v>93</v>
      </c>
      <c r="B5296" s="61" t="s">
        <v>380</v>
      </c>
      <c r="C5296" s="62">
        <v>44788</v>
      </c>
      <c r="D5296" s="62">
        <v>44788</v>
      </c>
      <c r="E5296" s="63">
        <v>0</v>
      </c>
    </row>
    <row r="5297" spans="1:5">
      <c r="A5297" s="61" t="s">
        <v>93</v>
      </c>
      <c r="B5297" s="61" t="s">
        <v>380</v>
      </c>
      <c r="C5297" s="62">
        <v>44789</v>
      </c>
      <c r="D5297" s="62">
        <v>44789</v>
      </c>
      <c r="E5297" s="63">
        <v>0</v>
      </c>
    </row>
    <row r="5298" spans="1:5">
      <c r="A5298" s="61" t="s">
        <v>93</v>
      </c>
      <c r="B5298" s="61" t="s">
        <v>380</v>
      </c>
      <c r="C5298" s="62">
        <v>44790</v>
      </c>
      <c r="D5298" s="62">
        <v>44790</v>
      </c>
      <c r="E5298" s="63">
        <v>0</v>
      </c>
    </row>
    <row r="5299" spans="1:5">
      <c r="A5299" s="61" t="s">
        <v>93</v>
      </c>
      <c r="B5299" s="61" t="s">
        <v>380</v>
      </c>
      <c r="C5299" s="62">
        <v>44791</v>
      </c>
      <c r="D5299" s="62">
        <v>44791</v>
      </c>
      <c r="E5299" s="63">
        <v>0</v>
      </c>
    </row>
    <row r="5300" spans="1:5">
      <c r="A5300" s="61" t="s">
        <v>93</v>
      </c>
      <c r="B5300" s="61" t="s">
        <v>380</v>
      </c>
      <c r="C5300" s="62">
        <v>44792</v>
      </c>
      <c r="D5300" s="62">
        <v>44792</v>
      </c>
      <c r="E5300" s="63">
        <v>0</v>
      </c>
    </row>
    <row r="5301" spans="1:5">
      <c r="A5301" s="61" t="s">
        <v>93</v>
      </c>
      <c r="B5301" s="61" t="s">
        <v>380</v>
      </c>
      <c r="C5301" s="62">
        <v>44793</v>
      </c>
      <c r="D5301" s="62">
        <v>44793</v>
      </c>
      <c r="E5301" s="63">
        <v>0</v>
      </c>
    </row>
    <row r="5302" spans="1:5">
      <c r="A5302" s="61" t="s">
        <v>93</v>
      </c>
      <c r="B5302" s="61" t="s">
        <v>380</v>
      </c>
      <c r="C5302" s="62">
        <v>44794</v>
      </c>
      <c r="D5302" s="62">
        <v>44794</v>
      </c>
      <c r="E5302" s="63">
        <v>0</v>
      </c>
    </row>
    <row r="5303" spans="1:5">
      <c r="A5303" s="61" t="s">
        <v>93</v>
      </c>
      <c r="B5303" s="61" t="s">
        <v>380</v>
      </c>
      <c r="C5303" s="62">
        <v>44795</v>
      </c>
      <c r="D5303" s="62">
        <v>44795</v>
      </c>
      <c r="E5303" s="63">
        <v>0</v>
      </c>
    </row>
    <row r="5304" spans="1:5">
      <c r="A5304" s="61" t="s">
        <v>93</v>
      </c>
      <c r="B5304" s="61" t="s">
        <v>380</v>
      </c>
      <c r="C5304" s="62">
        <v>44796</v>
      </c>
      <c r="D5304" s="62">
        <v>44796</v>
      </c>
      <c r="E5304" s="63">
        <v>0</v>
      </c>
    </row>
    <row r="5305" spans="1:5">
      <c r="A5305" s="61" t="s">
        <v>93</v>
      </c>
      <c r="B5305" s="61" t="s">
        <v>380</v>
      </c>
      <c r="C5305" s="62">
        <v>44797</v>
      </c>
      <c r="D5305" s="62">
        <v>44797</v>
      </c>
      <c r="E5305" s="63">
        <v>0</v>
      </c>
    </row>
    <row r="5306" spans="1:5">
      <c r="A5306" s="61" t="s">
        <v>93</v>
      </c>
      <c r="B5306" s="61" t="s">
        <v>380</v>
      </c>
      <c r="C5306" s="62">
        <v>44798</v>
      </c>
      <c r="D5306" s="62">
        <v>44798</v>
      </c>
      <c r="E5306" s="63">
        <v>0</v>
      </c>
    </row>
    <row r="5307" spans="1:5">
      <c r="A5307" s="61" t="s">
        <v>93</v>
      </c>
      <c r="B5307" s="61" t="s">
        <v>380</v>
      </c>
      <c r="C5307" s="62">
        <v>44799</v>
      </c>
      <c r="D5307" s="62">
        <v>44799</v>
      </c>
      <c r="E5307" s="63">
        <v>0</v>
      </c>
    </row>
    <row r="5308" spans="1:5">
      <c r="A5308" s="61" t="s">
        <v>93</v>
      </c>
      <c r="B5308" s="61" t="s">
        <v>380</v>
      </c>
      <c r="C5308" s="62">
        <v>44800</v>
      </c>
      <c r="D5308" s="62">
        <v>44800</v>
      </c>
      <c r="E5308" s="63">
        <v>0</v>
      </c>
    </row>
    <row r="5309" spans="1:5">
      <c r="A5309" s="61" t="s">
        <v>93</v>
      </c>
      <c r="B5309" s="61" t="s">
        <v>380</v>
      </c>
      <c r="C5309" s="62">
        <v>44801</v>
      </c>
      <c r="D5309" s="62">
        <v>44801</v>
      </c>
      <c r="E5309" s="63">
        <v>0</v>
      </c>
    </row>
    <row r="5310" spans="1:5">
      <c r="A5310" s="61" t="s">
        <v>93</v>
      </c>
      <c r="B5310" s="61" t="s">
        <v>380</v>
      </c>
      <c r="C5310" s="62">
        <v>44802</v>
      </c>
      <c r="D5310" s="62">
        <v>44802</v>
      </c>
      <c r="E5310" s="63">
        <v>0</v>
      </c>
    </row>
    <row r="5311" spans="1:5">
      <c r="A5311" s="61" t="s">
        <v>93</v>
      </c>
      <c r="B5311" s="61" t="s">
        <v>380</v>
      </c>
      <c r="C5311" s="62">
        <v>44803</v>
      </c>
      <c r="D5311" s="62">
        <v>44803</v>
      </c>
      <c r="E5311" s="63">
        <v>0</v>
      </c>
    </row>
    <row r="5312" spans="1:5">
      <c r="A5312" s="61" t="s">
        <v>238</v>
      </c>
      <c r="B5312" s="61" t="s">
        <v>381</v>
      </c>
      <c r="C5312" s="62">
        <v>44774</v>
      </c>
      <c r="D5312" s="62">
        <v>44774</v>
      </c>
      <c r="E5312" s="63">
        <v>0</v>
      </c>
    </row>
    <row r="5313" spans="1:5">
      <c r="A5313" s="61" t="s">
        <v>238</v>
      </c>
      <c r="B5313" s="61" t="s">
        <v>381</v>
      </c>
      <c r="C5313" s="62">
        <v>44775</v>
      </c>
      <c r="D5313" s="62">
        <v>44775</v>
      </c>
      <c r="E5313" s="63">
        <v>0</v>
      </c>
    </row>
    <row r="5314" spans="1:5">
      <c r="A5314" s="61" t="s">
        <v>238</v>
      </c>
      <c r="B5314" s="61" t="s">
        <v>381</v>
      </c>
      <c r="C5314" s="62">
        <v>44776</v>
      </c>
      <c r="D5314" s="62">
        <v>44776</v>
      </c>
      <c r="E5314" s="63">
        <v>0</v>
      </c>
    </row>
    <row r="5315" spans="1:5">
      <c r="A5315" s="61" t="s">
        <v>238</v>
      </c>
      <c r="B5315" s="61" t="s">
        <v>381</v>
      </c>
      <c r="C5315" s="62">
        <v>44777</v>
      </c>
      <c r="D5315" s="62">
        <v>44777</v>
      </c>
      <c r="E5315" s="63">
        <v>0</v>
      </c>
    </row>
    <row r="5316" spans="1:5">
      <c r="A5316" s="61" t="s">
        <v>238</v>
      </c>
      <c r="B5316" s="61" t="s">
        <v>381</v>
      </c>
      <c r="C5316" s="62">
        <v>44778</v>
      </c>
      <c r="D5316" s="62">
        <v>44778</v>
      </c>
      <c r="E5316" s="63">
        <v>0</v>
      </c>
    </row>
    <row r="5317" spans="1:5">
      <c r="A5317" s="61" t="s">
        <v>238</v>
      </c>
      <c r="B5317" s="61" t="s">
        <v>381</v>
      </c>
      <c r="C5317" s="62">
        <v>44779</v>
      </c>
      <c r="D5317" s="62">
        <v>44779</v>
      </c>
      <c r="E5317" s="63">
        <v>0</v>
      </c>
    </row>
    <row r="5318" spans="1:5">
      <c r="A5318" s="61" t="s">
        <v>238</v>
      </c>
      <c r="B5318" s="61" t="s">
        <v>381</v>
      </c>
      <c r="C5318" s="62">
        <v>44780</v>
      </c>
      <c r="D5318" s="62">
        <v>44780</v>
      </c>
      <c r="E5318" s="63">
        <v>0</v>
      </c>
    </row>
    <row r="5319" spans="1:5">
      <c r="A5319" s="61" t="s">
        <v>238</v>
      </c>
      <c r="B5319" s="61" t="s">
        <v>381</v>
      </c>
      <c r="C5319" s="62">
        <v>44781</v>
      </c>
      <c r="D5319" s="62">
        <v>44781</v>
      </c>
      <c r="E5319" s="63">
        <v>0</v>
      </c>
    </row>
    <row r="5320" spans="1:5">
      <c r="A5320" s="61" t="s">
        <v>238</v>
      </c>
      <c r="B5320" s="61" t="s">
        <v>381</v>
      </c>
      <c r="C5320" s="62">
        <v>44782</v>
      </c>
      <c r="D5320" s="62">
        <v>44782</v>
      </c>
      <c r="E5320" s="63">
        <v>0</v>
      </c>
    </row>
    <row r="5321" spans="1:5">
      <c r="A5321" s="61" t="s">
        <v>238</v>
      </c>
      <c r="B5321" s="61" t="s">
        <v>381</v>
      </c>
      <c r="C5321" s="62">
        <v>44783</v>
      </c>
      <c r="D5321" s="62">
        <v>44783</v>
      </c>
      <c r="E5321" s="63">
        <v>0</v>
      </c>
    </row>
    <row r="5322" spans="1:5">
      <c r="A5322" s="61" t="s">
        <v>238</v>
      </c>
      <c r="B5322" s="61" t="s">
        <v>381</v>
      </c>
      <c r="C5322" s="62">
        <v>44784</v>
      </c>
      <c r="D5322" s="62">
        <v>44784</v>
      </c>
      <c r="E5322" s="63">
        <v>0</v>
      </c>
    </row>
    <row r="5323" spans="1:5">
      <c r="A5323" s="61" t="s">
        <v>238</v>
      </c>
      <c r="B5323" s="61" t="s">
        <v>381</v>
      </c>
      <c r="C5323" s="62">
        <v>44785</v>
      </c>
      <c r="D5323" s="62">
        <v>44785</v>
      </c>
      <c r="E5323" s="63">
        <v>0</v>
      </c>
    </row>
    <row r="5324" spans="1:5">
      <c r="A5324" s="61" t="s">
        <v>238</v>
      </c>
      <c r="B5324" s="61" t="s">
        <v>381</v>
      </c>
      <c r="C5324" s="62">
        <v>44786</v>
      </c>
      <c r="D5324" s="62">
        <v>44786</v>
      </c>
      <c r="E5324" s="63">
        <v>0</v>
      </c>
    </row>
    <row r="5325" spans="1:5">
      <c r="A5325" s="61" t="s">
        <v>238</v>
      </c>
      <c r="B5325" s="61" t="s">
        <v>381</v>
      </c>
      <c r="C5325" s="62">
        <v>44787</v>
      </c>
      <c r="D5325" s="62">
        <v>44787</v>
      </c>
      <c r="E5325" s="63">
        <v>0</v>
      </c>
    </row>
    <row r="5326" spans="1:5">
      <c r="A5326" s="61" t="s">
        <v>238</v>
      </c>
      <c r="B5326" s="61" t="s">
        <v>381</v>
      </c>
      <c r="C5326" s="62">
        <v>44788</v>
      </c>
      <c r="D5326" s="62">
        <v>44788</v>
      </c>
      <c r="E5326" s="63">
        <v>0</v>
      </c>
    </row>
    <row r="5327" spans="1:5">
      <c r="A5327" s="61" t="s">
        <v>238</v>
      </c>
      <c r="B5327" s="61" t="s">
        <v>381</v>
      </c>
      <c r="C5327" s="62">
        <v>44789</v>
      </c>
      <c r="D5327" s="62">
        <v>44789</v>
      </c>
      <c r="E5327" s="63">
        <v>0</v>
      </c>
    </row>
    <row r="5328" spans="1:5">
      <c r="A5328" s="61" t="s">
        <v>238</v>
      </c>
      <c r="B5328" s="61" t="s">
        <v>381</v>
      </c>
      <c r="C5328" s="62">
        <v>44790</v>
      </c>
      <c r="D5328" s="62">
        <v>44790</v>
      </c>
      <c r="E5328" s="63">
        <v>0</v>
      </c>
    </row>
    <row r="5329" spans="1:5">
      <c r="A5329" s="61" t="s">
        <v>238</v>
      </c>
      <c r="B5329" s="61" t="s">
        <v>381</v>
      </c>
      <c r="C5329" s="62">
        <v>44791</v>
      </c>
      <c r="D5329" s="62">
        <v>44791</v>
      </c>
      <c r="E5329" s="63">
        <v>0</v>
      </c>
    </row>
    <row r="5330" spans="1:5">
      <c r="A5330" s="61" t="s">
        <v>238</v>
      </c>
      <c r="B5330" s="61" t="s">
        <v>381</v>
      </c>
      <c r="C5330" s="62">
        <v>44792</v>
      </c>
      <c r="D5330" s="62">
        <v>44792</v>
      </c>
      <c r="E5330" s="63">
        <v>0</v>
      </c>
    </row>
    <row r="5331" spans="1:5">
      <c r="A5331" s="61" t="s">
        <v>238</v>
      </c>
      <c r="B5331" s="61" t="s">
        <v>381</v>
      </c>
      <c r="C5331" s="62">
        <v>44793</v>
      </c>
      <c r="D5331" s="62">
        <v>44793</v>
      </c>
      <c r="E5331" s="63">
        <v>0</v>
      </c>
    </row>
    <row r="5332" spans="1:5">
      <c r="A5332" s="61" t="s">
        <v>238</v>
      </c>
      <c r="B5332" s="61" t="s">
        <v>381</v>
      </c>
      <c r="C5332" s="62">
        <v>44794</v>
      </c>
      <c r="D5332" s="62">
        <v>44794</v>
      </c>
      <c r="E5332" s="63">
        <v>0</v>
      </c>
    </row>
    <row r="5333" spans="1:5">
      <c r="A5333" s="61" t="s">
        <v>238</v>
      </c>
      <c r="B5333" s="61" t="s">
        <v>381</v>
      </c>
      <c r="C5333" s="62">
        <v>44795</v>
      </c>
      <c r="D5333" s="62">
        <v>44795</v>
      </c>
      <c r="E5333" s="63">
        <v>0</v>
      </c>
    </row>
    <row r="5334" spans="1:5">
      <c r="A5334" s="61" t="s">
        <v>238</v>
      </c>
      <c r="B5334" s="61" t="s">
        <v>381</v>
      </c>
      <c r="C5334" s="62">
        <v>44796</v>
      </c>
      <c r="D5334" s="62">
        <v>44796</v>
      </c>
      <c r="E5334" s="63">
        <v>0</v>
      </c>
    </row>
    <row r="5335" spans="1:5">
      <c r="A5335" s="61" t="s">
        <v>238</v>
      </c>
      <c r="B5335" s="61" t="s">
        <v>381</v>
      </c>
      <c r="C5335" s="62">
        <v>44797</v>
      </c>
      <c r="D5335" s="62">
        <v>44797</v>
      </c>
      <c r="E5335" s="63">
        <v>0</v>
      </c>
    </row>
    <row r="5336" spans="1:5">
      <c r="A5336" s="61" t="s">
        <v>238</v>
      </c>
      <c r="B5336" s="61" t="s">
        <v>381</v>
      </c>
      <c r="C5336" s="62">
        <v>44798</v>
      </c>
      <c r="D5336" s="62">
        <v>44798</v>
      </c>
      <c r="E5336" s="63">
        <v>0</v>
      </c>
    </row>
    <row r="5337" spans="1:5">
      <c r="A5337" s="61" t="s">
        <v>238</v>
      </c>
      <c r="B5337" s="61" t="s">
        <v>381</v>
      </c>
      <c r="C5337" s="62">
        <v>44799</v>
      </c>
      <c r="D5337" s="62">
        <v>44799</v>
      </c>
      <c r="E5337" s="63">
        <v>0</v>
      </c>
    </row>
    <row r="5338" spans="1:5">
      <c r="A5338" s="61" t="s">
        <v>238</v>
      </c>
      <c r="B5338" s="61" t="s">
        <v>381</v>
      </c>
      <c r="C5338" s="62">
        <v>44800</v>
      </c>
      <c r="D5338" s="62">
        <v>44800</v>
      </c>
      <c r="E5338" s="63">
        <v>0</v>
      </c>
    </row>
    <row r="5339" spans="1:5">
      <c r="A5339" s="61" t="s">
        <v>238</v>
      </c>
      <c r="B5339" s="61" t="s">
        <v>381</v>
      </c>
      <c r="C5339" s="62">
        <v>44801</v>
      </c>
      <c r="D5339" s="62">
        <v>44801</v>
      </c>
      <c r="E5339" s="63">
        <v>0</v>
      </c>
    </row>
    <row r="5340" spans="1:5">
      <c r="A5340" s="61" t="s">
        <v>238</v>
      </c>
      <c r="B5340" s="61" t="s">
        <v>381</v>
      </c>
      <c r="C5340" s="62">
        <v>44802</v>
      </c>
      <c r="D5340" s="62">
        <v>44802</v>
      </c>
      <c r="E5340" s="63">
        <v>0</v>
      </c>
    </row>
    <row r="5341" spans="1:5">
      <c r="A5341" s="61" t="s">
        <v>238</v>
      </c>
      <c r="B5341" s="61" t="s">
        <v>381</v>
      </c>
      <c r="C5341" s="62">
        <v>44803</v>
      </c>
      <c r="D5341" s="62">
        <v>44803</v>
      </c>
      <c r="E5341" s="63">
        <v>0</v>
      </c>
    </row>
    <row r="5342" spans="1:5">
      <c r="A5342" s="61" t="s">
        <v>239</v>
      </c>
      <c r="B5342" s="61" t="s">
        <v>382</v>
      </c>
      <c r="C5342" s="62">
        <v>44774</v>
      </c>
      <c r="D5342" s="62">
        <v>44774</v>
      </c>
      <c r="E5342" s="63">
        <v>0</v>
      </c>
    </row>
    <row r="5343" spans="1:5">
      <c r="A5343" s="61" t="s">
        <v>239</v>
      </c>
      <c r="B5343" s="61" t="s">
        <v>382</v>
      </c>
      <c r="C5343" s="62">
        <v>44775</v>
      </c>
      <c r="D5343" s="62">
        <v>44775</v>
      </c>
      <c r="E5343" s="63">
        <v>0</v>
      </c>
    </row>
    <row r="5344" spans="1:5">
      <c r="A5344" s="61" t="s">
        <v>239</v>
      </c>
      <c r="B5344" s="61" t="s">
        <v>382</v>
      </c>
      <c r="C5344" s="62">
        <v>44776</v>
      </c>
      <c r="D5344" s="62">
        <v>44776</v>
      </c>
      <c r="E5344" s="63">
        <v>0</v>
      </c>
    </row>
    <row r="5345" spans="1:5">
      <c r="A5345" s="61" t="s">
        <v>239</v>
      </c>
      <c r="B5345" s="61" t="s">
        <v>382</v>
      </c>
      <c r="C5345" s="62">
        <v>44777</v>
      </c>
      <c r="D5345" s="62">
        <v>44777</v>
      </c>
      <c r="E5345" s="63">
        <v>0</v>
      </c>
    </row>
    <row r="5346" spans="1:5">
      <c r="A5346" s="61" t="s">
        <v>239</v>
      </c>
      <c r="B5346" s="61" t="s">
        <v>382</v>
      </c>
      <c r="C5346" s="62">
        <v>44778</v>
      </c>
      <c r="D5346" s="62">
        <v>44778</v>
      </c>
      <c r="E5346" s="63">
        <v>0</v>
      </c>
    </row>
    <row r="5347" spans="1:5">
      <c r="A5347" s="61" t="s">
        <v>239</v>
      </c>
      <c r="B5347" s="61" t="s">
        <v>382</v>
      </c>
      <c r="C5347" s="62">
        <v>44779</v>
      </c>
      <c r="D5347" s="62">
        <v>44779</v>
      </c>
      <c r="E5347" s="63">
        <v>0</v>
      </c>
    </row>
    <row r="5348" spans="1:5">
      <c r="A5348" s="61" t="s">
        <v>239</v>
      </c>
      <c r="B5348" s="61" t="s">
        <v>382</v>
      </c>
      <c r="C5348" s="62">
        <v>44780</v>
      </c>
      <c r="D5348" s="62">
        <v>44780</v>
      </c>
      <c r="E5348" s="63">
        <v>0</v>
      </c>
    </row>
    <row r="5349" spans="1:5">
      <c r="A5349" s="61" t="s">
        <v>239</v>
      </c>
      <c r="B5349" s="61" t="s">
        <v>382</v>
      </c>
      <c r="C5349" s="62">
        <v>44781</v>
      </c>
      <c r="D5349" s="62">
        <v>44781</v>
      </c>
      <c r="E5349" s="63">
        <v>0</v>
      </c>
    </row>
    <row r="5350" spans="1:5">
      <c r="A5350" s="61" t="s">
        <v>239</v>
      </c>
      <c r="B5350" s="61" t="s">
        <v>382</v>
      </c>
      <c r="C5350" s="62">
        <v>44782</v>
      </c>
      <c r="D5350" s="62">
        <v>44782</v>
      </c>
      <c r="E5350" s="63">
        <v>0</v>
      </c>
    </row>
    <row r="5351" spans="1:5">
      <c r="A5351" s="61" t="s">
        <v>239</v>
      </c>
      <c r="B5351" s="61" t="s">
        <v>382</v>
      </c>
      <c r="C5351" s="62">
        <v>44783</v>
      </c>
      <c r="D5351" s="62">
        <v>44783</v>
      </c>
      <c r="E5351" s="63">
        <v>0</v>
      </c>
    </row>
    <row r="5352" spans="1:5">
      <c r="A5352" s="61" t="s">
        <v>239</v>
      </c>
      <c r="B5352" s="61" t="s">
        <v>382</v>
      </c>
      <c r="C5352" s="62">
        <v>44784</v>
      </c>
      <c r="D5352" s="62">
        <v>44784</v>
      </c>
      <c r="E5352" s="63">
        <v>0</v>
      </c>
    </row>
    <row r="5353" spans="1:5">
      <c r="A5353" s="61" t="s">
        <v>239</v>
      </c>
      <c r="B5353" s="61" t="s">
        <v>382</v>
      </c>
      <c r="C5353" s="62">
        <v>44785</v>
      </c>
      <c r="D5353" s="62">
        <v>44785</v>
      </c>
      <c r="E5353" s="63">
        <v>0</v>
      </c>
    </row>
    <row r="5354" spans="1:5">
      <c r="A5354" s="61" t="s">
        <v>239</v>
      </c>
      <c r="B5354" s="61" t="s">
        <v>382</v>
      </c>
      <c r="C5354" s="62">
        <v>44786</v>
      </c>
      <c r="D5354" s="62">
        <v>44786</v>
      </c>
      <c r="E5354" s="63">
        <v>0</v>
      </c>
    </row>
    <row r="5355" spans="1:5">
      <c r="A5355" s="61" t="s">
        <v>239</v>
      </c>
      <c r="B5355" s="61" t="s">
        <v>382</v>
      </c>
      <c r="C5355" s="62">
        <v>44787</v>
      </c>
      <c r="D5355" s="62">
        <v>44787</v>
      </c>
      <c r="E5355" s="63">
        <v>0</v>
      </c>
    </row>
    <row r="5356" spans="1:5">
      <c r="A5356" s="61" t="s">
        <v>239</v>
      </c>
      <c r="B5356" s="61" t="s">
        <v>382</v>
      </c>
      <c r="C5356" s="62">
        <v>44788</v>
      </c>
      <c r="D5356" s="62">
        <v>44788</v>
      </c>
      <c r="E5356" s="63">
        <v>0</v>
      </c>
    </row>
    <row r="5357" spans="1:5">
      <c r="A5357" s="61" t="s">
        <v>239</v>
      </c>
      <c r="B5357" s="61" t="s">
        <v>382</v>
      </c>
      <c r="C5357" s="62">
        <v>44789</v>
      </c>
      <c r="D5357" s="62">
        <v>44789</v>
      </c>
      <c r="E5357" s="63">
        <v>0</v>
      </c>
    </row>
    <row r="5358" spans="1:5">
      <c r="A5358" s="61" t="s">
        <v>239</v>
      </c>
      <c r="B5358" s="61" t="s">
        <v>382</v>
      </c>
      <c r="C5358" s="62">
        <v>44790</v>
      </c>
      <c r="D5358" s="62">
        <v>44790</v>
      </c>
      <c r="E5358" s="63">
        <v>0</v>
      </c>
    </row>
    <row r="5359" spans="1:5">
      <c r="A5359" s="61" t="s">
        <v>239</v>
      </c>
      <c r="B5359" s="61" t="s">
        <v>382</v>
      </c>
      <c r="C5359" s="62">
        <v>44791</v>
      </c>
      <c r="D5359" s="62">
        <v>44791</v>
      </c>
      <c r="E5359" s="63">
        <v>0</v>
      </c>
    </row>
    <row r="5360" spans="1:5">
      <c r="A5360" s="61" t="s">
        <v>239</v>
      </c>
      <c r="B5360" s="61" t="s">
        <v>382</v>
      </c>
      <c r="C5360" s="62">
        <v>44792</v>
      </c>
      <c r="D5360" s="62">
        <v>44792</v>
      </c>
      <c r="E5360" s="63">
        <v>0</v>
      </c>
    </row>
    <row r="5361" spans="1:5">
      <c r="A5361" s="61" t="s">
        <v>239</v>
      </c>
      <c r="B5361" s="61" t="s">
        <v>382</v>
      </c>
      <c r="C5361" s="62">
        <v>44793</v>
      </c>
      <c r="D5361" s="62">
        <v>44793</v>
      </c>
      <c r="E5361" s="63">
        <v>0</v>
      </c>
    </row>
    <row r="5362" spans="1:5">
      <c r="A5362" s="61" t="s">
        <v>239</v>
      </c>
      <c r="B5362" s="61" t="s">
        <v>382</v>
      </c>
      <c r="C5362" s="62">
        <v>44794</v>
      </c>
      <c r="D5362" s="62">
        <v>44794</v>
      </c>
      <c r="E5362" s="63">
        <v>0</v>
      </c>
    </row>
    <row r="5363" spans="1:5">
      <c r="A5363" s="61" t="s">
        <v>239</v>
      </c>
      <c r="B5363" s="61" t="s">
        <v>382</v>
      </c>
      <c r="C5363" s="62">
        <v>44795</v>
      </c>
      <c r="D5363" s="62">
        <v>44795</v>
      </c>
      <c r="E5363" s="63">
        <v>0</v>
      </c>
    </row>
    <row r="5364" spans="1:5">
      <c r="A5364" s="61" t="s">
        <v>239</v>
      </c>
      <c r="B5364" s="61" t="s">
        <v>382</v>
      </c>
      <c r="C5364" s="62">
        <v>44796</v>
      </c>
      <c r="D5364" s="62">
        <v>44796</v>
      </c>
      <c r="E5364" s="63">
        <v>0</v>
      </c>
    </row>
    <row r="5365" spans="1:5">
      <c r="A5365" s="61" t="s">
        <v>239</v>
      </c>
      <c r="B5365" s="61" t="s">
        <v>382</v>
      </c>
      <c r="C5365" s="62">
        <v>44797</v>
      </c>
      <c r="D5365" s="62">
        <v>44797</v>
      </c>
      <c r="E5365" s="63">
        <v>0</v>
      </c>
    </row>
    <row r="5366" spans="1:5">
      <c r="A5366" s="61" t="s">
        <v>239</v>
      </c>
      <c r="B5366" s="61" t="s">
        <v>382</v>
      </c>
      <c r="C5366" s="62">
        <v>44798</v>
      </c>
      <c r="D5366" s="62">
        <v>44798</v>
      </c>
      <c r="E5366" s="63">
        <v>0</v>
      </c>
    </row>
    <row r="5367" spans="1:5">
      <c r="A5367" s="61" t="s">
        <v>239</v>
      </c>
      <c r="B5367" s="61" t="s">
        <v>382</v>
      </c>
      <c r="C5367" s="62">
        <v>44799</v>
      </c>
      <c r="D5367" s="62">
        <v>44799</v>
      </c>
      <c r="E5367" s="63">
        <v>0</v>
      </c>
    </row>
    <row r="5368" spans="1:5">
      <c r="A5368" s="61" t="s">
        <v>239</v>
      </c>
      <c r="B5368" s="61" t="s">
        <v>382</v>
      </c>
      <c r="C5368" s="62">
        <v>44800</v>
      </c>
      <c r="D5368" s="62">
        <v>44800</v>
      </c>
      <c r="E5368" s="63">
        <v>0</v>
      </c>
    </row>
    <row r="5369" spans="1:5">
      <c r="A5369" s="61" t="s">
        <v>239</v>
      </c>
      <c r="B5369" s="61" t="s">
        <v>382</v>
      </c>
      <c r="C5369" s="62">
        <v>44801</v>
      </c>
      <c r="D5369" s="62">
        <v>44801</v>
      </c>
      <c r="E5369" s="63">
        <v>0</v>
      </c>
    </row>
    <row r="5370" spans="1:5">
      <c r="A5370" s="61" t="s">
        <v>239</v>
      </c>
      <c r="B5370" s="61" t="s">
        <v>382</v>
      </c>
      <c r="C5370" s="62">
        <v>44802</v>
      </c>
      <c r="D5370" s="62">
        <v>44802</v>
      </c>
      <c r="E5370" s="63">
        <v>0</v>
      </c>
    </row>
    <row r="5371" spans="1:5">
      <c r="A5371" s="61" t="s">
        <v>239</v>
      </c>
      <c r="B5371" s="61" t="s">
        <v>382</v>
      </c>
      <c r="C5371" s="62">
        <v>44803</v>
      </c>
      <c r="D5371" s="62">
        <v>44803</v>
      </c>
      <c r="E5371" s="63">
        <v>0</v>
      </c>
    </row>
    <row r="5372" spans="1:5">
      <c r="A5372" s="61" t="s">
        <v>240</v>
      </c>
      <c r="B5372" s="61" t="s">
        <v>383</v>
      </c>
      <c r="C5372" s="62">
        <v>44774</v>
      </c>
      <c r="D5372" s="62">
        <v>44774</v>
      </c>
      <c r="E5372" s="63">
        <v>0</v>
      </c>
    </row>
    <row r="5373" spans="1:5">
      <c r="A5373" s="61" t="s">
        <v>240</v>
      </c>
      <c r="B5373" s="61" t="s">
        <v>383</v>
      </c>
      <c r="C5373" s="62">
        <v>44775</v>
      </c>
      <c r="D5373" s="62">
        <v>44775</v>
      </c>
      <c r="E5373" s="63">
        <v>0</v>
      </c>
    </row>
    <row r="5374" spans="1:5">
      <c r="A5374" s="61" t="s">
        <v>240</v>
      </c>
      <c r="B5374" s="61" t="s">
        <v>383</v>
      </c>
      <c r="C5374" s="62">
        <v>44776</v>
      </c>
      <c r="D5374" s="62">
        <v>44776</v>
      </c>
      <c r="E5374" s="63">
        <v>0</v>
      </c>
    </row>
    <row r="5375" spans="1:5">
      <c r="A5375" s="61" t="s">
        <v>240</v>
      </c>
      <c r="B5375" s="61" t="s">
        <v>383</v>
      </c>
      <c r="C5375" s="62">
        <v>44777</v>
      </c>
      <c r="D5375" s="62">
        <v>44777</v>
      </c>
      <c r="E5375" s="63">
        <v>0</v>
      </c>
    </row>
    <row r="5376" spans="1:5">
      <c r="A5376" s="61" t="s">
        <v>240</v>
      </c>
      <c r="B5376" s="61" t="s">
        <v>383</v>
      </c>
      <c r="C5376" s="62">
        <v>44778</v>
      </c>
      <c r="D5376" s="62">
        <v>44778</v>
      </c>
      <c r="E5376" s="63">
        <v>0</v>
      </c>
    </row>
    <row r="5377" spans="1:5">
      <c r="A5377" s="61" t="s">
        <v>240</v>
      </c>
      <c r="B5377" s="61" t="s">
        <v>383</v>
      </c>
      <c r="C5377" s="62">
        <v>44779</v>
      </c>
      <c r="D5377" s="62">
        <v>44779</v>
      </c>
      <c r="E5377" s="63">
        <v>0</v>
      </c>
    </row>
    <row r="5378" spans="1:5">
      <c r="A5378" s="61" t="s">
        <v>240</v>
      </c>
      <c r="B5378" s="61" t="s">
        <v>383</v>
      </c>
      <c r="C5378" s="62">
        <v>44780</v>
      </c>
      <c r="D5378" s="62">
        <v>44780</v>
      </c>
      <c r="E5378" s="63">
        <v>0</v>
      </c>
    </row>
    <row r="5379" spans="1:5">
      <c r="A5379" s="61" t="s">
        <v>240</v>
      </c>
      <c r="B5379" s="61" t="s">
        <v>383</v>
      </c>
      <c r="C5379" s="62">
        <v>44781</v>
      </c>
      <c r="D5379" s="62">
        <v>44781</v>
      </c>
      <c r="E5379" s="63">
        <v>0</v>
      </c>
    </row>
    <row r="5380" spans="1:5">
      <c r="A5380" s="61" t="s">
        <v>240</v>
      </c>
      <c r="B5380" s="61" t="s">
        <v>383</v>
      </c>
      <c r="C5380" s="62">
        <v>44782</v>
      </c>
      <c r="D5380" s="62">
        <v>44782</v>
      </c>
      <c r="E5380" s="63">
        <v>0</v>
      </c>
    </row>
    <row r="5381" spans="1:5">
      <c r="A5381" s="61" t="s">
        <v>240</v>
      </c>
      <c r="B5381" s="61" t="s">
        <v>383</v>
      </c>
      <c r="C5381" s="62">
        <v>44783</v>
      </c>
      <c r="D5381" s="62">
        <v>44783</v>
      </c>
      <c r="E5381" s="63">
        <v>0</v>
      </c>
    </row>
    <row r="5382" spans="1:5">
      <c r="A5382" s="61" t="s">
        <v>240</v>
      </c>
      <c r="B5382" s="61" t="s">
        <v>383</v>
      </c>
      <c r="C5382" s="62">
        <v>44784</v>
      </c>
      <c r="D5382" s="62">
        <v>44784</v>
      </c>
      <c r="E5382" s="63">
        <v>0</v>
      </c>
    </row>
    <row r="5383" spans="1:5">
      <c r="A5383" s="61" t="s">
        <v>240</v>
      </c>
      <c r="B5383" s="61" t="s">
        <v>383</v>
      </c>
      <c r="C5383" s="62">
        <v>44785</v>
      </c>
      <c r="D5383" s="62">
        <v>44785</v>
      </c>
      <c r="E5383" s="63">
        <v>0</v>
      </c>
    </row>
    <row r="5384" spans="1:5">
      <c r="A5384" s="61" t="s">
        <v>240</v>
      </c>
      <c r="B5384" s="61" t="s">
        <v>383</v>
      </c>
      <c r="C5384" s="62">
        <v>44786</v>
      </c>
      <c r="D5384" s="62">
        <v>44786</v>
      </c>
      <c r="E5384" s="63">
        <v>0</v>
      </c>
    </row>
    <row r="5385" spans="1:5">
      <c r="A5385" s="61" t="s">
        <v>240</v>
      </c>
      <c r="B5385" s="61" t="s">
        <v>383</v>
      </c>
      <c r="C5385" s="62">
        <v>44787</v>
      </c>
      <c r="D5385" s="62">
        <v>44787</v>
      </c>
      <c r="E5385" s="63">
        <v>0</v>
      </c>
    </row>
    <row r="5386" spans="1:5">
      <c r="A5386" s="61" t="s">
        <v>240</v>
      </c>
      <c r="B5386" s="61" t="s">
        <v>383</v>
      </c>
      <c r="C5386" s="62">
        <v>44788</v>
      </c>
      <c r="D5386" s="62">
        <v>44788</v>
      </c>
      <c r="E5386" s="63">
        <v>0</v>
      </c>
    </row>
    <row r="5387" spans="1:5">
      <c r="A5387" s="61" t="s">
        <v>240</v>
      </c>
      <c r="B5387" s="61" t="s">
        <v>383</v>
      </c>
      <c r="C5387" s="62">
        <v>44789</v>
      </c>
      <c r="D5387" s="62">
        <v>44789</v>
      </c>
      <c r="E5387" s="63">
        <v>0</v>
      </c>
    </row>
    <row r="5388" spans="1:5">
      <c r="A5388" s="61" t="s">
        <v>240</v>
      </c>
      <c r="B5388" s="61" t="s">
        <v>383</v>
      </c>
      <c r="C5388" s="62">
        <v>44790</v>
      </c>
      <c r="D5388" s="62">
        <v>44790</v>
      </c>
      <c r="E5388" s="63">
        <v>0</v>
      </c>
    </row>
    <row r="5389" spans="1:5">
      <c r="A5389" s="61" t="s">
        <v>240</v>
      </c>
      <c r="B5389" s="61" t="s">
        <v>383</v>
      </c>
      <c r="C5389" s="62">
        <v>44791</v>
      </c>
      <c r="D5389" s="62">
        <v>44791</v>
      </c>
      <c r="E5389" s="63">
        <v>0</v>
      </c>
    </row>
    <row r="5390" spans="1:5">
      <c r="A5390" s="61" t="s">
        <v>240</v>
      </c>
      <c r="B5390" s="61" t="s">
        <v>383</v>
      </c>
      <c r="C5390" s="62">
        <v>44792</v>
      </c>
      <c r="D5390" s="62">
        <v>44792</v>
      </c>
      <c r="E5390" s="63">
        <v>0</v>
      </c>
    </row>
    <row r="5391" spans="1:5">
      <c r="A5391" s="61" t="s">
        <v>240</v>
      </c>
      <c r="B5391" s="61" t="s">
        <v>383</v>
      </c>
      <c r="C5391" s="62">
        <v>44793</v>
      </c>
      <c r="D5391" s="62">
        <v>44793</v>
      </c>
      <c r="E5391" s="63">
        <v>0</v>
      </c>
    </row>
    <row r="5392" spans="1:5">
      <c r="A5392" s="61" t="s">
        <v>240</v>
      </c>
      <c r="B5392" s="61" t="s">
        <v>383</v>
      </c>
      <c r="C5392" s="62">
        <v>44794</v>
      </c>
      <c r="D5392" s="62">
        <v>44794</v>
      </c>
      <c r="E5392" s="63">
        <v>0</v>
      </c>
    </row>
    <row r="5393" spans="1:5">
      <c r="A5393" s="61" t="s">
        <v>240</v>
      </c>
      <c r="B5393" s="61" t="s">
        <v>383</v>
      </c>
      <c r="C5393" s="62">
        <v>44795</v>
      </c>
      <c r="D5393" s="62">
        <v>44795</v>
      </c>
      <c r="E5393" s="63">
        <v>0</v>
      </c>
    </row>
    <row r="5394" spans="1:5">
      <c r="A5394" s="61" t="s">
        <v>240</v>
      </c>
      <c r="B5394" s="61" t="s">
        <v>383</v>
      </c>
      <c r="C5394" s="62">
        <v>44796</v>
      </c>
      <c r="D5394" s="62">
        <v>44796</v>
      </c>
      <c r="E5394" s="63">
        <v>0</v>
      </c>
    </row>
    <row r="5395" spans="1:5">
      <c r="A5395" s="61" t="s">
        <v>240</v>
      </c>
      <c r="B5395" s="61" t="s">
        <v>383</v>
      </c>
      <c r="C5395" s="62">
        <v>44797</v>
      </c>
      <c r="D5395" s="62">
        <v>44797</v>
      </c>
      <c r="E5395" s="63">
        <v>0</v>
      </c>
    </row>
    <row r="5396" spans="1:5">
      <c r="A5396" s="61" t="s">
        <v>240</v>
      </c>
      <c r="B5396" s="61" t="s">
        <v>383</v>
      </c>
      <c r="C5396" s="62">
        <v>44798</v>
      </c>
      <c r="D5396" s="62">
        <v>44798</v>
      </c>
      <c r="E5396" s="63">
        <v>0</v>
      </c>
    </row>
    <row r="5397" spans="1:5">
      <c r="A5397" s="61" t="s">
        <v>240</v>
      </c>
      <c r="B5397" s="61" t="s">
        <v>383</v>
      </c>
      <c r="C5397" s="62">
        <v>44799</v>
      </c>
      <c r="D5397" s="62">
        <v>44799</v>
      </c>
      <c r="E5397" s="63">
        <v>0</v>
      </c>
    </row>
    <row r="5398" spans="1:5">
      <c r="A5398" s="61" t="s">
        <v>240</v>
      </c>
      <c r="B5398" s="61" t="s">
        <v>383</v>
      </c>
      <c r="C5398" s="62">
        <v>44800</v>
      </c>
      <c r="D5398" s="62">
        <v>44800</v>
      </c>
      <c r="E5398" s="63">
        <v>0</v>
      </c>
    </row>
    <row r="5399" spans="1:5">
      <c r="A5399" s="61" t="s">
        <v>240</v>
      </c>
      <c r="B5399" s="61" t="s">
        <v>383</v>
      </c>
      <c r="C5399" s="62">
        <v>44801</v>
      </c>
      <c r="D5399" s="62">
        <v>44801</v>
      </c>
      <c r="E5399" s="63">
        <v>0</v>
      </c>
    </row>
    <row r="5400" spans="1:5">
      <c r="A5400" s="61" t="s">
        <v>240</v>
      </c>
      <c r="B5400" s="61" t="s">
        <v>383</v>
      </c>
      <c r="C5400" s="62">
        <v>44802</v>
      </c>
      <c r="D5400" s="62">
        <v>44802</v>
      </c>
      <c r="E5400" s="63">
        <v>0</v>
      </c>
    </row>
    <row r="5401" spans="1:5">
      <c r="A5401" s="61" t="s">
        <v>240</v>
      </c>
      <c r="B5401" s="61" t="s">
        <v>383</v>
      </c>
      <c r="C5401" s="62">
        <v>44803</v>
      </c>
      <c r="D5401" s="62">
        <v>44803</v>
      </c>
      <c r="E5401" s="63">
        <v>0</v>
      </c>
    </row>
    <row r="5402" spans="1:5">
      <c r="A5402" s="61" t="s">
        <v>95</v>
      </c>
      <c r="B5402" s="61" t="s">
        <v>380</v>
      </c>
      <c r="C5402" s="62">
        <v>44774</v>
      </c>
      <c r="D5402" s="62">
        <v>44774</v>
      </c>
      <c r="E5402" s="63">
        <v>0</v>
      </c>
    </row>
    <row r="5403" spans="1:5">
      <c r="A5403" s="61" t="s">
        <v>95</v>
      </c>
      <c r="B5403" s="61" t="s">
        <v>380</v>
      </c>
      <c r="C5403" s="62">
        <v>44775</v>
      </c>
      <c r="D5403" s="62">
        <v>44775</v>
      </c>
      <c r="E5403" s="63">
        <v>0</v>
      </c>
    </row>
    <row r="5404" spans="1:5">
      <c r="A5404" s="61" t="s">
        <v>95</v>
      </c>
      <c r="B5404" s="61" t="s">
        <v>380</v>
      </c>
      <c r="C5404" s="62">
        <v>44776</v>
      </c>
      <c r="D5404" s="62">
        <v>44776</v>
      </c>
      <c r="E5404" s="63">
        <v>0</v>
      </c>
    </row>
    <row r="5405" spans="1:5">
      <c r="A5405" s="61" t="s">
        <v>95</v>
      </c>
      <c r="B5405" s="61" t="s">
        <v>380</v>
      </c>
      <c r="C5405" s="62">
        <v>44777</v>
      </c>
      <c r="D5405" s="62">
        <v>44777</v>
      </c>
      <c r="E5405" s="63">
        <v>0</v>
      </c>
    </row>
    <row r="5406" spans="1:5">
      <c r="A5406" s="61" t="s">
        <v>95</v>
      </c>
      <c r="B5406" s="61" t="s">
        <v>380</v>
      </c>
      <c r="C5406" s="62">
        <v>44778</v>
      </c>
      <c r="D5406" s="62">
        <v>44778</v>
      </c>
      <c r="E5406" s="63">
        <v>0</v>
      </c>
    </row>
    <row r="5407" spans="1:5">
      <c r="A5407" s="61" t="s">
        <v>95</v>
      </c>
      <c r="B5407" s="61" t="s">
        <v>380</v>
      </c>
      <c r="C5407" s="62">
        <v>44779</v>
      </c>
      <c r="D5407" s="62">
        <v>44779</v>
      </c>
      <c r="E5407" s="63">
        <v>0</v>
      </c>
    </row>
    <row r="5408" spans="1:5">
      <c r="A5408" s="61" t="s">
        <v>95</v>
      </c>
      <c r="B5408" s="61" t="s">
        <v>380</v>
      </c>
      <c r="C5408" s="62">
        <v>44780</v>
      </c>
      <c r="D5408" s="62">
        <v>44780</v>
      </c>
      <c r="E5408" s="63">
        <v>0</v>
      </c>
    </row>
    <row r="5409" spans="1:5">
      <c r="A5409" s="61" t="s">
        <v>95</v>
      </c>
      <c r="B5409" s="61" t="s">
        <v>380</v>
      </c>
      <c r="C5409" s="62">
        <v>44781</v>
      </c>
      <c r="D5409" s="62">
        <v>44781</v>
      </c>
      <c r="E5409" s="63">
        <v>0</v>
      </c>
    </row>
    <row r="5410" spans="1:5">
      <c r="A5410" s="61" t="s">
        <v>95</v>
      </c>
      <c r="B5410" s="61" t="s">
        <v>380</v>
      </c>
      <c r="C5410" s="62">
        <v>44782</v>
      </c>
      <c r="D5410" s="62">
        <v>44782</v>
      </c>
      <c r="E5410" s="63">
        <v>0</v>
      </c>
    </row>
    <row r="5411" spans="1:5">
      <c r="A5411" s="61" t="s">
        <v>95</v>
      </c>
      <c r="B5411" s="61" t="s">
        <v>380</v>
      </c>
      <c r="C5411" s="62">
        <v>44783</v>
      </c>
      <c r="D5411" s="62">
        <v>44783</v>
      </c>
      <c r="E5411" s="63">
        <v>0</v>
      </c>
    </row>
    <row r="5412" spans="1:5">
      <c r="A5412" s="61" t="s">
        <v>95</v>
      </c>
      <c r="B5412" s="61" t="s">
        <v>380</v>
      </c>
      <c r="C5412" s="62">
        <v>44784</v>
      </c>
      <c r="D5412" s="62">
        <v>44784</v>
      </c>
      <c r="E5412" s="63">
        <v>0</v>
      </c>
    </row>
    <row r="5413" spans="1:5">
      <c r="A5413" s="61" t="s">
        <v>95</v>
      </c>
      <c r="B5413" s="61" t="s">
        <v>380</v>
      </c>
      <c r="C5413" s="62">
        <v>44785</v>
      </c>
      <c r="D5413" s="62">
        <v>44785</v>
      </c>
      <c r="E5413" s="63">
        <v>0</v>
      </c>
    </row>
    <row r="5414" spans="1:5">
      <c r="A5414" s="61" t="s">
        <v>95</v>
      </c>
      <c r="B5414" s="61" t="s">
        <v>380</v>
      </c>
      <c r="C5414" s="62">
        <v>44786</v>
      </c>
      <c r="D5414" s="62">
        <v>44786</v>
      </c>
      <c r="E5414" s="63">
        <v>0</v>
      </c>
    </row>
    <row r="5415" spans="1:5">
      <c r="A5415" s="61" t="s">
        <v>95</v>
      </c>
      <c r="B5415" s="61" t="s">
        <v>380</v>
      </c>
      <c r="C5415" s="62">
        <v>44787</v>
      </c>
      <c r="D5415" s="62">
        <v>44787</v>
      </c>
      <c r="E5415" s="63">
        <v>0</v>
      </c>
    </row>
    <row r="5416" spans="1:5">
      <c r="A5416" s="61" t="s">
        <v>95</v>
      </c>
      <c r="B5416" s="61" t="s">
        <v>380</v>
      </c>
      <c r="C5416" s="62">
        <v>44788</v>
      </c>
      <c r="D5416" s="62">
        <v>44788</v>
      </c>
      <c r="E5416" s="63">
        <v>0</v>
      </c>
    </row>
    <row r="5417" spans="1:5">
      <c r="A5417" s="61" t="s">
        <v>95</v>
      </c>
      <c r="B5417" s="61" t="s">
        <v>380</v>
      </c>
      <c r="C5417" s="62">
        <v>44789</v>
      </c>
      <c r="D5417" s="62">
        <v>44789</v>
      </c>
      <c r="E5417" s="63">
        <v>0</v>
      </c>
    </row>
    <row r="5418" spans="1:5">
      <c r="A5418" s="61" t="s">
        <v>95</v>
      </c>
      <c r="B5418" s="61" t="s">
        <v>380</v>
      </c>
      <c r="C5418" s="62">
        <v>44790</v>
      </c>
      <c r="D5418" s="62">
        <v>44790</v>
      </c>
      <c r="E5418" s="63">
        <v>0</v>
      </c>
    </row>
    <row r="5419" spans="1:5">
      <c r="A5419" s="61" t="s">
        <v>95</v>
      </c>
      <c r="B5419" s="61" t="s">
        <v>380</v>
      </c>
      <c r="C5419" s="62">
        <v>44791</v>
      </c>
      <c r="D5419" s="62">
        <v>44791</v>
      </c>
      <c r="E5419" s="63">
        <v>0</v>
      </c>
    </row>
    <row r="5420" spans="1:5">
      <c r="A5420" s="61" t="s">
        <v>95</v>
      </c>
      <c r="B5420" s="61" t="s">
        <v>380</v>
      </c>
      <c r="C5420" s="62">
        <v>44792</v>
      </c>
      <c r="D5420" s="62">
        <v>44792</v>
      </c>
      <c r="E5420" s="63">
        <v>0</v>
      </c>
    </row>
    <row r="5421" spans="1:5">
      <c r="A5421" s="61" t="s">
        <v>95</v>
      </c>
      <c r="B5421" s="61" t="s">
        <v>380</v>
      </c>
      <c r="C5421" s="62">
        <v>44793</v>
      </c>
      <c r="D5421" s="62">
        <v>44793</v>
      </c>
      <c r="E5421" s="63">
        <v>0</v>
      </c>
    </row>
    <row r="5422" spans="1:5">
      <c r="A5422" s="61" t="s">
        <v>95</v>
      </c>
      <c r="B5422" s="61" t="s">
        <v>380</v>
      </c>
      <c r="C5422" s="62">
        <v>44794</v>
      </c>
      <c r="D5422" s="62">
        <v>44794</v>
      </c>
      <c r="E5422" s="63">
        <v>0</v>
      </c>
    </row>
    <row r="5423" spans="1:5">
      <c r="A5423" s="61" t="s">
        <v>95</v>
      </c>
      <c r="B5423" s="61" t="s">
        <v>380</v>
      </c>
      <c r="C5423" s="62">
        <v>44795</v>
      </c>
      <c r="D5423" s="62">
        <v>44795</v>
      </c>
      <c r="E5423" s="63">
        <v>0</v>
      </c>
    </row>
    <row r="5424" spans="1:5">
      <c r="A5424" s="61" t="s">
        <v>95</v>
      </c>
      <c r="B5424" s="61" t="s">
        <v>380</v>
      </c>
      <c r="C5424" s="62">
        <v>44796</v>
      </c>
      <c r="D5424" s="62">
        <v>44796</v>
      </c>
      <c r="E5424" s="63">
        <v>0</v>
      </c>
    </row>
    <row r="5425" spans="1:5">
      <c r="A5425" s="61" t="s">
        <v>95</v>
      </c>
      <c r="B5425" s="61" t="s">
        <v>380</v>
      </c>
      <c r="C5425" s="62">
        <v>44797</v>
      </c>
      <c r="D5425" s="62">
        <v>44797</v>
      </c>
      <c r="E5425" s="63">
        <v>0</v>
      </c>
    </row>
    <row r="5426" spans="1:5">
      <c r="A5426" s="61" t="s">
        <v>95</v>
      </c>
      <c r="B5426" s="61" t="s">
        <v>380</v>
      </c>
      <c r="C5426" s="62">
        <v>44798</v>
      </c>
      <c r="D5426" s="62">
        <v>44798</v>
      </c>
      <c r="E5426" s="63">
        <v>0</v>
      </c>
    </row>
    <row r="5427" spans="1:5">
      <c r="A5427" s="61" t="s">
        <v>95</v>
      </c>
      <c r="B5427" s="61" t="s">
        <v>380</v>
      </c>
      <c r="C5427" s="62">
        <v>44799</v>
      </c>
      <c r="D5427" s="62">
        <v>44799</v>
      </c>
      <c r="E5427" s="63">
        <v>0</v>
      </c>
    </row>
    <row r="5428" spans="1:5">
      <c r="A5428" s="61" t="s">
        <v>95</v>
      </c>
      <c r="B5428" s="61" t="s">
        <v>380</v>
      </c>
      <c r="C5428" s="62">
        <v>44800</v>
      </c>
      <c r="D5428" s="62">
        <v>44800</v>
      </c>
      <c r="E5428" s="63">
        <v>0</v>
      </c>
    </row>
    <row r="5429" spans="1:5">
      <c r="A5429" s="61" t="s">
        <v>95</v>
      </c>
      <c r="B5429" s="61" t="s">
        <v>380</v>
      </c>
      <c r="C5429" s="62">
        <v>44801</v>
      </c>
      <c r="D5429" s="62">
        <v>44801</v>
      </c>
      <c r="E5429" s="63">
        <v>0</v>
      </c>
    </row>
    <row r="5430" spans="1:5">
      <c r="A5430" s="61" t="s">
        <v>95</v>
      </c>
      <c r="B5430" s="61" t="s">
        <v>380</v>
      </c>
      <c r="C5430" s="62">
        <v>44802</v>
      </c>
      <c r="D5430" s="62">
        <v>44802</v>
      </c>
      <c r="E5430" s="63">
        <v>0</v>
      </c>
    </row>
    <row r="5431" spans="1:5">
      <c r="A5431" s="61" t="s">
        <v>95</v>
      </c>
      <c r="B5431" s="61" t="s">
        <v>380</v>
      </c>
      <c r="C5431" s="62">
        <v>44803</v>
      </c>
      <c r="D5431" s="62">
        <v>44803</v>
      </c>
      <c r="E5431" s="63">
        <v>0</v>
      </c>
    </row>
    <row r="5432" spans="1:5">
      <c r="A5432" s="61" t="s">
        <v>241</v>
      </c>
      <c r="B5432" s="61" t="s">
        <v>381</v>
      </c>
      <c r="C5432" s="62">
        <v>44774</v>
      </c>
      <c r="D5432" s="62">
        <v>44774</v>
      </c>
      <c r="E5432" s="63">
        <v>0</v>
      </c>
    </row>
    <row r="5433" spans="1:5">
      <c r="A5433" s="61" t="s">
        <v>241</v>
      </c>
      <c r="B5433" s="61" t="s">
        <v>381</v>
      </c>
      <c r="C5433" s="62">
        <v>44775</v>
      </c>
      <c r="D5433" s="62">
        <v>44775</v>
      </c>
      <c r="E5433" s="63">
        <v>0</v>
      </c>
    </row>
    <row r="5434" spans="1:5">
      <c r="A5434" s="61" t="s">
        <v>241</v>
      </c>
      <c r="B5434" s="61" t="s">
        <v>381</v>
      </c>
      <c r="C5434" s="62">
        <v>44776</v>
      </c>
      <c r="D5434" s="62">
        <v>44776</v>
      </c>
      <c r="E5434" s="63">
        <v>0</v>
      </c>
    </row>
    <row r="5435" spans="1:5">
      <c r="A5435" s="61" t="s">
        <v>241</v>
      </c>
      <c r="B5435" s="61" t="s">
        <v>381</v>
      </c>
      <c r="C5435" s="62">
        <v>44777</v>
      </c>
      <c r="D5435" s="62">
        <v>44777</v>
      </c>
      <c r="E5435" s="63">
        <v>0</v>
      </c>
    </row>
    <row r="5436" spans="1:5">
      <c r="A5436" s="61" t="s">
        <v>241</v>
      </c>
      <c r="B5436" s="61" t="s">
        <v>381</v>
      </c>
      <c r="C5436" s="62">
        <v>44778</v>
      </c>
      <c r="D5436" s="62">
        <v>44778</v>
      </c>
      <c r="E5436" s="63">
        <v>0</v>
      </c>
    </row>
    <row r="5437" spans="1:5">
      <c r="A5437" s="61" t="s">
        <v>241</v>
      </c>
      <c r="B5437" s="61" t="s">
        <v>381</v>
      </c>
      <c r="C5437" s="62">
        <v>44779</v>
      </c>
      <c r="D5437" s="62">
        <v>44779</v>
      </c>
      <c r="E5437" s="63">
        <v>0</v>
      </c>
    </row>
    <row r="5438" spans="1:5">
      <c r="A5438" s="61" t="s">
        <v>241</v>
      </c>
      <c r="B5438" s="61" t="s">
        <v>381</v>
      </c>
      <c r="C5438" s="62">
        <v>44780</v>
      </c>
      <c r="D5438" s="62">
        <v>44780</v>
      </c>
      <c r="E5438" s="63">
        <v>0</v>
      </c>
    </row>
    <row r="5439" spans="1:5">
      <c r="A5439" s="61" t="s">
        <v>241</v>
      </c>
      <c r="B5439" s="61" t="s">
        <v>381</v>
      </c>
      <c r="C5439" s="62">
        <v>44781</v>
      </c>
      <c r="D5439" s="62">
        <v>44781</v>
      </c>
      <c r="E5439" s="63">
        <v>0</v>
      </c>
    </row>
    <row r="5440" spans="1:5">
      <c r="A5440" s="61" t="s">
        <v>241</v>
      </c>
      <c r="B5440" s="61" t="s">
        <v>381</v>
      </c>
      <c r="C5440" s="62">
        <v>44782</v>
      </c>
      <c r="D5440" s="62">
        <v>44782</v>
      </c>
      <c r="E5440" s="63">
        <v>0</v>
      </c>
    </row>
    <row r="5441" spans="1:5">
      <c r="A5441" s="61" t="s">
        <v>241</v>
      </c>
      <c r="B5441" s="61" t="s">
        <v>381</v>
      </c>
      <c r="C5441" s="62">
        <v>44783</v>
      </c>
      <c r="D5441" s="62">
        <v>44783</v>
      </c>
      <c r="E5441" s="63">
        <v>0</v>
      </c>
    </row>
    <row r="5442" spans="1:5">
      <c r="A5442" s="61" t="s">
        <v>241</v>
      </c>
      <c r="B5442" s="61" t="s">
        <v>381</v>
      </c>
      <c r="C5442" s="62">
        <v>44784</v>
      </c>
      <c r="D5442" s="62">
        <v>44784</v>
      </c>
      <c r="E5442" s="63">
        <v>0</v>
      </c>
    </row>
    <row r="5443" spans="1:5">
      <c r="A5443" s="61" t="s">
        <v>241</v>
      </c>
      <c r="B5443" s="61" t="s">
        <v>381</v>
      </c>
      <c r="C5443" s="62">
        <v>44785</v>
      </c>
      <c r="D5443" s="62">
        <v>44785</v>
      </c>
      <c r="E5443" s="63">
        <v>0</v>
      </c>
    </row>
    <row r="5444" spans="1:5">
      <c r="A5444" s="61" t="s">
        <v>241</v>
      </c>
      <c r="B5444" s="61" t="s">
        <v>381</v>
      </c>
      <c r="C5444" s="62">
        <v>44786</v>
      </c>
      <c r="D5444" s="62">
        <v>44786</v>
      </c>
      <c r="E5444" s="63">
        <v>0</v>
      </c>
    </row>
    <row r="5445" spans="1:5">
      <c r="A5445" s="61" t="s">
        <v>241</v>
      </c>
      <c r="B5445" s="61" t="s">
        <v>381</v>
      </c>
      <c r="C5445" s="62">
        <v>44787</v>
      </c>
      <c r="D5445" s="62">
        <v>44787</v>
      </c>
      <c r="E5445" s="63">
        <v>0</v>
      </c>
    </row>
    <row r="5446" spans="1:5">
      <c r="A5446" s="61" t="s">
        <v>241</v>
      </c>
      <c r="B5446" s="61" t="s">
        <v>381</v>
      </c>
      <c r="C5446" s="62">
        <v>44788</v>
      </c>
      <c r="D5446" s="62">
        <v>44788</v>
      </c>
      <c r="E5446" s="63">
        <v>0</v>
      </c>
    </row>
    <row r="5447" spans="1:5">
      <c r="A5447" s="61" t="s">
        <v>241</v>
      </c>
      <c r="B5447" s="61" t="s">
        <v>381</v>
      </c>
      <c r="C5447" s="62">
        <v>44789</v>
      </c>
      <c r="D5447" s="62">
        <v>44789</v>
      </c>
      <c r="E5447" s="63">
        <v>0</v>
      </c>
    </row>
    <row r="5448" spans="1:5">
      <c r="A5448" s="61" t="s">
        <v>241</v>
      </c>
      <c r="B5448" s="61" t="s">
        <v>381</v>
      </c>
      <c r="C5448" s="62">
        <v>44790</v>
      </c>
      <c r="D5448" s="62">
        <v>44790</v>
      </c>
      <c r="E5448" s="63">
        <v>0</v>
      </c>
    </row>
    <row r="5449" spans="1:5">
      <c r="A5449" s="61" t="s">
        <v>241</v>
      </c>
      <c r="B5449" s="61" t="s">
        <v>381</v>
      </c>
      <c r="C5449" s="62">
        <v>44791</v>
      </c>
      <c r="D5449" s="62">
        <v>44791</v>
      </c>
      <c r="E5449" s="63">
        <v>0</v>
      </c>
    </row>
    <row r="5450" spans="1:5">
      <c r="A5450" s="61" t="s">
        <v>241</v>
      </c>
      <c r="B5450" s="61" t="s">
        <v>381</v>
      </c>
      <c r="C5450" s="62">
        <v>44792</v>
      </c>
      <c r="D5450" s="62">
        <v>44792</v>
      </c>
      <c r="E5450" s="63">
        <v>0</v>
      </c>
    </row>
    <row r="5451" spans="1:5">
      <c r="A5451" s="61" t="s">
        <v>241</v>
      </c>
      <c r="B5451" s="61" t="s">
        <v>381</v>
      </c>
      <c r="C5451" s="62">
        <v>44793</v>
      </c>
      <c r="D5451" s="62">
        <v>44793</v>
      </c>
      <c r="E5451" s="63">
        <v>0</v>
      </c>
    </row>
    <row r="5452" spans="1:5">
      <c r="A5452" s="61" t="s">
        <v>241</v>
      </c>
      <c r="B5452" s="61" t="s">
        <v>381</v>
      </c>
      <c r="C5452" s="62">
        <v>44794</v>
      </c>
      <c r="D5452" s="62">
        <v>44794</v>
      </c>
      <c r="E5452" s="63">
        <v>0</v>
      </c>
    </row>
    <row r="5453" spans="1:5">
      <c r="A5453" s="61" t="s">
        <v>241</v>
      </c>
      <c r="B5453" s="61" t="s">
        <v>381</v>
      </c>
      <c r="C5453" s="62">
        <v>44795</v>
      </c>
      <c r="D5453" s="62">
        <v>44795</v>
      </c>
      <c r="E5453" s="63">
        <v>0</v>
      </c>
    </row>
    <row r="5454" spans="1:5">
      <c r="A5454" s="61" t="s">
        <v>241</v>
      </c>
      <c r="B5454" s="61" t="s">
        <v>381</v>
      </c>
      <c r="C5454" s="62">
        <v>44796</v>
      </c>
      <c r="D5454" s="62">
        <v>44796</v>
      </c>
      <c r="E5454" s="63">
        <v>0</v>
      </c>
    </row>
    <row r="5455" spans="1:5">
      <c r="A5455" s="61" t="s">
        <v>241</v>
      </c>
      <c r="B5455" s="61" t="s">
        <v>381</v>
      </c>
      <c r="C5455" s="62">
        <v>44797</v>
      </c>
      <c r="D5455" s="62">
        <v>44797</v>
      </c>
      <c r="E5455" s="63">
        <v>0</v>
      </c>
    </row>
    <row r="5456" spans="1:5">
      <c r="A5456" s="61" t="s">
        <v>241</v>
      </c>
      <c r="B5456" s="61" t="s">
        <v>381</v>
      </c>
      <c r="C5456" s="62">
        <v>44798</v>
      </c>
      <c r="D5456" s="62">
        <v>44798</v>
      </c>
      <c r="E5456" s="63">
        <v>0</v>
      </c>
    </row>
    <row r="5457" spans="1:5">
      <c r="A5457" s="61" t="s">
        <v>241</v>
      </c>
      <c r="B5457" s="61" t="s">
        <v>381</v>
      </c>
      <c r="C5457" s="62">
        <v>44799</v>
      </c>
      <c r="D5457" s="62">
        <v>44799</v>
      </c>
      <c r="E5457" s="63">
        <v>0</v>
      </c>
    </row>
    <row r="5458" spans="1:5">
      <c r="A5458" s="61" t="s">
        <v>241</v>
      </c>
      <c r="B5458" s="61" t="s">
        <v>381</v>
      </c>
      <c r="C5458" s="62">
        <v>44800</v>
      </c>
      <c r="D5458" s="62">
        <v>44800</v>
      </c>
      <c r="E5458" s="63">
        <v>0</v>
      </c>
    </row>
    <row r="5459" spans="1:5">
      <c r="A5459" s="61" t="s">
        <v>241</v>
      </c>
      <c r="B5459" s="61" t="s">
        <v>381</v>
      </c>
      <c r="C5459" s="62">
        <v>44801</v>
      </c>
      <c r="D5459" s="62">
        <v>44801</v>
      </c>
      <c r="E5459" s="63">
        <v>0</v>
      </c>
    </row>
    <row r="5460" spans="1:5">
      <c r="A5460" s="61" t="s">
        <v>241</v>
      </c>
      <c r="B5460" s="61" t="s">
        <v>381</v>
      </c>
      <c r="C5460" s="62">
        <v>44802</v>
      </c>
      <c r="D5460" s="62">
        <v>44802</v>
      </c>
      <c r="E5460" s="63">
        <v>0</v>
      </c>
    </row>
    <row r="5461" spans="1:5">
      <c r="A5461" s="61" t="s">
        <v>241</v>
      </c>
      <c r="B5461" s="61" t="s">
        <v>381</v>
      </c>
      <c r="C5461" s="62">
        <v>44803</v>
      </c>
      <c r="D5461" s="62">
        <v>44803</v>
      </c>
      <c r="E5461" s="63">
        <v>0</v>
      </c>
    </row>
    <row r="5462" spans="1:5">
      <c r="A5462" s="61" t="s">
        <v>242</v>
      </c>
      <c r="B5462" s="61" t="s">
        <v>382</v>
      </c>
      <c r="C5462" s="62">
        <v>44774</v>
      </c>
      <c r="D5462" s="62">
        <v>44774</v>
      </c>
      <c r="E5462" s="63">
        <v>0</v>
      </c>
    </row>
    <row r="5463" spans="1:5">
      <c r="A5463" s="61" t="s">
        <v>242</v>
      </c>
      <c r="B5463" s="61" t="s">
        <v>382</v>
      </c>
      <c r="C5463" s="62">
        <v>44775</v>
      </c>
      <c r="D5463" s="62">
        <v>44775</v>
      </c>
      <c r="E5463" s="63">
        <v>0</v>
      </c>
    </row>
    <row r="5464" spans="1:5">
      <c r="A5464" s="61" t="s">
        <v>242</v>
      </c>
      <c r="B5464" s="61" t="s">
        <v>382</v>
      </c>
      <c r="C5464" s="62">
        <v>44776</v>
      </c>
      <c r="D5464" s="62">
        <v>44776</v>
      </c>
      <c r="E5464" s="63">
        <v>0</v>
      </c>
    </row>
    <row r="5465" spans="1:5">
      <c r="A5465" s="61" t="s">
        <v>242</v>
      </c>
      <c r="B5465" s="61" t="s">
        <v>382</v>
      </c>
      <c r="C5465" s="62">
        <v>44777</v>
      </c>
      <c r="D5465" s="62">
        <v>44777</v>
      </c>
      <c r="E5465" s="63">
        <v>0</v>
      </c>
    </row>
    <row r="5466" spans="1:5">
      <c r="A5466" s="61" t="s">
        <v>242</v>
      </c>
      <c r="B5466" s="61" t="s">
        <v>382</v>
      </c>
      <c r="C5466" s="62">
        <v>44778</v>
      </c>
      <c r="D5466" s="62">
        <v>44778</v>
      </c>
      <c r="E5466" s="63">
        <v>0</v>
      </c>
    </row>
    <row r="5467" spans="1:5">
      <c r="A5467" s="61" t="s">
        <v>242</v>
      </c>
      <c r="B5467" s="61" t="s">
        <v>382</v>
      </c>
      <c r="C5467" s="62">
        <v>44779</v>
      </c>
      <c r="D5467" s="62">
        <v>44779</v>
      </c>
      <c r="E5467" s="63">
        <v>0</v>
      </c>
    </row>
    <row r="5468" spans="1:5">
      <c r="A5468" s="61" t="s">
        <v>242</v>
      </c>
      <c r="B5468" s="61" t="s">
        <v>382</v>
      </c>
      <c r="C5468" s="62">
        <v>44780</v>
      </c>
      <c r="D5468" s="62">
        <v>44780</v>
      </c>
      <c r="E5468" s="63">
        <v>0</v>
      </c>
    </row>
    <row r="5469" spans="1:5">
      <c r="A5469" s="61" t="s">
        <v>242</v>
      </c>
      <c r="B5469" s="61" t="s">
        <v>382</v>
      </c>
      <c r="C5469" s="62">
        <v>44781</v>
      </c>
      <c r="D5469" s="62">
        <v>44781</v>
      </c>
      <c r="E5469" s="63">
        <v>0</v>
      </c>
    </row>
    <row r="5470" spans="1:5">
      <c r="A5470" s="61" t="s">
        <v>242</v>
      </c>
      <c r="B5470" s="61" t="s">
        <v>382</v>
      </c>
      <c r="C5470" s="62">
        <v>44782</v>
      </c>
      <c r="D5470" s="62">
        <v>44782</v>
      </c>
      <c r="E5470" s="63">
        <v>0</v>
      </c>
    </row>
    <row r="5471" spans="1:5">
      <c r="A5471" s="61" t="s">
        <v>242</v>
      </c>
      <c r="B5471" s="61" t="s">
        <v>382</v>
      </c>
      <c r="C5471" s="62">
        <v>44783</v>
      </c>
      <c r="D5471" s="62">
        <v>44783</v>
      </c>
      <c r="E5471" s="63">
        <v>0</v>
      </c>
    </row>
    <row r="5472" spans="1:5">
      <c r="A5472" s="61" t="s">
        <v>242</v>
      </c>
      <c r="B5472" s="61" t="s">
        <v>382</v>
      </c>
      <c r="C5472" s="62">
        <v>44784</v>
      </c>
      <c r="D5472" s="62">
        <v>44784</v>
      </c>
      <c r="E5472" s="63">
        <v>0</v>
      </c>
    </row>
    <row r="5473" spans="1:5">
      <c r="A5473" s="61" t="s">
        <v>242</v>
      </c>
      <c r="B5473" s="61" t="s">
        <v>382</v>
      </c>
      <c r="C5473" s="62">
        <v>44785</v>
      </c>
      <c r="D5473" s="62">
        <v>44785</v>
      </c>
      <c r="E5473" s="63">
        <v>0</v>
      </c>
    </row>
    <row r="5474" spans="1:5">
      <c r="A5474" s="61" t="s">
        <v>242</v>
      </c>
      <c r="B5474" s="61" t="s">
        <v>382</v>
      </c>
      <c r="C5474" s="62">
        <v>44786</v>
      </c>
      <c r="D5474" s="62">
        <v>44786</v>
      </c>
      <c r="E5474" s="63">
        <v>0</v>
      </c>
    </row>
    <row r="5475" spans="1:5">
      <c r="A5475" s="61" t="s">
        <v>242</v>
      </c>
      <c r="B5475" s="61" t="s">
        <v>382</v>
      </c>
      <c r="C5475" s="62">
        <v>44787</v>
      </c>
      <c r="D5475" s="62">
        <v>44787</v>
      </c>
      <c r="E5475" s="63">
        <v>0</v>
      </c>
    </row>
    <row r="5476" spans="1:5">
      <c r="A5476" s="61" t="s">
        <v>242</v>
      </c>
      <c r="B5476" s="61" t="s">
        <v>382</v>
      </c>
      <c r="C5476" s="62">
        <v>44788</v>
      </c>
      <c r="D5476" s="62">
        <v>44788</v>
      </c>
      <c r="E5476" s="63">
        <v>0</v>
      </c>
    </row>
    <row r="5477" spans="1:5">
      <c r="A5477" s="61" t="s">
        <v>242</v>
      </c>
      <c r="B5477" s="61" t="s">
        <v>382</v>
      </c>
      <c r="C5477" s="62">
        <v>44789</v>
      </c>
      <c r="D5477" s="62">
        <v>44789</v>
      </c>
      <c r="E5477" s="63">
        <v>0</v>
      </c>
    </row>
    <row r="5478" spans="1:5">
      <c r="A5478" s="61" t="s">
        <v>242</v>
      </c>
      <c r="B5478" s="61" t="s">
        <v>382</v>
      </c>
      <c r="C5478" s="62">
        <v>44790</v>
      </c>
      <c r="D5478" s="62">
        <v>44790</v>
      </c>
      <c r="E5478" s="63">
        <v>0</v>
      </c>
    </row>
    <row r="5479" spans="1:5">
      <c r="A5479" s="61" t="s">
        <v>242</v>
      </c>
      <c r="B5479" s="61" t="s">
        <v>382</v>
      </c>
      <c r="C5479" s="62">
        <v>44791</v>
      </c>
      <c r="D5479" s="62">
        <v>44791</v>
      </c>
      <c r="E5479" s="63">
        <v>0</v>
      </c>
    </row>
    <row r="5480" spans="1:5">
      <c r="A5480" s="61" t="s">
        <v>242</v>
      </c>
      <c r="B5480" s="61" t="s">
        <v>382</v>
      </c>
      <c r="C5480" s="62">
        <v>44792</v>
      </c>
      <c r="D5480" s="62">
        <v>44792</v>
      </c>
      <c r="E5480" s="63">
        <v>0</v>
      </c>
    </row>
    <row r="5481" spans="1:5">
      <c r="A5481" s="61" t="s">
        <v>242</v>
      </c>
      <c r="B5481" s="61" t="s">
        <v>382</v>
      </c>
      <c r="C5481" s="62">
        <v>44793</v>
      </c>
      <c r="D5481" s="62">
        <v>44793</v>
      </c>
      <c r="E5481" s="63">
        <v>0</v>
      </c>
    </row>
    <row r="5482" spans="1:5">
      <c r="A5482" s="61" t="s">
        <v>242</v>
      </c>
      <c r="B5482" s="61" t="s">
        <v>382</v>
      </c>
      <c r="C5482" s="62">
        <v>44794</v>
      </c>
      <c r="D5482" s="62">
        <v>44794</v>
      </c>
      <c r="E5482" s="63">
        <v>0</v>
      </c>
    </row>
    <row r="5483" spans="1:5">
      <c r="A5483" s="61" t="s">
        <v>242</v>
      </c>
      <c r="B5483" s="61" t="s">
        <v>382</v>
      </c>
      <c r="C5483" s="62">
        <v>44795</v>
      </c>
      <c r="D5483" s="62">
        <v>44795</v>
      </c>
      <c r="E5483" s="63">
        <v>0</v>
      </c>
    </row>
    <row r="5484" spans="1:5">
      <c r="A5484" s="61" t="s">
        <v>242</v>
      </c>
      <c r="B5484" s="61" t="s">
        <v>382</v>
      </c>
      <c r="C5484" s="62">
        <v>44796</v>
      </c>
      <c r="D5484" s="62">
        <v>44796</v>
      </c>
      <c r="E5484" s="63">
        <v>0</v>
      </c>
    </row>
    <row r="5485" spans="1:5">
      <c r="A5485" s="61" t="s">
        <v>242</v>
      </c>
      <c r="B5485" s="61" t="s">
        <v>382</v>
      </c>
      <c r="C5485" s="62">
        <v>44797</v>
      </c>
      <c r="D5485" s="62">
        <v>44797</v>
      </c>
      <c r="E5485" s="63">
        <v>0</v>
      </c>
    </row>
    <row r="5486" spans="1:5">
      <c r="A5486" s="61" t="s">
        <v>242</v>
      </c>
      <c r="B5486" s="61" t="s">
        <v>382</v>
      </c>
      <c r="C5486" s="62">
        <v>44798</v>
      </c>
      <c r="D5486" s="62">
        <v>44798</v>
      </c>
      <c r="E5486" s="63">
        <v>0</v>
      </c>
    </row>
    <row r="5487" spans="1:5">
      <c r="A5487" s="61" t="s">
        <v>242</v>
      </c>
      <c r="B5487" s="61" t="s">
        <v>382</v>
      </c>
      <c r="C5487" s="62">
        <v>44799</v>
      </c>
      <c r="D5487" s="62">
        <v>44799</v>
      </c>
      <c r="E5487" s="63">
        <v>0</v>
      </c>
    </row>
    <row r="5488" spans="1:5">
      <c r="A5488" s="61" t="s">
        <v>242</v>
      </c>
      <c r="B5488" s="61" t="s">
        <v>382</v>
      </c>
      <c r="C5488" s="62">
        <v>44800</v>
      </c>
      <c r="D5488" s="62">
        <v>44800</v>
      </c>
      <c r="E5488" s="63">
        <v>0</v>
      </c>
    </row>
    <row r="5489" spans="1:5">
      <c r="A5489" s="61" t="s">
        <v>242</v>
      </c>
      <c r="B5489" s="61" t="s">
        <v>382</v>
      </c>
      <c r="C5489" s="62">
        <v>44801</v>
      </c>
      <c r="D5489" s="62">
        <v>44801</v>
      </c>
      <c r="E5489" s="63">
        <v>0</v>
      </c>
    </row>
    <row r="5490" spans="1:5">
      <c r="A5490" s="61" t="s">
        <v>242</v>
      </c>
      <c r="B5490" s="61" t="s">
        <v>382</v>
      </c>
      <c r="C5490" s="62">
        <v>44802</v>
      </c>
      <c r="D5490" s="62">
        <v>44802</v>
      </c>
      <c r="E5490" s="63">
        <v>0</v>
      </c>
    </row>
    <row r="5491" spans="1:5">
      <c r="A5491" s="61" t="s">
        <v>242</v>
      </c>
      <c r="B5491" s="61" t="s">
        <v>382</v>
      </c>
      <c r="C5491" s="62">
        <v>44803</v>
      </c>
      <c r="D5491" s="62">
        <v>44803</v>
      </c>
      <c r="E5491" s="63">
        <v>0</v>
      </c>
    </row>
    <row r="5492" spans="1:5">
      <c r="A5492" s="61" t="s">
        <v>243</v>
      </c>
      <c r="B5492" s="61" t="s">
        <v>383</v>
      </c>
      <c r="C5492" s="62">
        <v>44774</v>
      </c>
      <c r="D5492" s="62">
        <v>44774</v>
      </c>
      <c r="E5492" s="63">
        <v>0</v>
      </c>
    </row>
    <row r="5493" spans="1:5">
      <c r="A5493" s="61" t="s">
        <v>243</v>
      </c>
      <c r="B5493" s="61" t="s">
        <v>383</v>
      </c>
      <c r="C5493" s="62">
        <v>44775</v>
      </c>
      <c r="D5493" s="62">
        <v>44775</v>
      </c>
      <c r="E5493" s="63">
        <v>0</v>
      </c>
    </row>
    <row r="5494" spans="1:5">
      <c r="A5494" s="61" t="s">
        <v>243</v>
      </c>
      <c r="B5494" s="61" t="s">
        <v>383</v>
      </c>
      <c r="C5494" s="62">
        <v>44776</v>
      </c>
      <c r="D5494" s="62">
        <v>44776</v>
      </c>
      <c r="E5494" s="63">
        <v>0</v>
      </c>
    </row>
    <row r="5495" spans="1:5">
      <c r="A5495" s="61" t="s">
        <v>243</v>
      </c>
      <c r="B5495" s="61" t="s">
        <v>383</v>
      </c>
      <c r="C5495" s="62">
        <v>44777</v>
      </c>
      <c r="D5495" s="62">
        <v>44777</v>
      </c>
      <c r="E5495" s="63">
        <v>0</v>
      </c>
    </row>
    <row r="5496" spans="1:5">
      <c r="A5496" s="61" t="s">
        <v>243</v>
      </c>
      <c r="B5496" s="61" t="s">
        <v>383</v>
      </c>
      <c r="C5496" s="62">
        <v>44778</v>
      </c>
      <c r="D5496" s="62">
        <v>44778</v>
      </c>
      <c r="E5496" s="63">
        <v>0</v>
      </c>
    </row>
    <row r="5497" spans="1:5">
      <c r="A5497" s="61" t="s">
        <v>243</v>
      </c>
      <c r="B5497" s="61" t="s">
        <v>383</v>
      </c>
      <c r="C5497" s="62">
        <v>44779</v>
      </c>
      <c r="D5497" s="62">
        <v>44779</v>
      </c>
      <c r="E5497" s="63">
        <v>0</v>
      </c>
    </row>
    <row r="5498" spans="1:5">
      <c r="A5498" s="61" t="s">
        <v>243</v>
      </c>
      <c r="B5498" s="61" t="s">
        <v>383</v>
      </c>
      <c r="C5498" s="62">
        <v>44780</v>
      </c>
      <c r="D5498" s="62">
        <v>44780</v>
      </c>
      <c r="E5498" s="63">
        <v>0</v>
      </c>
    </row>
    <row r="5499" spans="1:5">
      <c r="A5499" s="61" t="s">
        <v>243</v>
      </c>
      <c r="B5499" s="61" t="s">
        <v>383</v>
      </c>
      <c r="C5499" s="62">
        <v>44781</v>
      </c>
      <c r="D5499" s="62">
        <v>44781</v>
      </c>
      <c r="E5499" s="63">
        <v>0</v>
      </c>
    </row>
    <row r="5500" spans="1:5">
      <c r="A5500" s="61" t="s">
        <v>243</v>
      </c>
      <c r="B5500" s="61" t="s">
        <v>383</v>
      </c>
      <c r="C5500" s="62">
        <v>44782</v>
      </c>
      <c r="D5500" s="62">
        <v>44782</v>
      </c>
      <c r="E5500" s="63">
        <v>0</v>
      </c>
    </row>
    <row r="5501" spans="1:5">
      <c r="A5501" s="61" t="s">
        <v>243</v>
      </c>
      <c r="B5501" s="61" t="s">
        <v>383</v>
      </c>
      <c r="C5501" s="62">
        <v>44783</v>
      </c>
      <c r="D5501" s="62">
        <v>44783</v>
      </c>
      <c r="E5501" s="63">
        <v>0</v>
      </c>
    </row>
    <row r="5502" spans="1:5">
      <c r="A5502" s="61" t="s">
        <v>243</v>
      </c>
      <c r="B5502" s="61" t="s">
        <v>383</v>
      </c>
      <c r="C5502" s="62">
        <v>44784</v>
      </c>
      <c r="D5502" s="62">
        <v>44784</v>
      </c>
      <c r="E5502" s="63">
        <v>0</v>
      </c>
    </row>
    <row r="5503" spans="1:5">
      <c r="A5503" s="61" t="s">
        <v>243</v>
      </c>
      <c r="B5503" s="61" t="s">
        <v>383</v>
      </c>
      <c r="C5503" s="62">
        <v>44785</v>
      </c>
      <c r="D5503" s="62">
        <v>44785</v>
      </c>
      <c r="E5503" s="63">
        <v>0</v>
      </c>
    </row>
    <row r="5504" spans="1:5">
      <c r="A5504" s="61" t="s">
        <v>243</v>
      </c>
      <c r="B5504" s="61" t="s">
        <v>383</v>
      </c>
      <c r="C5504" s="62">
        <v>44786</v>
      </c>
      <c r="D5504" s="62">
        <v>44786</v>
      </c>
      <c r="E5504" s="63">
        <v>0</v>
      </c>
    </row>
    <row r="5505" spans="1:5">
      <c r="A5505" s="61" t="s">
        <v>243</v>
      </c>
      <c r="B5505" s="61" t="s">
        <v>383</v>
      </c>
      <c r="C5505" s="62">
        <v>44787</v>
      </c>
      <c r="D5505" s="62">
        <v>44787</v>
      </c>
      <c r="E5505" s="63">
        <v>0</v>
      </c>
    </row>
    <row r="5506" spans="1:5">
      <c r="A5506" s="61" t="s">
        <v>243</v>
      </c>
      <c r="B5506" s="61" t="s">
        <v>383</v>
      </c>
      <c r="C5506" s="62">
        <v>44788</v>
      </c>
      <c r="D5506" s="62">
        <v>44788</v>
      </c>
      <c r="E5506" s="63">
        <v>0</v>
      </c>
    </row>
    <row r="5507" spans="1:5">
      <c r="A5507" s="61" t="s">
        <v>243</v>
      </c>
      <c r="B5507" s="61" t="s">
        <v>383</v>
      </c>
      <c r="C5507" s="62">
        <v>44789</v>
      </c>
      <c r="D5507" s="62">
        <v>44789</v>
      </c>
      <c r="E5507" s="63">
        <v>0</v>
      </c>
    </row>
    <row r="5508" spans="1:5">
      <c r="A5508" s="61" t="s">
        <v>243</v>
      </c>
      <c r="B5508" s="61" t="s">
        <v>383</v>
      </c>
      <c r="C5508" s="62">
        <v>44790</v>
      </c>
      <c r="D5508" s="62">
        <v>44790</v>
      </c>
      <c r="E5508" s="63">
        <v>0</v>
      </c>
    </row>
    <row r="5509" spans="1:5">
      <c r="A5509" s="61" t="s">
        <v>243</v>
      </c>
      <c r="B5509" s="61" t="s">
        <v>383</v>
      </c>
      <c r="C5509" s="62">
        <v>44791</v>
      </c>
      <c r="D5509" s="62">
        <v>44791</v>
      </c>
      <c r="E5509" s="63">
        <v>0</v>
      </c>
    </row>
    <row r="5510" spans="1:5">
      <c r="A5510" s="61" t="s">
        <v>243</v>
      </c>
      <c r="B5510" s="61" t="s">
        <v>383</v>
      </c>
      <c r="C5510" s="62">
        <v>44792</v>
      </c>
      <c r="D5510" s="62">
        <v>44792</v>
      </c>
      <c r="E5510" s="63">
        <v>0</v>
      </c>
    </row>
    <row r="5511" spans="1:5">
      <c r="A5511" s="61" t="s">
        <v>243</v>
      </c>
      <c r="B5511" s="61" t="s">
        <v>383</v>
      </c>
      <c r="C5511" s="62">
        <v>44793</v>
      </c>
      <c r="D5511" s="62">
        <v>44793</v>
      </c>
      <c r="E5511" s="63">
        <v>0</v>
      </c>
    </row>
    <row r="5512" spans="1:5">
      <c r="A5512" s="61" t="s">
        <v>243</v>
      </c>
      <c r="B5512" s="61" t="s">
        <v>383</v>
      </c>
      <c r="C5512" s="62">
        <v>44794</v>
      </c>
      <c r="D5512" s="62">
        <v>44794</v>
      </c>
      <c r="E5512" s="63">
        <v>0</v>
      </c>
    </row>
    <row r="5513" spans="1:5">
      <c r="A5513" s="61" t="s">
        <v>243</v>
      </c>
      <c r="B5513" s="61" t="s">
        <v>383</v>
      </c>
      <c r="C5513" s="62">
        <v>44795</v>
      </c>
      <c r="D5513" s="62">
        <v>44795</v>
      </c>
      <c r="E5513" s="63">
        <v>0</v>
      </c>
    </row>
    <row r="5514" spans="1:5">
      <c r="A5514" s="61" t="s">
        <v>243</v>
      </c>
      <c r="B5514" s="61" t="s">
        <v>383</v>
      </c>
      <c r="C5514" s="62">
        <v>44796</v>
      </c>
      <c r="D5514" s="62">
        <v>44796</v>
      </c>
      <c r="E5514" s="63">
        <v>0</v>
      </c>
    </row>
    <row r="5515" spans="1:5">
      <c r="A5515" s="61" t="s">
        <v>243</v>
      </c>
      <c r="B5515" s="61" t="s">
        <v>383</v>
      </c>
      <c r="C5515" s="62">
        <v>44797</v>
      </c>
      <c r="D5515" s="62">
        <v>44797</v>
      </c>
      <c r="E5515" s="63">
        <v>0</v>
      </c>
    </row>
    <row r="5516" spans="1:5">
      <c r="A5516" s="61" t="s">
        <v>243</v>
      </c>
      <c r="B5516" s="61" t="s">
        <v>383</v>
      </c>
      <c r="C5516" s="62">
        <v>44798</v>
      </c>
      <c r="D5516" s="62">
        <v>44798</v>
      </c>
      <c r="E5516" s="63">
        <v>0</v>
      </c>
    </row>
    <row r="5517" spans="1:5">
      <c r="A5517" s="61" t="s">
        <v>243</v>
      </c>
      <c r="B5517" s="61" t="s">
        <v>383</v>
      </c>
      <c r="C5517" s="62">
        <v>44799</v>
      </c>
      <c r="D5517" s="62">
        <v>44799</v>
      </c>
      <c r="E5517" s="63">
        <v>0</v>
      </c>
    </row>
    <row r="5518" spans="1:5">
      <c r="A5518" s="61" t="s">
        <v>243</v>
      </c>
      <c r="B5518" s="61" t="s">
        <v>383</v>
      </c>
      <c r="C5518" s="62">
        <v>44800</v>
      </c>
      <c r="D5518" s="62">
        <v>44800</v>
      </c>
      <c r="E5518" s="63">
        <v>0</v>
      </c>
    </row>
    <row r="5519" spans="1:5">
      <c r="A5519" s="61" t="s">
        <v>243</v>
      </c>
      <c r="B5519" s="61" t="s">
        <v>383</v>
      </c>
      <c r="C5519" s="62">
        <v>44801</v>
      </c>
      <c r="D5519" s="62">
        <v>44801</v>
      </c>
      <c r="E5519" s="63">
        <v>0</v>
      </c>
    </row>
    <row r="5520" spans="1:5">
      <c r="A5520" s="61" t="s">
        <v>243</v>
      </c>
      <c r="B5520" s="61" t="s">
        <v>383</v>
      </c>
      <c r="C5520" s="62">
        <v>44802</v>
      </c>
      <c r="D5520" s="62">
        <v>44802</v>
      </c>
      <c r="E5520" s="63">
        <v>0</v>
      </c>
    </row>
    <row r="5521" spans="1:5">
      <c r="A5521" s="61" t="s">
        <v>243</v>
      </c>
      <c r="B5521" s="61" t="s">
        <v>383</v>
      </c>
      <c r="C5521" s="62">
        <v>44803</v>
      </c>
      <c r="D5521" s="62">
        <v>44803</v>
      </c>
      <c r="E5521" s="63">
        <v>0</v>
      </c>
    </row>
    <row r="5522" spans="1:5">
      <c r="A5522" s="61" t="s">
        <v>97</v>
      </c>
      <c r="B5522" s="61" t="s">
        <v>380</v>
      </c>
      <c r="C5522" s="62">
        <v>44774</v>
      </c>
      <c r="D5522" s="62">
        <v>44774</v>
      </c>
      <c r="E5522" s="63">
        <v>0</v>
      </c>
    </row>
    <row r="5523" spans="1:5">
      <c r="A5523" s="61" t="s">
        <v>97</v>
      </c>
      <c r="B5523" s="61" t="s">
        <v>380</v>
      </c>
      <c r="C5523" s="62">
        <v>44775</v>
      </c>
      <c r="D5523" s="62">
        <v>44775</v>
      </c>
      <c r="E5523" s="63">
        <v>0</v>
      </c>
    </row>
    <row r="5524" spans="1:5">
      <c r="A5524" s="61" t="s">
        <v>97</v>
      </c>
      <c r="B5524" s="61" t="s">
        <v>380</v>
      </c>
      <c r="C5524" s="62">
        <v>44776</v>
      </c>
      <c r="D5524" s="62">
        <v>44776</v>
      </c>
      <c r="E5524" s="63">
        <v>0</v>
      </c>
    </row>
    <row r="5525" spans="1:5">
      <c r="A5525" s="61" t="s">
        <v>97</v>
      </c>
      <c r="B5525" s="61" t="s">
        <v>380</v>
      </c>
      <c r="C5525" s="62">
        <v>44777</v>
      </c>
      <c r="D5525" s="62">
        <v>44777</v>
      </c>
      <c r="E5525" s="63">
        <v>0</v>
      </c>
    </row>
    <row r="5526" spans="1:5">
      <c r="A5526" s="61" t="s">
        <v>97</v>
      </c>
      <c r="B5526" s="61" t="s">
        <v>380</v>
      </c>
      <c r="C5526" s="62">
        <v>44778</v>
      </c>
      <c r="D5526" s="62">
        <v>44778</v>
      </c>
      <c r="E5526" s="63">
        <v>0</v>
      </c>
    </row>
    <row r="5527" spans="1:5">
      <c r="A5527" s="61" t="s">
        <v>97</v>
      </c>
      <c r="B5527" s="61" t="s">
        <v>380</v>
      </c>
      <c r="C5527" s="62">
        <v>44779</v>
      </c>
      <c r="D5527" s="62">
        <v>44779</v>
      </c>
      <c r="E5527" s="63">
        <v>0</v>
      </c>
    </row>
    <row r="5528" spans="1:5">
      <c r="A5528" s="61" t="s">
        <v>97</v>
      </c>
      <c r="B5528" s="61" t="s">
        <v>380</v>
      </c>
      <c r="C5528" s="62">
        <v>44780</v>
      </c>
      <c r="D5528" s="62">
        <v>44780</v>
      </c>
      <c r="E5528" s="63">
        <v>0</v>
      </c>
    </row>
    <row r="5529" spans="1:5">
      <c r="A5529" s="61" t="s">
        <v>97</v>
      </c>
      <c r="B5529" s="61" t="s">
        <v>380</v>
      </c>
      <c r="C5529" s="62">
        <v>44781</v>
      </c>
      <c r="D5529" s="62">
        <v>44781</v>
      </c>
      <c r="E5529" s="63">
        <v>0</v>
      </c>
    </row>
    <row r="5530" spans="1:5">
      <c r="A5530" s="61" t="s">
        <v>97</v>
      </c>
      <c r="B5530" s="61" t="s">
        <v>380</v>
      </c>
      <c r="C5530" s="62">
        <v>44782</v>
      </c>
      <c r="D5530" s="62">
        <v>44782</v>
      </c>
      <c r="E5530" s="63">
        <v>0</v>
      </c>
    </row>
    <row r="5531" spans="1:5">
      <c r="A5531" s="61" t="s">
        <v>97</v>
      </c>
      <c r="B5531" s="61" t="s">
        <v>380</v>
      </c>
      <c r="C5531" s="62">
        <v>44783</v>
      </c>
      <c r="D5531" s="62">
        <v>44783</v>
      </c>
      <c r="E5531" s="63">
        <v>0</v>
      </c>
    </row>
    <row r="5532" spans="1:5">
      <c r="A5532" s="61" t="s">
        <v>97</v>
      </c>
      <c r="B5532" s="61" t="s">
        <v>380</v>
      </c>
      <c r="C5532" s="62">
        <v>44784</v>
      </c>
      <c r="D5532" s="62">
        <v>44784</v>
      </c>
      <c r="E5532" s="63">
        <v>0</v>
      </c>
    </row>
    <row r="5533" spans="1:5">
      <c r="A5533" s="61" t="s">
        <v>97</v>
      </c>
      <c r="B5533" s="61" t="s">
        <v>380</v>
      </c>
      <c r="C5533" s="62">
        <v>44785</v>
      </c>
      <c r="D5533" s="62">
        <v>44785</v>
      </c>
      <c r="E5533" s="63">
        <v>1886.53</v>
      </c>
    </row>
    <row r="5534" spans="1:5">
      <c r="A5534" s="61" t="s">
        <v>97</v>
      </c>
      <c r="B5534" s="61" t="s">
        <v>380</v>
      </c>
      <c r="C5534" s="62">
        <v>44786</v>
      </c>
      <c r="D5534" s="62">
        <v>44786</v>
      </c>
      <c r="E5534" s="63">
        <v>0</v>
      </c>
    </row>
    <row r="5535" spans="1:5">
      <c r="A5535" s="61" t="s">
        <v>97</v>
      </c>
      <c r="B5535" s="61" t="s">
        <v>380</v>
      </c>
      <c r="C5535" s="62">
        <v>44787</v>
      </c>
      <c r="D5535" s="62">
        <v>44787</v>
      </c>
      <c r="E5535" s="63">
        <v>0</v>
      </c>
    </row>
    <row r="5536" spans="1:5">
      <c r="A5536" s="61" t="s">
        <v>97</v>
      </c>
      <c r="B5536" s="61" t="s">
        <v>380</v>
      </c>
      <c r="C5536" s="62">
        <v>44788</v>
      </c>
      <c r="D5536" s="62">
        <v>44788</v>
      </c>
      <c r="E5536" s="63">
        <v>0</v>
      </c>
    </row>
    <row r="5537" spans="1:5">
      <c r="A5537" s="61" t="s">
        <v>97</v>
      </c>
      <c r="B5537" s="61" t="s">
        <v>380</v>
      </c>
      <c r="C5537" s="62">
        <v>44789</v>
      </c>
      <c r="D5537" s="62">
        <v>44789</v>
      </c>
      <c r="E5537" s="63">
        <v>0</v>
      </c>
    </row>
    <row r="5538" spans="1:5">
      <c r="A5538" s="61" t="s">
        <v>97</v>
      </c>
      <c r="B5538" s="61" t="s">
        <v>380</v>
      </c>
      <c r="C5538" s="62">
        <v>44790</v>
      </c>
      <c r="D5538" s="62">
        <v>44790</v>
      </c>
      <c r="E5538" s="63">
        <v>0</v>
      </c>
    </row>
    <row r="5539" spans="1:5">
      <c r="A5539" s="61" t="s">
        <v>97</v>
      </c>
      <c r="B5539" s="61" t="s">
        <v>380</v>
      </c>
      <c r="C5539" s="62">
        <v>44791</v>
      </c>
      <c r="D5539" s="62">
        <v>44791</v>
      </c>
      <c r="E5539" s="63">
        <v>0</v>
      </c>
    </row>
    <row r="5540" spans="1:5">
      <c r="A5540" s="61" t="s">
        <v>97</v>
      </c>
      <c r="B5540" s="61" t="s">
        <v>380</v>
      </c>
      <c r="C5540" s="62">
        <v>44792</v>
      </c>
      <c r="D5540" s="62">
        <v>44792</v>
      </c>
      <c r="E5540" s="63">
        <v>0</v>
      </c>
    </row>
    <row r="5541" spans="1:5">
      <c r="A5541" s="61" t="s">
        <v>97</v>
      </c>
      <c r="B5541" s="61" t="s">
        <v>380</v>
      </c>
      <c r="C5541" s="62">
        <v>44793</v>
      </c>
      <c r="D5541" s="62">
        <v>44793</v>
      </c>
      <c r="E5541" s="63">
        <v>0</v>
      </c>
    </row>
    <row r="5542" spans="1:5">
      <c r="A5542" s="61" t="s">
        <v>97</v>
      </c>
      <c r="B5542" s="61" t="s">
        <v>380</v>
      </c>
      <c r="C5542" s="62">
        <v>44794</v>
      </c>
      <c r="D5542" s="62">
        <v>44794</v>
      </c>
      <c r="E5542" s="63">
        <v>0</v>
      </c>
    </row>
    <row r="5543" spans="1:5">
      <c r="A5543" s="61" t="s">
        <v>97</v>
      </c>
      <c r="B5543" s="61" t="s">
        <v>380</v>
      </c>
      <c r="C5543" s="62">
        <v>44795</v>
      </c>
      <c r="D5543" s="62">
        <v>44795</v>
      </c>
      <c r="E5543" s="63">
        <v>0</v>
      </c>
    </row>
    <row r="5544" spans="1:5">
      <c r="A5544" s="61" t="s">
        <v>97</v>
      </c>
      <c r="B5544" s="61" t="s">
        <v>380</v>
      </c>
      <c r="C5544" s="62">
        <v>44796</v>
      </c>
      <c r="D5544" s="62">
        <v>44796</v>
      </c>
      <c r="E5544" s="63">
        <v>0</v>
      </c>
    </row>
    <row r="5545" spans="1:5">
      <c r="A5545" s="61" t="s">
        <v>97</v>
      </c>
      <c r="B5545" s="61" t="s">
        <v>380</v>
      </c>
      <c r="C5545" s="62">
        <v>44797</v>
      </c>
      <c r="D5545" s="62">
        <v>44797</v>
      </c>
      <c r="E5545" s="63">
        <v>0</v>
      </c>
    </row>
    <row r="5546" spans="1:5">
      <c r="A5546" s="61" t="s">
        <v>97</v>
      </c>
      <c r="B5546" s="61" t="s">
        <v>380</v>
      </c>
      <c r="C5546" s="62">
        <v>44798</v>
      </c>
      <c r="D5546" s="62">
        <v>44798</v>
      </c>
      <c r="E5546" s="63">
        <v>0</v>
      </c>
    </row>
    <row r="5547" spans="1:5">
      <c r="A5547" s="61" t="s">
        <v>97</v>
      </c>
      <c r="B5547" s="61" t="s">
        <v>380</v>
      </c>
      <c r="C5547" s="62">
        <v>44799</v>
      </c>
      <c r="D5547" s="62">
        <v>44799</v>
      </c>
      <c r="E5547" s="63">
        <v>0</v>
      </c>
    </row>
    <row r="5548" spans="1:5">
      <c r="A5548" s="61" t="s">
        <v>97</v>
      </c>
      <c r="B5548" s="61" t="s">
        <v>380</v>
      </c>
      <c r="C5548" s="62">
        <v>44800</v>
      </c>
      <c r="D5548" s="62">
        <v>44800</v>
      </c>
      <c r="E5548" s="63">
        <v>0</v>
      </c>
    </row>
    <row r="5549" spans="1:5">
      <c r="A5549" s="61" t="s">
        <v>97</v>
      </c>
      <c r="B5549" s="61" t="s">
        <v>380</v>
      </c>
      <c r="C5549" s="62">
        <v>44801</v>
      </c>
      <c r="D5549" s="62">
        <v>44801</v>
      </c>
      <c r="E5549" s="63">
        <v>0</v>
      </c>
    </row>
    <row r="5550" spans="1:5">
      <c r="A5550" s="61" t="s">
        <v>97</v>
      </c>
      <c r="B5550" s="61" t="s">
        <v>380</v>
      </c>
      <c r="C5550" s="62">
        <v>44802</v>
      </c>
      <c r="D5550" s="62">
        <v>44802</v>
      </c>
      <c r="E5550" s="63">
        <v>0</v>
      </c>
    </row>
    <row r="5551" spans="1:5">
      <c r="A5551" s="61" t="s">
        <v>97</v>
      </c>
      <c r="B5551" s="61" t="s">
        <v>380</v>
      </c>
      <c r="C5551" s="62">
        <v>44803</v>
      </c>
      <c r="D5551" s="62">
        <v>44803</v>
      </c>
      <c r="E5551" s="63">
        <v>0</v>
      </c>
    </row>
    <row r="5552" spans="1:5">
      <c r="A5552" s="61" t="s">
        <v>244</v>
      </c>
      <c r="B5552" s="61" t="s">
        <v>381</v>
      </c>
      <c r="C5552" s="62">
        <v>44774</v>
      </c>
      <c r="D5552" s="62">
        <v>44774</v>
      </c>
      <c r="E5552" s="63">
        <v>0</v>
      </c>
    </row>
    <row r="5553" spans="1:5">
      <c r="A5553" s="61" t="s">
        <v>244</v>
      </c>
      <c r="B5553" s="61" t="s">
        <v>381</v>
      </c>
      <c r="C5553" s="62">
        <v>44775</v>
      </c>
      <c r="D5553" s="62">
        <v>44775</v>
      </c>
      <c r="E5553" s="63">
        <v>0</v>
      </c>
    </row>
    <row r="5554" spans="1:5">
      <c r="A5554" s="61" t="s">
        <v>244</v>
      </c>
      <c r="B5554" s="61" t="s">
        <v>381</v>
      </c>
      <c r="C5554" s="62">
        <v>44776</v>
      </c>
      <c r="D5554" s="62">
        <v>44776</v>
      </c>
      <c r="E5554" s="63">
        <v>0</v>
      </c>
    </row>
    <row r="5555" spans="1:5">
      <c r="A5555" s="61" t="s">
        <v>244</v>
      </c>
      <c r="B5555" s="61" t="s">
        <v>381</v>
      </c>
      <c r="C5555" s="62">
        <v>44777</v>
      </c>
      <c r="D5555" s="62">
        <v>44777</v>
      </c>
      <c r="E5555" s="63">
        <v>0</v>
      </c>
    </row>
    <row r="5556" spans="1:5">
      <c r="A5556" s="61" t="s">
        <v>244</v>
      </c>
      <c r="B5556" s="61" t="s">
        <v>381</v>
      </c>
      <c r="C5556" s="62">
        <v>44778</v>
      </c>
      <c r="D5556" s="62">
        <v>44778</v>
      </c>
      <c r="E5556" s="63">
        <v>0</v>
      </c>
    </row>
    <row r="5557" spans="1:5">
      <c r="A5557" s="61" t="s">
        <v>244</v>
      </c>
      <c r="B5557" s="61" t="s">
        <v>381</v>
      </c>
      <c r="C5557" s="62">
        <v>44779</v>
      </c>
      <c r="D5557" s="62">
        <v>44779</v>
      </c>
      <c r="E5557" s="63">
        <v>0</v>
      </c>
    </row>
    <row r="5558" spans="1:5">
      <c r="A5558" s="61" t="s">
        <v>244</v>
      </c>
      <c r="B5558" s="61" t="s">
        <v>381</v>
      </c>
      <c r="C5558" s="62">
        <v>44780</v>
      </c>
      <c r="D5558" s="62">
        <v>44780</v>
      </c>
      <c r="E5558" s="63">
        <v>0</v>
      </c>
    </row>
    <row r="5559" spans="1:5">
      <c r="A5559" s="61" t="s">
        <v>244</v>
      </c>
      <c r="B5559" s="61" t="s">
        <v>381</v>
      </c>
      <c r="C5559" s="62">
        <v>44781</v>
      </c>
      <c r="D5559" s="62">
        <v>44781</v>
      </c>
      <c r="E5559" s="63">
        <v>0</v>
      </c>
    </row>
    <row r="5560" spans="1:5">
      <c r="A5560" s="61" t="s">
        <v>244</v>
      </c>
      <c r="B5560" s="61" t="s">
        <v>381</v>
      </c>
      <c r="C5560" s="62">
        <v>44782</v>
      </c>
      <c r="D5560" s="62">
        <v>44782</v>
      </c>
      <c r="E5560" s="63">
        <v>0</v>
      </c>
    </row>
    <row r="5561" spans="1:5">
      <c r="A5561" s="61" t="s">
        <v>244</v>
      </c>
      <c r="B5561" s="61" t="s">
        <v>381</v>
      </c>
      <c r="C5561" s="62">
        <v>44783</v>
      </c>
      <c r="D5561" s="62">
        <v>44783</v>
      </c>
      <c r="E5561" s="63">
        <v>0</v>
      </c>
    </row>
    <row r="5562" spans="1:5">
      <c r="A5562" s="61" t="s">
        <v>244</v>
      </c>
      <c r="B5562" s="61" t="s">
        <v>381</v>
      </c>
      <c r="C5562" s="62">
        <v>44784</v>
      </c>
      <c r="D5562" s="62">
        <v>44784</v>
      </c>
      <c r="E5562" s="63">
        <v>0</v>
      </c>
    </row>
    <row r="5563" spans="1:5">
      <c r="A5563" s="61" t="s">
        <v>244</v>
      </c>
      <c r="B5563" s="61" t="s">
        <v>381</v>
      </c>
      <c r="C5563" s="62">
        <v>44785</v>
      </c>
      <c r="D5563" s="62">
        <v>44785</v>
      </c>
      <c r="E5563" s="63">
        <v>0</v>
      </c>
    </row>
    <row r="5564" spans="1:5">
      <c r="A5564" s="61" t="s">
        <v>244</v>
      </c>
      <c r="B5564" s="61" t="s">
        <v>381</v>
      </c>
      <c r="C5564" s="62">
        <v>44786</v>
      </c>
      <c r="D5564" s="62">
        <v>44786</v>
      </c>
      <c r="E5564" s="63">
        <v>0</v>
      </c>
    </row>
    <row r="5565" spans="1:5">
      <c r="A5565" s="61" t="s">
        <v>244</v>
      </c>
      <c r="B5565" s="61" t="s">
        <v>381</v>
      </c>
      <c r="C5565" s="62">
        <v>44787</v>
      </c>
      <c r="D5565" s="62">
        <v>44787</v>
      </c>
      <c r="E5565" s="63">
        <v>0</v>
      </c>
    </row>
    <row r="5566" spans="1:5">
      <c r="A5566" s="61" t="s">
        <v>244</v>
      </c>
      <c r="B5566" s="61" t="s">
        <v>381</v>
      </c>
      <c r="C5566" s="62">
        <v>44788</v>
      </c>
      <c r="D5566" s="62">
        <v>44788</v>
      </c>
      <c r="E5566" s="63">
        <v>0</v>
      </c>
    </row>
    <row r="5567" spans="1:5">
      <c r="A5567" s="61" t="s">
        <v>244</v>
      </c>
      <c r="B5567" s="61" t="s">
        <v>381</v>
      </c>
      <c r="C5567" s="62">
        <v>44789</v>
      </c>
      <c r="D5567" s="62">
        <v>44789</v>
      </c>
      <c r="E5567" s="63">
        <v>0</v>
      </c>
    </row>
    <row r="5568" spans="1:5">
      <c r="A5568" s="61" t="s">
        <v>244</v>
      </c>
      <c r="B5568" s="61" t="s">
        <v>381</v>
      </c>
      <c r="C5568" s="62">
        <v>44790</v>
      </c>
      <c r="D5568" s="62">
        <v>44790</v>
      </c>
      <c r="E5568" s="63">
        <v>0</v>
      </c>
    </row>
    <row r="5569" spans="1:5">
      <c r="A5569" s="61" t="s">
        <v>244</v>
      </c>
      <c r="B5569" s="61" t="s">
        <v>381</v>
      </c>
      <c r="C5569" s="62">
        <v>44791</v>
      </c>
      <c r="D5569" s="62">
        <v>44791</v>
      </c>
      <c r="E5569" s="63">
        <v>0</v>
      </c>
    </row>
    <row r="5570" spans="1:5">
      <c r="A5570" s="61" t="s">
        <v>244</v>
      </c>
      <c r="B5570" s="61" t="s">
        <v>381</v>
      </c>
      <c r="C5570" s="62">
        <v>44792</v>
      </c>
      <c r="D5570" s="62">
        <v>44792</v>
      </c>
      <c r="E5570" s="63">
        <v>0</v>
      </c>
    </row>
    <row r="5571" spans="1:5">
      <c r="A5571" s="61" t="s">
        <v>244</v>
      </c>
      <c r="B5571" s="61" t="s">
        <v>381</v>
      </c>
      <c r="C5571" s="62">
        <v>44793</v>
      </c>
      <c r="D5571" s="62">
        <v>44793</v>
      </c>
      <c r="E5571" s="63">
        <v>0</v>
      </c>
    </row>
    <row r="5572" spans="1:5">
      <c r="A5572" s="61" t="s">
        <v>244</v>
      </c>
      <c r="B5572" s="61" t="s">
        <v>381</v>
      </c>
      <c r="C5572" s="62">
        <v>44794</v>
      </c>
      <c r="D5572" s="62">
        <v>44794</v>
      </c>
      <c r="E5572" s="63">
        <v>0</v>
      </c>
    </row>
    <row r="5573" spans="1:5">
      <c r="A5573" s="61" t="s">
        <v>244</v>
      </c>
      <c r="B5573" s="61" t="s">
        <v>381</v>
      </c>
      <c r="C5573" s="62">
        <v>44795</v>
      </c>
      <c r="D5573" s="62">
        <v>44795</v>
      </c>
      <c r="E5573" s="63">
        <v>0</v>
      </c>
    </row>
    <row r="5574" spans="1:5">
      <c r="A5574" s="61" t="s">
        <v>244</v>
      </c>
      <c r="B5574" s="61" t="s">
        <v>381</v>
      </c>
      <c r="C5574" s="62">
        <v>44796</v>
      </c>
      <c r="D5574" s="62">
        <v>44796</v>
      </c>
      <c r="E5574" s="63">
        <v>0</v>
      </c>
    </row>
    <row r="5575" spans="1:5">
      <c r="A5575" s="61" t="s">
        <v>244</v>
      </c>
      <c r="B5575" s="61" t="s">
        <v>381</v>
      </c>
      <c r="C5575" s="62">
        <v>44797</v>
      </c>
      <c r="D5575" s="62">
        <v>44797</v>
      </c>
      <c r="E5575" s="63">
        <v>0</v>
      </c>
    </row>
    <row r="5576" spans="1:5">
      <c r="A5576" s="61" t="s">
        <v>244</v>
      </c>
      <c r="B5576" s="61" t="s">
        <v>381</v>
      </c>
      <c r="C5576" s="62">
        <v>44798</v>
      </c>
      <c r="D5576" s="62">
        <v>44798</v>
      </c>
      <c r="E5576" s="63">
        <v>0</v>
      </c>
    </row>
    <row r="5577" spans="1:5">
      <c r="A5577" s="61" t="s">
        <v>244</v>
      </c>
      <c r="B5577" s="61" t="s">
        <v>381</v>
      </c>
      <c r="C5577" s="62">
        <v>44799</v>
      </c>
      <c r="D5577" s="62">
        <v>44799</v>
      </c>
      <c r="E5577" s="63">
        <v>0</v>
      </c>
    </row>
    <row r="5578" spans="1:5">
      <c r="A5578" s="61" t="s">
        <v>244</v>
      </c>
      <c r="B5578" s="61" t="s">
        <v>381</v>
      </c>
      <c r="C5578" s="62">
        <v>44800</v>
      </c>
      <c r="D5578" s="62">
        <v>44800</v>
      </c>
      <c r="E5578" s="63">
        <v>0</v>
      </c>
    </row>
    <row r="5579" spans="1:5">
      <c r="A5579" s="61" t="s">
        <v>244</v>
      </c>
      <c r="B5579" s="61" t="s">
        <v>381</v>
      </c>
      <c r="C5579" s="62">
        <v>44801</v>
      </c>
      <c r="D5579" s="62">
        <v>44801</v>
      </c>
      <c r="E5579" s="63">
        <v>0</v>
      </c>
    </row>
    <row r="5580" spans="1:5">
      <c r="A5580" s="61" t="s">
        <v>244</v>
      </c>
      <c r="B5580" s="61" t="s">
        <v>381</v>
      </c>
      <c r="C5580" s="62">
        <v>44802</v>
      </c>
      <c r="D5580" s="62">
        <v>44802</v>
      </c>
      <c r="E5580" s="63">
        <v>0</v>
      </c>
    </row>
    <row r="5581" spans="1:5">
      <c r="A5581" s="61" t="s">
        <v>244</v>
      </c>
      <c r="B5581" s="61" t="s">
        <v>381</v>
      </c>
      <c r="C5581" s="62">
        <v>44803</v>
      </c>
      <c r="D5581" s="62">
        <v>44803</v>
      </c>
      <c r="E5581" s="63">
        <v>0</v>
      </c>
    </row>
    <row r="5582" spans="1:5">
      <c r="A5582" s="61" t="s">
        <v>245</v>
      </c>
      <c r="B5582" s="61" t="s">
        <v>382</v>
      </c>
      <c r="C5582" s="62">
        <v>44774</v>
      </c>
      <c r="D5582" s="62">
        <v>44774</v>
      </c>
      <c r="E5582" s="63">
        <v>0</v>
      </c>
    </row>
    <row r="5583" spans="1:5">
      <c r="A5583" s="61" t="s">
        <v>245</v>
      </c>
      <c r="B5583" s="61" t="s">
        <v>382</v>
      </c>
      <c r="C5583" s="62">
        <v>44775</v>
      </c>
      <c r="D5583" s="62">
        <v>44775</v>
      </c>
      <c r="E5583" s="63">
        <v>0</v>
      </c>
    </row>
    <row r="5584" spans="1:5">
      <c r="A5584" s="61" t="s">
        <v>245</v>
      </c>
      <c r="B5584" s="61" t="s">
        <v>382</v>
      </c>
      <c r="C5584" s="62">
        <v>44776</v>
      </c>
      <c r="D5584" s="62">
        <v>44776</v>
      </c>
      <c r="E5584" s="63">
        <v>0</v>
      </c>
    </row>
    <row r="5585" spans="1:5">
      <c r="A5585" s="61" t="s">
        <v>245</v>
      </c>
      <c r="B5585" s="61" t="s">
        <v>382</v>
      </c>
      <c r="C5585" s="62">
        <v>44777</v>
      </c>
      <c r="D5585" s="62">
        <v>44777</v>
      </c>
      <c r="E5585" s="63">
        <v>0</v>
      </c>
    </row>
    <row r="5586" spans="1:5">
      <c r="A5586" s="61" t="s">
        <v>245</v>
      </c>
      <c r="B5586" s="61" t="s">
        <v>382</v>
      </c>
      <c r="C5586" s="62">
        <v>44778</v>
      </c>
      <c r="D5586" s="62">
        <v>44778</v>
      </c>
      <c r="E5586" s="63">
        <v>0</v>
      </c>
    </row>
    <row r="5587" spans="1:5">
      <c r="A5587" s="61" t="s">
        <v>245</v>
      </c>
      <c r="B5587" s="61" t="s">
        <v>382</v>
      </c>
      <c r="C5587" s="62">
        <v>44779</v>
      </c>
      <c r="D5587" s="62">
        <v>44779</v>
      </c>
      <c r="E5587" s="63">
        <v>0</v>
      </c>
    </row>
    <row r="5588" spans="1:5">
      <c r="A5588" s="61" t="s">
        <v>245</v>
      </c>
      <c r="B5588" s="61" t="s">
        <v>382</v>
      </c>
      <c r="C5588" s="62">
        <v>44780</v>
      </c>
      <c r="D5588" s="62">
        <v>44780</v>
      </c>
      <c r="E5588" s="63">
        <v>0</v>
      </c>
    </row>
    <row r="5589" spans="1:5">
      <c r="A5589" s="61" t="s">
        <v>245</v>
      </c>
      <c r="B5589" s="61" t="s">
        <v>382</v>
      </c>
      <c r="C5589" s="62">
        <v>44781</v>
      </c>
      <c r="D5589" s="62">
        <v>44781</v>
      </c>
      <c r="E5589" s="63">
        <v>0</v>
      </c>
    </row>
    <row r="5590" spans="1:5">
      <c r="A5590" s="61" t="s">
        <v>245</v>
      </c>
      <c r="B5590" s="61" t="s">
        <v>382</v>
      </c>
      <c r="C5590" s="62">
        <v>44782</v>
      </c>
      <c r="D5590" s="62">
        <v>44782</v>
      </c>
      <c r="E5590" s="63">
        <v>0</v>
      </c>
    </row>
    <row r="5591" spans="1:5">
      <c r="A5591" s="61" t="s">
        <v>245</v>
      </c>
      <c r="B5591" s="61" t="s">
        <v>382</v>
      </c>
      <c r="C5591" s="62">
        <v>44783</v>
      </c>
      <c r="D5591" s="62">
        <v>44783</v>
      </c>
      <c r="E5591" s="63">
        <v>0</v>
      </c>
    </row>
    <row r="5592" spans="1:5">
      <c r="A5592" s="61" t="s">
        <v>245</v>
      </c>
      <c r="B5592" s="61" t="s">
        <v>382</v>
      </c>
      <c r="C5592" s="62">
        <v>44784</v>
      </c>
      <c r="D5592" s="62">
        <v>44784</v>
      </c>
      <c r="E5592" s="63">
        <v>0</v>
      </c>
    </row>
    <row r="5593" spans="1:5">
      <c r="A5593" s="61" t="s">
        <v>245</v>
      </c>
      <c r="B5593" s="61" t="s">
        <v>382</v>
      </c>
      <c r="C5593" s="62">
        <v>44785</v>
      </c>
      <c r="D5593" s="62">
        <v>44785</v>
      </c>
      <c r="E5593" s="63">
        <v>0</v>
      </c>
    </row>
    <row r="5594" spans="1:5">
      <c r="A5594" s="61" t="s">
        <v>245</v>
      </c>
      <c r="B5594" s="61" t="s">
        <v>382</v>
      </c>
      <c r="C5594" s="62">
        <v>44786</v>
      </c>
      <c r="D5594" s="62">
        <v>44786</v>
      </c>
      <c r="E5594" s="63">
        <v>0</v>
      </c>
    </row>
    <row r="5595" spans="1:5">
      <c r="A5595" s="61" t="s">
        <v>245</v>
      </c>
      <c r="B5595" s="61" t="s">
        <v>382</v>
      </c>
      <c r="C5595" s="62">
        <v>44787</v>
      </c>
      <c r="D5595" s="62">
        <v>44787</v>
      </c>
      <c r="E5595" s="63">
        <v>0</v>
      </c>
    </row>
    <row r="5596" spans="1:5">
      <c r="A5596" s="61" t="s">
        <v>245</v>
      </c>
      <c r="B5596" s="61" t="s">
        <v>382</v>
      </c>
      <c r="C5596" s="62">
        <v>44788</v>
      </c>
      <c r="D5596" s="62">
        <v>44788</v>
      </c>
      <c r="E5596" s="63">
        <v>0</v>
      </c>
    </row>
    <row r="5597" spans="1:5">
      <c r="A5597" s="61" t="s">
        <v>245</v>
      </c>
      <c r="B5597" s="61" t="s">
        <v>382</v>
      </c>
      <c r="C5597" s="62">
        <v>44789</v>
      </c>
      <c r="D5597" s="62">
        <v>44789</v>
      </c>
      <c r="E5597" s="63">
        <v>0</v>
      </c>
    </row>
    <row r="5598" spans="1:5">
      <c r="A5598" s="61" t="s">
        <v>245</v>
      </c>
      <c r="B5598" s="61" t="s">
        <v>382</v>
      </c>
      <c r="C5598" s="62">
        <v>44790</v>
      </c>
      <c r="D5598" s="62">
        <v>44790</v>
      </c>
      <c r="E5598" s="63">
        <v>0</v>
      </c>
    </row>
    <row r="5599" spans="1:5">
      <c r="A5599" s="61" t="s">
        <v>245</v>
      </c>
      <c r="B5599" s="61" t="s">
        <v>382</v>
      </c>
      <c r="C5599" s="62">
        <v>44791</v>
      </c>
      <c r="D5599" s="62">
        <v>44791</v>
      </c>
      <c r="E5599" s="63">
        <v>0</v>
      </c>
    </row>
    <row r="5600" spans="1:5">
      <c r="A5600" s="61" t="s">
        <v>245</v>
      </c>
      <c r="B5600" s="61" t="s">
        <v>382</v>
      </c>
      <c r="C5600" s="62">
        <v>44792</v>
      </c>
      <c r="D5600" s="62">
        <v>44792</v>
      </c>
      <c r="E5600" s="63">
        <v>0</v>
      </c>
    </row>
    <row r="5601" spans="1:5">
      <c r="A5601" s="61" t="s">
        <v>245</v>
      </c>
      <c r="B5601" s="61" t="s">
        <v>382</v>
      </c>
      <c r="C5601" s="62">
        <v>44793</v>
      </c>
      <c r="D5601" s="62">
        <v>44793</v>
      </c>
      <c r="E5601" s="63">
        <v>0</v>
      </c>
    </row>
    <row r="5602" spans="1:5">
      <c r="A5602" s="61" t="s">
        <v>245</v>
      </c>
      <c r="B5602" s="61" t="s">
        <v>382</v>
      </c>
      <c r="C5602" s="62">
        <v>44794</v>
      </c>
      <c r="D5602" s="62">
        <v>44794</v>
      </c>
      <c r="E5602" s="63">
        <v>0</v>
      </c>
    </row>
    <row r="5603" spans="1:5">
      <c r="A5603" s="61" t="s">
        <v>245</v>
      </c>
      <c r="B5603" s="61" t="s">
        <v>382</v>
      </c>
      <c r="C5603" s="62">
        <v>44795</v>
      </c>
      <c r="D5603" s="62">
        <v>44795</v>
      </c>
      <c r="E5603" s="63">
        <v>0</v>
      </c>
    </row>
    <row r="5604" spans="1:5">
      <c r="A5604" s="61" t="s">
        <v>245</v>
      </c>
      <c r="B5604" s="61" t="s">
        <v>382</v>
      </c>
      <c r="C5604" s="62">
        <v>44796</v>
      </c>
      <c r="D5604" s="62">
        <v>44796</v>
      </c>
      <c r="E5604" s="63">
        <v>0</v>
      </c>
    </row>
    <row r="5605" spans="1:5">
      <c r="A5605" s="61" t="s">
        <v>245</v>
      </c>
      <c r="B5605" s="61" t="s">
        <v>382</v>
      </c>
      <c r="C5605" s="62">
        <v>44797</v>
      </c>
      <c r="D5605" s="62">
        <v>44797</v>
      </c>
      <c r="E5605" s="63">
        <v>0</v>
      </c>
    </row>
    <row r="5606" spans="1:5">
      <c r="A5606" s="61" t="s">
        <v>245</v>
      </c>
      <c r="B5606" s="61" t="s">
        <v>382</v>
      </c>
      <c r="C5606" s="62">
        <v>44798</v>
      </c>
      <c r="D5606" s="62">
        <v>44798</v>
      </c>
      <c r="E5606" s="63">
        <v>0</v>
      </c>
    </row>
    <row r="5607" spans="1:5">
      <c r="A5607" s="61" t="s">
        <v>245</v>
      </c>
      <c r="B5607" s="61" t="s">
        <v>382</v>
      </c>
      <c r="C5607" s="62">
        <v>44799</v>
      </c>
      <c r="D5607" s="62">
        <v>44799</v>
      </c>
      <c r="E5607" s="63">
        <v>0</v>
      </c>
    </row>
    <row r="5608" spans="1:5">
      <c r="A5608" s="61" t="s">
        <v>245</v>
      </c>
      <c r="B5608" s="61" t="s">
        <v>382</v>
      </c>
      <c r="C5608" s="62">
        <v>44800</v>
      </c>
      <c r="D5608" s="62">
        <v>44800</v>
      </c>
      <c r="E5608" s="63">
        <v>0</v>
      </c>
    </row>
    <row r="5609" spans="1:5">
      <c r="A5609" s="61" t="s">
        <v>245</v>
      </c>
      <c r="B5609" s="61" t="s">
        <v>382</v>
      </c>
      <c r="C5609" s="62">
        <v>44801</v>
      </c>
      <c r="D5609" s="62">
        <v>44801</v>
      </c>
      <c r="E5609" s="63">
        <v>0</v>
      </c>
    </row>
    <row r="5610" spans="1:5">
      <c r="A5610" s="61" t="s">
        <v>245</v>
      </c>
      <c r="B5610" s="61" t="s">
        <v>382</v>
      </c>
      <c r="C5610" s="62">
        <v>44802</v>
      </c>
      <c r="D5610" s="62">
        <v>44802</v>
      </c>
      <c r="E5610" s="63">
        <v>0</v>
      </c>
    </row>
    <row r="5611" spans="1:5">
      <c r="A5611" s="61" t="s">
        <v>245</v>
      </c>
      <c r="B5611" s="61" t="s">
        <v>382</v>
      </c>
      <c r="C5611" s="62">
        <v>44803</v>
      </c>
      <c r="D5611" s="62">
        <v>44803</v>
      </c>
      <c r="E5611" s="63">
        <v>0</v>
      </c>
    </row>
    <row r="5612" spans="1:5">
      <c r="A5612" s="61" t="s">
        <v>246</v>
      </c>
      <c r="B5612" s="61" t="s">
        <v>383</v>
      </c>
      <c r="C5612" s="62">
        <v>44774</v>
      </c>
      <c r="D5612" s="62">
        <v>44774</v>
      </c>
      <c r="E5612" s="63">
        <v>0</v>
      </c>
    </row>
    <row r="5613" spans="1:5">
      <c r="A5613" s="61" t="s">
        <v>246</v>
      </c>
      <c r="B5613" s="61" t="s">
        <v>383</v>
      </c>
      <c r="C5613" s="62">
        <v>44775</v>
      </c>
      <c r="D5613" s="62">
        <v>44775</v>
      </c>
      <c r="E5613" s="63">
        <v>0</v>
      </c>
    </row>
    <row r="5614" spans="1:5">
      <c r="A5614" s="61" t="s">
        <v>246</v>
      </c>
      <c r="B5614" s="61" t="s">
        <v>383</v>
      </c>
      <c r="C5614" s="62">
        <v>44776</v>
      </c>
      <c r="D5614" s="62">
        <v>44776</v>
      </c>
      <c r="E5614" s="63">
        <v>0</v>
      </c>
    </row>
    <row r="5615" spans="1:5">
      <c r="A5615" s="61" t="s">
        <v>246</v>
      </c>
      <c r="B5615" s="61" t="s">
        <v>383</v>
      </c>
      <c r="C5615" s="62">
        <v>44777</v>
      </c>
      <c r="D5615" s="62">
        <v>44777</v>
      </c>
      <c r="E5615" s="63">
        <v>0</v>
      </c>
    </row>
    <row r="5616" spans="1:5">
      <c r="A5616" s="61" t="s">
        <v>246</v>
      </c>
      <c r="B5616" s="61" t="s">
        <v>383</v>
      </c>
      <c r="C5616" s="62">
        <v>44778</v>
      </c>
      <c r="D5616" s="62">
        <v>44778</v>
      </c>
      <c r="E5616" s="63">
        <v>0</v>
      </c>
    </row>
    <row r="5617" spans="1:5">
      <c r="A5617" s="61" t="s">
        <v>246</v>
      </c>
      <c r="B5617" s="61" t="s">
        <v>383</v>
      </c>
      <c r="C5617" s="62">
        <v>44779</v>
      </c>
      <c r="D5617" s="62">
        <v>44779</v>
      </c>
      <c r="E5617" s="63">
        <v>0</v>
      </c>
    </row>
    <row r="5618" spans="1:5">
      <c r="A5618" s="61" t="s">
        <v>246</v>
      </c>
      <c r="B5618" s="61" t="s">
        <v>383</v>
      </c>
      <c r="C5618" s="62">
        <v>44780</v>
      </c>
      <c r="D5618" s="62">
        <v>44780</v>
      </c>
      <c r="E5618" s="63">
        <v>0</v>
      </c>
    </row>
    <row r="5619" spans="1:5">
      <c r="A5619" s="61" t="s">
        <v>246</v>
      </c>
      <c r="B5619" s="61" t="s">
        <v>383</v>
      </c>
      <c r="C5619" s="62">
        <v>44781</v>
      </c>
      <c r="D5619" s="62">
        <v>44781</v>
      </c>
      <c r="E5619" s="63">
        <v>0</v>
      </c>
    </row>
    <row r="5620" spans="1:5">
      <c r="A5620" s="61" t="s">
        <v>246</v>
      </c>
      <c r="B5620" s="61" t="s">
        <v>383</v>
      </c>
      <c r="C5620" s="62">
        <v>44782</v>
      </c>
      <c r="D5620" s="62">
        <v>44782</v>
      </c>
      <c r="E5620" s="63">
        <v>0</v>
      </c>
    </row>
    <row r="5621" spans="1:5">
      <c r="A5621" s="61" t="s">
        <v>246</v>
      </c>
      <c r="B5621" s="61" t="s">
        <v>383</v>
      </c>
      <c r="C5621" s="62">
        <v>44783</v>
      </c>
      <c r="D5621" s="62">
        <v>44783</v>
      </c>
      <c r="E5621" s="63">
        <v>0</v>
      </c>
    </row>
    <row r="5622" spans="1:5">
      <c r="A5622" s="61" t="s">
        <v>246</v>
      </c>
      <c r="B5622" s="61" t="s">
        <v>383</v>
      </c>
      <c r="C5622" s="62">
        <v>44784</v>
      </c>
      <c r="D5622" s="62">
        <v>44784</v>
      </c>
      <c r="E5622" s="63">
        <v>0</v>
      </c>
    </row>
    <row r="5623" spans="1:5">
      <c r="A5623" s="61" t="s">
        <v>246</v>
      </c>
      <c r="B5623" s="61" t="s">
        <v>383</v>
      </c>
      <c r="C5623" s="62">
        <v>44785</v>
      </c>
      <c r="D5623" s="62">
        <v>44785</v>
      </c>
      <c r="E5623" s="63">
        <v>0</v>
      </c>
    </row>
    <row r="5624" spans="1:5">
      <c r="A5624" s="61" t="s">
        <v>246</v>
      </c>
      <c r="B5624" s="61" t="s">
        <v>383</v>
      </c>
      <c r="C5624" s="62">
        <v>44786</v>
      </c>
      <c r="D5624" s="62">
        <v>44786</v>
      </c>
      <c r="E5624" s="63">
        <v>0</v>
      </c>
    </row>
    <row r="5625" spans="1:5">
      <c r="A5625" s="61" t="s">
        <v>246</v>
      </c>
      <c r="B5625" s="61" t="s">
        <v>383</v>
      </c>
      <c r="C5625" s="62">
        <v>44787</v>
      </c>
      <c r="D5625" s="62">
        <v>44787</v>
      </c>
      <c r="E5625" s="63">
        <v>0</v>
      </c>
    </row>
    <row r="5626" spans="1:5">
      <c r="A5626" s="61" t="s">
        <v>246</v>
      </c>
      <c r="B5626" s="61" t="s">
        <v>383</v>
      </c>
      <c r="C5626" s="62">
        <v>44788</v>
      </c>
      <c r="D5626" s="62">
        <v>44788</v>
      </c>
      <c r="E5626" s="63">
        <v>0</v>
      </c>
    </row>
    <row r="5627" spans="1:5">
      <c r="A5627" s="61" t="s">
        <v>246</v>
      </c>
      <c r="B5627" s="61" t="s">
        <v>383</v>
      </c>
      <c r="C5627" s="62">
        <v>44789</v>
      </c>
      <c r="D5627" s="62">
        <v>44789</v>
      </c>
      <c r="E5627" s="63">
        <v>0</v>
      </c>
    </row>
    <row r="5628" spans="1:5">
      <c r="A5628" s="61" t="s">
        <v>246</v>
      </c>
      <c r="B5628" s="61" t="s">
        <v>383</v>
      </c>
      <c r="C5628" s="62">
        <v>44790</v>
      </c>
      <c r="D5628" s="62">
        <v>44790</v>
      </c>
      <c r="E5628" s="63">
        <v>0</v>
      </c>
    </row>
    <row r="5629" spans="1:5">
      <c r="A5629" s="61" t="s">
        <v>246</v>
      </c>
      <c r="B5629" s="61" t="s">
        <v>383</v>
      </c>
      <c r="C5629" s="62">
        <v>44791</v>
      </c>
      <c r="D5629" s="62">
        <v>44791</v>
      </c>
      <c r="E5629" s="63">
        <v>0</v>
      </c>
    </row>
    <row r="5630" spans="1:5">
      <c r="A5630" s="61" t="s">
        <v>246</v>
      </c>
      <c r="B5630" s="61" t="s">
        <v>383</v>
      </c>
      <c r="C5630" s="62">
        <v>44792</v>
      </c>
      <c r="D5630" s="62">
        <v>44792</v>
      </c>
      <c r="E5630" s="63">
        <v>0</v>
      </c>
    </row>
    <row r="5631" spans="1:5">
      <c r="A5631" s="61" t="s">
        <v>246</v>
      </c>
      <c r="B5631" s="61" t="s">
        <v>383</v>
      </c>
      <c r="C5631" s="62">
        <v>44793</v>
      </c>
      <c r="D5631" s="62">
        <v>44793</v>
      </c>
      <c r="E5631" s="63">
        <v>0</v>
      </c>
    </row>
    <row r="5632" spans="1:5">
      <c r="A5632" s="61" t="s">
        <v>246</v>
      </c>
      <c r="B5632" s="61" t="s">
        <v>383</v>
      </c>
      <c r="C5632" s="62">
        <v>44794</v>
      </c>
      <c r="D5632" s="62">
        <v>44794</v>
      </c>
      <c r="E5632" s="63">
        <v>0</v>
      </c>
    </row>
    <row r="5633" spans="1:5">
      <c r="A5633" s="61" t="s">
        <v>246</v>
      </c>
      <c r="B5633" s="61" t="s">
        <v>383</v>
      </c>
      <c r="C5633" s="62">
        <v>44795</v>
      </c>
      <c r="D5633" s="62">
        <v>44795</v>
      </c>
      <c r="E5633" s="63">
        <v>0</v>
      </c>
    </row>
    <row r="5634" spans="1:5">
      <c r="A5634" s="61" t="s">
        <v>246</v>
      </c>
      <c r="B5634" s="61" t="s">
        <v>383</v>
      </c>
      <c r="C5634" s="62">
        <v>44796</v>
      </c>
      <c r="D5634" s="62">
        <v>44796</v>
      </c>
      <c r="E5634" s="63">
        <v>0</v>
      </c>
    </row>
    <row r="5635" spans="1:5">
      <c r="A5635" s="61" t="s">
        <v>246</v>
      </c>
      <c r="B5635" s="61" t="s">
        <v>383</v>
      </c>
      <c r="C5635" s="62">
        <v>44797</v>
      </c>
      <c r="D5635" s="62">
        <v>44797</v>
      </c>
      <c r="E5635" s="63">
        <v>0</v>
      </c>
    </row>
    <row r="5636" spans="1:5">
      <c r="A5636" s="61" t="s">
        <v>246</v>
      </c>
      <c r="B5636" s="61" t="s">
        <v>383</v>
      </c>
      <c r="C5636" s="62">
        <v>44798</v>
      </c>
      <c r="D5636" s="62">
        <v>44798</v>
      </c>
      <c r="E5636" s="63">
        <v>0</v>
      </c>
    </row>
    <row r="5637" spans="1:5">
      <c r="A5637" s="61" t="s">
        <v>246</v>
      </c>
      <c r="B5637" s="61" t="s">
        <v>383</v>
      </c>
      <c r="C5637" s="62">
        <v>44799</v>
      </c>
      <c r="D5637" s="62">
        <v>44799</v>
      </c>
      <c r="E5637" s="63">
        <v>0</v>
      </c>
    </row>
    <row r="5638" spans="1:5">
      <c r="A5638" s="61" t="s">
        <v>246</v>
      </c>
      <c r="B5638" s="61" t="s">
        <v>383</v>
      </c>
      <c r="C5638" s="62">
        <v>44800</v>
      </c>
      <c r="D5638" s="62">
        <v>44800</v>
      </c>
      <c r="E5638" s="63">
        <v>0</v>
      </c>
    </row>
    <row r="5639" spans="1:5">
      <c r="A5639" s="61" t="s">
        <v>246</v>
      </c>
      <c r="B5639" s="61" t="s">
        <v>383</v>
      </c>
      <c r="C5639" s="62">
        <v>44801</v>
      </c>
      <c r="D5639" s="62">
        <v>44801</v>
      </c>
      <c r="E5639" s="63">
        <v>0</v>
      </c>
    </row>
    <row r="5640" spans="1:5">
      <c r="A5640" s="61" t="s">
        <v>246</v>
      </c>
      <c r="B5640" s="61" t="s">
        <v>383</v>
      </c>
      <c r="C5640" s="62">
        <v>44802</v>
      </c>
      <c r="D5640" s="62">
        <v>44802</v>
      </c>
      <c r="E5640" s="63">
        <v>0</v>
      </c>
    </row>
    <row r="5641" spans="1:5">
      <c r="A5641" s="61" t="s">
        <v>246</v>
      </c>
      <c r="B5641" s="61" t="s">
        <v>383</v>
      </c>
      <c r="C5641" s="62">
        <v>44803</v>
      </c>
      <c r="D5641" s="62">
        <v>44803</v>
      </c>
      <c r="E5641" s="63">
        <v>0</v>
      </c>
    </row>
    <row r="5642" spans="1:5">
      <c r="A5642" s="61" t="s">
        <v>99</v>
      </c>
      <c r="B5642" s="61" t="s">
        <v>380</v>
      </c>
      <c r="C5642" s="62">
        <v>44774</v>
      </c>
      <c r="D5642" s="62">
        <v>44774</v>
      </c>
      <c r="E5642" s="63">
        <v>259.47000000000003</v>
      </c>
    </row>
    <row r="5643" spans="1:5">
      <c r="A5643" s="61" t="s">
        <v>99</v>
      </c>
      <c r="B5643" s="61" t="s">
        <v>380</v>
      </c>
      <c r="C5643" s="62">
        <v>44775</v>
      </c>
      <c r="D5643" s="62">
        <v>44775</v>
      </c>
      <c r="E5643" s="63">
        <v>38.32</v>
      </c>
    </row>
    <row r="5644" spans="1:5">
      <c r="A5644" s="61" t="s">
        <v>99</v>
      </c>
      <c r="B5644" s="61" t="s">
        <v>380</v>
      </c>
      <c r="C5644" s="62">
        <v>44776</v>
      </c>
      <c r="D5644" s="62">
        <v>44776</v>
      </c>
      <c r="E5644" s="63">
        <v>0</v>
      </c>
    </row>
    <row r="5645" spans="1:5">
      <c r="A5645" s="61" t="s">
        <v>99</v>
      </c>
      <c r="B5645" s="61" t="s">
        <v>380</v>
      </c>
      <c r="C5645" s="62">
        <v>44777</v>
      </c>
      <c r="D5645" s="62">
        <v>44777</v>
      </c>
      <c r="E5645" s="63">
        <v>0</v>
      </c>
    </row>
    <row r="5646" spans="1:5">
      <c r="A5646" s="61" t="s">
        <v>99</v>
      </c>
      <c r="B5646" s="61" t="s">
        <v>380</v>
      </c>
      <c r="C5646" s="62">
        <v>44778</v>
      </c>
      <c r="D5646" s="62">
        <v>44778</v>
      </c>
      <c r="E5646" s="63">
        <v>0</v>
      </c>
    </row>
    <row r="5647" spans="1:5">
      <c r="A5647" s="61" t="s">
        <v>99</v>
      </c>
      <c r="B5647" s="61" t="s">
        <v>380</v>
      </c>
      <c r="C5647" s="62">
        <v>44779</v>
      </c>
      <c r="D5647" s="62">
        <v>44779</v>
      </c>
      <c r="E5647" s="63">
        <v>0</v>
      </c>
    </row>
    <row r="5648" spans="1:5">
      <c r="A5648" s="61" t="s">
        <v>99</v>
      </c>
      <c r="B5648" s="61" t="s">
        <v>380</v>
      </c>
      <c r="C5648" s="62">
        <v>44780</v>
      </c>
      <c r="D5648" s="62">
        <v>44780</v>
      </c>
      <c r="E5648" s="63">
        <v>0</v>
      </c>
    </row>
    <row r="5649" spans="1:5">
      <c r="A5649" s="61" t="s">
        <v>99</v>
      </c>
      <c r="B5649" s="61" t="s">
        <v>380</v>
      </c>
      <c r="C5649" s="62">
        <v>44781</v>
      </c>
      <c r="D5649" s="62">
        <v>44781</v>
      </c>
      <c r="E5649" s="63">
        <v>0.84</v>
      </c>
    </row>
    <row r="5650" spans="1:5">
      <c r="A5650" s="61" t="s">
        <v>99</v>
      </c>
      <c r="B5650" s="61" t="s">
        <v>380</v>
      </c>
      <c r="C5650" s="62">
        <v>44782</v>
      </c>
      <c r="D5650" s="62">
        <v>44782</v>
      </c>
      <c r="E5650" s="63">
        <v>0</v>
      </c>
    </row>
    <row r="5651" spans="1:5">
      <c r="A5651" s="61" t="s">
        <v>99</v>
      </c>
      <c r="B5651" s="61" t="s">
        <v>380</v>
      </c>
      <c r="C5651" s="62">
        <v>44783</v>
      </c>
      <c r="D5651" s="62">
        <v>44783</v>
      </c>
      <c r="E5651" s="63">
        <v>0.54</v>
      </c>
    </row>
    <row r="5652" spans="1:5">
      <c r="A5652" s="61" t="s">
        <v>99</v>
      </c>
      <c r="B5652" s="61" t="s">
        <v>380</v>
      </c>
      <c r="C5652" s="62">
        <v>44784</v>
      </c>
      <c r="D5652" s="62">
        <v>44784</v>
      </c>
      <c r="E5652" s="63">
        <v>35.57</v>
      </c>
    </row>
    <row r="5653" spans="1:5">
      <c r="A5653" s="61" t="s">
        <v>99</v>
      </c>
      <c r="B5653" s="61" t="s">
        <v>380</v>
      </c>
      <c r="C5653" s="62">
        <v>44785</v>
      </c>
      <c r="D5653" s="62">
        <v>44785</v>
      </c>
      <c r="E5653" s="63">
        <v>97.280000000000015</v>
      </c>
    </row>
    <row r="5654" spans="1:5">
      <c r="A5654" s="61" t="s">
        <v>99</v>
      </c>
      <c r="B5654" s="61" t="s">
        <v>380</v>
      </c>
      <c r="C5654" s="62">
        <v>44786</v>
      </c>
      <c r="D5654" s="62">
        <v>44786</v>
      </c>
      <c r="E5654" s="63">
        <v>0</v>
      </c>
    </row>
    <row r="5655" spans="1:5">
      <c r="A5655" s="61" t="s">
        <v>99</v>
      </c>
      <c r="B5655" s="61" t="s">
        <v>380</v>
      </c>
      <c r="C5655" s="62">
        <v>44787</v>
      </c>
      <c r="D5655" s="62">
        <v>44787</v>
      </c>
      <c r="E5655" s="63">
        <v>0</v>
      </c>
    </row>
    <row r="5656" spans="1:5">
      <c r="A5656" s="61" t="s">
        <v>99</v>
      </c>
      <c r="B5656" s="61" t="s">
        <v>380</v>
      </c>
      <c r="C5656" s="62">
        <v>44788</v>
      </c>
      <c r="D5656" s="62">
        <v>44788</v>
      </c>
      <c r="E5656" s="63">
        <v>0</v>
      </c>
    </row>
    <row r="5657" spans="1:5">
      <c r="A5657" s="61" t="s">
        <v>99</v>
      </c>
      <c r="B5657" s="61" t="s">
        <v>380</v>
      </c>
      <c r="C5657" s="62">
        <v>44789</v>
      </c>
      <c r="D5657" s="62">
        <v>44789</v>
      </c>
      <c r="E5657" s="63">
        <v>74.789999999999992</v>
      </c>
    </row>
    <row r="5658" spans="1:5">
      <c r="A5658" s="61" t="s">
        <v>99</v>
      </c>
      <c r="B5658" s="61" t="s">
        <v>380</v>
      </c>
      <c r="C5658" s="62">
        <v>44790</v>
      </c>
      <c r="D5658" s="62">
        <v>44790</v>
      </c>
      <c r="E5658" s="63">
        <v>0</v>
      </c>
    </row>
    <row r="5659" spans="1:5">
      <c r="A5659" s="61" t="s">
        <v>99</v>
      </c>
      <c r="B5659" s="61" t="s">
        <v>380</v>
      </c>
      <c r="C5659" s="62">
        <v>44791</v>
      </c>
      <c r="D5659" s="62">
        <v>44791</v>
      </c>
      <c r="E5659" s="63">
        <v>0</v>
      </c>
    </row>
    <row r="5660" spans="1:5">
      <c r="A5660" s="61" t="s">
        <v>99</v>
      </c>
      <c r="B5660" s="61" t="s">
        <v>380</v>
      </c>
      <c r="C5660" s="62">
        <v>44792</v>
      </c>
      <c r="D5660" s="62">
        <v>44792</v>
      </c>
      <c r="E5660" s="63">
        <v>0</v>
      </c>
    </row>
    <row r="5661" spans="1:5">
      <c r="A5661" s="61" t="s">
        <v>99</v>
      </c>
      <c r="B5661" s="61" t="s">
        <v>380</v>
      </c>
      <c r="C5661" s="62">
        <v>44793</v>
      </c>
      <c r="D5661" s="62">
        <v>44793</v>
      </c>
      <c r="E5661" s="63">
        <v>0</v>
      </c>
    </row>
    <row r="5662" spans="1:5">
      <c r="A5662" s="61" t="s">
        <v>99</v>
      </c>
      <c r="B5662" s="61" t="s">
        <v>380</v>
      </c>
      <c r="C5662" s="62">
        <v>44794</v>
      </c>
      <c r="D5662" s="62">
        <v>44794</v>
      </c>
      <c r="E5662" s="63">
        <v>0</v>
      </c>
    </row>
    <row r="5663" spans="1:5">
      <c r="A5663" s="61" t="s">
        <v>99</v>
      </c>
      <c r="B5663" s="61" t="s">
        <v>380</v>
      </c>
      <c r="C5663" s="62">
        <v>44795</v>
      </c>
      <c r="D5663" s="62">
        <v>44795</v>
      </c>
      <c r="E5663" s="63">
        <v>0.05</v>
      </c>
    </row>
    <row r="5664" spans="1:5">
      <c r="A5664" s="61" t="s">
        <v>99</v>
      </c>
      <c r="B5664" s="61" t="s">
        <v>380</v>
      </c>
      <c r="C5664" s="62">
        <v>44796</v>
      </c>
      <c r="D5664" s="62">
        <v>44796</v>
      </c>
      <c r="E5664" s="63">
        <v>8.49</v>
      </c>
    </row>
    <row r="5665" spans="1:5">
      <c r="A5665" s="61" t="s">
        <v>99</v>
      </c>
      <c r="B5665" s="61" t="s">
        <v>380</v>
      </c>
      <c r="C5665" s="62">
        <v>44797</v>
      </c>
      <c r="D5665" s="62">
        <v>44797</v>
      </c>
      <c r="E5665" s="63">
        <v>0</v>
      </c>
    </row>
    <row r="5666" spans="1:5">
      <c r="A5666" s="61" t="s">
        <v>99</v>
      </c>
      <c r="B5666" s="61" t="s">
        <v>380</v>
      </c>
      <c r="C5666" s="62">
        <v>44798</v>
      </c>
      <c r="D5666" s="62">
        <v>44798</v>
      </c>
      <c r="E5666" s="63">
        <v>0</v>
      </c>
    </row>
    <row r="5667" spans="1:5">
      <c r="A5667" s="61" t="s">
        <v>99</v>
      </c>
      <c r="B5667" s="61" t="s">
        <v>380</v>
      </c>
      <c r="C5667" s="62">
        <v>44799</v>
      </c>
      <c r="D5667" s="62">
        <v>44799</v>
      </c>
      <c r="E5667" s="63">
        <v>2.56</v>
      </c>
    </row>
    <row r="5668" spans="1:5">
      <c r="A5668" s="61" t="s">
        <v>99</v>
      </c>
      <c r="B5668" s="61" t="s">
        <v>380</v>
      </c>
      <c r="C5668" s="62">
        <v>44800</v>
      </c>
      <c r="D5668" s="62">
        <v>44800</v>
      </c>
      <c r="E5668" s="63">
        <v>0</v>
      </c>
    </row>
    <row r="5669" spans="1:5">
      <c r="A5669" s="61" t="s">
        <v>99</v>
      </c>
      <c r="B5669" s="61" t="s">
        <v>380</v>
      </c>
      <c r="C5669" s="62">
        <v>44801</v>
      </c>
      <c r="D5669" s="62">
        <v>44801</v>
      </c>
      <c r="E5669" s="63">
        <v>0</v>
      </c>
    </row>
    <row r="5670" spans="1:5">
      <c r="A5670" s="61" t="s">
        <v>99</v>
      </c>
      <c r="B5670" s="61" t="s">
        <v>380</v>
      </c>
      <c r="C5670" s="62">
        <v>44802</v>
      </c>
      <c r="D5670" s="62">
        <v>44802</v>
      </c>
      <c r="E5670" s="63">
        <v>4337.49</v>
      </c>
    </row>
    <row r="5671" spans="1:5">
      <c r="A5671" s="61" t="s">
        <v>99</v>
      </c>
      <c r="B5671" s="61" t="s">
        <v>380</v>
      </c>
      <c r="C5671" s="62">
        <v>44803</v>
      </c>
      <c r="D5671" s="62">
        <v>44803</v>
      </c>
      <c r="E5671" s="63">
        <v>0</v>
      </c>
    </row>
    <row r="5672" spans="1:5">
      <c r="A5672" s="61" t="s">
        <v>247</v>
      </c>
      <c r="B5672" s="61" t="s">
        <v>381</v>
      </c>
      <c r="C5672" s="62">
        <v>44774</v>
      </c>
      <c r="D5672" s="62">
        <v>44774</v>
      </c>
      <c r="E5672" s="63">
        <v>0</v>
      </c>
    </row>
    <row r="5673" spans="1:5">
      <c r="A5673" s="61" t="s">
        <v>247</v>
      </c>
      <c r="B5673" s="61" t="s">
        <v>381</v>
      </c>
      <c r="C5673" s="62">
        <v>44775</v>
      </c>
      <c r="D5673" s="62">
        <v>44775</v>
      </c>
      <c r="E5673" s="63">
        <v>0</v>
      </c>
    </row>
    <row r="5674" spans="1:5">
      <c r="A5674" s="61" t="s">
        <v>247</v>
      </c>
      <c r="B5674" s="61" t="s">
        <v>381</v>
      </c>
      <c r="C5674" s="62">
        <v>44776</v>
      </c>
      <c r="D5674" s="62">
        <v>44776</v>
      </c>
      <c r="E5674" s="63">
        <v>0</v>
      </c>
    </row>
    <row r="5675" spans="1:5">
      <c r="A5675" s="61" t="s">
        <v>247</v>
      </c>
      <c r="B5675" s="61" t="s">
        <v>381</v>
      </c>
      <c r="C5675" s="62">
        <v>44777</v>
      </c>
      <c r="D5675" s="62">
        <v>44777</v>
      </c>
      <c r="E5675" s="63">
        <v>0</v>
      </c>
    </row>
    <row r="5676" spans="1:5">
      <c r="A5676" s="61" t="s">
        <v>247</v>
      </c>
      <c r="B5676" s="61" t="s">
        <v>381</v>
      </c>
      <c r="C5676" s="62">
        <v>44778</v>
      </c>
      <c r="D5676" s="62">
        <v>44778</v>
      </c>
      <c r="E5676" s="63">
        <v>0</v>
      </c>
    </row>
    <row r="5677" spans="1:5">
      <c r="A5677" s="61" t="s">
        <v>247</v>
      </c>
      <c r="B5677" s="61" t="s">
        <v>381</v>
      </c>
      <c r="C5677" s="62">
        <v>44779</v>
      </c>
      <c r="D5677" s="62">
        <v>44779</v>
      </c>
      <c r="E5677" s="63">
        <v>0</v>
      </c>
    </row>
    <row r="5678" spans="1:5">
      <c r="A5678" s="61" t="s">
        <v>247</v>
      </c>
      <c r="B5678" s="61" t="s">
        <v>381</v>
      </c>
      <c r="C5678" s="62">
        <v>44780</v>
      </c>
      <c r="D5678" s="62">
        <v>44780</v>
      </c>
      <c r="E5678" s="63">
        <v>0</v>
      </c>
    </row>
    <row r="5679" spans="1:5">
      <c r="A5679" s="61" t="s">
        <v>247</v>
      </c>
      <c r="B5679" s="61" t="s">
        <v>381</v>
      </c>
      <c r="C5679" s="62">
        <v>44781</v>
      </c>
      <c r="D5679" s="62">
        <v>44781</v>
      </c>
      <c r="E5679" s="63">
        <v>0</v>
      </c>
    </row>
    <row r="5680" spans="1:5">
      <c r="A5680" s="61" t="s">
        <v>247</v>
      </c>
      <c r="B5680" s="61" t="s">
        <v>381</v>
      </c>
      <c r="C5680" s="62">
        <v>44782</v>
      </c>
      <c r="D5680" s="62">
        <v>44782</v>
      </c>
      <c r="E5680" s="63">
        <v>0</v>
      </c>
    </row>
    <row r="5681" spans="1:5">
      <c r="A5681" s="61" t="s">
        <v>247</v>
      </c>
      <c r="B5681" s="61" t="s">
        <v>381</v>
      </c>
      <c r="C5681" s="62">
        <v>44783</v>
      </c>
      <c r="D5681" s="62">
        <v>44783</v>
      </c>
      <c r="E5681" s="63">
        <v>0</v>
      </c>
    </row>
    <row r="5682" spans="1:5">
      <c r="A5682" s="61" t="s">
        <v>247</v>
      </c>
      <c r="B5682" s="61" t="s">
        <v>381</v>
      </c>
      <c r="C5682" s="62">
        <v>44784</v>
      </c>
      <c r="D5682" s="62">
        <v>44784</v>
      </c>
      <c r="E5682" s="63">
        <v>21.099999999999998</v>
      </c>
    </row>
    <row r="5683" spans="1:5">
      <c r="A5683" s="61" t="s">
        <v>247</v>
      </c>
      <c r="B5683" s="61" t="s">
        <v>381</v>
      </c>
      <c r="C5683" s="62">
        <v>44785</v>
      </c>
      <c r="D5683" s="62">
        <v>44785</v>
      </c>
      <c r="E5683" s="63">
        <v>941.08</v>
      </c>
    </row>
    <row r="5684" spans="1:5">
      <c r="A5684" s="61" t="s">
        <v>247</v>
      </c>
      <c r="B5684" s="61" t="s">
        <v>381</v>
      </c>
      <c r="C5684" s="62">
        <v>44786</v>
      </c>
      <c r="D5684" s="62">
        <v>44786</v>
      </c>
      <c r="E5684" s="63">
        <v>0</v>
      </c>
    </row>
    <row r="5685" spans="1:5">
      <c r="A5685" s="61" t="s">
        <v>247</v>
      </c>
      <c r="B5685" s="61" t="s">
        <v>381</v>
      </c>
      <c r="C5685" s="62">
        <v>44787</v>
      </c>
      <c r="D5685" s="62">
        <v>44787</v>
      </c>
      <c r="E5685" s="63">
        <v>0</v>
      </c>
    </row>
    <row r="5686" spans="1:5">
      <c r="A5686" s="61" t="s">
        <v>247</v>
      </c>
      <c r="B5686" s="61" t="s">
        <v>381</v>
      </c>
      <c r="C5686" s="62">
        <v>44788</v>
      </c>
      <c r="D5686" s="62">
        <v>44788</v>
      </c>
      <c r="E5686" s="63">
        <v>0</v>
      </c>
    </row>
    <row r="5687" spans="1:5">
      <c r="A5687" s="61" t="s">
        <v>247</v>
      </c>
      <c r="B5687" s="61" t="s">
        <v>381</v>
      </c>
      <c r="C5687" s="62">
        <v>44789</v>
      </c>
      <c r="D5687" s="62">
        <v>44789</v>
      </c>
      <c r="E5687" s="63">
        <v>77.73</v>
      </c>
    </row>
    <row r="5688" spans="1:5">
      <c r="A5688" s="61" t="s">
        <v>247</v>
      </c>
      <c r="B5688" s="61" t="s">
        <v>381</v>
      </c>
      <c r="C5688" s="62">
        <v>44790</v>
      </c>
      <c r="D5688" s="62">
        <v>44790</v>
      </c>
      <c r="E5688" s="63">
        <v>0</v>
      </c>
    </row>
    <row r="5689" spans="1:5">
      <c r="A5689" s="61" t="s">
        <v>247</v>
      </c>
      <c r="B5689" s="61" t="s">
        <v>381</v>
      </c>
      <c r="C5689" s="62">
        <v>44791</v>
      </c>
      <c r="D5689" s="62">
        <v>44791</v>
      </c>
      <c r="E5689" s="63">
        <v>67.83</v>
      </c>
    </row>
    <row r="5690" spans="1:5">
      <c r="A5690" s="61" t="s">
        <v>247</v>
      </c>
      <c r="B5690" s="61" t="s">
        <v>381</v>
      </c>
      <c r="C5690" s="62">
        <v>44792</v>
      </c>
      <c r="D5690" s="62">
        <v>44792</v>
      </c>
      <c r="E5690" s="63">
        <v>0</v>
      </c>
    </row>
    <row r="5691" spans="1:5">
      <c r="A5691" s="61" t="s">
        <v>247</v>
      </c>
      <c r="B5691" s="61" t="s">
        <v>381</v>
      </c>
      <c r="C5691" s="62">
        <v>44793</v>
      </c>
      <c r="D5691" s="62">
        <v>44793</v>
      </c>
      <c r="E5691" s="63">
        <v>0</v>
      </c>
    </row>
    <row r="5692" spans="1:5">
      <c r="A5692" s="61" t="s">
        <v>247</v>
      </c>
      <c r="B5692" s="61" t="s">
        <v>381</v>
      </c>
      <c r="C5692" s="62">
        <v>44794</v>
      </c>
      <c r="D5692" s="62">
        <v>44794</v>
      </c>
      <c r="E5692" s="63">
        <v>0</v>
      </c>
    </row>
    <row r="5693" spans="1:5">
      <c r="A5693" s="61" t="s">
        <v>247</v>
      </c>
      <c r="B5693" s="61" t="s">
        <v>381</v>
      </c>
      <c r="C5693" s="62">
        <v>44795</v>
      </c>
      <c r="D5693" s="62">
        <v>44795</v>
      </c>
      <c r="E5693" s="63">
        <v>0</v>
      </c>
    </row>
    <row r="5694" spans="1:5">
      <c r="A5694" s="61" t="s">
        <v>247</v>
      </c>
      <c r="B5694" s="61" t="s">
        <v>381</v>
      </c>
      <c r="C5694" s="62">
        <v>44796</v>
      </c>
      <c r="D5694" s="62">
        <v>44796</v>
      </c>
      <c r="E5694" s="63">
        <v>0</v>
      </c>
    </row>
    <row r="5695" spans="1:5">
      <c r="A5695" s="61" t="s">
        <v>247</v>
      </c>
      <c r="B5695" s="61" t="s">
        <v>381</v>
      </c>
      <c r="C5695" s="62">
        <v>44797</v>
      </c>
      <c r="D5695" s="62">
        <v>44797</v>
      </c>
      <c r="E5695" s="63">
        <v>0</v>
      </c>
    </row>
    <row r="5696" spans="1:5">
      <c r="A5696" s="61" t="s">
        <v>247</v>
      </c>
      <c r="B5696" s="61" t="s">
        <v>381</v>
      </c>
      <c r="C5696" s="62">
        <v>44798</v>
      </c>
      <c r="D5696" s="62">
        <v>44798</v>
      </c>
      <c r="E5696" s="63">
        <v>0</v>
      </c>
    </row>
    <row r="5697" spans="1:5">
      <c r="A5697" s="61" t="s">
        <v>247</v>
      </c>
      <c r="B5697" s="61" t="s">
        <v>381</v>
      </c>
      <c r="C5697" s="62">
        <v>44799</v>
      </c>
      <c r="D5697" s="62">
        <v>44799</v>
      </c>
      <c r="E5697" s="63">
        <v>0</v>
      </c>
    </row>
    <row r="5698" spans="1:5">
      <c r="A5698" s="61" t="s">
        <v>247</v>
      </c>
      <c r="B5698" s="61" t="s">
        <v>381</v>
      </c>
      <c r="C5698" s="62">
        <v>44800</v>
      </c>
      <c r="D5698" s="62">
        <v>44800</v>
      </c>
      <c r="E5698" s="63">
        <v>0</v>
      </c>
    </row>
    <row r="5699" spans="1:5">
      <c r="A5699" s="61" t="s">
        <v>247</v>
      </c>
      <c r="B5699" s="61" t="s">
        <v>381</v>
      </c>
      <c r="C5699" s="62">
        <v>44801</v>
      </c>
      <c r="D5699" s="62">
        <v>44801</v>
      </c>
      <c r="E5699" s="63">
        <v>0</v>
      </c>
    </row>
    <row r="5700" spans="1:5">
      <c r="A5700" s="61" t="s">
        <v>247</v>
      </c>
      <c r="B5700" s="61" t="s">
        <v>381</v>
      </c>
      <c r="C5700" s="62">
        <v>44802</v>
      </c>
      <c r="D5700" s="62">
        <v>44802</v>
      </c>
      <c r="E5700" s="63">
        <v>0</v>
      </c>
    </row>
    <row r="5701" spans="1:5">
      <c r="A5701" s="61" t="s">
        <v>247</v>
      </c>
      <c r="B5701" s="61" t="s">
        <v>381</v>
      </c>
      <c r="C5701" s="62">
        <v>44803</v>
      </c>
      <c r="D5701" s="62">
        <v>44803</v>
      </c>
      <c r="E5701" s="63">
        <v>0</v>
      </c>
    </row>
    <row r="5702" spans="1:5">
      <c r="A5702" s="61" t="s">
        <v>248</v>
      </c>
      <c r="B5702" s="61" t="s">
        <v>382</v>
      </c>
      <c r="C5702" s="62">
        <v>44774</v>
      </c>
      <c r="D5702" s="62">
        <v>44774</v>
      </c>
      <c r="E5702" s="63">
        <v>0</v>
      </c>
    </row>
    <row r="5703" spans="1:5">
      <c r="A5703" s="61" t="s">
        <v>248</v>
      </c>
      <c r="B5703" s="61" t="s">
        <v>382</v>
      </c>
      <c r="C5703" s="62">
        <v>44775</v>
      </c>
      <c r="D5703" s="62">
        <v>44775</v>
      </c>
      <c r="E5703" s="63">
        <v>606.84</v>
      </c>
    </row>
    <row r="5704" spans="1:5">
      <c r="A5704" s="61" t="s">
        <v>248</v>
      </c>
      <c r="B5704" s="61" t="s">
        <v>382</v>
      </c>
      <c r="C5704" s="62">
        <v>44776</v>
      </c>
      <c r="D5704" s="62">
        <v>44776</v>
      </c>
      <c r="E5704" s="63">
        <v>0</v>
      </c>
    </row>
    <row r="5705" spans="1:5">
      <c r="A5705" s="61" t="s">
        <v>248</v>
      </c>
      <c r="B5705" s="61" t="s">
        <v>382</v>
      </c>
      <c r="C5705" s="62">
        <v>44777</v>
      </c>
      <c r="D5705" s="62">
        <v>44777</v>
      </c>
      <c r="E5705" s="63">
        <v>0</v>
      </c>
    </row>
    <row r="5706" spans="1:5">
      <c r="A5706" s="61" t="s">
        <v>248</v>
      </c>
      <c r="B5706" s="61" t="s">
        <v>382</v>
      </c>
      <c r="C5706" s="62">
        <v>44778</v>
      </c>
      <c r="D5706" s="62">
        <v>44778</v>
      </c>
      <c r="E5706" s="63">
        <v>0</v>
      </c>
    </row>
    <row r="5707" spans="1:5">
      <c r="A5707" s="61" t="s">
        <v>248</v>
      </c>
      <c r="B5707" s="61" t="s">
        <v>382</v>
      </c>
      <c r="C5707" s="62">
        <v>44779</v>
      </c>
      <c r="D5707" s="62">
        <v>44779</v>
      </c>
      <c r="E5707" s="63">
        <v>0</v>
      </c>
    </row>
    <row r="5708" spans="1:5">
      <c r="A5708" s="61" t="s">
        <v>248</v>
      </c>
      <c r="B5708" s="61" t="s">
        <v>382</v>
      </c>
      <c r="C5708" s="62">
        <v>44780</v>
      </c>
      <c r="D5708" s="62">
        <v>44780</v>
      </c>
      <c r="E5708" s="63">
        <v>0</v>
      </c>
    </row>
    <row r="5709" spans="1:5">
      <c r="A5709" s="61" t="s">
        <v>248</v>
      </c>
      <c r="B5709" s="61" t="s">
        <v>382</v>
      </c>
      <c r="C5709" s="62">
        <v>44781</v>
      </c>
      <c r="D5709" s="62">
        <v>44781</v>
      </c>
      <c r="E5709" s="63">
        <v>0</v>
      </c>
    </row>
    <row r="5710" spans="1:5">
      <c r="A5710" s="61" t="s">
        <v>248</v>
      </c>
      <c r="B5710" s="61" t="s">
        <v>382</v>
      </c>
      <c r="C5710" s="62">
        <v>44782</v>
      </c>
      <c r="D5710" s="62">
        <v>44782</v>
      </c>
      <c r="E5710" s="63">
        <v>0</v>
      </c>
    </row>
    <row r="5711" spans="1:5">
      <c r="A5711" s="61" t="s">
        <v>248</v>
      </c>
      <c r="B5711" s="61" t="s">
        <v>382</v>
      </c>
      <c r="C5711" s="62">
        <v>44783</v>
      </c>
      <c r="D5711" s="62">
        <v>44783</v>
      </c>
      <c r="E5711" s="63">
        <v>0</v>
      </c>
    </row>
    <row r="5712" spans="1:5">
      <c r="A5712" s="61" t="s">
        <v>248</v>
      </c>
      <c r="B5712" s="61" t="s">
        <v>382</v>
      </c>
      <c r="C5712" s="62">
        <v>44784</v>
      </c>
      <c r="D5712" s="62">
        <v>44784</v>
      </c>
      <c r="E5712" s="63">
        <v>20.78</v>
      </c>
    </row>
    <row r="5713" spans="1:5">
      <c r="A5713" s="61" t="s">
        <v>248</v>
      </c>
      <c r="B5713" s="61" t="s">
        <v>382</v>
      </c>
      <c r="C5713" s="62">
        <v>44785</v>
      </c>
      <c r="D5713" s="62">
        <v>44785</v>
      </c>
      <c r="E5713" s="63">
        <v>51.71</v>
      </c>
    </row>
    <row r="5714" spans="1:5">
      <c r="A5714" s="61" t="s">
        <v>248</v>
      </c>
      <c r="B5714" s="61" t="s">
        <v>382</v>
      </c>
      <c r="C5714" s="62">
        <v>44786</v>
      </c>
      <c r="D5714" s="62">
        <v>44786</v>
      </c>
      <c r="E5714" s="63">
        <v>0</v>
      </c>
    </row>
    <row r="5715" spans="1:5">
      <c r="A5715" s="61" t="s">
        <v>248</v>
      </c>
      <c r="B5715" s="61" t="s">
        <v>382</v>
      </c>
      <c r="C5715" s="62">
        <v>44787</v>
      </c>
      <c r="D5715" s="62">
        <v>44787</v>
      </c>
      <c r="E5715" s="63">
        <v>0</v>
      </c>
    </row>
    <row r="5716" spans="1:5">
      <c r="A5716" s="61" t="s">
        <v>248</v>
      </c>
      <c r="B5716" s="61" t="s">
        <v>382</v>
      </c>
      <c r="C5716" s="62">
        <v>44788</v>
      </c>
      <c r="D5716" s="62">
        <v>44788</v>
      </c>
      <c r="E5716" s="63">
        <v>0</v>
      </c>
    </row>
    <row r="5717" spans="1:5">
      <c r="A5717" s="61" t="s">
        <v>248</v>
      </c>
      <c r="B5717" s="61" t="s">
        <v>382</v>
      </c>
      <c r="C5717" s="62">
        <v>44789</v>
      </c>
      <c r="D5717" s="62">
        <v>44789</v>
      </c>
      <c r="E5717" s="63">
        <v>77.73</v>
      </c>
    </row>
    <row r="5718" spans="1:5">
      <c r="A5718" s="61" t="s">
        <v>248</v>
      </c>
      <c r="B5718" s="61" t="s">
        <v>382</v>
      </c>
      <c r="C5718" s="62">
        <v>44790</v>
      </c>
      <c r="D5718" s="62">
        <v>44790</v>
      </c>
      <c r="E5718" s="63">
        <v>0</v>
      </c>
    </row>
    <row r="5719" spans="1:5">
      <c r="A5719" s="61" t="s">
        <v>248</v>
      </c>
      <c r="B5719" s="61" t="s">
        <v>382</v>
      </c>
      <c r="C5719" s="62">
        <v>44791</v>
      </c>
      <c r="D5719" s="62">
        <v>44791</v>
      </c>
      <c r="E5719" s="63">
        <v>0</v>
      </c>
    </row>
    <row r="5720" spans="1:5">
      <c r="A5720" s="61" t="s">
        <v>248</v>
      </c>
      <c r="B5720" s="61" t="s">
        <v>382</v>
      </c>
      <c r="C5720" s="62">
        <v>44792</v>
      </c>
      <c r="D5720" s="62">
        <v>44792</v>
      </c>
      <c r="E5720" s="63">
        <v>0</v>
      </c>
    </row>
    <row r="5721" spans="1:5">
      <c r="A5721" s="61" t="s">
        <v>248</v>
      </c>
      <c r="B5721" s="61" t="s">
        <v>382</v>
      </c>
      <c r="C5721" s="62">
        <v>44793</v>
      </c>
      <c r="D5721" s="62">
        <v>44793</v>
      </c>
      <c r="E5721" s="63">
        <v>0</v>
      </c>
    </row>
    <row r="5722" spans="1:5">
      <c r="A5722" s="61" t="s">
        <v>248</v>
      </c>
      <c r="B5722" s="61" t="s">
        <v>382</v>
      </c>
      <c r="C5722" s="62">
        <v>44794</v>
      </c>
      <c r="D5722" s="62">
        <v>44794</v>
      </c>
      <c r="E5722" s="63">
        <v>0</v>
      </c>
    </row>
    <row r="5723" spans="1:5">
      <c r="A5723" s="61" t="s">
        <v>248</v>
      </c>
      <c r="B5723" s="61" t="s">
        <v>382</v>
      </c>
      <c r="C5723" s="62">
        <v>44795</v>
      </c>
      <c r="D5723" s="62">
        <v>44795</v>
      </c>
      <c r="E5723" s="63">
        <v>0</v>
      </c>
    </row>
    <row r="5724" spans="1:5">
      <c r="A5724" s="61" t="s">
        <v>248</v>
      </c>
      <c r="B5724" s="61" t="s">
        <v>382</v>
      </c>
      <c r="C5724" s="62">
        <v>44796</v>
      </c>
      <c r="D5724" s="62">
        <v>44796</v>
      </c>
      <c r="E5724" s="63">
        <v>0</v>
      </c>
    </row>
    <row r="5725" spans="1:5">
      <c r="A5725" s="61" t="s">
        <v>248</v>
      </c>
      <c r="B5725" s="61" t="s">
        <v>382</v>
      </c>
      <c r="C5725" s="62">
        <v>44797</v>
      </c>
      <c r="D5725" s="62">
        <v>44797</v>
      </c>
      <c r="E5725" s="63">
        <v>0</v>
      </c>
    </row>
    <row r="5726" spans="1:5">
      <c r="A5726" s="61" t="s">
        <v>248</v>
      </c>
      <c r="B5726" s="61" t="s">
        <v>382</v>
      </c>
      <c r="C5726" s="62">
        <v>44798</v>
      </c>
      <c r="D5726" s="62">
        <v>44798</v>
      </c>
      <c r="E5726" s="63">
        <v>0</v>
      </c>
    </row>
    <row r="5727" spans="1:5">
      <c r="A5727" s="61" t="s">
        <v>248</v>
      </c>
      <c r="B5727" s="61" t="s">
        <v>382</v>
      </c>
      <c r="C5727" s="62">
        <v>44799</v>
      </c>
      <c r="D5727" s="62">
        <v>44799</v>
      </c>
      <c r="E5727" s="63">
        <v>0</v>
      </c>
    </row>
    <row r="5728" spans="1:5">
      <c r="A5728" s="61" t="s">
        <v>248</v>
      </c>
      <c r="B5728" s="61" t="s">
        <v>382</v>
      </c>
      <c r="C5728" s="62">
        <v>44800</v>
      </c>
      <c r="D5728" s="62">
        <v>44800</v>
      </c>
      <c r="E5728" s="63">
        <v>0</v>
      </c>
    </row>
    <row r="5729" spans="1:5">
      <c r="A5729" s="61" t="s">
        <v>248</v>
      </c>
      <c r="B5729" s="61" t="s">
        <v>382</v>
      </c>
      <c r="C5729" s="62">
        <v>44801</v>
      </c>
      <c r="D5729" s="62">
        <v>44801</v>
      </c>
      <c r="E5729" s="63">
        <v>0</v>
      </c>
    </row>
    <row r="5730" spans="1:5">
      <c r="A5730" s="61" t="s">
        <v>248</v>
      </c>
      <c r="B5730" s="61" t="s">
        <v>382</v>
      </c>
      <c r="C5730" s="62">
        <v>44802</v>
      </c>
      <c r="D5730" s="62">
        <v>44802</v>
      </c>
      <c r="E5730" s="63">
        <v>8.08</v>
      </c>
    </row>
    <row r="5731" spans="1:5">
      <c r="A5731" s="61" t="s">
        <v>248</v>
      </c>
      <c r="B5731" s="61" t="s">
        <v>382</v>
      </c>
      <c r="C5731" s="62">
        <v>44803</v>
      </c>
      <c r="D5731" s="62">
        <v>44803</v>
      </c>
      <c r="E5731" s="63">
        <v>0</v>
      </c>
    </row>
    <row r="5732" spans="1:5">
      <c r="A5732" s="61" t="s">
        <v>249</v>
      </c>
      <c r="B5732" s="61" t="s">
        <v>383</v>
      </c>
      <c r="C5732" s="62">
        <v>44774</v>
      </c>
      <c r="D5732" s="62">
        <v>44774</v>
      </c>
      <c r="E5732" s="63">
        <v>0</v>
      </c>
    </row>
    <row r="5733" spans="1:5">
      <c r="A5733" s="61" t="s">
        <v>249</v>
      </c>
      <c r="B5733" s="61" t="s">
        <v>383</v>
      </c>
      <c r="C5733" s="62">
        <v>44775</v>
      </c>
      <c r="D5733" s="62">
        <v>44775</v>
      </c>
      <c r="E5733" s="63">
        <v>0</v>
      </c>
    </row>
    <row r="5734" spans="1:5">
      <c r="A5734" s="61" t="s">
        <v>249</v>
      </c>
      <c r="B5734" s="61" t="s">
        <v>383</v>
      </c>
      <c r="C5734" s="62">
        <v>44776</v>
      </c>
      <c r="D5734" s="62">
        <v>44776</v>
      </c>
      <c r="E5734" s="63">
        <v>0</v>
      </c>
    </row>
    <row r="5735" spans="1:5">
      <c r="A5735" s="61" t="s">
        <v>249</v>
      </c>
      <c r="B5735" s="61" t="s">
        <v>383</v>
      </c>
      <c r="C5735" s="62">
        <v>44777</v>
      </c>
      <c r="D5735" s="62">
        <v>44777</v>
      </c>
      <c r="E5735" s="63">
        <v>0</v>
      </c>
    </row>
    <row r="5736" spans="1:5">
      <c r="A5736" s="61" t="s">
        <v>249</v>
      </c>
      <c r="B5736" s="61" t="s">
        <v>383</v>
      </c>
      <c r="C5736" s="62">
        <v>44778</v>
      </c>
      <c r="D5736" s="62">
        <v>44778</v>
      </c>
      <c r="E5736" s="63">
        <v>0</v>
      </c>
    </row>
    <row r="5737" spans="1:5">
      <c r="A5737" s="61" t="s">
        <v>249</v>
      </c>
      <c r="B5737" s="61" t="s">
        <v>383</v>
      </c>
      <c r="C5737" s="62">
        <v>44779</v>
      </c>
      <c r="D5737" s="62">
        <v>44779</v>
      </c>
      <c r="E5737" s="63">
        <v>0</v>
      </c>
    </row>
    <row r="5738" spans="1:5">
      <c r="A5738" s="61" t="s">
        <v>249</v>
      </c>
      <c r="B5738" s="61" t="s">
        <v>383</v>
      </c>
      <c r="C5738" s="62">
        <v>44780</v>
      </c>
      <c r="D5738" s="62">
        <v>44780</v>
      </c>
      <c r="E5738" s="63">
        <v>0</v>
      </c>
    </row>
    <row r="5739" spans="1:5">
      <c r="A5739" s="61" t="s">
        <v>249</v>
      </c>
      <c r="B5739" s="61" t="s">
        <v>383</v>
      </c>
      <c r="C5739" s="62">
        <v>44781</v>
      </c>
      <c r="D5739" s="62">
        <v>44781</v>
      </c>
      <c r="E5739" s="63">
        <v>0</v>
      </c>
    </row>
    <row r="5740" spans="1:5">
      <c r="A5740" s="61" t="s">
        <v>249</v>
      </c>
      <c r="B5740" s="61" t="s">
        <v>383</v>
      </c>
      <c r="C5740" s="62">
        <v>44782</v>
      </c>
      <c r="D5740" s="62">
        <v>44782</v>
      </c>
      <c r="E5740" s="63">
        <v>0</v>
      </c>
    </row>
    <row r="5741" spans="1:5">
      <c r="A5741" s="61" t="s">
        <v>249</v>
      </c>
      <c r="B5741" s="61" t="s">
        <v>383</v>
      </c>
      <c r="C5741" s="62">
        <v>44783</v>
      </c>
      <c r="D5741" s="62">
        <v>44783</v>
      </c>
      <c r="E5741" s="63">
        <v>0</v>
      </c>
    </row>
    <row r="5742" spans="1:5">
      <c r="A5742" s="61" t="s">
        <v>249</v>
      </c>
      <c r="B5742" s="61" t="s">
        <v>383</v>
      </c>
      <c r="C5742" s="62">
        <v>44784</v>
      </c>
      <c r="D5742" s="62">
        <v>44784</v>
      </c>
      <c r="E5742" s="63">
        <v>12.58</v>
      </c>
    </row>
    <row r="5743" spans="1:5">
      <c r="A5743" s="61" t="s">
        <v>249</v>
      </c>
      <c r="B5743" s="61" t="s">
        <v>383</v>
      </c>
      <c r="C5743" s="62">
        <v>44785</v>
      </c>
      <c r="D5743" s="62">
        <v>44785</v>
      </c>
      <c r="E5743" s="63">
        <v>21.85</v>
      </c>
    </row>
    <row r="5744" spans="1:5">
      <c r="A5744" s="61" t="s">
        <v>249</v>
      </c>
      <c r="B5744" s="61" t="s">
        <v>383</v>
      </c>
      <c r="C5744" s="62">
        <v>44786</v>
      </c>
      <c r="D5744" s="62">
        <v>44786</v>
      </c>
      <c r="E5744" s="63">
        <v>0</v>
      </c>
    </row>
    <row r="5745" spans="1:5">
      <c r="A5745" s="61" t="s">
        <v>249</v>
      </c>
      <c r="B5745" s="61" t="s">
        <v>383</v>
      </c>
      <c r="C5745" s="62">
        <v>44787</v>
      </c>
      <c r="D5745" s="62">
        <v>44787</v>
      </c>
      <c r="E5745" s="63">
        <v>0</v>
      </c>
    </row>
    <row r="5746" spans="1:5">
      <c r="A5746" s="61" t="s">
        <v>249</v>
      </c>
      <c r="B5746" s="61" t="s">
        <v>383</v>
      </c>
      <c r="C5746" s="62">
        <v>44788</v>
      </c>
      <c r="D5746" s="62">
        <v>44788</v>
      </c>
      <c r="E5746" s="63">
        <v>0</v>
      </c>
    </row>
    <row r="5747" spans="1:5">
      <c r="A5747" s="61" t="s">
        <v>249</v>
      </c>
      <c r="B5747" s="61" t="s">
        <v>383</v>
      </c>
      <c r="C5747" s="62">
        <v>44789</v>
      </c>
      <c r="D5747" s="62">
        <v>44789</v>
      </c>
      <c r="E5747" s="63">
        <v>85.13</v>
      </c>
    </row>
    <row r="5748" spans="1:5">
      <c r="A5748" s="61" t="s">
        <v>249</v>
      </c>
      <c r="B5748" s="61" t="s">
        <v>383</v>
      </c>
      <c r="C5748" s="62">
        <v>44790</v>
      </c>
      <c r="D5748" s="62">
        <v>44790</v>
      </c>
      <c r="E5748" s="63">
        <v>0</v>
      </c>
    </row>
    <row r="5749" spans="1:5">
      <c r="A5749" s="61" t="s">
        <v>249</v>
      </c>
      <c r="B5749" s="61" t="s">
        <v>383</v>
      </c>
      <c r="C5749" s="62">
        <v>44791</v>
      </c>
      <c r="D5749" s="62">
        <v>44791</v>
      </c>
      <c r="E5749" s="63">
        <v>0</v>
      </c>
    </row>
    <row r="5750" spans="1:5">
      <c r="A5750" s="61" t="s">
        <v>249</v>
      </c>
      <c r="B5750" s="61" t="s">
        <v>383</v>
      </c>
      <c r="C5750" s="62">
        <v>44792</v>
      </c>
      <c r="D5750" s="62">
        <v>44792</v>
      </c>
      <c r="E5750" s="63">
        <v>0</v>
      </c>
    </row>
    <row r="5751" spans="1:5">
      <c r="A5751" s="61" t="s">
        <v>249</v>
      </c>
      <c r="B5751" s="61" t="s">
        <v>383</v>
      </c>
      <c r="C5751" s="62">
        <v>44793</v>
      </c>
      <c r="D5751" s="62">
        <v>44793</v>
      </c>
      <c r="E5751" s="63">
        <v>0</v>
      </c>
    </row>
    <row r="5752" spans="1:5">
      <c r="A5752" s="61" t="s">
        <v>249</v>
      </c>
      <c r="B5752" s="61" t="s">
        <v>383</v>
      </c>
      <c r="C5752" s="62">
        <v>44794</v>
      </c>
      <c r="D5752" s="62">
        <v>44794</v>
      </c>
      <c r="E5752" s="63">
        <v>0</v>
      </c>
    </row>
    <row r="5753" spans="1:5">
      <c r="A5753" s="61" t="s">
        <v>249</v>
      </c>
      <c r="B5753" s="61" t="s">
        <v>383</v>
      </c>
      <c r="C5753" s="62">
        <v>44795</v>
      </c>
      <c r="D5753" s="62">
        <v>44795</v>
      </c>
      <c r="E5753" s="63">
        <v>0</v>
      </c>
    </row>
    <row r="5754" spans="1:5">
      <c r="A5754" s="61" t="s">
        <v>249</v>
      </c>
      <c r="B5754" s="61" t="s">
        <v>383</v>
      </c>
      <c r="C5754" s="62">
        <v>44796</v>
      </c>
      <c r="D5754" s="62">
        <v>44796</v>
      </c>
      <c r="E5754" s="63">
        <v>0</v>
      </c>
    </row>
    <row r="5755" spans="1:5">
      <c r="A5755" s="61" t="s">
        <v>249</v>
      </c>
      <c r="B5755" s="61" t="s">
        <v>383</v>
      </c>
      <c r="C5755" s="62">
        <v>44797</v>
      </c>
      <c r="D5755" s="62">
        <v>44797</v>
      </c>
      <c r="E5755" s="63">
        <v>0</v>
      </c>
    </row>
    <row r="5756" spans="1:5">
      <c r="A5756" s="61" t="s">
        <v>249</v>
      </c>
      <c r="B5756" s="61" t="s">
        <v>383</v>
      </c>
      <c r="C5756" s="62">
        <v>44798</v>
      </c>
      <c r="D5756" s="62">
        <v>44798</v>
      </c>
      <c r="E5756" s="63">
        <v>0</v>
      </c>
    </row>
    <row r="5757" spans="1:5">
      <c r="A5757" s="61" t="s">
        <v>249</v>
      </c>
      <c r="B5757" s="61" t="s">
        <v>383</v>
      </c>
      <c r="C5757" s="62">
        <v>44799</v>
      </c>
      <c r="D5757" s="62">
        <v>44799</v>
      </c>
      <c r="E5757" s="63">
        <v>12.58</v>
      </c>
    </row>
    <row r="5758" spans="1:5">
      <c r="A5758" s="61" t="s">
        <v>249</v>
      </c>
      <c r="B5758" s="61" t="s">
        <v>383</v>
      </c>
      <c r="C5758" s="62">
        <v>44800</v>
      </c>
      <c r="D5758" s="62">
        <v>44800</v>
      </c>
      <c r="E5758" s="63">
        <v>0</v>
      </c>
    </row>
    <row r="5759" spans="1:5">
      <c r="A5759" s="61" t="s">
        <v>249</v>
      </c>
      <c r="B5759" s="61" t="s">
        <v>383</v>
      </c>
      <c r="C5759" s="62">
        <v>44801</v>
      </c>
      <c r="D5759" s="62">
        <v>44801</v>
      </c>
      <c r="E5759" s="63">
        <v>0</v>
      </c>
    </row>
    <row r="5760" spans="1:5">
      <c r="A5760" s="61" t="s">
        <v>249</v>
      </c>
      <c r="B5760" s="61" t="s">
        <v>383</v>
      </c>
      <c r="C5760" s="62">
        <v>44802</v>
      </c>
      <c r="D5760" s="62">
        <v>44802</v>
      </c>
      <c r="E5760" s="63">
        <v>0</v>
      </c>
    </row>
    <row r="5761" spans="1:5">
      <c r="A5761" s="61" t="s">
        <v>249</v>
      </c>
      <c r="B5761" s="61" t="s">
        <v>383</v>
      </c>
      <c r="C5761" s="62">
        <v>44803</v>
      </c>
      <c r="D5761" s="62">
        <v>44803</v>
      </c>
      <c r="E5761" s="63">
        <v>0</v>
      </c>
    </row>
    <row r="5762" spans="1:5">
      <c r="A5762" s="61" t="s">
        <v>101</v>
      </c>
      <c r="B5762" s="61" t="s">
        <v>380</v>
      </c>
      <c r="C5762" s="62">
        <v>44774</v>
      </c>
      <c r="D5762" s="62">
        <v>44774</v>
      </c>
      <c r="E5762" s="63">
        <v>2583.33</v>
      </c>
    </row>
    <row r="5763" spans="1:5">
      <c r="A5763" s="61" t="s">
        <v>101</v>
      </c>
      <c r="B5763" s="61" t="s">
        <v>380</v>
      </c>
      <c r="C5763" s="62">
        <v>44775</v>
      </c>
      <c r="D5763" s="62">
        <v>44775</v>
      </c>
      <c r="E5763" s="63">
        <v>0</v>
      </c>
    </row>
    <row r="5764" spans="1:5">
      <c r="A5764" s="61" t="s">
        <v>101</v>
      </c>
      <c r="B5764" s="61" t="s">
        <v>380</v>
      </c>
      <c r="C5764" s="62">
        <v>44776</v>
      </c>
      <c r="D5764" s="62">
        <v>44776</v>
      </c>
      <c r="E5764" s="63">
        <v>0</v>
      </c>
    </row>
    <row r="5765" spans="1:5">
      <c r="A5765" s="61" t="s">
        <v>101</v>
      </c>
      <c r="B5765" s="61" t="s">
        <v>380</v>
      </c>
      <c r="C5765" s="62">
        <v>44777</v>
      </c>
      <c r="D5765" s="62">
        <v>44777</v>
      </c>
      <c r="E5765" s="63">
        <v>0</v>
      </c>
    </row>
    <row r="5766" spans="1:5">
      <c r="A5766" s="61" t="s">
        <v>101</v>
      </c>
      <c r="B5766" s="61" t="s">
        <v>380</v>
      </c>
      <c r="C5766" s="62">
        <v>44778</v>
      </c>
      <c r="D5766" s="62">
        <v>44778</v>
      </c>
      <c r="E5766" s="63">
        <v>0</v>
      </c>
    </row>
    <row r="5767" spans="1:5">
      <c r="A5767" s="61" t="s">
        <v>101</v>
      </c>
      <c r="B5767" s="61" t="s">
        <v>380</v>
      </c>
      <c r="C5767" s="62">
        <v>44779</v>
      </c>
      <c r="D5767" s="62">
        <v>44779</v>
      </c>
      <c r="E5767" s="63">
        <v>0</v>
      </c>
    </row>
    <row r="5768" spans="1:5">
      <c r="A5768" s="61" t="s">
        <v>101</v>
      </c>
      <c r="B5768" s="61" t="s">
        <v>380</v>
      </c>
      <c r="C5768" s="62">
        <v>44780</v>
      </c>
      <c r="D5768" s="62">
        <v>44780</v>
      </c>
      <c r="E5768" s="63">
        <v>0</v>
      </c>
    </row>
    <row r="5769" spans="1:5">
      <c r="A5769" s="61" t="s">
        <v>101</v>
      </c>
      <c r="B5769" s="61" t="s">
        <v>380</v>
      </c>
      <c r="C5769" s="62">
        <v>44781</v>
      </c>
      <c r="D5769" s="62">
        <v>44781</v>
      </c>
      <c r="E5769" s="63">
        <v>0</v>
      </c>
    </row>
    <row r="5770" spans="1:5">
      <c r="A5770" s="61" t="s">
        <v>101</v>
      </c>
      <c r="B5770" s="61" t="s">
        <v>380</v>
      </c>
      <c r="C5770" s="62">
        <v>44782</v>
      </c>
      <c r="D5770" s="62">
        <v>44782</v>
      </c>
      <c r="E5770" s="63">
        <v>0</v>
      </c>
    </row>
    <row r="5771" spans="1:5">
      <c r="A5771" s="61" t="s">
        <v>101</v>
      </c>
      <c r="B5771" s="61" t="s">
        <v>380</v>
      </c>
      <c r="C5771" s="62">
        <v>44783</v>
      </c>
      <c r="D5771" s="62">
        <v>44783</v>
      </c>
      <c r="E5771" s="63">
        <v>0</v>
      </c>
    </row>
    <row r="5772" spans="1:5">
      <c r="A5772" s="61" t="s">
        <v>101</v>
      </c>
      <c r="B5772" s="61" t="s">
        <v>380</v>
      </c>
      <c r="C5772" s="62">
        <v>44784</v>
      </c>
      <c r="D5772" s="62">
        <v>44784</v>
      </c>
      <c r="E5772" s="63">
        <v>0</v>
      </c>
    </row>
    <row r="5773" spans="1:5">
      <c r="A5773" s="61" t="s">
        <v>101</v>
      </c>
      <c r="B5773" s="61" t="s">
        <v>380</v>
      </c>
      <c r="C5773" s="62">
        <v>44785</v>
      </c>
      <c r="D5773" s="62">
        <v>44785</v>
      </c>
      <c r="E5773" s="63">
        <v>0</v>
      </c>
    </row>
    <row r="5774" spans="1:5">
      <c r="A5774" s="61" t="s">
        <v>101</v>
      </c>
      <c r="B5774" s="61" t="s">
        <v>380</v>
      </c>
      <c r="C5774" s="62">
        <v>44786</v>
      </c>
      <c r="D5774" s="62">
        <v>44786</v>
      </c>
      <c r="E5774" s="63">
        <v>0</v>
      </c>
    </row>
    <row r="5775" spans="1:5">
      <c r="A5775" s="61" t="s">
        <v>101</v>
      </c>
      <c r="B5775" s="61" t="s">
        <v>380</v>
      </c>
      <c r="C5775" s="62">
        <v>44787</v>
      </c>
      <c r="D5775" s="62">
        <v>44787</v>
      </c>
      <c r="E5775" s="63">
        <v>0</v>
      </c>
    </row>
    <row r="5776" spans="1:5">
      <c r="A5776" s="61" t="s">
        <v>101</v>
      </c>
      <c r="B5776" s="61" t="s">
        <v>380</v>
      </c>
      <c r="C5776" s="62">
        <v>44788</v>
      </c>
      <c r="D5776" s="62">
        <v>44788</v>
      </c>
      <c r="E5776" s="63">
        <v>0</v>
      </c>
    </row>
    <row r="5777" spans="1:5">
      <c r="A5777" s="61" t="s">
        <v>101</v>
      </c>
      <c r="B5777" s="61" t="s">
        <v>380</v>
      </c>
      <c r="C5777" s="62">
        <v>44789</v>
      </c>
      <c r="D5777" s="62">
        <v>44789</v>
      </c>
      <c r="E5777" s="63">
        <v>0</v>
      </c>
    </row>
    <row r="5778" spans="1:5">
      <c r="A5778" s="61" t="s">
        <v>101</v>
      </c>
      <c r="B5778" s="61" t="s">
        <v>380</v>
      </c>
      <c r="C5778" s="62">
        <v>44790</v>
      </c>
      <c r="D5778" s="62">
        <v>44790</v>
      </c>
      <c r="E5778" s="63">
        <v>0</v>
      </c>
    </row>
    <row r="5779" spans="1:5">
      <c r="A5779" s="61" t="s">
        <v>101</v>
      </c>
      <c r="B5779" s="61" t="s">
        <v>380</v>
      </c>
      <c r="C5779" s="62">
        <v>44791</v>
      </c>
      <c r="D5779" s="62">
        <v>44791</v>
      </c>
      <c r="E5779" s="63">
        <v>0</v>
      </c>
    </row>
    <row r="5780" spans="1:5">
      <c r="A5780" s="61" t="s">
        <v>101</v>
      </c>
      <c r="B5780" s="61" t="s">
        <v>380</v>
      </c>
      <c r="C5780" s="62">
        <v>44792</v>
      </c>
      <c r="D5780" s="62">
        <v>44792</v>
      </c>
      <c r="E5780" s="63">
        <v>0</v>
      </c>
    </row>
    <row r="5781" spans="1:5">
      <c r="A5781" s="61" t="s">
        <v>101</v>
      </c>
      <c r="B5781" s="61" t="s">
        <v>380</v>
      </c>
      <c r="C5781" s="62">
        <v>44793</v>
      </c>
      <c r="D5781" s="62">
        <v>44793</v>
      </c>
      <c r="E5781" s="63">
        <v>0</v>
      </c>
    </row>
    <row r="5782" spans="1:5">
      <c r="A5782" s="61" t="s">
        <v>101</v>
      </c>
      <c r="B5782" s="61" t="s">
        <v>380</v>
      </c>
      <c r="C5782" s="62">
        <v>44794</v>
      </c>
      <c r="D5782" s="62">
        <v>44794</v>
      </c>
      <c r="E5782" s="63">
        <v>0</v>
      </c>
    </row>
    <row r="5783" spans="1:5">
      <c r="A5783" s="61" t="s">
        <v>101</v>
      </c>
      <c r="B5783" s="61" t="s">
        <v>380</v>
      </c>
      <c r="C5783" s="62">
        <v>44795</v>
      </c>
      <c r="D5783" s="62">
        <v>44795</v>
      </c>
      <c r="E5783" s="63">
        <v>0</v>
      </c>
    </row>
    <row r="5784" spans="1:5">
      <c r="A5784" s="61" t="s">
        <v>101</v>
      </c>
      <c r="B5784" s="61" t="s">
        <v>380</v>
      </c>
      <c r="C5784" s="62">
        <v>44796</v>
      </c>
      <c r="D5784" s="62">
        <v>44796</v>
      </c>
      <c r="E5784" s="63">
        <v>0</v>
      </c>
    </row>
    <row r="5785" spans="1:5">
      <c r="A5785" s="61" t="s">
        <v>101</v>
      </c>
      <c r="B5785" s="61" t="s">
        <v>380</v>
      </c>
      <c r="C5785" s="62">
        <v>44797</v>
      </c>
      <c r="D5785" s="62">
        <v>44797</v>
      </c>
      <c r="E5785" s="63">
        <v>0</v>
      </c>
    </row>
    <row r="5786" spans="1:5">
      <c r="A5786" s="61" t="s">
        <v>101</v>
      </c>
      <c r="B5786" s="61" t="s">
        <v>380</v>
      </c>
      <c r="C5786" s="62">
        <v>44798</v>
      </c>
      <c r="D5786" s="62">
        <v>44798</v>
      </c>
      <c r="E5786" s="63">
        <v>0</v>
      </c>
    </row>
    <row r="5787" spans="1:5">
      <c r="A5787" s="61" t="s">
        <v>101</v>
      </c>
      <c r="B5787" s="61" t="s">
        <v>380</v>
      </c>
      <c r="C5787" s="62">
        <v>44799</v>
      </c>
      <c r="D5787" s="62">
        <v>44799</v>
      </c>
      <c r="E5787" s="63">
        <v>0</v>
      </c>
    </row>
    <row r="5788" spans="1:5">
      <c r="A5788" s="61" t="s">
        <v>101</v>
      </c>
      <c r="B5788" s="61" t="s">
        <v>380</v>
      </c>
      <c r="C5788" s="62">
        <v>44800</v>
      </c>
      <c r="D5788" s="62">
        <v>44800</v>
      </c>
      <c r="E5788" s="63">
        <v>0</v>
      </c>
    </row>
    <row r="5789" spans="1:5">
      <c r="A5789" s="61" t="s">
        <v>101</v>
      </c>
      <c r="B5789" s="61" t="s">
        <v>380</v>
      </c>
      <c r="C5789" s="62">
        <v>44801</v>
      </c>
      <c r="D5789" s="62">
        <v>44801</v>
      </c>
      <c r="E5789" s="63">
        <v>0</v>
      </c>
    </row>
    <row r="5790" spans="1:5">
      <c r="A5790" s="61" t="s">
        <v>101</v>
      </c>
      <c r="B5790" s="61" t="s">
        <v>380</v>
      </c>
      <c r="C5790" s="62">
        <v>44802</v>
      </c>
      <c r="D5790" s="62">
        <v>44802</v>
      </c>
      <c r="E5790" s="63">
        <v>0</v>
      </c>
    </row>
    <row r="5791" spans="1:5">
      <c r="A5791" s="61" t="s">
        <v>101</v>
      </c>
      <c r="B5791" s="61" t="s">
        <v>380</v>
      </c>
      <c r="C5791" s="62">
        <v>44803</v>
      </c>
      <c r="D5791" s="62">
        <v>44803</v>
      </c>
      <c r="E5791" s="63">
        <v>0</v>
      </c>
    </row>
    <row r="5792" spans="1:5">
      <c r="A5792" s="61" t="s">
        <v>250</v>
      </c>
      <c r="B5792" s="61" t="s">
        <v>381</v>
      </c>
      <c r="C5792" s="62">
        <v>44774</v>
      </c>
      <c r="D5792" s="62">
        <v>44774</v>
      </c>
      <c r="E5792" s="63">
        <v>0</v>
      </c>
    </row>
    <row r="5793" spans="1:5">
      <c r="A5793" s="61" t="s">
        <v>250</v>
      </c>
      <c r="B5793" s="61" t="s">
        <v>381</v>
      </c>
      <c r="C5793" s="62">
        <v>44775</v>
      </c>
      <c r="D5793" s="62">
        <v>44775</v>
      </c>
      <c r="E5793" s="63">
        <v>0</v>
      </c>
    </row>
    <row r="5794" spans="1:5">
      <c r="A5794" s="61" t="s">
        <v>250</v>
      </c>
      <c r="B5794" s="61" t="s">
        <v>381</v>
      </c>
      <c r="C5794" s="62">
        <v>44776</v>
      </c>
      <c r="D5794" s="62">
        <v>44776</v>
      </c>
      <c r="E5794" s="63">
        <v>0</v>
      </c>
    </row>
    <row r="5795" spans="1:5">
      <c r="A5795" s="61" t="s">
        <v>250</v>
      </c>
      <c r="B5795" s="61" t="s">
        <v>381</v>
      </c>
      <c r="C5795" s="62">
        <v>44777</v>
      </c>
      <c r="D5795" s="62">
        <v>44777</v>
      </c>
      <c r="E5795" s="63">
        <v>0</v>
      </c>
    </row>
    <row r="5796" spans="1:5">
      <c r="A5796" s="61" t="s">
        <v>250</v>
      </c>
      <c r="B5796" s="61" t="s">
        <v>381</v>
      </c>
      <c r="C5796" s="62">
        <v>44778</v>
      </c>
      <c r="D5796" s="62">
        <v>44778</v>
      </c>
      <c r="E5796" s="63">
        <v>0</v>
      </c>
    </row>
    <row r="5797" spans="1:5">
      <c r="A5797" s="61" t="s">
        <v>250</v>
      </c>
      <c r="B5797" s="61" t="s">
        <v>381</v>
      </c>
      <c r="C5797" s="62">
        <v>44779</v>
      </c>
      <c r="D5797" s="62">
        <v>44779</v>
      </c>
      <c r="E5797" s="63">
        <v>0</v>
      </c>
    </row>
    <row r="5798" spans="1:5">
      <c r="A5798" s="61" t="s">
        <v>250</v>
      </c>
      <c r="B5798" s="61" t="s">
        <v>381</v>
      </c>
      <c r="C5798" s="62">
        <v>44780</v>
      </c>
      <c r="D5798" s="62">
        <v>44780</v>
      </c>
      <c r="E5798" s="63">
        <v>0</v>
      </c>
    </row>
    <row r="5799" spans="1:5">
      <c r="A5799" s="61" t="s">
        <v>250</v>
      </c>
      <c r="B5799" s="61" t="s">
        <v>381</v>
      </c>
      <c r="C5799" s="62">
        <v>44781</v>
      </c>
      <c r="D5799" s="62">
        <v>44781</v>
      </c>
      <c r="E5799" s="63">
        <v>0</v>
      </c>
    </row>
    <row r="5800" spans="1:5">
      <c r="A5800" s="61" t="s">
        <v>250</v>
      </c>
      <c r="B5800" s="61" t="s">
        <v>381</v>
      </c>
      <c r="C5800" s="62">
        <v>44782</v>
      </c>
      <c r="D5800" s="62">
        <v>44782</v>
      </c>
      <c r="E5800" s="63">
        <v>0</v>
      </c>
    </row>
    <row r="5801" spans="1:5">
      <c r="A5801" s="61" t="s">
        <v>250</v>
      </c>
      <c r="B5801" s="61" t="s">
        <v>381</v>
      </c>
      <c r="C5801" s="62">
        <v>44783</v>
      </c>
      <c r="D5801" s="62">
        <v>44783</v>
      </c>
      <c r="E5801" s="63">
        <v>0</v>
      </c>
    </row>
    <row r="5802" spans="1:5">
      <c r="A5802" s="61" t="s">
        <v>250</v>
      </c>
      <c r="B5802" s="61" t="s">
        <v>381</v>
      </c>
      <c r="C5802" s="62">
        <v>44784</v>
      </c>
      <c r="D5802" s="62">
        <v>44784</v>
      </c>
      <c r="E5802" s="63">
        <v>0</v>
      </c>
    </row>
    <row r="5803" spans="1:5">
      <c r="A5803" s="61" t="s">
        <v>250</v>
      </c>
      <c r="B5803" s="61" t="s">
        <v>381</v>
      </c>
      <c r="C5803" s="62">
        <v>44785</v>
      </c>
      <c r="D5803" s="62">
        <v>44785</v>
      </c>
      <c r="E5803" s="63">
        <v>0</v>
      </c>
    </row>
    <row r="5804" spans="1:5">
      <c r="A5804" s="61" t="s">
        <v>250</v>
      </c>
      <c r="B5804" s="61" t="s">
        <v>381</v>
      </c>
      <c r="C5804" s="62">
        <v>44786</v>
      </c>
      <c r="D5804" s="62">
        <v>44786</v>
      </c>
      <c r="E5804" s="63">
        <v>0</v>
      </c>
    </row>
    <row r="5805" spans="1:5">
      <c r="A5805" s="61" t="s">
        <v>250</v>
      </c>
      <c r="B5805" s="61" t="s">
        <v>381</v>
      </c>
      <c r="C5805" s="62">
        <v>44787</v>
      </c>
      <c r="D5805" s="62">
        <v>44787</v>
      </c>
      <c r="E5805" s="63">
        <v>0</v>
      </c>
    </row>
    <row r="5806" spans="1:5">
      <c r="A5806" s="61" t="s">
        <v>250</v>
      </c>
      <c r="B5806" s="61" t="s">
        <v>381</v>
      </c>
      <c r="C5806" s="62">
        <v>44788</v>
      </c>
      <c r="D5806" s="62">
        <v>44788</v>
      </c>
      <c r="E5806" s="63">
        <v>0</v>
      </c>
    </row>
    <row r="5807" spans="1:5">
      <c r="A5807" s="61" t="s">
        <v>250</v>
      </c>
      <c r="B5807" s="61" t="s">
        <v>381</v>
      </c>
      <c r="C5807" s="62">
        <v>44789</v>
      </c>
      <c r="D5807" s="62">
        <v>44789</v>
      </c>
      <c r="E5807" s="63">
        <v>0</v>
      </c>
    </row>
    <row r="5808" spans="1:5">
      <c r="A5808" s="61" t="s">
        <v>250</v>
      </c>
      <c r="B5808" s="61" t="s">
        <v>381</v>
      </c>
      <c r="C5808" s="62">
        <v>44790</v>
      </c>
      <c r="D5808" s="62">
        <v>44790</v>
      </c>
      <c r="E5808" s="63">
        <v>0</v>
      </c>
    </row>
    <row r="5809" spans="1:5">
      <c r="A5809" s="61" t="s">
        <v>250</v>
      </c>
      <c r="B5809" s="61" t="s">
        <v>381</v>
      </c>
      <c r="C5809" s="62">
        <v>44791</v>
      </c>
      <c r="D5809" s="62">
        <v>44791</v>
      </c>
      <c r="E5809" s="63">
        <v>0</v>
      </c>
    </row>
    <row r="5810" spans="1:5">
      <c r="A5810" s="61" t="s">
        <v>250</v>
      </c>
      <c r="B5810" s="61" t="s">
        <v>381</v>
      </c>
      <c r="C5810" s="62">
        <v>44792</v>
      </c>
      <c r="D5810" s="62">
        <v>44792</v>
      </c>
      <c r="E5810" s="63">
        <v>0</v>
      </c>
    </row>
    <row r="5811" spans="1:5">
      <c r="A5811" s="61" t="s">
        <v>250</v>
      </c>
      <c r="B5811" s="61" t="s">
        <v>381</v>
      </c>
      <c r="C5811" s="62">
        <v>44793</v>
      </c>
      <c r="D5811" s="62">
        <v>44793</v>
      </c>
      <c r="E5811" s="63">
        <v>0</v>
      </c>
    </row>
    <row r="5812" spans="1:5">
      <c r="A5812" s="61" t="s">
        <v>250</v>
      </c>
      <c r="B5812" s="61" t="s">
        <v>381</v>
      </c>
      <c r="C5812" s="62">
        <v>44794</v>
      </c>
      <c r="D5812" s="62">
        <v>44794</v>
      </c>
      <c r="E5812" s="63">
        <v>0</v>
      </c>
    </row>
    <row r="5813" spans="1:5">
      <c r="A5813" s="61" t="s">
        <v>250</v>
      </c>
      <c r="B5813" s="61" t="s">
        <v>381</v>
      </c>
      <c r="C5813" s="62">
        <v>44795</v>
      </c>
      <c r="D5813" s="62">
        <v>44795</v>
      </c>
      <c r="E5813" s="63">
        <v>0</v>
      </c>
    </row>
    <row r="5814" spans="1:5">
      <c r="A5814" s="61" t="s">
        <v>250</v>
      </c>
      <c r="B5814" s="61" t="s">
        <v>381</v>
      </c>
      <c r="C5814" s="62">
        <v>44796</v>
      </c>
      <c r="D5814" s="62">
        <v>44796</v>
      </c>
      <c r="E5814" s="63">
        <v>0</v>
      </c>
    </row>
    <row r="5815" spans="1:5">
      <c r="A5815" s="61" t="s">
        <v>250</v>
      </c>
      <c r="B5815" s="61" t="s">
        <v>381</v>
      </c>
      <c r="C5815" s="62">
        <v>44797</v>
      </c>
      <c r="D5815" s="62">
        <v>44797</v>
      </c>
      <c r="E5815" s="63">
        <v>0</v>
      </c>
    </row>
    <row r="5816" spans="1:5">
      <c r="A5816" s="61" t="s">
        <v>250</v>
      </c>
      <c r="B5816" s="61" t="s">
        <v>381</v>
      </c>
      <c r="C5816" s="62">
        <v>44798</v>
      </c>
      <c r="D5816" s="62">
        <v>44798</v>
      </c>
      <c r="E5816" s="63">
        <v>0</v>
      </c>
    </row>
    <row r="5817" spans="1:5">
      <c r="A5817" s="61" t="s">
        <v>250</v>
      </c>
      <c r="B5817" s="61" t="s">
        <v>381</v>
      </c>
      <c r="C5817" s="62">
        <v>44799</v>
      </c>
      <c r="D5817" s="62">
        <v>44799</v>
      </c>
      <c r="E5817" s="63">
        <v>0</v>
      </c>
    </row>
    <row r="5818" spans="1:5">
      <c r="A5818" s="61" t="s">
        <v>250</v>
      </c>
      <c r="B5818" s="61" t="s">
        <v>381</v>
      </c>
      <c r="C5818" s="62">
        <v>44800</v>
      </c>
      <c r="D5818" s="62">
        <v>44800</v>
      </c>
      <c r="E5818" s="63">
        <v>0</v>
      </c>
    </row>
    <row r="5819" spans="1:5">
      <c r="A5819" s="61" t="s">
        <v>250</v>
      </c>
      <c r="B5819" s="61" t="s">
        <v>381</v>
      </c>
      <c r="C5819" s="62">
        <v>44801</v>
      </c>
      <c r="D5819" s="62">
        <v>44801</v>
      </c>
      <c r="E5819" s="63">
        <v>0</v>
      </c>
    </row>
    <row r="5820" spans="1:5">
      <c r="A5820" s="61" t="s">
        <v>250</v>
      </c>
      <c r="B5820" s="61" t="s">
        <v>381</v>
      </c>
      <c r="C5820" s="62">
        <v>44802</v>
      </c>
      <c r="D5820" s="62">
        <v>44802</v>
      </c>
      <c r="E5820" s="63">
        <v>0</v>
      </c>
    </row>
    <row r="5821" spans="1:5">
      <c r="A5821" s="61" t="s">
        <v>250</v>
      </c>
      <c r="B5821" s="61" t="s">
        <v>381</v>
      </c>
      <c r="C5821" s="62">
        <v>44803</v>
      </c>
      <c r="D5821" s="62">
        <v>44803</v>
      </c>
      <c r="E5821" s="63">
        <v>0</v>
      </c>
    </row>
    <row r="5822" spans="1:5">
      <c r="A5822" s="61" t="s">
        <v>251</v>
      </c>
      <c r="B5822" s="61" t="s">
        <v>382</v>
      </c>
      <c r="C5822" s="62">
        <v>44774</v>
      </c>
      <c r="D5822" s="62">
        <v>44774</v>
      </c>
      <c r="E5822" s="63">
        <v>0</v>
      </c>
    </row>
    <row r="5823" spans="1:5">
      <c r="A5823" s="61" t="s">
        <v>251</v>
      </c>
      <c r="B5823" s="61" t="s">
        <v>382</v>
      </c>
      <c r="C5823" s="62">
        <v>44775</v>
      </c>
      <c r="D5823" s="62">
        <v>44775</v>
      </c>
      <c r="E5823" s="63">
        <v>0</v>
      </c>
    </row>
    <row r="5824" spans="1:5">
      <c r="A5824" s="61" t="s">
        <v>251</v>
      </c>
      <c r="B5824" s="61" t="s">
        <v>382</v>
      </c>
      <c r="C5824" s="62">
        <v>44776</v>
      </c>
      <c r="D5824" s="62">
        <v>44776</v>
      </c>
      <c r="E5824" s="63">
        <v>0</v>
      </c>
    </row>
    <row r="5825" spans="1:5">
      <c r="A5825" s="61" t="s">
        <v>251</v>
      </c>
      <c r="B5825" s="61" t="s">
        <v>382</v>
      </c>
      <c r="C5825" s="62">
        <v>44777</v>
      </c>
      <c r="D5825" s="62">
        <v>44777</v>
      </c>
      <c r="E5825" s="63">
        <v>0</v>
      </c>
    </row>
    <row r="5826" spans="1:5">
      <c r="A5826" s="61" t="s">
        <v>251</v>
      </c>
      <c r="B5826" s="61" t="s">
        <v>382</v>
      </c>
      <c r="C5826" s="62">
        <v>44778</v>
      </c>
      <c r="D5826" s="62">
        <v>44778</v>
      </c>
      <c r="E5826" s="63">
        <v>0</v>
      </c>
    </row>
    <row r="5827" spans="1:5">
      <c r="A5827" s="61" t="s">
        <v>251</v>
      </c>
      <c r="B5827" s="61" t="s">
        <v>382</v>
      </c>
      <c r="C5827" s="62">
        <v>44779</v>
      </c>
      <c r="D5827" s="62">
        <v>44779</v>
      </c>
      <c r="E5827" s="63">
        <v>0</v>
      </c>
    </row>
    <row r="5828" spans="1:5">
      <c r="A5828" s="61" t="s">
        <v>251</v>
      </c>
      <c r="B5828" s="61" t="s">
        <v>382</v>
      </c>
      <c r="C5828" s="62">
        <v>44780</v>
      </c>
      <c r="D5828" s="62">
        <v>44780</v>
      </c>
      <c r="E5828" s="63">
        <v>0</v>
      </c>
    </row>
    <row r="5829" spans="1:5">
      <c r="A5829" s="61" t="s">
        <v>251</v>
      </c>
      <c r="B5829" s="61" t="s">
        <v>382</v>
      </c>
      <c r="C5829" s="62">
        <v>44781</v>
      </c>
      <c r="D5829" s="62">
        <v>44781</v>
      </c>
      <c r="E5829" s="63">
        <v>0</v>
      </c>
    </row>
    <row r="5830" spans="1:5">
      <c r="A5830" s="61" t="s">
        <v>251</v>
      </c>
      <c r="B5830" s="61" t="s">
        <v>382</v>
      </c>
      <c r="C5830" s="62">
        <v>44782</v>
      </c>
      <c r="D5830" s="62">
        <v>44782</v>
      </c>
      <c r="E5830" s="63">
        <v>0</v>
      </c>
    </row>
    <row r="5831" spans="1:5">
      <c r="A5831" s="61" t="s">
        <v>251</v>
      </c>
      <c r="B5831" s="61" t="s">
        <v>382</v>
      </c>
      <c r="C5831" s="62">
        <v>44783</v>
      </c>
      <c r="D5831" s="62">
        <v>44783</v>
      </c>
      <c r="E5831" s="63">
        <v>0</v>
      </c>
    </row>
    <row r="5832" spans="1:5">
      <c r="A5832" s="61" t="s">
        <v>251</v>
      </c>
      <c r="B5832" s="61" t="s">
        <v>382</v>
      </c>
      <c r="C5832" s="62">
        <v>44784</v>
      </c>
      <c r="D5832" s="62">
        <v>44784</v>
      </c>
      <c r="E5832" s="63">
        <v>0</v>
      </c>
    </row>
    <row r="5833" spans="1:5">
      <c r="A5833" s="61" t="s">
        <v>251</v>
      </c>
      <c r="B5833" s="61" t="s">
        <v>382</v>
      </c>
      <c r="C5833" s="62">
        <v>44785</v>
      </c>
      <c r="D5833" s="62">
        <v>44785</v>
      </c>
      <c r="E5833" s="63">
        <v>0</v>
      </c>
    </row>
    <row r="5834" spans="1:5">
      <c r="A5834" s="61" t="s">
        <v>251</v>
      </c>
      <c r="B5834" s="61" t="s">
        <v>382</v>
      </c>
      <c r="C5834" s="62">
        <v>44786</v>
      </c>
      <c r="D5834" s="62">
        <v>44786</v>
      </c>
      <c r="E5834" s="63">
        <v>0</v>
      </c>
    </row>
    <row r="5835" spans="1:5">
      <c r="A5835" s="61" t="s">
        <v>251</v>
      </c>
      <c r="B5835" s="61" t="s">
        <v>382</v>
      </c>
      <c r="C5835" s="62">
        <v>44787</v>
      </c>
      <c r="D5835" s="62">
        <v>44787</v>
      </c>
      <c r="E5835" s="63">
        <v>0</v>
      </c>
    </row>
    <row r="5836" spans="1:5">
      <c r="A5836" s="61" t="s">
        <v>251</v>
      </c>
      <c r="B5836" s="61" t="s">
        <v>382</v>
      </c>
      <c r="C5836" s="62">
        <v>44788</v>
      </c>
      <c r="D5836" s="62">
        <v>44788</v>
      </c>
      <c r="E5836" s="63">
        <v>0</v>
      </c>
    </row>
    <row r="5837" spans="1:5">
      <c r="A5837" s="61" t="s">
        <v>251</v>
      </c>
      <c r="B5837" s="61" t="s">
        <v>382</v>
      </c>
      <c r="C5837" s="62">
        <v>44789</v>
      </c>
      <c r="D5837" s="62">
        <v>44789</v>
      </c>
      <c r="E5837" s="63">
        <v>0</v>
      </c>
    </row>
    <row r="5838" spans="1:5">
      <c r="A5838" s="61" t="s">
        <v>251</v>
      </c>
      <c r="B5838" s="61" t="s">
        <v>382</v>
      </c>
      <c r="C5838" s="62">
        <v>44790</v>
      </c>
      <c r="D5838" s="62">
        <v>44790</v>
      </c>
      <c r="E5838" s="63">
        <v>0</v>
      </c>
    </row>
    <row r="5839" spans="1:5">
      <c r="A5839" s="61" t="s">
        <v>251</v>
      </c>
      <c r="B5839" s="61" t="s">
        <v>382</v>
      </c>
      <c r="C5839" s="62">
        <v>44791</v>
      </c>
      <c r="D5839" s="62">
        <v>44791</v>
      </c>
      <c r="E5839" s="63">
        <v>0</v>
      </c>
    </row>
    <row r="5840" spans="1:5">
      <c r="A5840" s="61" t="s">
        <v>251</v>
      </c>
      <c r="B5840" s="61" t="s">
        <v>382</v>
      </c>
      <c r="C5840" s="62">
        <v>44792</v>
      </c>
      <c r="D5840" s="62">
        <v>44792</v>
      </c>
      <c r="E5840" s="63">
        <v>0</v>
      </c>
    </row>
    <row r="5841" spans="1:5">
      <c r="A5841" s="61" t="s">
        <v>251</v>
      </c>
      <c r="B5841" s="61" t="s">
        <v>382</v>
      </c>
      <c r="C5841" s="62">
        <v>44793</v>
      </c>
      <c r="D5841" s="62">
        <v>44793</v>
      </c>
      <c r="E5841" s="63">
        <v>0</v>
      </c>
    </row>
    <row r="5842" spans="1:5">
      <c r="A5842" s="61" t="s">
        <v>251</v>
      </c>
      <c r="B5842" s="61" t="s">
        <v>382</v>
      </c>
      <c r="C5842" s="62">
        <v>44794</v>
      </c>
      <c r="D5842" s="62">
        <v>44794</v>
      </c>
      <c r="E5842" s="63">
        <v>0</v>
      </c>
    </row>
    <row r="5843" spans="1:5">
      <c r="A5843" s="61" t="s">
        <v>251</v>
      </c>
      <c r="B5843" s="61" t="s">
        <v>382</v>
      </c>
      <c r="C5843" s="62">
        <v>44795</v>
      </c>
      <c r="D5843" s="62">
        <v>44795</v>
      </c>
      <c r="E5843" s="63">
        <v>0</v>
      </c>
    </row>
    <row r="5844" spans="1:5">
      <c r="A5844" s="61" t="s">
        <v>251</v>
      </c>
      <c r="B5844" s="61" t="s">
        <v>382</v>
      </c>
      <c r="C5844" s="62">
        <v>44796</v>
      </c>
      <c r="D5844" s="62">
        <v>44796</v>
      </c>
      <c r="E5844" s="63">
        <v>0</v>
      </c>
    </row>
    <row r="5845" spans="1:5">
      <c r="A5845" s="61" t="s">
        <v>251</v>
      </c>
      <c r="B5845" s="61" t="s">
        <v>382</v>
      </c>
      <c r="C5845" s="62">
        <v>44797</v>
      </c>
      <c r="D5845" s="62">
        <v>44797</v>
      </c>
      <c r="E5845" s="63">
        <v>0</v>
      </c>
    </row>
    <row r="5846" spans="1:5">
      <c r="A5846" s="61" t="s">
        <v>251</v>
      </c>
      <c r="B5846" s="61" t="s">
        <v>382</v>
      </c>
      <c r="C5846" s="62">
        <v>44798</v>
      </c>
      <c r="D5846" s="62">
        <v>44798</v>
      </c>
      <c r="E5846" s="63">
        <v>0</v>
      </c>
    </row>
    <row r="5847" spans="1:5">
      <c r="A5847" s="61" t="s">
        <v>251</v>
      </c>
      <c r="B5847" s="61" t="s">
        <v>382</v>
      </c>
      <c r="C5847" s="62">
        <v>44799</v>
      </c>
      <c r="D5847" s="62">
        <v>44799</v>
      </c>
      <c r="E5847" s="63">
        <v>0</v>
      </c>
    </row>
    <row r="5848" spans="1:5">
      <c r="A5848" s="61" t="s">
        <v>251</v>
      </c>
      <c r="B5848" s="61" t="s">
        <v>382</v>
      </c>
      <c r="C5848" s="62">
        <v>44800</v>
      </c>
      <c r="D5848" s="62">
        <v>44800</v>
      </c>
      <c r="E5848" s="63">
        <v>0</v>
      </c>
    </row>
    <row r="5849" spans="1:5">
      <c r="A5849" s="61" t="s">
        <v>251</v>
      </c>
      <c r="B5849" s="61" t="s">
        <v>382</v>
      </c>
      <c r="C5849" s="62">
        <v>44801</v>
      </c>
      <c r="D5849" s="62">
        <v>44801</v>
      </c>
      <c r="E5849" s="63">
        <v>0</v>
      </c>
    </row>
    <row r="5850" spans="1:5">
      <c r="A5850" s="61" t="s">
        <v>251</v>
      </c>
      <c r="B5850" s="61" t="s">
        <v>382</v>
      </c>
      <c r="C5850" s="62">
        <v>44802</v>
      </c>
      <c r="D5850" s="62">
        <v>44802</v>
      </c>
      <c r="E5850" s="63">
        <v>0</v>
      </c>
    </row>
    <row r="5851" spans="1:5">
      <c r="A5851" s="61" t="s">
        <v>251</v>
      </c>
      <c r="B5851" s="61" t="s">
        <v>382</v>
      </c>
      <c r="C5851" s="62">
        <v>44803</v>
      </c>
      <c r="D5851" s="62">
        <v>44803</v>
      </c>
      <c r="E5851" s="63">
        <v>0</v>
      </c>
    </row>
    <row r="5852" spans="1:5">
      <c r="A5852" s="61" t="s">
        <v>252</v>
      </c>
      <c r="B5852" s="61" t="s">
        <v>383</v>
      </c>
      <c r="C5852" s="62">
        <v>44774</v>
      </c>
      <c r="D5852" s="62">
        <v>44774</v>
      </c>
      <c r="E5852" s="63">
        <v>0</v>
      </c>
    </row>
    <row r="5853" spans="1:5">
      <c r="A5853" s="61" t="s">
        <v>252</v>
      </c>
      <c r="B5853" s="61" t="s">
        <v>383</v>
      </c>
      <c r="C5853" s="62">
        <v>44775</v>
      </c>
      <c r="D5853" s="62">
        <v>44775</v>
      </c>
      <c r="E5853" s="63">
        <v>0</v>
      </c>
    </row>
    <row r="5854" spans="1:5">
      <c r="A5854" s="61" t="s">
        <v>252</v>
      </c>
      <c r="B5854" s="61" t="s">
        <v>383</v>
      </c>
      <c r="C5854" s="62">
        <v>44776</v>
      </c>
      <c r="D5854" s="62">
        <v>44776</v>
      </c>
      <c r="E5854" s="63">
        <v>0</v>
      </c>
    </row>
    <row r="5855" spans="1:5">
      <c r="A5855" s="61" t="s">
        <v>252</v>
      </c>
      <c r="B5855" s="61" t="s">
        <v>383</v>
      </c>
      <c r="C5855" s="62">
        <v>44777</v>
      </c>
      <c r="D5855" s="62">
        <v>44777</v>
      </c>
      <c r="E5855" s="63">
        <v>0</v>
      </c>
    </row>
    <row r="5856" spans="1:5">
      <c r="A5856" s="61" t="s">
        <v>252</v>
      </c>
      <c r="B5856" s="61" t="s">
        <v>383</v>
      </c>
      <c r="C5856" s="62">
        <v>44778</v>
      </c>
      <c r="D5856" s="62">
        <v>44778</v>
      </c>
      <c r="E5856" s="63">
        <v>0</v>
      </c>
    </row>
    <row r="5857" spans="1:5">
      <c r="A5857" s="61" t="s">
        <v>252</v>
      </c>
      <c r="B5857" s="61" t="s">
        <v>383</v>
      </c>
      <c r="C5857" s="62">
        <v>44779</v>
      </c>
      <c r="D5857" s="62">
        <v>44779</v>
      </c>
      <c r="E5857" s="63">
        <v>0</v>
      </c>
    </row>
    <row r="5858" spans="1:5">
      <c r="A5858" s="61" t="s">
        <v>252</v>
      </c>
      <c r="B5858" s="61" t="s">
        <v>383</v>
      </c>
      <c r="C5858" s="62">
        <v>44780</v>
      </c>
      <c r="D5858" s="62">
        <v>44780</v>
      </c>
      <c r="E5858" s="63">
        <v>0</v>
      </c>
    </row>
    <row r="5859" spans="1:5">
      <c r="A5859" s="61" t="s">
        <v>252</v>
      </c>
      <c r="B5859" s="61" t="s">
        <v>383</v>
      </c>
      <c r="C5859" s="62">
        <v>44781</v>
      </c>
      <c r="D5859" s="62">
        <v>44781</v>
      </c>
      <c r="E5859" s="63">
        <v>0</v>
      </c>
    </row>
    <row r="5860" spans="1:5">
      <c r="A5860" s="61" t="s">
        <v>252</v>
      </c>
      <c r="B5860" s="61" t="s">
        <v>383</v>
      </c>
      <c r="C5860" s="62">
        <v>44782</v>
      </c>
      <c r="D5860" s="62">
        <v>44782</v>
      </c>
      <c r="E5860" s="63">
        <v>0</v>
      </c>
    </row>
    <row r="5861" spans="1:5">
      <c r="A5861" s="61" t="s">
        <v>252</v>
      </c>
      <c r="B5861" s="61" t="s">
        <v>383</v>
      </c>
      <c r="C5861" s="62">
        <v>44783</v>
      </c>
      <c r="D5861" s="62">
        <v>44783</v>
      </c>
      <c r="E5861" s="63">
        <v>0</v>
      </c>
    </row>
    <row r="5862" spans="1:5">
      <c r="A5862" s="61" t="s">
        <v>252</v>
      </c>
      <c r="B5862" s="61" t="s">
        <v>383</v>
      </c>
      <c r="C5862" s="62">
        <v>44784</v>
      </c>
      <c r="D5862" s="62">
        <v>44784</v>
      </c>
      <c r="E5862" s="63">
        <v>0</v>
      </c>
    </row>
    <row r="5863" spans="1:5">
      <c r="A5863" s="61" t="s">
        <v>252</v>
      </c>
      <c r="B5863" s="61" t="s">
        <v>383</v>
      </c>
      <c r="C5863" s="62">
        <v>44785</v>
      </c>
      <c r="D5863" s="62">
        <v>44785</v>
      </c>
      <c r="E5863" s="63">
        <v>0</v>
      </c>
    </row>
    <row r="5864" spans="1:5">
      <c r="A5864" s="61" t="s">
        <v>252</v>
      </c>
      <c r="B5864" s="61" t="s">
        <v>383</v>
      </c>
      <c r="C5864" s="62">
        <v>44786</v>
      </c>
      <c r="D5864" s="62">
        <v>44786</v>
      </c>
      <c r="E5864" s="63">
        <v>0</v>
      </c>
    </row>
    <row r="5865" spans="1:5">
      <c r="A5865" s="61" t="s">
        <v>252</v>
      </c>
      <c r="B5865" s="61" t="s">
        <v>383</v>
      </c>
      <c r="C5865" s="62">
        <v>44787</v>
      </c>
      <c r="D5865" s="62">
        <v>44787</v>
      </c>
      <c r="E5865" s="63">
        <v>0</v>
      </c>
    </row>
    <row r="5866" spans="1:5">
      <c r="A5866" s="61" t="s">
        <v>252</v>
      </c>
      <c r="B5866" s="61" t="s">
        <v>383</v>
      </c>
      <c r="C5866" s="62">
        <v>44788</v>
      </c>
      <c r="D5866" s="62">
        <v>44788</v>
      </c>
      <c r="E5866" s="63">
        <v>0</v>
      </c>
    </row>
    <row r="5867" spans="1:5">
      <c r="A5867" s="61" t="s">
        <v>252</v>
      </c>
      <c r="B5867" s="61" t="s">
        <v>383</v>
      </c>
      <c r="C5867" s="62">
        <v>44789</v>
      </c>
      <c r="D5867" s="62">
        <v>44789</v>
      </c>
      <c r="E5867" s="63">
        <v>0</v>
      </c>
    </row>
    <row r="5868" spans="1:5">
      <c r="A5868" s="61" t="s">
        <v>252</v>
      </c>
      <c r="B5868" s="61" t="s">
        <v>383</v>
      </c>
      <c r="C5868" s="62">
        <v>44790</v>
      </c>
      <c r="D5868" s="62">
        <v>44790</v>
      </c>
      <c r="E5868" s="63">
        <v>0</v>
      </c>
    </row>
    <row r="5869" spans="1:5">
      <c r="A5869" s="61" t="s">
        <v>252</v>
      </c>
      <c r="B5869" s="61" t="s">
        <v>383</v>
      </c>
      <c r="C5869" s="62">
        <v>44791</v>
      </c>
      <c r="D5869" s="62">
        <v>44791</v>
      </c>
      <c r="E5869" s="63">
        <v>0</v>
      </c>
    </row>
    <row r="5870" spans="1:5">
      <c r="A5870" s="61" t="s">
        <v>252</v>
      </c>
      <c r="B5870" s="61" t="s">
        <v>383</v>
      </c>
      <c r="C5870" s="62">
        <v>44792</v>
      </c>
      <c r="D5870" s="62">
        <v>44792</v>
      </c>
      <c r="E5870" s="63">
        <v>0</v>
      </c>
    </row>
    <row r="5871" spans="1:5">
      <c r="A5871" s="61" t="s">
        <v>252</v>
      </c>
      <c r="B5871" s="61" t="s">
        <v>383</v>
      </c>
      <c r="C5871" s="62">
        <v>44793</v>
      </c>
      <c r="D5871" s="62">
        <v>44793</v>
      </c>
      <c r="E5871" s="63">
        <v>0</v>
      </c>
    </row>
    <row r="5872" spans="1:5">
      <c r="A5872" s="61" t="s">
        <v>252</v>
      </c>
      <c r="B5872" s="61" t="s">
        <v>383</v>
      </c>
      <c r="C5872" s="62">
        <v>44794</v>
      </c>
      <c r="D5872" s="62">
        <v>44794</v>
      </c>
      <c r="E5872" s="63">
        <v>0</v>
      </c>
    </row>
    <row r="5873" spans="1:5">
      <c r="A5873" s="61" t="s">
        <v>252</v>
      </c>
      <c r="B5873" s="61" t="s">
        <v>383</v>
      </c>
      <c r="C5873" s="62">
        <v>44795</v>
      </c>
      <c r="D5873" s="62">
        <v>44795</v>
      </c>
      <c r="E5873" s="63">
        <v>0</v>
      </c>
    </row>
    <row r="5874" spans="1:5">
      <c r="A5874" s="61" t="s">
        <v>252</v>
      </c>
      <c r="B5874" s="61" t="s">
        <v>383</v>
      </c>
      <c r="C5874" s="62">
        <v>44796</v>
      </c>
      <c r="D5874" s="62">
        <v>44796</v>
      </c>
      <c r="E5874" s="63">
        <v>0</v>
      </c>
    </row>
    <row r="5875" spans="1:5">
      <c r="A5875" s="61" t="s">
        <v>252</v>
      </c>
      <c r="B5875" s="61" t="s">
        <v>383</v>
      </c>
      <c r="C5875" s="62">
        <v>44797</v>
      </c>
      <c r="D5875" s="62">
        <v>44797</v>
      </c>
      <c r="E5875" s="63">
        <v>0</v>
      </c>
    </row>
    <row r="5876" spans="1:5">
      <c r="A5876" s="61" t="s">
        <v>252</v>
      </c>
      <c r="B5876" s="61" t="s">
        <v>383</v>
      </c>
      <c r="C5876" s="62">
        <v>44798</v>
      </c>
      <c r="D5876" s="62">
        <v>44798</v>
      </c>
      <c r="E5876" s="63">
        <v>0</v>
      </c>
    </row>
    <row r="5877" spans="1:5">
      <c r="A5877" s="61" t="s">
        <v>252</v>
      </c>
      <c r="B5877" s="61" t="s">
        <v>383</v>
      </c>
      <c r="C5877" s="62">
        <v>44799</v>
      </c>
      <c r="D5877" s="62">
        <v>44799</v>
      </c>
      <c r="E5877" s="63">
        <v>0</v>
      </c>
    </row>
    <row r="5878" spans="1:5">
      <c r="A5878" s="61" t="s">
        <v>252</v>
      </c>
      <c r="B5878" s="61" t="s">
        <v>383</v>
      </c>
      <c r="C5878" s="62">
        <v>44800</v>
      </c>
      <c r="D5878" s="62">
        <v>44800</v>
      </c>
      <c r="E5878" s="63">
        <v>0</v>
      </c>
    </row>
    <row r="5879" spans="1:5">
      <c r="A5879" s="61" t="s">
        <v>252</v>
      </c>
      <c r="B5879" s="61" t="s">
        <v>383</v>
      </c>
      <c r="C5879" s="62">
        <v>44801</v>
      </c>
      <c r="D5879" s="62">
        <v>44801</v>
      </c>
      <c r="E5879" s="63">
        <v>0</v>
      </c>
    </row>
    <row r="5880" spans="1:5">
      <c r="A5880" s="61" t="s">
        <v>252</v>
      </c>
      <c r="B5880" s="61" t="s">
        <v>383</v>
      </c>
      <c r="C5880" s="62">
        <v>44802</v>
      </c>
      <c r="D5880" s="62">
        <v>44802</v>
      </c>
      <c r="E5880" s="63">
        <v>0</v>
      </c>
    </row>
    <row r="5881" spans="1:5">
      <c r="A5881" s="61" t="s">
        <v>252</v>
      </c>
      <c r="B5881" s="61" t="s">
        <v>383</v>
      </c>
      <c r="C5881" s="62">
        <v>44803</v>
      </c>
      <c r="D5881" s="62">
        <v>44803</v>
      </c>
      <c r="E5881" s="63">
        <v>0</v>
      </c>
    </row>
    <row r="5882" spans="1:5">
      <c r="A5882" s="61" t="s">
        <v>103</v>
      </c>
      <c r="B5882" s="61" t="s">
        <v>380</v>
      </c>
      <c r="C5882" s="62">
        <v>44774</v>
      </c>
      <c r="D5882" s="62">
        <v>44774</v>
      </c>
      <c r="E5882" s="63">
        <v>2.73</v>
      </c>
    </row>
    <row r="5883" spans="1:5">
      <c r="A5883" s="61" t="s">
        <v>103</v>
      </c>
      <c r="B5883" s="61" t="s">
        <v>380</v>
      </c>
      <c r="C5883" s="62">
        <v>44775</v>
      </c>
      <c r="D5883" s="62">
        <v>44775</v>
      </c>
      <c r="E5883" s="63">
        <v>0</v>
      </c>
    </row>
    <row r="5884" spans="1:5">
      <c r="A5884" s="61" t="s">
        <v>103</v>
      </c>
      <c r="B5884" s="61" t="s">
        <v>380</v>
      </c>
      <c r="C5884" s="62">
        <v>44776</v>
      </c>
      <c r="D5884" s="62">
        <v>44776</v>
      </c>
      <c r="E5884" s="63">
        <v>0</v>
      </c>
    </row>
    <row r="5885" spans="1:5">
      <c r="A5885" s="61" t="s">
        <v>103</v>
      </c>
      <c r="B5885" s="61" t="s">
        <v>380</v>
      </c>
      <c r="C5885" s="62">
        <v>44777</v>
      </c>
      <c r="D5885" s="62">
        <v>44777</v>
      </c>
      <c r="E5885" s="63">
        <v>0</v>
      </c>
    </row>
    <row r="5886" spans="1:5">
      <c r="A5886" s="61" t="s">
        <v>103</v>
      </c>
      <c r="B5886" s="61" t="s">
        <v>380</v>
      </c>
      <c r="C5886" s="62">
        <v>44778</v>
      </c>
      <c r="D5886" s="62">
        <v>44778</v>
      </c>
      <c r="E5886" s="63">
        <v>298.49</v>
      </c>
    </row>
    <row r="5887" spans="1:5">
      <c r="A5887" s="61" t="s">
        <v>103</v>
      </c>
      <c r="B5887" s="61" t="s">
        <v>380</v>
      </c>
      <c r="C5887" s="62">
        <v>44779</v>
      </c>
      <c r="D5887" s="62">
        <v>44779</v>
      </c>
      <c r="E5887" s="63">
        <v>0</v>
      </c>
    </row>
    <row r="5888" spans="1:5">
      <c r="A5888" s="61" t="s">
        <v>103</v>
      </c>
      <c r="B5888" s="61" t="s">
        <v>380</v>
      </c>
      <c r="C5888" s="62">
        <v>44780</v>
      </c>
      <c r="D5888" s="62">
        <v>44780</v>
      </c>
      <c r="E5888" s="63">
        <v>0</v>
      </c>
    </row>
    <row r="5889" spans="1:5">
      <c r="A5889" s="61" t="s">
        <v>103</v>
      </c>
      <c r="B5889" s="61" t="s">
        <v>380</v>
      </c>
      <c r="C5889" s="62">
        <v>44781</v>
      </c>
      <c r="D5889" s="62">
        <v>44781</v>
      </c>
      <c r="E5889" s="63">
        <v>0</v>
      </c>
    </row>
    <row r="5890" spans="1:5">
      <c r="A5890" s="61" t="s">
        <v>103</v>
      </c>
      <c r="B5890" s="61" t="s">
        <v>380</v>
      </c>
      <c r="C5890" s="62">
        <v>44782</v>
      </c>
      <c r="D5890" s="62">
        <v>44782</v>
      </c>
      <c r="E5890" s="63">
        <v>0</v>
      </c>
    </row>
    <row r="5891" spans="1:5">
      <c r="A5891" s="61" t="s">
        <v>103</v>
      </c>
      <c r="B5891" s="61" t="s">
        <v>380</v>
      </c>
      <c r="C5891" s="62">
        <v>44783</v>
      </c>
      <c r="D5891" s="62">
        <v>44783</v>
      </c>
      <c r="E5891" s="63">
        <v>158.97999999999999</v>
      </c>
    </row>
    <row r="5892" spans="1:5">
      <c r="A5892" s="61" t="s">
        <v>103</v>
      </c>
      <c r="B5892" s="61" t="s">
        <v>380</v>
      </c>
      <c r="C5892" s="62">
        <v>44784</v>
      </c>
      <c r="D5892" s="62">
        <v>44784</v>
      </c>
      <c r="E5892" s="63">
        <v>0.24</v>
      </c>
    </row>
    <row r="5893" spans="1:5">
      <c r="A5893" s="61" t="s">
        <v>103</v>
      </c>
      <c r="B5893" s="61" t="s">
        <v>380</v>
      </c>
      <c r="C5893" s="62">
        <v>44785</v>
      </c>
      <c r="D5893" s="62">
        <v>44785</v>
      </c>
      <c r="E5893" s="63">
        <v>326.64</v>
      </c>
    </row>
    <row r="5894" spans="1:5">
      <c r="A5894" s="61" t="s">
        <v>103</v>
      </c>
      <c r="B5894" s="61" t="s">
        <v>380</v>
      </c>
      <c r="C5894" s="62">
        <v>44786</v>
      </c>
      <c r="D5894" s="62">
        <v>44786</v>
      </c>
      <c r="E5894" s="63">
        <v>0</v>
      </c>
    </row>
    <row r="5895" spans="1:5">
      <c r="A5895" s="61" t="s">
        <v>103</v>
      </c>
      <c r="B5895" s="61" t="s">
        <v>380</v>
      </c>
      <c r="C5895" s="62">
        <v>44787</v>
      </c>
      <c r="D5895" s="62">
        <v>44787</v>
      </c>
      <c r="E5895" s="63">
        <v>0</v>
      </c>
    </row>
    <row r="5896" spans="1:5">
      <c r="A5896" s="61" t="s">
        <v>103</v>
      </c>
      <c r="B5896" s="61" t="s">
        <v>380</v>
      </c>
      <c r="C5896" s="62">
        <v>44788</v>
      </c>
      <c r="D5896" s="62">
        <v>44788</v>
      </c>
      <c r="E5896" s="63">
        <v>0</v>
      </c>
    </row>
    <row r="5897" spans="1:5">
      <c r="A5897" s="61" t="s">
        <v>103</v>
      </c>
      <c r="B5897" s="61" t="s">
        <v>380</v>
      </c>
      <c r="C5897" s="62">
        <v>44789</v>
      </c>
      <c r="D5897" s="62">
        <v>44789</v>
      </c>
      <c r="E5897" s="63">
        <v>0</v>
      </c>
    </row>
    <row r="5898" spans="1:5">
      <c r="A5898" s="61" t="s">
        <v>103</v>
      </c>
      <c r="B5898" s="61" t="s">
        <v>380</v>
      </c>
      <c r="C5898" s="62">
        <v>44790</v>
      </c>
      <c r="D5898" s="62">
        <v>44790</v>
      </c>
      <c r="E5898" s="63">
        <v>0</v>
      </c>
    </row>
    <row r="5899" spans="1:5">
      <c r="A5899" s="61" t="s">
        <v>103</v>
      </c>
      <c r="B5899" s="61" t="s">
        <v>380</v>
      </c>
      <c r="C5899" s="62">
        <v>44791</v>
      </c>
      <c r="D5899" s="62">
        <v>44791</v>
      </c>
      <c r="E5899" s="63">
        <v>0</v>
      </c>
    </row>
    <row r="5900" spans="1:5">
      <c r="A5900" s="61" t="s">
        <v>103</v>
      </c>
      <c r="B5900" s="61" t="s">
        <v>380</v>
      </c>
      <c r="C5900" s="62">
        <v>44792</v>
      </c>
      <c r="D5900" s="62">
        <v>44792</v>
      </c>
      <c r="E5900" s="63">
        <v>228.57</v>
      </c>
    </row>
    <row r="5901" spans="1:5">
      <c r="A5901" s="61" t="s">
        <v>103</v>
      </c>
      <c r="B5901" s="61" t="s">
        <v>380</v>
      </c>
      <c r="C5901" s="62">
        <v>44793</v>
      </c>
      <c r="D5901" s="62">
        <v>44793</v>
      </c>
      <c r="E5901" s="63">
        <v>5</v>
      </c>
    </row>
    <row r="5902" spans="1:5">
      <c r="A5902" s="61" t="s">
        <v>103</v>
      </c>
      <c r="B5902" s="61" t="s">
        <v>380</v>
      </c>
      <c r="C5902" s="62">
        <v>44794</v>
      </c>
      <c r="D5902" s="62">
        <v>44794</v>
      </c>
      <c r="E5902" s="63">
        <v>0</v>
      </c>
    </row>
    <row r="5903" spans="1:5">
      <c r="A5903" s="61" t="s">
        <v>103</v>
      </c>
      <c r="B5903" s="61" t="s">
        <v>380</v>
      </c>
      <c r="C5903" s="62">
        <v>44795</v>
      </c>
      <c r="D5903" s="62">
        <v>44795</v>
      </c>
      <c r="E5903" s="63">
        <v>42.02</v>
      </c>
    </row>
    <row r="5904" spans="1:5">
      <c r="A5904" s="61" t="s">
        <v>103</v>
      </c>
      <c r="B5904" s="61" t="s">
        <v>380</v>
      </c>
      <c r="C5904" s="62">
        <v>44796</v>
      </c>
      <c r="D5904" s="62">
        <v>44796</v>
      </c>
      <c r="E5904" s="63">
        <v>0</v>
      </c>
    </row>
    <row r="5905" spans="1:5">
      <c r="A5905" s="61" t="s">
        <v>103</v>
      </c>
      <c r="B5905" s="61" t="s">
        <v>380</v>
      </c>
      <c r="C5905" s="62">
        <v>44797</v>
      </c>
      <c r="D5905" s="62">
        <v>44797</v>
      </c>
      <c r="E5905" s="63">
        <v>0</v>
      </c>
    </row>
    <row r="5906" spans="1:5">
      <c r="A5906" s="61" t="s">
        <v>103</v>
      </c>
      <c r="B5906" s="61" t="s">
        <v>380</v>
      </c>
      <c r="C5906" s="62">
        <v>44798</v>
      </c>
      <c r="D5906" s="62">
        <v>44798</v>
      </c>
      <c r="E5906" s="63">
        <v>0</v>
      </c>
    </row>
    <row r="5907" spans="1:5">
      <c r="A5907" s="61" t="s">
        <v>103</v>
      </c>
      <c r="B5907" s="61" t="s">
        <v>380</v>
      </c>
      <c r="C5907" s="62">
        <v>44799</v>
      </c>
      <c r="D5907" s="62">
        <v>44799</v>
      </c>
      <c r="E5907" s="63">
        <v>307.14</v>
      </c>
    </row>
    <row r="5908" spans="1:5">
      <c r="A5908" s="61" t="s">
        <v>103</v>
      </c>
      <c r="B5908" s="61" t="s">
        <v>380</v>
      </c>
      <c r="C5908" s="62">
        <v>44800</v>
      </c>
      <c r="D5908" s="62">
        <v>44800</v>
      </c>
      <c r="E5908" s="63">
        <v>0</v>
      </c>
    </row>
    <row r="5909" spans="1:5">
      <c r="A5909" s="61" t="s">
        <v>103</v>
      </c>
      <c r="B5909" s="61" t="s">
        <v>380</v>
      </c>
      <c r="C5909" s="62">
        <v>44801</v>
      </c>
      <c r="D5909" s="62">
        <v>44801</v>
      </c>
      <c r="E5909" s="63">
        <v>0</v>
      </c>
    </row>
    <row r="5910" spans="1:5">
      <c r="A5910" s="61" t="s">
        <v>103</v>
      </c>
      <c r="B5910" s="61" t="s">
        <v>380</v>
      </c>
      <c r="C5910" s="62">
        <v>44802</v>
      </c>
      <c r="D5910" s="62">
        <v>44802</v>
      </c>
      <c r="E5910" s="63">
        <v>0</v>
      </c>
    </row>
    <row r="5911" spans="1:5">
      <c r="A5911" s="61" t="s">
        <v>103</v>
      </c>
      <c r="B5911" s="61" t="s">
        <v>380</v>
      </c>
      <c r="C5911" s="62">
        <v>44803</v>
      </c>
      <c r="D5911" s="62">
        <v>44803</v>
      </c>
      <c r="E5911" s="63">
        <v>0</v>
      </c>
    </row>
    <row r="5912" spans="1:5">
      <c r="A5912" s="61" t="s">
        <v>253</v>
      </c>
      <c r="B5912" s="61" t="s">
        <v>381</v>
      </c>
      <c r="C5912" s="62">
        <v>44774</v>
      </c>
      <c r="D5912" s="62">
        <v>44774</v>
      </c>
      <c r="E5912" s="63">
        <v>0</v>
      </c>
    </row>
    <row r="5913" spans="1:5">
      <c r="A5913" s="61" t="s">
        <v>253</v>
      </c>
      <c r="B5913" s="61" t="s">
        <v>381</v>
      </c>
      <c r="C5913" s="62">
        <v>44775</v>
      </c>
      <c r="D5913" s="62">
        <v>44775</v>
      </c>
      <c r="E5913" s="63">
        <v>0</v>
      </c>
    </row>
    <row r="5914" spans="1:5">
      <c r="A5914" s="61" t="s">
        <v>253</v>
      </c>
      <c r="B5914" s="61" t="s">
        <v>381</v>
      </c>
      <c r="C5914" s="62">
        <v>44776</v>
      </c>
      <c r="D5914" s="62">
        <v>44776</v>
      </c>
      <c r="E5914" s="63">
        <v>0</v>
      </c>
    </row>
    <row r="5915" spans="1:5">
      <c r="A5915" s="61" t="s">
        <v>253</v>
      </c>
      <c r="B5915" s="61" t="s">
        <v>381</v>
      </c>
      <c r="C5915" s="62">
        <v>44777</v>
      </c>
      <c r="D5915" s="62">
        <v>44777</v>
      </c>
      <c r="E5915" s="63">
        <v>0</v>
      </c>
    </row>
    <row r="5916" spans="1:5">
      <c r="A5916" s="61" t="s">
        <v>253</v>
      </c>
      <c r="B5916" s="61" t="s">
        <v>381</v>
      </c>
      <c r="C5916" s="62">
        <v>44778</v>
      </c>
      <c r="D5916" s="62">
        <v>44778</v>
      </c>
      <c r="E5916" s="63">
        <v>0</v>
      </c>
    </row>
    <row r="5917" spans="1:5">
      <c r="A5917" s="61" t="s">
        <v>253</v>
      </c>
      <c r="B5917" s="61" t="s">
        <v>381</v>
      </c>
      <c r="C5917" s="62">
        <v>44779</v>
      </c>
      <c r="D5917" s="62">
        <v>44779</v>
      </c>
      <c r="E5917" s="63">
        <v>0</v>
      </c>
    </row>
    <row r="5918" spans="1:5">
      <c r="A5918" s="61" t="s">
        <v>253</v>
      </c>
      <c r="B5918" s="61" t="s">
        <v>381</v>
      </c>
      <c r="C5918" s="62">
        <v>44780</v>
      </c>
      <c r="D5918" s="62">
        <v>44780</v>
      </c>
      <c r="E5918" s="63">
        <v>0</v>
      </c>
    </row>
    <row r="5919" spans="1:5">
      <c r="A5919" s="61" t="s">
        <v>253</v>
      </c>
      <c r="B5919" s="61" t="s">
        <v>381</v>
      </c>
      <c r="C5919" s="62">
        <v>44781</v>
      </c>
      <c r="D5919" s="62">
        <v>44781</v>
      </c>
      <c r="E5919" s="63">
        <v>0</v>
      </c>
    </row>
    <row r="5920" spans="1:5">
      <c r="A5920" s="61" t="s">
        <v>253</v>
      </c>
      <c r="B5920" s="61" t="s">
        <v>381</v>
      </c>
      <c r="C5920" s="62">
        <v>44782</v>
      </c>
      <c r="D5920" s="62">
        <v>44782</v>
      </c>
      <c r="E5920" s="63">
        <v>0</v>
      </c>
    </row>
    <row r="5921" spans="1:5">
      <c r="A5921" s="61" t="s">
        <v>253</v>
      </c>
      <c r="B5921" s="61" t="s">
        <v>381</v>
      </c>
      <c r="C5921" s="62">
        <v>44783</v>
      </c>
      <c r="D5921" s="62">
        <v>44783</v>
      </c>
      <c r="E5921" s="63">
        <v>0</v>
      </c>
    </row>
    <row r="5922" spans="1:5">
      <c r="A5922" s="61" t="s">
        <v>253</v>
      </c>
      <c r="B5922" s="61" t="s">
        <v>381</v>
      </c>
      <c r="C5922" s="62">
        <v>44784</v>
      </c>
      <c r="D5922" s="62">
        <v>44784</v>
      </c>
      <c r="E5922" s="63">
        <v>0.24</v>
      </c>
    </row>
    <row r="5923" spans="1:5">
      <c r="A5923" s="61" t="s">
        <v>253</v>
      </c>
      <c r="B5923" s="61" t="s">
        <v>381</v>
      </c>
      <c r="C5923" s="62">
        <v>44785</v>
      </c>
      <c r="D5923" s="62">
        <v>44785</v>
      </c>
      <c r="E5923" s="63">
        <v>0</v>
      </c>
    </row>
    <row r="5924" spans="1:5">
      <c r="A5924" s="61" t="s">
        <v>253</v>
      </c>
      <c r="B5924" s="61" t="s">
        <v>381</v>
      </c>
      <c r="C5924" s="62">
        <v>44786</v>
      </c>
      <c r="D5924" s="62">
        <v>44786</v>
      </c>
      <c r="E5924" s="63">
        <v>0</v>
      </c>
    </row>
    <row r="5925" spans="1:5">
      <c r="A5925" s="61" t="s">
        <v>253</v>
      </c>
      <c r="B5925" s="61" t="s">
        <v>381</v>
      </c>
      <c r="C5925" s="62">
        <v>44787</v>
      </c>
      <c r="D5925" s="62">
        <v>44787</v>
      </c>
      <c r="E5925" s="63">
        <v>0</v>
      </c>
    </row>
    <row r="5926" spans="1:5">
      <c r="A5926" s="61" t="s">
        <v>253</v>
      </c>
      <c r="B5926" s="61" t="s">
        <v>381</v>
      </c>
      <c r="C5926" s="62">
        <v>44788</v>
      </c>
      <c r="D5926" s="62">
        <v>44788</v>
      </c>
      <c r="E5926" s="63">
        <v>0</v>
      </c>
    </row>
    <row r="5927" spans="1:5">
      <c r="A5927" s="61" t="s">
        <v>253</v>
      </c>
      <c r="B5927" s="61" t="s">
        <v>381</v>
      </c>
      <c r="C5927" s="62">
        <v>44789</v>
      </c>
      <c r="D5927" s="62">
        <v>44789</v>
      </c>
      <c r="E5927" s="63">
        <v>0</v>
      </c>
    </row>
    <row r="5928" spans="1:5">
      <c r="A5928" s="61" t="s">
        <v>253</v>
      </c>
      <c r="B5928" s="61" t="s">
        <v>381</v>
      </c>
      <c r="C5928" s="62">
        <v>44790</v>
      </c>
      <c r="D5928" s="62">
        <v>44790</v>
      </c>
      <c r="E5928" s="63">
        <v>0</v>
      </c>
    </row>
    <row r="5929" spans="1:5">
      <c r="A5929" s="61" t="s">
        <v>253</v>
      </c>
      <c r="B5929" s="61" t="s">
        <v>381</v>
      </c>
      <c r="C5929" s="62">
        <v>44791</v>
      </c>
      <c r="D5929" s="62">
        <v>44791</v>
      </c>
      <c r="E5929" s="63">
        <v>0</v>
      </c>
    </row>
    <row r="5930" spans="1:5">
      <c r="A5930" s="61" t="s">
        <v>253</v>
      </c>
      <c r="B5930" s="61" t="s">
        <v>381</v>
      </c>
      <c r="C5930" s="62">
        <v>44792</v>
      </c>
      <c r="D5930" s="62">
        <v>44792</v>
      </c>
      <c r="E5930" s="63">
        <v>0</v>
      </c>
    </row>
    <row r="5931" spans="1:5">
      <c r="A5931" s="61" t="s">
        <v>253</v>
      </c>
      <c r="B5931" s="61" t="s">
        <v>381</v>
      </c>
      <c r="C5931" s="62">
        <v>44793</v>
      </c>
      <c r="D5931" s="62">
        <v>44793</v>
      </c>
      <c r="E5931" s="63">
        <v>0</v>
      </c>
    </row>
    <row r="5932" spans="1:5">
      <c r="A5932" s="61" t="s">
        <v>253</v>
      </c>
      <c r="B5932" s="61" t="s">
        <v>381</v>
      </c>
      <c r="C5932" s="62">
        <v>44794</v>
      </c>
      <c r="D5932" s="62">
        <v>44794</v>
      </c>
      <c r="E5932" s="63">
        <v>0</v>
      </c>
    </row>
    <row r="5933" spans="1:5">
      <c r="A5933" s="61" t="s">
        <v>253</v>
      </c>
      <c r="B5933" s="61" t="s">
        <v>381</v>
      </c>
      <c r="C5933" s="62">
        <v>44795</v>
      </c>
      <c r="D5933" s="62">
        <v>44795</v>
      </c>
      <c r="E5933" s="63">
        <v>0</v>
      </c>
    </row>
    <row r="5934" spans="1:5">
      <c r="A5934" s="61" t="s">
        <v>253</v>
      </c>
      <c r="B5934" s="61" t="s">
        <v>381</v>
      </c>
      <c r="C5934" s="62">
        <v>44796</v>
      </c>
      <c r="D5934" s="62">
        <v>44796</v>
      </c>
      <c r="E5934" s="63">
        <v>0</v>
      </c>
    </row>
    <row r="5935" spans="1:5">
      <c r="A5935" s="61" t="s">
        <v>253</v>
      </c>
      <c r="B5935" s="61" t="s">
        <v>381</v>
      </c>
      <c r="C5935" s="62">
        <v>44797</v>
      </c>
      <c r="D5935" s="62">
        <v>44797</v>
      </c>
      <c r="E5935" s="63">
        <v>0</v>
      </c>
    </row>
    <row r="5936" spans="1:5">
      <c r="A5936" s="61" t="s">
        <v>253</v>
      </c>
      <c r="B5936" s="61" t="s">
        <v>381</v>
      </c>
      <c r="C5936" s="62">
        <v>44798</v>
      </c>
      <c r="D5936" s="62">
        <v>44798</v>
      </c>
      <c r="E5936" s="63">
        <v>0</v>
      </c>
    </row>
    <row r="5937" spans="1:5">
      <c r="A5937" s="61" t="s">
        <v>253</v>
      </c>
      <c r="B5937" s="61" t="s">
        <v>381</v>
      </c>
      <c r="C5937" s="62">
        <v>44799</v>
      </c>
      <c r="D5937" s="62">
        <v>44799</v>
      </c>
      <c r="E5937" s="63">
        <v>0</v>
      </c>
    </row>
    <row r="5938" spans="1:5">
      <c r="A5938" s="61" t="s">
        <v>253</v>
      </c>
      <c r="B5938" s="61" t="s">
        <v>381</v>
      </c>
      <c r="C5938" s="62">
        <v>44800</v>
      </c>
      <c r="D5938" s="62">
        <v>44800</v>
      </c>
      <c r="E5938" s="63">
        <v>0</v>
      </c>
    </row>
    <row r="5939" spans="1:5">
      <c r="A5939" s="61" t="s">
        <v>253</v>
      </c>
      <c r="B5939" s="61" t="s">
        <v>381</v>
      </c>
      <c r="C5939" s="62">
        <v>44801</v>
      </c>
      <c r="D5939" s="62">
        <v>44801</v>
      </c>
      <c r="E5939" s="63">
        <v>0</v>
      </c>
    </row>
    <row r="5940" spans="1:5">
      <c r="A5940" s="61" t="s">
        <v>253</v>
      </c>
      <c r="B5940" s="61" t="s">
        <v>381</v>
      </c>
      <c r="C5940" s="62">
        <v>44802</v>
      </c>
      <c r="D5940" s="62">
        <v>44802</v>
      </c>
      <c r="E5940" s="63">
        <v>0</v>
      </c>
    </row>
    <row r="5941" spans="1:5">
      <c r="A5941" s="61" t="s">
        <v>253</v>
      </c>
      <c r="B5941" s="61" t="s">
        <v>381</v>
      </c>
      <c r="C5941" s="62">
        <v>44803</v>
      </c>
      <c r="D5941" s="62">
        <v>44803</v>
      </c>
      <c r="E5941" s="63">
        <v>0</v>
      </c>
    </row>
    <row r="5942" spans="1:5">
      <c r="A5942" s="61" t="s">
        <v>254</v>
      </c>
      <c r="B5942" s="61" t="s">
        <v>382</v>
      </c>
      <c r="C5942" s="62">
        <v>44774</v>
      </c>
      <c r="D5942" s="62">
        <v>44774</v>
      </c>
      <c r="E5942" s="63">
        <v>0</v>
      </c>
    </row>
    <row r="5943" spans="1:5">
      <c r="A5943" s="61" t="s">
        <v>254</v>
      </c>
      <c r="B5943" s="61" t="s">
        <v>382</v>
      </c>
      <c r="C5943" s="62">
        <v>44775</v>
      </c>
      <c r="D5943" s="62">
        <v>44775</v>
      </c>
      <c r="E5943" s="63">
        <v>0</v>
      </c>
    </row>
    <row r="5944" spans="1:5">
      <c r="A5944" s="61" t="s">
        <v>254</v>
      </c>
      <c r="B5944" s="61" t="s">
        <v>382</v>
      </c>
      <c r="C5944" s="62">
        <v>44776</v>
      </c>
      <c r="D5944" s="62">
        <v>44776</v>
      </c>
      <c r="E5944" s="63">
        <v>0</v>
      </c>
    </row>
    <row r="5945" spans="1:5">
      <c r="A5945" s="61" t="s">
        <v>254</v>
      </c>
      <c r="B5945" s="61" t="s">
        <v>382</v>
      </c>
      <c r="C5945" s="62">
        <v>44777</v>
      </c>
      <c r="D5945" s="62">
        <v>44777</v>
      </c>
      <c r="E5945" s="63">
        <v>0</v>
      </c>
    </row>
    <row r="5946" spans="1:5">
      <c r="A5946" s="61" t="s">
        <v>254</v>
      </c>
      <c r="B5946" s="61" t="s">
        <v>382</v>
      </c>
      <c r="C5946" s="62">
        <v>44778</v>
      </c>
      <c r="D5946" s="62">
        <v>44778</v>
      </c>
      <c r="E5946" s="63">
        <v>0</v>
      </c>
    </row>
    <row r="5947" spans="1:5">
      <c r="A5947" s="61" t="s">
        <v>254</v>
      </c>
      <c r="B5947" s="61" t="s">
        <v>382</v>
      </c>
      <c r="C5947" s="62">
        <v>44779</v>
      </c>
      <c r="D5947" s="62">
        <v>44779</v>
      </c>
      <c r="E5947" s="63">
        <v>0</v>
      </c>
    </row>
    <row r="5948" spans="1:5">
      <c r="A5948" s="61" t="s">
        <v>254</v>
      </c>
      <c r="B5948" s="61" t="s">
        <v>382</v>
      </c>
      <c r="C5948" s="62">
        <v>44780</v>
      </c>
      <c r="D5948" s="62">
        <v>44780</v>
      </c>
      <c r="E5948" s="63">
        <v>0</v>
      </c>
    </row>
    <row r="5949" spans="1:5">
      <c r="A5949" s="61" t="s">
        <v>254</v>
      </c>
      <c r="B5949" s="61" t="s">
        <v>382</v>
      </c>
      <c r="C5949" s="62">
        <v>44781</v>
      </c>
      <c r="D5949" s="62">
        <v>44781</v>
      </c>
      <c r="E5949" s="63">
        <v>0</v>
      </c>
    </row>
    <row r="5950" spans="1:5">
      <c r="A5950" s="61" t="s">
        <v>254</v>
      </c>
      <c r="B5950" s="61" t="s">
        <v>382</v>
      </c>
      <c r="C5950" s="62">
        <v>44782</v>
      </c>
      <c r="D5950" s="62">
        <v>44782</v>
      </c>
      <c r="E5950" s="63">
        <v>0</v>
      </c>
    </row>
    <row r="5951" spans="1:5">
      <c r="A5951" s="61" t="s">
        <v>254</v>
      </c>
      <c r="B5951" s="61" t="s">
        <v>382</v>
      </c>
      <c r="C5951" s="62">
        <v>44783</v>
      </c>
      <c r="D5951" s="62">
        <v>44783</v>
      </c>
      <c r="E5951" s="63">
        <v>0</v>
      </c>
    </row>
    <row r="5952" spans="1:5">
      <c r="A5952" s="61" t="s">
        <v>254</v>
      </c>
      <c r="B5952" s="61" t="s">
        <v>382</v>
      </c>
      <c r="C5952" s="62">
        <v>44784</v>
      </c>
      <c r="D5952" s="62">
        <v>44784</v>
      </c>
      <c r="E5952" s="63">
        <v>0.24</v>
      </c>
    </row>
    <row r="5953" spans="1:5">
      <c r="A5953" s="61" t="s">
        <v>254</v>
      </c>
      <c r="B5953" s="61" t="s">
        <v>382</v>
      </c>
      <c r="C5953" s="62">
        <v>44785</v>
      </c>
      <c r="D5953" s="62">
        <v>44785</v>
      </c>
      <c r="E5953" s="63">
        <v>0</v>
      </c>
    </row>
    <row r="5954" spans="1:5">
      <c r="A5954" s="61" t="s">
        <v>254</v>
      </c>
      <c r="B5954" s="61" t="s">
        <v>382</v>
      </c>
      <c r="C5954" s="62">
        <v>44786</v>
      </c>
      <c r="D5954" s="62">
        <v>44786</v>
      </c>
      <c r="E5954" s="63">
        <v>0</v>
      </c>
    </row>
    <row r="5955" spans="1:5">
      <c r="A5955" s="61" t="s">
        <v>254</v>
      </c>
      <c r="B5955" s="61" t="s">
        <v>382</v>
      </c>
      <c r="C5955" s="62">
        <v>44787</v>
      </c>
      <c r="D5955" s="62">
        <v>44787</v>
      </c>
      <c r="E5955" s="63">
        <v>0</v>
      </c>
    </row>
    <row r="5956" spans="1:5">
      <c r="A5956" s="61" t="s">
        <v>254</v>
      </c>
      <c r="B5956" s="61" t="s">
        <v>382</v>
      </c>
      <c r="C5956" s="62">
        <v>44788</v>
      </c>
      <c r="D5956" s="62">
        <v>44788</v>
      </c>
      <c r="E5956" s="63">
        <v>0</v>
      </c>
    </row>
    <row r="5957" spans="1:5">
      <c r="A5957" s="61" t="s">
        <v>254</v>
      </c>
      <c r="B5957" s="61" t="s">
        <v>382</v>
      </c>
      <c r="C5957" s="62">
        <v>44789</v>
      </c>
      <c r="D5957" s="62">
        <v>44789</v>
      </c>
      <c r="E5957" s="63">
        <v>0</v>
      </c>
    </row>
    <row r="5958" spans="1:5">
      <c r="A5958" s="61" t="s">
        <v>254</v>
      </c>
      <c r="B5958" s="61" t="s">
        <v>382</v>
      </c>
      <c r="C5958" s="62">
        <v>44790</v>
      </c>
      <c r="D5958" s="62">
        <v>44790</v>
      </c>
      <c r="E5958" s="63">
        <v>0</v>
      </c>
    </row>
    <row r="5959" spans="1:5">
      <c r="A5959" s="61" t="s">
        <v>254</v>
      </c>
      <c r="B5959" s="61" t="s">
        <v>382</v>
      </c>
      <c r="C5959" s="62">
        <v>44791</v>
      </c>
      <c r="D5959" s="62">
        <v>44791</v>
      </c>
      <c r="E5959" s="63">
        <v>0</v>
      </c>
    </row>
    <row r="5960" spans="1:5">
      <c r="A5960" s="61" t="s">
        <v>254</v>
      </c>
      <c r="B5960" s="61" t="s">
        <v>382</v>
      </c>
      <c r="C5960" s="62">
        <v>44792</v>
      </c>
      <c r="D5960" s="62">
        <v>44792</v>
      </c>
      <c r="E5960" s="63">
        <v>0</v>
      </c>
    </row>
    <row r="5961" spans="1:5">
      <c r="A5961" s="61" t="s">
        <v>254</v>
      </c>
      <c r="B5961" s="61" t="s">
        <v>382</v>
      </c>
      <c r="C5961" s="62">
        <v>44793</v>
      </c>
      <c r="D5961" s="62">
        <v>44793</v>
      </c>
      <c r="E5961" s="63">
        <v>0</v>
      </c>
    </row>
    <row r="5962" spans="1:5">
      <c r="A5962" s="61" t="s">
        <v>254</v>
      </c>
      <c r="B5962" s="61" t="s">
        <v>382</v>
      </c>
      <c r="C5962" s="62">
        <v>44794</v>
      </c>
      <c r="D5962" s="62">
        <v>44794</v>
      </c>
      <c r="E5962" s="63">
        <v>0</v>
      </c>
    </row>
    <row r="5963" spans="1:5">
      <c r="A5963" s="61" t="s">
        <v>254</v>
      </c>
      <c r="B5963" s="61" t="s">
        <v>382</v>
      </c>
      <c r="C5963" s="62">
        <v>44795</v>
      </c>
      <c r="D5963" s="62">
        <v>44795</v>
      </c>
      <c r="E5963" s="63">
        <v>0</v>
      </c>
    </row>
    <row r="5964" spans="1:5">
      <c r="A5964" s="61" t="s">
        <v>254</v>
      </c>
      <c r="B5964" s="61" t="s">
        <v>382</v>
      </c>
      <c r="C5964" s="62">
        <v>44796</v>
      </c>
      <c r="D5964" s="62">
        <v>44796</v>
      </c>
      <c r="E5964" s="63">
        <v>0</v>
      </c>
    </row>
    <row r="5965" spans="1:5">
      <c r="A5965" s="61" t="s">
        <v>254</v>
      </c>
      <c r="B5965" s="61" t="s">
        <v>382</v>
      </c>
      <c r="C5965" s="62">
        <v>44797</v>
      </c>
      <c r="D5965" s="62">
        <v>44797</v>
      </c>
      <c r="E5965" s="63">
        <v>0</v>
      </c>
    </row>
    <row r="5966" spans="1:5">
      <c r="A5966" s="61" t="s">
        <v>254</v>
      </c>
      <c r="B5966" s="61" t="s">
        <v>382</v>
      </c>
      <c r="C5966" s="62">
        <v>44798</v>
      </c>
      <c r="D5966" s="62">
        <v>44798</v>
      </c>
      <c r="E5966" s="63">
        <v>0</v>
      </c>
    </row>
    <row r="5967" spans="1:5">
      <c r="A5967" s="61" t="s">
        <v>254</v>
      </c>
      <c r="B5967" s="61" t="s">
        <v>382</v>
      </c>
      <c r="C5967" s="62">
        <v>44799</v>
      </c>
      <c r="D5967" s="62">
        <v>44799</v>
      </c>
      <c r="E5967" s="63">
        <v>0</v>
      </c>
    </row>
    <row r="5968" spans="1:5">
      <c r="A5968" s="61" t="s">
        <v>254</v>
      </c>
      <c r="B5968" s="61" t="s">
        <v>382</v>
      </c>
      <c r="C5968" s="62">
        <v>44800</v>
      </c>
      <c r="D5968" s="62">
        <v>44800</v>
      </c>
      <c r="E5968" s="63">
        <v>0</v>
      </c>
    </row>
    <row r="5969" spans="1:5">
      <c r="A5969" s="61" t="s">
        <v>254</v>
      </c>
      <c r="B5969" s="61" t="s">
        <v>382</v>
      </c>
      <c r="C5969" s="62">
        <v>44801</v>
      </c>
      <c r="D5969" s="62">
        <v>44801</v>
      </c>
      <c r="E5969" s="63">
        <v>0</v>
      </c>
    </row>
    <row r="5970" spans="1:5">
      <c r="A5970" s="61" t="s">
        <v>254</v>
      </c>
      <c r="B5970" s="61" t="s">
        <v>382</v>
      </c>
      <c r="C5970" s="62">
        <v>44802</v>
      </c>
      <c r="D5970" s="62">
        <v>44802</v>
      </c>
      <c r="E5970" s="63">
        <v>0</v>
      </c>
    </row>
    <row r="5971" spans="1:5">
      <c r="A5971" s="61" t="s">
        <v>254</v>
      </c>
      <c r="B5971" s="61" t="s">
        <v>382</v>
      </c>
      <c r="C5971" s="62">
        <v>44803</v>
      </c>
      <c r="D5971" s="62">
        <v>44803</v>
      </c>
      <c r="E5971" s="63">
        <v>0</v>
      </c>
    </row>
    <row r="5972" spans="1:5">
      <c r="A5972" s="61" t="s">
        <v>255</v>
      </c>
      <c r="B5972" s="61" t="s">
        <v>383</v>
      </c>
      <c r="C5972" s="62">
        <v>44774</v>
      </c>
      <c r="D5972" s="62">
        <v>44774</v>
      </c>
      <c r="E5972" s="63">
        <v>0</v>
      </c>
    </row>
    <row r="5973" spans="1:5">
      <c r="A5973" s="61" t="s">
        <v>255</v>
      </c>
      <c r="B5973" s="61" t="s">
        <v>383</v>
      </c>
      <c r="C5973" s="62">
        <v>44775</v>
      </c>
      <c r="D5973" s="62">
        <v>44775</v>
      </c>
      <c r="E5973" s="63">
        <v>0</v>
      </c>
    </row>
    <row r="5974" spans="1:5">
      <c r="A5974" s="61" t="s">
        <v>255</v>
      </c>
      <c r="B5974" s="61" t="s">
        <v>383</v>
      </c>
      <c r="C5974" s="62">
        <v>44776</v>
      </c>
      <c r="D5974" s="62">
        <v>44776</v>
      </c>
      <c r="E5974" s="63">
        <v>0</v>
      </c>
    </row>
    <row r="5975" spans="1:5">
      <c r="A5975" s="61" t="s">
        <v>255</v>
      </c>
      <c r="B5975" s="61" t="s">
        <v>383</v>
      </c>
      <c r="C5975" s="62">
        <v>44777</v>
      </c>
      <c r="D5975" s="62">
        <v>44777</v>
      </c>
      <c r="E5975" s="63">
        <v>0</v>
      </c>
    </row>
    <row r="5976" spans="1:5">
      <c r="A5976" s="61" t="s">
        <v>255</v>
      </c>
      <c r="B5976" s="61" t="s">
        <v>383</v>
      </c>
      <c r="C5976" s="62">
        <v>44778</v>
      </c>
      <c r="D5976" s="62">
        <v>44778</v>
      </c>
      <c r="E5976" s="63">
        <v>0</v>
      </c>
    </row>
    <row r="5977" spans="1:5">
      <c r="A5977" s="61" t="s">
        <v>255</v>
      </c>
      <c r="B5977" s="61" t="s">
        <v>383</v>
      </c>
      <c r="C5977" s="62">
        <v>44779</v>
      </c>
      <c r="D5977" s="62">
        <v>44779</v>
      </c>
      <c r="E5977" s="63">
        <v>0</v>
      </c>
    </row>
    <row r="5978" spans="1:5">
      <c r="A5978" s="61" t="s">
        <v>255</v>
      </c>
      <c r="B5978" s="61" t="s">
        <v>383</v>
      </c>
      <c r="C5978" s="62">
        <v>44780</v>
      </c>
      <c r="D5978" s="62">
        <v>44780</v>
      </c>
      <c r="E5978" s="63">
        <v>0</v>
      </c>
    </row>
    <row r="5979" spans="1:5">
      <c r="A5979" s="61" t="s">
        <v>255</v>
      </c>
      <c r="B5979" s="61" t="s">
        <v>383</v>
      </c>
      <c r="C5979" s="62">
        <v>44781</v>
      </c>
      <c r="D5979" s="62">
        <v>44781</v>
      </c>
      <c r="E5979" s="63">
        <v>0</v>
      </c>
    </row>
    <row r="5980" spans="1:5">
      <c r="A5980" s="61" t="s">
        <v>255</v>
      </c>
      <c r="B5980" s="61" t="s">
        <v>383</v>
      </c>
      <c r="C5980" s="62">
        <v>44782</v>
      </c>
      <c r="D5980" s="62">
        <v>44782</v>
      </c>
      <c r="E5980" s="63">
        <v>0</v>
      </c>
    </row>
    <row r="5981" spans="1:5">
      <c r="A5981" s="61" t="s">
        <v>255</v>
      </c>
      <c r="B5981" s="61" t="s">
        <v>383</v>
      </c>
      <c r="C5981" s="62">
        <v>44783</v>
      </c>
      <c r="D5981" s="62">
        <v>44783</v>
      </c>
      <c r="E5981" s="63">
        <v>0</v>
      </c>
    </row>
    <row r="5982" spans="1:5">
      <c r="A5982" s="61" t="s">
        <v>255</v>
      </c>
      <c r="B5982" s="61" t="s">
        <v>383</v>
      </c>
      <c r="C5982" s="62">
        <v>44784</v>
      </c>
      <c r="D5982" s="62">
        <v>44784</v>
      </c>
      <c r="E5982" s="63">
        <v>0.48</v>
      </c>
    </row>
    <row r="5983" spans="1:5">
      <c r="A5983" s="61" t="s">
        <v>255</v>
      </c>
      <c r="B5983" s="61" t="s">
        <v>383</v>
      </c>
      <c r="C5983" s="62">
        <v>44785</v>
      </c>
      <c r="D5983" s="62">
        <v>44785</v>
      </c>
      <c r="E5983" s="63">
        <v>0</v>
      </c>
    </row>
    <row r="5984" spans="1:5">
      <c r="A5984" s="61" t="s">
        <v>255</v>
      </c>
      <c r="B5984" s="61" t="s">
        <v>383</v>
      </c>
      <c r="C5984" s="62">
        <v>44786</v>
      </c>
      <c r="D5984" s="62">
        <v>44786</v>
      </c>
      <c r="E5984" s="63">
        <v>0</v>
      </c>
    </row>
    <row r="5985" spans="1:5">
      <c r="A5985" s="61" t="s">
        <v>255</v>
      </c>
      <c r="B5985" s="61" t="s">
        <v>383</v>
      </c>
      <c r="C5985" s="62">
        <v>44787</v>
      </c>
      <c r="D5985" s="62">
        <v>44787</v>
      </c>
      <c r="E5985" s="63">
        <v>0</v>
      </c>
    </row>
    <row r="5986" spans="1:5">
      <c r="A5986" s="61" t="s">
        <v>255</v>
      </c>
      <c r="B5986" s="61" t="s">
        <v>383</v>
      </c>
      <c r="C5986" s="62">
        <v>44788</v>
      </c>
      <c r="D5986" s="62">
        <v>44788</v>
      </c>
      <c r="E5986" s="63">
        <v>0</v>
      </c>
    </row>
    <row r="5987" spans="1:5">
      <c r="A5987" s="61" t="s">
        <v>255</v>
      </c>
      <c r="B5987" s="61" t="s">
        <v>383</v>
      </c>
      <c r="C5987" s="62">
        <v>44789</v>
      </c>
      <c r="D5987" s="62">
        <v>44789</v>
      </c>
      <c r="E5987" s="63">
        <v>0</v>
      </c>
    </row>
    <row r="5988" spans="1:5">
      <c r="A5988" s="61" t="s">
        <v>255</v>
      </c>
      <c r="B5988" s="61" t="s">
        <v>383</v>
      </c>
      <c r="C5988" s="62">
        <v>44790</v>
      </c>
      <c r="D5988" s="62">
        <v>44790</v>
      </c>
      <c r="E5988" s="63">
        <v>0</v>
      </c>
    </row>
    <row r="5989" spans="1:5">
      <c r="A5989" s="61" t="s">
        <v>255</v>
      </c>
      <c r="B5989" s="61" t="s">
        <v>383</v>
      </c>
      <c r="C5989" s="62">
        <v>44791</v>
      </c>
      <c r="D5989" s="62">
        <v>44791</v>
      </c>
      <c r="E5989" s="63">
        <v>0</v>
      </c>
    </row>
    <row r="5990" spans="1:5">
      <c r="A5990" s="61" t="s">
        <v>255</v>
      </c>
      <c r="B5990" s="61" t="s">
        <v>383</v>
      </c>
      <c r="C5990" s="62">
        <v>44792</v>
      </c>
      <c r="D5990" s="62">
        <v>44792</v>
      </c>
      <c r="E5990" s="63">
        <v>0</v>
      </c>
    </row>
    <row r="5991" spans="1:5">
      <c r="A5991" s="61" t="s">
        <v>255</v>
      </c>
      <c r="B5991" s="61" t="s">
        <v>383</v>
      </c>
      <c r="C5991" s="62">
        <v>44793</v>
      </c>
      <c r="D5991" s="62">
        <v>44793</v>
      </c>
      <c r="E5991" s="63">
        <v>0</v>
      </c>
    </row>
    <row r="5992" spans="1:5">
      <c r="A5992" s="61" t="s">
        <v>255</v>
      </c>
      <c r="B5992" s="61" t="s">
        <v>383</v>
      </c>
      <c r="C5992" s="62">
        <v>44794</v>
      </c>
      <c r="D5992" s="62">
        <v>44794</v>
      </c>
      <c r="E5992" s="63">
        <v>0</v>
      </c>
    </row>
    <row r="5993" spans="1:5">
      <c r="A5993" s="61" t="s">
        <v>255</v>
      </c>
      <c r="B5993" s="61" t="s">
        <v>383</v>
      </c>
      <c r="C5993" s="62">
        <v>44795</v>
      </c>
      <c r="D5993" s="62">
        <v>44795</v>
      </c>
      <c r="E5993" s="63">
        <v>0</v>
      </c>
    </row>
    <row r="5994" spans="1:5">
      <c r="A5994" s="61" t="s">
        <v>255</v>
      </c>
      <c r="B5994" s="61" t="s">
        <v>383</v>
      </c>
      <c r="C5994" s="62">
        <v>44796</v>
      </c>
      <c r="D5994" s="62">
        <v>44796</v>
      </c>
      <c r="E5994" s="63">
        <v>0</v>
      </c>
    </row>
    <row r="5995" spans="1:5">
      <c r="A5995" s="61" t="s">
        <v>255</v>
      </c>
      <c r="B5995" s="61" t="s">
        <v>383</v>
      </c>
      <c r="C5995" s="62">
        <v>44797</v>
      </c>
      <c r="D5995" s="62">
        <v>44797</v>
      </c>
      <c r="E5995" s="63">
        <v>0</v>
      </c>
    </row>
    <row r="5996" spans="1:5">
      <c r="A5996" s="61" t="s">
        <v>255</v>
      </c>
      <c r="B5996" s="61" t="s">
        <v>383</v>
      </c>
      <c r="C5996" s="62">
        <v>44798</v>
      </c>
      <c r="D5996" s="62">
        <v>44798</v>
      </c>
      <c r="E5996" s="63">
        <v>0</v>
      </c>
    </row>
    <row r="5997" spans="1:5">
      <c r="A5997" s="61" t="s">
        <v>255</v>
      </c>
      <c r="B5997" s="61" t="s">
        <v>383</v>
      </c>
      <c r="C5997" s="62">
        <v>44799</v>
      </c>
      <c r="D5997" s="62">
        <v>44799</v>
      </c>
      <c r="E5997" s="63">
        <v>0</v>
      </c>
    </row>
    <row r="5998" spans="1:5">
      <c r="A5998" s="61" t="s">
        <v>255</v>
      </c>
      <c r="B5998" s="61" t="s">
        <v>383</v>
      </c>
      <c r="C5998" s="62">
        <v>44800</v>
      </c>
      <c r="D5998" s="62">
        <v>44800</v>
      </c>
      <c r="E5998" s="63">
        <v>0</v>
      </c>
    </row>
    <row r="5999" spans="1:5">
      <c r="A5999" s="61" t="s">
        <v>255</v>
      </c>
      <c r="B5999" s="61" t="s">
        <v>383</v>
      </c>
      <c r="C5999" s="62">
        <v>44801</v>
      </c>
      <c r="D5999" s="62">
        <v>44801</v>
      </c>
      <c r="E5999" s="63">
        <v>0</v>
      </c>
    </row>
    <row r="6000" spans="1:5">
      <c r="A6000" s="61" t="s">
        <v>255</v>
      </c>
      <c r="B6000" s="61" t="s">
        <v>383</v>
      </c>
      <c r="C6000" s="62">
        <v>44802</v>
      </c>
      <c r="D6000" s="62">
        <v>44802</v>
      </c>
      <c r="E6000" s="63">
        <v>0</v>
      </c>
    </row>
    <row r="6001" spans="1:5">
      <c r="A6001" s="61" t="s">
        <v>255</v>
      </c>
      <c r="B6001" s="61" t="s">
        <v>383</v>
      </c>
      <c r="C6001" s="62">
        <v>44803</v>
      </c>
      <c r="D6001" s="62">
        <v>44803</v>
      </c>
      <c r="E6001" s="63"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4CF30-46F0-473F-BEF0-1B4E3BB925D9}">
  <sheetPr codeName="Sheet3"/>
  <dimension ref="A1:BC1225"/>
  <sheetViews>
    <sheetView topLeftCell="AQ1" workbookViewId="0">
      <selection activeCell="BC2" sqref="BC2:BC1225"/>
    </sheetView>
  </sheetViews>
  <sheetFormatPr defaultRowHeight="15"/>
  <cols>
    <col min="54" max="55" width="9.140625" style="21"/>
  </cols>
  <sheetData>
    <row r="1" spans="1:53">
      <c r="A1" t="s">
        <v>281</v>
      </c>
      <c r="B1" t="s">
        <v>282</v>
      </c>
      <c r="C1" t="s">
        <v>283</v>
      </c>
      <c r="D1" t="s">
        <v>284</v>
      </c>
      <c r="E1" t="s">
        <v>285</v>
      </c>
      <c r="F1" t="s">
        <v>286</v>
      </c>
      <c r="G1" t="s">
        <v>287</v>
      </c>
      <c r="H1" t="s">
        <v>288</v>
      </c>
      <c r="I1" t="s">
        <v>289</v>
      </c>
      <c r="J1" t="s">
        <v>290</v>
      </c>
      <c r="K1" t="s">
        <v>291</v>
      </c>
      <c r="L1" t="s">
        <v>292</v>
      </c>
      <c r="M1" t="s">
        <v>293</v>
      </c>
      <c r="N1" t="s">
        <v>294</v>
      </c>
      <c r="O1" t="s">
        <v>295</v>
      </c>
      <c r="P1" t="s">
        <v>296</v>
      </c>
      <c r="Q1" t="s">
        <v>297</v>
      </c>
      <c r="R1" t="s">
        <v>298</v>
      </c>
      <c r="S1" t="s">
        <v>299</v>
      </c>
      <c r="T1" t="s">
        <v>300</v>
      </c>
      <c r="U1" t="s">
        <v>301</v>
      </c>
      <c r="V1" t="s">
        <v>302</v>
      </c>
      <c r="W1" t="s">
        <v>303</v>
      </c>
      <c r="X1" t="s">
        <v>304</v>
      </c>
      <c r="Y1" t="s">
        <v>305</v>
      </c>
      <c r="Z1" t="s">
        <v>306</v>
      </c>
      <c r="AA1" t="s">
        <v>307</v>
      </c>
      <c r="AB1" t="s">
        <v>308</v>
      </c>
      <c r="AC1" t="s">
        <v>309</v>
      </c>
      <c r="AD1" t="s">
        <v>310</v>
      </c>
      <c r="AE1" t="s">
        <v>311</v>
      </c>
      <c r="AF1" t="s">
        <v>312</v>
      </c>
      <c r="AG1" t="s">
        <v>313</v>
      </c>
      <c r="AH1" t="s">
        <v>314</v>
      </c>
      <c r="AI1" t="s">
        <v>315</v>
      </c>
      <c r="AJ1" t="s">
        <v>316</v>
      </c>
      <c r="AK1" t="s">
        <v>317</v>
      </c>
      <c r="AL1" t="s">
        <v>318</v>
      </c>
      <c r="AM1" t="s">
        <v>319</v>
      </c>
      <c r="AN1" t="s">
        <v>320</v>
      </c>
      <c r="AO1" t="s">
        <v>321</v>
      </c>
      <c r="AP1" t="s">
        <v>322</v>
      </c>
      <c r="AQ1" t="s">
        <v>323</v>
      </c>
      <c r="AR1" t="s">
        <v>324</v>
      </c>
      <c r="AS1" t="s">
        <v>325</v>
      </c>
      <c r="AT1" t="s">
        <v>326</v>
      </c>
      <c r="AU1" t="s">
        <v>327</v>
      </c>
      <c r="AV1" t="s">
        <v>328</v>
      </c>
      <c r="AW1" t="s">
        <v>329</v>
      </c>
      <c r="AX1" t="s">
        <v>330</v>
      </c>
      <c r="AY1" t="s">
        <v>331</v>
      </c>
      <c r="AZ1" t="s">
        <v>332</v>
      </c>
      <c r="BA1" t="s">
        <v>0</v>
      </c>
    </row>
    <row r="2" spans="1:53">
      <c r="A2" t="s">
        <v>384</v>
      </c>
      <c r="B2" t="s">
        <v>385</v>
      </c>
      <c r="C2">
        <v>22001583</v>
      </c>
      <c r="D2">
        <v>1201</v>
      </c>
      <c r="E2" s="6">
        <v>44783</v>
      </c>
      <c r="F2" t="s">
        <v>9</v>
      </c>
      <c r="G2">
        <v>96.77</v>
      </c>
      <c r="H2">
        <v>96.77</v>
      </c>
      <c r="I2" t="s">
        <v>263</v>
      </c>
      <c r="J2" t="s">
        <v>263</v>
      </c>
      <c r="L2" s="29">
        <v>1438000</v>
      </c>
      <c r="N2" s="29">
        <v>1438000</v>
      </c>
      <c r="O2" t="s">
        <v>264</v>
      </c>
      <c r="Q2" t="s">
        <v>264</v>
      </c>
      <c r="R2" t="s">
        <v>265</v>
      </c>
      <c r="S2">
        <v>14860</v>
      </c>
      <c r="T2" t="s">
        <v>266</v>
      </c>
      <c r="U2" t="s">
        <v>267</v>
      </c>
      <c r="V2" t="s">
        <v>386</v>
      </c>
      <c r="W2" t="s">
        <v>387</v>
      </c>
      <c r="X2">
        <v>1930311</v>
      </c>
      <c r="Y2" s="6">
        <v>44783</v>
      </c>
      <c r="Z2" t="s">
        <v>264</v>
      </c>
      <c r="AA2">
        <v>1</v>
      </c>
      <c r="AB2" t="s">
        <v>264</v>
      </c>
      <c r="AD2" t="s">
        <v>264</v>
      </c>
      <c r="AE2" t="s">
        <v>264</v>
      </c>
      <c r="AF2" t="s">
        <v>264</v>
      </c>
      <c r="AH2" t="s">
        <v>264</v>
      </c>
      <c r="AL2" t="s">
        <v>264</v>
      </c>
      <c r="AM2" s="6">
        <v>44783</v>
      </c>
      <c r="AN2" t="s">
        <v>388</v>
      </c>
      <c r="AO2" t="s">
        <v>268</v>
      </c>
      <c r="AP2">
        <v>1201</v>
      </c>
      <c r="AQ2" t="s">
        <v>269</v>
      </c>
      <c r="AR2" t="s">
        <v>389</v>
      </c>
      <c r="AU2" t="s">
        <v>264</v>
      </c>
      <c r="AV2" t="s">
        <v>270</v>
      </c>
      <c r="AX2" t="s">
        <v>264</v>
      </c>
      <c r="AY2">
        <v>630110</v>
      </c>
      <c r="AZ2">
        <v>1201.6301100000001</v>
      </c>
      <c r="BA2" s="28" t="s">
        <v>8</v>
      </c>
    </row>
    <row r="3" spans="1:53">
      <c r="A3" t="s">
        <v>390</v>
      </c>
      <c r="B3" t="s">
        <v>391</v>
      </c>
      <c r="C3">
        <v>22001962</v>
      </c>
      <c r="D3">
        <v>1201</v>
      </c>
      <c r="E3" s="6">
        <v>44799</v>
      </c>
      <c r="F3" t="s">
        <v>392</v>
      </c>
      <c r="G3" s="29">
        <v>109035.55</v>
      </c>
      <c r="H3" s="29">
        <v>109035.55</v>
      </c>
      <c r="I3" t="s">
        <v>263</v>
      </c>
      <c r="J3" t="s">
        <v>263</v>
      </c>
      <c r="L3" s="29">
        <v>1620268200</v>
      </c>
      <c r="N3" s="29">
        <v>1620268200</v>
      </c>
      <c r="O3" t="s">
        <v>264</v>
      </c>
      <c r="Q3" t="s">
        <v>264</v>
      </c>
      <c r="R3" t="s">
        <v>265</v>
      </c>
      <c r="S3">
        <v>14860</v>
      </c>
      <c r="T3" t="s">
        <v>266</v>
      </c>
      <c r="U3" t="s">
        <v>267</v>
      </c>
      <c r="V3" t="s">
        <v>386</v>
      </c>
      <c r="W3" t="s">
        <v>387</v>
      </c>
      <c r="X3">
        <v>1935696</v>
      </c>
      <c r="Y3" s="6">
        <v>44802</v>
      </c>
      <c r="Z3" t="s">
        <v>264</v>
      </c>
      <c r="AA3">
        <v>2</v>
      </c>
      <c r="AB3" t="s">
        <v>264</v>
      </c>
      <c r="AD3" t="s">
        <v>264</v>
      </c>
      <c r="AE3" t="s">
        <v>264</v>
      </c>
      <c r="AF3" t="s">
        <v>264</v>
      </c>
      <c r="AH3" t="s">
        <v>264</v>
      </c>
      <c r="AL3" t="s">
        <v>264</v>
      </c>
      <c r="AM3" s="6">
        <v>44799</v>
      </c>
      <c r="AN3" t="s">
        <v>393</v>
      </c>
      <c r="AO3" t="s">
        <v>268</v>
      </c>
      <c r="AP3">
        <v>1201</v>
      </c>
      <c r="AQ3" t="s">
        <v>269</v>
      </c>
      <c r="AR3" t="s">
        <v>264</v>
      </c>
      <c r="AU3" t="s">
        <v>264</v>
      </c>
      <c r="AV3" t="s">
        <v>270</v>
      </c>
      <c r="AX3" t="s">
        <v>264</v>
      </c>
      <c r="AY3">
        <v>630110</v>
      </c>
      <c r="AZ3">
        <v>1201.6301100000001</v>
      </c>
      <c r="BA3" s="28" t="s">
        <v>8</v>
      </c>
    </row>
    <row r="4" spans="1:53">
      <c r="A4" t="s">
        <v>384</v>
      </c>
      <c r="B4" t="s">
        <v>385</v>
      </c>
      <c r="C4">
        <v>22001606</v>
      </c>
      <c r="D4">
        <v>1201</v>
      </c>
      <c r="E4" s="6">
        <v>44802</v>
      </c>
      <c r="F4" t="s">
        <v>9</v>
      </c>
      <c r="G4">
        <v>183.25</v>
      </c>
      <c r="H4">
        <v>183.25</v>
      </c>
      <c r="I4" t="s">
        <v>263</v>
      </c>
      <c r="J4" t="s">
        <v>263</v>
      </c>
      <c r="L4" s="29">
        <v>2723100</v>
      </c>
      <c r="N4" s="29">
        <v>2723100</v>
      </c>
      <c r="O4" t="s">
        <v>264</v>
      </c>
      <c r="Q4" t="s">
        <v>264</v>
      </c>
      <c r="R4" t="s">
        <v>265</v>
      </c>
      <c r="S4">
        <v>14860</v>
      </c>
      <c r="T4" t="s">
        <v>266</v>
      </c>
      <c r="U4" t="s">
        <v>267</v>
      </c>
      <c r="V4" t="s">
        <v>386</v>
      </c>
      <c r="W4" t="s">
        <v>387</v>
      </c>
      <c r="X4">
        <v>1935899</v>
      </c>
      <c r="Y4" s="6">
        <v>44802</v>
      </c>
      <c r="Z4" t="s">
        <v>264</v>
      </c>
      <c r="AA4">
        <v>1</v>
      </c>
      <c r="AB4" t="s">
        <v>264</v>
      </c>
      <c r="AD4" t="s">
        <v>264</v>
      </c>
      <c r="AE4" t="s">
        <v>264</v>
      </c>
      <c r="AF4" t="s">
        <v>264</v>
      </c>
      <c r="AH4" t="s">
        <v>264</v>
      </c>
      <c r="AL4" t="s">
        <v>264</v>
      </c>
      <c r="AM4" s="6">
        <v>44802</v>
      </c>
      <c r="AN4" t="s">
        <v>388</v>
      </c>
      <c r="AO4" t="s">
        <v>268</v>
      </c>
      <c r="AP4">
        <v>1201</v>
      </c>
      <c r="AQ4" t="s">
        <v>269</v>
      </c>
      <c r="AR4" t="s">
        <v>394</v>
      </c>
      <c r="AU4" t="s">
        <v>264</v>
      </c>
      <c r="AV4" t="s">
        <v>270</v>
      </c>
      <c r="AX4" t="s">
        <v>264</v>
      </c>
      <c r="AY4">
        <v>630110</v>
      </c>
      <c r="AZ4">
        <v>1201.6301100000001</v>
      </c>
      <c r="BA4" s="28" t="s">
        <v>8</v>
      </c>
    </row>
    <row r="5" spans="1:53">
      <c r="A5" t="s">
        <v>390</v>
      </c>
      <c r="B5" t="s">
        <v>391</v>
      </c>
      <c r="C5">
        <v>22001961</v>
      </c>
      <c r="D5">
        <v>1201</v>
      </c>
      <c r="E5" s="6">
        <v>44803</v>
      </c>
      <c r="F5" t="s">
        <v>392</v>
      </c>
      <c r="G5" s="29">
        <v>11512.47</v>
      </c>
      <c r="H5" s="29">
        <v>11512.47</v>
      </c>
      <c r="I5" t="s">
        <v>263</v>
      </c>
      <c r="J5" t="s">
        <v>263</v>
      </c>
      <c r="L5" s="29">
        <v>171075300</v>
      </c>
      <c r="N5" s="29">
        <v>171075300</v>
      </c>
      <c r="O5" t="s">
        <v>264</v>
      </c>
      <c r="Q5" t="s">
        <v>264</v>
      </c>
      <c r="R5" t="s">
        <v>265</v>
      </c>
      <c r="S5">
        <v>14860</v>
      </c>
      <c r="T5" t="s">
        <v>266</v>
      </c>
      <c r="U5" t="s">
        <v>267</v>
      </c>
      <c r="V5" t="s">
        <v>386</v>
      </c>
      <c r="W5" t="s">
        <v>387</v>
      </c>
      <c r="X5">
        <v>1935695</v>
      </c>
      <c r="Y5" s="6">
        <v>44802</v>
      </c>
      <c r="Z5" t="s">
        <v>264</v>
      </c>
      <c r="AA5">
        <v>2</v>
      </c>
      <c r="AB5" t="s">
        <v>264</v>
      </c>
      <c r="AD5" t="s">
        <v>264</v>
      </c>
      <c r="AE5" t="s">
        <v>264</v>
      </c>
      <c r="AF5" t="s">
        <v>264</v>
      </c>
      <c r="AH5" t="s">
        <v>264</v>
      </c>
      <c r="AL5" t="s">
        <v>264</v>
      </c>
      <c r="AM5" s="6">
        <v>44803</v>
      </c>
      <c r="AN5" t="s">
        <v>393</v>
      </c>
      <c r="AO5" t="s">
        <v>268</v>
      </c>
      <c r="AP5">
        <v>1201</v>
      </c>
      <c r="AQ5" t="s">
        <v>269</v>
      </c>
      <c r="AR5" t="s">
        <v>264</v>
      </c>
      <c r="AU5" t="s">
        <v>264</v>
      </c>
      <c r="AV5" t="s">
        <v>270</v>
      </c>
      <c r="AX5" t="s">
        <v>264</v>
      </c>
      <c r="AY5">
        <v>630110</v>
      </c>
      <c r="AZ5">
        <v>1201.6301100000001</v>
      </c>
      <c r="BA5" s="28" t="s">
        <v>8</v>
      </c>
    </row>
    <row r="6" spans="1:53">
      <c r="A6" t="s">
        <v>384</v>
      </c>
      <c r="B6" t="s">
        <v>385</v>
      </c>
      <c r="C6">
        <v>22001591</v>
      </c>
      <c r="D6">
        <v>1201</v>
      </c>
      <c r="E6" s="6">
        <v>44803</v>
      </c>
      <c r="F6" t="s">
        <v>395</v>
      </c>
      <c r="G6">
        <v>-22.63</v>
      </c>
      <c r="I6" t="s">
        <v>263</v>
      </c>
      <c r="J6" t="s">
        <v>263</v>
      </c>
      <c r="K6">
        <v>-22.63</v>
      </c>
      <c r="M6" s="29">
        <v>-336400</v>
      </c>
      <c r="N6" s="29">
        <v>-336400</v>
      </c>
      <c r="O6" t="s">
        <v>264</v>
      </c>
      <c r="Q6" t="s">
        <v>264</v>
      </c>
      <c r="R6" t="s">
        <v>265</v>
      </c>
      <c r="S6">
        <v>14860</v>
      </c>
      <c r="T6" t="s">
        <v>266</v>
      </c>
      <c r="U6" t="s">
        <v>267</v>
      </c>
      <c r="V6" t="s">
        <v>386</v>
      </c>
      <c r="W6" t="s">
        <v>387</v>
      </c>
      <c r="X6">
        <v>1935694</v>
      </c>
      <c r="Y6" s="6">
        <v>44802</v>
      </c>
      <c r="Z6" t="s">
        <v>264</v>
      </c>
      <c r="AA6">
        <v>28</v>
      </c>
      <c r="AB6" t="s">
        <v>264</v>
      </c>
      <c r="AD6" t="s">
        <v>264</v>
      </c>
      <c r="AE6" t="s">
        <v>264</v>
      </c>
      <c r="AF6" t="s">
        <v>264</v>
      </c>
      <c r="AH6" t="s">
        <v>264</v>
      </c>
      <c r="AL6" t="s">
        <v>264</v>
      </c>
      <c r="AM6" s="6">
        <v>44803</v>
      </c>
      <c r="AN6" t="s">
        <v>393</v>
      </c>
      <c r="AO6" t="s">
        <v>268</v>
      </c>
      <c r="AP6">
        <v>1201</v>
      </c>
      <c r="AQ6" t="s">
        <v>269</v>
      </c>
      <c r="AR6" t="s">
        <v>264</v>
      </c>
      <c r="AU6" t="s">
        <v>264</v>
      </c>
      <c r="AV6" t="s">
        <v>270</v>
      </c>
      <c r="AX6" t="s">
        <v>264</v>
      </c>
      <c r="AY6">
        <v>630110</v>
      </c>
      <c r="AZ6">
        <v>1201.6301100000001</v>
      </c>
      <c r="BA6" s="28" t="s">
        <v>8</v>
      </c>
    </row>
    <row r="7" spans="1:53">
      <c r="A7" t="s">
        <v>384</v>
      </c>
      <c r="B7" t="s">
        <v>385</v>
      </c>
      <c r="C7">
        <v>22001591</v>
      </c>
      <c r="D7">
        <v>1201</v>
      </c>
      <c r="E7" s="6">
        <v>44803</v>
      </c>
      <c r="F7" t="s">
        <v>395</v>
      </c>
      <c r="G7" s="29">
        <v>8807.89</v>
      </c>
      <c r="H7" s="29">
        <v>8807.89</v>
      </c>
      <c r="I7" t="s">
        <v>263</v>
      </c>
      <c r="J7" t="s">
        <v>263</v>
      </c>
      <c r="L7" s="29">
        <v>130885200</v>
      </c>
      <c r="N7" s="29">
        <v>130885200</v>
      </c>
      <c r="O7" t="s">
        <v>264</v>
      </c>
      <c r="Q7" t="s">
        <v>264</v>
      </c>
      <c r="R7" t="s">
        <v>265</v>
      </c>
      <c r="S7">
        <v>14860</v>
      </c>
      <c r="T7" t="s">
        <v>266</v>
      </c>
      <c r="U7" t="s">
        <v>267</v>
      </c>
      <c r="V7" t="s">
        <v>386</v>
      </c>
      <c r="W7" t="s">
        <v>387</v>
      </c>
      <c r="X7">
        <v>1935694</v>
      </c>
      <c r="Y7" s="6">
        <v>44802</v>
      </c>
      <c r="Z7" t="s">
        <v>264</v>
      </c>
      <c r="AA7">
        <v>1</v>
      </c>
      <c r="AB7" t="s">
        <v>264</v>
      </c>
      <c r="AD7" t="s">
        <v>264</v>
      </c>
      <c r="AE7" t="s">
        <v>264</v>
      </c>
      <c r="AF7" t="s">
        <v>264</v>
      </c>
      <c r="AH7" t="s">
        <v>264</v>
      </c>
      <c r="AL7" t="s">
        <v>264</v>
      </c>
      <c r="AM7" s="6">
        <v>44803</v>
      </c>
      <c r="AN7" t="s">
        <v>393</v>
      </c>
      <c r="AO7" t="s">
        <v>268</v>
      </c>
      <c r="AP7">
        <v>1201</v>
      </c>
      <c r="AQ7" t="s">
        <v>269</v>
      </c>
      <c r="AR7" t="s">
        <v>264</v>
      </c>
      <c r="AU7" t="s">
        <v>264</v>
      </c>
      <c r="AV7" t="s">
        <v>270</v>
      </c>
      <c r="AX7" t="s">
        <v>264</v>
      </c>
      <c r="AY7">
        <v>630110</v>
      </c>
      <c r="AZ7">
        <v>1201.6301100000001</v>
      </c>
      <c r="BA7" s="28" t="s">
        <v>8</v>
      </c>
    </row>
    <row r="8" spans="1:53">
      <c r="A8" t="s">
        <v>384</v>
      </c>
      <c r="B8" t="s">
        <v>385</v>
      </c>
      <c r="C8">
        <v>22001583</v>
      </c>
      <c r="D8">
        <v>1201</v>
      </c>
      <c r="E8" s="6">
        <v>44783</v>
      </c>
      <c r="F8" t="s">
        <v>9</v>
      </c>
      <c r="G8">
        <v>218.92</v>
      </c>
      <c r="H8">
        <v>218.92</v>
      </c>
      <c r="I8" t="s">
        <v>263</v>
      </c>
      <c r="J8" t="s">
        <v>263</v>
      </c>
      <c r="L8" s="29">
        <v>3253100</v>
      </c>
      <c r="N8" s="29">
        <v>3253100</v>
      </c>
      <c r="O8" t="s">
        <v>264</v>
      </c>
      <c r="Q8" t="s">
        <v>264</v>
      </c>
      <c r="R8" t="s">
        <v>265</v>
      </c>
      <c r="S8">
        <v>14860</v>
      </c>
      <c r="T8" t="s">
        <v>266</v>
      </c>
      <c r="U8" t="s">
        <v>267</v>
      </c>
      <c r="V8" t="s">
        <v>386</v>
      </c>
      <c r="W8" t="s">
        <v>387</v>
      </c>
      <c r="X8">
        <v>1930311</v>
      </c>
      <c r="Y8" s="6">
        <v>44783</v>
      </c>
      <c r="Z8" t="s">
        <v>264</v>
      </c>
      <c r="AA8">
        <v>2</v>
      </c>
      <c r="AB8" t="s">
        <v>264</v>
      </c>
      <c r="AD8" t="s">
        <v>264</v>
      </c>
      <c r="AE8" t="s">
        <v>264</v>
      </c>
      <c r="AF8" t="s">
        <v>264</v>
      </c>
      <c r="AH8" t="s">
        <v>264</v>
      </c>
      <c r="AL8" t="s">
        <v>264</v>
      </c>
      <c r="AM8" s="6">
        <v>44783</v>
      </c>
      <c r="AN8" t="s">
        <v>388</v>
      </c>
      <c r="AO8" t="s">
        <v>268</v>
      </c>
      <c r="AP8">
        <v>1204</v>
      </c>
      <c r="AQ8" t="s">
        <v>269</v>
      </c>
      <c r="AR8" t="s">
        <v>396</v>
      </c>
      <c r="AU8" t="s">
        <v>264</v>
      </c>
      <c r="AV8" t="s">
        <v>270</v>
      </c>
      <c r="AX8" t="s">
        <v>264</v>
      </c>
      <c r="AY8">
        <v>630110</v>
      </c>
      <c r="AZ8">
        <v>1204.6301100000001</v>
      </c>
      <c r="BA8" s="28" t="s">
        <v>106</v>
      </c>
    </row>
    <row r="9" spans="1:53">
      <c r="A9" t="s">
        <v>390</v>
      </c>
      <c r="B9" t="s">
        <v>391</v>
      </c>
      <c r="C9">
        <v>22001962</v>
      </c>
      <c r="D9">
        <v>1201</v>
      </c>
      <c r="E9" s="6">
        <v>44799</v>
      </c>
      <c r="F9" t="s">
        <v>392</v>
      </c>
      <c r="G9" s="29">
        <v>110607.21</v>
      </c>
      <c r="H9" s="29">
        <v>110607.21</v>
      </c>
      <c r="I9" t="s">
        <v>263</v>
      </c>
      <c r="J9" t="s">
        <v>263</v>
      </c>
      <c r="L9" s="29">
        <v>1643623200</v>
      </c>
      <c r="N9" s="29">
        <v>1643623200</v>
      </c>
      <c r="O9" t="s">
        <v>264</v>
      </c>
      <c r="Q9" t="s">
        <v>264</v>
      </c>
      <c r="R9" t="s">
        <v>265</v>
      </c>
      <c r="S9">
        <v>14860</v>
      </c>
      <c r="T9" t="s">
        <v>266</v>
      </c>
      <c r="U9" t="s">
        <v>267</v>
      </c>
      <c r="V9" t="s">
        <v>386</v>
      </c>
      <c r="W9" t="s">
        <v>387</v>
      </c>
      <c r="X9">
        <v>1935696</v>
      </c>
      <c r="Y9" s="6">
        <v>44802</v>
      </c>
      <c r="Z9" t="s">
        <v>264</v>
      </c>
      <c r="AA9">
        <v>7</v>
      </c>
      <c r="AB9" t="s">
        <v>264</v>
      </c>
      <c r="AD9" t="s">
        <v>264</v>
      </c>
      <c r="AE9" t="s">
        <v>264</v>
      </c>
      <c r="AF9" t="s">
        <v>264</v>
      </c>
      <c r="AH9" t="s">
        <v>264</v>
      </c>
      <c r="AL9" t="s">
        <v>264</v>
      </c>
      <c r="AM9" s="6">
        <v>44799</v>
      </c>
      <c r="AN9" t="s">
        <v>393</v>
      </c>
      <c r="AO9" t="s">
        <v>268</v>
      </c>
      <c r="AP9">
        <v>1204</v>
      </c>
      <c r="AQ9" t="s">
        <v>269</v>
      </c>
      <c r="AR9" t="s">
        <v>264</v>
      </c>
      <c r="AU9" t="s">
        <v>264</v>
      </c>
      <c r="AV9" t="s">
        <v>270</v>
      </c>
      <c r="AX9" t="s">
        <v>264</v>
      </c>
      <c r="AY9">
        <v>630110</v>
      </c>
      <c r="AZ9">
        <v>1204.6301100000001</v>
      </c>
      <c r="BA9" s="28" t="s">
        <v>106</v>
      </c>
    </row>
    <row r="10" spans="1:53">
      <c r="A10" t="s">
        <v>390</v>
      </c>
      <c r="B10" t="s">
        <v>391</v>
      </c>
      <c r="C10">
        <v>22001961</v>
      </c>
      <c r="D10">
        <v>1201</v>
      </c>
      <c r="E10" s="6">
        <v>44803</v>
      </c>
      <c r="F10" t="s">
        <v>392</v>
      </c>
      <c r="G10" s="29">
        <v>1237.6099999999999</v>
      </c>
      <c r="H10" s="29">
        <v>1237.6099999999999</v>
      </c>
      <c r="I10" t="s">
        <v>263</v>
      </c>
      <c r="J10" t="s">
        <v>263</v>
      </c>
      <c r="L10" s="29">
        <v>18390900</v>
      </c>
      <c r="N10" s="29">
        <v>18390900</v>
      </c>
      <c r="O10" t="s">
        <v>264</v>
      </c>
      <c r="Q10" t="s">
        <v>264</v>
      </c>
      <c r="R10" t="s">
        <v>265</v>
      </c>
      <c r="S10">
        <v>14860</v>
      </c>
      <c r="T10" t="s">
        <v>266</v>
      </c>
      <c r="U10" t="s">
        <v>267</v>
      </c>
      <c r="V10" t="s">
        <v>386</v>
      </c>
      <c r="W10" t="s">
        <v>387</v>
      </c>
      <c r="X10">
        <v>1935695</v>
      </c>
      <c r="Y10" s="6">
        <v>44802</v>
      </c>
      <c r="Z10" t="s">
        <v>264</v>
      </c>
      <c r="AA10">
        <v>3</v>
      </c>
      <c r="AB10" t="s">
        <v>264</v>
      </c>
      <c r="AD10" t="s">
        <v>264</v>
      </c>
      <c r="AE10" t="s">
        <v>264</v>
      </c>
      <c r="AF10" t="s">
        <v>264</v>
      </c>
      <c r="AH10" t="s">
        <v>264</v>
      </c>
      <c r="AL10" t="s">
        <v>264</v>
      </c>
      <c r="AM10" s="6">
        <v>44803</v>
      </c>
      <c r="AN10" t="s">
        <v>393</v>
      </c>
      <c r="AO10" t="s">
        <v>268</v>
      </c>
      <c r="AP10">
        <v>1204</v>
      </c>
      <c r="AQ10" t="s">
        <v>269</v>
      </c>
      <c r="AR10" t="s">
        <v>264</v>
      </c>
      <c r="AU10" t="s">
        <v>264</v>
      </c>
      <c r="AV10" t="s">
        <v>270</v>
      </c>
      <c r="AX10" t="s">
        <v>264</v>
      </c>
      <c r="AY10">
        <v>630110</v>
      </c>
      <c r="AZ10">
        <v>1204.6301100000001</v>
      </c>
      <c r="BA10" s="28" t="s">
        <v>106</v>
      </c>
    </row>
    <row r="11" spans="1:53">
      <c r="A11" t="s">
        <v>384</v>
      </c>
      <c r="B11" t="s">
        <v>385</v>
      </c>
      <c r="C11">
        <v>22001591</v>
      </c>
      <c r="D11">
        <v>1201</v>
      </c>
      <c r="E11" s="6">
        <v>44803</v>
      </c>
      <c r="F11" t="s">
        <v>395</v>
      </c>
      <c r="G11">
        <v>-5.23</v>
      </c>
      <c r="I11" t="s">
        <v>263</v>
      </c>
      <c r="J11" t="s">
        <v>263</v>
      </c>
      <c r="K11">
        <v>-5.23</v>
      </c>
      <c r="M11" s="29">
        <v>-77700</v>
      </c>
      <c r="N11" s="29">
        <v>-77700</v>
      </c>
      <c r="O11" t="s">
        <v>264</v>
      </c>
      <c r="Q11" t="s">
        <v>264</v>
      </c>
      <c r="R11" t="s">
        <v>265</v>
      </c>
      <c r="S11">
        <v>14860</v>
      </c>
      <c r="T11" t="s">
        <v>266</v>
      </c>
      <c r="U11" t="s">
        <v>267</v>
      </c>
      <c r="V11" t="s">
        <v>386</v>
      </c>
      <c r="W11" t="s">
        <v>387</v>
      </c>
      <c r="X11">
        <v>1935694</v>
      </c>
      <c r="Y11" s="6">
        <v>44802</v>
      </c>
      <c r="Z11" t="s">
        <v>264</v>
      </c>
      <c r="AA11">
        <v>29</v>
      </c>
      <c r="AB11" t="s">
        <v>264</v>
      </c>
      <c r="AD11" t="s">
        <v>264</v>
      </c>
      <c r="AE11" t="s">
        <v>264</v>
      </c>
      <c r="AF11" t="s">
        <v>264</v>
      </c>
      <c r="AH11" t="s">
        <v>264</v>
      </c>
      <c r="AL11" t="s">
        <v>264</v>
      </c>
      <c r="AM11" s="6">
        <v>44803</v>
      </c>
      <c r="AN11" t="s">
        <v>393</v>
      </c>
      <c r="AO11" t="s">
        <v>268</v>
      </c>
      <c r="AP11">
        <v>1204</v>
      </c>
      <c r="AQ11" t="s">
        <v>269</v>
      </c>
      <c r="AR11" t="s">
        <v>264</v>
      </c>
      <c r="AU11" t="s">
        <v>264</v>
      </c>
      <c r="AV11" t="s">
        <v>270</v>
      </c>
      <c r="AX11" t="s">
        <v>264</v>
      </c>
      <c r="AY11">
        <v>630110</v>
      </c>
      <c r="AZ11">
        <v>1204.6301100000001</v>
      </c>
      <c r="BA11" s="28" t="s">
        <v>106</v>
      </c>
    </row>
    <row r="12" spans="1:53">
      <c r="A12" t="s">
        <v>384</v>
      </c>
      <c r="B12" t="s">
        <v>385</v>
      </c>
      <c r="C12">
        <v>22001591</v>
      </c>
      <c r="D12">
        <v>1201</v>
      </c>
      <c r="E12" s="6">
        <v>44803</v>
      </c>
      <c r="F12" t="s">
        <v>395</v>
      </c>
      <c r="G12" s="29">
        <v>4616.8599999999997</v>
      </c>
      <c r="H12" s="29">
        <v>4616.8599999999997</v>
      </c>
      <c r="I12" t="s">
        <v>263</v>
      </c>
      <c r="J12" t="s">
        <v>263</v>
      </c>
      <c r="L12" s="29">
        <v>68606600</v>
      </c>
      <c r="N12" s="29">
        <v>68606600</v>
      </c>
      <c r="O12" t="s">
        <v>264</v>
      </c>
      <c r="Q12" t="s">
        <v>264</v>
      </c>
      <c r="R12" t="s">
        <v>265</v>
      </c>
      <c r="S12">
        <v>14860</v>
      </c>
      <c r="T12" t="s">
        <v>266</v>
      </c>
      <c r="U12" t="s">
        <v>267</v>
      </c>
      <c r="V12" t="s">
        <v>386</v>
      </c>
      <c r="W12" t="s">
        <v>387</v>
      </c>
      <c r="X12">
        <v>1935694</v>
      </c>
      <c r="Y12" s="6">
        <v>44802</v>
      </c>
      <c r="Z12" t="s">
        <v>264</v>
      </c>
      <c r="AA12">
        <v>2</v>
      </c>
      <c r="AB12" t="s">
        <v>264</v>
      </c>
      <c r="AD12" t="s">
        <v>264</v>
      </c>
      <c r="AE12" t="s">
        <v>264</v>
      </c>
      <c r="AF12" t="s">
        <v>264</v>
      </c>
      <c r="AH12" t="s">
        <v>264</v>
      </c>
      <c r="AL12" t="s">
        <v>264</v>
      </c>
      <c r="AM12" s="6">
        <v>44803</v>
      </c>
      <c r="AN12" t="s">
        <v>393</v>
      </c>
      <c r="AO12" t="s">
        <v>268</v>
      </c>
      <c r="AP12">
        <v>1204</v>
      </c>
      <c r="AQ12" t="s">
        <v>269</v>
      </c>
      <c r="AR12" t="s">
        <v>264</v>
      </c>
      <c r="AU12" t="s">
        <v>264</v>
      </c>
      <c r="AV12" t="s">
        <v>270</v>
      </c>
      <c r="AX12" t="s">
        <v>264</v>
      </c>
      <c r="AY12">
        <v>630110</v>
      </c>
      <c r="AZ12">
        <v>1204.6301100000001</v>
      </c>
      <c r="BA12" s="28" t="s">
        <v>106</v>
      </c>
    </row>
    <row r="13" spans="1:53">
      <c r="A13" t="s">
        <v>390</v>
      </c>
      <c r="B13" t="s">
        <v>391</v>
      </c>
      <c r="C13">
        <v>22001962</v>
      </c>
      <c r="D13">
        <v>1201</v>
      </c>
      <c r="E13" s="6">
        <v>44799</v>
      </c>
      <c r="F13" t="s">
        <v>392</v>
      </c>
      <c r="G13" s="29">
        <v>136754.91</v>
      </c>
      <c r="H13" s="29">
        <v>136754.91</v>
      </c>
      <c r="I13" t="s">
        <v>263</v>
      </c>
      <c r="J13" t="s">
        <v>263</v>
      </c>
      <c r="L13" s="29">
        <v>2032177900</v>
      </c>
      <c r="N13" s="29">
        <v>2032177900</v>
      </c>
      <c r="O13" t="s">
        <v>264</v>
      </c>
      <c r="Q13" t="s">
        <v>264</v>
      </c>
      <c r="R13" t="s">
        <v>265</v>
      </c>
      <c r="S13">
        <v>14860</v>
      </c>
      <c r="T13" t="s">
        <v>266</v>
      </c>
      <c r="U13" t="s">
        <v>267</v>
      </c>
      <c r="V13" t="s">
        <v>386</v>
      </c>
      <c r="W13" t="s">
        <v>387</v>
      </c>
      <c r="X13">
        <v>1935696</v>
      </c>
      <c r="Y13" s="6">
        <v>44802</v>
      </c>
      <c r="Z13" t="s">
        <v>264</v>
      </c>
      <c r="AA13">
        <v>4</v>
      </c>
      <c r="AB13" t="s">
        <v>264</v>
      </c>
      <c r="AD13" t="s">
        <v>264</v>
      </c>
      <c r="AE13" t="s">
        <v>264</v>
      </c>
      <c r="AF13" t="s">
        <v>264</v>
      </c>
      <c r="AH13" t="s">
        <v>264</v>
      </c>
      <c r="AL13" t="s">
        <v>264</v>
      </c>
      <c r="AM13" s="6">
        <v>44799</v>
      </c>
      <c r="AN13" t="s">
        <v>393</v>
      </c>
      <c r="AO13" t="s">
        <v>268</v>
      </c>
      <c r="AP13">
        <v>1205</v>
      </c>
      <c r="AQ13" t="s">
        <v>269</v>
      </c>
      <c r="AR13" t="s">
        <v>264</v>
      </c>
      <c r="AU13" t="s">
        <v>264</v>
      </c>
      <c r="AV13" t="s">
        <v>270</v>
      </c>
      <c r="AX13" t="s">
        <v>264</v>
      </c>
      <c r="AY13">
        <v>630110</v>
      </c>
      <c r="AZ13">
        <v>1205.6301100000001</v>
      </c>
      <c r="BA13" s="28" t="s">
        <v>107</v>
      </c>
    </row>
    <row r="14" spans="1:53">
      <c r="A14" t="s">
        <v>390</v>
      </c>
      <c r="B14" t="s">
        <v>391</v>
      </c>
      <c r="C14">
        <v>22001961</v>
      </c>
      <c r="D14">
        <v>1201</v>
      </c>
      <c r="E14" s="6">
        <v>44803</v>
      </c>
      <c r="F14" t="s">
        <v>392</v>
      </c>
      <c r="G14" s="29">
        <v>3803.28</v>
      </c>
      <c r="H14" s="29">
        <v>3803.28</v>
      </c>
      <c r="I14" t="s">
        <v>263</v>
      </c>
      <c r="J14" t="s">
        <v>263</v>
      </c>
      <c r="L14" s="29">
        <v>56516800</v>
      </c>
      <c r="N14" s="29">
        <v>56516800</v>
      </c>
      <c r="O14" t="s">
        <v>264</v>
      </c>
      <c r="Q14" t="s">
        <v>264</v>
      </c>
      <c r="R14" t="s">
        <v>265</v>
      </c>
      <c r="S14">
        <v>14860</v>
      </c>
      <c r="T14" t="s">
        <v>266</v>
      </c>
      <c r="U14" t="s">
        <v>267</v>
      </c>
      <c r="V14" t="s">
        <v>386</v>
      </c>
      <c r="W14" t="s">
        <v>387</v>
      </c>
      <c r="X14">
        <v>1935695</v>
      </c>
      <c r="Y14" s="6">
        <v>44802</v>
      </c>
      <c r="Z14" t="s">
        <v>264</v>
      </c>
      <c r="AA14">
        <v>4</v>
      </c>
      <c r="AB14" t="s">
        <v>264</v>
      </c>
      <c r="AD14" t="s">
        <v>264</v>
      </c>
      <c r="AE14" t="s">
        <v>264</v>
      </c>
      <c r="AF14" t="s">
        <v>264</v>
      </c>
      <c r="AH14" t="s">
        <v>264</v>
      </c>
      <c r="AL14" t="s">
        <v>264</v>
      </c>
      <c r="AM14" s="6">
        <v>44803</v>
      </c>
      <c r="AN14" t="s">
        <v>393</v>
      </c>
      <c r="AO14" t="s">
        <v>268</v>
      </c>
      <c r="AP14">
        <v>1205</v>
      </c>
      <c r="AQ14" t="s">
        <v>269</v>
      </c>
      <c r="AR14" t="s">
        <v>264</v>
      </c>
      <c r="AU14" t="s">
        <v>264</v>
      </c>
      <c r="AV14" t="s">
        <v>270</v>
      </c>
      <c r="AX14" t="s">
        <v>264</v>
      </c>
      <c r="AY14">
        <v>630110</v>
      </c>
      <c r="AZ14">
        <v>1205.6301100000001</v>
      </c>
      <c r="BA14" s="28" t="s">
        <v>107</v>
      </c>
    </row>
    <row r="15" spans="1:53">
      <c r="A15" t="s">
        <v>384</v>
      </c>
      <c r="B15" t="s">
        <v>385</v>
      </c>
      <c r="C15">
        <v>22001591</v>
      </c>
      <c r="D15">
        <v>1201</v>
      </c>
      <c r="E15" s="6">
        <v>44803</v>
      </c>
      <c r="F15" t="s">
        <v>395</v>
      </c>
      <c r="G15">
        <v>-3.17</v>
      </c>
      <c r="I15" t="s">
        <v>263</v>
      </c>
      <c r="J15" t="s">
        <v>263</v>
      </c>
      <c r="K15">
        <v>-3.17</v>
      </c>
      <c r="M15" s="29">
        <v>-47000</v>
      </c>
      <c r="N15" s="29">
        <v>-47000</v>
      </c>
      <c r="O15" t="s">
        <v>264</v>
      </c>
      <c r="Q15" t="s">
        <v>264</v>
      </c>
      <c r="R15" t="s">
        <v>265</v>
      </c>
      <c r="S15">
        <v>14860</v>
      </c>
      <c r="T15" t="s">
        <v>266</v>
      </c>
      <c r="U15" t="s">
        <v>267</v>
      </c>
      <c r="V15" t="s">
        <v>386</v>
      </c>
      <c r="W15" t="s">
        <v>387</v>
      </c>
      <c r="X15">
        <v>1935694</v>
      </c>
      <c r="Y15" s="6">
        <v>44802</v>
      </c>
      <c r="Z15" t="s">
        <v>264</v>
      </c>
      <c r="AA15">
        <v>30</v>
      </c>
      <c r="AB15" t="s">
        <v>264</v>
      </c>
      <c r="AD15" t="s">
        <v>264</v>
      </c>
      <c r="AE15" t="s">
        <v>264</v>
      </c>
      <c r="AF15" t="s">
        <v>264</v>
      </c>
      <c r="AH15" t="s">
        <v>264</v>
      </c>
      <c r="AL15" t="s">
        <v>264</v>
      </c>
      <c r="AM15" s="6">
        <v>44803</v>
      </c>
      <c r="AN15" t="s">
        <v>393</v>
      </c>
      <c r="AO15" t="s">
        <v>268</v>
      </c>
      <c r="AP15">
        <v>1205</v>
      </c>
      <c r="AQ15" t="s">
        <v>269</v>
      </c>
      <c r="AR15" t="s">
        <v>264</v>
      </c>
      <c r="AU15" t="s">
        <v>264</v>
      </c>
      <c r="AV15" t="s">
        <v>270</v>
      </c>
      <c r="AX15" t="s">
        <v>264</v>
      </c>
      <c r="AY15">
        <v>630110</v>
      </c>
      <c r="AZ15">
        <v>1205.6301100000001</v>
      </c>
      <c r="BA15" s="28" t="s">
        <v>107</v>
      </c>
    </row>
    <row r="16" spans="1:53">
      <c r="A16" t="s">
        <v>384</v>
      </c>
      <c r="B16" t="s">
        <v>385</v>
      </c>
      <c r="C16">
        <v>22001591</v>
      </c>
      <c r="D16">
        <v>1201</v>
      </c>
      <c r="E16" s="6">
        <v>44803</v>
      </c>
      <c r="F16" t="s">
        <v>395</v>
      </c>
      <c r="G16" s="29">
        <v>5597.51</v>
      </c>
      <c r="H16" s="29">
        <v>5597.51</v>
      </c>
      <c r="I16" t="s">
        <v>263</v>
      </c>
      <c r="J16" t="s">
        <v>263</v>
      </c>
      <c r="L16" s="29">
        <v>83179000</v>
      </c>
      <c r="N16" s="29">
        <v>83179000</v>
      </c>
      <c r="O16" t="s">
        <v>264</v>
      </c>
      <c r="Q16" t="s">
        <v>264</v>
      </c>
      <c r="R16" t="s">
        <v>265</v>
      </c>
      <c r="S16">
        <v>14860</v>
      </c>
      <c r="T16" t="s">
        <v>266</v>
      </c>
      <c r="U16" t="s">
        <v>267</v>
      </c>
      <c r="V16" t="s">
        <v>386</v>
      </c>
      <c r="W16" t="s">
        <v>387</v>
      </c>
      <c r="X16">
        <v>1935694</v>
      </c>
      <c r="Y16" s="6">
        <v>44802</v>
      </c>
      <c r="Z16" t="s">
        <v>264</v>
      </c>
      <c r="AA16">
        <v>3</v>
      </c>
      <c r="AB16" t="s">
        <v>264</v>
      </c>
      <c r="AD16" t="s">
        <v>264</v>
      </c>
      <c r="AE16" t="s">
        <v>264</v>
      </c>
      <c r="AF16" t="s">
        <v>264</v>
      </c>
      <c r="AH16" t="s">
        <v>264</v>
      </c>
      <c r="AL16" t="s">
        <v>264</v>
      </c>
      <c r="AM16" s="6">
        <v>44803</v>
      </c>
      <c r="AN16" t="s">
        <v>393</v>
      </c>
      <c r="AO16" t="s">
        <v>268</v>
      </c>
      <c r="AP16">
        <v>1205</v>
      </c>
      <c r="AQ16" t="s">
        <v>269</v>
      </c>
      <c r="AR16" t="s">
        <v>264</v>
      </c>
      <c r="AU16" t="s">
        <v>264</v>
      </c>
      <c r="AV16" t="s">
        <v>270</v>
      </c>
      <c r="AX16" t="s">
        <v>264</v>
      </c>
      <c r="AY16">
        <v>630110</v>
      </c>
      <c r="AZ16">
        <v>1205.6301100000001</v>
      </c>
      <c r="BA16" s="28" t="s">
        <v>107</v>
      </c>
    </row>
    <row r="17" spans="1:53">
      <c r="A17" t="s">
        <v>384</v>
      </c>
      <c r="B17" t="s">
        <v>385</v>
      </c>
      <c r="C17">
        <v>22001583</v>
      </c>
      <c r="D17">
        <v>1201</v>
      </c>
      <c r="E17" s="6">
        <v>44783</v>
      </c>
      <c r="F17" t="s">
        <v>9</v>
      </c>
      <c r="G17">
        <v>35.71</v>
      </c>
      <c r="H17">
        <v>35.71</v>
      </c>
      <c r="I17" t="s">
        <v>263</v>
      </c>
      <c r="J17" t="s">
        <v>263</v>
      </c>
      <c r="L17" s="29">
        <v>530700</v>
      </c>
      <c r="N17" s="29">
        <v>530700</v>
      </c>
      <c r="O17" t="s">
        <v>264</v>
      </c>
      <c r="Q17" t="s">
        <v>264</v>
      </c>
      <c r="R17" t="s">
        <v>265</v>
      </c>
      <c r="S17">
        <v>14860</v>
      </c>
      <c r="T17" t="s">
        <v>266</v>
      </c>
      <c r="U17" t="s">
        <v>267</v>
      </c>
      <c r="V17" t="s">
        <v>386</v>
      </c>
      <c r="W17" t="s">
        <v>387</v>
      </c>
      <c r="X17">
        <v>1930311</v>
      </c>
      <c r="Y17" s="6">
        <v>44783</v>
      </c>
      <c r="Z17" t="s">
        <v>264</v>
      </c>
      <c r="AA17">
        <v>3</v>
      </c>
      <c r="AB17" t="s">
        <v>264</v>
      </c>
      <c r="AD17" t="s">
        <v>264</v>
      </c>
      <c r="AE17" t="s">
        <v>264</v>
      </c>
      <c r="AF17" t="s">
        <v>264</v>
      </c>
      <c r="AH17" t="s">
        <v>264</v>
      </c>
      <c r="AL17" t="s">
        <v>264</v>
      </c>
      <c r="AM17" s="6">
        <v>44783</v>
      </c>
      <c r="AN17" t="s">
        <v>388</v>
      </c>
      <c r="AO17" t="s">
        <v>268</v>
      </c>
      <c r="AP17">
        <v>1206</v>
      </c>
      <c r="AQ17" t="s">
        <v>269</v>
      </c>
      <c r="AR17" t="s">
        <v>397</v>
      </c>
      <c r="AU17" t="s">
        <v>264</v>
      </c>
      <c r="AV17" t="s">
        <v>270</v>
      </c>
      <c r="AX17" t="s">
        <v>264</v>
      </c>
      <c r="AY17">
        <v>630110</v>
      </c>
      <c r="AZ17">
        <v>1206.6301100000001</v>
      </c>
      <c r="BA17" s="28" t="s">
        <v>108</v>
      </c>
    </row>
    <row r="18" spans="1:53">
      <c r="A18" t="s">
        <v>390</v>
      </c>
      <c r="B18" t="s">
        <v>391</v>
      </c>
      <c r="C18">
        <v>22001962</v>
      </c>
      <c r="D18">
        <v>1201</v>
      </c>
      <c r="E18" s="6">
        <v>44799</v>
      </c>
      <c r="F18" t="s">
        <v>392</v>
      </c>
      <c r="G18" s="29">
        <v>49009.34</v>
      </c>
      <c r="H18" s="29">
        <v>49009.34</v>
      </c>
      <c r="I18" t="s">
        <v>263</v>
      </c>
      <c r="J18" t="s">
        <v>263</v>
      </c>
      <c r="L18" s="29">
        <v>728278800</v>
      </c>
      <c r="N18" s="29">
        <v>728278800</v>
      </c>
      <c r="O18" t="s">
        <v>264</v>
      </c>
      <c r="Q18" t="s">
        <v>264</v>
      </c>
      <c r="R18" t="s">
        <v>265</v>
      </c>
      <c r="S18">
        <v>14860</v>
      </c>
      <c r="T18" t="s">
        <v>266</v>
      </c>
      <c r="U18" t="s">
        <v>267</v>
      </c>
      <c r="V18" t="s">
        <v>386</v>
      </c>
      <c r="W18" t="s">
        <v>387</v>
      </c>
      <c r="X18">
        <v>1935696</v>
      </c>
      <c r="Y18" s="6">
        <v>44802</v>
      </c>
      <c r="Z18" t="s">
        <v>264</v>
      </c>
      <c r="AA18">
        <v>9</v>
      </c>
      <c r="AB18" t="s">
        <v>264</v>
      </c>
      <c r="AD18" t="s">
        <v>264</v>
      </c>
      <c r="AE18" t="s">
        <v>264</v>
      </c>
      <c r="AF18" t="s">
        <v>264</v>
      </c>
      <c r="AH18" t="s">
        <v>264</v>
      </c>
      <c r="AL18" t="s">
        <v>264</v>
      </c>
      <c r="AM18" s="6">
        <v>44799</v>
      </c>
      <c r="AN18" t="s">
        <v>393</v>
      </c>
      <c r="AO18" t="s">
        <v>268</v>
      </c>
      <c r="AP18">
        <v>1206</v>
      </c>
      <c r="AQ18" t="s">
        <v>269</v>
      </c>
      <c r="AR18" t="s">
        <v>264</v>
      </c>
      <c r="AU18" t="s">
        <v>264</v>
      </c>
      <c r="AV18" t="s">
        <v>270</v>
      </c>
      <c r="AX18" t="s">
        <v>264</v>
      </c>
      <c r="AY18">
        <v>630110</v>
      </c>
      <c r="AZ18">
        <v>1206.6301100000001</v>
      </c>
      <c r="BA18" s="28" t="s">
        <v>108</v>
      </c>
    </row>
    <row r="19" spans="1:53">
      <c r="A19" t="s">
        <v>390</v>
      </c>
      <c r="B19" t="s">
        <v>391</v>
      </c>
      <c r="C19">
        <v>22001961</v>
      </c>
      <c r="D19">
        <v>1201</v>
      </c>
      <c r="E19" s="6">
        <v>44803</v>
      </c>
      <c r="F19" t="s">
        <v>392</v>
      </c>
      <c r="G19" s="29">
        <v>1937.39</v>
      </c>
      <c r="H19" s="29">
        <v>1937.39</v>
      </c>
      <c r="I19" t="s">
        <v>263</v>
      </c>
      <c r="J19" t="s">
        <v>263</v>
      </c>
      <c r="L19" s="29">
        <v>28789600</v>
      </c>
      <c r="N19" s="29">
        <v>28789600</v>
      </c>
      <c r="O19" t="s">
        <v>264</v>
      </c>
      <c r="Q19" t="s">
        <v>264</v>
      </c>
      <c r="R19" t="s">
        <v>265</v>
      </c>
      <c r="S19">
        <v>14860</v>
      </c>
      <c r="T19" t="s">
        <v>266</v>
      </c>
      <c r="U19" t="s">
        <v>267</v>
      </c>
      <c r="V19" t="s">
        <v>386</v>
      </c>
      <c r="W19" t="s">
        <v>387</v>
      </c>
      <c r="X19">
        <v>1935695</v>
      </c>
      <c r="Y19" s="6">
        <v>44802</v>
      </c>
      <c r="Z19" t="s">
        <v>264</v>
      </c>
      <c r="AA19">
        <v>5</v>
      </c>
      <c r="AB19" t="s">
        <v>264</v>
      </c>
      <c r="AD19" t="s">
        <v>264</v>
      </c>
      <c r="AE19" t="s">
        <v>264</v>
      </c>
      <c r="AF19" t="s">
        <v>264</v>
      </c>
      <c r="AH19" t="s">
        <v>264</v>
      </c>
      <c r="AL19" t="s">
        <v>264</v>
      </c>
      <c r="AM19" s="6">
        <v>44803</v>
      </c>
      <c r="AN19" t="s">
        <v>393</v>
      </c>
      <c r="AO19" t="s">
        <v>268</v>
      </c>
      <c r="AP19">
        <v>1206</v>
      </c>
      <c r="AQ19" t="s">
        <v>269</v>
      </c>
      <c r="AR19" t="s">
        <v>264</v>
      </c>
      <c r="AU19" t="s">
        <v>264</v>
      </c>
      <c r="AV19" t="s">
        <v>270</v>
      </c>
      <c r="AX19" t="s">
        <v>264</v>
      </c>
      <c r="AY19">
        <v>630110</v>
      </c>
      <c r="AZ19">
        <v>1206.6301100000001</v>
      </c>
      <c r="BA19" s="28" t="s">
        <v>108</v>
      </c>
    </row>
    <row r="20" spans="1:53">
      <c r="A20" t="s">
        <v>384</v>
      </c>
      <c r="B20" t="s">
        <v>385</v>
      </c>
      <c r="C20">
        <v>22001591</v>
      </c>
      <c r="D20">
        <v>1201</v>
      </c>
      <c r="E20" s="6">
        <v>44803</v>
      </c>
      <c r="F20" t="s">
        <v>395</v>
      </c>
      <c r="G20" s="29">
        <v>2061.02</v>
      </c>
      <c r="H20" s="29">
        <v>2061.02</v>
      </c>
      <c r="I20" t="s">
        <v>263</v>
      </c>
      <c r="J20" t="s">
        <v>263</v>
      </c>
      <c r="L20" s="29">
        <v>30626800</v>
      </c>
      <c r="N20" s="29">
        <v>30626800</v>
      </c>
      <c r="O20" t="s">
        <v>264</v>
      </c>
      <c r="Q20" t="s">
        <v>264</v>
      </c>
      <c r="R20" t="s">
        <v>265</v>
      </c>
      <c r="S20">
        <v>14860</v>
      </c>
      <c r="T20" t="s">
        <v>266</v>
      </c>
      <c r="U20" t="s">
        <v>267</v>
      </c>
      <c r="V20" t="s">
        <v>386</v>
      </c>
      <c r="W20" t="s">
        <v>387</v>
      </c>
      <c r="X20">
        <v>1935694</v>
      </c>
      <c r="Y20" s="6">
        <v>44802</v>
      </c>
      <c r="Z20" t="s">
        <v>264</v>
      </c>
      <c r="AA20">
        <v>4</v>
      </c>
      <c r="AB20" t="s">
        <v>264</v>
      </c>
      <c r="AD20" t="s">
        <v>264</v>
      </c>
      <c r="AE20" t="s">
        <v>264</v>
      </c>
      <c r="AF20" t="s">
        <v>264</v>
      </c>
      <c r="AH20" t="s">
        <v>264</v>
      </c>
      <c r="AL20" t="s">
        <v>264</v>
      </c>
      <c r="AM20" s="6">
        <v>44803</v>
      </c>
      <c r="AN20" t="s">
        <v>393</v>
      </c>
      <c r="AO20" t="s">
        <v>268</v>
      </c>
      <c r="AP20">
        <v>1206</v>
      </c>
      <c r="AQ20" t="s">
        <v>269</v>
      </c>
      <c r="AR20" t="s">
        <v>264</v>
      </c>
      <c r="AU20" t="s">
        <v>264</v>
      </c>
      <c r="AV20" t="s">
        <v>270</v>
      </c>
      <c r="AX20" t="s">
        <v>264</v>
      </c>
      <c r="AY20">
        <v>630110</v>
      </c>
      <c r="AZ20">
        <v>1206.6301100000001</v>
      </c>
      <c r="BA20" s="28" t="s">
        <v>108</v>
      </c>
    </row>
    <row r="21" spans="1:53">
      <c r="A21" t="s">
        <v>271</v>
      </c>
      <c r="B21" t="s">
        <v>272</v>
      </c>
      <c r="C21">
        <v>22010661</v>
      </c>
      <c r="D21">
        <v>1201</v>
      </c>
      <c r="E21" s="6">
        <v>44774</v>
      </c>
      <c r="F21" t="s">
        <v>398</v>
      </c>
      <c r="G21">
        <v>470.37</v>
      </c>
      <c r="H21">
        <v>470.37</v>
      </c>
      <c r="I21" t="s">
        <v>263</v>
      </c>
      <c r="J21" t="s">
        <v>263</v>
      </c>
      <c r="L21" s="29">
        <v>7000000</v>
      </c>
      <c r="N21" s="29">
        <v>7000000</v>
      </c>
      <c r="O21" t="s">
        <v>264</v>
      </c>
      <c r="Q21" t="s">
        <v>264</v>
      </c>
      <c r="R21" t="s">
        <v>265</v>
      </c>
      <c r="S21">
        <v>14882</v>
      </c>
      <c r="T21" t="s">
        <v>266</v>
      </c>
      <c r="U21" t="s">
        <v>267</v>
      </c>
      <c r="V21" t="s">
        <v>273</v>
      </c>
      <c r="W21" t="s">
        <v>274</v>
      </c>
      <c r="X21">
        <v>1925590</v>
      </c>
      <c r="Y21" s="6">
        <v>44774</v>
      </c>
      <c r="Z21" t="s">
        <v>264</v>
      </c>
      <c r="AA21">
        <v>1</v>
      </c>
      <c r="AB21" t="s">
        <v>264</v>
      </c>
      <c r="AD21" t="s">
        <v>264</v>
      </c>
      <c r="AE21" t="s">
        <v>264</v>
      </c>
      <c r="AF21" t="s">
        <v>264</v>
      </c>
      <c r="AG21">
        <v>1</v>
      </c>
      <c r="AH21" t="s">
        <v>264</v>
      </c>
      <c r="AI21">
        <v>54000306</v>
      </c>
      <c r="AJ21" t="s">
        <v>398</v>
      </c>
      <c r="AL21" t="s">
        <v>399</v>
      </c>
      <c r="AM21" s="6">
        <v>44774</v>
      </c>
      <c r="AN21" t="s">
        <v>275</v>
      </c>
      <c r="AO21" t="s">
        <v>268</v>
      </c>
      <c r="AP21">
        <v>1201</v>
      </c>
      <c r="AQ21" t="s">
        <v>269</v>
      </c>
      <c r="AR21" t="s">
        <v>399</v>
      </c>
      <c r="AU21" t="s">
        <v>264</v>
      </c>
      <c r="AV21" t="s">
        <v>270</v>
      </c>
      <c r="AX21">
        <v>22002655</v>
      </c>
      <c r="AY21">
        <v>630130</v>
      </c>
      <c r="AZ21">
        <v>1201.63013</v>
      </c>
      <c r="BA21" s="28" t="s">
        <v>10</v>
      </c>
    </row>
    <row r="22" spans="1:53">
      <c r="A22" t="s">
        <v>271</v>
      </c>
      <c r="B22" t="s">
        <v>272</v>
      </c>
      <c r="C22">
        <v>22010662</v>
      </c>
      <c r="D22">
        <v>1201</v>
      </c>
      <c r="E22" s="6">
        <v>44774</v>
      </c>
      <c r="F22" t="s">
        <v>398</v>
      </c>
      <c r="G22">
        <v>11.76</v>
      </c>
      <c r="H22">
        <v>11.76</v>
      </c>
      <c r="I22" t="s">
        <v>263</v>
      </c>
      <c r="J22" t="s">
        <v>263</v>
      </c>
      <c r="L22" s="29">
        <v>175000</v>
      </c>
      <c r="N22" s="29">
        <v>175000</v>
      </c>
      <c r="O22" t="s">
        <v>264</v>
      </c>
      <c r="Q22" t="s">
        <v>264</v>
      </c>
      <c r="R22" t="s">
        <v>265</v>
      </c>
      <c r="S22">
        <v>14882</v>
      </c>
      <c r="T22" t="s">
        <v>266</v>
      </c>
      <c r="U22" t="s">
        <v>267</v>
      </c>
      <c r="V22" t="s">
        <v>273</v>
      </c>
      <c r="W22" t="s">
        <v>274</v>
      </c>
      <c r="X22">
        <v>1925594</v>
      </c>
      <c r="Y22" s="6">
        <v>44774</v>
      </c>
      <c r="Z22" t="s">
        <v>264</v>
      </c>
      <c r="AA22">
        <v>1</v>
      </c>
      <c r="AB22" t="s">
        <v>264</v>
      </c>
      <c r="AD22" t="s">
        <v>264</v>
      </c>
      <c r="AE22" t="s">
        <v>264</v>
      </c>
      <c r="AF22" t="s">
        <v>264</v>
      </c>
      <c r="AH22" t="s">
        <v>264</v>
      </c>
      <c r="AI22">
        <v>54000306</v>
      </c>
      <c r="AJ22" t="s">
        <v>398</v>
      </c>
      <c r="AL22" t="s">
        <v>400</v>
      </c>
      <c r="AM22" s="6">
        <v>44774</v>
      </c>
      <c r="AN22" t="s">
        <v>275</v>
      </c>
      <c r="AO22" t="s">
        <v>268</v>
      </c>
      <c r="AP22">
        <v>1201</v>
      </c>
      <c r="AQ22" t="s">
        <v>269</v>
      </c>
      <c r="AR22" t="s">
        <v>400</v>
      </c>
      <c r="AU22" t="s">
        <v>264</v>
      </c>
      <c r="AV22" t="s">
        <v>270</v>
      </c>
      <c r="AX22" t="s">
        <v>264</v>
      </c>
      <c r="AY22">
        <v>630130</v>
      </c>
      <c r="AZ22">
        <v>1201.63013</v>
      </c>
      <c r="BA22" s="28" t="s">
        <v>10</v>
      </c>
    </row>
    <row r="23" spans="1:53">
      <c r="A23" t="s">
        <v>271</v>
      </c>
      <c r="B23" t="s">
        <v>272</v>
      </c>
      <c r="C23">
        <v>22010790</v>
      </c>
      <c r="D23">
        <v>1201</v>
      </c>
      <c r="E23" s="6">
        <v>44778</v>
      </c>
      <c r="F23" t="s">
        <v>401</v>
      </c>
      <c r="G23" s="29">
        <v>7458.14</v>
      </c>
      <c r="H23" s="29">
        <v>7458.14</v>
      </c>
      <c r="I23" t="s">
        <v>263</v>
      </c>
      <c r="J23" t="s">
        <v>263</v>
      </c>
      <c r="L23" s="29">
        <v>110827967</v>
      </c>
      <c r="N23" s="29">
        <v>110827967</v>
      </c>
      <c r="O23" t="s">
        <v>264</v>
      </c>
      <c r="Q23" t="s">
        <v>264</v>
      </c>
      <c r="R23" t="s">
        <v>265</v>
      </c>
      <c r="S23">
        <v>14860</v>
      </c>
      <c r="T23" t="s">
        <v>266</v>
      </c>
      <c r="U23" t="s">
        <v>267</v>
      </c>
      <c r="V23" t="s">
        <v>273</v>
      </c>
      <c r="W23" t="s">
        <v>274</v>
      </c>
      <c r="X23">
        <v>1927643</v>
      </c>
      <c r="Y23" s="6">
        <v>44778</v>
      </c>
      <c r="Z23" t="s">
        <v>264</v>
      </c>
      <c r="AA23">
        <v>1</v>
      </c>
      <c r="AB23" t="s">
        <v>264</v>
      </c>
      <c r="AD23" t="s">
        <v>264</v>
      </c>
      <c r="AE23" t="s">
        <v>264</v>
      </c>
      <c r="AF23" t="s">
        <v>264</v>
      </c>
      <c r="AG23">
        <v>1</v>
      </c>
      <c r="AH23" t="s">
        <v>264</v>
      </c>
      <c r="AI23">
        <v>55491396</v>
      </c>
      <c r="AJ23" t="s">
        <v>401</v>
      </c>
      <c r="AL23" t="s">
        <v>402</v>
      </c>
      <c r="AM23" s="6">
        <v>44778</v>
      </c>
      <c r="AN23" t="s">
        <v>275</v>
      </c>
      <c r="AO23" t="s">
        <v>268</v>
      </c>
      <c r="AP23">
        <v>1201</v>
      </c>
      <c r="AQ23" t="s">
        <v>269</v>
      </c>
      <c r="AR23" t="s">
        <v>403</v>
      </c>
      <c r="AU23" t="s">
        <v>264</v>
      </c>
      <c r="AV23" t="s">
        <v>270</v>
      </c>
      <c r="AX23">
        <v>22002710</v>
      </c>
      <c r="AY23">
        <v>630130</v>
      </c>
      <c r="AZ23">
        <v>1201.63013</v>
      </c>
      <c r="BA23" s="28" t="s">
        <v>10</v>
      </c>
    </row>
    <row r="24" spans="1:53">
      <c r="A24" t="s">
        <v>384</v>
      </c>
      <c r="B24" t="s">
        <v>385</v>
      </c>
      <c r="C24">
        <v>22001591</v>
      </c>
      <c r="D24">
        <v>1201</v>
      </c>
      <c r="E24" s="6">
        <v>44803</v>
      </c>
      <c r="F24" t="s">
        <v>395</v>
      </c>
      <c r="G24" s="29">
        <v>-1215.8800000000001</v>
      </c>
      <c r="I24" t="s">
        <v>263</v>
      </c>
      <c r="J24" t="s">
        <v>263</v>
      </c>
      <c r="K24" s="29">
        <v>-1215.8800000000001</v>
      </c>
      <c r="M24" s="29">
        <v>-18068000</v>
      </c>
      <c r="N24" s="29">
        <v>-18068000</v>
      </c>
      <c r="O24" t="s">
        <v>264</v>
      </c>
      <c r="Q24" t="s">
        <v>264</v>
      </c>
      <c r="R24" t="s">
        <v>265</v>
      </c>
      <c r="S24">
        <v>14860</v>
      </c>
      <c r="T24" t="s">
        <v>266</v>
      </c>
      <c r="U24" t="s">
        <v>267</v>
      </c>
      <c r="V24" t="s">
        <v>386</v>
      </c>
      <c r="W24" t="s">
        <v>387</v>
      </c>
      <c r="X24">
        <v>1935694</v>
      </c>
      <c r="Y24" s="6">
        <v>44802</v>
      </c>
      <c r="Z24" t="s">
        <v>264</v>
      </c>
      <c r="AA24">
        <v>18</v>
      </c>
      <c r="AB24" t="s">
        <v>264</v>
      </c>
      <c r="AD24" t="s">
        <v>264</v>
      </c>
      <c r="AE24" t="s">
        <v>264</v>
      </c>
      <c r="AF24" t="s">
        <v>264</v>
      </c>
      <c r="AH24" t="s">
        <v>264</v>
      </c>
      <c r="AL24" t="s">
        <v>264</v>
      </c>
      <c r="AM24" s="6">
        <v>44803</v>
      </c>
      <c r="AN24" t="s">
        <v>393</v>
      </c>
      <c r="AO24" t="s">
        <v>268</v>
      </c>
      <c r="AP24">
        <v>1201</v>
      </c>
      <c r="AQ24" t="s">
        <v>269</v>
      </c>
      <c r="AR24" t="s">
        <v>264</v>
      </c>
      <c r="AU24" t="s">
        <v>264</v>
      </c>
      <c r="AV24" t="s">
        <v>270</v>
      </c>
      <c r="AX24" t="s">
        <v>264</v>
      </c>
      <c r="AY24">
        <v>630130</v>
      </c>
      <c r="AZ24">
        <v>1201.63013</v>
      </c>
      <c r="BA24" s="28" t="s">
        <v>10</v>
      </c>
    </row>
    <row r="25" spans="1:53">
      <c r="A25" t="s">
        <v>271</v>
      </c>
      <c r="B25" t="s">
        <v>272</v>
      </c>
      <c r="C25">
        <v>22002790</v>
      </c>
      <c r="D25">
        <v>1204</v>
      </c>
      <c r="E25" s="6">
        <v>44778</v>
      </c>
      <c r="F25" t="s">
        <v>401</v>
      </c>
      <c r="G25" s="29">
        <v>6370.78</v>
      </c>
      <c r="H25" s="29">
        <v>6370.78</v>
      </c>
      <c r="I25" t="s">
        <v>263</v>
      </c>
      <c r="J25" t="s">
        <v>263</v>
      </c>
      <c r="L25" s="29">
        <v>94669738</v>
      </c>
      <c r="N25" s="29">
        <v>94669738</v>
      </c>
      <c r="O25" t="s">
        <v>264</v>
      </c>
      <c r="Q25" t="s">
        <v>264</v>
      </c>
      <c r="R25" t="s">
        <v>265</v>
      </c>
      <c r="S25">
        <v>14860</v>
      </c>
      <c r="T25" t="s">
        <v>266</v>
      </c>
      <c r="U25" t="s">
        <v>267</v>
      </c>
      <c r="V25" t="s">
        <v>273</v>
      </c>
      <c r="W25" t="s">
        <v>274</v>
      </c>
      <c r="X25">
        <v>1927645</v>
      </c>
      <c r="Y25" s="6">
        <v>44778</v>
      </c>
      <c r="Z25" t="s">
        <v>264</v>
      </c>
      <c r="AA25">
        <v>1</v>
      </c>
      <c r="AB25" t="s">
        <v>264</v>
      </c>
      <c r="AD25" t="s">
        <v>264</v>
      </c>
      <c r="AE25" t="s">
        <v>264</v>
      </c>
      <c r="AF25" t="s">
        <v>264</v>
      </c>
      <c r="AG25">
        <v>1</v>
      </c>
      <c r="AH25" t="s">
        <v>264</v>
      </c>
      <c r="AI25">
        <v>55491396</v>
      </c>
      <c r="AJ25" t="s">
        <v>401</v>
      </c>
      <c r="AL25" t="s">
        <v>404</v>
      </c>
      <c r="AM25" s="6">
        <v>44778</v>
      </c>
      <c r="AN25" t="s">
        <v>275</v>
      </c>
      <c r="AO25" t="s">
        <v>268</v>
      </c>
      <c r="AP25">
        <v>1204</v>
      </c>
      <c r="AQ25" t="s">
        <v>269</v>
      </c>
      <c r="AR25" t="s">
        <v>405</v>
      </c>
      <c r="AU25" t="s">
        <v>264</v>
      </c>
      <c r="AV25" t="s">
        <v>270</v>
      </c>
      <c r="AX25">
        <v>22001371</v>
      </c>
      <c r="AY25">
        <v>630130</v>
      </c>
      <c r="AZ25">
        <v>1204.63013</v>
      </c>
      <c r="BA25" s="28" t="s">
        <v>109</v>
      </c>
    </row>
    <row r="26" spans="1:53">
      <c r="A26" t="s">
        <v>384</v>
      </c>
      <c r="B26" t="s">
        <v>385</v>
      </c>
      <c r="C26">
        <v>22001591</v>
      </c>
      <c r="D26">
        <v>1201</v>
      </c>
      <c r="E26" s="6">
        <v>44803</v>
      </c>
      <c r="F26" t="s">
        <v>395</v>
      </c>
      <c r="G26" s="29">
        <v>-1100.0899999999999</v>
      </c>
      <c r="I26" t="s">
        <v>263</v>
      </c>
      <c r="J26" t="s">
        <v>263</v>
      </c>
      <c r="K26" s="29">
        <v>-1100.0899999999999</v>
      </c>
      <c r="M26" s="29">
        <v>-16347300</v>
      </c>
      <c r="N26" s="29">
        <v>-16347300</v>
      </c>
      <c r="O26" t="s">
        <v>264</v>
      </c>
      <c r="Q26" t="s">
        <v>264</v>
      </c>
      <c r="R26" t="s">
        <v>265</v>
      </c>
      <c r="S26">
        <v>14860</v>
      </c>
      <c r="T26" t="s">
        <v>266</v>
      </c>
      <c r="U26" t="s">
        <v>267</v>
      </c>
      <c r="V26" t="s">
        <v>386</v>
      </c>
      <c r="W26" t="s">
        <v>387</v>
      </c>
      <c r="X26">
        <v>1935694</v>
      </c>
      <c r="Y26" s="6">
        <v>44802</v>
      </c>
      <c r="Z26" t="s">
        <v>264</v>
      </c>
      <c r="AA26">
        <v>19</v>
      </c>
      <c r="AB26" t="s">
        <v>264</v>
      </c>
      <c r="AD26" t="s">
        <v>264</v>
      </c>
      <c r="AE26" t="s">
        <v>264</v>
      </c>
      <c r="AF26" t="s">
        <v>264</v>
      </c>
      <c r="AH26" t="s">
        <v>264</v>
      </c>
      <c r="AL26" t="s">
        <v>264</v>
      </c>
      <c r="AM26" s="6">
        <v>44803</v>
      </c>
      <c r="AN26" t="s">
        <v>393</v>
      </c>
      <c r="AO26" t="s">
        <v>268</v>
      </c>
      <c r="AP26">
        <v>1204</v>
      </c>
      <c r="AQ26" t="s">
        <v>269</v>
      </c>
      <c r="AR26" t="s">
        <v>264</v>
      </c>
      <c r="AU26" t="s">
        <v>264</v>
      </c>
      <c r="AV26" t="s">
        <v>270</v>
      </c>
      <c r="AX26" t="s">
        <v>264</v>
      </c>
      <c r="AY26">
        <v>630130</v>
      </c>
      <c r="AZ26">
        <v>1204.63013</v>
      </c>
      <c r="BA26" s="28" t="s">
        <v>109</v>
      </c>
    </row>
    <row r="27" spans="1:53">
      <c r="A27" t="s">
        <v>271</v>
      </c>
      <c r="B27" t="s">
        <v>272</v>
      </c>
      <c r="C27">
        <v>22002937</v>
      </c>
      <c r="D27">
        <v>1205</v>
      </c>
      <c r="E27" s="6">
        <v>44778</v>
      </c>
      <c r="F27" t="s">
        <v>401</v>
      </c>
      <c r="G27" s="29">
        <v>6624.59</v>
      </c>
      <c r="H27" s="29">
        <v>6624.59</v>
      </c>
      <c r="I27" t="s">
        <v>263</v>
      </c>
      <c r="J27" t="s">
        <v>263</v>
      </c>
      <c r="L27" s="29">
        <v>98441337</v>
      </c>
      <c r="N27" s="29">
        <v>98441337</v>
      </c>
      <c r="O27" t="s">
        <v>264</v>
      </c>
      <c r="Q27" t="s">
        <v>264</v>
      </c>
      <c r="R27" t="s">
        <v>265</v>
      </c>
      <c r="S27">
        <v>14860</v>
      </c>
      <c r="T27" t="s">
        <v>266</v>
      </c>
      <c r="U27" t="s">
        <v>267</v>
      </c>
      <c r="V27" t="s">
        <v>273</v>
      </c>
      <c r="W27" t="s">
        <v>274</v>
      </c>
      <c r="X27">
        <v>1927651</v>
      </c>
      <c r="Y27" s="6">
        <v>44778</v>
      </c>
      <c r="Z27" t="s">
        <v>264</v>
      </c>
      <c r="AA27">
        <v>1</v>
      </c>
      <c r="AB27" t="s">
        <v>264</v>
      </c>
      <c r="AD27" t="s">
        <v>264</v>
      </c>
      <c r="AE27" t="s">
        <v>264</v>
      </c>
      <c r="AF27" t="s">
        <v>264</v>
      </c>
      <c r="AG27">
        <v>1</v>
      </c>
      <c r="AH27" t="s">
        <v>264</v>
      </c>
      <c r="AI27">
        <v>55491396</v>
      </c>
      <c r="AJ27" t="s">
        <v>401</v>
      </c>
      <c r="AL27" t="s">
        <v>406</v>
      </c>
      <c r="AM27" s="6">
        <v>44778</v>
      </c>
      <c r="AN27" t="s">
        <v>275</v>
      </c>
      <c r="AO27" t="s">
        <v>268</v>
      </c>
      <c r="AP27">
        <v>1205</v>
      </c>
      <c r="AQ27" t="s">
        <v>269</v>
      </c>
      <c r="AR27" t="s">
        <v>407</v>
      </c>
      <c r="AU27" t="s">
        <v>264</v>
      </c>
      <c r="AV27" t="s">
        <v>270</v>
      </c>
      <c r="AX27">
        <v>22001347</v>
      </c>
      <c r="AY27">
        <v>630130</v>
      </c>
      <c r="AZ27">
        <v>1205.63013</v>
      </c>
      <c r="BA27" s="28" t="s">
        <v>110</v>
      </c>
    </row>
    <row r="28" spans="1:53">
      <c r="A28" t="s">
        <v>384</v>
      </c>
      <c r="B28" t="s">
        <v>385</v>
      </c>
      <c r="C28">
        <v>22001591</v>
      </c>
      <c r="D28">
        <v>1201</v>
      </c>
      <c r="E28" s="6">
        <v>44803</v>
      </c>
      <c r="F28" t="s">
        <v>395</v>
      </c>
      <c r="G28" s="29">
        <v>-1331.05</v>
      </c>
      <c r="I28" t="s">
        <v>263</v>
      </c>
      <c r="J28" t="s">
        <v>263</v>
      </c>
      <c r="K28" s="29">
        <v>-1331.05</v>
      </c>
      <c r="M28" s="29">
        <v>-19779300</v>
      </c>
      <c r="N28" s="29">
        <v>-19779300</v>
      </c>
      <c r="O28" t="s">
        <v>264</v>
      </c>
      <c r="Q28" t="s">
        <v>264</v>
      </c>
      <c r="R28" t="s">
        <v>265</v>
      </c>
      <c r="S28">
        <v>14860</v>
      </c>
      <c r="T28" t="s">
        <v>266</v>
      </c>
      <c r="U28" t="s">
        <v>267</v>
      </c>
      <c r="V28" t="s">
        <v>386</v>
      </c>
      <c r="W28" t="s">
        <v>387</v>
      </c>
      <c r="X28">
        <v>1935694</v>
      </c>
      <c r="Y28" s="6">
        <v>44802</v>
      </c>
      <c r="Z28" t="s">
        <v>264</v>
      </c>
      <c r="AA28">
        <v>20</v>
      </c>
      <c r="AB28" t="s">
        <v>264</v>
      </c>
      <c r="AD28" t="s">
        <v>264</v>
      </c>
      <c r="AE28" t="s">
        <v>264</v>
      </c>
      <c r="AF28" t="s">
        <v>264</v>
      </c>
      <c r="AH28" t="s">
        <v>264</v>
      </c>
      <c r="AL28" t="s">
        <v>264</v>
      </c>
      <c r="AM28" s="6">
        <v>44803</v>
      </c>
      <c r="AN28" t="s">
        <v>393</v>
      </c>
      <c r="AO28" t="s">
        <v>268</v>
      </c>
      <c r="AP28">
        <v>1205</v>
      </c>
      <c r="AQ28" t="s">
        <v>269</v>
      </c>
      <c r="AR28" t="s">
        <v>264</v>
      </c>
      <c r="AU28" t="s">
        <v>264</v>
      </c>
      <c r="AV28" t="s">
        <v>270</v>
      </c>
      <c r="AX28" t="s">
        <v>264</v>
      </c>
      <c r="AY28">
        <v>630130</v>
      </c>
      <c r="AZ28">
        <v>1205.63013</v>
      </c>
      <c r="BA28" s="28" t="s">
        <v>110</v>
      </c>
    </row>
    <row r="29" spans="1:53">
      <c r="A29" t="s">
        <v>271</v>
      </c>
      <c r="B29" t="s">
        <v>272</v>
      </c>
      <c r="C29">
        <v>22001517</v>
      </c>
      <c r="D29">
        <v>1206</v>
      </c>
      <c r="E29" s="6">
        <v>44778</v>
      </c>
      <c r="F29" t="s">
        <v>401</v>
      </c>
      <c r="G29" s="29">
        <v>2535.4699999999998</v>
      </c>
      <c r="H29" s="29">
        <v>2535.4699999999998</v>
      </c>
      <c r="I29" t="s">
        <v>263</v>
      </c>
      <c r="J29" t="s">
        <v>263</v>
      </c>
      <c r="L29" s="29">
        <v>37677100</v>
      </c>
      <c r="N29" s="29">
        <v>37677100</v>
      </c>
      <c r="O29" t="s">
        <v>264</v>
      </c>
      <c r="Q29" t="s">
        <v>264</v>
      </c>
      <c r="R29" t="s">
        <v>265</v>
      </c>
      <c r="S29">
        <v>14860</v>
      </c>
      <c r="T29" t="s">
        <v>266</v>
      </c>
      <c r="U29" t="s">
        <v>267</v>
      </c>
      <c r="V29" t="s">
        <v>273</v>
      </c>
      <c r="W29" t="s">
        <v>274</v>
      </c>
      <c r="X29">
        <v>1927660</v>
      </c>
      <c r="Y29" s="6">
        <v>44778</v>
      </c>
      <c r="Z29" t="s">
        <v>264</v>
      </c>
      <c r="AA29">
        <v>1</v>
      </c>
      <c r="AB29" t="s">
        <v>264</v>
      </c>
      <c r="AD29" t="s">
        <v>264</v>
      </c>
      <c r="AE29" t="s">
        <v>264</v>
      </c>
      <c r="AF29" t="s">
        <v>264</v>
      </c>
      <c r="AG29">
        <v>1</v>
      </c>
      <c r="AH29" t="s">
        <v>264</v>
      </c>
      <c r="AI29">
        <v>55491396</v>
      </c>
      <c r="AJ29" t="s">
        <v>401</v>
      </c>
      <c r="AL29" t="s">
        <v>408</v>
      </c>
      <c r="AM29" s="6">
        <v>44778</v>
      </c>
      <c r="AN29" t="s">
        <v>275</v>
      </c>
      <c r="AO29" t="s">
        <v>268</v>
      </c>
      <c r="AP29">
        <v>1206</v>
      </c>
      <c r="AQ29" t="s">
        <v>269</v>
      </c>
      <c r="AR29" t="s">
        <v>409</v>
      </c>
      <c r="AU29" t="s">
        <v>264</v>
      </c>
      <c r="AV29" t="s">
        <v>270</v>
      </c>
      <c r="AX29">
        <v>22001130</v>
      </c>
      <c r="AY29">
        <v>630130</v>
      </c>
      <c r="AZ29">
        <v>1206.63013</v>
      </c>
      <c r="BA29" s="28" t="s">
        <v>111</v>
      </c>
    </row>
    <row r="30" spans="1:53">
      <c r="A30" t="s">
        <v>384</v>
      </c>
      <c r="B30" t="s">
        <v>385</v>
      </c>
      <c r="C30">
        <v>22001591</v>
      </c>
      <c r="D30">
        <v>1201</v>
      </c>
      <c r="E30" s="6">
        <v>44803</v>
      </c>
      <c r="F30" t="s">
        <v>395</v>
      </c>
      <c r="G30">
        <v>-513.07000000000005</v>
      </c>
      <c r="I30" t="s">
        <v>263</v>
      </c>
      <c r="J30" t="s">
        <v>263</v>
      </c>
      <c r="K30">
        <v>-513.07000000000005</v>
      </c>
      <c r="M30" s="29">
        <v>-7624300</v>
      </c>
      <c r="N30" s="29">
        <v>-7624300</v>
      </c>
      <c r="O30" t="s">
        <v>264</v>
      </c>
      <c r="Q30" t="s">
        <v>264</v>
      </c>
      <c r="R30" t="s">
        <v>265</v>
      </c>
      <c r="S30">
        <v>14860</v>
      </c>
      <c r="T30" t="s">
        <v>266</v>
      </c>
      <c r="U30" t="s">
        <v>267</v>
      </c>
      <c r="V30" t="s">
        <v>386</v>
      </c>
      <c r="W30" t="s">
        <v>387</v>
      </c>
      <c r="X30">
        <v>1935694</v>
      </c>
      <c r="Y30" s="6">
        <v>44802</v>
      </c>
      <c r="Z30" t="s">
        <v>264</v>
      </c>
      <c r="AA30">
        <v>21</v>
      </c>
      <c r="AB30" t="s">
        <v>264</v>
      </c>
      <c r="AD30" t="s">
        <v>264</v>
      </c>
      <c r="AE30" t="s">
        <v>264</v>
      </c>
      <c r="AF30" t="s">
        <v>264</v>
      </c>
      <c r="AH30" t="s">
        <v>264</v>
      </c>
      <c r="AL30" t="s">
        <v>264</v>
      </c>
      <c r="AM30" s="6">
        <v>44803</v>
      </c>
      <c r="AN30" t="s">
        <v>393</v>
      </c>
      <c r="AO30" t="s">
        <v>268</v>
      </c>
      <c r="AP30">
        <v>1206</v>
      </c>
      <c r="AQ30" t="s">
        <v>269</v>
      </c>
      <c r="AR30" t="s">
        <v>264</v>
      </c>
      <c r="AU30" t="s">
        <v>264</v>
      </c>
      <c r="AV30" t="s">
        <v>270</v>
      </c>
      <c r="AX30" t="s">
        <v>264</v>
      </c>
      <c r="AY30">
        <v>630130</v>
      </c>
      <c r="AZ30">
        <v>1206.63013</v>
      </c>
      <c r="BA30" s="28" t="s">
        <v>111</v>
      </c>
    </row>
    <row r="31" spans="1:53">
      <c r="A31" t="s">
        <v>271</v>
      </c>
      <c r="B31" t="s">
        <v>272</v>
      </c>
      <c r="C31">
        <v>22011541</v>
      </c>
      <c r="D31">
        <v>1201</v>
      </c>
      <c r="E31" s="6">
        <v>44798</v>
      </c>
      <c r="F31" t="s">
        <v>410</v>
      </c>
      <c r="G31" s="29">
        <v>3750.87</v>
      </c>
      <c r="H31" s="29">
        <v>3750.87</v>
      </c>
      <c r="I31" t="s">
        <v>263</v>
      </c>
      <c r="J31" t="s">
        <v>263</v>
      </c>
      <c r="L31" s="29">
        <v>55737902</v>
      </c>
      <c r="N31" s="29">
        <v>55737902</v>
      </c>
      <c r="O31" t="s">
        <v>264</v>
      </c>
      <c r="Q31" t="s">
        <v>264</v>
      </c>
      <c r="R31" t="s">
        <v>265</v>
      </c>
      <c r="S31">
        <v>14860</v>
      </c>
      <c r="T31" t="s">
        <v>266</v>
      </c>
      <c r="U31" t="s">
        <v>267</v>
      </c>
      <c r="V31" t="s">
        <v>273</v>
      </c>
      <c r="W31" t="s">
        <v>274</v>
      </c>
      <c r="X31">
        <v>1935302</v>
      </c>
      <c r="Y31" s="6">
        <v>44798</v>
      </c>
      <c r="Z31" t="s">
        <v>264</v>
      </c>
      <c r="AA31">
        <v>2</v>
      </c>
      <c r="AB31" t="s">
        <v>264</v>
      </c>
      <c r="AD31" t="s">
        <v>264</v>
      </c>
      <c r="AE31" t="s">
        <v>264</v>
      </c>
      <c r="AF31" t="s">
        <v>264</v>
      </c>
      <c r="AG31">
        <v>1</v>
      </c>
      <c r="AH31" t="s">
        <v>264</v>
      </c>
      <c r="AI31">
        <v>55499347</v>
      </c>
      <c r="AJ31" t="s">
        <v>410</v>
      </c>
      <c r="AL31" t="s">
        <v>411</v>
      </c>
      <c r="AM31" s="6">
        <v>44798</v>
      </c>
      <c r="AN31" t="s">
        <v>275</v>
      </c>
      <c r="AO31" t="s">
        <v>268</v>
      </c>
      <c r="AP31">
        <v>1201</v>
      </c>
      <c r="AQ31" t="s">
        <v>269</v>
      </c>
      <c r="AR31" t="s">
        <v>412</v>
      </c>
      <c r="AU31" t="s">
        <v>264</v>
      </c>
      <c r="AV31" t="s">
        <v>270</v>
      </c>
      <c r="AX31">
        <v>22002828</v>
      </c>
      <c r="AY31">
        <v>801160</v>
      </c>
      <c r="AZ31">
        <v>1201.80116</v>
      </c>
      <c r="BA31" s="28" t="s">
        <v>12</v>
      </c>
    </row>
    <row r="32" spans="1:53">
      <c r="A32" t="s">
        <v>384</v>
      </c>
      <c r="B32" t="s">
        <v>385</v>
      </c>
      <c r="C32">
        <v>22001591</v>
      </c>
      <c r="D32">
        <v>1201</v>
      </c>
      <c r="E32" s="6">
        <v>44803</v>
      </c>
      <c r="F32" t="s">
        <v>395</v>
      </c>
      <c r="G32">
        <v>-870.95</v>
      </c>
      <c r="I32" t="s">
        <v>263</v>
      </c>
      <c r="J32" t="s">
        <v>263</v>
      </c>
      <c r="K32">
        <v>-870.95</v>
      </c>
      <c r="M32" s="29">
        <v>-12942200</v>
      </c>
      <c r="N32" s="29">
        <v>-12942200</v>
      </c>
      <c r="O32" t="s">
        <v>264</v>
      </c>
      <c r="Q32" t="s">
        <v>264</v>
      </c>
      <c r="R32" t="s">
        <v>265</v>
      </c>
      <c r="S32">
        <v>14860</v>
      </c>
      <c r="T32" t="s">
        <v>266</v>
      </c>
      <c r="U32" t="s">
        <v>267</v>
      </c>
      <c r="V32" t="s">
        <v>386</v>
      </c>
      <c r="W32" t="s">
        <v>387</v>
      </c>
      <c r="X32">
        <v>1935694</v>
      </c>
      <c r="Y32" s="6">
        <v>44802</v>
      </c>
      <c r="Z32" t="s">
        <v>264</v>
      </c>
      <c r="AA32">
        <v>10</v>
      </c>
      <c r="AB32" t="s">
        <v>264</v>
      </c>
      <c r="AD32" t="s">
        <v>264</v>
      </c>
      <c r="AE32" t="s">
        <v>264</v>
      </c>
      <c r="AF32" t="s">
        <v>264</v>
      </c>
      <c r="AH32" t="s">
        <v>264</v>
      </c>
      <c r="AL32" t="s">
        <v>264</v>
      </c>
      <c r="AM32" s="6">
        <v>44803</v>
      </c>
      <c r="AN32" t="s">
        <v>393</v>
      </c>
      <c r="AO32" t="s">
        <v>268</v>
      </c>
      <c r="AP32">
        <v>1201</v>
      </c>
      <c r="AQ32" t="s">
        <v>269</v>
      </c>
      <c r="AR32" t="s">
        <v>264</v>
      </c>
      <c r="AU32" t="s">
        <v>264</v>
      </c>
      <c r="AV32" t="s">
        <v>270</v>
      </c>
      <c r="AX32" t="s">
        <v>264</v>
      </c>
      <c r="AY32">
        <v>801160</v>
      </c>
      <c r="AZ32">
        <v>1201.80116</v>
      </c>
      <c r="BA32" s="28" t="s">
        <v>12</v>
      </c>
    </row>
    <row r="33" spans="1:53">
      <c r="A33" t="s">
        <v>384</v>
      </c>
      <c r="B33" t="s">
        <v>385</v>
      </c>
      <c r="C33">
        <v>22001591</v>
      </c>
      <c r="D33">
        <v>1201</v>
      </c>
      <c r="E33" s="6">
        <v>44803</v>
      </c>
      <c r="F33" t="s">
        <v>395</v>
      </c>
      <c r="G33">
        <v>-112.55</v>
      </c>
      <c r="I33" t="s">
        <v>263</v>
      </c>
      <c r="J33" t="s">
        <v>263</v>
      </c>
      <c r="K33">
        <v>-112.55</v>
      </c>
      <c r="M33" s="29">
        <v>-1672500</v>
      </c>
      <c r="N33" s="29">
        <v>-1672500</v>
      </c>
      <c r="O33" t="s">
        <v>264</v>
      </c>
      <c r="Q33" t="s">
        <v>264</v>
      </c>
      <c r="R33" t="s">
        <v>265</v>
      </c>
      <c r="S33">
        <v>14860</v>
      </c>
      <c r="T33" t="s">
        <v>266</v>
      </c>
      <c r="U33" t="s">
        <v>267</v>
      </c>
      <c r="V33" t="s">
        <v>386</v>
      </c>
      <c r="W33" t="s">
        <v>387</v>
      </c>
      <c r="X33">
        <v>1935694</v>
      </c>
      <c r="Y33" s="6">
        <v>44802</v>
      </c>
      <c r="Z33" t="s">
        <v>264</v>
      </c>
      <c r="AA33">
        <v>11</v>
      </c>
      <c r="AB33" t="s">
        <v>264</v>
      </c>
      <c r="AD33" t="s">
        <v>264</v>
      </c>
      <c r="AE33" t="s">
        <v>264</v>
      </c>
      <c r="AF33" t="s">
        <v>264</v>
      </c>
      <c r="AH33" t="s">
        <v>264</v>
      </c>
      <c r="AL33" t="s">
        <v>264</v>
      </c>
      <c r="AM33" s="6">
        <v>44803</v>
      </c>
      <c r="AN33" t="s">
        <v>393</v>
      </c>
      <c r="AO33" t="s">
        <v>268</v>
      </c>
      <c r="AP33">
        <v>1204</v>
      </c>
      <c r="AQ33" t="s">
        <v>269</v>
      </c>
      <c r="AR33" t="s">
        <v>264</v>
      </c>
      <c r="AU33" t="s">
        <v>264</v>
      </c>
      <c r="AV33" t="s">
        <v>270</v>
      </c>
      <c r="AX33" t="s">
        <v>264</v>
      </c>
      <c r="AY33">
        <v>801160</v>
      </c>
      <c r="AZ33">
        <v>1204.80116</v>
      </c>
      <c r="BA33" s="28" t="s">
        <v>112</v>
      </c>
    </row>
    <row r="34" spans="1:53">
      <c r="A34" t="s">
        <v>384</v>
      </c>
      <c r="B34" t="s">
        <v>385</v>
      </c>
      <c r="C34">
        <v>22001591</v>
      </c>
      <c r="D34">
        <v>1201</v>
      </c>
      <c r="E34" s="6">
        <v>44803</v>
      </c>
      <c r="F34" t="s">
        <v>395</v>
      </c>
      <c r="G34">
        <v>-230.62</v>
      </c>
      <c r="I34" t="s">
        <v>263</v>
      </c>
      <c r="J34" t="s">
        <v>263</v>
      </c>
      <c r="K34">
        <v>-230.62</v>
      </c>
      <c r="M34" s="29">
        <v>-3427100</v>
      </c>
      <c r="N34" s="29">
        <v>-3427100</v>
      </c>
      <c r="O34" t="s">
        <v>264</v>
      </c>
      <c r="Q34" t="s">
        <v>264</v>
      </c>
      <c r="R34" t="s">
        <v>265</v>
      </c>
      <c r="S34">
        <v>14860</v>
      </c>
      <c r="T34" t="s">
        <v>266</v>
      </c>
      <c r="U34" t="s">
        <v>267</v>
      </c>
      <c r="V34" t="s">
        <v>386</v>
      </c>
      <c r="W34" t="s">
        <v>387</v>
      </c>
      <c r="X34">
        <v>1935694</v>
      </c>
      <c r="Y34" s="6">
        <v>44802</v>
      </c>
      <c r="Z34" t="s">
        <v>264</v>
      </c>
      <c r="AA34">
        <v>12</v>
      </c>
      <c r="AB34" t="s">
        <v>264</v>
      </c>
      <c r="AD34" t="s">
        <v>264</v>
      </c>
      <c r="AE34" t="s">
        <v>264</v>
      </c>
      <c r="AF34" t="s">
        <v>264</v>
      </c>
      <c r="AH34" t="s">
        <v>264</v>
      </c>
      <c r="AL34" t="s">
        <v>264</v>
      </c>
      <c r="AM34" s="6">
        <v>44803</v>
      </c>
      <c r="AN34" t="s">
        <v>393</v>
      </c>
      <c r="AO34" t="s">
        <v>268</v>
      </c>
      <c r="AP34">
        <v>1205</v>
      </c>
      <c r="AQ34" t="s">
        <v>269</v>
      </c>
      <c r="AR34" t="s">
        <v>264</v>
      </c>
      <c r="AU34" t="s">
        <v>264</v>
      </c>
      <c r="AV34" t="s">
        <v>270</v>
      </c>
      <c r="AX34" t="s">
        <v>264</v>
      </c>
      <c r="AY34">
        <v>801160</v>
      </c>
      <c r="AZ34">
        <v>1205.80116</v>
      </c>
      <c r="BA34" s="28" t="s">
        <v>113</v>
      </c>
    </row>
    <row r="35" spans="1:53">
      <c r="A35" t="s">
        <v>384</v>
      </c>
      <c r="B35" t="s">
        <v>385</v>
      </c>
      <c r="C35">
        <v>22001591</v>
      </c>
      <c r="D35">
        <v>1201</v>
      </c>
      <c r="E35" s="6">
        <v>44803</v>
      </c>
      <c r="F35" t="s">
        <v>395</v>
      </c>
      <c r="G35">
        <v>-29.32</v>
      </c>
      <c r="I35" t="s">
        <v>263</v>
      </c>
      <c r="J35" t="s">
        <v>263</v>
      </c>
      <c r="K35">
        <v>-29.32</v>
      </c>
      <c r="M35" s="29">
        <v>-435600</v>
      </c>
      <c r="N35" s="29">
        <v>-435600</v>
      </c>
      <c r="O35" t="s">
        <v>264</v>
      </c>
      <c r="Q35" t="s">
        <v>264</v>
      </c>
      <c r="R35" t="s">
        <v>265</v>
      </c>
      <c r="S35">
        <v>14860</v>
      </c>
      <c r="T35" t="s">
        <v>266</v>
      </c>
      <c r="U35" t="s">
        <v>267</v>
      </c>
      <c r="V35" t="s">
        <v>386</v>
      </c>
      <c r="W35" t="s">
        <v>387</v>
      </c>
      <c r="X35">
        <v>1935694</v>
      </c>
      <c r="Y35" s="6">
        <v>44802</v>
      </c>
      <c r="Z35" t="s">
        <v>264</v>
      </c>
      <c r="AA35">
        <v>13</v>
      </c>
      <c r="AB35" t="s">
        <v>264</v>
      </c>
      <c r="AD35" t="s">
        <v>264</v>
      </c>
      <c r="AE35" t="s">
        <v>264</v>
      </c>
      <c r="AF35" t="s">
        <v>264</v>
      </c>
      <c r="AH35" t="s">
        <v>264</v>
      </c>
      <c r="AL35" t="s">
        <v>264</v>
      </c>
      <c r="AM35" s="6">
        <v>44803</v>
      </c>
      <c r="AN35" t="s">
        <v>393</v>
      </c>
      <c r="AO35" t="s">
        <v>268</v>
      </c>
      <c r="AP35">
        <v>1206</v>
      </c>
      <c r="AQ35" t="s">
        <v>269</v>
      </c>
      <c r="AR35" t="s">
        <v>264</v>
      </c>
      <c r="AU35" t="s">
        <v>264</v>
      </c>
      <c r="AV35" t="s">
        <v>270</v>
      </c>
      <c r="AX35" t="s">
        <v>264</v>
      </c>
      <c r="AY35">
        <v>801160</v>
      </c>
      <c r="AZ35">
        <v>1206.80116</v>
      </c>
      <c r="BA35" s="28" t="s">
        <v>114</v>
      </c>
    </row>
    <row r="36" spans="1:53">
      <c r="A36" t="s">
        <v>271</v>
      </c>
      <c r="B36" t="s">
        <v>272</v>
      </c>
      <c r="C36">
        <v>22010666</v>
      </c>
      <c r="D36">
        <v>1201</v>
      </c>
      <c r="E36" s="6">
        <v>44775</v>
      </c>
      <c r="F36" t="s">
        <v>413</v>
      </c>
      <c r="G36">
        <v>555.87</v>
      </c>
      <c r="H36">
        <v>555.87</v>
      </c>
      <c r="I36" t="s">
        <v>263</v>
      </c>
      <c r="J36" t="s">
        <v>263</v>
      </c>
      <c r="L36" s="29">
        <v>8272500</v>
      </c>
      <c r="N36" s="29">
        <v>8272500</v>
      </c>
      <c r="O36" t="s">
        <v>264</v>
      </c>
      <c r="Q36" t="s">
        <v>264</v>
      </c>
      <c r="R36" t="s">
        <v>265</v>
      </c>
      <c r="S36">
        <v>14882</v>
      </c>
      <c r="T36" t="s">
        <v>266</v>
      </c>
      <c r="U36" t="s">
        <v>267</v>
      </c>
      <c r="V36" t="s">
        <v>273</v>
      </c>
      <c r="W36" t="s">
        <v>274</v>
      </c>
      <c r="X36">
        <v>1925615</v>
      </c>
      <c r="Y36" s="6">
        <v>44775</v>
      </c>
      <c r="Z36" t="s">
        <v>264</v>
      </c>
      <c r="AA36">
        <v>1</v>
      </c>
      <c r="AB36" t="s">
        <v>264</v>
      </c>
      <c r="AD36" t="s">
        <v>264</v>
      </c>
      <c r="AE36" t="s">
        <v>264</v>
      </c>
      <c r="AF36" t="s">
        <v>264</v>
      </c>
      <c r="AG36">
        <v>1</v>
      </c>
      <c r="AH36" t="s">
        <v>264</v>
      </c>
      <c r="AI36">
        <v>55377471</v>
      </c>
      <c r="AJ36" t="s">
        <v>413</v>
      </c>
      <c r="AL36" t="s">
        <v>414</v>
      </c>
      <c r="AM36" s="6">
        <v>44775</v>
      </c>
      <c r="AN36" t="s">
        <v>275</v>
      </c>
      <c r="AO36" t="s">
        <v>268</v>
      </c>
      <c r="AP36">
        <v>1201</v>
      </c>
      <c r="AQ36" t="s">
        <v>269</v>
      </c>
      <c r="AR36" t="s">
        <v>415</v>
      </c>
      <c r="AU36" t="s">
        <v>264</v>
      </c>
      <c r="AV36" t="s">
        <v>270</v>
      </c>
      <c r="AX36">
        <v>22002670</v>
      </c>
      <c r="AY36">
        <v>630200</v>
      </c>
      <c r="AZ36">
        <v>1201.6302000000001</v>
      </c>
      <c r="BA36" s="28" t="s">
        <v>14</v>
      </c>
    </row>
    <row r="37" spans="1:53">
      <c r="A37" t="s">
        <v>271</v>
      </c>
      <c r="B37" t="s">
        <v>272</v>
      </c>
      <c r="C37">
        <v>22010877</v>
      </c>
      <c r="D37">
        <v>1201</v>
      </c>
      <c r="E37" s="6">
        <v>44782</v>
      </c>
      <c r="F37" t="s">
        <v>413</v>
      </c>
      <c r="G37">
        <v>526.58000000000004</v>
      </c>
      <c r="H37">
        <v>526.58000000000004</v>
      </c>
      <c r="I37" t="s">
        <v>263</v>
      </c>
      <c r="J37" t="s">
        <v>263</v>
      </c>
      <c r="L37" s="29">
        <v>7825000</v>
      </c>
      <c r="N37" s="29">
        <v>7825000</v>
      </c>
      <c r="O37" t="s">
        <v>264</v>
      </c>
      <c r="Q37" t="s">
        <v>264</v>
      </c>
      <c r="R37" t="s">
        <v>265</v>
      </c>
      <c r="S37">
        <v>14860</v>
      </c>
      <c r="T37" t="s">
        <v>266</v>
      </c>
      <c r="U37" t="s">
        <v>267</v>
      </c>
      <c r="V37" t="s">
        <v>273</v>
      </c>
      <c r="W37" t="s">
        <v>274</v>
      </c>
      <c r="X37">
        <v>1929188</v>
      </c>
      <c r="Y37" s="6">
        <v>44782</v>
      </c>
      <c r="Z37" t="s">
        <v>264</v>
      </c>
      <c r="AA37">
        <v>1</v>
      </c>
      <c r="AB37" t="s">
        <v>264</v>
      </c>
      <c r="AD37" t="s">
        <v>264</v>
      </c>
      <c r="AE37" t="s">
        <v>264</v>
      </c>
      <c r="AF37" t="s">
        <v>264</v>
      </c>
      <c r="AG37">
        <v>1</v>
      </c>
      <c r="AH37" t="s">
        <v>264</v>
      </c>
      <c r="AI37">
        <v>55377471</v>
      </c>
      <c r="AJ37" t="s">
        <v>413</v>
      </c>
      <c r="AL37" t="s">
        <v>414</v>
      </c>
      <c r="AM37" s="6">
        <v>44782</v>
      </c>
      <c r="AN37" t="s">
        <v>275</v>
      </c>
      <c r="AO37" t="s">
        <v>268</v>
      </c>
      <c r="AP37">
        <v>1201</v>
      </c>
      <c r="AQ37" t="s">
        <v>269</v>
      </c>
      <c r="AR37" t="s">
        <v>415</v>
      </c>
      <c r="AU37" t="s">
        <v>264</v>
      </c>
      <c r="AV37" t="s">
        <v>270</v>
      </c>
      <c r="AX37">
        <v>22002719</v>
      </c>
      <c r="AY37">
        <v>630200</v>
      </c>
      <c r="AZ37">
        <v>1201.6302000000001</v>
      </c>
      <c r="BA37" s="28" t="s">
        <v>14</v>
      </c>
    </row>
    <row r="38" spans="1:53">
      <c r="A38" t="s">
        <v>271</v>
      </c>
      <c r="B38" t="s">
        <v>272</v>
      </c>
      <c r="C38">
        <v>22011389</v>
      </c>
      <c r="D38">
        <v>1201</v>
      </c>
      <c r="E38" s="6">
        <v>44791</v>
      </c>
      <c r="F38" t="s">
        <v>413</v>
      </c>
      <c r="G38">
        <v>540.04</v>
      </c>
      <c r="H38">
        <v>540.04</v>
      </c>
      <c r="I38" t="s">
        <v>263</v>
      </c>
      <c r="J38" t="s">
        <v>263</v>
      </c>
      <c r="L38" s="29">
        <v>8025000</v>
      </c>
      <c r="N38" s="29">
        <v>8025000</v>
      </c>
      <c r="O38" t="s">
        <v>264</v>
      </c>
      <c r="Q38" t="s">
        <v>264</v>
      </c>
      <c r="R38" t="s">
        <v>265</v>
      </c>
      <c r="S38">
        <v>14860</v>
      </c>
      <c r="T38" t="s">
        <v>266</v>
      </c>
      <c r="U38" t="s">
        <v>267</v>
      </c>
      <c r="V38" t="s">
        <v>273</v>
      </c>
      <c r="W38" t="s">
        <v>274</v>
      </c>
      <c r="X38">
        <v>1933193</v>
      </c>
      <c r="Y38" s="6">
        <v>44791</v>
      </c>
      <c r="Z38" t="s">
        <v>264</v>
      </c>
      <c r="AA38">
        <v>1</v>
      </c>
      <c r="AB38" t="s">
        <v>264</v>
      </c>
      <c r="AD38" t="s">
        <v>264</v>
      </c>
      <c r="AE38" t="s">
        <v>264</v>
      </c>
      <c r="AF38" t="s">
        <v>264</v>
      </c>
      <c r="AG38">
        <v>1</v>
      </c>
      <c r="AH38" t="s">
        <v>264</v>
      </c>
      <c r="AI38">
        <v>55377471</v>
      </c>
      <c r="AJ38" t="s">
        <v>413</v>
      </c>
      <c r="AL38" t="s">
        <v>416</v>
      </c>
      <c r="AM38" s="6">
        <v>44791</v>
      </c>
      <c r="AN38" t="s">
        <v>275</v>
      </c>
      <c r="AO38" t="s">
        <v>268</v>
      </c>
      <c r="AP38">
        <v>1201</v>
      </c>
      <c r="AQ38" t="s">
        <v>269</v>
      </c>
      <c r="AR38" t="s">
        <v>415</v>
      </c>
      <c r="AU38" t="s">
        <v>264</v>
      </c>
      <c r="AV38" t="s">
        <v>270</v>
      </c>
      <c r="AX38">
        <v>22002795</v>
      </c>
      <c r="AY38">
        <v>630200</v>
      </c>
      <c r="AZ38">
        <v>1201.6302000000001</v>
      </c>
      <c r="BA38" s="28" t="s">
        <v>14</v>
      </c>
    </row>
    <row r="39" spans="1:53">
      <c r="A39" t="s">
        <v>271</v>
      </c>
      <c r="B39" t="s">
        <v>272</v>
      </c>
      <c r="C39">
        <v>22011509</v>
      </c>
      <c r="D39">
        <v>1201</v>
      </c>
      <c r="E39" s="6">
        <v>44796</v>
      </c>
      <c r="F39" t="s">
        <v>413</v>
      </c>
      <c r="G39">
        <v>423.96</v>
      </c>
      <c r="H39">
        <v>423.96</v>
      </c>
      <c r="I39" t="s">
        <v>263</v>
      </c>
      <c r="J39" t="s">
        <v>263</v>
      </c>
      <c r="L39" s="29">
        <v>6300000</v>
      </c>
      <c r="N39" s="29">
        <v>6300000</v>
      </c>
      <c r="O39" t="s">
        <v>264</v>
      </c>
      <c r="Q39" t="s">
        <v>264</v>
      </c>
      <c r="R39" t="s">
        <v>265</v>
      </c>
      <c r="S39">
        <v>14860</v>
      </c>
      <c r="T39" t="s">
        <v>266</v>
      </c>
      <c r="U39" t="s">
        <v>267</v>
      </c>
      <c r="V39" t="s">
        <v>273</v>
      </c>
      <c r="W39" t="s">
        <v>274</v>
      </c>
      <c r="X39">
        <v>1934476</v>
      </c>
      <c r="Y39" s="6">
        <v>44796</v>
      </c>
      <c r="Z39" t="s">
        <v>264</v>
      </c>
      <c r="AA39">
        <v>1</v>
      </c>
      <c r="AB39" t="s">
        <v>264</v>
      </c>
      <c r="AD39" t="s">
        <v>264</v>
      </c>
      <c r="AE39" t="s">
        <v>264</v>
      </c>
      <c r="AF39" t="s">
        <v>264</v>
      </c>
      <c r="AG39">
        <v>1</v>
      </c>
      <c r="AH39" t="s">
        <v>264</v>
      </c>
      <c r="AI39">
        <v>55377471</v>
      </c>
      <c r="AJ39" t="s">
        <v>413</v>
      </c>
      <c r="AL39" t="s">
        <v>414</v>
      </c>
      <c r="AM39" s="6">
        <v>44796</v>
      </c>
      <c r="AN39" t="s">
        <v>275</v>
      </c>
      <c r="AO39" t="s">
        <v>268</v>
      </c>
      <c r="AP39">
        <v>1201</v>
      </c>
      <c r="AQ39" t="s">
        <v>269</v>
      </c>
      <c r="AR39" t="s">
        <v>415</v>
      </c>
      <c r="AU39" t="s">
        <v>264</v>
      </c>
      <c r="AV39" t="s">
        <v>270</v>
      </c>
      <c r="AX39">
        <v>22002822</v>
      </c>
      <c r="AY39">
        <v>630200</v>
      </c>
      <c r="AZ39">
        <v>1201.6302000000001</v>
      </c>
      <c r="BA39" s="28" t="s">
        <v>14</v>
      </c>
    </row>
    <row r="40" spans="1:53">
      <c r="A40" t="s">
        <v>271</v>
      </c>
      <c r="B40" t="s">
        <v>272</v>
      </c>
      <c r="C40">
        <v>22002811</v>
      </c>
      <c r="D40">
        <v>1204</v>
      </c>
      <c r="E40" s="6">
        <v>44784</v>
      </c>
      <c r="F40" t="s">
        <v>417</v>
      </c>
      <c r="G40">
        <v>283.25</v>
      </c>
      <c r="H40">
        <v>283.25</v>
      </c>
      <c r="I40" t="s">
        <v>263</v>
      </c>
      <c r="J40" t="s">
        <v>263</v>
      </c>
      <c r="L40" s="29">
        <v>4209000</v>
      </c>
      <c r="N40" s="29">
        <v>4209000</v>
      </c>
      <c r="O40" t="s">
        <v>264</v>
      </c>
      <c r="Q40" t="s">
        <v>264</v>
      </c>
      <c r="R40" t="s">
        <v>265</v>
      </c>
      <c r="S40">
        <v>14860</v>
      </c>
      <c r="T40" t="s">
        <v>266</v>
      </c>
      <c r="U40" t="s">
        <v>267</v>
      </c>
      <c r="V40" t="s">
        <v>273</v>
      </c>
      <c r="W40" t="s">
        <v>274</v>
      </c>
      <c r="X40">
        <v>1930370</v>
      </c>
      <c r="Y40" s="6">
        <v>44784</v>
      </c>
      <c r="Z40" t="s">
        <v>264</v>
      </c>
      <c r="AA40">
        <v>1</v>
      </c>
      <c r="AB40" t="s">
        <v>264</v>
      </c>
      <c r="AD40" t="s">
        <v>264</v>
      </c>
      <c r="AE40" t="s">
        <v>264</v>
      </c>
      <c r="AF40" t="s">
        <v>264</v>
      </c>
      <c r="AG40">
        <v>2</v>
      </c>
      <c r="AH40" t="s">
        <v>264</v>
      </c>
      <c r="AI40">
        <v>57341543</v>
      </c>
      <c r="AJ40" t="s">
        <v>417</v>
      </c>
      <c r="AL40" t="s">
        <v>418</v>
      </c>
      <c r="AM40" s="6">
        <v>44784</v>
      </c>
      <c r="AN40" t="s">
        <v>275</v>
      </c>
      <c r="AO40" t="s">
        <v>268</v>
      </c>
      <c r="AP40">
        <v>1204</v>
      </c>
      <c r="AQ40" t="s">
        <v>269</v>
      </c>
      <c r="AR40" t="s">
        <v>419</v>
      </c>
      <c r="AU40" t="s">
        <v>264</v>
      </c>
      <c r="AV40" t="s">
        <v>270</v>
      </c>
      <c r="AX40">
        <v>22001384</v>
      </c>
      <c r="AY40">
        <v>630200</v>
      </c>
      <c r="AZ40">
        <v>1204.6302000000001</v>
      </c>
      <c r="BA40" s="28" t="s">
        <v>115</v>
      </c>
    </row>
    <row r="41" spans="1:53">
      <c r="A41" t="s">
        <v>271</v>
      </c>
      <c r="B41" t="s">
        <v>272</v>
      </c>
      <c r="C41">
        <v>22002813</v>
      </c>
      <c r="D41">
        <v>1204</v>
      </c>
      <c r="E41" s="6">
        <v>44784</v>
      </c>
      <c r="F41" t="s">
        <v>417</v>
      </c>
      <c r="G41">
        <v>5.49</v>
      </c>
      <c r="H41">
        <v>5.49</v>
      </c>
      <c r="I41" t="s">
        <v>263</v>
      </c>
      <c r="J41" t="s">
        <v>263</v>
      </c>
      <c r="L41" s="29">
        <v>81640</v>
      </c>
      <c r="N41" s="29">
        <v>81640</v>
      </c>
      <c r="O41" t="s">
        <v>264</v>
      </c>
      <c r="Q41" t="s">
        <v>264</v>
      </c>
      <c r="R41" t="s">
        <v>265</v>
      </c>
      <c r="S41">
        <v>14860</v>
      </c>
      <c r="T41" t="s">
        <v>266</v>
      </c>
      <c r="U41" t="s">
        <v>267</v>
      </c>
      <c r="V41" t="s">
        <v>273</v>
      </c>
      <c r="W41" t="s">
        <v>274</v>
      </c>
      <c r="X41">
        <v>1930371</v>
      </c>
      <c r="Y41" s="6">
        <v>44784</v>
      </c>
      <c r="Z41" t="s">
        <v>264</v>
      </c>
      <c r="AA41">
        <v>1</v>
      </c>
      <c r="AB41" t="s">
        <v>264</v>
      </c>
      <c r="AD41" t="s">
        <v>264</v>
      </c>
      <c r="AE41" t="s">
        <v>264</v>
      </c>
      <c r="AF41" t="s">
        <v>264</v>
      </c>
      <c r="AH41" t="s">
        <v>264</v>
      </c>
      <c r="AI41">
        <v>57341543</v>
      </c>
      <c r="AJ41" t="s">
        <v>417</v>
      </c>
      <c r="AL41" t="s">
        <v>400</v>
      </c>
      <c r="AM41" s="6">
        <v>44784</v>
      </c>
      <c r="AN41" t="s">
        <v>275</v>
      </c>
      <c r="AO41" t="s">
        <v>268</v>
      </c>
      <c r="AP41">
        <v>1204</v>
      </c>
      <c r="AQ41" t="s">
        <v>269</v>
      </c>
      <c r="AR41" t="s">
        <v>400</v>
      </c>
      <c r="AU41" t="s">
        <v>264</v>
      </c>
      <c r="AV41" t="s">
        <v>270</v>
      </c>
      <c r="AX41" t="s">
        <v>264</v>
      </c>
      <c r="AY41">
        <v>630200</v>
      </c>
      <c r="AZ41">
        <v>1204.6302000000001</v>
      </c>
      <c r="BA41" s="28" t="s">
        <v>115</v>
      </c>
    </row>
    <row r="42" spans="1:53">
      <c r="A42" t="s">
        <v>271</v>
      </c>
      <c r="B42" t="s">
        <v>272</v>
      </c>
      <c r="C42">
        <v>22002814</v>
      </c>
      <c r="D42">
        <v>1204</v>
      </c>
      <c r="E42" s="6">
        <v>44784</v>
      </c>
      <c r="F42" t="s">
        <v>417</v>
      </c>
      <c r="G42">
        <v>5.84</v>
      </c>
      <c r="H42">
        <v>5.84</v>
      </c>
      <c r="I42" t="s">
        <v>263</v>
      </c>
      <c r="J42" t="s">
        <v>263</v>
      </c>
      <c r="L42" s="29">
        <v>86720</v>
      </c>
      <c r="N42" s="29">
        <v>86720</v>
      </c>
      <c r="O42" t="s">
        <v>264</v>
      </c>
      <c r="Q42" t="s">
        <v>264</v>
      </c>
      <c r="R42" t="s">
        <v>265</v>
      </c>
      <c r="S42">
        <v>14860</v>
      </c>
      <c r="T42" t="s">
        <v>266</v>
      </c>
      <c r="U42" t="s">
        <v>267</v>
      </c>
      <c r="V42" t="s">
        <v>273</v>
      </c>
      <c r="W42" t="s">
        <v>274</v>
      </c>
      <c r="X42">
        <v>1930372</v>
      </c>
      <c r="Y42" s="6">
        <v>44784</v>
      </c>
      <c r="Z42" t="s">
        <v>264</v>
      </c>
      <c r="AA42">
        <v>1</v>
      </c>
      <c r="AB42" t="s">
        <v>264</v>
      </c>
      <c r="AD42" t="s">
        <v>264</v>
      </c>
      <c r="AE42" t="s">
        <v>264</v>
      </c>
      <c r="AF42" t="s">
        <v>264</v>
      </c>
      <c r="AH42" t="s">
        <v>264</v>
      </c>
      <c r="AI42">
        <v>57341543</v>
      </c>
      <c r="AJ42" t="s">
        <v>417</v>
      </c>
      <c r="AL42" t="s">
        <v>400</v>
      </c>
      <c r="AM42" s="6">
        <v>44784</v>
      </c>
      <c r="AN42" t="s">
        <v>275</v>
      </c>
      <c r="AO42" t="s">
        <v>268</v>
      </c>
      <c r="AP42">
        <v>1204</v>
      </c>
      <c r="AQ42" t="s">
        <v>269</v>
      </c>
      <c r="AR42" t="s">
        <v>400</v>
      </c>
      <c r="AU42" t="s">
        <v>264</v>
      </c>
      <c r="AV42" t="s">
        <v>270</v>
      </c>
      <c r="AX42" t="s">
        <v>264</v>
      </c>
      <c r="AY42">
        <v>630200</v>
      </c>
      <c r="AZ42">
        <v>1204.6302000000001</v>
      </c>
      <c r="BA42" s="28" t="s">
        <v>115</v>
      </c>
    </row>
    <row r="43" spans="1:53">
      <c r="A43" t="s">
        <v>271</v>
      </c>
      <c r="B43" t="s">
        <v>272</v>
      </c>
      <c r="C43">
        <v>22002815</v>
      </c>
      <c r="D43">
        <v>1204</v>
      </c>
      <c r="E43" s="6">
        <v>44784</v>
      </c>
      <c r="F43" t="s">
        <v>420</v>
      </c>
      <c r="G43">
        <v>232.64</v>
      </c>
      <c r="H43">
        <v>232.64</v>
      </c>
      <c r="I43" t="s">
        <v>263</v>
      </c>
      <c r="J43" t="s">
        <v>263</v>
      </c>
      <c r="L43" s="29">
        <v>3457000</v>
      </c>
      <c r="N43" s="29">
        <v>3457000</v>
      </c>
      <c r="O43" t="s">
        <v>264</v>
      </c>
      <c r="Q43" t="s">
        <v>264</v>
      </c>
      <c r="R43" t="s">
        <v>265</v>
      </c>
      <c r="S43">
        <v>14860</v>
      </c>
      <c r="T43" t="s">
        <v>266</v>
      </c>
      <c r="U43" t="s">
        <v>267</v>
      </c>
      <c r="V43" t="s">
        <v>273</v>
      </c>
      <c r="W43" t="s">
        <v>274</v>
      </c>
      <c r="X43">
        <v>1930374</v>
      </c>
      <c r="Y43" s="6">
        <v>44784</v>
      </c>
      <c r="Z43" t="s">
        <v>264</v>
      </c>
      <c r="AA43">
        <v>1</v>
      </c>
      <c r="AB43" t="s">
        <v>264</v>
      </c>
      <c r="AD43" t="s">
        <v>264</v>
      </c>
      <c r="AE43" t="s">
        <v>264</v>
      </c>
      <c r="AF43" t="s">
        <v>264</v>
      </c>
      <c r="AG43">
        <v>2</v>
      </c>
      <c r="AH43" t="s">
        <v>264</v>
      </c>
      <c r="AI43">
        <v>57341527</v>
      </c>
      <c r="AJ43" t="s">
        <v>420</v>
      </c>
      <c r="AL43" t="s">
        <v>418</v>
      </c>
      <c r="AM43" s="6">
        <v>44784</v>
      </c>
      <c r="AN43" t="s">
        <v>275</v>
      </c>
      <c r="AO43" t="s">
        <v>268</v>
      </c>
      <c r="AP43">
        <v>1204</v>
      </c>
      <c r="AQ43" t="s">
        <v>269</v>
      </c>
      <c r="AR43" t="s">
        <v>421</v>
      </c>
      <c r="AU43" t="s">
        <v>264</v>
      </c>
      <c r="AV43" t="s">
        <v>270</v>
      </c>
      <c r="AX43">
        <v>22001385</v>
      </c>
      <c r="AY43">
        <v>630200</v>
      </c>
      <c r="AZ43">
        <v>1204.6302000000001</v>
      </c>
      <c r="BA43" s="28" t="s">
        <v>115</v>
      </c>
    </row>
    <row r="44" spans="1:53">
      <c r="A44" t="s">
        <v>271</v>
      </c>
      <c r="B44" t="s">
        <v>272</v>
      </c>
      <c r="C44">
        <v>22002816</v>
      </c>
      <c r="D44">
        <v>1204</v>
      </c>
      <c r="E44" s="6">
        <v>44784</v>
      </c>
      <c r="F44" t="s">
        <v>420</v>
      </c>
      <c r="G44">
        <v>4.07</v>
      </c>
      <c r="H44">
        <v>4.07</v>
      </c>
      <c r="I44" t="s">
        <v>263</v>
      </c>
      <c r="J44" t="s">
        <v>263</v>
      </c>
      <c r="L44" s="29">
        <v>60520</v>
      </c>
      <c r="N44" s="29">
        <v>60520</v>
      </c>
      <c r="O44" t="s">
        <v>264</v>
      </c>
      <c r="Q44" t="s">
        <v>264</v>
      </c>
      <c r="R44" t="s">
        <v>265</v>
      </c>
      <c r="S44">
        <v>14860</v>
      </c>
      <c r="T44" t="s">
        <v>266</v>
      </c>
      <c r="U44" t="s">
        <v>267</v>
      </c>
      <c r="V44" t="s">
        <v>273</v>
      </c>
      <c r="W44" t="s">
        <v>274</v>
      </c>
      <c r="X44">
        <v>1930375</v>
      </c>
      <c r="Y44" s="6">
        <v>44784</v>
      </c>
      <c r="Z44" t="s">
        <v>264</v>
      </c>
      <c r="AA44">
        <v>1</v>
      </c>
      <c r="AB44" t="s">
        <v>264</v>
      </c>
      <c r="AD44" t="s">
        <v>264</v>
      </c>
      <c r="AE44" t="s">
        <v>264</v>
      </c>
      <c r="AF44" t="s">
        <v>264</v>
      </c>
      <c r="AH44" t="s">
        <v>264</v>
      </c>
      <c r="AI44">
        <v>57341527</v>
      </c>
      <c r="AJ44" t="s">
        <v>420</v>
      </c>
      <c r="AL44" t="s">
        <v>400</v>
      </c>
      <c r="AM44" s="6">
        <v>44784</v>
      </c>
      <c r="AN44" t="s">
        <v>275</v>
      </c>
      <c r="AO44" t="s">
        <v>268</v>
      </c>
      <c r="AP44">
        <v>1204</v>
      </c>
      <c r="AQ44" t="s">
        <v>269</v>
      </c>
      <c r="AR44" t="s">
        <v>400</v>
      </c>
      <c r="AU44" t="s">
        <v>264</v>
      </c>
      <c r="AV44" t="s">
        <v>270</v>
      </c>
      <c r="AX44" t="s">
        <v>264</v>
      </c>
      <c r="AY44">
        <v>630200</v>
      </c>
      <c r="AZ44">
        <v>1204.6302000000001</v>
      </c>
      <c r="BA44" s="28" t="s">
        <v>115</v>
      </c>
    </row>
    <row r="45" spans="1:53">
      <c r="A45" t="s">
        <v>271</v>
      </c>
      <c r="B45" t="s">
        <v>272</v>
      </c>
      <c r="C45">
        <v>22002817</v>
      </c>
      <c r="D45">
        <v>1204</v>
      </c>
      <c r="E45" s="6">
        <v>44784</v>
      </c>
      <c r="F45" t="s">
        <v>420</v>
      </c>
      <c r="G45">
        <v>5.23</v>
      </c>
      <c r="H45">
        <v>5.23</v>
      </c>
      <c r="I45" t="s">
        <v>263</v>
      </c>
      <c r="J45" t="s">
        <v>263</v>
      </c>
      <c r="L45" s="29">
        <v>77760</v>
      </c>
      <c r="N45" s="29">
        <v>77760</v>
      </c>
      <c r="O45" t="s">
        <v>264</v>
      </c>
      <c r="Q45" t="s">
        <v>264</v>
      </c>
      <c r="R45" t="s">
        <v>265</v>
      </c>
      <c r="S45">
        <v>14860</v>
      </c>
      <c r="T45" t="s">
        <v>266</v>
      </c>
      <c r="U45" t="s">
        <v>267</v>
      </c>
      <c r="V45" t="s">
        <v>273</v>
      </c>
      <c r="W45" t="s">
        <v>274</v>
      </c>
      <c r="X45">
        <v>1930375</v>
      </c>
      <c r="Y45" s="6">
        <v>44784</v>
      </c>
      <c r="Z45" t="s">
        <v>264</v>
      </c>
      <c r="AA45">
        <v>1</v>
      </c>
      <c r="AB45" t="s">
        <v>264</v>
      </c>
      <c r="AD45" t="s">
        <v>264</v>
      </c>
      <c r="AE45" t="s">
        <v>264</v>
      </c>
      <c r="AF45" t="s">
        <v>264</v>
      </c>
      <c r="AH45" t="s">
        <v>264</v>
      </c>
      <c r="AI45">
        <v>57341527</v>
      </c>
      <c r="AJ45" t="s">
        <v>420</v>
      </c>
      <c r="AL45" t="s">
        <v>400</v>
      </c>
      <c r="AM45" s="6">
        <v>44784</v>
      </c>
      <c r="AN45" t="s">
        <v>275</v>
      </c>
      <c r="AO45" t="s">
        <v>268</v>
      </c>
      <c r="AP45">
        <v>1204</v>
      </c>
      <c r="AQ45" t="s">
        <v>269</v>
      </c>
      <c r="AR45" t="s">
        <v>400</v>
      </c>
      <c r="AU45" t="s">
        <v>264</v>
      </c>
      <c r="AV45" t="s">
        <v>270</v>
      </c>
      <c r="AX45" t="s">
        <v>264</v>
      </c>
      <c r="AY45">
        <v>630200</v>
      </c>
      <c r="AZ45">
        <v>1204.6302000000001</v>
      </c>
      <c r="BA45" s="28" t="s">
        <v>115</v>
      </c>
    </row>
    <row r="46" spans="1:53">
      <c r="A46" t="s">
        <v>271</v>
      </c>
      <c r="B46" t="s">
        <v>272</v>
      </c>
      <c r="C46">
        <v>22002880</v>
      </c>
      <c r="D46">
        <v>1204</v>
      </c>
      <c r="E46" s="6">
        <v>44796</v>
      </c>
      <c r="F46" t="s">
        <v>420</v>
      </c>
      <c r="G46">
        <v>217.63</v>
      </c>
      <c r="H46">
        <v>217.63</v>
      </c>
      <c r="I46" t="s">
        <v>263</v>
      </c>
      <c r="J46" t="s">
        <v>263</v>
      </c>
      <c r="L46" s="29">
        <v>3234000</v>
      </c>
      <c r="N46" s="29">
        <v>3234000</v>
      </c>
      <c r="O46" t="s">
        <v>264</v>
      </c>
      <c r="Q46" t="s">
        <v>264</v>
      </c>
      <c r="R46" t="s">
        <v>265</v>
      </c>
      <c r="S46">
        <v>14860</v>
      </c>
      <c r="T46" t="s">
        <v>266</v>
      </c>
      <c r="U46" t="s">
        <v>267</v>
      </c>
      <c r="V46" t="s">
        <v>273</v>
      </c>
      <c r="W46" t="s">
        <v>274</v>
      </c>
      <c r="X46">
        <v>1934342</v>
      </c>
      <c r="Y46" s="6">
        <v>44796</v>
      </c>
      <c r="Z46" t="s">
        <v>264</v>
      </c>
      <c r="AA46">
        <v>1</v>
      </c>
      <c r="AB46" t="s">
        <v>264</v>
      </c>
      <c r="AD46" t="s">
        <v>264</v>
      </c>
      <c r="AE46" t="s">
        <v>264</v>
      </c>
      <c r="AF46" t="s">
        <v>264</v>
      </c>
      <c r="AG46">
        <v>2</v>
      </c>
      <c r="AH46" t="s">
        <v>264</v>
      </c>
      <c r="AI46">
        <v>57341527</v>
      </c>
      <c r="AJ46" t="s">
        <v>420</v>
      </c>
      <c r="AL46" t="s">
        <v>418</v>
      </c>
      <c r="AM46" s="6">
        <v>44796</v>
      </c>
      <c r="AN46" t="s">
        <v>275</v>
      </c>
      <c r="AO46" t="s">
        <v>268</v>
      </c>
      <c r="AP46">
        <v>1204</v>
      </c>
      <c r="AQ46" t="s">
        <v>269</v>
      </c>
      <c r="AR46" t="s">
        <v>422</v>
      </c>
      <c r="AU46" t="s">
        <v>264</v>
      </c>
      <c r="AV46" t="s">
        <v>270</v>
      </c>
      <c r="AX46">
        <v>22001404</v>
      </c>
      <c r="AY46">
        <v>630200</v>
      </c>
      <c r="AZ46">
        <v>1204.6302000000001</v>
      </c>
      <c r="BA46" s="28" t="s">
        <v>115</v>
      </c>
    </row>
    <row r="47" spans="1:53">
      <c r="A47" t="s">
        <v>271</v>
      </c>
      <c r="B47" t="s">
        <v>272</v>
      </c>
      <c r="C47">
        <v>22002881</v>
      </c>
      <c r="D47">
        <v>1204</v>
      </c>
      <c r="E47" s="6">
        <v>44796</v>
      </c>
      <c r="F47" t="s">
        <v>420</v>
      </c>
      <c r="G47">
        <v>5.17</v>
      </c>
      <c r="H47">
        <v>5.17</v>
      </c>
      <c r="I47" t="s">
        <v>263</v>
      </c>
      <c r="J47" t="s">
        <v>263</v>
      </c>
      <c r="L47" s="29">
        <v>76840</v>
      </c>
      <c r="N47" s="29">
        <v>76840</v>
      </c>
      <c r="O47" t="s">
        <v>264</v>
      </c>
      <c r="Q47" t="s">
        <v>264</v>
      </c>
      <c r="R47" t="s">
        <v>265</v>
      </c>
      <c r="S47">
        <v>14860</v>
      </c>
      <c r="T47" t="s">
        <v>266</v>
      </c>
      <c r="U47" t="s">
        <v>267</v>
      </c>
      <c r="V47" t="s">
        <v>273</v>
      </c>
      <c r="W47" t="s">
        <v>274</v>
      </c>
      <c r="X47">
        <v>1934348</v>
      </c>
      <c r="Y47" s="6">
        <v>44796</v>
      </c>
      <c r="Z47" t="s">
        <v>264</v>
      </c>
      <c r="AA47">
        <v>1</v>
      </c>
      <c r="AB47" t="s">
        <v>264</v>
      </c>
      <c r="AD47" t="s">
        <v>264</v>
      </c>
      <c r="AE47" t="s">
        <v>264</v>
      </c>
      <c r="AF47" t="s">
        <v>264</v>
      </c>
      <c r="AH47" t="s">
        <v>264</v>
      </c>
      <c r="AI47">
        <v>57341527</v>
      </c>
      <c r="AJ47" t="s">
        <v>420</v>
      </c>
      <c r="AL47" t="s">
        <v>400</v>
      </c>
      <c r="AM47" s="6">
        <v>44796</v>
      </c>
      <c r="AN47" t="s">
        <v>275</v>
      </c>
      <c r="AO47" t="s">
        <v>268</v>
      </c>
      <c r="AP47">
        <v>1204</v>
      </c>
      <c r="AQ47" t="s">
        <v>269</v>
      </c>
      <c r="AR47" t="s">
        <v>400</v>
      </c>
      <c r="AU47" t="s">
        <v>264</v>
      </c>
      <c r="AV47" t="s">
        <v>270</v>
      </c>
      <c r="AX47" t="s">
        <v>264</v>
      </c>
      <c r="AY47">
        <v>630200</v>
      </c>
      <c r="AZ47">
        <v>1204.6302000000001</v>
      </c>
      <c r="BA47" s="28" t="s">
        <v>115</v>
      </c>
    </row>
    <row r="48" spans="1:53">
      <c r="A48" t="s">
        <v>271</v>
      </c>
      <c r="B48" t="s">
        <v>272</v>
      </c>
      <c r="C48">
        <v>22002882</v>
      </c>
      <c r="D48">
        <v>1204</v>
      </c>
      <c r="E48" s="6">
        <v>44796</v>
      </c>
      <c r="F48" t="s">
        <v>420</v>
      </c>
      <c r="G48">
        <v>3.53</v>
      </c>
      <c r="H48">
        <v>3.53</v>
      </c>
      <c r="I48" t="s">
        <v>263</v>
      </c>
      <c r="J48" t="s">
        <v>263</v>
      </c>
      <c r="L48" s="29">
        <v>52520</v>
      </c>
      <c r="N48" s="29">
        <v>52520</v>
      </c>
      <c r="O48" t="s">
        <v>264</v>
      </c>
      <c r="Q48" t="s">
        <v>264</v>
      </c>
      <c r="R48" t="s">
        <v>265</v>
      </c>
      <c r="S48">
        <v>14860</v>
      </c>
      <c r="T48" t="s">
        <v>266</v>
      </c>
      <c r="U48" t="s">
        <v>267</v>
      </c>
      <c r="V48" t="s">
        <v>273</v>
      </c>
      <c r="W48" t="s">
        <v>274</v>
      </c>
      <c r="X48">
        <v>1934348</v>
      </c>
      <c r="Y48" s="6">
        <v>44796</v>
      </c>
      <c r="Z48" t="s">
        <v>264</v>
      </c>
      <c r="AA48">
        <v>1</v>
      </c>
      <c r="AB48" t="s">
        <v>264</v>
      </c>
      <c r="AD48" t="s">
        <v>264</v>
      </c>
      <c r="AE48" t="s">
        <v>264</v>
      </c>
      <c r="AF48" t="s">
        <v>264</v>
      </c>
      <c r="AH48" t="s">
        <v>264</v>
      </c>
      <c r="AI48">
        <v>57341527</v>
      </c>
      <c r="AJ48" t="s">
        <v>420</v>
      </c>
      <c r="AL48" t="s">
        <v>400</v>
      </c>
      <c r="AM48" s="6">
        <v>44796</v>
      </c>
      <c r="AN48" t="s">
        <v>275</v>
      </c>
      <c r="AO48" t="s">
        <v>268</v>
      </c>
      <c r="AP48">
        <v>1204</v>
      </c>
      <c r="AQ48" t="s">
        <v>269</v>
      </c>
      <c r="AR48" t="s">
        <v>400</v>
      </c>
      <c r="AU48" t="s">
        <v>264</v>
      </c>
      <c r="AV48" t="s">
        <v>270</v>
      </c>
      <c r="AX48" t="s">
        <v>264</v>
      </c>
      <c r="AY48">
        <v>630200</v>
      </c>
      <c r="AZ48">
        <v>1204.6302000000001</v>
      </c>
      <c r="BA48" s="28" t="s">
        <v>115</v>
      </c>
    </row>
    <row r="49" spans="1:53">
      <c r="A49" t="s">
        <v>271</v>
      </c>
      <c r="B49" t="s">
        <v>272</v>
      </c>
      <c r="C49">
        <v>22002883</v>
      </c>
      <c r="D49">
        <v>1204</v>
      </c>
      <c r="E49" s="6">
        <v>44796</v>
      </c>
      <c r="F49" t="s">
        <v>417</v>
      </c>
      <c r="G49">
        <v>231.02</v>
      </c>
      <c r="H49">
        <v>231.02</v>
      </c>
      <c r="I49" t="s">
        <v>263</v>
      </c>
      <c r="J49" t="s">
        <v>263</v>
      </c>
      <c r="L49" s="29">
        <v>3433000</v>
      </c>
      <c r="N49" s="29">
        <v>3433000</v>
      </c>
      <c r="O49" t="s">
        <v>264</v>
      </c>
      <c r="Q49" t="s">
        <v>264</v>
      </c>
      <c r="R49" t="s">
        <v>265</v>
      </c>
      <c r="S49">
        <v>14860</v>
      </c>
      <c r="T49" t="s">
        <v>266</v>
      </c>
      <c r="U49" t="s">
        <v>267</v>
      </c>
      <c r="V49" t="s">
        <v>273</v>
      </c>
      <c r="W49" t="s">
        <v>274</v>
      </c>
      <c r="X49">
        <v>1934361</v>
      </c>
      <c r="Y49" s="6">
        <v>44796</v>
      </c>
      <c r="Z49" t="s">
        <v>264</v>
      </c>
      <c r="AA49">
        <v>1</v>
      </c>
      <c r="AB49" t="s">
        <v>264</v>
      </c>
      <c r="AD49" t="s">
        <v>264</v>
      </c>
      <c r="AE49" t="s">
        <v>264</v>
      </c>
      <c r="AF49" t="s">
        <v>264</v>
      </c>
      <c r="AG49">
        <v>2</v>
      </c>
      <c r="AH49" t="s">
        <v>264</v>
      </c>
      <c r="AI49">
        <v>57341543</v>
      </c>
      <c r="AJ49" t="s">
        <v>417</v>
      </c>
      <c r="AL49" t="s">
        <v>418</v>
      </c>
      <c r="AM49" s="6">
        <v>44796</v>
      </c>
      <c r="AN49" t="s">
        <v>275</v>
      </c>
      <c r="AO49" t="s">
        <v>268</v>
      </c>
      <c r="AP49">
        <v>1204</v>
      </c>
      <c r="AQ49" t="s">
        <v>269</v>
      </c>
      <c r="AR49" t="s">
        <v>423</v>
      </c>
      <c r="AU49" t="s">
        <v>264</v>
      </c>
      <c r="AV49" t="s">
        <v>270</v>
      </c>
      <c r="AX49">
        <v>22001405</v>
      </c>
      <c r="AY49">
        <v>630200</v>
      </c>
      <c r="AZ49">
        <v>1204.6302000000001</v>
      </c>
      <c r="BA49" s="28" t="s">
        <v>115</v>
      </c>
    </row>
    <row r="50" spans="1:53">
      <c r="A50" t="s">
        <v>271</v>
      </c>
      <c r="B50" t="s">
        <v>272</v>
      </c>
      <c r="C50">
        <v>22002884</v>
      </c>
      <c r="D50">
        <v>1204</v>
      </c>
      <c r="E50" s="6">
        <v>44796</v>
      </c>
      <c r="F50" t="s">
        <v>417</v>
      </c>
      <c r="G50">
        <v>3.94</v>
      </c>
      <c r="H50">
        <v>3.94</v>
      </c>
      <c r="I50" t="s">
        <v>263</v>
      </c>
      <c r="J50" t="s">
        <v>263</v>
      </c>
      <c r="L50" s="29">
        <v>58480</v>
      </c>
      <c r="N50" s="29">
        <v>58480</v>
      </c>
      <c r="O50" t="s">
        <v>264</v>
      </c>
      <c r="Q50" t="s">
        <v>264</v>
      </c>
      <c r="R50" t="s">
        <v>265</v>
      </c>
      <c r="S50">
        <v>14860</v>
      </c>
      <c r="T50" t="s">
        <v>266</v>
      </c>
      <c r="U50" t="s">
        <v>267</v>
      </c>
      <c r="V50" t="s">
        <v>273</v>
      </c>
      <c r="W50" t="s">
        <v>274</v>
      </c>
      <c r="X50">
        <v>1934368</v>
      </c>
      <c r="Y50" s="6">
        <v>44796</v>
      </c>
      <c r="Z50" t="s">
        <v>264</v>
      </c>
      <c r="AA50">
        <v>1</v>
      </c>
      <c r="AB50" t="s">
        <v>264</v>
      </c>
      <c r="AD50" t="s">
        <v>264</v>
      </c>
      <c r="AE50" t="s">
        <v>264</v>
      </c>
      <c r="AF50" t="s">
        <v>264</v>
      </c>
      <c r="AH50" t="s">
        <v>264</v>
      </c>
      <c r="AI50">
        <v>57341543</v>
      </c>
      <c r="AJ50" t="s">
        <v>417</v>
      </c>
      <c r="AL50" t="s">
        <v>400</v>
      </c>
      <c r="AM50" s="6">
        <v>44796</v>
      </c>
      <c r="AN50" t="s">
        <v>275</v>
      </c>
      <c r="AO50" t="s">
        <v>268</v>
      </c>
      <c r="AP50">
        <v>1204</v>
      </c>
      <c r="AQ50" t="s">
        <v>269</v>
      </c>
      <c r="AR50" t="s">
        <v>400</v>
      </c>
      <c r="AU50" t="s">
        <v>264</v>
      </c>
      <c r="AV50" t="s">
        <v>270</v>
      </c>
      <c r="AX50" t="s">
        <v>264</v>
      </c>
      <c r="AY50">
        <v>630200</v>
      </c>
      <c r="AZ50">
        <v>1204.6302000000001</v>
      </c>
      <c r="BA50" s="28" t="s">
        <v>115</v>
      </c>
    </row>
    <row r="51" spans="1:53">
      <c r="A51" t="s">
        <v>271</v>
      </c>
      <c r="B51" t="s">
        <v>272</v>
      </c>
      <c r="C51">
        <v>22002885</v>
      </c>
      <c r="D51">
        <v>1204</v>
      </c>
      <c r="E51" s="6">
        <v>44796</v>
      </c>
      <c r="F51" t="s">
        <v>417</v>
      </c>
      <c r="G51">
        <v>5.31</v>
      </c>
      <c r="H51">
        <v>5.31</v>
      </c>
      <c r="I51" t="s">
        <v>263</v>
      </c>
      <c r="J51" t="s">
        <v>263</v>
      </c>
      <c r="L51" s="29">
        <v>78840</v>
      </c>
      <c r="N51" s="29">
        <v>78840</v>
      </c>
      <c r="O51" t="s">
        <v>264</v>
      </c>
      <c r="Q51" t="s">
        <v>264</v>
      </c>
      <c r="R51" t="s">
        <v>265</v>
      </c>
      <c r="S51">
        <v>14860</v>
      </c>
      <c r="T51" t="s">
        <v>266</v>
      </c>
      <c r="U51" t="s">
        <v>267</v>
      </c>
      <c r="V51" t="s">
        <v>273</v>
      </c>
      <c r="W51" t="s">
        <v>274</v>
      </c>
      <c r="X51">
        <v>1934368</v>
      </c>
      <c r="Y51" s="6">
        <v>44796</v>
      </c>
      <c r="Z51" t="s">
        <v>264</v>
      </c>
      <c r="AA51">
        <v>1</v>
      </c>
      <c r="AB51" t="s">
        <v>264</v>
      </c>
      <c r="AD51" t="s">
        <v>264</v>
      </c>
      <c r="AE51" t="s">
        <v>264</v>
      </c>
      <c r="AF51" t="s">
        <v>264</v>
      </c>
      <c r="AH51" t="s">
        <v>264</v>
      </c>
      <c r="AI51">
        <v>57341543</v>
      </c>
      <c r="AJ51" t="s">
        <v>417</v>
      </c>
      <c r="AL51" t="s">
        <v>400</v>
      </c>
      <c r="AM51" s="6">
        <v>44796</v>
      </c>
      <c r="AN51" t="s">
        <v>275</v>
      </c>
      <c r="AO51" t="s">
        <v>268</v>
      </c>
      <c r="AP51">
        <v>1204</v>
      </c>
      <c r="AQ51" t="s">
        <v>269</v>
      </c>
      <c r="AR51" t="s">
        <v>400</v>
      </c>
      <c r="AU51" t="s">
        <v>264</v>
      </c>
      <c r="AV51" t="s">
        <v>270</v>
      </c>
      <c r="AX51" t="s">
        <v>264</v>
      </c>
      <c r="AY51">
        <v>630200</v>
      </c>
      <c r="AZ51">
        <v>1204.6302000000001</v>
      </c>
      <c r="BA51" s="28" t="s">
        <v>115</v>
      </c>
    </row>
    <row r="52" spans="1:53">
      <c r="A52" t="s">
        <v>390</v>
      </c>
      <c r="B52" t="s">
        <v>391</v>
      </c>
      <c r="C52">
        <v>22001962</v>
      </c>
      <c r="D52">
        <v>1201</v>
      </c>
      <c r="E52" s="6">
        <v>44799</v>
      </c>
      <c r="F52" t="s">
        <v>392</v>
      </c>
      <c r="G52" s="29">
        <v>3759.32</v>
      </c>
      <c r="H52" s="29">
        <v>3759.32</v>
      </c>
      <c r="I52" t="s">
        <v>263</v>
      </c>
      <c r="J52" t="s">
        <v>263</v>
      </c>
      <c r="L52" s="29">
        <v>55863500</v>
      </c>
      <c r="N52" s="29">
        <v>55863500</v>
      </c>
      <c r="O52" t="s">
        <v>264</v>
      </c>
      <c r="Q52" t="s">
        <v>264</v>
      </c>
      <c r="R52" t="s">
        <v>265</v>
      </c>
      <c r="S52">
        <v>14860</v>
      </c>
      <c r="T52" t="s">
        <v>266</v>
      </c>
      <c r="U52" t="s">
        <v>267</v>
      </c>
      <c r="V52" t="s">
        <v>386</v>
      </c>
      <c r="W52" t="s">
        <v>387</v>
      </c>
      <c r="X52">
        <v>1935696</v>
      </c>
      <c r="Y52" s="6">
        <v>44802</v>
      </c>
      <c r="Z52" t="s">
        <v>264</v>
      </c>
      <c r="AA52">
        <v>8</v>
      </c>
      <c r="AB52" t="s">
        <v>264</v>
      </c>
      <c r="AD52" t="s">
        <v>264</v>
      </c>
      <c r="AE52" t="s">
        <v>264</v>
      </c>
      <c r="AF52" t="s">
        <v>264</v>
      </c>
      <c r="AH52" t="s">
        <v>264</v>
      </c>
      <c r="AL52" t="s">
        <v>264</v>
      </c>
      <c r="AM52" s="6">
        <v>44799</v>
      </c>
      <c r="AN52" t="s">
        <v>393</v>
      </c>
      <c r="AO52" t="s">
        <v>268</v>
      </c>
      <c r="AP52">
        <v>1204</v>
      </c>
      <c r="AQ52" t="s">
        <v>269</v>
      </c>
      <c r="AR52" t="s">
        <v>264</v>
      </c>
      <c r="AU52" t="s">
        <v>264</v>
      </c>
      <c r="AV52" t="s">
        <v>270</v>
      </c>
      <c r="AX52" t="s">
        <v>264</v>
      </c>
      <c r="AY52">
        <v>630200</v>
      </c>
      <c r="AZ52">
        <v>1204.6302000000001</v>
      </c>
      <c r="BA52" s="28" t="s">
        <v>115</v>
      </c>
    </row>
    <row r="53" spans="1:53">
      <c r="A53" t="s">
        <v>390</v>
      </c>
      <c r="B53" t="s">
        <v>391</v>
      </c>
      <c r="C53">
        <v>22001962</v>
      </c>
      <c r="D53">
        <v>1201</v>
      </c>
      <c r="E53" s="6">
        <v>44799</v>
      </c>
      <c r="F53" t="s">
        <v>392</v>
      </c>
      <c r="G53" s="29">
        <v>4459.79</v>
      </c>
      <c r="H53" s="29">
        <v>4459.79</v>
      </c>
      <c r="I53" t="s">
        <v>263</v>
      </c>
      <c r="J53" t="s">
        <v>263</v>
      </c>
      <c r="L53" s="29">
        <v>66272500</v>
      </c>
      <c r="N53" s="29">
        <v>66272500</v>
      </c>
      <c r="O53" t="s">
        <v>264</v>
      </c>
      <c r="Q53" t="s">
        <v>264</v>
      </c>
      <c r="R53" t="s">
        <v>265</v>
      </c>
      <c r="S53">
        <v>14860</v>
      </c>
      <c r="T53" t="s">
        <v>266</v>
      </c>
      <c r="U53" t="s">
        <v>267</v>
      </c>
      <c r="V53" t="s">
        <v>386</v>
      </c>
      <c r="W53" t="s">
        <v>387</v>
      </c>
      <c r="X53">
        <v>1935696</v>
      </c>
      <c r="Y53" s="6">
        <v>44802</v>
      </c>
      <c r="Z53" t="s">
        <v>264</v>
      </c>
      <c r="AA53">
        <v>5</v>
      </c>
      <c r="AB53" t="s">
        <v>264</v>
      </c>
      <c r="AD53" t="s">
        <v>264</v>
      </c>
      <c r="AE53" t="s">
        <v>264</v>
      </c>
      <c r="AF53" t="s">
        <v>264</v>
      </c>
      <c r="AH53" t="s">
        <v>264</v>
      </c>
      <c r="AL53" t="s">
        <v>264</v>
      </c>
      <c r="AM53" s="6">
        <v>44799</v>
      </c>
      <c r="AN53" t="s">
        <v>393</v>
      </c>
      <c r="AO53" t="s">
        <v>268</v>
      </c>
      <c r="AP53">
        <v>1205</v>
      </c>
      <c r="AQ53" t="s">
        <v>269</v>
      </c>
      <c r="AR53" t="s">
        <v>264</v>
      </c>
      <c r="AU53" t="s">
        <v>264</v>
      </c>
      <c r="AV53" t="s">
        <v>270</v>
      </c>
      <c r="AX53" t="s">
        <v>264</v>
      </c>
      <c r="AY53">
        <v>630200</v>
      </c>
      <c r="AZ53">
        <v>1205.6302000000001</v>
      </c>
      <c r="BA53" s="28" t="s">
        <v>116</v>
      </c>
    </row>
    <row r="54" spans="1:53">
      <c r="A54" t="s">
        <v>424</v>
      </c>
      <c r="B54" t="s">
        <v>425</v>
      </c>
      <c r="C54">
        <v>22003406</v>
      </c>
      <c r="D54">
        <v>1204</v>
      </c>
      <c r="E54" s="6">
        <v>44774</v>
      </c>
      <c r="F54" t="s">
        <v>426</v>
      </c>
      <c r="G54">
        <v>161.6</v>
      </c>
      <c r="H54">
        <v>161.6</v>
      </c>
      <c r="I54" t="s">
        <v>263</v>
      </c>
      <c r="J54" t="s">
        <v>263</v>
      </c>
      <c r="L54" s="29">
        <v>2400000</v>
      </c>
      <c r="N54" s="29">
        <v>2400000</v>
      </c>
      <c r="O54" t="s">
        <v>264</v>
      </c>
      <c r="Q54" t="s">
        <v>264</v>
      </c>
      <c r="R54" t="s">
        <v>265</v>
      </c>
      <c r="S54">
        <v>14882</v>
      </c>
      <c r="T54" t="s">
        <v>266</v>
      </c>
      <c r="U54" t="s">
        <v>267</v>
      </c>
      <c r="V54" t="s">
        <v>427</v>
      </c>
      <c r="W54" t="s">
        <v>428</v>
      </c>
      <c r="X54">
        <v>1925580</v>
      </c>
      <c r="Y54" s="6">
        <v>44774</v>
      </c>
      <c r="Z54" t="s">
        <v>264</v>
      </c>
      <c r="AA54">
        <v>1</v>
      </c>
      <c r="AB54" t="s">
        <v>264</v>
      </c>
      <c r="AD54" t="s">
        <v>264</v>
      </c>
      <c r="AE54" t="s">
        <v>264</v>
      </c>
      <c r="AF54" t="s">
        <v>264</v>
      </c>
      <c r="AG54" s="29">
        <v>8000</v>
      </c>
      <c r="AH54" t="s">
        <v>264</v>
      </c>
      <c r="AI54">
        <v>55654087</v>
      </c>
      <c r="AJ54" t="s">
        <v>426</v>
      </c>
      <c r="AL54" t="s">
        <v>264</v>
      </c>
      <c r="AM54" s="6">
        <v>44774</v>
      </c>
      <c r="AN54" t="s">
        <v>429</v>
      </c>
      <c r="AO54" t="s">
        <v>268</v>
      </c>
      <c r="AP54">
        <v>1204</v>
      </c>
      <c r="AQ54" t="s">
        <v>269</v>
      </c>
      <c r="AR54" t="s">
        <v>430</v>
      </c>
      <c r="AU54" t="s">
        <v>264</v>
      </c>
      <c r="AV54" t="s">
        <v>270</v>
      </c>
      <c r="AX54">
        <v>22001365</v>
      </c>
      <c r="AY54">
        <v>630520</v>
      </c>
      <c r="AZ54">
        <v>1204.6305199999999</v>
      </c>
      <c r="BA54" s="28" t="s">
        <v>118</v>
      </c>
    </row>
    <row r="55" spans="1:53">
      <c r="A55" t="s">
        <v>271</v>
      </c>
      <c r="B55" t="s">
        <v>272</v>
      </c>
      <c r="C55">
        <v>22002782</v>
      </c>
      <c r="D55">
        <v>1204</v>
      </c>
      <c r="E55" s="6">
        <v>44777</v>
      </c>
      <c r="F55" t="s">
        <v>426</v>
      </c>
      <c r="G55">
        <v>-0.09</v>
      </c>
      <c r="I55" t="s">
        <v>263</v>
      </c>
      <c r="J55" t="s">
        <v>263</v>
      </c>
      <c r="K55">
        <v>-0.09</v>
      </c>
      <c r="O55" t="s">
        <v>264</v>
      </c>
      <c r="Q55" t="s">
        <v>264</v>
      </c>
      <c r="R55" t="s">
        <v>265</v>
      </c>
      <c r="S55">
        <v>14860</v>
      </c>
      <c r="T55" t="s">
        <v>266</v>
      </c>
      <c r="U55" t="s">
        <v>267</v>
      </c>
      <c r="V55" t="s">
        <v>273</v>
      </c>
      <c r="W55" t="s">
        <v>274</v>
      </c>
      <c r="X55">
        <v>1927110</v>
      </c>
      <c r="Y55" s="6">
        <v>44777</v>
      </c>
      <c r="Z55" t="s">
        <v>264</v>
      </c>
      <c r="AA55">
        <v>2</v>
      </c>
      <c r="AB55" t="s">
        <v>264</v>
      </c>
      <c r="AD55" t="s">
        <v>264</v>
      </c>
      <c r="AE55" t="s">
        <v>264</v>
      </c>
      <c r="AF55" t="s">
        <v>264</v>
      </c>
      <c r="AH55" t="s">
        <v>264</v>
      </c>
      <c r="AI55">
        <v>55654087</v>
      </c>
      <c r="AJ55" t="s">
        <v>426</v>
      </c>
      <c r="AL55" t="s">
        <v>431</v>
      </c>
      <c r="AM55" s="6">
        <v>44774</v>
      </c>
      <c r="AN55" t="s">
        <v>275</v>
      </c>
      <c r="AO55" t="s">
        <v>268</v>
      </c>
      <c r="AP55">
        <v>1204</v>
      </c>
      <c r="AQ55" t="s">
        <v>269</v>
      </c>
      <c r="AR55" t="s">
        <v>430</v>
      </c>
      <c r="AU55" t="s">
        <v>264</v>
      </c>
      <c r="AV55" t="s">
        <v>270</v>
      </c>
      <c r="AX55">
        <v>22001365</v>
      </c>
      <c r="AY55">
        <v>630520</v>
      </c>
      <c r="AZ55">
        <v>1204.6305199999999</v>
      </c>
      <c r="BA55" s="28" t="s">
        <v>118</v>
      </c>
    </row>
    <row r="56" spans="1:53">
      <c r="A56" t="s">
        <v>424</v>
      </c>
      <c r="B56" t="s">
        <v>425</v>
      </c>
      <c r="C56">
        <v>22003633</v>
      </c>
      <c r="D56">
        <v>1204</v>
      </c>
      <c r="E56" s="6">
        <v>44802</v>
      </c>
      <c r="F56" t="s">
        <v>426</v>
      </c>
      <c r="G56">
        <v>161.6</v>
      </c>
      <c r="H56">
        <v>161.6</v>
      </c>
      <c r="I56" t="s">
        <v>263</v>
      </c>
      <c r="J56" t="s">
        <v>263</v>
      </c>
      <c r="L56" s="29">
        <v>2400000</v>
      </c>
      <c r="N56" s="29">
        <v>2400000</v>
      </c>
      <c r="O56" t="s">
        <v>264</v>
      </c>
      <c r="Q56" t="s">
        <v>264</v>
      </c>
      <c r="R56" t="s">
        <v>265</v>
      </c>
      <c r="S56">
        <v>14860</v>
      </c>
      <c r="T56" t="s">
        <v>266</v>
      </c>
      <c r="U56" t="s">
        <v>267</v>
      </c>
      <c r="V56" t="s">
        <v>427</v>
      </c>
      <c r="W56" t="s">
        <v>428</v>
      </c>
      <c r="X56">
        <v>1935679</v>
      </c>
      <c r="Y56" s="6">
        <v>44802</v>
      </c>
      <c r="Z56" t="s">
        <v>264</v>
      </c>
      <c r="AA56">
        <v>1</v>
      </c>
      <c r="AB56" t="s">
        <v>264</v>
      </c>
      <c r="AD56" t="s">
        <v>264</v>
      </c>
      <c r="AE56" t="s">
        <v>264</v>
      </c>
      <c r="AF56" t="s">
        <v>264</v>
      </c>
      <c r="AG56" s="29">
        <v>8000</v>
      </c>
      <c r="AH56" t="s">
        <v>264</v>
      </c>
      <c r="AI56">
        <v>55654087</v>
      </c>
      <c r="AJ56" t="s">
        <v>426</v>
      </c>
      <c r="AL56" t="s">
        <v>264</v>
      </c>
      <c r="AM56" s="6">
        <v>44802</v>
      </c>
      <c r="AN56" t="s">
        <v>429</v>
      </c>
      <c r="AO56" t="s">
        <v>268</v>
      </c>
      <c r="AP56">
        <v>1204</v>
      </c>
      <c r="AQ56" t="s">
        <v>269</v>
      </c>
      <c r="AR56" t="s">
        <v>430</v>
      </c>
      <c r="AU56" t="s">
        <v>264</v>
      </c>
      <c r="AV56" t="s">
        <v>270</v>
      </c>
      <c r="AX56">
        <v>22001402</v>
      </c>
      <c r="AY56">
        <v>630520</v>
      </c>
      <c r="AZ56">
        <v>1204.6305199999999</v>
      </c>
      <c r="BA56" s="28" t="s">
        <v>118</v>
      </c>
    </row>
    <row r="57" spans="1:53">
      <c r="A57" t="s">
        <v>424</v>
      </c>
      <c r="B57" t="s">
        <v>425</v>
      </c>
      <c r="C57">
        <v>22004085</v>
      </c>
      <c r="D57">
        <v>1205</v>
      </c>
      <c r="E57" s="6">
        <v>44776</v>
      </c>
      <c r="F57" t="s">
        <v>426</v>
      </c>
      <c r="G57">
        <v>161.6</v>
      </c>
      <c r="H57">
        <v>161.6</v>
      </c>
      <c r="I57" t="s">
        <v>263</v>
      </c>
      <c r="J57" t="s">
        <v>263</v>
      </c>
      <c r="L57" s="29">
        <v>2400000</v>
      </c>
      <c r="N57" s="29">
        <v>2400000</v>
      </c>
      <c r="O57" t="s">
        <v>264</v>
      </c>
      <c r="Q57" t="s">
        <v>264</v>
      </c>
      <c r="R57" t="s">
        <v>265</v>
      </c>
      <c r="S57">
        <v>14882</v>
      </c>
      <c r="T57" t="s">
        <v>266</v>
      </c>
      <c r="U57" t="s">
        <v>267</v>
      </c>
      <c r="V57" t="s">
        <v>427</v>
      </c>
      <c r="W57" t="s">
        <v>428</v>
      </c>
      <c r="X57">
        <v>1926750</v>
      </c>
      <c r="Y57" s="6">
        <v>44776</v>
      </c>
      <c r="Z57" t="s">
        <v>264</v>
      </c>
      <c r="AA57">
        <v>1</v>
      </c>
      <c r="AB57" t="s">
        <v>264</v>
      </c>
      <c r="AD57" t="s">
        <v>264</v>
      </c>
      <c r="AE57" t="s">
        <v>264</v>
      </c>
      <c r="AF57" t="s">
        <v>264</v>
      </c>
      <c r="AG57" s="29">
        <v>8000</v>
      </c>
      <c r="AH57" t="s">
        <v>264</v>
      </c>
      <c r="AI57">
        <v>55654087</v>
      </c>
      <c r="AJ57" t="s">
        <v>426</v>
      </c>
      <c r="AL57" t="s">
        <v>264</v>
      </c>
      <c r="AM57" s="6">
        <v>44776</v>
      </c>
      <c r="AN57" t="s">
        <v>432</v>
      </c>
      <c r="AO57" t="s">
        <v>268</v>
      </c>
      <c r="AP57">
        <v>1205</v>
      </c>
      <c r="AQ57" t="s">
        <v>269</v>
      </c>
      <c r="AR57" t="s">
        <v>430</v>
      </c>
      <c r="AU57" t="s">
        <v>264</v>
      </c>
      <c r="AV57" t="s">
        <v>270</v>
      </c>
      <c r="AX57">
        <v>22001325</v>
      </c>
      <c r="AY57">
        <v>630520</v>
      </c>
      <c r="AZ57">
        <v>1205.6305199999999</v>
      </c>
      <c r="BA57" s="28" t="s">
        <v>119</v>
      </c>
    </row>
    <row r="58" spans="1:53">
      <c r="A58" t="s">
        <v>271</v>
      </c>
      <c r="B58" t="s">
        <v>272</v>
      </c>
      <c r="C58">
        <v>22002957</v>
      </c>
      <c r="D58">
        <v>1205</v>
      </c>
      <c r="E58" s="6">
        <v>44782</v>
      </c>
      <c r="F58" t="s">
        <v>426</v>
      </c>
      <c r="G58">
        <v>-0.09</v>
      </c>
      <c r="I58" t="s">
        <v>263</v>
      </c>
      <c r="J58" t="s">
        <v>263</v>
      </c>
      <c r="K58">
        <v>-0.09</v>
      </c>
      <c r="O58" t="s">
        <v>264</v>
      </c>
      <c r="Q58" t="s">
        <v>264</v>
      </c>
      <c r="R58" t="s">
        <v>265</v>
      </c>
      <c r="S58">
        <v>14860</v>
      </c>
      <c r="T58" t="s">
        <v>266</v>
      </c>
      <c r="U58" t="s">
        <v>267</v>
      </c>
      <c r="V58" t="s">
        <v>273</v>
      </c>
      <c r="W58" t="s">
        <v>274</v>
      </c>
      <c r="X58">
        <v>1928981</v>
      </c>
      <c r="Y58" s="6">
        <v>44782</v>
      </c>
      <c r="Z58" t="s">
        <v>264</v>
      </c>
      <c r="AA58">
        <v>2</v>
      </c>
      <c r="AB58" t="s">
        <v>264</v>
      </c>
      <c r="AD58" t="s">
        <v>264</v>
      </c>
      <c r="AE58" t="s">
        <v>264</v>
      </c>
      <c r="AF58" t="s">
        <v>264</v>
      </c>
      <c r="AH58" t="s">
        <v>264</v>
      </c>
      <c r="AI58">
        <v>55654087</v>
      </c>
      <c r="AJ58" t="s">
        <v>426</v>
      </c>
      <c r="AL58" t="s">
        <v>433</v>
      </c>
      <c r="AM58" s="6">
        <v>44776</v>
      </c>
      <c r="AN58" t="s">
        <v>275</v>
      </c>
      <c r="AO58" t="s">
        <v>268</v>
      </c>
      <c r="AP58">
        <v>1205</v>
      </c>
      <c r="AQ58" t="s">
        <v>269</v>
      </c>
      <c r="AR58" t="s">
        <v>430</v>
      </c>
      <c r="AU58" t="s">
        <v>264</v>
      </c>
      <c r="AV58" t="s">
        <v>270</v>
      </c>
      <c r="AX58">
        <v>22001325</v>
      </c>
      <c r="AY58">
        <v>630520</v>
      </c>
      <c r="AZ58">
        <v>1205.6305199999999</v>
      </c>
      <c r="BA58" s="28" t="s">
        <v>119</v>
      </c>
    </row>
    <row r="59" spans="1:53">
      <c r="A59" t="s">
        <v>424</v>
      </c>
      <c r="B59" t="s">
        <v>425</v>
      </c>
      <c r="C59">
        <v>22004538</v>
      </c>
      <c r="D59">
        <v>1205</v>
      </c>
      <c r="E59" s="6">
        <v>44799</v>
      </c>
      <c r="F59" t="s">
        <v>426</v>
      </c>
      <c r="G59">
        <v>161.6</v>
      </c>
      <c r="H59">
        <v>161.6</v>
      </c>
      <c r="I59" t="s">
        <v>263</v>
      </c>
      <c r="J59" t="s">
        <v>263</v>
      </c>
      <c r="L59" s="29">
        <v>2400000</v>
      </c>
      <c r="N59" s="29">
        <v>2400000</v>
      </c>
      <c r="O59" t="s">
        <v>264</v>
      </c>
      <c r="Q59" t="s">
        <v>264</v>
      </c>
      <c r="R59" t="s">
        <v>265</v>
      </c>
      <c r="S59">
        <v>14860</v>
      </c>
      <c r="T59" t="s">
        <v>266</v>
      </c>
      <c r="U59" t="s">
        <v>267</v>
      </c>
      <c r="V59" t="s">
        <v>427</v>
      </c>
      <c r="W59" t="s">
        <v>428</v>
      </c>
      <c r="X59">
        <v>1935369</v>
      </c>
      <c r="Y59" s="6">
        <v>44799</v>
      </c>
      <c r="Z59" t="s">
        <v>264</v>
      </c>
      <c r="AA59">
        <v>1</v>
      </c>
      <c r="AB59" t="s">
        <v>264</v>
      </c>
      <c r="AD59" t="s">
        <v>264</v>
      </c>
      <c r="AE59" t="s">
        <v>264</v>
      </c>
      <c r="AF59" t="s">
        <v>264</v>
      </c>
      <c r="AG59" s="29">
        <v>8000</v>
      </c>
      <c r="AH59" t="s">
        <v>264</v>
      </c>
      <c r="AI59">
        <v>55654087</v>
      </c>
      <c r="AJ59" t="s">
        <v>426</v>
      </c>
      <c r="AL59" t="s">
        <v>264</v>
      </c>
      <c r="AM59" s="6">
        <v>44799</v>
      </c>
      <c r="AN59" t="s">
        <v>432</v>
      </c>
      <c r="AO59" t="s">
        <v>268</v>
      </c>
      <c r="AP59">
        <v>1205</v>
      </c>
      <c r="AQ59" t="s">
        <v>269</v>
      </c>
      <c r="AR59" t="s">
        <v>430</v>
      </c>
      <c r="AU59" t="s">
        <v>264</v>
      </c>
      <c r="AV59" t="s">
        <v>270</v>
      </c>
      <c r="AX59">
        <v>22001368</v>
      </c>
      <c r="AY59">
        <v>630520</v>
      </c>
      <c r="AZ59">
        <v>1205.6305199999999</v>
      </c>
      <c r="BA59" s="28" t="s">
        <v>119</v>
      </c>
    </row>
    <row r="60" spans="1:53">
      <c r="A60" t="s">
        <v>271</v>
      </c>
      <c r="B60" t="s">
        <v>272</v>
      </c>
      <c r="C60">
        <v>22010786</v>
      </c>
      <c r="D60">
        <v>1201</v>
      </c>
      <c r="E60" s="6">
        <v>44777</v>
      </c>
      <c r="F60" t="s">
        <v>434</v>
      </c>
      <c r="G60">
        <v>168.24</v>
      </c>
      <c r="H60">
        <v>168.24</v>
      </c>
      <c r="I60" t="s">
        <v>263</v>
      </c>
      <c r="J60" t="s">
        <v>263</v>
      </c>
      <c r="L60" s="29">
        <v>2500000</v>
      </c>
      <c r="N60" s="29">
        <v>2500000</v>
      </c>
      <c r="O60" t="s">
        <v>264</v>
      </c>
      <c r="Q60" t="s">
        <v>264</v>
      </c>
      <c r="R60" t="s">
        <v>265</v>
      </c>
      <c r="S60">
        <v>14860</v>
      </c>
      <c r="T60" t="s">
        <v>266</v>
      </c>
      <c r="U60" t="s">
        <v>267</v>
      </c>
      <c r="V60" t="s">
        <v>273</v>
      </c>
      <c r="W60" t="s">
        <v>274</v>
      </c>
      <c r="X60">
        <v>1927493</v>
      </c>
      <c r="Y60" s="6">
        <v>44777</v>
      </c>
      <c r="Z60" t="s">
        <v>264</v>
      </c>
      <c r="AA60">
        <v>1</v>
      </c>
      <c r="AB60" t="s">
        <v>264</v>
      </c>
      <c r="AD60" t="s">
        <v>264</v>
      </c>
      <c r="AE60" t="s">
        <v>264</v>
      </c>
      <c r="AF60" t="s">
        <v>264</v>
      </c>
      <c r="AG60">
        <v>1</v>
      </c>
      <c r="AH60" t="s">
        <v>264</v>
      </c>
      <c r="AI60">
        <v>57215862</v>
      </c>
      <c r="AJ60" t="s">
        <v>434</v>
      </c>
      <c r="AL60" t="s">
        <v>435</v>
      </c>
      <c r="AM60" s="6">
        <v>44770</v>
      </c>
      <c r="AN60" t="s">
        <v>275</v>
      </c>
      <c r="AO60" t="s">
        <v>268</v>
      </c>
      <c r="AP60">
        <v>1201</v>
      </c>
      <c r="AQ60" t="s">
        <v>269</v>
      </c>
      <c r="AR60" t="s">
        <v>436</v>
      </c>
      <c r="AU60" t="s">
        <v>264</v>
      </c>
      <c r="AV60" t="s">
        <v>270</v>
      </c>
      <c r="AX60">
        <v>22002711</v>
      </c>
      <c r="AY60">
        <v>630530</v>
      </c>
      <c r="AZ60">
        <v>1201.6305299999999</v>
      </c>
      <c r="BA60" s="28" t="s">
        <v>105</v>
      </c>
    </row>
    <row r="61" spans="1:53">
      <c r="A61" t="s">
        <v>271</v>
      </c>
      <c r="B61" t="s">
        <v>272</v>
      </c>
      <c r="C61">
        <v>22010889</v>
      </c>
      <c r="D61">
        <v>1201</v>
      </c>
      <c r="E61" s="6">
        <v>44782</v>
      </c>
      <c r="F61" t="s">
        <v>437</v>
      </c>
      <c r="G61" s="29">
        <v>3068.65</v>
      </c>
      <c r="H61" s="29">
        <v>3068.65</v>
      </c>
      <c r="I61" t="s">
        <v>263</v>
      </c>
      <c r="J61" t="s">
        <v>263</v>
      </c>
      <c r="L61" s="29">
        <v>45600000</v>
      </c>
      <c r="N61" s="29">
        <v>45600000</v>
      </c>
      <c r="O61" t="s">
        <v>264</v>
      </c>
      <c r="Q61" t="s">
        <v>264</v>
      </c>
      <c r="R61" t="s">
        <v>265</v>
      </c>
      <c r="S61">
        <v>14860</v>
      </c>
      <c r="T61" t="s">
        <v>266</v>
      </c>
      <c r="U61" t="s">
        <v>267</v>
      </c>
      <c r="V61" t="s">
        <v>273</v>
      </c>
      <c r="W61" t="s">
        <v>274</v>
      </c>
      <c r="X61">
        <v>1929273</v>
      </c>
      <c r="Y61" s="6">
        <v>44782</v>
      </c>
      <c r="Z61" t="s">
        <v>264</v>
      </c>
      <c r="AA61">
        <v>1</v>
      </c>
      <c r="AB61" t="s">
        <v>264</v>
      </c>
      <c r="AD61" t="s">
        <v>264</v>
      </c>
      <c r="AE61" t="s">
        <v>264</v>
      </c>
      <c r="AF61" t="s">
        <v>264</v>
      </c>
      <c r="AG61">
        <v>2</v>
      </c>
      <c r="AH61" t="s">
        <v>264</v>
      </c>
      <c r="AI61">
        <v>55641577</v>
      </c>
      <c r="AJ61" t="s">
        <v>437</v>
      </c>
      <c r="AL61" t="s">
        <v>438</v>
      </c>
      <c r="AM61" s="6">
        <v>44782</v>
      </c>
      <c r="AN61" t="s">
        <v>275</v>
      </c>
      <c r="AO61" t="s">
        <v>268</v>
      </c>
      <c r="AP61">
        <v>1201</v>
      </c>
      <c r="AQ61" t="s">
        <v>269</v>
      </c>
      <c r="AR61" t="s">
        <v>439</v>
      </c>
      <c r="AU61" t="s">
        <v>264</v>
      </c>
      <c r="AV61" t="s">
        <v>270</v>
      </c>
      <c r="AX61">
        <v>22002723</v>
      </c>
      <c r="AY61">
        <v>630530</v>
      </c>
      <c r="AZ61">
        <v>1201.6305299999999</v>
      </c>
      <c r="BA61" s="28" t="s">
        <v>105</v>
      </c>
    </row>
    <row r="62" spans="1:53">
      <c r="A62" t="s">
        <v>271</v>
      </c>
      <c r="B62" t="s">
        <v>272</v>
      </c>
      <c r="C62">
        <v>22011273</v>
      </c>
      <c r="D62">
        <v>1201</v>
      </c>
      <c r="E62" s="6">
        <v>44789</v>
      </c>
      <c r="F62" t="s">
        <v>440</v>
      </c>
      <c r="G62">
        <v>161.51</v>
      </c>
      <c r="H62">
        <v>161.51</v>
      </c>
      <c r="I62" t="s">
        <v>263</v>
      </c>
      <c r="J62" t="s">
        <v>263</v>
      </c>
      <c r="L62" s="29">
        <v>2400000</v>
      </c>
      <c r="N62" s="29">
        <v>2400000</v>
      </c>
      <c r="O62" t="s">
        <v>264</v>
      </c>
      <c r="Q62" t="s">
        <v>264</v>
      </c>
      <c r="R62" t="s">
        <v>265</v>
      </c>
      <c r="S62">
        <v>14860</v>
      </c>
      <c r="T62" t="s">
        <v>266</v>
      </c>
      <c r="U62" t="s">
        <v>267</v>
      </c>
      <c r="V62" t="s">
        <v>273</v>
      </c>
      <c r="W62" t="s">
        <v>274</v>
      </c>
      <c r="X62">
        <v>1932974</v>
      </c>
      <c r="Y62" s="6">
        <v>44789</v>
      </c>
      <c r="Z62" t="s">
        <v>264</v>
      </c>
      <c r="AA62">
        <v>1</v>
      </c>
      <c r="AB62" t="s">
        <v>264</v>
      </c>
      <c r="AD62" t="s">
        <v>264</v>
      </c>
      <c r="AE62" t="s">
        <v>264</v>
      </c>
      <c r="AF62" t="s">
        <v>264</v>
      </c>
      <c r="AG62">
        <v>1</v>
      </c>
      <c r="AH62" t="s">
        <v>264</v>
      </c>
      <c r="AI62">
        <v>57342386</v>
      </c>
      <c r="AJ62" t="s">
        <v>440</v>
      </c>
      <c r="AL62" t="s">
        <v>435</v>
      </c>
      <c r="AM62" s="6">
        <v>44789</v>
      </c>
      <c r="AN62" t="s">
        <v>275</v>
      </c>
      <c r="AO62" t="s">
        <v>268</v>
      </c>
      <c r="AP62">
        <v>1201</v>
      </c>
      <c r="AQ62" t="s">
        <v>269</v>
      </c>
      <c r="AR62" t="s">
        <v>441</v>
      </c>
      <c r="AU62" t="s">
        <v>264</v>
      </c>
      <c r="AV62" t="s">
        <v>270</v>
      </c>
      <c r="AX62">
        <v>22002785</v>
      </c>
      <c r="AY62">
        <v>630530</v>
      </c>
      <c r="AZ62">
        <v>1201.6305299999999</v>
      </c>
      <c r="BA62" s="28" t="s">
        <v>105</v>
      </c>
    </row>
    <row r="63" spans="1:53">
      <c r="A63" t="s">
        <v>271</v>
      </c>
      <c r="B63" t="s">
        <v>272</v>
      </c>
      <c r="C63">
        <v>22011292</v>
      </c>
      <c r="D63">
        <v>1201</v>
      </c>
      <c r="E63" s="6">
        <v>44789</v>
      </c>
      <c r="F63" t="s">
        <v>276</v>
      </c>
      <c r="G63">
        <v>672.95</v>
      </c>
      <c r="H63">
        <v>672.95</v>
      </c>
      <c r="I63" t="s">
        <v>263</v>
      </c>
      <c r="J63" t="s">
        <v>263</v>
      </c>
      <c r="L63" s="29">
        <v>10000000</v>
      </c>
      <c r="N63" s="29">
        <v>10000000</v>
      </c>
      <c r="O63" t="s">
        <v>264</v>
      </c>
      <c r="Q63" t="s">
        <v>264</v>
      </c>
      <c r="R63" t="s">
        <v>265</v>
      </c>
      <c r="S63">
        <v>14860</v>
      </c>
      <c r="T63" t="s">
        <v>266</v>
      </c>
      <c r="U63" t="s">
        <v>267</v>
      </c>
      <c r="V63" t="s">
        <v>273</v>
      </c>
      <c r="W63" t="s">
        <v>274</v>
      </c>
      <c r="X63">
        <v>1933022</v>
      </c>
      <c r="Y63" s="6">
        <v>44789</v>
      </c>
      <c r="Z63" t="s">
        <v>264</v>
      </c>
      <c r="AA63">
        <v>1</v>
      </c>
      <c r="AB63" t="s">
        <v>264</v>
      </c>
      <c r="AD63" t="s">
        <v>264</v>
      </c>
      <c r="AE63" t="s">
        <v>264</v>
      </c>
      <c r="AF63" t="s">
        <v>264</v>
      </c>
      <c r="AG63">
        <v>1</v>
      </c>
      <c r="AH63" t="s">
        <v>264</v>
      </c>
      <c r="AI63">
        <v>55497042</v>
      </c>
      <c r="AJ63" t="s">
        <v>276</v>
      </c>
      <c r="AL63" t="s">
        <v>442</v>
      </c>
      <c r="AM63" s="6">
        <v>44775</v>
      </c>
      <c r="AN63" t="s">
        <v>275</v>
      </c>
      <c r="AO63" t="s">
        <v>268</v>
      </c>
      <c r="AP63">
        <v>1201</v>
      </c>
      <c r="AQ63" t="s">
        <v>269</v>
      </c>
      <c r="AR63" t="s">
        <v>443</v>
      </c>
      <c r="AU63" t="s">
        <v>264</v>
      </c>
      <c r="AV63" t="s">
        <v>270</v>
      </c>
      <c r="AX63">
        <v>22002757</v>
      </c>
      <c r="AY63">
        <v>630530</v>
      </c>
      <c r="AZ63">
        <v>1201.6305299999999</v>
      </c>
      <c r="BA63" s="28" t="s">
        <v>105</v>
      </c>
    </row>
    <row r="64" spans="1:53">
      <c r="A64" t="s">
        <v>271</v>
      </c>
      <c r="B64" t="s">
        <v>272</v>
      </c>
      <c r="C64">
        <v>22002809</v>
      </c>
      <c r="D64">
        <v>1204</v>
      </c>
      <c r="E64" s="6">
        <v>44782</v>
      </c>
      <c r="F64" t="s">
        <v>437</v>
      </c>
      <c r="G64">
        <v>450.87</v>
      </c>
      <c r="H64">
        <v>450.87</v>
      </c>
      <c r="I64" t="s">
        <v>263</v>
      </c>
      <c r="J64" t="s">
        <v>263</v>
      </c>
      <c r="L64" s="29">
        <v>6700000</v>
      </c>
      <c r="N64" s="29">
        <v>6700000</v>
      </c>
      <c r="O64" t="s">
        <v>264</v>
      </c>
      <c r="Q64" t="s">
        <v>264</v>
      </c>
      <c r="R64" t="s">
        <v>265</v>
      </c>
      <c r="S64">
        <v>14860</v>
      </c>
      <c r="T64" t="s">
        <v>266</v>
      </c>
      <c r="U64" t="s">
        <v>267</v>
      </c>
      <c r="V64" t="s">
        <v>273</v>
      </c>
      <c r="W64" t="s">
        <v>274</v>
      </c>
      <c r="X64">
        <v>1929271</v>
      </c>
      <c r="Y64" s="6">
        <v>44782</v>
      </c>
      <c r="Z64" t="s">
        <v>264</v>
      </c>
      <c r="AA64">
        <v>1</v>
      </c>
      <c r="AB64" t="s">
        <v>264</v>
      </c>
      <c r="AD64" t="s">
        <v>264</v>
      </c>
      <c r="AE64" t="s">
        <v>264</v>
      </c>
      <c r="AF64" t="s">
        <v>264</v>
      </c>
      <c r="AG64">
        <v>1</v>
      </c>
      <c r="AH64" t="s">
        <v>264</v>
      </c>
      <c r="AI64">
        <v>55641577</v>
      </c>
      <c r="AJ64" t="s">
        <v>437</v>
      </c>
      <c r="AL64" t="s">
        <v>444</v>
      </c>
      <c r="AM64" s="6">
        <v>44773</v>
      </c>
      <c r="AN64" t="s">
        <v>275</v>
      </c>
      <c r="AO64" t="s">
        <v>268</v>
      </c>
      <c r="AP64">
        <v>1204</v>
      </c>
      <c r="AQ64" t="s">
        <v>269</v>
      </c>
      <c r="AR64" t="s">
        <v>445</v>
      </c>
      <c r="AU64" t="s">
        <v>264</v>
      </c>
      <c r="AV64" t="s">
        <v>270</v>
      </c>
      <c r="AX64">
        <v>22001376</v>
      </c>
      <c r="AY64">
        <v>630530</v>
      </c>
      <c r="AZ64">
        <v>1204.6305299999999</v>
      </c>
      <c r="BA64" s="28" t="s">
        <v>121</v>
      </c>
    </row>
    <row r="65" spans="1:53">
      <c r="A65" t="s">
        <v>271</v>
      </c>
      <c r="B65" t="s">
        <v>272</v>
      </c>
      <c r="C65">
        <v>22002830</v>
      </c>
      <c r="D65">
        <v>1204</v>
      </c>
      <c r="E65" s="6">
        <v>44785</v>
      </c>
      <c r="F65" t="s">
        <v>446</v>
      </c>
      <c r="G65" s="29">
        <v>8061.42</v>
      </c>
      <c r="H65" s="29">
        <v>8061.42</v>
      </c>
      <c r="I65" t="s">
        <v>263</v>
      </c>
      <c r="J65" t="s">
        <v>263</v>
      </c>
      <c r="L65" s="29">
        <v>119792750</v>
      </c>
      <c r="N65" s="29">
        <v>119792750</v>
      </c>
      <c r="O65" t="s">
        <v>264</v>
      </c>
      <c r="Q65" t="s">
        <v>264</v>
      </c>
      <c r="R65" t="s">
        <v>265</v>
      </c>
      <c r="S65">
        <v>14860</v>
      </c>
      <c r="T65" t="s">
        <v>266</v>
      </c>
      <c r="U65" t="s">
        <v>267</v>
      </c>
      <c r="V65" t="s">
        <v>273</v>
      </c>
      <c r="W65" t="s">
        <v>274</v>
      </c>
      <c r="X65">
        <v>1930588</v>
      </c>
      <c r="Y65" s="6">
        <v>44785</v>
      </c>
      <c r="Z65" t="s">
        <v>264</v>
      </c>
      <c r="AA65">
        <v>1</v>
      </c>
      <c r="AB65" t="s">
        <v>264</v>
      </c>
      <c r="AD65" t="s">
        <v>264</v>
      </c>
      <c r="AE65" t="s">
        <v>264</v>
      </c>
      <c r="AF65" t="s">
        <v>264</v>
      </c>
      <c r="AG65">
        <v>1</v>
      </c>
      <c r="AH65" t="s">
        <v>264</v>
      </c>
      <c r="AI65">
        <v>57313681</v>
      </c>
      <c r="AJ65" t="s">
        <v>446</v>
      </c>
      <c r="AL65" t="s">
        <v>447</v>
      </c>
      <c r="AM65" s="6">
        <v>44773</v>
      </c>
      <c r="AN65" t="s">
        <v>275</v>
      </c>
      <c r="AO65" t="s">
        <v>268</v>
      </c>
      <c r="AP65">
        <v>1204</v>
      </c>
      <c r="AQ65" t="s">
        <v>269</v>
      </c>
      <c r="AR65" t="s">
        <v>448</v>
      </c>
      <c r="AU65" t="s">
        <v>264</v>
      </c>
      <c r="AV65" t="s">
        <v>270</v>
      </c>
      <c r="AX65">
        <v>22001392</v>
      </c>
      <c r="AY65">
        <v>630530</v>
      </c>
      <c r="AZ65">
        <v>1204.6305299999999</v>
      </c>
      <c r="BA65" s="28" t="s">
        <v>121</v>
      </c>
    </row>
    <row r="66" spans="1:53">
      <c r="A66" t="s">
        <v>271</v>
      </c>
      <c r="B66" t="s">
        <v>272</v>
      </c>
      <c r="C66">
        <v>22002871</v>
      </c>
      <c r="D66">
        <v>1204</v>
      </c>
      <c r="E66" s="6">
        <v>44789</v>
      </c>
      <c r="F66" t="s">
        <v>276</v>
      </c>
      <c r="G66">
        <v>706.59</v>
      </c>
      <c r="H66">
        <v>706.59</v>
      </c>
      <c r="I66" t="s">
        <v>263</v>
      </c>
      <c r="J66" t="s">
        <v>263</v>
      </c>
      <c r="L66" s="29">
        <v>10500000</v>
      </c>
      <c r="N66" s="29">
        <v>10500000</v>
      </c>
      <c r="O66" t="s">
        <v>264</v>
      </c>
      <c r="Q66" t="s">
        <v>264</v>
      </c>
      <c r="R66" t="s">
        <v>265</v>
      </c>
      <c r="S66">
        <v>14860</v>
      </c>
      <c r="T66" t="s">
        <v>266</v>
      </c>
      <c r="U66" t="s">
        <v>267</v>
      </c>
      <c r="V66" t="s">
        <v>273</v>
      </c>
      <c r="W66" t="s">
        <v>274</v>
      </c>
      <c r="X66">
        <v>1933033</v>
      </c>
      <c r="Y66" s="6">
        <v>44789</v>
      </c>
      <c r="Z66" t="s">
        <v>264</v>
      </c>
      <c r="AA66">
        <v>1</v>
      </c>
      <c r="AB66" t="s">
        <v>264</v>
      </c>
      <c r="AD66" t="s">
        <v>264</v>
      </c>
      <c r="AE66" t="s">
        <v>264</v>
      </c>
      <c r="AF66" t="s">
        <v>264</v>
      </c>
      <c r="AG66">
        <v>1</v>
      </c>
      <c r="AH66" t="s">
        <v>264</v>
      </c>
      <c r="AI66">
        <v>55497042</v>
      </c>
      <c r="AJ66" t="s">
        <v>276</v>
      </c>
      <c r="AL66" t="s">
        <v>449</v>
      </c>
      <c r="AM66" s="6">
        <v>44774</v>
      </c>
      <c r="AN66" t="s">
        <v>275</v>
      </c>
      <c r="AO66" t="s">
        <v>268</v>
      </c>
      <c r="AP66">
        <v>1204</v>
      </c>
      <c r="AQ66" t="s">
        <v>269</v>
      </c>
      <c r="AR66" t="s">
        <v>450</v>
      </c>
      <c r="AU66" t="s">
        <v>264</v>
      </c>
      <c r="AV66" t="s">
        <v>270</v>
      </c>
      <c r="AX66">
        <v>22001393</v>
      </c>
      <c r="AY66">
        <v>630530</v>
      </c>
      <c r="AZ66">
        <v>1204.6305299999999</v>
      </c>
      <c r="BA66" s="28" t="s">
        <v>121</v>
      </c>
    </row>
    <row r="67" spans="1:53">
      <c r="A67" t="s">
        <v>271</v>
      </c>
      <c r="B67" t="s">
        <v>272</v>
      </c>
      <c r="C67">
        <v>22003050</v>
      </c>
      <c r="D67">
        <v>1205</v>
      </c>
      <c r="E67" s="6">
        <v>44789</v>
      </c>
      <c r="F67" t="s">
        <v>276</v>
      </c>
      <c r="G67">
        <v>706.59</v>
      </c>
      <c r="H67">
        <v>706.59</v>
      </c>
      <c r="I67" t="s">
        <v>263</v>
      </c>
      <c r="J67" t="s">
        <v>263</v>
      </c>
      <c r="L67" s="29">
        <v>10500000</v>
      </c>
      <c r="N67" s="29">
        <v>10500000</v>
      </c>
      <c r="O67" t="s">
        <v>264</v>
      </c>
      <c r="Q67" t="s">
        <v>264</v>
      </c>
      <c r="R67" t="s">
        <v>265</v>
      </c>
      <c r="S67">
        <v>14860</v>
      </c>
      <c r="T67" t="s">
        <v>266</v>
      </c>
      <c r="U67" t="s">
        <v>267</v>
      </c>
      <c r="V67" t="s">
        <v>273</v>
      </c>
      <c r="W67" t="s">
        <v>274</v>
      </c>
      <c r="X67">
        <v>1933026</v>
      </c>
      <c r="Y67" s="6">
        <v>44789</v>
      </c>
      <c r="Z67" t="s">
        <v>264</v>
      </c>
      <c r="AA67">
        <v>1</v>
      </c>
      <c r="AB67" t="s">
        <v>264</v>
      </c>
      <c r="AD67" t="s">
        <v>264</v>
      </c>
      <c r="AE67" t="s">
        <v>264</v>
      </c>
      <c r="AF67" t="s">
        <v>264</v>
      </c>
      <c r="AG67">
        <v>1</v>
      </c>
      <c r="AH67" t="s">
        <v>264</v>
      </c>
      <c r="AI67">
        <v>55497042</v>
      </c>
      <c r="AJ67" t="s">
        <v>276</v>
      </c>
      <c r="AL67" t="s">
        <v>277</v>
      </c>
      <c r="AM67" s="6">
        <v>44774</v>
      </c>
      <c r="AN67" t="s">
        <v>275</v>
      </c>
      <c r="AO67" t="s">
        <v>268</v>
      </c>
      <c r="AP67">
        <v>1205</v>
      </c>
      <c r="AQ67" t="s">
        <v>269</v>
      </c>
      <c r="AR67" t="s">
        <v>278</v>
      </c>
      <c r="AU67" t="s">
        <v>264</v>
      </c>
      <c r="AV67" t="s">
        <v>270</v>
      </c>
      <c r="AX67">
        <v>22001362</v>
      </c>
      <c r="AY67">
        <v>630530</v>
      </c>
      <c r="AZ67">
        <v>1205.6305299999999</v>
      </c>
      <c r="BA67" s="28" t="s">
        <v>122</v>
      </c>
    </row>
    <row r="68" spans="1:53">
      <c r="A68" t="s">
        <v>271</v>
      </c>
      <c r="B68" t="s">
        <v>272</v>
      </c>
      <c r="C68">
        <v>22001538</v>
      </c>
      <c r="D68">
        <v>1206</v>
      </c>
      <c r="E68" s="6">
        <v>44789</v>
      </c>
      <c r="F68" t="s">
        <v>276</v>
      </c>
      <c r="G68">
        <v>773.89</v>
      </c>
      <c r="H68">
        <v>773.89</v>
      </c>
      <c r="I68" t="s">
        <v>263</v>
      </c>
      <c r="J68" t="s">
        <v>263</v>
      </c>
      <c r="L68" s="29">
        <v>11500000</v>
      </c>
      <c r="N68" s="29">
        <v>11500000</v>
      </c>
      <c r="O68" t="s">
        <v>264</v>
      </c>
      <c r="Q68" t="s">
        <v>264</v>
      </c>
      <c r="R68" t="s">
        <v>265</v>
      </c>
      <c r="S68">
        <v>14860</v>
      </c>
      <c r="T68" t="s">
        <v>266</v>
      </c>
      <c r="U68" t="s">
        <v>267</v>
      </c>
      <c r="V68" t="s">
        <v>273</v>
      </c>
      <c r="W68" t="s">
        <v>274</v>
      </c>
      <c r="X68">
        <v>1933040</v>
      </c>
      <c r="Y68" s="6">
        <v>44789</v>
      </c>
      <c r="Z68" t="s">
        <v>264</v>
      </c>
      <c r="AA68">
        <v>1</v>
      </c>
      <c r="AB68" t="s">
        <v>264</v>
      </c>
      <c r="AD68" t="s">
        <v>264</v>
      </c>
      <c r="AE68" t="s">
        <v>264</v>
      </c>
      <c r="AF68" t="s">
        <v>264</v>
      </c>
      <c r="AG68">
        <v>1</v>
      </c>
      <c r="AH68" t="s">
        <v>264</v>
      </c>
      <c r="AI68">
        <v>55497042</v>
      </c>
      <c r="AJ68" t="s">
        <v>276</v>
      </c>
      <c r="AL68" t="s">
        <v>279</v>
      </c>
      <c r="AM68" s="6">
        <v>44774</v>
      </c>
      <c r="AN68" t="s">
        <v>275</v>
      </c>
      <c r="AO68" t="s">
        <v>268</v>
      </c>
      <c r="AP68">
        <v>1206</v>
      </c>
      <c r="AQ68" t="s">
        <v>269</v>
      </c>
      <c r="AR68" t="s">
        <v>280</v>
      </c>
      <c r="AU68" t="s">
        <v>264</v>
      </c>
      <c r="AV68" t="s">
        <v>270</v>
      </c>
      <c r="AX68">
        <v>22001138</v>
      </c>
      <c r="AY68">
        <v>630530</v>
      </c>
      <c r="AZ68">
        <v>1206.6305299999999</v>
      </c>
      <c r="BA68" s="28" t="s">
        <v>123</v>
      </c>
    </row>
    <row r="69" spans="1:53">
      <c r="A69" t="s">
        <v>424</v>
      </c>
      <c r="B69" t="s">
        <v>425</v>
      </c>
      <c r="C69">
        <v>22010009</v>
      </c>
      <c r="D69">
        <v>1201</v>
      </c>
      <c r="E69" s="6">
        <v>44775</v>
      </c>
      <c r="F69" t="s">
        <v>451</v>
      </c>
      <c r="G69">
        <v>152.16999999999999</v>
      </c>
      <c r="H69">
        <v>152.16999999999999</v>
      </c>
      <c r="I69" t="s">
        <v>263</v>
      </c>
      <c r="J69" t="s">
        <v>263</v>
      </c>
      <c r="L69" s="29">
        <v>2184300</v>
      </c>
      <c r="N69" s="29">
        <v>2184300</v>
      </c>
      <c r="O69" t="s">
        <v>264</v>
      </c>
      <c r="Q69" t="s">
        <v>264</v>
      </c>
      <c r="R69" t="s">
        <v>265</v>
      </c>
      <c r="S69">
        <v>14357.01</v>
      </c>
      <c r="T69" t="s">
        <v>266</v>
      </c>
      <c r="U69" t="s">
        <v>267</v>
      </c>
      <c r="V69" t="s">
        <v>427</v>
      </c>
      <c r="W69" t="s">
        <v>428</v>
      </c>
      <c r="X69">
        <v>1930461</v>
      </c>
      <c r="Y69" s="6">
        <v>44784</v>
      </c>
      <c r="Z69" t="s">
        <v>264</v>
      </c>
      <c r="AA69">
        <v>1</v>
      </c>
      <c r="AB69" t="s">
        <v>264</v>
      </c>
      <c r="AD69" t="s">
        <v>264</v>
      </c>
      <c r="AE69" t="s">
        <v>264</v>
      </c>
      <c r="AF69" t="s">
        <v>264</v>
      </c>
      <c r="AG69">
        <v>809</v>
      </c>
      <c r="AH69" t="s">
        <v>264</v>
      </c>
      <c r="AI69">
        <v>57330810</v>
      </c>
      <c r="AJ69" t="s">
        <v>451</v>
      </c>
      <c r="AL69" t="s">
        <v>264</v>
      </c>
      <c r="AM69" s="6">
        <v>44775</v>
      </c>
      <c r="AN69" t="s">
        <v>452</v>
      </c>
      <c r="AO69" t="s">
        <v>268</v>
      </c>
      <c r="AP69">
        <v>1201</v>
      </c>
      <c r="AQ69" t="s">
        <v>269</v>
      </c>
      <c r="AR69">
        <v>264850</v>
      </c>
      <c r="AU69" t="s">
        <v>264</v>
      </c>
      <c r="AV69" t="s">
        <v>270</v>
      </c>
      <c r="AX69">
        <v>22001137</v>
      </c>
      <c r="AY69">
        <v>630600</v>
      </c>
      <c r="AZ69">
        <v>1201.6306</v>
      </c>
      <c r="BA69" s="28" t="s">
        <v>19</v>
      </c>
    </row>
    <row r="70" spans="1:53">
      <c r="A70" t="s">
        <v>424</v>
      </c>
      <c r="B70" t="s">
        <v>425</v>
      </c>
      <c r="C70">
        <v>22010010</v>
      </c>
      <c r="D70">
        <v>1201</v>
      </c>
      <c r="E70" s="6">
        <v>44775</v>
      </c>
      <c r="F70" t="s">
        <v>451</v>
      </c>
      <c r="G70">
        <v>169.1</v>
      </c>
      <c r="H70">
        <v>169.1</v>
      </c>
      <c r="I70" t="s">
        <v>263</v>
      </c>
      <c r="J70" t="s">
        <v>263</v>
      </c>
      <c r="L70" s="29">
        <v>2427300</v>
      </c>
      <c r="N70" s="29">
        <v>2427300</v>
      </c>
      <c r="O70" t="s">
        <v>264</v>
      </c>
      <c r="Q70" t="s">
        <v>264</v>
      </c>
      <c r="R70" t="s">
        <v>265</v>
      </c>
      <c r="S70">
        <v>14357.01</v>
      </c>
      <c r="T70" t="s">
        <v>266</v>
      </c>
      <c r="U70" t="s">
        <v>267</v>
      </c>
      <c r="V70" t="s">
        <v>427</v>
      </c>
      <c r="W70" t="s">
        <v>428</v>
      </c>
      <c r="X70">
        <v>1930461</v>
      </c>
      <c r="Y70" s="6">
        <v>44784</v>
      </c>
      <c r="Z70" t="s">
        <v>264</v>
      </c>
      <c r="AA70">
        <v>1</v>
      </c>
      <c r="AB70" t="s">
        <v>264</v>
      </c>
      <c r="AD70" t="s">
        <v>264</v>
      </c>
      <c r="AE70" t="s">
        <v>264</v>
      </c>
      <c r="AF70" t="s">
        <v>264</v>
      </c>
      <c r="AG70">
        <v>899</v>
      </c>
      <c r="AH70" t="s">
        <v>264</v>
      </c>
      <c r="AI70">
        <v>57330810</v>
      </c>
      <c r="AJ70" t="s">
        <v>451</v>
      </c>
      <c r="AL70" t="s">
        <v>264</v>
      </c>
      <c r="AM70" s="6">
        <v>44775</v>
      </c>
      <c r="AN70" t="s">
        <v>452</v>
      </c>
      <c r="AO70" t="s">
        <v>268</v>
      </c>
      <c r="AP70">
        <v>1201</v>
      </c>
      <c r="AQ70" t="s">
        <v>269</v>
      </c>
      <c r="AR70">
        <v>264850</v>
      </c>
      <c r="AU70" t="s">
        <v>264</v>
      </c>
      <c r="AV70" t="s">
        <v>270</v>
      </c>
      <c r="AX70">
        <v>22001137</v>
      </c>
      <c r="AY70">
        <v>630600</v>
      </c>
      <c r="AZ70">
        <v>1201.6306</v>
      </c>
      <c r="BA70" s="28" t="s">
        <v>19</v>
      </c>
    </row>
    <row r="71" spans="1:53">
      <c r="A71" t="s">
        <v>424</v>
      </c>
      <c r="B71" t="s">
        <v>425</v>
      </c>
      <c r="C71">
        <v>22010011</v>
      </c>
      <c r="D71">
        <v>1201</v>
      </c>
      <c r="E71" s="6">
        <v>44775</v>
      </c>
      <c r="F71" t="s">
        <v>451</v>
      </c>
      <c r="G71">
        <v>139.38</v>
      </c>
      <c r="H71">
        <v>139.38</v>
      </c>
      <c r="I71" t="s">
        <v>263</v>
      </c>
      <c r="J71" t="s">
        <v>263</v>
      </c>
      <c r="L71" s="29">
        <v>2000700</v>
      </c>
      <c r="N71" s="29">
        <v>2000700</v>
      </c>
      <c r="O71" t="s">
        <v>264</v>
      </c>
      <c r="Q71" t="s">
        <v>264</v>
      </c>
      <c r="R71" t="s">
        <v>265</v>
      </c>
      <c r="S71">
        <v>14357.01</v>
      </c>
      <c r="T71" t="s">
        <v>266</v>
      </c>
      <c r="U71" t="s">
        <v>267</v>
      </c>
      <c r="V71" t="s">
        <v>427</v>
      </c>
      <c r="W71" t="s">
        <v>428</v>
      </c>
      <c r="X71">
        <v>1930461</v>
      </c>
      <c r="Y71" s="6">
        <v>44784</v>
      </c>
      <c r="Z71" t="s">
        <v>264</v>
      </c>
      <c r="AA71">
        <v>1</v>
      </c>
      <c r="AB71" t="s">
        <v>264</v>
      </c>
      <c r="AD71" t="s">
        <v>264</v>
      </c>
      <c r="AE71" t="s">
        <v>264</v>
      </c>
      <c r="AF71" t="s">
        <v>264</v>
      </c>
      <c r="AG71">
        <v>741</v>
      </c>
      <c r="AH71" t="s">
        <v>264</v>
      </c>
      <c r="AI71">
        <v>57330810</v>
      </c>
      <c r="AJ71" t="s">
        <v>451</v>
      </c>
      <c r="AL71" t="s">
        <v>264</v>
      </c>
      <c r="AM71" s="6">
        <v>44775</v>
      </c>
      <c r="AN71" t="s">
        <v>452</v>
      </c>
      <c r="AO71" t="s">
        <v>268</v>
      </c>
      <c r="AP71">
        <v>1201</v>
      </c>
      <c r="AQ71" t="s">
        <v>269</v>
      </c>
      <c r="AR71">
        <v>264850</v>
      </c>
      <c r="AU71" t="s">
        <v>264</v>
      </c>
      <c r="AV71" t="s">
        <v>270</v>
      </c>
      <c r="AX71">
        <v>22001137</v>
      </c>
      <c r="AY71">
        <v>630600</v>
      </c>
      <c r="AZ71">
        <v>1201.6306</v>
      </c>
      <c r="BA71" s="28" t="s">
        <v>19</v>
      </c>
    </row>
    <row r="72" spans="1:53">
      <c r="A72" t="s">
        <v>424</v>
      </c>
      <c r="B72" t="s">
        <v>425</v>
      </c>
      <c r="C72">
        <v>22010013</v>
      </c>
      <c r="D72">
        <v>1201</v>
      </c>
      <c r="E72" s="6">
        <v>44775</v>
      </c>
      <c r="F72" t="s">
        <v>451</v>
      </c>
      <c r="G72">
        <v>156.69</v>
      </c>
      <c r="H72">
        <v>156.69</v>
      </c>
      <c r="I72" t="s">
        <v>263</v>
      </c>
      <c r="J72" t="s">
        <v>263</v>
      </c>
      <c r="L72" s="29">
        <v>2249100</v>
      </c>
      <c r="N72" s="29">
        <v>2249100</v>
      </c>
      <c r="O72" t="s">
        <v>264</v>
      </c>
      <c r="Q72" t="s">
        <v>264</v>
      </c>
      <c r="R72" t="s">
        <v>265</v>
      </c>
      <c r="S72">
        <v>14357.01</v>
      </c>
      <c r="T72" t="s">
        <v>266</v>
      </c>
      <c r="U72" t="s">
        <v>267</v>
      </c>
      <c r="V72" t="s">
        <v>427</v>
      </c>
      <c r="W72" t="s">
        <v>428</v>
      </c>
      <c r="X72">
        <v>1930461</v>
      </c>
      <c r="Y72" s="6">
        <v>44784</v>
      </c>
      <c r="Z72" t="s">
        <v>264</v>
      </c>
      <c r="AA72">
        <v>1</v>
      </c>
      <c r="AB72" t="s">
        <v>264</v>
      </c>
      <c r="AD72" t="s">
        <v>264</v>
      </c>
      <c r="AE72" t="s">
        <v>264</v>
      </c>
      <c r="AF72" t="s">
        <v>264</v>
      </c>
      <c r="AG72">
        <v>833</v>
      </c>
      <c r="AH72" t="s">
        <v>264</v>
      </c>
      <c r="AI72">
        <v>57330810</v>
      </c>
      <c r="AJ72" t="s">
        <v>451</v>
      </c>
      <c r="AL72" t="s">
        <v>264</v>
      </c>
      <c r="AM72" s="6">
        <v>44775</v>
      </c>
      <c r="AN72" t="s">
        <v>452</v>
      </c>
      <c r="AO72" t="s">
        <v>268</v>
      </c>
      <c r="AP72">
        <v>1201</v>
      </c>
      <c r="AQ72" t="s">
        <v>269</v>
      </c>
      <c r="AR72">
        <v>264850</v>
      </c>
      <c r="AU72" t="s">
        <v>264</v>
      </c>
      <c r="AV72" t="s">
        <v>270</v>
      </c>
      <c r="AX72">
        <v>22001137</v>
      </c>
      <c r="AY72">
        <v>630600</v>
      </c>
      <c r="AZ72">
        <v>1201.6306</v>
      </c>
      <c r="BA72" s="28" t="s">
        <v>19</v>
      </c>
    </row>
    <row r="73" spans="1:53">
      <c r="A73" t="s">
        <v>424</v>
      </c>
      <c r="B73" t="s">
        <v>425</v>
      </c>
      <c r="C73">
        <v>22010014</v>
      </c>
      <c r="D73">
        <v>1201</v>
      </c>
      <c r="E73" s="6">
        <v>44775</v>
      </c>
      <c r="F73" t="s">
        <v>451</v>
      </c>
      <c r="G73">
        <v>144.27000000000001</v>
      </c>
      <c r="H73">
        <v>144.27000000000001</v>
      </c>
      <c r="I73" t="s">
        <v>263</v>
      </c>
      <c r="J73" t="s">
        <v>263</v>
      </c>
      <c r="L73" s="29">
        <v>2070900</v>
      </c>
      <c r="N73" s="29">
        <v>2070900</v>
      </c>
      <c r="O73" t="s">
        <v>264</v>
      </c>
      <c r="Q73" t="s">
        <v>264</v>
      </c>
      <c r="R73" t="s">
        <v>265</v>
      </c>
      <c r="S73">
        <v>14357.01</v>
      </c>
      <c r="T73" t="s">
        <v>266</v>
      </c>
      <c r="U73" t="s">
        <v>267</v>
      </c>
      <c r="V73" t="s">
        <v>427</v>
      </c>
      <c r="W73" t="s">
        <v>428</v>
      </c>
      <c r="X73">
        <v>1930461</v>
      </c>
      <c r="Y73" s="6">
        <v>44784</v>
      </c>
      <c r="Z73" t="s">
        <v>264</v>
      </c>
      <c r="AA73">
        <v>1</v>
      </c>
      <c r="AB73" t="s">
        <v>264</v>
      </c>
      <c r="AD73" t="s">
        <v>264</v>
      </c>
      <c r="AE73" t="s">
        <v>264</v>
      </c>
      <c r="AF73" t="s">
        <v>264</v>
      </c>
      <c r="AG73">
        <v>767</v>
      </c>
      <c r="AH73" t="s">
        <v>264</v>
      </c>
      <c r="AI73">
        <v>57330810</v>
      </c>
      <c r="AJ73" t="s">
        <v>451</v>
      </c>
      <c r="AL73" t="s">
        <v>264</v>
      </c>
      <c r="AM73" s="6">
        <v>44775</v>
      </c>
      <c r="AN73" t="s">
        <v>452</v>
      </c>
      <c r="AO73" t="s">
        <v>268</v>
      </c>
      <c r="AP73">
        <v>1201</v>
      </c>
      <c r="AQ73" t="s">
        <v>269</v>
      </c>
      <c r="AR73">
        <v>264850</v>
      </c>
      <c r="AU73" t="s">
        <v>264</v>
      </c>
      <c r="AV73" t="s">
        <v>270</v>
      </c>
      <c r="AX73">
        <v>22001137</v>
      </c>
      <c r="AY73">
        <v>630600</v>
      </c>
      <c r="AZ73">
        <v>1201.6306</v>
      </c>
      <c r="BA73" s="28" t="s">
        <v>19</v>
      </c>
    </row>
    <row r="74" spans="1:53">
      <c r="A74" t="s">
        <v>424</v>
      </c>
      <c r="B74" t="s">
        <v>425</v>
      </c>
      <c r="C74">
        <v>22010015</v>
      </c>
      <c r="D74">
        <v>1201</v>
      </c>
      <c r="E74" s="6">
        <v>44775</v>
      </c>
      <c r="F74" t="s">
        <v>451</v>
      </c>
      <c r="G74">
        <v>122.08</v>
      </c>
      <c r="H74">
        <v>122.08</v>
      </c>
      <c r="I74" t="s">
        <v>263</v>
      </c>
      <c r="J74" t="s">
        <v>263</v>
      </c>
      <c r="L74" s="29">
        <v>1752300</v>
      </c>
      <c r="N74" s="29">
        <v>1752300</v>
      </c>
      <c r="O74" t="s">
        <v>264</v>
      </c>
      <c r="Q74" t="s">
        <v>264</v>
      </c>
      <c r="R74" t="s">
        <v>265</v>
      </c>
      <c r="S74">
        <v>14357.01</v>
      </c>
      <c r="T74" t="s">
        <v>266</v>
      </c>
      <c r="U74" t="s">
        <v>267</v>
      </c>
      <c r="V74" t="s">
        <v>427</v>
      </c>
      <c r="W74" t="s">
        <v>428</v>
      </c>
      <c r="X74">
        <v>1930461</v>
      </c>
      <c r="Y74" s="6">
        <v>44784</v>
      </c>
      <c r="Z74" t="s">
        <v>264</v>
      </c>
      <c r="AA74">
        <v>1</v>
      </c>
      <c r="AB74" t="s">
        <v>264</v>
      </c>
      <c r="AD74" t="s">
        <v>264</v>
      </c>
      <c r="AE74" t="s">
        <v>264</v>
      </c>
      <c r="AF74" t="s">
        <v>264</v>
      </c>
      <c r="AG74">
        <v>649</v>
      </c>
      <c r="AH74" t="s">
        <v>264</v>
      </c>
      <c r="AI74">
        <v>57330810</v>
      </c>
      <c r="AJ74" t="s">
        <v>451</v>
      </c>
      <c r="AL74" t="s">
        <v>264</v>
      </c>
      <c r="AM74" s="6">
        <v>44775</v>
      </c>
      <c r="AN74" t="s">
        <v>452</v>
      </c>
      <c r="AO74" t="s">
        <v>268</v>
      </c>
      <c r="AP74">
        <v>1201</v>
      </c>
      <c r="AQ74" t="s">
        <v>269</v>
      </c>
      <c r="AR74">
        <v>264850</v>
      </c>
      <c r="AU74" t="s">
        <v>264</v>
      </c>
      <c r="AV74" t="s">
        <v>270</v>
      </c>
      <c r="AX74">
        <v>22001137</v>
      </c>
      <c r="AY74">
        <v>630600</v>
      </c>
      <c r="AZ74">
        <v>1201.6306</v>
      </c>
      <c r="BA74" s="28" t="s">
        <v>19</v>
      </c>
    </row>
    <row r="75" spans="1:53">
      <c r="A75" t="s">
        <v>424</v>
      </c>
      <c r="B75" t="s">
        <v>425</v>
      </c>
      <c r="C75">
        <v>22010019</v>
      </c>
      <c r="D75">
        <v>1201</v>
      </c>
      <c r="E75" s="6">
        <v>44775</v>
      </c>
      <c r="F75" t="s">
        <v>451</v>
      </c>
      <c r="G75">
        <v>144.65</v>
      </c>
      <c r="H75">
        <v>144.65</v>
      </c>
      <c r="I75" t="s">
        <v>263</v>
      </c>
      <c r="J75" t="s">
        <v>263</v>
      </c>
      <c r="L75" s="29">
        <v>2076300</v>
      </c>
      <c r="N75" s="29">
        <v>2076300</v>
      </c>
      <c r="O75" t="s">
        <v>264</v>
      </c>
      <c r="Q75" t="s">
        <v>264</v>
      </c>
      <c r="R75" t="s">
        <v>265</v>
      </c>
      <c r="S75">
        <v>14357.01</v>
      </c>
      <c r="T75" t="s">
        <v>266</v>
      </c>
      <c r="U75" t="s">
        <v>267</v>
      </c>
      <c r="V75" t="s">
        <v>427</v>
      </c>
      <c r="W75" t="s">
        <v>428</v>
      </c>
      <c r="X75">
        <v>1930461</v>
      </c>
      <c r="Y75" s="6">
        <v>44784</v>
      </c>
      <c r="Z75" t="s">
        <v>264</v>
      </c>
      <c r="AA75">
        <v>1</v>
      </c>
      <c r="AB75" t="s">
        <v>264</v>
      </c>
      <c r="AD75" t="s">
        <v>264</v>
      </c>
      <c r="AE75" t="s">
        <v>264</v>
      </c>
      <c r="AF75" t="s">
        <v>264</v>
      </c>
      <c r="AG75">
        <v>769</v>
      </c>
      <c r="AH75" t="s">
        <v>264</v>
      </c>
      <c r="AI75">
        <v>57330810</v>
      </c>
      <c r="AJ75" t="s">
        <v>451</v>
      </c>
      <c r="AL75" t="s">
        <v>264</v>
      </c>
      <c r="AM75" s="6">
        <v>44775</v>
      </c>
      <c r="AN75" t="s">
        <v>452</v>
      </c>
      <c r="AO75" t="s">
        <v>268</v>
      </c>
      <c r="AP75">
        <v>1201</v>
      </c>
      <c r="AQ75" t="s">
        <v>269</v>
      </c>
      <c r="AR75">
        <v>264850</v>
      </c>
      <c r="AU75" t="s">
        <v>264</v>
      </c>
      <c r="AV75" t="s">
        <v>270</v>
      </c>
      <c r="AX75">
        <v>22001137</v>
      </c>
      <c r="AY75">
        <v>630600</v>
      </c>
      <c r="AZ75">
        <v>1201.6306</v>
      </c>
      <c r="BA75" s="28" t="s">
        <v>19</v>
      </c>
    </row>
    <row r="76" spans="1:53">
      <c r="A76" t="s">
        <v>424</v>
      </c>
      <c r="B76" t="s">
        <v>425</v>
      </c>
      <c r="C76">
        <v>22010020</v>
      </c>
      <c r="D76">
        <v>1201</v>
      </c>
      <c r="E76" s="6">
        <v>44775</v>
      </c>
      <c r="F76" t="s">
        <v>451</v>
      </c>
      <c r="G76">
        <v>149.16</v>
      </c>
      <c r="H76">
        <v>149.16</v>
      </c>
      <c r="I76" t="s">
        <v>263</v>
      </c>
      <c r="J76" t="s">
        <v>263</v>
      </c>
      <c r="L76" s="29">
        <v>2141100</v>
      </c>
      <c r="N76" s="29">
        <v>2141100</v>
      </c>
      <c r="O76" t="s">
        <v>264</v>
      </c>
      <c r="Q76" t="s">
        <v>264</v>
      </c>
      <c r="R76" t="s">
        <v>265</v>
      </c>
      <c r="S76">
        <v>14357.01</v>
      </c>
      <c r="T76" t="s">
        <v>266</v>
      </c>
      <c r="U76" t="s">
        <v>267</v>
      </c>
      <c r="V76" t="s">
        <v>427</v>
      </c>
      <c r="W76" t="s">
        <v>428</v>
      </c>
      <c r="X76">
        <v>1930461</v>
      </c>
      <c r="Y76" s="6">
        <v>44784</v>
      </c>
      <c r="Z76" t="s">
        <v>264</v>
      </c>
      <c r="AA76">
        <v>1</v>
      </c>
      <c r="AB76" t="s">
        <v>264</v>
      </c>
      <c r="AD76" t="s">
        <v>264</v>
      </c>
      <c r="AE76" t="s">
        <v>264</v>
      </c>
      <c r="AF76" t="s">
        <v>264</v>
      </c>
      <c r="AG76">
        <v>793</v>
      </c>
      <c r="AH76" t="s">
        <v>264</v>
      </c>
      <c r="AI76">
        <v>57330810</v>
      </c>
      <c r="AJ76" t="s">
        <v>451</v>
      </c>
      <c r="AL76" t="s">
        <v>264</v>
      </c>
      <c r="AM76" s="6">
        <v>44775</v>
      </c>
      <c r="AN76" t="s">
        <v>452</v>
      </c>
      <c r="AO76" t="s">
        <v>268</v>
      </c>
      <c r="AP76">
        <v>1201</v>
      </c>
      <c r="AQ76" t="s">
        <v>269</v>
      </c>
      <c r="AR76">
        <v>264850</v>
      </c>
      <c r="AU76" t="s">
        <v>264</v>
      </c>
      <c r="AV76" t="s">
        <v>270</v>
      </c>
      <c r="AX76">
        <v>22001137</v>
      </c>
      <c r="AY76">
        <v>630600</v>
      </c>
      <c r="AZ76">
        <v>1201.6306</v>
      </c>
      <c r="BA76" s="28" t="s">
        <v>19</v>
      </c>
    </row>
    <row r="77" spans="1:53">
      <c r="A77" t="s">
        <v>424</v>
      </c>
      <c r="B77" t="s">
        <v>425</v>
      </c>
      <c r="C77">
        <v>22010022</v>
      </c>
      <c r="D77">
        <v>1201</v>
      </c>
      <c r="E77" s="6">
        <v>44775</v>
      </c>
      <c r="F77" t="s">
        <v>451</v>
      </c>
      <c r="G77">
        <v>155.37</v>
      </c>
      <c r="H77">
        <v>155.37</v>
      </c>
      <c r="I77" t="s">
        <v>263</v>
      </c>
      <c r="J77" t="s">
        <v>263</v>
      </c>
      <c r="L77" s="29">
        <v>2230200</v>
      </c>
      <c r="N77" s="29">
        <v>2230200</v>
      </c>
      <c r="O77" t="s">
        <v>264</v>
      </c>
      <c r="Q77" t="s">
        <v>264</v>
      </c>
      <c r="R77" t="s">
        <v>265</v>
      </c>
      <c r="S77">
        <v>14357.01</v>
      </c>
      <c r="T77" t="s">
        <v>266</v>
      </c>
      <c r="U77" t="s">
        <v>267</v>
      </c>
      <c r="V77" t="s">
        <v>427</v>
      </c>
      <c r="W77" t="s">
        <v>428</v>
      </c>
      <c r="X77">
        <v>1930461</v>
      </c>
      <c r="Y77" s="6">
        <v>44784</v>
      </c>
      <c r="Z77" t="s">
        <v>264</v>
      </c>
      <c r="AA77">
        <v>1</v>
      </c>
      <c r="AB77" t="s">
        <v>264</v>
      </c>
      <c r="AD77" t="s">
        <v>264</v>
      </c>
      <c r="AE77" t="s">
        <v>264</v>
      </c>
      <c r="AF77" t="s">
        <v>264</v>
      </c>
      <c r="AG77">
        <v>826</v>
      </c>
      <c r="AH77" t="s">
        <v>264</v>
      </c>
      <c r="AI77">
        <v>57330810</v>
      </c>
      <c r="AJ77" t="s">
        <v>451</v>
      </c>
      <c r="AL77" t="s">
        <v>264</v>
      </c>
      <c r="AM77" s="6">
        <v>44775</v>
      </c>
      <c r="AN77" t="s">
        <v>452</v>
      </c>
      <c r="AO77" t="s">
        <v>268</v>
      </c>
      <c r="AP77">
        <v>1201</v>
      </c>
      <c r="AQ77" t="s">
        <v>269</v>
      </c>
      <c r="AR77">
        <v>264850</v>
      </c>
      <c r="AU77" t="s">
        <v>264</v>
      </c>
      <c r="AV77" t="s">
        <v>270</v>
      </c>
      <c r="AX77">
        <v>22001137</v>
      </c>
      <c r="AY77">
        <v>630600</v>
      </c>
      <c r="AZ77">
        <v>1201.6306</v>
      </c>
      <c r="BA77" s="28" t="s">
        <v>19</v>
      </c>
    </row>
    <row r="78" spans="1:53">
      <c r="A78" t="s">
        <v>424</v>
      </c>
      <c r="B78" t="s">
        <v>425</v>
      </c>
      <c r="C78">
        <v>22010023</v>
      </c>
      <c r="D78">
        <v>1201</v>
      </c>
      <c r="E78" s="6">
        <v>44775</v>
      </c>
      <c r="F78" t="s">
        <v>451</v>
      </c>
      <c r="G78">
        <v>118.31</v>
      </c>
      <c r="H78">
        <v>118.31</v>
      </c>
      <c r="I78" t="s">
        <v>263</v>
      </c>
      <c r="J78" t="s">
        <v>263</v>
      </c>
      <c r="L78" s="29">
        <v>1698300</v>
      </c>
      <c r="N78" s="29">
        <v>1698300</v>
      </c>
      <c r="O78" t="s">
        <v>264</v>
      </c>
      <c r="Q78" t="s">
        <v>264</v>
      </c>
      <c r="R78" t="s">
        <v>265</v>
      </c>
      <c r="S78">
        <v>14357.01</v>
      </c>
      <c r="T78" t="s">
        <v>266</v>
      </c>
      <c r="U78" t="s">
        <v>267</v>
      </c>
      <c r="V78" t="s">
        <v>427</v>
      </c>
      <c r="W78" t="s">
        <v>428</v>
      </c>
      <c r="X78">
        <v>1930461</v>
      </c>
      <c r="Y78" s="6">
        <v>44784</v>
      </c>
      <c r="Z78" t="s">
        <v>264</v>
      </c>
      <c r="AA78">
        <v>1</v>
      </c>
      <c r="AB78" t="s">
        <v>264</v>
      </c>
      <c r="AD78" t="s">
        <v>264</v>
      </c>
      <c r="AE78" t="s">
        <v>264</v>
      </c>
      <c r="AF78" t="s">
        <v>264</v>
      </c>
      <c r="AG78">
        <v>629</v>
      </c>
      <c r="AH78" t="s">
        <v>264</v>
      </c>
      <c r="AI78">
        <v>57330810</v>
      </c>
      <c r="AJ78" t="s">
        <v>451</v>
      </c>
      <c r="AL78" t="s">
        <v>264</v>
      </c>
      <c r="AM78" s="6">
        <v>44775</v>
      </c>
      <c r="AN78" t="s">
        <v>452</v>
      </c>
      <c r="AO78" t="s">
        <v>268</v>
      </c>
      <c r="AP78">
        <v>1201</v>
      </c>
      <c r="AQ78" t="s">
        <v>269</v>
      </c>
      <c r="AR78">
        <v>264850</v>
      </c>
      <c r="AU78" t="s">
        <v>264</v>
      </c>
      <c r="AV78" t="s">
        <v>270</v>
      </c>
      <c r="AX78">
        <v>22001137</v>
      </c>
      <c r="AY78">
        <v>630600</v>
      </c>
      <c r="AZ78">
        <v>1201.6306</v>
      </c>
      <c r="BA78" s="28" t="s">
        <v>19</v>
      </c>
    </row>
    <row r="79" spans="1:53">
      <c r="A79" t="s">
        <v>424</v>
      </c>
      <c r="B79" t="s">
        <v>425</v>
      </c>
      <c r="C79">
        <v>22010024</v>
      </c>
      <c r="D79">
        <v>1201</v>
      </c>
      <c r="E79" s="6">
        <v>44775</v>
      </c>
      <c r="F79" t="s">
        <v>451</v>
      </c>
      <c r="G79">
        <v>58.69</v>
      </c>
      <c r="H79">
        <v>58.69</v>
      </c>
      <c r="I79" t="s">
        <v>263</v>
      </c>
      <c r="J79" t="s">
        <v>263</v>
      </c>
      <c r="L79" s="29">
        <v>842400</v>
      </c>
      <c r="N79" s="29">
        <v>842400</v>
      </c>
      <c r="O79" t="s">
        <v>264</v>
      </c>
      <c r="Q79" t="s">
        <v>264</v>
      </c>
      <c r="R79" t="s">
        <v>265</v>
      </c>
      <c r="S79">
        <v>14357.01</v>
      </c>
      <c r="T79" t="s">
        <v>266</v>
      </c>
      <c r="U79" t="s">
        <v>267</v>
      </c>
      <c r="V79" t="s">
        <v>427</v>
      </c>
      <c r="W79" t="s">
        <v>428</v>
      </c>
      <c r="X79">
        <v>1930461</v>
      </c>
      <c r="Y79" s="6">
        <v>44784</v>
      </c>
      <c r="Z79" t="s">
        <v>264</v>
      </c>
      <c r="AA79">
        <v>1</v>
      </c>
      <c r="AB79" t="s">
        <v>264</v>
      </c>
      <c r="AD79" t="s">
        <v>264</v>
      </c>
      <c r="AE79" t="s">
        <v>264</v>
      </c>
      <c r="AF79" t="s">
        <v>264</v>
      </c>
      <c r="AG79">
        <v>312</v>
      </c>
      <c r="AH79" t="s">
        <v>264</v>
      </c>
      <c r="AI79">
        <v>57330810</v>
      </c>
      <c r="AJ79" t="s">
        <v>451</v>
      </c>
      <c r="AL79" t="s">
        <v>264</v>
      </c>
      <c r="AM79" s="6">
        <v>44775</v>
      </c>
      <c r="AN79" t="s">
        <v>452</v>
      </c>
      <c r="AO79" t="s">
        <v>268</v>
      </c>
      <c r="AP79">
        <v>1201</v>
      </c>
      <c r="AQ79" t="s">
        <v>269</v>
      </c>
      <c r="AR79">
        <v>264850</v>
      </c>
      <c r="AU79" t="s">
        <v>264</v>
      </c>
      <c r="AV79" t="s">
        <v>270</v>
      </c>
      <c r="AX79">
        <v>22001137</v>
      </c>
      <c r="AY79">
        <v>630600</v>
      </c>
      <c r="AZ79">
        <v>1201.6306</v>
      </c>
      <c r="BA79" s="28" t="s">
        <v>19</v>
      </c>
    </row>
    <row r="80" spans="1:53">
      <c r="A80" t="s">
        <v>424</v>
      </c>
      <c r="B80" t="s">
        <v>425</v>
      </c>
      <c r="C80">
        <v>22010025</v>
      </c>
      <c r="D80">
        <v>1201</v>
      </c>
      <c r="E80" s="6">
        <v>44775</v>
      </c>
      <c r="F80" t="s">
        <v>451</v>
      </c>
      <c r="G80">
        <v>164.78</v>
      </c>
      <c r="H80">
        <v>164.78</v>
      </c>
      <c r="I80" t="s">
        <v>263</v>
      </c>
      <c r="J80" t="s">
        <v>263</v>
      </c>
      <c r="L80" s="29">
        <v>2365200</v>
      </c>
      <c r="N80" s="29">
        <v>2365200</v>
      </c>
      <c r="O80" t="s">
        <v>264</v>
      </c>
      <c r="Q80" t="s">
        <v>264</v>
      </c>
      <c r="R80" t="s">
        <v>265</v>
      </c>
      <c r="S80">
        <v>14357.01</v>
      </c>
      <c r="T80" t="s">
        <v>266</v>
      </c>
      <c r="U80" t="s">
        <v>267</v>
      </c>
      <c r="V80" t="s">
        <v>427</v>
      </c>
      <c r="W80" t="s">
        <v>428</v>
      </c>
      <c r="X80">
        <v>1930461</v>
      </c>
      <c r="Y80" s="6">
        <v>44784</v>
      </c>
      <c r="Z80" t="s">
        <v>264</v>
      </c>
      <c r="AA80">
        <v>1</v>
      </c>
      <c r="AB80" t="s">
        <v>264</v>
      </c>
      <c r="AD80" t="s">
        <v>264</v>
      </c>
      <c r="AE80" t="s">
        <v>264</v>
      </c>
      <c r="AF80" t="s">
        <v>264</v>
      </c>
      <c r="AG80">
        <v>876</v>
      </c>
      <c r="AH80" t="s">
        <v>264</v>
      </c>
      <c r="AI80">
        <v>57330810</v>
      </c>
      <c r="AJ80" t="s">
        <v>451</v>
      </c>
      <c r="AL80" t="s">
        <v>264</v>
      </c>
      <c r="AM80" s="6">
        <v>44775</v>
      </c>
      <c r="AN80" t="s">
        <v>452</v>
      </c>
      <c r="AO80" t="s">
        <v>268</v>
      </c>
      <c r="AP80">
        <v>1201</v>
      </c>
      <c r="AQ80" t="s">
        <v>269</v>
      </c>
      <c r="AR80">
        <v>264850</v>
      </c>
      <c r="AU80" t="s">
        <v>264</v>
      </c>
      <c r="AV80" t="s">
        <v>270</v>
      </c>
      <c r="AX80">
        <v>22001137</v>
      </c>
      <c r="AY80">
        <v>630600</v>
      </c>
      <c r="AZ80">
        <v>1201.6306</v>
      </c>
      <c r="BA80" s="28" t="s">
        <v>19</v>
      </c>
    </row>
    <row r="81" spans="1:53">
      <c r="A81" t="s">
        <v>424</v>
      </c>
      <c r="B81" t="s">
        <v>425</v>
      </c>
      <c r="C81">
        <v>22010027</v>
      </c>
      <c r="D81">
        <v>1201</v>
      </c>
      <c r="E81" s="6">
        <v>44775</v>
      </c>
      <c r="F81" t="s">
        <v>451</v>
      </c>
      <c r="G81">
        <v>301.70999999999998</v>
      </c>
      <c r="H81">
        <v>301.70999999999998</v>
      </c>
      <c r="I81" t="s">
        <v>263</v>
      </c>
      <c r="J81" t="s">
        <v>263</v>
      </c>
      <c r="L81" s="29">
        <v>4330800</v>
      </c>
      <c r="N81" s="29">
        <v>4330800</v>
      </c>
      <c r="O81" t="s">
        <v>264</v>
      </c>
      <c r="Q81" t="s">
        <v>264</v>
      </c>
      <c r="R81" t="s">
        <v>265</v>
      </c>
      <c r="S81">
        <v>14357.01</v>
      </c>
      <c r="T81" t="s">
        <v>266</v>
      </c>
      <c r="U81" t="s">
        <v>267</v>
      </c>
      <c r="V81" t="s">
        <v>427</v>
      </c>
      <c r="W81" t="s">
        <v>428</v>
      </c>
      <c r="X81">
        <v>1930461</v>
      </c>
      <c r="Y81" s="6">
        <v>44784</v>
      </c>
      <c r="Z81" t="s">
        <v>264</v>
      </c>
      <c r="AA81">
        <v>1</v>
      </c>
      <c r="AB81" t="s">
        <v>264</v>
      </c>
      <c r="AD81" t="s">
        <v>264</v>
      </c>
      <c r="AE81" t="s">
        <v>264</v>
      </c>
      <c r="AF81" t="s">
        <v>264</v>
      </c>
      <c r="AG81" s="29">
        <v>1604</v>
      </c>
      <c r="AH81" t="s">
        <v>264</v>
      </c>
      <c r="AI81">
        <v>57330810</v>
      </c>
      <c r="AJ81" t="s">
        <v>451</v>
      </c>
      <c r="AL81" t="s">
        <v>264</v>
      </c>
      <c r="AM81" s="6">
        <v>44775</v>
      </c>
      <c r="AN81" t="s">
        <v>452</v>
      </c>
      <c r="AO81" t="s">
        <v>268</v>
      </c>
      <c r="AP81">
        <v>1201</v>
      </c>
      <c r="AQ81" t="s">
        <v>269</v>
      </c>
      <c r="AR81">
        <v>264850</v>
      </c>
      <c r="AU81" t="s">
        <v>264</v>
      </c>
      <c r="AV81" t="s">
        <v>270</v>
      </c>
      <c r="AX81">
        <v>22001137</v>
      </c>
      <c r="AY81">
        <v>630600</v>
      </c>
      <c r="AZ81">
        <v>1201.6306</v>
      </c>
      <c r="BA81" s="28" t="s">
        <v>19</v>
      </c>
    </row>
    <row r="82" spans="1:53">
      <c r="A82" t="s">
        <v>424</v>
      </c>
      <c r="B82" t="s">
        <v>425</v>
      </c>
      <c r="C82">
        <v>22010028</v>
      </c>
      <c r="D82">
        <v>1201</v>
      </c>
      <c r="E82" s="6">
        <v>44775</v>
      </c>
      <c r="F82" t="s">
        <v>451</v>
      </c>
      <c r="G82">
        <v>325.04000000000002</v>
      </c>
      <c r="H82">
        <v>325.04000000000002</v>
      </c>
      <c r="I82" t="s">
        <v>263</v>
      </c>
      <c r="J82" t="s">
        <v>263</v>
      </c>
      <c r="L82" s="29">
        <v>4665600</v>
      </c>
      <c r="N82" s="29">
        <v>4665600</v>
      </c>
      <c r="O82" t="s">
        <v>264</v>
      </c>
      <c r="Q82" t="s">
        <v>264</v>
      </c>
      <c r="R82" t="s">
        <v>265</v>
      </c>
      <c r="S82">
        <v>14357.01</v>
      </c>
      <c r="T82" t="s">
        <v>266</v>
      </c>
      <c r="U82" t="s">
        <v>267</v>
      </c>
      <c r="V82" t="s">
        <v>427</v>
      </c>
      <c r="W82" t="s">
        <v>428</v>
      </c>
      <c r="X82">
        <v>1930461</v>
      </c>
      <c r="Y82" s="6">
        <v>44784</v>
      </c>
      <c r="Z82" t="s">
        <v>264</v>
      </c>
      <c r="AA82">
        <v>1</v>
      </c>
      <c r="AB82" t="s">
        <v>264</v>
      </c>
      <c r="AD82" t="s">
        <v>264</v>
      </c>
      <c r="AE82" t="s">
        <v>264</v>
      </c>
      <c r="AF82" t="s">
        <v>264</v>
      </c>
      <c r="AG82" s="29">
        <v>1728</v>
      </c>
      <c r="AH82" t="s">
        <v>264</v>
      </c>
      <c r="AI82">
        <v>57330810</v>
      </c>
      <c r="AJ82" t="s">
        <v>451</v>
      </c>
      <c r="AL82" t="s">
        <v>264</v>
      </c>
      <c r="AM82" s="6">
        <v>44775</v>
      </c>
      <c r="AN82" t="s">
        <v>452</v>
      </c>
      <c r="AO82" t="s">
        <v>268</v>
      </c>
      <c r="AP82">
        <v>1201</v>
      </c>
      <c r="AQ82" t="s">
        <v>269</v>
      </c>
      <c r="AR82">
        <v>264850</v>
      </c>
      <c r="AU82" t="s">
        <v>264</v>
      </c>
      <c r="AV82" t="s">
        <v>270</v>
      </c>
      <c r="AX82">
        <v>22001137</v>
      </c>
      <c r="AY82">
        <v>630600</v>
      </c>
      <c r="AZ82">
        <v>1201.6306</v>
      </c>
      <c r="BA82" s="28" t="s">
        <v>19</v>
      </c>
    </row>
    <row r="83" spans="1:53">
      <c r="A83" t="s">
        <v>424</v>
      </c>
      <c r="B83" t="s">
        <v>425</v>
      </c>
      <c r="C83">
        <v>22010029</v>
      </c>
      <c r="D83">
        <v>1201</v>
      </c>
      <c r="E83" s="6">
        <v>44775</v>
      </c>
      <c r="F83" t="s">
        <v>451</v>
      </c>
      <c r="G83">
        <v>25.39</v>
      </c>
      <c r="H83">
        <v>25.39</v>
      </c>
      <c r="I83" t="s">
        <v>263</v>
      </c>
      <c r="J83" t="s">
        <v>263</v>
      </c>
      <c r="L83" s="29">
        <v>364500</v>
      </c>
      <c r="N83" s="29">
        <v>364500</v>
      </c>
      <c r="O83" t="s">
        <v>264</v>
      </c>
      <c r="Q83" t="s">
        <v>264</v>
      </c>
      <c r="R83" t="s">
        <v>265</v>
      </c>
      <c r="S83">
        <v>14357.01</v>
      </c>
      <c r="T83" t="s">
        <v>266</v>
      </c>
      <c r="U83" t="s">
        <v>267</v>
      </c>
      <c r="V83" t="s">
        <v>427</v>
      </c>
      <c r="W83" t="s">
        <v>428</v>
      </c>
      <c r="X83">
        <v>1930461</v>
      </c>
      <c r="Y83" s="6">
        <v>44784</v>
      </c>
      <c r="Z83" t="s">
        <v>264</v>
      </c>
      <c r="AA83">
        <v>1</v>
      </c>
      <c r="AB83" t="s">
        <v>264</v>
      </c>
      <c r="AD83" t="s">
        <v>264</v>
      </c>
      <c r="AE83" t="s">
        <v>264</v>
      </c>
      <c r="AF83" t="s">
        <v>264</v>
      </c>
      <c r="AG83">
        <v>135</v>
      </c>
      <c r="AH83" t="s">
        <v>264</v>
      </c>
      <c r="AI83">
        <v>57330810</v>
      </c>
      <c r="AJ83" t="s">
        <v>451</v>
      </c>
      <c r="AL83" t="s">
        <v>264</v>
      </c>
      <c r="AM83" s="6">
        <v>44775</v>
      </c>
      <c r="AN83" t="s">
        <v>452</v>
      </c>
      <c r="AO83" t="s">
        <v>268</v>
      </c>
      <c r="AP83">
        <v>1201</v>
      </c>
      <c r="AQ83" t="s">
        <v>269</v>
      </c>
      <c r="AR83">
        <v>264850</v>
      </c>
      <c r="AU83" t="s">
        <v>264</v>
      </c>
      <c r="AV83" t="s">
        <v>270</v>
      </c>
      <c r="AX83">
        <v>22001137</v>
      </c>
      <c r="AY83">
        <v>630600</v>
      </c>
      <c r="AZ83">
        <v>1201.6306</v>
      </c>
      <c r="BA83" s="28" t="s">
        <v>19</v>
      </c>
    </row>
    <row r="84" spans="1:53">
      <c r="A84" t="s">
        <v>424</v>
      </c>
      <c r="B84" t="s">
        <v>425</v>
      </c>
      <c r="C84">
        <v>22010031</v>
      </c>
      <c r="D84">
        <v>1201</v>
      </c>
      <c r="E84" s="6">
        <v>44775</v>
      </c>
      <c r="F84" t="s">
        <v>451</v>
      </c>
      <c r="G84">
        <v>72.61</v>
      </c>
      <c r="H84">
        <v>72.61</v>
      </c>
      <c r="I84" t="s">
        <v>263</v>
      </c>
      <c r="J84" t="s">
        <v>263</v>
      </c>
      <c r="L84" s="29">
        <v>1042200</v>
      </c>
      <c r="N84" s="29">
        <v>1042200</v>
      </c>
      <c r="O84" t="s">
        <v>264</v>
      </c>
      <c r="Q84" t="s">
        <v>264</v>
      </c>
      <c r="R84" t="s">
        <v>265</v>
      </c>
      <c r="S84">
        <v>14357.01</v>
      </c>
      <c r="T84" t="s">
        <v>266</v>
      </c>
      <c r="U84" t="s">
        <v>267</v>
      </c>
      <c r="V84" t="s">
        <v>427</v>
      </c>
      <c r="W84" t="s">
        <v>428</v>
      </c>
      <c r="X84">
        <v>1930461</v>
      </c>
      <c r="Y84" s="6">
        <v>44784</v>
      </c>
      <c r="Z84" t="s">
        <v>264</v>
      </c>
      <c r="AA84">
        <v>1</v>
      </c>
      <c r="AB84" t="s">
        <v>264</v>
      </c>
      <c r="AD84" t="s">
        <v>264</v>
      </c>
      <c r="AE84" t="s">
        <v>264</v>
      </c>
      <c r="AF84" t="s">
        <v>264</v>
      </c>
      <c r="AG84">
        <v>386</v>
      </c>
      <c r="AH84" t="s">
        <v>264</v>
      </c>
      <c r="AI84">
        <v>57330810</v>
      </c>
      <c r="AJ84" t="s">
        <v>451</v>
      </c>
      <c r="AL84" t="s">
        <v>264</v>
      </c>
      <c r="AM84" s="6">
        <v>44775</v>
      </c>
      <c r="AN84" t="s">
        <v>452</v>
      </c>
      <c r="AO84" t="s">
        <v>268</v>
      </c>
      <c r="AP84">
        <v>1201</v>
      </c>
      <c r="AQ84" t="s">
        <v>269</v>
      </c>
      <c r="AR84">
        <v>264850</v>
      </c>
      <c r="AU84" t="s">
        <v>264</v>
      </c>
      <c r="AV84" t="s">
        <v>270</v>
      </c>
      <c r="AX84">
        <v>22001137</v>
      </c>
      <c r="AY84">
        <v>630600</v>
      </c>
      <c r="AZ84">
        <v>1201.6306</v>
      </c>
      <c r="BA84" s="28" t="s">
        <v>19</v>
      </c>
    </row>
    <row r="85" spans="1:53">
      <c r="A85" t="s">
        <v>453</v>
      </c>
      <c r="B85" t="s">
        <v>454</v>
      </c>
      <c r="C85">
        <v>22001095</v>
      </c>
      <c r="D85">
        <v>1201</v>
      </c>
      <c r="E85" s="6">
        <v>44775</v>
      </c>
      <c r="F85" t="s">
        <v>455</v>
      </c>
      <c r="G85">
        <v>-21.25</v>
      </c>
      <c r="I85" t="s">
        <v>263</v>
      </c>
      <c r="J85" t="s">
        <v>263</v>
      </c>
      <c r="K85">
        <v>-21.25</v>
      </c>
      <c r="M85" s="29">
        <v>-316271</v>
      </c>
      <c r="N85" s="29">
        <v>-316271</v>
      </c>
      <c r="O85" t="s">
        <v>264</v>
      </c>
      <c r="Q85" t="s">
        <v>264</v>
      </c>
      <c r="R85" t="s">
        <v>265</v>
      </c>
      <c r="S85">
        <v>14882</v>
      </c>
      <c r="T85" t="s">
        <v>266</v>
      </c>
      <c r="U85" t="s">
        <v>267</v>
      </c>
      <c r="V85" t="s">
        <v>273</v>
      </c>
      <c r="W85" t="s">
        <v>274</v>
      </c>
      <c r="X85">
        <v>1926313</v>
      </c>
      <c r="Y85" s="6">
        <v>44775</v>
      </c>
      <c r="Z85" t="s">
        <v>264</v>
      </c>
      <c r="AA85">
        <v>1</v>
      </c>
      <c r="AB85" t="s">
        <v>264</v>
      </c>
      <c r="AD85" t="s">
        <v>264</v>
      </c>
      <c r="AE85" t="s">
        <v>264</v>
      </c>
      <c r="AF85" t="s">
        <v>264</v>
      </c>
      <c r="AH85" t="s">
        <v>264</v>
      </c>
      <c r="AI85">
        <v>55537180</v>
      </c>
      <c r="AJ85" t="s">
        <v>455</v>
      </c>
      <c r="AL85" t="s">
        <v>456</v>
      </c>
      <c r="AM85" s="6">
        <v>44746</v>
      </c>
      <c r="AN85" t="s">
        <v>275</v>
      </c>
      <c r="AO85" t="s">
        <v>268</v>
      </c>
      <c r="AP85">
        <v>1201</v>
      </c>
      <c r="AQ85" t="s">
        <v>269</v>
      </c>
      <c r="AR85" t="s">
        <v>457</v>
      </c>
      <c r="AU85" t="s">
        <v>264</v>
      </c>
      <c r="AV85" t="s">
        <v>270</v>
      </c>
      <c r="AX85" t="s">
        <v>264</v>
      </c>
      <c r="AY85">
        <v>630600</v>
      </c>
      <c r="AZ85">
        <v>1201.6306</v>
      </c>
      <c r="BA85" s="28" t="s">
        <v>19</v>
      </c>
    </row>
    <row r="86" spans="1:53">
      <c r="A86" t="s">
        <v>271</v>
      </c>
      <c r="B86" t="s">
        <v>272</v>
      </c>
      <c r="C86">
        <v>22010689</v>
      </c>
      <c r="D86">
        <v>1201</v>
      </c>
      <c r="E86" s="6">
        <v>44775</v>
      </c>
      <c r="F86" t="s">
        <v>455</v>
      </c>
      <c r="G86">
        <v>-5.67</v>
      </c>
      <c r="I86" t="s">
        <v>263</v>
      </c>
      <c r="J86" t="s">
        <v>263</v>
      </c>
      <c r="K86">
        <v>-5.67</v>
      </c>
      <c r="M86">
        <v>-0.95</v>
      </c>
      <c r="N86">
        <v>-0.95</v>
      </c>
      <c r="O86" t="s">
        <v>264</v>
      </c>
      <c r="Q86" t="s">
        <v>264</v>
      </c>
      <c r="R86" t="s">
        <v>265</v>
      </c>
      <c r="S86">
        <v>14882</v>
      </c>
      <c r="T86" t="s">
        <v>266</v>
      </c>
      <c r="U86" t="s">
        <v>267</v>
      </c>
      <c r="V86" t="s">
        <v>273</v>
      </c>
      <c r="W86" t="s">
        <v>274</v>
      </c>
      <c r="X86">
        <v>1926307</v>
      </c>
      <c r="Y86" s="6">
        <v>44775</v>
      </c>
      <c r="Z86" t="s">
        <v>264</v>
      </c>
      <c r="AA86">
        <v>2</v>
      </c>
      <c r="AB86" t="s">
        <v>264</v>
      </c>
      <c r="AD86" t="s">
        <v>264</v>
      </c>
      <c r="AE86" t="s">
        <v>264</v>
      </c>
      <c r="AF86" t="s">
        <v>264</v>
      </c>
      <c r="AH86" t="s">
        <v>264</v>
      </c>
      <c r="AI86">
        <v>55537180</v>
      </c>
      <c r="AJ86" t="s">
        <v>455</v>
      </c>
      <c r="AL86" t="s">
        <v>456</v>
      </c>
      <c r="AM86" s="6">
        <v>44746</v>
      </c>
      <c r="AN86" t="s">
        <v>275</v>
      </c>
      <c r="AO86" t="s">
        <v>268</v>
      </c>
      <c r="AP86">
        <v>1201</v>
      </c>
      <c r="AQ86" t="s">
        <v>269</v>
      </c>
      <c r="AR86" t="s">
        <v>458</v>
      </c>
      <c r="AU86" t="s">
        <v>264</v>
      </c>
      <c r="AV86" t="s">
        <v>270</v>
      </c>
      <c r="AX86">
        <v>21001405</v>
      </c>
      <c r="AY86">
        <v>630600</v>
      </c>
      <c r="AZ86">
        <v>1201.6306</v>
      </c>
      <c r="BA86" s="28" t="s">
        <v>19</v>
      </c>
    </row>
    <row r="87" spans="1:53">
      <c r="A87" t="s">
        <v>271</v>
      </c>
      <c r="B87" t="s">
        <v>272</v>
      </c>
      <c r="C87">
        <v>22010690</v>
      </c>
      <c r="D87">
        <v>1201</v>
      </c>
      <c r="E87" s="6">
        <v>44775</v>
      </c>
      <c r="F87" t="s">
        <v>455</v>
      </c>
      <c r="G87">
        <v>21.25</v>
      </c>
      <c r="H87">
        <v>21.25</v>
      </c>
      <c r="I87" t="s">
        <v>263</v>
      </c>
      <c r="J87" t="s">
        <v>263</v>
      </c>
      <c r="L87" s="29">
        <v>316271</v>
      </c>
      <c r="N87" s="29">
        <v>316271</v>
      </c>
      <c r="O87" t="s">
        <v>264</v>
      </c>
      <c r="Q87" t="s">
        <v>264</v>
      </c>
      <c r="R87" t="s">
        <v>265</v>
      </c>
      <c r="S87">
        <v>14882</v>
      </c>
      <c r="T87" t="s">
        <v>266</v>
      </c>
      <c r="U87" t="s">
        <v>267</v>
      </c>
      <c r="V87" t="s">
        <v>273</v>
      </c>
      <c r="W87" t="s">
        <v>274</v>
      </c>
      <c r="X87">
        <v>1926314</v>
      </c>
      <c r="Y87" s="6">
        <v>44775</v>
      </c>
      <c r="Z87" t="s">
        <v>264</v>
      </c>
      <c r="AA87">
        <v>1</v>
      </c>
      <c r="AB87" t="s">
        <v>264</v>
      </c>
      <c r="AD87" t="s">
        <v>264</v>
      </c>
      <c r="AE87" t="s">
        <v>264</v>
      </c>
      <c r="AF87" t="s">
        <v>264</v>
      </c>
      <c r="AH87" t="s">
        <v>264</v>
      </c>
      <c r="AI87">
        <v>55537180</v>
      </c>
      <c r="AJ87" t="s">
        <v>455</v>
      </c>
      <c r="AL87" t="s">
        <v>456</v>
      </c>
      <c r="AM87" s="6">
        <v>44746</v>
      </c>
      <c r="AN87" t="s">
        <v>275</v>
      </c>
      <c r="AO87" t="s">
        <v>268</v>
      </c>
      <c r="AP87">
        <v>1201</v>
      </c>
      <c r="AQ87" t="s">
        <v>269</v>
      </c>
      <c r="AR87" t="s">
        <v>459</v>
      </c>
      <c r="AU87" t="s">
        <v>264</v>
      </c>
      <c r="AV87" t="s">
        <v>270</v>
      </c>
      <c r="AX87" t="s">
        <v>264</v>
      </c>
      <c r="AY87">
        <v>630600</v>
      </c>
      <c r="AZ87">
        <v>1201.6306</v>
      </c>
      <c r="BA87" s="28" t="s">
        <v>19</v>
      </c>
    </row>
    <row r="88" spans="1:53">
      <c r="A88" t="s">
        <v>424</v>
      </c>
      <c r="B88" t="s">
        <v>425</v>
      </c>
      <c r="C88">
        <v>22010674</v>
      </c>
      <c r="D88">
        <v>1201</v>
      </c>
      <c r="E88" s="6">
        <v>44781</v>
      </c>
      <c r="F88" t="s">
        <v>1106</v>
      </c>
      <c r="G88">
        <v>85.02</v>
      </c>
      <c r="H88">
        <v>85.02</v>
      </c>
      <c r="I88" t="s">
        <v>263</v>
      </c>
      <c r="J88" t="s">
        <v>263</v>
      </c>
      <c r="L88" s="29">
        <v>1220675</v>
      </c>
      <c r="N88" s="29">
        <v>1220675</v>
      </c>
      <c r="O88" t="s">
        <v>264</v>
      </c>
      <c r="Q88" t="s">
        <v>264</v>
      </c>
      <c r="R88" t="s">
        <v>265</v>
      </c>
      <c r="S88">
        <v>14357.01</v>
      </c>
      <c r="T88" t="s">
        <v>266</v>
      </c>
      <c r="U88" t="s">
        <v>267</v>
      </c>
      <c r="V88" t="s">
        <v>427</v>
      </c>
      <c r="W88" t="s">
        <v>428</v>
      </c>
      <c r="X88">
        <v>1936271</v>
      </c>
      <c r="Y88" s="6">
        <v>44803</v>
      </c>
      <c r="Z88" t="s">
        <v>264</v>
      </c>
      <c r="AA88">
        <v>1</v>
      </c>
      <c r="AB88" t="s">
        <v>264</v>
      </c>
      <c r="AD88" t="s">
        <v>264</v>
      </c>
      <c r="AE88" t="s">
        <v>264</v>
      </c>
      <c r="AF88" t="s">
        <v>264</v>
      </c>
      <c r="AG88">
        <v>26</v>
      </c>
      <c r="AH88" t="s">
        <v>264</v>
      </c>
      <c r="AI88">
        <v>57350052</v>
      </c>
      <c r="AJ88" t="s">
        <v>1106</v>
      </c>
      <c r="AL88" t="s">
        <v>264</v>
      </c>
      <c r="AM88" s="6">
        <v>44781</v>
      </c>
      <c r="AN88" t="s">
        <v>452</v>
      </c>
      <c r="AO88" t="s">
        <v>268</v>
      </c>
      <c r="AP88">
        <v>1201</v>
      </c>
      <c r="AQ88" t="s">
        <v>269</v>
      </c>
      <c r="AR88" t="s">
        <v>1107</v>
      </c>
      <c r="AU88" t="s">
        <v>264</v>
      </c>
      <c r="AV88" t="s">
        <v>270</v>
      </c>
      <c r="AX88">
        <v>22001116</v>
      </c>
      <c r="AY88">
        <v>630600</v>
      </c>
      <c r="AZ88">
        <v>1201.6306</v>
      </c>
      <c r="BA88" s="28" t="s">
        <v>19</v>
      </c>
    </row>
    <row r="89" spans="1:53">
      <c r="A89" t="s">
        <v>424</v>
      </c>
      <c r="B89" t="s">
        <v>425</v>
      </c>
      <c r="C89">
        <v>22010675</v>
      </c>
      <c r="D89">
        <v>1201</v>
      </c>
      <c r="E89" s="6">
        <v>44781</v>
      </c>
      <c r="F89" t="s">
        <v>1106</v>
      </c>
      <c r="G89">
        <v>130.62</v>
      </c>
      <c r="H89">
        <v>130.62</v>
      </c>
      <c r="I89" t="s">
        <v>263</v>
      </c>
      <c r="J89" t="s">
        <v>263</v>
      </c>
      <c r="L89" s="29">
        <v>1875370</v>
      </c>
      <c r="N89" s="29">
        <v>1875370</v>
      </c>
      <c r="O89" t="s">
        <v>264</v>
      </c>
      <c r="Q89" t="s">
        <v>264</v>
      </c>
      <c r="R89" t="s">
        <v>265</v>
      </c>
      <c r="S89">
        <v>14357.01</v>
      </c>
      <c r="T89" t="s">
        <v>266</v>
      </c>
      <c r="U89" t="s">
        <v>267</v>
      </c>
      <c r="V89" t="s">
        <v>427</v>
      </c>
      <c r="W89" t="s">
        <v>428</v>
      </c>
      <c r="X89">
        <v>1936271</v>
      </c>
      <c r="Y89" s="6">
        <v>44803</v>
      </c>
      <c r="Z89" t="s">
        <v>264</v>
      </c>
      <c r="AA89">
        <v>1</v>
      </c>
      <c r="AB89" t="s">
        <v>264</v>
      </c>
      <c r="AD89" t="s">
        <v>264</v>
      </c>
      <c r="AE89" t="s">
        <v>264</v>
      </c>
      <c r="AF89" t="s">
        <v>264</v>
      </c>
      <c r="AG89">
        <v>28</v>
      </c>
      <c r="AH89" t="s">
        <v>264</v>
      </c>
      <c r="AI89">
        <v>57350052</v>
      </c>
      <c r="AJ89" t="s">
        <v>1106</v>
      </c>
      <c r="AL89" t="s">
        <v>264</v>
      </c>
      <c r="AM89" s="6">
        <v>44781</v>
      </c>
      <c r="AN89" t="s">
        <v>452</v>
      </c>
      <c r="AO89" t="s">
        <v>268</v>
      </c>
      <c r="AP89">
        <v>1201</v>
      </c>
      <c r="AQ89" t="s">
        <v>269</v>
      </c>
      <c r="AR89" t="s">
        <v>1108</v>
      </c>
      <c r="AU89" t="s">
        <v>264</v>
      </c>
      <c r="AV89" t="s">
        <v>270</v>
      </c>
      <c r="AX89">
        <v>22001116</v>
      </c>
      <c r="AY89">
        <v>630600</v>
      </c>
      <c r="AZ89">
        <v>1201.6306</v>
      </c>
      <c r="BA89" s="28" t="s">
        <v>19</v>
      </c>
    </row>
    <row r="90" spans="1:53">
      <c r="A90" t="s">
        <v>424</v>
      </c>
      <c r="B90" t="s">
        <v>425</v>
      </c>
      <c r="C90">
        <v>22003431</v>
      </c>
      <c r="D90">
        <v>1204</v>
      </c>
      <c r="E90" s="6">
        <v>44782</v>
      </c>
      <c r="F90" t="s">
        <v>460</v>
      </c>
      <c r="G90">
        <v>372</v>
      </c>
      <c r="H90">
        <v>372</v>
      </c>
      <c r="I90" t="s">
        <v>263</v>
      </c>
      <c r="J90" t="s">
        <v>263</v>
      </c>
      <c r="L90" s="29">
        <v>5346174.4000000004</v>
      </c>
      <c r="N90" s="29">
        <v>5346174.4000000004</v>
      </c>
      <c r="O90" t="s">
        <v>264</v>
      </c>
      <c r="Q90" t="s">
        <v>264</v>
      </c>
      <c r="R90" t="s">
        <v>265</v>
      </c>
      <c r="S90">
        <v>14369.01</v>
      </c>
      <c r="T90" t="s">
        <v>266</v>
      </c>
      <c r="U90" t="s">
        <v>267</v>
      </c>
      <c r="V90" t="s">
        <v>427</v>
      </c>
      <c r="W90" t="s">
        <v>428</v>
      </c>
      <c r="X90">
        <v>1929288</v>
      </c>
      <c r="Y90" s="6">
        <v>44782</v>
      </c>
      <c r="Z90" t="s">
        <v>264</v>
      </c>
      <c r="AA90">
        <v>1</v>
      </c>
      <c r="AB90" t="s">
        <v>264</v>
      </c>
      <c r="AD90" t="s">
        <v>264</v>
      </c>
      <c r="AE90" t="s">
        <v>264</v>
      </c>
      <c r="AF90" t="s">
        <v>264</v>
      </c>
      <c r="AG90" s="29">
        <v>1330</v>
      </c>
      <c r="AH90" t="s">
        <v>264</v>
      </c>
      <c r="AI90">
        <v>55413988</v>
      </c>
      <c r="AJ90" t="s">
        <v>460</v>
      </c>
      <c r="AL90" t="s">
        <v>264</v>
      </c>
      <c r="AM90" s="6">
        <v>44782</v>
      </c>
      <c r="AN90" t="s">
        <v>461</v>
      </c>
      <c r="AO90" t="s">
        <v>268</v>
      </c>
      <c r="AP90">
        <v>1204</v>
      </c>
      <c r="AQ90" t="s">
        <v>269</v>
      </c>
      <c r="AR90">
        <v>264850</v>
      </c>
      <c r="AU90" t="s">
        <v>264</v>
      </c>
      <c r="AV90" t="s">
        <v>270</v>
      </c>
      <c r="AX90">
        <v>22001006</v>
      </c>
      <c r="AY90">
        <v>630600</v>
      </c>
      <c r="AZ90">
        <v>1204.6306</v>
      </c>
      <c r="BA90" s="28" t="s">
        <v>124</v>
      </c>
    </row>
    <row r="91" spans="1:53">
      <c r="A91" t="s">
        <v>424</v>
      </c>
      <c r="B91" t="s">
        <v>425</v>
      </c>
      <c r="C91">
        <v>22003432</v>
      </c>
      <c r="D91">
        <v>1204</v>
      </c>
      <c r="E91" s="6">
        <v>44782</v>
      </c>
      <c r="F91" t="s">
        <v>460</v>
      </c>
      <c r="G91">
        <v>245.02</v>
      </c>
      <c r="H91">
        <v>245.02</v>
      </c>
      <c r="I91" t="s">
        <v>263</v>
      </c>
      <c r="J91" t="s">
        <v>263</v>
      </c>
      <c r="L91" s="29">
        <v>3521239.68</v>
      </c>
      <c r="N91" s="29">
        <v>3521239.68</v>
      </c>
      <c r="O91" t="s">
        <v>264</v>
      </c>
      <c r="Q91" t="s">
        <v>264</v>
      </c>
      <c r="R91" t="s">
        <v>265</v>
      </c>
      <c r="S91">
        <v>14369.01</v>
      </c>
      <c r="T91" t="s">
        <v>266</v>
      </c>
      <c r="U91" t="s">
        <v>267</v>
      </c>
      <c r="V91" t="s">
        <v>427</v>
      </c>
      <c r="W91" t="s">
        <v>428</v>
      </c>
      <c r="X91">
        <v>1929288</v>
      </c>
      <c r="Y91" s="6">
        <v>44782</v>
      </c>
      <c r="Z91" t="s">
        <v>264</v>
      </c>
      <c r="AA91">
        <v>1</v>
      </c>
      <c r="AB91" t="s">
        <v>264</v>
      </c>
      <c r="AD91" t="s">
        <v>264</v>
      </c>
      <c r="AE91" t="s">
        <v>264</v>
      </c>
      <c r="AF91" t="s">
        <v>264</v>
      </c>
      <c r="AG91">
        <v>876</v>
      </c>
      <c r="AH91" t="s">
        <v>264</v>
      </c>
      <c r="AI91">
        <v>55413988</v>
      </c>
      <c r="AJ91" t="s">
        <v>460</v>
      </c>
      <c r="AL91" t="s">
        <v>264</v>
      </c>
      <c r="AM91" s="6">
        <v>44782</v>
      </c>
      <c r="AN91" t="s">
        <v>461</v>
      </c>
      <c r="AO91" t="s">
        <v>268</v>
      </c>
      <c r="AP91">
        <v>1204</v>
      </c>
      <c r="AQ91" t="s">
        <v>269</v>
      </c>
      <c r="AR91">
        <v>264850</v>
      </c>
      <c r="AU91" t="s">
        <v>264</v>
      </c>
      <c r="AV91" t="s">
        <v>270</v>
      </c>
      <c r="AX91">
        <v>22001006</v>
      </c>
      <c r="AY91">
        <v>630600</v>
      </c>
      <c r="AZ91">
        <v>1204.6306</v>
      </c>
      <c r="BA91" s="28" t="s">
        <v>124</v>
      </c>
    </row>
    <row r="92" spans="1:53">
      <c r="A92" t="s">
        <v>424</v>
      </c>
      <c r="B92" t="s">
        <v>425</v>
      </c>
      <c r="C92">
        <v>22003433</v>
      </c>
      <c r="D92">
        <v>1204</v>
      </c>
      <c r="E92" s="6">
        <v>44782</v>
      </c>
      <c r="F92" t="s">
        <v>460</v>
      </c>
      <c r="G92">
        <v>8.9499999999999993</v>
      </c>
      <c r="H92">
        <v>8.9499999999999993</v>
      </c>
      <c r="I92" t="s">
        <v>263</v>
      </c>
      <c r="J92" t="s">
        <v>263</v>
      </c>
      <c r="L92" s="29">
        <v>128629.75999999999</v>
      </c>
      <c r="N92" s="29">
        <v>128629.75999999999</v>
      </c>
      <c r="O92" t="s">
        <v>264</v>
      </c>
      <c r="Q92" t="s">
        <v>264</v>
      </c>
      <c r="R92" t="s">
        <v>265</v>
      </c>
      <c r="S92">
        <v>14369.01</v>
      </c>
      <c r="T92" t="s">
        <v>266</v>
      </c>
      <c r="U92" t="s">
        <v>267</v>
      </c>
      <c r="V92" t="s">
        <v>427</v>
      </c>
      <c r="W92" t="s">
        <v>428</v>
      </c>
      <c r="X92">
        <v>1929288</v>
      </c>
      <c r="Y92" s="6">
        <v>44782</v>
      </c>
      <c r="Z92" t="s">
        <v>264</v>
      </c>
      <c r="AA92">
        <v>1</v>
      </c>
      <c r="AB92" t="s">
        <v>264</v>
      </c>
      <c r="AD92" t="s">
        <v>264</v>
      </c>
      <c r="AE92" t="s">
        <v>264</v>
      </c>
      <c r="AF92" t="s">
        <v>264</v>
      </c>
      <c r="AG92">
        <v>32</v>
      </c>
      <c r="AH92" t="s">
        <v>264</v>
      </c>
      <c r="AI92">
        <v>55413988</v>
      </c>
      <c r="AJ92" t="s">
        <v>460</v>
      </c>
      <c r="AL92" t="s">
        <v>264</v>
      </c>
      <c r="AM92" s="6">
        <v>44782</v>
      </c>
      <c r="AN92" t="s">
        <v>461</v>
      </c>
      <c r="AO92" t="s">
        <v>268</v>
      </c>
      <c r="AP92">
        <v>1204</v>
      </c>
      <c r="AQ92" t="s">
        <v>269</v>
      </c>
      <c r="AR92">
        <v>264850</v>
      </c>
      <c r="AU92" t="s">
        <v>264</v>
      </c>
      <c r="AV92" t="s">
        <v>270</v>
      </c>
      <c r="AX92">
        <v>22001006</v>
      </c>
      <c r="AY92">
        <v>630600</v>
      </c>
      <c r="AZ92">
        <v>1204.6306</v>
      </c>
      <c r="BA92" s="28" t="s">
        <v>124</v>
      </c>
    </row>
    <row r="93" spans="1:53">
      <c r="A93" t="s">
        <v>424</v>
      </c>
      <c r="B93" t="s">
        <v>425</v>
      </c>
      <c r="C93">
        <v>22003434</v>
      </c>
      <c r="D93">
        <v>1204</v>
      </c>
      <c r="E93" s="6">
        <v>44782</v>
      </c>
      <c r="F93" t="s">
        <v>460</v>
      </c>
      <c r="G93">
        <v>157.75</v>
      </c>
      <c r="H93">
        <v>157.75</v>
      </c>
      <c r="I93" t="s">
        <v>263</v>
      </c>
      <c r="J93" t="s">
        <v>263</v>
      </c>
      <c r="L93" s="29">
        <v>2267099.52</v>
      </c>
      <c r="N93" s="29">
        <v>2267099.52</v>
      </c>
      <c r="O93" t="s">
        <v>264</v>
      </c>
      <c r="Q93" t="s">
        <v>264</v>
      </c>
      <c r="R93" t="s">
        <v>265</v>
      </c>
      <c r="S93">
        <v>14369.01</v>
      </c>
      <c r="T93" t="s">
        <v>266</v>
      </c>
      <c r="U93" t="s">
        <v>267</v>
      </c>
      <c r="V93" t="s">
        <v>427</v>
      </c>
      <c r="W93" t="s">
        <v>428</v>
      </c>
      <c r="X93">
        <v>1929288</v>
      </c>
      <c r="Y93" s="6">
        <v>44782</v>
      </c>
      <c r="Z93" t="s">
        <v>264</v>
      </c>
      <c r="AA93">
        <v>1</v>
      </c>
      <c r="AB93" t="s">
        <v>264</v>
      </c>
      <c r="AD93" t="s">
        <v>264</v>
      </c>
      <c r="AE93" t="s">
        <v>264</v>
      </c>
      <c r="AF93" t="s">
        <v>264</v>
      </c>
      <c r="AG93">
        <v>564</v>
      </c>
      <c r="AH93" t="s">
        <v>264</v>
      </c>
      <c r="AI93">
        <v>55413988</v>
      </c>
      <c r="AJ93" t="s">
        <v>460</v>
      </c>
      <c r="AL93" t="s">
        <v>264</v>
      </c>
      <c r="AM93" s="6">
        <v>44782</v>
      </c>
      <c r="AN93" t="s">
        <v>461</v>
      </c>
      <c r="AO93" t="s">
        <v>268</v>
      </c>
      <c r="AP93">
        <v>1204</v>
      </c>
      <c r="AQ93" t="s">
        <v>269</v>
      </c>
      <c r="AR93">
        <v>264850</v>
      </c>
      <c r="AU93" t="s">
        <v>264</v>
      </c>
      <c r="AV93" t="s">
        <v>270</v>
      </c>
      <c r="AX93">
        <v>22001006</v>
      </c>
      <c r="AY93">
        <v>630600</v>
      </c>
      <c r="AZ93">
        <v>1204.6306</v>
      </c>
      <c r="BA93" s="28" t="s">
        <v>124</v>
      </c>
    </row>
    <row r="94" spans="1:53">
      <c r="A94" t="s">
        <v>424</v>
      </c>
      <c r="B94" t="s">
        <v>425</v>
      </c>
      <c r="C94">
        <v>22003435</v>
      </c>
      <c r="D94">
        <v>1204</v>
      </c>
      <c r="E94" s="6">
        <v>44782</v>
      </c>
      <c r="F94" t="s">
        <v>460</v>
      </c>
      <c r="G94">
        <v>30.77</v>
      </c>
      <c r="H94">
        <v>30.77</v>
      </c>
      <c r="I94" t="s">
        <v>263</v>
      </c>
      <c r="J94" t="s">
        <v>263</v>
      </c>
      <c r="L94" s="29">
        <v>442164.8</v>
      </c>
      <c r="N94" s="29">
        <v>442164.8</v>
      </c>
      <c r="O94" t="s">
        <v>264</v>
      </c>
      <c r="Q94" t="s">
        <v>264</v>
      </c>
      <c r="R94" t="s">
        <v>265</v>
      </c>
      <c r="S94">
        <v>14369.01</v>
      </c>
      <c r="T94" t="s">
        <v>266</v>
      </c>
      <c r="U94" t="s">
        <v>267</v>
      </c>
      <c r="V94" t="s">
        <v>427</v>
      </c>
      <c r="W94" t="s">
        <v>428</v>
      </c>
      <c r="X94">
        <v>1929288</v>
      </c>
      <c r="Y94" s="6">
        <v>44782</v>
      </c>
      <c r="Z94" t="s">
        <v>264</v>
      </c>
      <c r="AA94">
        <v>1</v>
      </c>
      <c r="AB94" t="s">
        <v>264</v>
      </c>
      <c r="AD94" t="s">
        <v>264</v>
      </c>
      <c r="AE94" t="s">
        <v>264</v>
      </c>
      <c r="AF94" t="s">
        <v>264</v>
      </c>
      <c r="AG94">
        <v>110</v>
      </c>
      <c r="AH94" t="s">
        <v>264</v>
      </c>
      <c r="AI94">
        <v>55413988</v>
      </c>
      <c r="AJ94" t="s">
        <v>460</v>
      </c>
      <c r="AL94" t="s">
        <v>264</v>
      </c>
      <c r="AM94" s="6">
        <v>44782</v>
      </c>
      <c r="AN94" t="s">
        <v>461</v>
      </c>
      <c r="AO94" t="s">
        <v>268</v>
      </c>
      <c r="AP94">
        <v>1204</v>
      </c>
      <c r="AQ94" t="s">
        <v>269</v>
      </c>
      <c r="AR94">
        <v>264850</v>
      </c>
      <c r="AU94" t="s">
        <v>264</v>
      </c>
      <c r="AV94" t="s">
        <v>270</v>
      </c>
      <c r="AX94">
        <v>22001006</v>
      </c>
      <c r="AY94">
        <v>630600</v>
      </c>
      <c r="AZ94">
        <v>1204.6306</v>
      </c>
      <c r="BA94" s="28" t="s">
        <v>124</v>
      </c>
    </row>
    <row r="95" spans="1:53">
      <c r="A95" t="s">
        <v>424</v>
      </c>
      <c r="B95" t="s">
        <v>425</v>
      </c>
      <c r="C95">
        <v>22003436</v>
      </c>
      <c r="D95">
        <v>1204</v>
      </c>
      <c r="E95" s="6">
        <v>44782</v>
      </c>
      <c r="F95" t="s">
        <v>460</v>
      </c>
      <c r="G95">
        <v>138.16999999999999</v>
      </c>
      <c r="H95">
        <v>138.16999999999999</v>
      </c>
      <c r="I95" t="s">
        <v>263</v>
      </c>
      <c r="J95" t="s">
        <v>263</v>
      </c>
      <c r="L95" s="29">
        <v>1985721.92</v>
      </c>
      <c r="N95" s="29">
        <v>1985721.92</v>
      </c>
      <c r="O95" t="s">
        <v>264</v>
      </c>
      <c r="Q95" t="s">
        <v>264</v>
      </c>
      <c r="R95" t="s">
        <v>265</v>
      </c>
      <c r="S95">
        <v>14369.01</v>
      </c>
      <c r="T95" t="s">
        <v>266</v>
      </c>
      <c r="U95" t="s">
        <v>267</v>
      </c>
      <c r="V95" t="s">
        <v>427</v>
      </c>
      <c r="W95" t="s">
        <v>428</v>
      </c>
      <c r="X95">
        <v>1929288</v>
      </c>
      <c r="Y95" s="6">
        <v>44782</v>
      </c>
      <c r="Z95" t="s">
        <v>264</v>
      </c>
      <c r="AA95">
        <v>1</v>
      </c>
      <c r="AB95" t="s">
        <v>264</v>
      </c>
      <c r="AD95" t="s">
        <v>264</v>
      </c>
      <c r="AE95" t="s">
        <v>264</v>
      </c>
      <c r="AF95" t="s">
        <v>264</v>
      </c>
      <c r="AG95">
        <v>494</v>
      </c>
      <c r="AH95" t="s">
        <v>264</v>
      </c>
      <c r="AI95">
        <v>55413988</v>
      </c>
      <c r="AJ95" t="s">
        <v>460</v>
      </c>
      <c r="AL95" t="s">
        <v>264</v>
      </c>
      <c r="AM95" s="6">
        <v>44782</v>
      </c>
      <c r="AN95" t="s">
        <v>461</v>
      </c>
      <c r="AO95" t="s">
        <v>268</v>
      </c>
      <c r="AP95">
        <v>1204</v>
      </c>
      <c r="AQ95" t="s">
        <v>269</v>
      </c>
      <c r="AR95">
        <v>264850</v>
      </c>
      <c r="AU95" t="s">
        <v>264</v>
      </c>
      <c r="AV95" t="s">
        <v>270</v>
      </c>
      <c r="AX95">
        <v>22001006</v>
      </c>
      <c r="AY95">
        <v>630600</v>
      </c>
      <c r="AZ95">
        <v>1204.6306</v>
      </c>
      <c r="BA95" s="28" t="s">
        <v>124</v>
      </c>
    </row>
    <row r="96" spans="1:53">
      <c r="A96" t="s">
        <v>424</v>
      </c>
      <c r="B96" t="s">
        <v>425</v>
      </c>
      <c r="C96">
        <v>22003437</v>
      </c>
      <c r="D96">
        <v>1204</v>
      </c>
      <c r="E96" s="6">
        <v>44782</v>
      </c>
      <c r="F96" t="s">
        <v>460</v>
      </c>
      <c r="G96">
        <v>372.56</v>
      </c>
      <c r="H96">
        <v>372.56</v>
      </c>
      <c r="I96" t="s">
        <v>263</v>
      </c>
      <c r="J96" t="s">
        <v>263</v>
      </c>
      <c r="L96" s="29">
        <v>5354213.76</v>
      </c>
      <c r="N96" s="29">
        <v>5354213.76</v>
      </c>
      <c r="O96" t="s">
        <v>264</v>
      </c>
      <c r="Q96" t="s">
        <v>264</v>
      </c>
      <c r="R96" t="s">
        <v>265</v>
      </c>
      <c r="S96">
        <v>14369.01</v>
      </c>
      <c r="T96" t="s">
        <v>266</v>
      </c>
      <c r="U96" t="s">
        <v>267</v>
      </c>
      <c r="V96" t="s">
        <v>427</v>
      </c>
      <c r="W96" t="s">
        <v>428</v>
      </c>
      <c r="X96">
        <v>1929288</v>
      </c>
      <c r="Y96" s="6">
        <v>44782</v>
      </c>
      <c r="Z96" t="s">
        <v>264</v>
      </c>
      <c r="AA96">
        <v>1</v>
      </c>
      <c r="AB96" t="s">
        <v>264</v>
      </c>
      <c r="AD96" t="s">
        <v>264</v>
      </c>
      <c r="AE96" t="s">
        <v>264</v>
      </c>
      <c r="AF96" t="s">
        <v>264</v>
      </c>
      <c r="AG96" s="29">
        <v>1332</v>
      </c>
      <c r="AH96" t="s">
        <v>264</v>
      </c>
      <c r="AI96">
        <v>55413988</v>
      </c>
      <c r="AJ96" t="s">
        <v>460</v>
      </c>
      <c r="AL96" t="s">
        <v>264</v>
      </c>
      <c r="AM96" s="6">
        <v>44782</v>
      </c>
      <c r="AN96" t="s">
        <v>461</v>
      </c>
      <c r="AO96" t="s">
        <v>268</v>
      </c>
      <c r="AP96">
        <v>1204</v>
      </c>
      <c r="AQ96" t="s">
        <v>269</v>
      </c>
      <c r="AR96">
        <v>264850</v>
      </c>
      <c r="AU96" t="s">
        <v>264</v>
      </c>
      <c r="AV96" t="s">
        <v>270</v>
      </c>
      <c r="AX96">
        <v>22001006</v>
      </c>
      <c r="AY96">
        <v>630600</v>
      </c>
      <c r="AZ96">
        <v>1204.6306</v>
      </c>
      <c r="BA96" s="28" t="s">
        <v>124</v>
      </c>
    </row>
    <row r="97" spans="1:53">
      <c r="A97" t="s">
        <v>424</v>
      </c>
      <c r="B97" t="s">
        <v>425</v>
      </c>
      <c r="C97">
        <v>22003438</v>
      </c>
      <c r="D97">
        <v>1204</v>
      </c>
      <c r="E97" s="6">
        <v>44782</v>
      </c>
      <c r="F97" t="s">
        <v>460</v>
      </c>
      <c r="G97">
        <v>117.75</v>
      </c>
      <c r="H97">
        <v>117.75</v>
      </c>
      <c r="I97" t="s">
        <v>263</v>
      </c>
      <c r="J97" t="s">
        <v>263</v>
      </c>
      <c r="L97" s="29">
        <v>1692285.28</v>
      </c>
      <c r="N97" s="29">
        <v>1692285.28</v>
      </c>
      <c r="O97" t="s">
        <v>264</v>
      </c>
      <c r="Q97" t="s">
        <v>264</v>
      </c>
      <c r="R97" t="s">
        <v>265</v>
      </c>
      <c r="S97">
        <v>14369.01</v>
      </c>
      <c r="T97" t="s">
        <v>266</v>
      </c>
      <c r="U97" t="s">
        <v>267</v>
      </c>
      <c r="V97" t="s">
        <v>427</v>
      </c>
      <c r="W97" t="s">
        <v>428</v>
      </c>
      <c r="X97">
        <v>1929288</v>
      </c>
      <c r="Y97" s="6">
        <v>44782</v>
      </c>
      <c r="Z97" t="s">
        <v>264</v>
      </c>
      <c r="AA97">
        <v>1</v>
      </c>
      <c r="AB97" t="s">
        <v>264</v>
      </c>
      <c r="AD97" t="s">
        <v>264</v>
      </c>
      <c r="AE97" t="s">
        <v>264</v>
      </c>
      <c r="AF97" t="s">
        <v>264</v>
      </c>
      <c r="AG97">
        <v>421</v>
      </c>
      <c r="AH97" t="s">
        <v>264</v>
      </c>
      <c r="AI97">
        <v>55413988</v>
      </c>
      <c r="AJ97" t="s">
        <v>460</v>
      </c>
      <c r="AL97" t="s">
        <v>264</v>
      </c>
      <c r="AM97" s="6">
        <v>44782</v>
      </c>
      <c r="AN97" t="s">
        <v>461</v>
      </c>
      <c r="AO97" t="s">
        <v>268</v>
      </c>
      <c r="AP97">
        <v>1204</v>
      </c>
      <c r="AQ97" t="s">
        <v>269</v>
      </c>
      <c r="AR97">
        <v>264850</v>
      </c>
      <c r="AU97" t="s">
        <v>264</v>
      </c>
      <c r="AV97" t="s">
        <v>270</v>
      </c>
      <c r="AX97">
        <v>22001006</v>
      </c>
      <c r="AY97">
        <v>630600</v>
      </c>
      <c r="AZ97">
        <v>1204.6306</v>
      </c>
      <c r="BA97" s="28" t="s">
        <v>124</v>
      </c>
    </row>
    <row r="98" spans="1:53">
      <c r="A98" t="s">
        <v>424</v>
      </c>
      <c r="B98" t="s">
        <v>425</v>
      </c>
      <c r="C98">
        <v>22003439</v>
      </c>
      <c r="D98">
        <v>1204</v>
      </c>
      <c r="E98" s="6">
        <v>44782</v>
      </c>
      <c r="F98" t="s">
        <v>460</v>
      </c>
      <c r="G98" s="29">
        <v>1258.6500000000001</v>
      </c>
      <c r="H98" s="29">
        <v>1258.6500000000001</v>
      </c>
      <c r="I98" t="s">
        <v>263</v>
      </c>
      <c r="J98" t="s">
        <v>263</v>
      </c>
      <c r="L98" s="29">
        <v>18088560</v>
      </c>
      <c r="N98" s="29">
        <v>18088560</v>
      </c>
      <c r="O98" t="s">
        <v>264</v>
      </c>
      <c r="Q98" t="s">
        <v>264</v>
      </c>
      <c r="R98" t="s">
        <v>265</v>
      </c>
      <c r="S98">
        <v>14369.01</v>
      </c>
      <c r="T98" t="s">
        <v>266</v>
      </c>
      <c r="U98" t="s">
        <v>267</v>
      </c>
      <c r="V98" t="s">
        <v>427</v>
      </c>
      <c r="W98" t="s">
        <v>428</v>
      </c>
      <c r="X98">
        <v>1929288</v>
      </c>
      <c r="Y98" s="6">
        <v>44782</v>
      </c>
      <c r="Z98" t="s">
        <v>264</v>
      </c>
      <c r="AA98">
        <v>1</v>
      </c>
      <c r="AB98" t="s">
        <v>264</v>
      </c>
      <c r="AD98" t="s">
        <v>264</v>
      </c>
      <c r="AE98" t="s">
        <v>264</v>
      </c>
      <c r="AF98" t="s">
        <v>264</v>
      </c>
      <c r="AG98" s="29">
        <v>4500</v>
      </c>
      <c r="AH98" t="s">
        <v>264</v>
      </c>
      <c r="AI98">
        <v>55413988</v>
      </c>
      <c r="AJ98" t="s">
        <v>460</v>
      </c>
      <c r="AL98" t="s">
        <v>264</v>
      </c>
      <c r="AM98" s="6">
        <v>44782</v>
      </c>
      <c r="AN98" t="s">
        <v>461</v>
      </c>
      <c r="AO98" t="s">
        <v>268</v>
      </c>
      <c r="AP98">
        <v>1204</v>
      </c>
      <c r="AQ98" t="s">
        <v>269</v>
      </c>
      <c r="AR98">
        <v>264850</v>
      </c>
      <c r="AU98" t="s">
        <v>264</v>
      </c>
      <c r="AV98" t="s">
        <v>270</v>
      </c>
      <c r="AX98">
        <v>22001006</v>
      </c>
      <c r="AY98">
        <v>630600</v>
      </c>
      <c r="AZ98">
        <v>1204.6306</v>
      </c>
      <c r="BA98" s="28" t="s">
        <v>124</v>
      </c>
    </row>
    <row r="99" spans="1:53">
      <c r="A99" t="s">
        <v>424</v>
      </c>
      <c r="B99" t="s">
        <v>425</v>
      </c>
      <c r="C99">
        <v>22003440</v>
      </c>
      <c r="D99">
        <v>1204</v>
      </c>
      <c r="E99" s="6">
        <v>44782</v>
      </c>
      <c r="F99" t="s">
        <v>460</v>
      </c>
      <c r="G99">
        <v>265.72000000000003</v>
      </c>
      <c r="H99">
        <v>265.72000000000003</v>
      </c>
      <c r="I99" t="s">
        <v>263</v>
      </c>
      <c r="J99" t="s">
        <v>263</v>
      </c>
      <c r="L99" s="29">
        <v>3818696</v>
      </c>
      <c r="N99" s="29">
        <v>3818696</v>
      </c>
      <c r="O99" t="s">
        <v>264</v>
      </c>
      <c r="Q99" t="s">
        <v>264</v>
      </c>
      <c r="R99" t="s">
        <v>265</v>
      </c>
      <c r="S99">
        <v>14369.01</v>
      </c>
      <c r="T99" t="s">
        <v>266</v>
      </c>
      <c r="U99" t="s">
        <v>267</v>
      </c>
      <c r="V99" t="s">
        <v>427</v>
      </c>
      <c r="W99" t="s">
        <v>428</v>
      </c>
      <c r="X99">
        <v>1929299</v>
      </c>
      <c r="Y99" s="6">
        <v>44782</v>
      </c>
      <c r="Z99" t="s">
        <v>264</v>
      </c>
      <c r="AA99">
        <v>1</v>
      </c>
      <c r="AB99" t="s">
        <v>264</v>
      </c>
      <c r="AD99" t="s">
        <v>264</v>
      </c>
      <c r="AE99" t="s">
        <v>264</v>
      </c>
      <c r="AF99" t="s">
        <v>264</v>
      </c>
      <c r="AG99">
        <v>950</v>
      </c>
      <c r="AH99" t="s">
        <v>264</v>
      </c>
      <c r="AI99">
        <v>55413988</v>
      </c>
      <c r="AJ99" t="s">
        <v>460</v>
      </c>
      <c r="AL99" t="s">
        <v>264</v>
      </c>
      <c r="AM99" s="6">
        <v>44782</v>
      </c>
      <c r="AN99" t="s">
        <v>461</v>
      </c>
      <c r="AO99" t="s">
        <v>268</v>
      </c>
      <c r="AP99">
        <v>1204</v>
      </c>
      <c r="AQ99" t="s">
        <v>269</v>
      </c>
      <c r="AR99">
        <v>264850</v>
      </c>
      <c r="AU99" t="s">
        <v>264</v>
      </c>
      <c r="AV99" t="s">
        <v>270</v>
      </c>
      <c r="AX99">
        <v>22001006</v>
      </c>
      <c r="AY99">
        <v>630600</v>
      </c>
      <c r="AZ99">
        <v>1204.6306</v>
      </c>
      <c r="BA99" s="28" t="s">
        <v>124</v>
      </c>
    </row>
    <row r="100" spans="1:53">
      <c r="A100" t="s">
        <v>424</v>
      </c>
      <c r="B100" t="s">
        <v>425</v>
      </c>
      <c r="C100">
        <v>22003441</v>
      </c>
      <c r="D100">
        <v>1204</v>
      </c>
      <c r="E100" s="6">
        <v>44782</v>
      </c>
      <c r="F100" t="s">
        <v>460</v>
      </c>
      <c r="G100">
        <v>201.38</v>
      </c>
      <c r="H100">
        <v>201.38</v>
      </c>
      <c r="I100" t="s">
        <v>263</v>
      </c>
      <c r="J100" t="s">
        <v>263</v>
      </c>
      <c r="L100" s="29">
        <v>2894169.6</v>
      </c>
      <c r="N100" s="29">
        <v>2894169.6</v>
      </c>
      <c r="O100" t="s">
        <v>264</v>
      </c>
      <c r="Q100" t="s">
        <v>264</v>
      </c>
      <c r="R100" t="s">
        <v>265</v>
      </c>
      <c r="S100">
        <v>14369.01</v>
      </c>
      <c r="T100" t="s">
        <v>266</v>
      </c>
      <c r="U100" t="s">
        <v>267</v>
      </c>
      <c r="V100" t="s">
        <v>427</v>
      </c>
      <c r="W100" t="s">
        <v>428</v>
      </c>
      <c r="X100">
        <v>1929299</v>
      </c>
      <c r="Y100" s="6">
        <v>44782</v>
      </c>
      <c r="Z100" t="s">
        <v>264</v>
      </c>
      <c r="AA100">
        <v>1</v>
      </c>
      <c r="AB100" t="s">
        <v>264</v>
      </c>
      <c r="AD100" t="s">
        <v>264</v>
      </c>
      <c r="AE100" t="s">
        <v>264</v>
      </c>
      <c r="AF100" t="s">
        <v>264</v>
      </c>
      <c r="AG100">
        <v>720</v>
      </c>
      <c r="AH100" t="s">
        <v>264</v>
      </c>
      <c r="AI100">
        <v>55413988</v>
      </c>
      <c r="AJ100" t="s">
        <v>460</v>
      </c>
      <c r="AL100" t="s">
        <v>264</v>
      </c>
      <c r="AM100" s="6">
        <v>44782</v>
      </c>
      <c r="AN100" t="s">
        <v>461</v>
      </c>
      <c r="AO100" t="s">
        <v>268</v>
      </c>
      <c r="AP100">
        <v>1204</v>
      </c>
      <c r="AQ100" t="s">
        <v>269</v>
      </c>
      <c r="AR100">
        <v>264850</v>
      </c>
      <c r="AU100" t="s">
        <v>264</v>
      </c>
      <c r="AV100" t="s">
        <v>270</v>
      </c>
      <c r="AX100">
        <v>22001006</v>
      </c>
      <c r="AY100">
        <v>630600</v>
      </c>
      <c r="AZ100">
        <v>1204.6306</v>
      </c>
      <c r="BA100" s="28" t="s">
        <v>124</v>
      </c>
    </row>
    <row r="101" spans="1:53">
      <c r="A101" t="s">
        <v>424</v>
      </c>
      <c r="B101" t="s">
        <v>425</v>
      </c>
      <c r="C101">
        <v>22003442</v>
      </c>
      <c r="D101">
        <v>1204</v>
      </c>
      <c r="E101" s="6">
        <v>44782</v>
      </c>
      <c r="F101" t="s">
        <v>460</v>
      </c>
      <c r="G101">
        <v>4.2</v>
      </c>
      <c r="H101">
        <v>4.2</v>
      </c>
      <c r="I101" t="s">
        <v>263</v>
      </c>
      <c r="J101" t="s">
        <v>263</v>
      </c>
      <c r="L101" s="29">
        <v>60295.199999999997</v>
      </c>
      <c r="N101" s="29">
        <v>60295.199999999997</v>
      </c>
      <c r="O101" t="s">
        <v>264</v>
      </c>
      <c r="Q101" t="s">
        <v>264</v>
      </c>
      <c r="R101" t="s">
        <v>265</v>
      </c>
      <c r="S101">
        <v>14369.01</v>
      </c>
      <c r="T101" t="s">
        <v>266</v>
      </c>
      <c r="U101" t="s">
        <v>267</v>
      </c>
      <c r="V101" t="s">
        <v>427</v>
      </c>
      <c r="W101" t="s">
        <v>428</v>
      </c>
      <c r="X101">
        <v>1929299</v>
      </c>
      <c r="Y101" s="6">
        <v>44782</v>
      </c>
      <c r="Z101" t="s">
        <v>264</v>
      </c>
      <c r="AA101">
        <v>1</v>
      </c>
      <c r="AB101" t="s">
        <v>264</v>
      </c>
      <c r="AD101" t="s">
        <v>264</v>
      </c>
      <c r="AE101" t="s">
        <v>264</v>
      </c>
      <c r="AF101" t="s">
        <v>264</v>
      </c>
      <c r="AG101">
        <v>15</v>
      </c>
      <c r="AH101" t="s">
        <v>264</v>
      </c>
      <c r="AI101">
        <v>55413988</v>
      </c>
      <c r="AJ101" t="s">
        <v>460</v>
      </c>
      <c r="AL101" t="s">
        <v>264</v>
      </c>
      <c r="AM101" s="6">
        <v>44782</v>
      </c>
      <c r="AN101" t="s">
        <v>461</v>
      </c>
      <c r="AO101" t="s">
        <v>268</v>
      </c>
      <c r="AP101">
        <v>1204</v>
      </c>
      <c r="AQ101" t="s">
        <v>269</v>
      </c>
      <c r="AR101">
        <v>264850</v>
      </c>
      <c r="AU101" t="s">
        <v>264</v>
      </c>
      <c r="AV101" t="s">
        <v>270</v>
      </c>
      <c r="AX101">
        <v>22001006</v>
      </c>
      <c r="AY101">
        <v>630600</v>
      </c>
      <c r="AZ101">
        <v>1204.6306</v>
      </c>
      <c r="BA101" s="28" t="s">
        <v>124</v>
      </c>
    </row>
    <row r="102" spans="1:53">
      <c r="A102" t="s">
        <v>424</v>
      </c>
      <c r="B102" t="s">
        <v>425</v>
      </c>
      <c r="C102">
        <v>22003443</v>
      </c>
      <c r="D102">
        <v>1204</v>
      </c>
      <c r="E102" s="6">
        <v>44782</v>
      </c>
      <c r="F102" t="s">
        <v>460</v>
      </c>
      <c r="G102">
        <v>107.68</v>
      </c>
      <c r="H102">
        <v>107.68</v>
      </c>
      <c r="I102" t="s">
        <v>263</v>
      </c>
      <c r="J102" t="s">
        <v>263</v>
      </c>
      <c r="L102" s="29">
        <v>1547576.8</v>
      </c>
      <c r="N102" s="29">
        <v>1547576.8</v>
      </c>
      <c r="O102" t="s">
        <v>264</v>
      </c>
      <c r="Q102" t="s">
        <v>264</v>
      </c>
      <c r="R102" t="s">
        <v>265</v>
      </c>
      <c r="S102">
        <v>14369.01</v>
      </c>
      <c r="T102" t="s">
        <v>266</v>
      </c>
      <c r="U102" t="s">
        <v>267</v>
      </c>
      <c r="V102" t="s">
        <v>427</v>
      </c>
      <c r="W102" t="s">
        <v>428</v>
      </c>
      <c r="X102">
        <v>1929299</v>
      </c>
      <c r="Y102" s="6">
        <v>44782</v>
      </c>
      <c r="Z102" t="s">
        <v>264</v>
      </c>
      <c r="AA102">
        <v>1</v>
      </c>
      <c r="AB102" t="s">
        <v>264</v>
      </c>
      <c r="AD102" t="s">
        <v>264</v>
      </c>
      <c r="AE102" t="s">
        <v>264</v>
      </c>
      <c r="AF102" t="s">
        <v>264</v>
      </c>
      <c r="AG102">
        <v>385</v>
      </c>
      <c r="AH102" t="s">
        <v>264</v>
      </c>
      <c r="AI102">
        <v>55413988</v>
      </c>
      <c r="AJ102" t="s">
        <v>460</v>
      </c>
      <c r="AL102" t="s">
        <v>264</v>
      </c>
      <c r="AM102" s="6">
        <v>44782</v>
      </c>
      <c r="AN102" t="s">
        <v>461</v>
      </c>
      <c r="AO102" t="s">
        <v>268</v>
      </c>
      <c r="AP102">
        <v>1204</v>
      </c>
      <c r="AQ102" t="s">
        <v>269</v>
      </c>
      <c r="AR102">
        <v>264850</v>
      </c>
      <c r="AU102" t="s">
        <v>264</v>
      </c>
      <c r="AV102" t="s">
        <v>270</v>
      </c>
      <c r="AX102">
        <v>22001006</v>
      </c>
      <c r="AY102">
        <v>630600</v>
      </c>
      <c r="AZ102">
        <v>1204.6306</v>
      </c>
      <c r="BA102" s="28" t="s">
        <v>124</v>
      </c>
    </row>
    <row r="103" spans="1:53">
      <c r="A103" t="s">
        <v>424</v>
      </c>
      <c r="B103" t="s">
        <v>425</v>
      </c>
      <c r="C103">
        <v>22003444</v>
      </c>
      <c r="D103">
        <v>1204</v>
      </c>
      <c r="E103" s="6">
        <v>44782</v>
      </c>
      <c r="F103" t="s">
        <v>460</v>
      </c>
      <c r="G103" s="29">
        <v>1062.8599999999999</v>
      </c>
      <c r="H103" s="29">
        <v>1062.8599999999999</v>
      </c>
      <c r="I103" t="s">
        <v>263</v>
      </c>
      <c r="J103" t="s">
        <v>263</v>
      </c>
      <c r="L103" s="29">
        <v>15274784</v>
      </c>
      <c r="N103" s="29">
        <v>15274784</v>
      </c>
      <c r="O103" t="s">
        <v>264</v>
      </c>
      <c r="Q103" t="s">
        <v>264</v>
      </c>
      <c r="R103" t="s">
        <v>265</v>
      </c>
      <c r="S103">
        <v>14369.01</v>
      </c>
      <c r="T103" t="s">
        <v>266</v>
      </c>
      <c r="U103" t="s">
        <v>267</v>
      </c>
      <c r="V103" t="s">
        <v>427</v>
      </c>
      <c r="W103" t="s">
        <v>428</v>
      </c>
      <c r="X103">
        <v>1929299</v>
      </c>
      <c r="Y103" s="6">
        <v>44782</v>
      </c>
      <c r="Z103" t="s">
        <v>264</v>
      </c>
      <c r="AA103">
        <v>1</v>
      </c>
      <c r="AB103" t="s">
        <v>264</v>
      </c>
      <c r="AD103" t="s">
        <v>264</v>
      </c>
      <c r="AE103" t="s">
        <v>264</v>
      </c>
      <c r="AF103" t="s">
        <v>264</v>
      </c>
      <c r="AG103" s="29">
        <v>3800</v>
      </c>
      <c r="AH103" t="s">
        <v>264</v>
      </c>
      <c r="AI103">
        <v>55413988</v>
      </c>
      <c r="AJ103" t="s">
        <v>460</v>
      </c>
      <c r="AL103" t="s">
        <v>264</v>
      </c>
      <c r="AM103" s="6">
        <v>44782</v>
      </c>
      <c r="AN103" t="s">
        <v>461</v>
      </c>
      <c r="AO103" t="s">
        <v>268</v>
      </c>
      <c r="AP103">
        <v>1204</v>
      </c>
      <c r="AQ103" t="s">
        <v>269</v>
      </c>
      <c r="AR103">
        <v>264850</v>
      </c>
      <c r="AU103" t="s">
        <v>264</v>
      </c>
      <c r="AV103" t="s">
        <v>270</v>
      </c>
      <c r="AX103">
        <v>22001006</v>
      </c>
      <c r="AY103">
        <v>630600</v>
      </c>
      <c r="AZ103">
        <v>1204.6306</v>
      </c>
      <c r="BA103" s="28" t="s">
        <v>124</v>
      </c>
    </row>
    <row r="104" spans="1:53">
      <c r="A104" t="s">
        <v>424</v>
      </c>
      <c r="B104" t="s">
        <v>425</v>
      </c>
      <c r="C104">
        <v>22003445</v>
      </c>
      <c r="D104">
        <v>1204</v>
      </c>
      <c r="E104" s="6">
        <v>44782</v>
      </c>
      <c r="F104" t="s">
        <v>460</v>
      </c>
      <c r="G104">
        <v>93.98</v>
      </c>
      <c r="H104">
        <v>93.98</v>
      </c>
      <c r="I104" t="s">
        <v>263</v>
      </c>
      <c r="J104" t="s">
        <v>263</v>
      </c>
      <c r="L104" s="29">
        <v>1350612.48</v>
      </c>
      <c r="N104" s="29">
        <v>1350612.48</v>
      </c>
      <c r="O104" t="s">
        <v>264</v>
      </c>
      <c r="Q104" t="s">
        <v>264</v>
      </c>
      <c r="R104" t="s">
        <v>265</v>
      </c>
      <c r="S104">
        <v>14369.01</v>
      </c>
      <c r="T104" t="s">
        <v>266</v>
      </c>
      <c r="U104" t="s">
        <v>267</v>
      </c>
      <c r="V104" t="s">
        <v>427</v>
      </c>
      <c r="W104" t="s">
        <v>428</v>
      </c>
      <c r="X104">
        <v>1929299</v>
      </c>
      <c r="Y104" s="6">
        <v>44782</v>
      </c>
      <c r="Z104" t="s">
        <v>264</v>
      </c>
      <c r="AA104">
        <v>1</v>
      </c>
      <c r="AB104" t="s">
        <v>264</v>
      </c>
      <c r="AD104" t="s">
        <v>264</v>
      </c>
      <c r="AE104" t="s">
        <v>264</v>
      </c>
      <c r="AF104" t="s">
        <v>264</v>
      </c>
      <c r="AG104">
        <v>336</v>
      </c>
      <c r="AH104" t="s">
        <v>264</v>
      </c>
      <c r="AI104">
        <v>55413988</v>
      </c>
      <c r="AJ104" t="s">
        <v>460</v>
      </c>
      <c r="AL104" t="s">
        <v>264</v>
      </c>
      <c r="AM104" s="6">
        <v>44782</v>
      </c>
      <c r="AN104" t="s">
        <v>461</v>
      </c>
      <c r="AO104" t="s">
        <v>268</v>
      </c>
      <c r="AP104">
        <v>1204</v>
      </c>
      <c r="AQ104" t="s">
        <v>269</v>
      </c>
      <c r="AR104">
        <v>264850</v>
      </c>
      <c r="AU104" t="s">
        <v>264</v>
      </c>
      <c r="AV104" t="s">
        <v>270</v>
      </c>
      <c r="AX104">
        <v>22001006</v>
      </c>
      <c r="AY104">
        <v>630600</v>
      </c>
      <c r="AZ104">
        <v>1204.6306</v>
      </c>
      <c r="BA104" s="28" t="s">
        <v>124</v>
      </c>
    </row>
    <row r="105" spans="1:53">
      <c r="A105" t="s">
        <v>424</v>
      </c>
      <c r="B105" t="s">
        <v>425</v>
      </c>
      <c r="C105">
        <v>22003446</v>
      </c>
      <c r="D105">
        <v>1204</v>
      </c>
      <c r="E105" s="6">
        <v>44782</v>
      </c>
      <c r="F105" t="s">
        <v>460</v>
      </c>
      <c r="G105">
        <v>1.68</v>
      </c>
      <c r="H105">
        <v>1.68</v>
      </c>
      <c r="I105" t="s">
        <v>263</v>
      </c>
      <c r="J105" t="s">
        <v>263</v>
      </c>
      <c r="L105" s="29">
        <v>24118.080000000002</v>
      </c>
      <c r="N105" s="29">
        <v>24118.080000000002</v>
      </c>
      <c r="O105" t="s">
        <v>264</v>
      </c>
      <c r="Q105" t="s">
        <v>264</v>
      </c>
      <c r="R105" t="s">
        <v>265</v>
      </c>
      <c r="S105">
        <v>14369.01</v>
      </c>
      <c r="T105" t="s">
        <v>266</v>
      </c>
      <c r="U105" t="s">
        <v>267</v>
      </c>
      <c r="V105" t="s">
        <v>427</v>
      </c>
      <c r="W105" t="s">
        <v>428</v>
      </c>
      <c r="X105">
        <v>1929299</v>
      </c>
      <c r="Y105" s="6">
        <v>44782</v>
      </c>
      <c r="Z105" t="s">
        <v>264</v>
      </c>
      <c r="AA105">
        <v>1</v>
      </c>
      <c r="AB105" t="s">
        <v>264</v>
      </c>
      <c r="AD105" t="s">
        <v>264</v>
      </c>
      <c r="AE105" t="s">
        <v>264</v>
      </c>
      <c r="AF105" t="s">
        <v>264</v>
      </c>
      <c r="AG105">
        <v>6</v>
      </c>
      <c r="AH105" t="s">
        <v>264</v>
      </c>
      <c r="AI105">
        <v>55413988</v>
      </c>
      <c r="AJ105" t="s">
        <v>460</v>
      </c>
      <c r="AL105" t="s">
        <v>264</v>
      </c>
      <c r="AM105" s="6">
        <v>44782</v>
      </c>
      <c r="AN105" t="s">
        <v>461</v>
      </c>
      <c r="AO105" t="s">
        <v>268</v>
      </c>
      <c r="AP105">
        <v>1204</v>
      </c>
      <c r="AQ105" t="s">
        <v>269</v>
      </c>
      <c r="AR105">
        <v>264850</v>
      </c>
      <c r="AU105" t="s">
        <v>264</v>
      </c>
      <c r="AV105" t="s">
        <v>270</v>
      </c>
      <c r="AX105">
        <v>22001006</v>
      </c>
      <c r="AY105">
        <v>630600</v>
      </c>
      <c r="AZ105">
        <v>1204.6306</v>
      </c>
      <c r="BA105" s="28" t="s">
        <v>124</v>
      </c>
    </row>
    <row r="106" spans="1:53">
      <c r="A106" t="s">
        <v>424</v>
      </c>
      <c r="B106" t="s">
        <v>425</v>
      </c>
      <c r="C106">
        <v>22003447</v>
      </c>
      <c r="D106">
        <v>1204</v>
      </c>
      <c r="E106" s="6">
        <v>44782</v>
      </c>
      <c r="F106" t="s">
        <v>460</v>
      </c>
      <c r="G106">
        <v>105.73</v>
      </c>
      <c r="H106">
        <v>105.73</v>
      </c>
      <c r="I106" t="s">
        <v>263</v>
      </c>
      <c r="J106" t="s">
        <v>263</v>
      </c>
      <c r="L106" s="29">
        <v>1519439.04</v>
      </c>
      <c r="N106" s="29">
        <v>1519439.04</v>
      </c>
      <c r="O106" t="s">
        <v>264</v>
      </c>
      <c r="Q106" t="s">
        <v>264</v>
      </c>
      <c r="R106" t="s">
        <v>265</v>
      </c>
      <c r="S106">
        <v>14369.01</v>
      </c>
      <c r="T106" t="s">
        <v>266</v>
      </c>
      <c r="U106" t="s">
        <v>267</v>
      </c>
      <c r="V106" t="s">
        <v>427</v>
      </c>
      <c r="W106" t="s">
        <v>428</v>
      </c>
      <c r="X106">
        <v>1929299</v>
      </c>
      <c r="Y106" s="6">
        <v>44782</v>
      </c>
      <c r="Z106" t="s">
        <v>264</v>
      </c>
      <c r="AA106">
        <v>1</v>
      </c>
      <c r="AB106" t="s">
        <v>264</v>
      </c>
      <c r="AD106" t="s">
        <v>264</v>
      </c>
      <c r="AE106" t="s">
        <v>264</v>
      </c>
      <c r="AF106" t="s">
        <v>264</v>
      </c>
      <c r="AG106">
        <v>378</v>
      </c>
      <c r="AH106" t="s">
        <v>264</v>
      </c>
      <c r="AI106">
        <v>55413988</v>
      </c>
      <c r="AJ106" t="s">
        <v>460</v>
      </c>
      <c r="AL106" t="s">
        <v>264</v>
      </c>
      <c r="AM106" s="6">
        <v>44782</v>
      </c>
      <c r="AN106" t="s">
        <v>461</v>
      </c>
      <c r="AO106" t="s">
        <v>268</v>
      </c>
      <c r="AP106">
        <v>1204</v>
      </c>
      <c r="AQ106" t="s">
        <v>269</v>
      </c>
      <c r="AR106">
        <v>264850</v>
      </c>
      <c r="AU106" t="s">
        <v>264</v>
      </c>
      <c r="AV106" t="s">
        <v>270</v>
      </c>
      <c r="AX106">
        <v>22001006</v>
      </c>
      <c r="AY106">
        <v>630600</v>
      </c>
      <c r="AZ106">
        <v>1204.6306</v>
      </c>
      <c r="BA106" s="28" t="s">
        <v>124</v>
      </c>
    </row>
    <row r="107" spans="1:53">
      <c r="A107" t="s">
        <v>424</v>
      </c>
      <c r="B107" t="s">
        <v>425</v>
      </c>
      <c r="C107">
        <v>22003448</v>
      </c>
      <c r="D107">
        <v>1204</v>
      </c>
      <c r="E107" s="6">
        <v>44782</v>
      </c>
      <c r="F107" t="s">
        <v>460</v>
      </c>
      <c r="G107" s="29">
        <v>1233.48</v>
      </c>
      <c r="H107" s="29">
        <v>1233.48</v>
      </c>
      <c r="I107" t="s">
        <v>263</v>
      </c>
      <c r="J107" t="s">
        <v>263</v>
      </c>
      <c r="L107" s="29">
        <v>17726788.800000001</v>
      </c>
      <c r="N107" s="29">
        <v>17726788.800000001</v>
      </c>
      <c r="O107" t="s">
        <v>264</v>
      </c>
      <c r="Q107" t="s">
        <v>264</v>
      </c>
      <c r="R107" t="s">
        <v>265</v>
      </c>
      <c r="S107">
        <v>14369.01</v>
      </c>
      <c r="T107" t="s">
        <v>266</v>
      </c>
      <c r="U107" t="s">
        <v>267</v>
      </c>
      <c r="V107" t="s">
        <v>427</v>
      </c>
      <c r="W107" t="s">
        <v>428</v>
      </c>
      <c r="X107">
        <v>1929299</v>
      </c>
      <c r="Y107" s="6">
        <v>44782</v>
      </c>
      <c r="Z107" t="s">
        <v>264</v>
      </c>
      <c r="AA107">
        <v>1</v>
      </c>
      <c r="AB107" t="s">
        <v>264</v>
      </c>
      <c r="AD107" t="s">
        <v>264</v>
      </c>
      <c r="AE107" t="s">
        <v>264</v>
      </c>
      <c r="AF107" t="s">
        <v>264</v>
      </c>
      <c r="AG107" s="29">
        <v>4410</v>
      </c>
      <c r="AH107" t="s">
        <v>264</v>
      </c>
      <c r="AI107">
        <v>55413988</v>
      </c>
      <c r="AJ107" t="s">
        <v>460</v>
      </c>
      <c r="AL107" t="s">
        <v>264</v>
      </c>
      <c r="AM107" s="6">
        <v>44782</v>
      </c>
      <c r="AN107" t="s">
        <v>461</v>
      </c>
      <c r="AO107" t="s">
        <v>268</v>
      </c>
      <c r="AP107">
        <v>1204</v>
      </c>
      <c r="AQ107" t="s">
        <v>269</v>
      </c>
      <c r="AR107">
        <v>264850</v>
      </c>
      <c r="AU107" t="s">
        <v>264</v>
      </c>
      <c r="AV107" t="s">
        <v>270</v>
      </c>
      <c r="AX107">
        <v>22001006</v>
      </c>
      <c r="AY107">
        <v>630600</v>
      </c>
      <c r="AZ107">
        <v>1204.6306</v>
      </c>
      <c r="BA107" s="28" t="s">
        <v>124</v>
      </c>
    </row>
    <row r="108" spans="1:53">
      <c r="A108" t="s">
        <v>424</v>
      </c>
      <c r="B108" t="s">
        <v>425</v>
      </c>
      <c r="C108">
        <v>22003449</v>
      </c>
      <c r="D108">
        <v>1204</v>
      </c>
      <c r="E108" s="6">
        <v>44782</v>
      </c>
      <c r="F108" t="s">
        <v>460</v>
      </c>
      <c r="G108">
        <v>201.38</v>
      </c>
      <c r="H108">
        <v>201.38</v>
      </c>
      <c r="I108" t="s">
        <v>263</v>
      </c>
      <c r="J108" t="s">
        <v>263</v>
      </c>
      <c r="L108" s="29">
        <v>2894169.6</v>
      </c>
      <c r="N108" s="29">
        <v>2894169.6</v>
      </c>
      <c r="O108" t="s">
        <v>264</v>
      </c>
      <c r="Q108" t="s">
        <v>264</v>
      </c>
      <c r="R108" t="s">
        <v>265</v>
      </c>
      <c r="S108">
        <v>14369.01</v>
      </c>
      <c r="T108" t="s">
        <v>266</v>
      </c>
      <c r="U108" t="s">
        <v>267</v>
      </c>
      <c r="V108" t="s">
        <v>427</v>
      </c>
      <c r="W108" t="s">
        <v>428</v>
      </c>
      <c r="X108">
        <v>1929299</v>
      </c>
      <c r="Y108" s="6">
        <v>44782</v>
      </c>
      <c r="Z108" t="s">
        <v>264</v>
      </c>
      <c r="AA108">
        <v>1</v>
      </c>
      <c r="AB108" t="s">
        <v>264</v>
      </c>
      <c r="AD108" t="s">
        <v>264</v>
      </c>
      <c r="AE108" t="s">
        <v>264</v>
      </c>
      <c r="AF108" t="s">
        <v>264</v>
      </c>
      <c r="AG108">
        <v>720</v>
      </c>
      <c r="AH108" t="s">
        <v>264</v>
      </c>
      <c r="AI108">
        <v>55413988</v>
      </c>
      <c r="AJ108" t="s">
        <v>460</v>
      </c>
      <c r="AL108" t="s">
        <v>264</v>
      </c>
      <c r="AM108" s="6">
        <v>44782</v>
      </c>
      <c r="AN108" t="s">
        <v>461</v>
      </c>
      <c r="AO108" t="s">
        <v>268</v>
      </c>
      <c r="AP108">
        <v>1204</v>
      </c>
      <c r="AQ108" t="s">
        <v>269</v>
      </c>
      <c r="AR108">
        <v>264850</v>
      </c>
      <c r="AU108" t="s">
        <v>264</v>
      </c>
      <c r="AV108" t="s">
        <v>270</v>
      </c>
      <c r="AX108">
        <v>22001006</v>
      </c>
      <c r="AY108">
        <v>630600</v>
      </c>
      <c r="AZ108">
        <v>1204.6306</v>
      </c>
      <c r="BA108" s="28" t="s">
        <v>124</v>
      </c>
    </row>
    <row r="109" spans="1:53">
      <c r="A109" t="s">
        <v>424</v>
      </c>
      <c r="B109" t="s">
        <v>425</v>
      </c>
      <c r="C109">
        <v>22003450</v>
      </c>
      <c r="D109">
        <v>1204</v>
      </c>
      <c r="E109" s="6">
        <v>44782</v>
      </c>
      <c r="F109" t="s">
        <v>460</v>
      </c>
      <c r="G109">
        <v>117.47</v>
      </c>
      <c r="H109">
        <v>117.47</v>
      </c>
      <c r="I109" t="s">
        <v>263</v>
      </c>
      <c r="J109" t="s">
        <v>263</v>
      </c>
      <c r="L109" s="29">
        <v>1688265.6</v>
      </c>
      <c r="N109" s="29">
        <v>1688265.6</v>
      </c>
      <c r="O109" t="s">
        <v>264</v>
      </c>
      <c r="Q109" t="s">
        <v>264</v>
      </c>
      <c r="R109" t="s">
        <v>265</v>
      </c>
      <c r="S109">
        <v>14369.01</v>
      </c>
      <c r="T109" t="s">
        <v>266</v>
      </c>
      <c r="U109" t="s">
        <v>267</v>
      </c>
      <c r="V109" t="s">
        <v>427</v>
      </c>
      <c r="W109" t="s">
        <v>428</v>
      </c>
      <c r="X109">
        <v>1929299</v>
      </c>
      <c r="Y109" s="6">
        <v>44782</v>
      </c>
      <c r="Z109" t="s">
        <v>264</v>
      </c>
      <c r="AA109">
        <v>1</v>
      </c>
      <c r="AB109" t="s">
        <v>264</v>
      </c>
      <c r="AD109" t="s">
        <v>264</v>
      </c>
      <c r="AE109" t="s">
        <v>264</v>
      </c>
      <c r="AF109" t="s">
        <v>264</v>
      </c>
      <c r="AG109">
        <v>420</v>
      </c>
      <c r="AH109" t="s">
        <v>264</v>
      </c>
      <c r="AI109">
        <v>55413988</v>
      </c>
      <c r="AJ109" t="s">
        <v>460</v>
      </c>
      <c r="AL109" t="s">
        <v>264</v>
      </c>
      <c r="AM109" s="6">
        <v>44782</v>
      </c>
      <c r="AN109" t="s">
        <v>461</v>
      </c>
      <c r="AO109" t="s">
        <v>268</v>
      </c>
      <c r="AP109">
        <v>1204</v>
      </c>
      <c r="AQ109" t="s">
        <v>269</v>
      </c>
      <c r="AR109">
        <v>264850</v>
      </c>
      <c r="AU109" t="s">
        <v>264</v>
      </c>
      <c r="AV109" t="s">
        <v>270</v>
      </c>
      <c r="AX109">
        <v>22001006</v>
      </c>
      <c r="AY109">
        <v>630600</v>
      </c>
      <c r="AZ109">
        <v>1204.6306</v>
      </c>
      <c r="BA109" s="28" t="s">
        <v>124</v>
      </c>
    </row>
    <row r="110" spans="1:53">
      <c r="A110" t="s">
        <v>424</v>
      </c>
      <c r="B110" t="s">
        <v>425</v>
      </c>
      <c r="C110">
        <v>22003451</v>
      </c>
      <c r="D110">
        <v>1204</v>
      </c>
      <c r="E110" s="6">
        <v>44782</v>
      </c>
      <c r="F110" t="s">
        <v>460</v>
      </c>
      <c r="G110">
        <v>0.28000000000000003</v>
      </c>
      <c r="H110">
        <v>0.28000000000000003</v>
      </c>
      <c r="I110" t="s">
        <v>263</v>
      </c>
      <c r="J110" t="s">
        <v>263</v>
      </c>
      <c r="L110" s="29">
        <v>4019.68</v>
      </c>
      <c r="N110" s="29">
        <v>4019.68</v>
      </c>
      <c r="O110" t="s">
        <v>264</v>
      </c>
      <c r="Q110" t="s">
        <v>264</v>
      </c>
      <c r="R110" t="s">
        <v>265</v>
      </c>
      <c r="S110">
        <v>14369.01</v>
      </c>
      <c r="T110" t="s">
        <v>266</v>
      </c>
      <c r="U110" t="s">
        <v>267</v>
      </c>
      <c r="V110" t="s">
        <v>427</v>
      </c>
      <c r="W110" t="s">
        <v>428</v>
      </c>
      <c r="X110">
        <v>1929299</v>
      </c>
      <c r="Y110" s="6">
        <v>44782</v>
      </c>
      <c r="Z110" t="s">
        <v>264</v>
      </c>
      <c r="AA110">
        <v>1</v>
      </c>
      <c r="AB110" t="s">
        <v>264</v>
      </c>
      <c r="AD110" t="s">
        <v>264</v>
      </c>
      <c r="AE110" t="s">
        <v>264</v>
      </c>
      <c r="AF110" t="s">
        <v>264</v>
      </c>
      <c r="AG110">
        <v>1</v>
      </c>
      <c r="AH110" t="s">
        <v>264</v>
      </c>
      <c r="AI110">
        <v>55413988</v>
      </c>
      <c r="AJ110" t="s">
        <v>460</v>
      </c>
      <c r="AL110" t="s">
        <v>264</v>
      </c>
      <c r="AM110" s="6">
        <v>44782</v>
      </c>
      <c r="AN110" t="s">
        <v>461</v>
      </c>
      <c r="AO110" t="s">
        <v>268</v>
      </c>
      <c r="AP110">
        <v>1204</v>
      </c>
      <c r="AQ110" t="s">
        <v>269</v>
      </c>
      <c r="AR110">
        <v>264850</v>
      </c>
      <c r="AU110" t="s">
        <v>264</v>
      </c>
      <c r="AV110" t="s">
        <v>270</v>
      </c>
      <c r="AX110">
        <v>22001006</v>
      </c>
      <c r="AY110">
        <v>630600</v>
      </c>
      <c r="AZ110">
        <v>1204.6306</v>
      </c>
      <c r="BA110" s="28" t="s">
        <v>124</v>
      </c>
    </row>
    <row r="111" spans="1:53">
      <c r="A111" t="s">
        <v>424</v>
      </c>
      <c r="B111" t="s">
        <v>425</v>
      </c>
      <c r="C111">
        <v>22003452</v>
      </c>
      <c r="D111">
        <v>1204</v>
      </c>
      <c r="E111" s="6">
        <v>44782</v>
      </c>
      <c r="F111" t="s">
        <v>460</v>
      </c>
      <c r="G111">
        <v>0.56000000000000005</v>
      </c>
      <c r="H111">
        <v>0.56000000000000005</v>
      </c>
      <c r="I111" t="s">
        <v>263</v>
      </c>
      <c r="J111" t="s">
        <v>263</v>
      </c>
      <c r="L111" s="29">
        <v>8039.36</v>
      </c>
      <c r="N111" s="29">
        <v>8039.36</v>
      </c>
      <c r="O111" t="s">
        <v>264</v>
      </c>
      <c r="Q111" t="s">
        <v>264</v>
      </c>
      <c r="R111" t="s">
        <v>265</v>
      </c>
      <c r="S111">
        <v>14369.01</v>
      </c>
      <c r="T111" t="s">
        <v>266</v>
      </c>
      <c r="U111" t="s">
        <v>267</v>
      </c>
      <c r="V111" t="s">
        <v>427</v>
      </c>
      <c r="W111" t="s">
        <v>428</v>
      </c>
      <c r="X111">
        <v>1929299</v>
      </c>
      <c r="Y111" s="6">
        <v>44782</v>
      </c>
      <c r="Z111" t="s">
        <v>264</v>
      </c>
      <c r="AA111">
        <v>1</v>
      </c>
      <c r="AB111" t="s">
        <v>264</v>
      </c>
      <c r="AD111" t="s">
        <v>264</v>
      </c>
      <c r="AE111" t="s">
        <v>264</v>
      </c>
      <c r="AF111" t="s">
        <v>264</v>
      </c>
      <c r="AG111">
        <v>2</v>
      </c>
      <c r="AH111" t="s">
        <v>264</v>
      </c>
      <c r="AI111">
        <v>55413988</v>
      </c>
      <c r="AJ111" t="s">
        <v>460</v>
      </c>
      <c r="AL111" t="s">
        <v>264</v>
      </c>
      <c r="AM111" s="6">
        <v>44782</v>
      </c>
      <c r="AN111" t="s">
        <v>461</v>
      </c>
      <c r="AO111" t="s">
        <v>268</v>
      </c>
      <c r="AP111">
        <v>1204</v>
      </c>
      <c r="AQ111" t="s">
        <v>269</v>
      </c>
      <c r="AR111">
        <v>264850</v>
      </c>
      <c r="AU111" t="s">
        <v>264</v>
      </c>
      <c r="AV111" t="s">
        <v>270</v>
      </c>
      <c r="AX111">
        <v>22001006</v>
      </c>
      <c r="AY111">
        <v>630600</v>
      </c>
      <c r="AZ111">
        <v>1204.6306</v>
      </c>
      <c r="BA111" s="28" t="s">
        <v>124</v>
      </c>
    </row>
    <row r="112" spans="1:53">
      <c r="A112" t="s">
        <v>424</v>
      </c>
      <c r="B112" t="s">
        <v>425</v>
      </c>
      <c r="C112">
        <v>22003453</v>
      </c>
      <c r="D112">
        <v>1204</v>
      </c>
      <c r="E112" s="6">
        <v>44782</v>
      </c>
      <c r="F112" t="s">
        <v>460</v>
      </c>
      <c r="G112">
        <v>285.01</v>
      </c>
      <c r="H112">
        <v>285.01</v>
      </c>
      <c r="I112" t="s">
        <v>263</v>
      </c>
      <c r="J112" t="s">
        <v>263</v>
      </c>
      <c r="L112" s="29">
        <v>4096053.92</v>
      </c>
      <c r="N112" s="29">
        <v>4096053.92</v>
      </c>
      <c r="O112" t="s">
        <v>264</v>
      </c>
      <c r="Q112" t="s">
        <v>264</v>
      </c>
      <c r="R112" t="s">
        <v>265</v>
      </c>
      <c r="S112">
        <v>14369.01</v>
      </c>
      <c r="T112" t="s">
        <v>266</v>
      </c>
      <c r="U112" t="s">
        <v>267</v>
      </c>
      <c r="V112" t="s">
        <v>427</v>
      </c>
      <c r="W112" t="s">
        <v>428</v>
      </c>
      <c r="X112">
        <v>1929299</v>
      </c>
      <c r="Y112" s="6">
        <v>44782</v>
      </c>
      <c r="Z112" t="s">
        <v>264</v>
      </c>
      <c r="AA112">
        <v>1</v>
      </c>
      <c r="AB112" t="s">
        <v>264</v>
      </c>
      <c r="AD112" t="s">
        <v>264</v>
      </c>
      <c r="AE112" t="s">
        <v>264</v>
      </c>
      <c r="AF112" t="s">
        <v>264</v>
      </c>
      <c r="AG112" s="29">
        <v>1019</v>
      </c>
      <c r="AH112" t="s">
        <v>264</v>
      </c>
      <c r="AI112">
        <v>55413988</v>
      </c>
      <c r="AJ112" t="s">
        <v>460</v>
      </c>
      <c r="AL112" t="s">
        <v>264</v>
      </c>
      <c r="AM112" s="6">
        <v>44782</v>
      </c>
      <c r="AN112" t="s">
        <v>461</v>
      </c>
      <c r="AO112" t="s">
        <v>268</v>
      </c>
      <c r="AP112">
        <v>1204</v>
      </c>
      <c r="AQ112" t="s">
        <v>269</v>
      </c>
      <c r="AR112">
        <v>264850</v>
      </c>
      <c r="AU112" t="s">
        <v>264</v>
      </c>
      <c r="AV112" t="s">
        <v>270</v>
      </c>
      <c r="AX112">
        <v>22001006</v>
      </c>
      <c r="AY112">
        <v>630600</v>
      </c>
      <c r="AZ112">
        <v>1204.6306</v>
      </c>
      <c r="BA112" s="28" t="s">
        <v>124</v>
      </c>
    </row>
    <row r="113" spans="1:53">
      <c r="A113" t="s">
        <v>424</v>
      </c>
      <c r="B113" t="s">
        <v>425</v>
      </c>
      <c r="C113">
        <v>22003454</v>
      </c>
      <c r="D113">
        <v>1204</v>
      </c>
      <c r="E113" s="6">
        <v>44782</v>
      </c>
      <c r="F113" t="s">
        <v>460</v>
      </c>
      <c r="G113">
        <v>23.77</v>
      </c>
      <c r="H113">
        <v>23.77</v>
      </c>
      <c r="I113" t="s">
        <v>263</v>
      </c>
      <c r="J113" t="s">
        <v>263</v>
      </c>
      <c r="L113" s="29">
        <v>341672.8</v>
      </c>
      <c r="N113" s="29">
        <v>341672.8</v>
      </c>
      <c r="O113" t="s">
        <v>264</v>
      </c>
      <c r="Q113" t="s">
        <v>264</v>
      </c>
      <c r="R113" t="s">
        <v>265</v>
      </c>
      <c r="S113">
        <v>14369.01</v>
      </c>
      <c r="T113" t="s">
        <v>266</v>
      </c>
      <c r="U113" t="s">
        <v>267</v>
      </c>
      <c r="V113" t="s">
        <v>427</v>
      </c>
      <c r="W113" t="s">
        <v>428</v>
      </c>
      <c r="X113">
        <v>1929299</v>
      </c>
      <c r="Y113" s="6">
        <v>44782</v>
      </c>
      <c r="Z113" t="s">
        <v>264</v>
      </c>
      <c r="AA113">
        <v>1</v>
      </c>
      <c r="AB113" t="s">
        <v>264</v>
      </c>
      <c r="AD113" t="s">
        <v>264</v>
      </c>
      <c r="AE113" t="s">
        <v>264</v>
      </c>
      <c r="AF113" t="s">
        <v>264</v>
      </c>
      <c r="AG113">
        <v>85</v>
      </c>
      <c r="AH113" t="s">
        <v>264</v>
      </c>
      <c r="AI113">
        <v>55413988</v>
      </c>
      <c r="AJ113" t="s">
        <v>460</v>
      </c>
      <c r="AL113" t="s">
        <v>264</v>
      </c>
      <c r="AM113" s="6">
        <v>44782</v>
      </c>
      <c r="AN113" t="s">
        <v>461</v>
      </c>
      <c r="AO113" t="s">
        <v>268</v>
      </c>
      <c r="AP113">
        <v>1204</v>
      </c>
      <c r="AQ113" t="s">
        <v>269</v>
      </c>
      <c r="AR113">
        <v>264850</v>
      </c>
      <c r="AU113" t="s">
        <v>264</v>
      </c>
      <c r="AV113" t="s">
        <v>270</v>
      </c>
      <c r="AX113">
        <v>22001006</v>
      </c>
      <c r="AY113">
        <v>630600</v>
      </c>
      <c r="AZ113">
        <v>1204.6306</v>
      </c>
      <c r="BA113" s="28" t="s">
        <v>124</v>
      </c>
    </row>
    <row r="114" spans="1:53">
      <c r="A114" t="s">
        <v>424</v>
      </c>
      <c r="B114" t="s">
        <v>425</v>
      </c>
      <c r="C114">
        <v>22003455</v>
      </c>
      <c r="D114">
        <v>1204</v>
      </c>
      <c r="E114" s="6">
        <v>44782</v>
      </c>
      <c r="F114" t="s">
        <v>460</v>
      </c>
      <c r="G114">
        <v>0.28000000000000003</v>
      </c>
      <c r="H114">
        <v>0.28000000000000003</v>
      </c>
      <c r="I114" t="s">
        <v>263</v>
      </c>
      <c r="J114" t="s">
        <v>263</v>
      </c>
      <c r="L114" s="29">
        <v>4019.68</v>
      </c>
      <c r="N114" s="29">
        <v>4019.68</v>
      </c>
      <c r="O114" t="s">
        <v>264</v>
      </c>
      <c r="Q114" t="s">
        <v>264</v>
      </c>
      <c r="R114" t="s">
        <v>265</v>
      </c>
      <c r="S114">
        <v>14369.01</v>
      </c>
      <c r="T114" t="s">
        <v>266</v>
      </c>
      <c r="U114" t="s">
        <v>267</v>
      </c>
      <c r="V114" t="s">
        <v>427</v>
      </c>
      <c r="W114" t="s">
        <v>428</v>
      </c>
      <c r="X114">
        <v>1929299</v>
      </c>
      <c r="Y114" s="6">
        <v>44782</v>
      </c>
      <c r="Z114" t="s">
        <v>264</v>
      </c>
      <c r="AA114">
        <v>1</v>
      </c>
      <c r="AB114" t="s">
        <v>264</v>
      </c>
      <c r="AD114" t="s">
        <v>264</v>
      </c>
      <c r="AE114" t="s">
        <v>264</v>
      </c>
      <c r="AF114" t="s">
        <v>264</v>
      </c>
      <c r="AG114">
        <v>1</v>
      </c>
      <c r="AH114" t="s">
        <v>264</v>
      </c>
      <c r="AI114">
        <v>55413988</v>
      </c>
      <c r="AJ114" t="s">
        <v>460</v>
      </c>
      <c r="AL114" t="s">
        <v>264</v>
      </c>
      <c r="AM114" s="6">
        <v>44782</v>
      </c>
      <c r="AN114" t="s">
        <v>461</v>
      </c>
      <c r="AO114" t="s">
        <v>268</v>
      </c>
      <c r="AP114">
        <v>1204</v>
      </c>
      <c r="AQ114" t="s">
        <v>269</v>
      </c>
      <c r="AR114">
        <v>264850</v>
      </c>
      <c r="AU114" t="s">
        <v>264</v>
      </c>
      <c r="AV114" t="s">
        <v>270</v>
      </c>
      <c r="AX114">
        <v>22001006</v>
      </c>
      <c r="AY114">
        <v>630600</v>
      </c>
      <c r="AZ114">
        <v>1204.6306</v>
      </c>
      <c r="BA114" s="28" t="s">
        <v>124</v>
      </c>
    </row>
    <row r="115" spans="1:53">
      <c r="A115" t="s">
        <v>424</v>
      </c>
      <c r="B115" t="s">
        <v>425</v>
      </c>
      <c r="C115">
        <v>22003456</v>
      </c>
      <c r="D115">
        <v>1204</v>
      </c>
      <c r="E115" s="6">
        <v>44782</v>
      </c>
      <c r="F115" t="s">
        <v>460</v>
      </c>
      <c r="G115">
        <v>144.88</v>
      </c>
      <c r="H115">
        <v>144.88</v>
      </c>
      <c r="I115" t="s">
        <v>263</v>
      </c>
      <c r="J115" t="s">
        <v>263</v>
      </c>
      <c r="L115" s="29">
        <v>2082194.24</v>
      </c>
      <c r="N115" s="29">
        <v>2082194.24</v>
      </c>
      <c r="O115" t="s">
        <v>264</v>
      </c>
      <c r="Q115" t="s">
        <v>264</v>
      </c>
      <c r="R115" t="s">
        <v>265</v>
      </c>
      <c r="S115">
        <v>14369.01</v>
      </c>
      <c r="T115" t="s">
        <v>266</v>
      </c>
      <c r="U115" t="s">
        <v>267</v>
      </c>
      <c r="V115" t="s">
        <v>427</v>
      </c>
      <c r="W115" t="s">
        <v>428</v>
      </c>
      <c r="X115">
        <v>1929299</v>
      </c>
      <c r="Y115" s="6">
        <v>44782</v>
      </c>
      <c r="Z115" t="s">
        <v>264</v>
      </c>
      <c r="AA115">
        <v>1</v>
      </c>
      <c r="AB115" t="s">
        <v>264</v>
      </c>
      <c r="AD115" t="s">
        <v>264</v>
      </c>
      <c r="AE115" t="s">
        <v>264</v>
      </c>
      <c r="AF115" t="s">
        <v>264</v>
      </c>
      <c r="AG115">
        <v>518</v>
      </c>
      <c r="AH115" t="s">
        <v>264</v>
      </c>
      <c r="AI115">
        <v>55413988</v>
      </c>
      <c r="AJ115" t="s">
        <v>460</v>
      </c>
      <c r="AL115" t="s">
        <v>264</v>
      </c>
      <c r="AM115" s="6">
        <v>44782</v>
      </c>
      <c r="AN115" t="s">
        <v>461</v>
      </c>
      <c r="AO115" t="s">
        <v>268</v>
      </c>
      <c r="AP115">
        <v>1204</v>
      </c>
      <c r="AQ115" t="s">
        <v>269</v>
      </c>
      <c r="AR115">
        <v>264850</v>
      </c>
      <c r="AU115" t="s">
        <v>264</v>
      </c>
      <c r="AV115" t="s">
        <v>270</v>
      </c>
      <c r="AX115">
        <v>22001006</v>
      </c>
      <c r="AY115">
        <v>630600</v>
      </c>
      <c r="AZ115">
        <v>1204.6306</v>
      </c>
      <c r="BA115" s="28" t="s">
        <v>124</v>
      </c>
    </row>
    <row r="116" spans="1:53">
      <c r="A116" t="s">
        <v>424</v>
      </c>
      <c r="B116" t="s">
        <v>425</v>
      </c>
      <c r="C116">
        <v>22003457</v>
      </c>
      <c r="D116">
        <v>1204</v>
      </c>
      <c r="E116" s="6">
        <v>44782</v>
      </c>
      <c r="F116" t="s">
        <v>460</v>
      </c>
      <c r="G116">
        <v>392.7</v>
      </c>
      <c r="H116">
        <v>392.7</v>
      </c>
      <c r="I116" t="s">
        <v>263</v>
      </c>
      <c r="J116" t="s">
        <v>263</v>
      </c>
      <c r="L116" s="29">
        <v>5643630.7199999997</v>
      </c>
      <c r="N116" s="29">
        <v>5643630.7199999997</v>
      </c>
      <c r="O116" t="s">
        <v>264</v>
      </c>
      <c r="Q116" t="s">
        <v>264</v>
      </c>
      <c r="R116" t="s">
        <v>265</v>
      </c>
      <c r="S116">
        <v>14369.01</v>
      </c>
      <c r="T116" t="s">
        <v>266</v>
      </c>
      <c r="U116" t="s">
        <v>267</v>
      </c>
      <c r="V116" t="s">
        <v>427</v>
      </c>
      <c r="W116" t="s">
        <v>428</v>
      </c>
      <c r="X116">
        <v>1929299</v>
      </c>
      <c r="Y116" s="6">
        <v>44782</v>
      </c>
      <c r="Z116" t="s">
        <v>264</v>
      </c>
      <c r="AA116">
        <v>1</v>
      </c>
      <c r="AB116" t="s">
        <v>264</v>
      </c>
      <c r="AD116" t="s">
        <v>264</v>
      </c>
      <c r="AE116" t="s">
        <v>264</v>
      </c>
      <c r="AF116" t="s">
        <v>264</v>
      </c>
      <c r="AG116" s="29">
        <v>1404</v>
      </c>
      <c r="AH116" t="s">
        <v>264</v>
      </c>
      <c r="AI116">
        <v>55413988</v>
      </c>
      <c r="AJ116" t="s">
        <v>460</v>
      </c>
      <c r="AL116" t="s">
        <v>264</v>
      </c>
      <c r="AM116" s="6">
        <v>44782</v>
      </c>
      <c r="AN116" t="s">
        <v>461</v>
      </c>
      <c r="AO116" t="s">
        <v>268</v>
      </c>
      <c r="AP116">
        <v>1204</v>
      </c>
      <c r="AQ116" t="s">
        <v>269</v>
      </c>
      <c r="AR116">
        <v>264850</v>
      </c>
      <c r="AU116" t="s">
        <v>264</v>
      </c>
      <c r="AV116" t="s">
        <v>270</v>
      </c>
      <c r="AX116">
        <v>22001006</v>
      </c>
      <c r="AY116">
        <v>630600</v>
      </c>
      <c r="AZ116">
        <v>1204.6306</v>
      </c>
      <c r="BA116" s="28" t="s">
        <v>124</v>
      </c>
    </row>
    <row r="117" spans="1:53">
      <c r="A117" t="s">
        <v>424</v>
      </c>
      <c r="B117" t="s">
        <v>425</v>
      </c>
      <c r="C117">
        <v>22003458</v>
      </c>
      <c r="D117">
        <v>1204</v>
      </c>
      <c r="E117" s="6">
        <v>44782</v>
      </c>
      <c r="F117" t="s">
        <v>460</v>
      </c>
      <c r="G117">
        <v>107.4</v>
      </c>
      <c r="H117">
        <v>107.4</v>
      </c>
      <c r="I117" t="s">
        <v>263</v>
      </c>
      <c r="J117" t="s">
        <v>263</v>
      </c>
      <c r="L117" s="29">
        <v>1543557.1200000001</v>
      </c>
      <c r="N117" s="29">
        <v>1543557.1200000001</v>
      </c>
      <c r="O117" t="s">
        <v>264</v>
      </c>
      <c r="Q117" t="s">
        <v>264</v>
      </c>
      <c r="R117" t="s">
        <v>265</v>
      </c>
      <c r="S117">
        <v>14369.01</v>
      </c>
      <c r="T117" t="s">
        <v>266</v>
      </c>
      <c r="U117" t="s">
        <v>267</v>
      </c>
      <c r="V117" t="s">
        <v>427</v>
      </c>
      <c r="W117" t="s">
        <v>428</v>
      </c>
      <c r="X117">
        <v>1929306</v>
      </c>
      <c r="Y117" s="6">
        <v>44782</v>
      </c>
      <c r="Z117" t="s">
        <v>264</v>
      </c>
      <c r="AA117">
        <v>1</v>
      </c>
      <c r="AB117" t="s">
        <v>264</v>
      </c>
      <c r="AD117" t="s">
        <v>264</v>
      </c>
      <c r="AE117" t="s">
        <v>264</v>
      </c>
      <c r="AF117" t="s">
        <v>264</v>
      </c>
      <c r="AG117">
        <v>384</v>
      </c>
      <c r="AH117" t="s">
        <v>264</v>
      </c>
      <c r="AI117">
        <v>55413988</v>
      </c>
      <c r="AJ117" t="s">
        <v>460</v>
      </c>
      <c r="AL117" t="s">
        <v>264</v>
      </c>
      <c r="AM117" s="6">
        <v>44782</v>
      </c>
      <c r="AN117" t="s">
        <v>461</v>
      </c>
      <c r="AO117" t="s">
        <v>268</v>
      </c>
      <c r="AP117">
        <v>1204</v>
      </c>
      <c r="AQ117" t="s">
        <v>269</v>
      </c>
      <c r="AR117">
        <v>264850</v>
      </c>
      <c r="AU117" t="s">
        <v>264</v>
      </c>
      <c r="AV117" t="s">
        <v>270</v>
      </c>
      <c r="AX117">
        <v>22001006</v>
      </c>
      <c r="AY117">
        <v>630600</v>
      </c>
      <c r="AZ117">
        <v>1204.6306</v>
      </c>
      <c r="BA117" s="28" t="s">
        <v>124</v>
      </c>
    </row>
    <row r="118" spans="1:53">
      <c r="A118" t="s">
        <v>424</v>
      </c>
      <c r="B118" t="s">
        <v>425</v>
      </c>
      <c r="C118">
        <v>22003459</v>
      </c>
      <c r="D118">
        <v>1204</v>
      </c>
      <c r="E118" s="6">
        <v>44782</v>
      </c>
      <c r="F118" t="s">
        <v>460</v>
      </c>
      <c r="G118">
        <v>1.4</v>
      </c>
      <c r="H118">
        <v>1.4</v>
      </c>
      <c r="I118" t="s">
        <v>263</v>
      </c>
      <c r="J118" t="s">
        <v>263</v>
      </c>
      <c r="L118" s="29">
        <v>20098.400000000001</v>
      </c>
      <c r="N118" s="29">
        <v>20098.400000000001</v>
      </c>
      <c r="O118" t="s">
        <v>264</v>
      </c>
      <c r="Q118" t="s">
        <v>264</v>
      </c>
      <c r="R118" t="s">
        <v>265</v>
      </c>
      <c r="S118">
        <v>14369.01</v>
      </c>
      <c r="T118" t="s">
        <v>266</v>
      </c>
      <c r="U118" t="s">
        <v>267</v>
      </c>
      <c r="V118" t="s">
        <v>427</v>
      </c>
      <c r="W118" t="s">
        <v>428</v>
      </c>
      <c r="X118">
        <v>1929306</v>
      </c>
      <c r="Y118" s="6">
        <v>44782</v>
      </c>
      <c r="Z118" t="s">
        <v>264</v>
      </c>
      <c r="AA118">
        <v>1</v>
      </c>
      <c r="AB118" t="s">
        <v>264</v>
      </c>
      <c r="AD118" t="s">
        <v>264</v>
      </c>
      <c r="AE118" t="s">
        <v>264</v>
      </c>
      <c r="AF118" t="s">
        <v>264</v>
      </c>
      <c r="AG118">
        <v>5</v>
      </c>
      <c r="AH118" t="s">
        <v>264</v>
      </c>
      <c r="AI118">
        <v>55413988</v>
      </c>
      <c r="AJ118" t="s">
        <v>460</v>
      </c>
      <c r="AL118" t="s">
        <v>264</v>
      </c>
      <c r="AM118" s="6">
        <v>44782</v>
      </c>
      <c r="AN118" t="s">
        <v>461</v>
      </c>
      <c r="AO118" t="s">
        <v>268</v>
      </c>
      <c r="AP118">
        <v>1204</v>
      </c>
      <c r="AQ118" t="s">
        <v>269</v>
      </c>
      <c r="AR118">
        <v>264850</v>
      </c>
      <c r="AU118" t="s">
        <v>264</v>
      </c>
      <c r="AV118" t="s">
        <v>270</v>
      </c>
      <c r="AX118">
        <v>22001006</v>
      </c>
      <c r="AY118">
        <v>630600</v>
      </c>
      <c r="AZ118">
        <v>1204.6306</v>
      </c>
      <c r="BA118" s="28" t="s">
        <v>124</v>
      </c>
    </row>
    <row r="119" spans="1:53">
      <c r="A119" t="s">
        <v>424</v>
      </c>
      <c r="B119" t="s">
        <v>425</v>
      </c>
      <c r="C119">
        <v>22003460</v>
      </c>
      <c r="D119">
        <v>1204</v>
      </c>
      <c r="E119" s="6">
        <v>44782</v>
      </c>
      <c r="F119" t="s">
        <v>460</v>
      </c>
      <c r="G119">
        <v>0.28000000000000003</v>
      </c>
      <c r="H119">
        <v>0.28000000000000003</v>
      </c>
      <c r="I119" t="s">
        <v>263</v>
      </c>
      <c r="J119" t="s">
        <v>263</v>
      </c>
      <c r="L119" s="29">
        <v>4019.68</v>
      </c>
      <c r="N119" s="29">
        <v>4019.68</v>
      </c>
      <c r="O119" t="s">
        <v>264</v>
      </c>
      <c r="Q119" t="s">
        <v>264</v>
      </c>
      <c r="R119" t="s">
        <v>265</v>
      </c>
      <c r="S119">
        <v>14369.01</v>
      </c>
      <c r="T119" t="s">
        <v>266</v>
      </c>
      <c r="U119" t="s">
        <v>267</v>
      </c>
      <c r="V119" t="s">
        <v>427</v>
      </c>
      <c r="W119" t="s">
        <v>428</v>
      </c>
      <c r="X119">
        <v>1929306</v>
      </c>
      <c r="Y119" s="6">
        <v>44782</v>
      </c>
      <c r="Z119" t="s">
        <v>264</v>
      </c>
      <c r="AA119">
        <v>1</v>
      </c>
      <c r="AB119" t="s">
        <v>264</v>
      </c>
      <c r="AD119" t="s">
        <v>264</v>
      </c>
      <c r="AE119" t="s">
        <v>264</v>
      </c>
      <c r="AF119" t="s">
        <v>264</v>
      </c>
      <c r="AG119">
        <v>1</v>
      </c>
      <c r="AH119" t="s">
        <v>264</v>
      </c>
      <c r="AI119">
        <v>55413988</v>
      </c>
      <c r="AJ119" t="s">
        <v>460</v>
      </c>
      <c r="AL119" t="s">
        <v>264</v>
      </c>
      <c r="AM119" s="6">
        <v>44782</v>
      </c>
      <c r="AN119" t="s">
        <v>461</v>
      </c>
      <c r="AO119" t="s">
        <v>268</v>
      </c>
      <c r="AP119">
        <v>1204</v>
      </c>
      <c r="AQ119" t="s">
        <v>269</v>
      </c>
      <c r="AR119">
        <v>264850</v>
      </c>
      <c r="AU119" t="s">
        <v>264</v>
      </c>
      <c r="AV119" t="s">
        <v>270</v>
      </c>
      <c r="AX119">
        <v>22001006</v>
      </c>
      <c r="AY119">
        <v>630600</v>
      </c>
      <c r="AZ119">
        <v>1204.6306</v>
      </c>
      <c r="BA119" s="28" t="s">
        <v>124</v>
      </c>
    </row>
    <row r="120" spans="1:53">
      <c r="A120" t="s">
        <v>424</v>
      </c>
      <c r="B120" t="s">
        <v>425</v>
      </c>
      <c r="C120">
        <v>22003461</v>
      </c>
      <c r="D120">
        <v>1204</v>
      </c>
      <c r="E120" s="6">
        <v>44782</v>
      </c>
      <c r="F120" t="s">
        <v>460</v>
      </c>
      <c r="G120">
        <v>63.21</v>
      </c>
      <c r="H120">
        <v>63.21</v>
      </c>
      <c r="I120" t="s">
        <v>263</v>
      </c>
      <c r="J120" t="s">
        <v>263</v>
      </c>
      <c r="L120" s="29">
        <v>908447.68</v>
      </c>
      <c r="N120" s="29">
        <v>908447.68</v>
      </c>
      <c r="O120" t="s">
        <v>264</v>
      </c>
      <c r="Q120" t="s">
        <v>264</v>
      </c>
      <c r="R120" t="s">
        <v>265</v>
      </c>
      <c r="S120">
        <v>14369.01</v>
      </c>
      <c r="T120" t="s">
        <v>266</v>
      </c>
      <c r="U120" t="s">
        <v>267</v>
      </c>
      <c r="V120" t="s">
        <v>427</v>
      </c>
      <c r="W120" t="s">
        <v>428</v>
      </c>
      <c r="X120">
        <v>1929306</v>
      </c>
      <c r="Y120" s="6">
        <v>44782</v>
      </c>
      <c r="Z120" t="s">
        <v>264</v>
      </c>
      <c r="AA120">
        <v>1</v>
      </c>
      <c r="AB120" t="s">
        <v>264</v>
      </c>
      <c r="AD120" t="s">
        <v>264</v>
      </c>
      <c r="AE120" t="s">
        <v>264</v>
      </c>
      <c r="AF120" t="s">
        <v>264</v>
      </c>
      <c r="AG120">
        <v>226</v>
      </c>
      <c r="AH120" t="s">
        <v>264</v>
      </c>
      <c r="AI120">
        <v>55413988</v>
      </c>
      <c r="AJ120" t="s">
        <v>460</v>
      </c>
      <c r="AL120" t="s">
        <v>264</v>
      </c>
      <c r="AM120" s="6">
        <v>44782</v>
      </c>
      <c r="AN120" t="s">
        <v>461</v>
      </c>
      <c r="AO120" t="s">
        <v>268</v>
      </c>
      <c r="AP120">
        <v>1204</v>
      </c>
      <c r="AQ120" t="s">
        <v>269</v>
      </c>
      <c r="AR120">
        <v>264850</v>
      </c>
      <c r="AU120" t="s">
        <v>264</v>
      </c>
      <c r="AV120" t="s">
        <v>270</v>
      </c>
      <c r="AX120">
        <v>22001006</v>
      </c>
      <c r="AY120">
        <v>630600</v>
      </c>
      <c r="AZ120">
        <v>1204.6306</v>
      </c>
      <c r="BA120" s="28" t="s">
        <v>124</v>
      </c>
    </row>
    <row r="121" spans="1:53">
      <c r="A121" t="s">
        <v>424</v>
      </c>
      <c r="B121" t="s">
        <v>425</v>
      </c>
      <c r="C121">
        <v>22003462</v>
      </c>
      <c r="D121">
        <v>1204</v>
      </c>
      <c r="E121" s="6">
        <v>44782</v>
      </c>
      <c r="F121" t="s">
        <v>460</v>
      </c>
      <c r="G121">
        <v>0.84</v>
      </c>
      <c r="H121">
        <v>0.84</v>
      </c>
      <c r="I121" t="s">
        <v>263</v>
      </c>
      <c r="J121" t="s">
        <v>263</v>
      </c>
      <c r="L121" s="29">
        <v>12059.04</v>
      </c>
      <c r="N121" s="29">
        <v>12059.04</v>
      </c>
      <c r="O121" t="s">
        <v>264</v>
      </c>
      <c r="Q121" t="s">
        <v>264</v>
      </c>
      <c r="R121" t="s">
        <v>265</v>
      </c>
      <c r="S121">
        <v>14369.01</v>
      </c>
      <c r="T121" t="s">
        <v>266</v>
      </c>
      <c r="U121" t="s">
        <v>267</v>
      </c>
      <c r="V121" t="s">
        <v>427</v>
      </c>
      <c r="W121" t="s">
        <v>428</v>
      </c>
      <c r="X121">
        <v>1929306</v>
      </c>
      <c r="Y121" s="6">
        <v>44782</v>
      </c>
      <c r="Z121" t="s">
        <v>264</v>
      </c>
      <c r="AA121">
        <v>1</v>
      </c>
      <c r="AB121" t="s">
        <v>264</v>
      </c>
      <c r="AD121" t="s">
        <v>264</v>
      </c>
      <c r="AE121" t="s">
        <v>264</v>
      </c>
      <c r="AF121" t="s">
        <v>264</v>
      </c>
      <c r="AG121">
        <v>3</v>
      </c>
      <c r="AH121" t="s">
        <v>264</v>
      </c>
      <c r="AI121">
        <v>55413988</v>
      </c>
      <c r="AJ121" t="s">
        <v>460</v>
      </c>
      <c r="AL121" t="s">
        <v>264</v>
      </c>
      <c r="AM121" s="6">
        <v>44782</v>
      </c>
      <c r="AN121" t="s">
        <v>461</v>
      </c>
      <c r="AO121" t="s">
        <v>268</v>
      </c>
      <c r="AP121">
        <v>1204</v>
      </c>
      <c r="AQ121" t="s">
        <v>269</v>
      </c>
      <c r="AR121">
        <v>264850</v>
      </c>
      <c r="AU121" t="s">
        <v>264</v>
      </c>
      <c r="AV121" t="s">
        <v>270</v>
      </c>
      <c r="AX121">
        <v>22001006</v>
      </c>
      <c r="AY121">
        <v>630600</v>
      </c>
      <c r="AZ121">
        <v>1204.6306</v>
      </c>
      <c r="BA121" s="28" t="s">
        <v>124</v>
      </c>
    </row>
    <row r="122" spans="1:53">
      <c r="A122" t="s">
        <v>424</v>
      </c>
      <c r="B122" t="s">
        <v>425</v>
      </c>
      <c r="C122">
        <v>22003463</v>
      </c>
      <c r="D122">
        <v>1204</v>
      </c>
      <c r="E122" s="6">
        <v>44782</v>
      </c>
      <c r="F122" t="s">
        <v>460</v>
      </c>
      <c r="G122" s="29">
        <v>1114.05</v>
      </c>
      <c r="H122" s="29">
        <v>1114.05</v>
      </c>
      <c r="I122" t="s">
        <v>263</v>
      </c>
      <c r="J122" t="s">
        <v>263</v>
      </c>
      <c r="L122" s="29">
        <v>16010385.439999999</v>
      </c>
      <c r="N122" s="29">
        <v>16010385.439999999</v>
      </c>
      <c r="O122" t="s">
        <v>264</v>
      </c>
      <c r="Q122" t="s">
        <v>264</v>
      </c>
      <c r="R122" t="s">
        <v>265</v>
      </c>
      <c r="S122">
        <v>14369.01</v>
      </c>
      <c r="T122" t="s">
        <v>266</v>
      </c>
      <c r="U122" t="s">
        <v>267</v>
      </c>
      <c r="V122" t="s">
        <v>427</v>
      </c>
      <c r="W122" t="s">
        <v>428</v>
      </c>
      <c r="X122">
        <v>1929306</v>
      </c>
      <c r="Y122" s="6">
        <v>44782</v>
      </c>
      <c r="Z122" t="s">
        <v>264</v>
      </c>
      <c r="AA122">
        <v>1</v>
      </c>
      <c r="AB122" t="s">
        <v>264</v>
      </c>
      <c r="AD122" t="s">
        <v>264</v>
      </c>
      <c r="AE122" t="s">
        <v>264</v>
      </c>
      <c r="AF122" t="s">
        <v>264</v>
      </c>
      <c r="AG122" s="29">
        <v>3983</v>
      </c>
      <c r="AH122" t="s">
        <v>264</v>
      </c>
      <c r="AI122">
        <v>55413988</v>
      </c>
      <c r="AJ122" t="s">
        <v>460</v>
      </c>
      <c r="AL122" t="s">
        <v>264</v>
      </c>
      <c r="AM122" s="6">
        <v>44782</v>
      </c>
      <c r="AN122" t="s">
        <v>461</v>
      </c>
      <c r="AO122" t="s">
        <v>268</v>
      </c>
      <c r="AP122">
        <v>1204</v>
      </c>
      <c r="AQ122" t="s">
        <v>269</v>
      </c>
      <c r="AR122">
        <v>264850</v>
      </c>
      <c r="AU122" t="s">
        <v>264</v>
      </c>
      <c r="AV122" t="s">
        <v>270</v>
      </c>
      <c r="AX122">
        <v>22001006</v>
      </c>
      <c r="AY122">
        <v>630600</v>
      </c>
      <c r="AZ122">
        <v>1204.6306</v>
      </c>
      <c r="BA122" s="28" t="s">
        <v>124</v>
      </c>
    </row>
    <row r="123" spans="1:53">
      <c r="A123" t="s">
        <v>424</v>
      </c>
      <c r="B123" t="s">
        <v>425</v>
      </c>
      <c r="C123">
        <v>22003464</v>
      </c>
      <c r="D123">
        <v>1204</v>
      </c>
      <c r="E123" s="6">
        <v>44782</v>
      </c>
      <c r="F123" t="s">
        <v>460</v>
      </c>
      <c r="G123">
        <v>372</v>
      </c>
      <c r="H123">
        <v>372</v>
      </c>
      <c r="I123" t="s">
        <v>263</v>
      </c>
      <c r="J123" t="s">
        <v>263</v>
      </c>
      <c r="L123" s="29">
        <v>5346174.4000000004</v>
      </c>
      <c r="N123" s="29">
        <v>5346174.4000000004</v>
      </c>
      <c r="O123" t="s">
        <v>264</v>
      </c>
      <c r="Q123" t="s">
        <v>264</v>
      </c>
      <c r="R123" t="s">
        <v>265</v>
      </c>
      <c r="S123">
        <v>14369.01</v>
      </c>
      <c r="T123" t="s">
        <v>266</v>
      </c>
      <c r="U123" t="s">
        <v>267</v>
      </c>
      <c r="V123" t="s">
        <v>427</v>
      </c>
      <c r="W123" t="s">
        <v>428</v>
      </c>
      <c r="X123">
        <v>1929306</v>
      </c>
      <c r="Y123" s="6">
        <v>44782</v>
      </c>
      <c r="Z123" t="s">
        <v>264</v>
      </c>
      <c r="AA123">
        <v>1</v>
      </c>
      <c r="AB123" t="s">
        <v>264</v>
      </c>
      <c r="AD123" t="s">
        <v>264</v>
      </c>
      <c r="AE123" t="s">
        <v>264</v>
      </c>
      <c r="AF123" t="s">
        <v>264</v>
      </c>
      <c r="AG123" s="29">
        <v>1330</v>
      </c>
      <c r="AH123" t="s">
        <v>264</v>
      </c>
      <c r="AI123">
        <v>55413988</v>
      </c>
      <c r="AJ123" t="s">
        <v>460</v>
      </c>
      <c r="AL123" t="s">
        <v>264</v>
      </c>
      <c r="AM123" s="6">
        <v>44782</v>
      </c>
      <c r="AN123" t="s">
        <v>461</v>
      </c>
      <c r="AO123" t="s">
        <v>268</v>
      </c>
      <c r="AP123">
        <v>1204</v>
      </c>
      <c r="AQ123" t="s">
        <v>269</v>
      </c>
      <c r="AR123">
        <v>264850</v>
      </c>
      <c r="AU123" t="s">
        <v>264</v>
      </c>
      <c r="AV123" t="s">
        <v>270</v>
      </c>
      <c r="AX123">
        <v>22001006</v>
      </c>
      <c r="AY123">
        <v>630600</v>
      </c>
      <c r="AZ123">
        <v>1204.6306</v>
      </c>
      <c r="BA123" s="28" t="s">
        <v>124</v>
      </c>
    </row>
    <row r="124" spans="1:53">
      <c r="A124" t="s">
        <v>424</v>
      </c>
      <c r="B124" t="s">
        <v>425</v>
      </c>
      <c r="C124">
        <v>22003465</v>
      </c>
      <c r="D124">
        <v>1204</v>
      </c>
      <c r="E124" s="6">
        <v>44782</v>
      </c>
      <c r="F124" t="s">
        <v>460</v>
      </c>
      <c r="G124">
        <v>880.5</v>
      </c>
      <c r="H124">
        <v>880.5</v>
      </c>
      <c r="I124" t="s">
        <v>263</v>
      </c>
      <c r="J124" t="s">
        <v>263</v>
      </c>
      <c r="L124" s="29">
        <v>12653952.640000001</v>
      </c>
      <c r="N124" s="29">
        <v>12653952.640000001</v>
      </c>
      <c r="O124" t="s">
        <v>264</v>
      </c>
      <c r="Q124" t="s">
        <v>264</v>
      </c>
      <c r="R124" t="s">
        <v>265</v>
      </c>
      <c r="S124">
        <v>14369.01</v>
      </c>
      <c r="T124" t="s">
        <v>266</v>
      </c>
      <c r="U124" t="s">
        <v>267</v>
      </c>
      <c r="V124" t="s">
        <v>427</v>
      </c>
      <c r="W124" t="s">
        <v>428</v>
      </c>
      <c r="X124">
        <v>1929306</v>
      </c>
      <c r="Y124" s="6">
        <v>44782</v>
      </c>
      <c r="Z124" t="s">
        <v>264</v>
      </c>
      <c r="AA124">
        <v>1</v>
      </c>
      <c r="AB124" t="s">
        <v>264</v>
      </c>
      <c r="AD124" t="s">
        <v>264</v>
      </c>
      <c r="AE124" t="s">
        <v>264</v>
      </c>
      <c r="AF124" t="s">
        <v>264</v>
      </c>
      <c r="AG124" s="29">
        <v>3148</v>
      </c>
      <c r="AH124" t="s">
        <v>264</v>
      </c>
      <c r="AI124">
        <v>55413988</v>
      </c>
      <c r="AJ124" t="s">
        <v>460</v>
      </c>
      <c r="AL124" t="s">
        <v>264</v>
      </c>
      <c r="AM124" s="6">
        <v>44782</v>
      </c>
      <c r="AN124" t="s">
        <v>461</v>
      </c>
      <c r="AO124" t="s">
        <v>268</v>
      </c>
      <c r="AP124">
        <v>1204</v>
      </c>
      <c r="AQ124" t="s">
        <v>269</v>
      </c>
      <c r="AR124">
        <v>264850</v>
      </c>
      <c r="AU124" t="s">
        <v>264</v>
      </c>
      <c r="AV124" t="s">
        <v>270</v>
      </c>
      <c r="AX124">
        <v>22001006</v>
      </c>
      <c r="AY124">
        <v>630600</v>
      </c>
      <c r="AZ124">
        <v>1204.6306</v>
      </c>
      <c r="BA124" s="28" t="s">
        <v>124</v>
      </c>
    </row>
    <row r="125" spans="1:53">
      <c r="A125" t="s">
        <v>424</v>
      </c>
      <c r="B125" t="s">
        <v>425</v>
      </c>
      <c r="C125">
        <v>22003466</v>
      </c>
      <c r="D125">
        <v>1204</v>
      </c>
      <c r="E125" s="6">
        <v>44782</v>
      </c>
      <c r="F125" t="s">
        <v>460</v>
      </c>
      <c r="G125">
        <v>352.42</v>
      </c>
      <c r="H125">
        <v>352.42</v>
      </c>
      <c r="I125" t="s">
        <v>263</v>
      </c>
      <c r="J125" t="s">
        <v>263</v>
      </c>
      <c r="L125" s="29">
        <v>5064796.8</v>
      </c>
      <c r="N125" s="29">
        <v>5064796.8</v>
      </c>
      <c r="O125" t="s">
        <v>264</v>
      </c>
      <c r="Q125" t="s">
        <v>264</v>
      </c>
      <c r="R125" t="s">
        <v>265</v>
      </c>
      <c r="S125">
        <v>14369.01</v>
      </c>
      <c r="T125" t="s">
        <v>266</v>
      </c>
      <c r="U125" t="s">
        <v>267</v>
      </c>
      <c r="V125" t="s">
        <v>427</v>
      </c>
      <c r="W125" t="s">
        <v>428</v>
      </c>
      <c r="X125">
        <v>1929306</v>
      </c>
      <c r="Y125" s="6">
        <v>44782</v>
      </c>
      <c r="Z125" t="s">
        <v>264</v>
      </c>
      <c r="AA125">
        <v>1</v>
      </c>
      <c r="AB125" t="s">
        <v>264</v>
      </c>
      <c r="AD125" t="s">
        <v>264</v>
      </c>
      <c r="AE125" t="s">
        <v>264</v>
      </c>
      <c r="AF125" t="s">
        <v>264</v>
      </c>
      <c r="AG125" s="29">
        <v>1260</v>
      </c>
      <c r="AH125" t="s">
        <v>264</v>
      </c>
      <c r="AI125">
        <v>55413988</v>
      </c>
      <c r="AJ125" t="s">
        <v>460</v>
      </c>
      <c r="AL125" t="s">
        <v>264</v>
      </c>
      <c r="AM125" s="6">
        <v>44782</v>
      </c>
      <c r="AN125" t="s">
        <v>461</v>
      </c>
      <c r="AO125" t="s">
        <v>268</v>
      </c>
      <c r="AP125">
        <v>1204</v>
      </c>
      <c r="AQ125" t="s">
        <v>269</v>
      </c>
      <c r="AR125">
        <v>264850</v>
      </c>
      <c r="AU125" t="s">
        <v>264</v>
      </c>
      <c r="AV125" t="s">
        <v>270</v>
      </c>
      <c r="AX125">
        <v>22001006</v>
      </c>
      <c r="AY125">
        <v>630600</v>
      </c>
      <c r="AZ125">
        <v>1204.6306</v>
      </c>
      <c r="BA125" s="28" t="s">
        <v>124</v>
      </c>
    </row>
    <row r="126" spans="1:53">
      <c r="A126" t="s">
        <v>424</v>
      </c>
      <c r="B126" t="s">
        <v>425</v>
      </c>
      <c r="C126">
        <v>22003467</v>
      </c>
      <c r="D126">
        <v>1204</v>
      </c>
      <c r="E126" s="6">
        <v>44782</v>
      </c>
      <c r="F126" t="s">
        <v>460</v>
      </c>
      <c r="G126">
        <v>29.93</v>
      </c>
      <c r="H126">
        <v>29.93</v>
      </c>
      <c r="I126" t="s">
        <v>263</v>
      </c>
      <c r="J126" t="s">
        <v>263</v>
      </c>
      <c r="L126" s="29">
        <v>430105.76</v>
      </c>
      <c r="N126" s="29">
        <v>430105.76</v>
      </c>
      <c r="O126" t="s">
        <v>264</v>
      </c>
      <c r="Q126" t="s">
        <v>264</v>
      </c>
      <c r="R126" t="s">
        <v>265</v>
      </c>
      <c r="S126">
        <v>14369.01</v>
      </c>
      <c r="T126" t="s">
        <v>266</v>
      </c>
      <c r="U126" t="s">
        <v>267</v>
      </c>
      <c r="V126" t="s">
        <v>427</v>
      </c>
      <c r="W126" t="s">
        <v>428</v>
      </c>
      <c r="X126">
        <v>1929306</v>
      </c>
      <c r="Y126" s="6">
        <v>44782</v>
      </c>
      <c r="Z126" t="s">
        <v>264</v>
      </c>
      <c r="AA126">
        <v>1</v>
      </c>
      <c r="AB126" t="s">
        <v>264</v>
      </c>
      <c r="AD126" t="s">
        <v>264</v>
      </c>
      <c r="AE126" t="s">
        <v>264</v>
      </c>
      <c r="AF126" t="s">
        <v>264</v>
      </c>
      <c r="AG126">
        <v>107</v>
      </c>
      <c r="AH126" t="s">
        <v>264</v>
      </c>
      <c r="AI126">
        <v>55413988</v>
      </c>
      <c r="AJ126" t="s">
        <v>460</v>
      </c>
      <c r="AL126" t="s">
        <v>264</v>
      </c>
      <c r="AM126" s="6">
        <v>44782</v>
      </c>
      <c r="AN126" t="s">
        <v>461</v>
      </c>
      <c r="AO126" t="s">
        <v>268</v>
      </c>
      <c r="AP126">
        <v>1204</v>
      </c>
      <c r="AQ126" t="s">
        <v>269</v>
      </c>
      <c r="AR126">
        <v>264850</v>
      </c>
      <c r="AU126" t="s">
        <v>264</v>
      </c>
      <c r="AV126" t="s">
        <v>270</v>
      </c>
      <c r="AX126">
        <v>22001006</v>
      </c>
      <c r="AY126">
        <v>630600</v>
      </c>
      <c r="AZ126">
        <v>1204.6306</v>
      </c>
      <c r="BA126" s="28" t="s">
        <v>124</v>
      </c>
    </row>
    <row r="127" spans="1:53">
      <c r="A127" t="s">
        <v>424</v>
      </c>
      <c r="B127" t="s">
        <v>425</v>
      </c>
      <c r="C127">
        <v>22003468</v>
      </c>
      <c r="D127">
        <v>1204</v>
      </c>
      <c r="E127" s="6">
        <v>44782</v>
      </c>
      <c r="F127" t="s">
        <v>460</v>
      </c>
      <c r="G127">
        <v>392.7</v>
      </c>
      <c r="H127">
        <v>392.7</v>
      </c>
      <c r="I127" t="s">
        <v>263</v>
      </c>
      <c r="J127" t="s">
        <v>263</v>
      </c>
      <c r="L127" s="29">
        <v>5643630.7199999997</v>
      </c>
      <c r="N127" s="29">
        <v>5643630.7199999997</v>
      </c>
      <c r="O127" t="s">
        <v>264</v>
      </c>
      <c r="Q127" t="s">
        <v>264</v>
      </c>
      <c r="R127" t="s">
        <v>265</v>
      </c>
      <c r="S127">
        <v>14369.01</v>
      </c>
      <c r="T127" t="s">
        <v>266</v>
      </c>
      <c r="U127" t="s">
        <v>267</v>
      </c>
      <c r="V127" t="s">
        <v>427</v>
      </c>
      <c r="W127" t="s">
        <v>428</v>
      </c>
      <c r="X127">
        <v>1929306</v>
      </c>
      <c r="Y127" s="6">
        <v>44782</v>
      </c>
      <c r="Z127" t="s">
        <v>264</v>
      </c>
      <c r="AA127">
        <v>1</v>
      </c>
      <c r="AB127" t="s">
        <v>264</v>
      </c>
      <c r="AD127" t="s">
        <v>264</v>
      </c>
      <c r="AE127" t="s">
        <v>264</v>
      </c>
      <c r="AF127" t="s">
        <v>264</v>
      </c>
      <c r="AG127" s="29">
        <v>1404</v>
      </c>
      <c r="AH127" t="s">
        <v>264</v>
      </c>
      <c r="AI127">
        <v>55413988</v>
      </c>
      <c r="AJ127" t="s">
        <v>460</v>
      </c>
      <c r="AL127" t="s">
        <v>264</v>
      </c>
      <c r="AM127" s="6">
        <v>44782</v>
      </c>
      <c r="AN127" t="s">
        <v>461</v>
      </c>
      <c r="AO127" t="s">
        <v>268</v>
      </c>
      <c r="AP127">
        <v>1204</v>
      </c>
      <c r="AQ127" t="s">
        <v>269</v>
      </c>
      <c r="AR127">
        <v>264850</v>
      </c>
      <c r="AU127" t="s">
        <v>264</v>
      </c>
      <c r="AV127" t="s">
        <v>270</v>
      </c>
      <c r="AX127">
        <v>22001006</v>
      </c>
      <c r="AY127">
        <v>630600</v>
      </c>
      <c r="AZ127">
        <v>1204.6306</v>
      </c>
      <c r="BA127" s="28" t="s">
        <v>124</v>
      </c>
    </row>
    <row r="128" spans="1:53">
      <c r="A128" t="s">
        <v>424</v>
      </c>
      <c r="B128" t="s">
        <v>425</v>
      </c>
      <c r="C128">
        <v>22003469</v>
      </c>
      <c r="D128">
        <v>1204</v>
      </c>
      <c r="E128" s="6">
        <v>44782</v>
      </c>
      <c r="F128" t="s">
        <v>460</v>
      </c>
      <c r="G128">
        <v>372</v>
      </c>
      <c r="H128">
        <v>372</v>
      </c>
      <c r="I128" t="s">
        <v>263</v>
      </c>
      <c r="J128" t="s">
        <v>263</v>
      </c>
      <c r="L128" s="29">
        <v>5346174.4000000004</v>
      </c>
      <c r="N128" s="29">
        <v>5346174.4000000004</v>
      </c>
      <c r="O128" t="s">
        <v>264</v>
      </c>
      <c r="Q128" t="s">
        <v>264</v>
      </c>
      <c r="R128" t="s">
        <v>265</v>
      </c>
      <c r="S128">
        <v>14369.01</v>
      </c>
      <c r="T128" t="s">
        <v>266</v>
      </c>
      <c r="U128" t="s">
        <v>267</v>
      </c>
      <c r="V128" t="s">
        <v>427</v>
      </c>
      <c r="W128" t="s">
        <v>428</v>
      </c>
      <c r="X128">
        <v>1929306</v>
      </c>
      <c r="Y128" s="6">
        <v>44782</v>
      </c>
      <c r="Z128" t="s">
        <v>264</v>
      </c>
      <c r="AA128">
        <v>1</v>
      </c>
      <c r="AB128" t="s">
        <v>264</v>
      </c>
      <c r="AD128" t="s">
        <v>264</v>
      </c>
      <c r="AE128" t="s">
        <v>264</v>
      </c>
      <c r="AF128" t="s">
        <v>264</v>
      </c>
      <c r="AG128" s="29">
        <v>1330</v>
      </c>
      <c r="AH128" t="s">
        <v>264</v>
      </c>
      <c r="AI128">
        <v>55413988</v>
      </c>
      <c r="AJ128" t="s">
        <v>460</v>
      </c>
      <c r="AL128" t="s">
        <v>264</v>
      </c>
      <c r="AM128" s="6">
        <v>44782</v>
      </c>
      <c r="AN128" t="s">
        <v>461</v>
      </c>
      <c r="AO128" t="s">
        <v>268</v>
      </c>
      <c r="AP128">
        <v>1204</v>
      </c>
      <c r="AQ128" t="s">
        <v>269</v>
      </c>
      <c r="AR128">
        <v>264850</v>
      </c>
      <c r="AU128" t="s">
        <v>264</v>
      </c>
      <c r="AV128" t="s">
        <v>270</v>
      </c>
      <c r="AX128">
        <v>22001006</v>
      </c>
      <c r="AY128">
        <v>630600</v>
      </c>
      <c r="AZ128">
        <v>1204.6306</v>
      </c>
      <c r="BA128" s="28" t="s">
        <v>124</v>
      </c>
    </row>
    <row r="129" spans="1:53">
      <c r="A129" t="s">
        <v>424</v>
      </c>
      <c r="B129" t="s">
        <v>425</v>
      </c>
      <c r="C129">
        <v>22003470</v>
      </c>
      <c r="D129">
        <v>1204</v>
      </c>
      <c r="E129" s="6">
        <v>44782</v>
      </c>
      <c r="F129" t="s">
        <v>460</v>
      </c>
      <c r="G129" s="29">
        <v>1073.49</v>
      </c>
      <c r="H129" s="29">
        <v>1073.49</v>
      </c>
      <c r="I129" t="s">
        <v>263</v>
      </c>
      <c r="J129" t="s">
        <v>263</v>
      </c>
      <c r="L129" s="29">
        <v>15427531.84</v>
      </c>
      <c r="N129" s="29">
        <v>15427531.84</v>
      </c>
      <c r="O129" t="s">
        <v>264</v>
      </c>
      <c r="Q129" t="s">
        <v>264</v>
      </c>
      <c r="R129" t="s">
        <v>265</v>
      </c>
      <c r="S129">
        <v>14369.01</v>
      </c>
      <c r="T129" t="s">
        <v>266</v>
      </c>
      <c r="U129" t="s">
        <v>267</v>
      </c>
      <c r="V129" t="s">
        <v>427</v>
      </c>
      <c r="W129" t="s">
        <v>428</v>
      </c>
      <c r="X129">
        <v>1929306</v>
      </c>
      <c r="Y129" s="6">
        <v>44782</v>
      </c>
      <c r="Z129" t="s">
        <v>264</v>
      </c>
      <c r="AA129">
        <v>1</v>
      </c>
      <c r="AB129" t="s">
        <v>264</v>
      </c>
      <c r="AD129" t="s">
        <v>264</v>
      </c>
      <c r="AE129" t="s">
        <v>264</v>
      </c>
      <c r="AF129" t="s">
        <v>264</v>
      </c>
      <c r="AG129" s="29">
        <v>3838</v>
      </c>
      <c r="AH129" t="s">
        <v>264</v>
      </c>
      <c r="AI129">
        <v>55413988</v>
      </c>
      <c r="AJ129" t="s">
        <v>460</v>
      </c>
      <c r="AL129" t="s">
        <v>264</v>
      </c>
      <c r="AM129" s="6">
        <v>44782</v>
      </c>
      <c r="AN129" t="s">
        <v>461</v>
      </c>
      <c r="AO129" t="s">
        <v>268</v>
      </c>
      <c r="AP129">
        <v>1204</v>
      </c>
      <c r="AQ129" t="s">
        <v>269</v>
      </c>
      <c r="AR129">
        <v>264850</v>
      </c>
      <c r="AU129" t="s">
        <v>264</v>
      </c>
      <c r="AV129" t="s">
        <v>270</v>
      </c>
      <c r="AX129">
        <v>22001006</v>
      </c>
      <c r="AY129">
        <v>630600</v>
      </c>
      <c r="AZ129">
        <v>1204.6306</v>
      </c>
      <c r="BA129" s="28" t="s">
        <v>124</v>
      </c>
    </row>
    <row r="130" spans="1:53">
      <c r="A130" t="s">
        <v>424</v>
      </c>
      <c r="B130" t="s">
        <v>425</v>
      </c>
      <c r="C130">
        <v>22003471</v>
      </c>
      <c r="D130">
        <v>1204</v>
      </c>
      <c r="E130" s="6">
        <v>44782</v>
      </c>
      <c r="F130" t="s">
        <v>460</v>
      </c>
      <c r="G130">
        <v>744</v>
      </c>
      <c r="H130">
        <v>744</v>
      </c>
      <c r="I130" t="s">
        <v>263</v>
      </c>
      <c r="J130" t="s">
        <v>263</v>
      </c>
      <c r="L130" s="29">
        <v>10692348.800000001</v>
      </c>
      <c r="N130" s="29">
        <v>10692348.800000001</v>
      </c>
      <c r="O130" t="s">
        <v>264</v>
      </c>
      <c r="Q130" t="s">
        <v>264</v>
      </c>
      <c r="R130" t="s">
        <v>265</v>
      </c>
      <c r="S130">
        <v>14369.01</v>
      </c>
      <c r="T130" t="s">
        <v>266</v>
      </c>
      <c r="U130" t="s">
        <v>267</v>
      </c>
      <c r="V130" t="s">
        <v>427</v>
      </c>
      <c r="W130" t="s">
        <v>428</v>
      </c>
      <c r="X130">
        <v>1929306</v>
      </c>
      <c r="Y130" s="6">
        <v>44782</v>
      </c>
      <c r="Z130" t="s">
        <v>264</v>
      </c>
      <c r="AA130">
        <v>1</v>
      </c>
      <c r="AB130" t="s">
        <v>264</v>
      </c>
      <c r="AD130" t="s">
        <v>264</v>
      </c>
      <c r="AE130" t="s">
        <v>264</v>
      </c>
      <c r="AF130" t="s">
        <v>264</v>
      </c>
      <c r="AG130" s="29">
        <v>2660</v>
      </c>
      <c r="AH130" t="s">
        <v>264</v>
      </c>
      <c r="AI130">
        <v>55413988</v>
      </c>
      <c r="AJ130" t="s">
        <v>460</v>
      </c>
      <c r="AL130" t="s">
        <v>264</v>
      </c>
      <c r="AM130" s="6">
        <v>44782</v>
      </c>
      <c r="AN130" t="s">
        <v>461</v>
      </c>
      <c r="AO130" t="s">
        <v>268</v>
      </c>
      <c r="AP130">
        <v>1204</v>
      </c>
      <c r="AQ130" t="s">
        <v>269</v>
      </c>
      <c r="AR130">
        <v>264850</v>
      </c>
      <c r="AU130" t="s">
        <v>264</v>
      </c>
      <c r="AV130" t="s">
        <v>270</v>
      </c>
      <c r="AX130">
        <v>22001006</v>
      </c>
      <c r="AY130">
        <v>630600</v>
      </c>
      <c r="AZ130">
        <v>1204.6306</v>
      </c>
      <c r="BA130" s="28" t="s">
        <v>124</v>
      </c>
    </row>
    <row r="131" spans="1:53">
      <c r="A131" t="s">
        <v>424</v>
      </c>
      <c r="B131" t="s">
        <v>425</v>
      </c>
      <c r="C131">
        <v>22003472</v>
      </c>
      <c r="D131">
        <v>1204</v>
      </c>
      <c r="E131" s="6">
        <v>44782</v>
      </c>
      <c r="F131" t="s">
        <v>460</v>
      </c>
      <c r="G131">
        <v>39.159999999999997</v>
      </c>
      <c r="H131">
        <v>39.159999999999997</v>
      </c>
      <c r="I131" t="s">
        <v>263</v>
      </c>
      <c r="J131" t="s">
        <v>263</v>
      </c>
      <c r="L131" s="29">
        <v>562755.19999999995</v>
      </c>
      <c r="N131" s="29">
        <v>562755.19999999995</v>
      </c>
      <c r="O131" t="s">
        <v>264</v>
      </c>
      <c r="Q131" t="s">
        <v>264</v>
      </c>
      <c r="R131" t="s">
        <v>265</v>
      </c>
      <c r="S131">
        <v>14369.01</v>
      </c>
      <c r="T131" t="s">
        <v>266</v>
      </c>
      <c r="U131" t="s">
        <v>267</v>
      </c>
      <c r="V131" t="s">
        <v>427</v>
      </c>
      <c r="W131" t="s">
        <v>428</v>
      </c>
      <c r="X131">
        <v>1929306</v>
      </c>
      <c r="Y131" s="6">
        <v>44782</v>
      </c>
      <c r="Z131" t="s">
        <v>264</v>
      </c>
      <c r="AA131">
        <v>1</v>
      </c>
      <c r="AB131" t="s">
        <v>264</v>
      </c>
      <c r="AD131" t="s">
        <v>264</v>
      </c>
      <c r="AE131" t="s">
        <v>264</v>
      </c>
      <c r="AF131" t="s">
        <v>264</v>
      </c>
      <c r="AG131">
        <v>140</v>
      </c>
      <c r="AH131" t="s">
        <v>264</v>
      </c>
      <c r="AI131">
        <v>55413988</v>
      </c>
      <c r="AJ131" t="s">
        <v>460</v>
      </c>
      <c r="AL131" t="s">
        <v>264</v>
      </c>
      <c r="AM131" s="6">
        <v>44782</v>
      </c>
      <c r="AN131" t="s">
        <v>461</v>
      </c>
      <c r="AO131" t="s">
        <v>268</v>
      </c>
      <c r="AP131">
        <v>1204</v>
      </c>
      <c r="AQ131" t="s">
        <v>269</v>
      </c>
      <c r="AR131">
        <v>264850</v>
      </c>
      <c r="AU131" t="s">
        <v>264</v>
      </c>
      <c r="AV131" t="s">
        <v>270</v>
      </c>
      <c r="AX131">
        <v>22001006</v>
      </c>
      <c r="AY131">
        <v>630600</v>
      </c>
      <c r="AZ131">
        <v>1204.6306</v>
      </c>
      <c r="BA131" s="28" t="s">
        <v>124</v>
      </c>
    </row>
    <row r="132" spans="1:53">
      <c r="A132" t="s">
        <v>424</v>
      </c>
      <c r="B132" t="s">
        <v>425</v>
      </c>
      <c r="C132">
        <v>22003473</v>
      </c>
      <c r="D132">
        <v>1204</v>
      </c>
      <c r="E132" s="6">
        <v>44782</v>
      </c>
      <c r="F132" t="s">
        <v>460</v>
      </c>
      <c r="G132">
        <v>402.77</v>
      </c>
      <c r="H132">
        <v>402.77</v>
      </c>
      <c r="I132" t="s">
        <v>263</v>
      </c>
      <c r="J132" t="s">
        <v>263</v>
      </c>
      <c r="L132" s="29">
        <v>5788339.2000000002</v>
      </c>
      <c r="N132" s="29">
        <v>5788339.2000000002</v>
      </c>
      <c r="O132" t="s">
        <v>264</v>
      </c>
      <c r="Q132" t="s">
        <v>264</v>
      </c>
      <c r="R132" t="s">
        <v>265</v>
      </c>
      <c r="S132">
        <v>14369.01</v>
      </c>
      <c r="T132" t="s">
        <v>266</v>
      </c>
      <c r="U132" t="s">
        <v>267</v>
      </c>
      <c r="V132" t="s">
        <v>427</v>
      </c>
      <c r="W132" t="s">
        <v>428</v>
      </c>
      <c r="X132">
        <v>1929306</v>
      </c>
      <c r="Y132" s="6">
        <v>44782</v>
      </c>
      <c r="Z132" t="s">
        <v>264</v>
      </c>
      <c r="AA132">
        <v>1</v>
      </c>
      <c r="AB132" t="s">
        <v>264</v>
      </c>
      <c r="AD132" t="s">
        <v>264</v>
      </c>
      <c r="AE132" t="s">
        <v>264</v>
      </c>
      <c r="AF132" t="s">
        <v>264</v>
      </c>
      <c r="AG132" s="29">
        <v>1440</v>
      </c>
      <c r="AH132" t="s">
        <v>264</v>
      </c>
      <c r="AI132">
        <v>55413988</v>
      </c>
      <c r="AJ132" t="s">
        <v>460</v>
      </c>
      <c r="AL132" t="s">
        <v>264</v>
      </c>
      <c r="AM132" s="6">
        <v>44782</v>
      </c>
      <c r="AN132" t="s">
        <v>461</v>
      </c>
      <c r="AO132" t="s">
        <v>268</v>
      </c>
      <c r="AP132">
        <v>1204</v>
      </c>
      <c r="AQ132" t="s">
        <v>269</v>
      </c>
      <c r="AR132">
        <v>264850</v>
      </c>
      <c r="AU132" t="s">
        <v>264</v>
      </c>
      <c r="AV132" t="s">
        <v>270</v>
      </c>
      <c r="AX132">
        <v>22001006</v>
      </c>
      <c r="AY132">
        <v>630600</v>
      </c>
      <c r="AZ132">
        <v>1204.6306</v>
      </c>
      <c r="BA132" s="28" t="s">
        <v>124</v>
      </c>
    </row>
    <row r="133" spans="1:53">
      <c r="A133" t="s">
        <v>424</v>
      </c>
      <c r="B133" t="s">
        <v>425</v>
      </c>
      <c r="C133">
        <v>22003474</v>
      </c>
      <c r="D133">
        <v>1204</v>
      </c>
      <c r="E133" s="6">
        <v>44782</v>
      </c>
      <c r="F133" t="s">
        <v>460</v>
      </c>
      <c r="G133">
        <v>734.21</v>
      </c>
      <c r="H133">
        <v>734.21</v>
      </c>
      <c r="I133" t="s">
        <v>263</v>
      </c>
      <c r="J133" t="s">
        <v>263</v>
      </c>
      <c r="L133" s="29">
        <v>10551660</v>
      </c>
      <c r="N133" s="29">
        <v>10551660</v>
      </c>
      <c r="O133" t="s">
        <v>264</v>
      </c>
      <c r="Q133" t="s">
        <v>264</v>
      </c>
      <c r="R133" t="s">
        <v>265</v>
      </c>
      <c r="S133">
        <v>14369.01</v>
      </c>
      <c r="T133" t="s">
        <v>266</v>
      </c>
      <c r="U133" t="s">
        <v>267</v>
      </c>
      <c r="V133" t="s">
        <v>427</v>
      </c>
      <c r="W133" t="s">
        <v>428</v>
      </c>
      <c r="X133">
        <v>1929306</v>
      </c>
      <c r="Y133" s="6">
        <v>44782</v>
      </c>
      <c r="Z133" t="s">
        <v>264</v>
      </c>
      <c r="AA133">
        <v>1</v>
      </c>
      <c r="AB133" t="s">
        <v>264</v>
      </c>
      <c r="AD133" t="s">
        <v>264</v>
      </c>
      <c r="AE133" t="s">
        <v>264</v>
      </c>
      <c r="AF133" t="s">
        <v>264</v>
      </c>
      <c r="AG133" s="29">
        <v>2625</v>
      </c>
      <c r="AH133" t="s">
        <v>264</v>
      </c>
      <c r="AI133">
        <v>55413988</v>
      </c>
      <c r="AJ133" t="s">
        <v>460</v>
      </c>
      <c r="AL133" t="s">
        <v>264</v>
      </c>
      <c r="AM133" s="6">
        <v>44782</v>
      </c>
      <c r="AN133" t="s">
        <v>461</v>
      </c>
      <c r="AO133" t="s">
        <v>268</v>
      </c>
      <c r="AP133">
        <v>1204</v>
      </c>
      <c r="AQ133" t="s">
        <v>269</v>
      </c>
      <c r="AR133">
        <v>264850</v>
      </c>
      <c r="AU133" t="s">
        <v>264</v>
      </c>
      <c r="AV133" t="s">
        <v>270</v>
      </c>
      <c r="AX133">
        <v>22001006</v>
      </c>
      <c r="AY133">
        <v>630600</v>
      </c>
      <c r="AZ133">
        <v>1204.6306</v>
      </c>
      <c r="BA133" s="28" t="s">
        <v>124</v>
      </c>
    </row>
    <row r="134" spans="1:53">
      <c r="A134" t="s">
        <v>424</v>
      </c>
      <c r="B134" t="s">
        <v>425</v>
      </c>
      <c r="C134">
        <v>22003475</v>
      </c>
      <c r="D134">
        <v>1204</v>
      </c>
      <c r="E134" s="6">
        <v>44782</v>
      </c>
      <c r="F134" t="s">
        <v>460</v>
      </c>
      <c r="G134">
        <v>744</v>
      </c>
      <c r="H134">
        <v>744</v>
      </c>
      <c r="I134" t="s">
        <v>263</v>
      </c>
      <c r="J134" t="s">
        <v>263</v>
      </c>
      <c r="L134" s="29">
        <v>10692348.800000001</v>
      </c>
      <c r="N134" s="29">
        <v>10692348.800000001</v>
      </c>
      <c r="O134" t="s">
        <v>264</v>
      </c>
      <c r="Q134" t="s">
        <v>264</v>
      </c>
      <c r="R134" t="s">
        <v>265</v>
      </c>
      <c r="S134">
        <v>14369.01</v>
      </c>
      <c r="T134" t="s">
        <v>266</v>
      </c>
      <c r="U134" t="s">
        <v>267</v>
      </c>
      <c r="V134" t="s">
        <v>427</v>
      </c>
      <c r="W134" t="s">
        <v>428</v>
      </c>
      <c r="X134">
        <v>1929306</v>
      </c>
      <c r="Y134" s="6">
        <v>44782</v>
      </c>
      <c r="Z134" t="s">
        <v>264</v>
      </c>
      <c r="AA134">
        <v>1</v>
      </c>
      <c r="AB134" t="s">
        <v>264</v>
      </c>
      <c r="AD134" t="s">
        <v>264</v>
      </c>
      <c r="AE134" t="s">
        <v>264</v>
      </c>
      <c r="AF134" t="s">
        <v>264</v>
      </c>
      <c r="AG134" s="29">
        <v>2660</v>
      </c>
      <c r="AH134" t="s">
        <v>264</v>
      </c>
      <c r="AI134">
        <v>55413988</v>
      </c>
      <c r="AJ134" t="s">
        <v>460</v>
      </c>
      <c r="AL134" t="s">
        <v>264</v>
      </c>
      <c r="AM134" s="6">
        <v>44782</v>
      </c>
      <c r="AN134" t="s">
        <v>461</v>
      </c>
      <c r="AO134" t="s">
        <v>268</v>
      </c>
      <c r="AP134">
        <v>1204</v>
      </c>
      <c r="AQ134" t="s">
        <v>269</v>
      </c>
      <c r="AR134">
        <v>264850</v>
      </c>
      <c r="AU134" t="s">
        <v>264</v>
      </c>
      <c r="AV134" t="s">
        <v>270</v>
      </c>
      <c r="AX134">
        <v>22001006</v>
      </c>
      <c r="AY134">
        <v>630600</v>
      </c>
      <c r="AZ134">
        <v>1204.6306</v>
      </c>
      <c r="BA134" s="28" t="s">
        <v>124</v>
      </c>
    </row>
    <row r="135" spans="1:53">
      <c r="A135" t="s">
        <v>424</v>
      </c>
      <c r="B135" t="s">
        <v>425</v>
      </c>
      <c r="C135">
        <v>22003476</v>
      </c>
      <c r="D135">
        <v>1204</v>
      </c>
      <c r="E135" s="6">
        <v>44782</v>
      </c>
      <c r="F135" t="s">
        <v>460</v>
      </c>
      <c r="G135">
        <v>783.16</v>
      </c>
      <c r="H135">
        <v>783.16</v>
      </c>
      <c r="I135" t="s">
        <v>263</v>
      </c>
      <c r="J135" t="s">
        <v>263</v>
      </c>
      <c r="L135" s="29">
        <v>11255104</v>
      </c>
      <c r="N135" s="29">
        <v>11255104</v>
      </c>
      <c r="O135" t="s">
        <v>264</v>
      </c>
      <c r="Q135" t="s">
        <v>264</v>
      </c>
      <c r="R135" t="s">
        <v>265</v>
      </c>
      <c r="S135">
        <v>14369.01</v>
      </c>
      <c r="T135" t="s">
        <v>266</v>
      </c>
      <c r="U135" t="s">
        <v>267</v>
      </c>
      <c r="V135" t="s">
        <v>427</v>
      </c>
      <c r="W135" t="s">
        <v>428</v>
      </c>
      <c r="X135">
        <v>1929306</v>
      </c>
      <c r="Y135" s="6">
        <v>44782</v>
      </c>
      <c r="Z135" t="s">
        <v>264</v>
      </c>
      <c r="AA135">
        <v>1</v>
      </c>
      <c r="AB135" t="s">
        <v>264</v>
      </c>
      <c r="AD135" t="s">
        <v>264</v>
      </c>
      <c r="AE135" t="s">
        <v>264</v>
      </c>
      <c r="AF135" t="s">
        <v>264</v>
      </c>
      <c r="AG135" s="29">
        <v>2800</v>
      </c>
      <c r="AH135" t="s">
        <v>264</v>
      </c>
      <c r="AI135">
        <v>55413988</v>
      </c>
      <c r="AJ135" t="s">
        <v>460</v>
      </c>
      <c r="AL135" t="s">
        <v>264</v>
      </c>
      <c r="AM135" s="6">
        <v>44782</v>
      </c>
      <c r="AN135" t="s">
        <v>461</v>
      </c>
      <c r="AO135" t="s">
        <v>268</v>
      </c>
      <c r="AP135">
        <v>1204</v>
      </c>
      <c r="AQ135" t="s">
        <v>269</v>
      </c>
      <c r="AR135">
        <v>264850</v>
      </c>
      <c r="AU135" t="s">
        <v>264</v>
      </c>
      <c r="AV135" t="s">
        <v>270</v>
      </c>
      <c r="AX135">
        <v>22001006</v>
      </c>
      <c r="AY135">
        <v>630600</v>
      </c>
      <c r="AZ135">
        <v>1204.6306</v>
      </c>
      <c r="BA135" s="28" t="s">
        <v>124</v>
      </c>
    </row>
    <row r="136" spans="1:53">
      <c r="A136" t="s">
        <v>424</v>
      </c>
      <c r="B136" t="s">
        <v>425</v>
      </c>
      <c r="C136">
        <v>22003477</v>
      </c>
      <c r="D136">
        <v>1204</v>
      </c>
      <c r="E136" s="6">
        <v>44782</v>
      </c>
      <c r="F136" t="s">
        <v>460</v>
      </c>
      <c r="G136">
        <v>339.95</v>
      </c>
      <c r="H136">
        <v>339.95</v>
      </c>
      <c r="I136" t="s">
        <v>263</v>
      </c>
      <c r="J136" t="s">
        <v>263</v>
      </c>
      <c r="L136" s="29">
        <v>4883911.2</v>
      </c>
      <c r="N136" s="29">
        <v>4883911.2</v>
      </c>
      <c r="O136" t="s">
        <v>264</v>
      </c>
      <c r="Q136" t="s">
        <v>264</v>
      </c>
      <c r="R136" t="s">
        <v>265</v>
      </c>
      <c r="S136">
        <v>14369.01</v>
      </c>
      <c r="T136" t="s">
        <v>266</v>
      </c>
      <c r="U136" t="s">
        <v>267</v>
      </c>
      <c r="V136" t="s">
        <v>427</v>
      </c>
      <c r="W136" t="s">
        <v>428</v>
      </c>
      <c r="X136">
        <v>1929840</v>
      </c>
      <c r="Y136" s="6">
        <v>44782</v>
      </c>
      <c r="Z136" t="s">
        <v>264</v>
      </c>
      <c r="AA136">
        <v>1</v>
      </c>
      <c r="AB136" t="s">
        <v>264</v>
      </c>
      <c r="AD136" t="s">
        <v>264</v>
      </c>
      <c r="AE136" t="s">
        <v>264</v>
      </c>
      <c r="AF136" t="s">
        <v>264</v>
      </c>
      <c r="AG136" s="29">
        <v>1260</v>
      </c>
      <c r="AH136" t="s">
        <v>264</v>
      </c>
      <c r="AI136">
        <v>55413988</v>
      </c>
      <c r="AJ136" t="s">
        <v>460</v>
      </c>
      <c r="AL136" t="s">
        <v>264</v>
      </c>
      <c r="AM136" s="6">
        <v>44782</v>
      </c>
      <c r="AN136" t="s">
        <v>461</v>
      </c>
      <c r="AO136" t="s">
        <v>268</v>
      </c>
      <c r="AP136">
        <v>1204</v>
      </c>
      <c r="AQ136" t="s">
        <v>269</v>
      </c>
      <c r="AR136">
        <v>264850</v>
      </c>
      <c r="AU136" t="s">
        <v>264</v>
      </c>
      <c r="AV136" t="s">
        <v>270</v>
      </c>
      <c r="AX136">
        <v>22001006</v>
      </c>
      <c r="AY136">
        <v>630600</v>
      </c>
      <c r="AZ136">
        <v>1204.6306</v>
      </c>
      <c r="BA136" s="28" t="s">
        <v>124</v>
      </c>
    </row>
    <row r="137" spans="1:53">
      <c r="A137" t="s">
        <v>424</v>
      </c>
      <c r="B137" t="s">
        <v>425</v>
      </c>
      <c r="C137">
        <v>22003478</v>
      </c>
      <c r="D137">
        <v>1204</v>
      </c>
      <c r="E137" s="6">
        <v>44782</v>
      </c>
      <c r="F137" t="s">
        <v>460</v>
      </c>
      <c r="G137">
        <v>348.04</v>
      </c>
      <c r="H137">
        <v>348.04</v>
      </c>
      <c r="I137" t="s">
        <v>263</v>
      </c>
      <c r="J137" t="s">
        <v>263</v>
      </c>
      <c r="L137" s="29">
        <v>5000194.8</v>
      </c>
      <c r="N137" s="29">
        <v>5000194.8</v>
      </c>
      <c r="O137" t="s">
        <v>264</v>
      </c>
      <c r="Q137" t="s">
        <v>264</v>
      </c>
      <c r="R137" t="s">
        <v>265</v>
      </c>
      <c r="S137">
        <v>14369.01</v>
      </c>
      <c r="T137" t="s">
        <v>266</v>
      </c>
      <c r="U137" t="s">
        <v>267</v>
      </c>
      <c r="V137" t="s">
        <v>427</v>
      </c>
      <c r="W137" t="s">
        <v>428</v>
      </c>
      <c r="X137">
        <v>1929306</v>
      </c>
      <c r="Y137" s="6">
        <v>44782</v>
      </c>
      <c r="Z137" t="s">
        <v>264</v>
      </c>
      <c r="AA137">
        <v>1</v>
      </c>
      <c r="AB137" t="s">
        <v>264</v>
      </c>
      <c r="AD137" t="s">
        <v>264</v>
      </c>
      <c r="AE137" t="s">
        <v>264</v>
      </c>
      <c r="AF137" t="s">
        <v>264</v>
      </c>
      <c r="AG137" s="29">
        <v>1290</v>
      </c>
      <c r="AH137" t="s">
        <v>264</v>
      </c>
      <c r="AI137">
        <v>55413988</v>
      </c>
      <c r="AJ137" t="s">
        <v>460</v>
      </c>
      <c r="AL137" t="s">
        <v>264</v>
      </c>
      <c r="AM137" s="6">
        <v>44782</v>
      </c>
      <c r="AN137" t="s">
        <v>461</v>
      </c>
      <c r="AO137" t="s">
        <v>268</v>
      </c>
      <c r="AP137">
        <v>1204</v>
      </c>
      <c r="AQ137" t="s">
        <v>269</v>
      </c>
      <c r="AR137">
        <v>264850</v>
      </c>
      <c r="AU137" t="s">
        <v>264</v>
      </c>
      <c r="AV137" t="s">
        <v>270</v>
      </c>
      <c r="AX137">
        <v>22001006</v>
      </c>
      <c r="AY137">
        <v>630600</v>
      </c>
      <c r="AZ137">
        <v>1204.6306</v>
      </c>
      <c r="BA137" s="28" t="s">
        <v>124</v>
      </c>
    </row>
    <row r="138" spans="1:53">
      <c r="A138" t="s">
        <v>424</v>
      </c>
      <c r="B138" t="s">
        <v>425</v>
      </c>
      <c r="C138">
        <v>22003479</v>
      </c>
      <c r="D138">
        <v>1204</v>
      </c>
      <c r="E138" s="6">
        <v>44782</v>
      </c>
      <c r="F138" t="s">
        <v>460</v>
      </c>
      <c r="G138">
        <v>381.77</v>
      </c>
      <c r="H138">
        <v>381.77</v>
      </c>
      <c r="I138" t="s">
        <v>263</v>
      </c>
      <c r="J138" t="s">
        <v>263</v>
      </c>
      <c r="L138" s="29">
        <v>5484709.7999999998</v>
      </c>
      <c r="N138" s="29">
        <v>5484709.7999999998</v>
      </c>
      <c r="O138" t="s">
        <v>264</v>
      </c>
      <c r="Q138" t="s">
        <v>264</v>
      </c>
      <c r="R138" t="s">
        <v>265</v>
      </c>
      <c r="S138">
        <v>14369.01</v>
      </c>
      <c r="T138" t="s">
        <v>266</v>
      </c>
      <c r="U138" t="s">
        <v>267</v>
      </c>
      <c r="V138" t="s">
        <v>427</v>
      </c>
      <c r="W138" t="s">
        <v>428</v>
      </c>
      <c r="X138">
        <v>1929306</v>
      </c>
      <c r="Y138" s="6">
        <v>44782</v>
      </c>
      <c r="Z138" t="s">
        <v>264</v>
      </c>
      <c r="AA138">
        <v>1</v>
      </c>
      <c r="AB138" t="s">
        <v>264</v>
      </c>
      <c r="AD138" t="s">
        <v>264</v>
      </c>
      <c r="AE138" t="s">
        <v>264</v>
      </c>
      <c r="AF138" t="s">
        <v>264</v>
      </c>
      <c r="AG138" s="29">
        <v>1415</v>
      </c>
      <c r="AH138" t="s">
        <v>264</v>
      </c>
      <c r="AI138">
        <v>55413988</v>
      </c>
      <c r="AJ138" t="s">
        <v>460</v>
      </c>
      <c r="AL138" t="s">
        <v>264</v>
      </c>
      <c r="AM138" s="6">
        <v>44782</v>
      </c>
      <c r="AN138" t="s">
        <v>461</v>
      </c>
      <c r="AO138" t="s">
        <v>268</v>
      </c>
      <c r="AP138">
        <v>1204</v>
      </c>
      <c r="AQ138" t="s">
        <v>269</v>
      </c>
      <c r="AR138">
        <v>264850</v>
      </c>
      <c r="AU138" t="s">
        <v>264</v>
      </c>
      <c r="AV138" t="s">
        <v>270</v>
      </c>
      <c r="AX138">
        <v>22001006</v>
      </c>
      <c r="AY138">
        <v>630600</v>
      </c>
      <c r="AZ138">
        <v>1204.6306</v>
      </c>
      <c r="BA138" s="28" t="s">
        <v>124</v>
      </c>
    </row>
    <row r="139" spans="1:53">
      <c r="A139" t="s">
        <v>424</v>
      </c>
      <c r="B139" t="s">
        <v>425</v>
      </c>
      <c r="C139">
        <v>22003480</v>
      </c>
      <c r="D139">
        <v>1204</v>
      </c>
      <c r="E139" s="6">
        <v>44782</v>
      </c>
      <c r="F139" t="s">
        <v>460</v>
      </c>
      <c r="G139">
        <v>755.44</v>
      </c>
      <c r="H139">
        <v>755.44</v>
      </c>
      <c r="I139" t="s">
        <v>263</v>
      </c>
      <c r="J139" t="s">
        <v>263</v>
      </c>
      <c r="L139" s="29">
        <v>10853136</v>
      </c>
      <c r="N139" s="29">
        <v>10853136</v>
      </c>
      <c r="O139" t="s">
        <v>264</v>
      </c>
      <c r="Q139" t="s">
        <v>264</v>
      </c>
      <c r="R139" t="s">
        <v>265</v>
      </c>
      <c r="S139">
        <v>14369.01</v>
      </c>
      <c r="T139" t="s">
        <v>266</v>
      </c>
      <c r="U139" t="s">
        <v>267</v>
      </c>
      <c r="V139" t="s">
        <v>427</v>
      </c>
      <c r="W139" t="s">
        <v>428</v>
      </c>
      <c r="X139">
        <v>1929306</v>
      </c>
      <c r="Y139" s="6">
        <v>44782</v>
      </c>
      <c r="Z139" t="s">
        <v>264</v>
      </c>
      <c r="AA139">
        <v>1</v>
      </c>
      <c r="AB139" t="s">
        <v>264</v>
      </c>
      <c r="AD139" t="s">
        <v>264</v>
      </c>
      <c r="AE139" t="s">
        <v>264</v>
      </c>
      <c r="AF139" t="s">
        <v>264</v>
      </c>
      <c r="AG139" s="29">
        <v>2800</v>
      </c>
      <c r="AH139" t="s">
        <v>264</v>
      </c>
      <c r="AI139">
        <v>55413988</v>
      </c>
      <c r="AJ139" t="s">
        <v>460</v>
      </c>
      <c r="AL139" t="s">
        <v>264</v>
      </c>
      <c r="AM139" s="6">
        <v>44782</v>
      </c>
      <c r="AN139" t="s">
        <v>461</v>
      </c>
      <c r="AO139" t="s">
        <v>268</v>
      </c>
      <c r="AP139">
        <v>1204</v>
      </c>
      <c r="AQ139" t="s">
        <v>269</v>
      </c>
      <c r="AR139">
        <v>264850</v>
      </c>
      <c r="AU139" t="s">
        <v>264</v>
      </c>
      <c r="AV139" t="s">
        <v>270</v>
      </c>
      <c r="AX139">
        <v>22001006</v>
      </c>
      <c r="AY139">
        <v>630600</v>
      </c>
      <c r="AZ139">
        <v>1204.6306</v>
      </c>
      <c r="BA139" s="28" t="s">
        <v>124</v>
      </c>
    </row>
    <row r="140" spans="1:53">
      <c r="A140" t="s">
        <v>424</v>
      </c>
      <c r="B140" t="s">
        <v>425</v>
      </c>
      <c r="C140">
        <v>22003481</v>
      </c>
      <c r="D140">
        <v>1204</v>
      </c>
      <c r="E140" s="6">
        <v>44782</v>
      </c>
      <c r="F140" t="s">
        <v>460</v>
      </c>
      <c r="G140" s="29">
        <v>1019.84</v>
      </c>
      <c r="H140" s="29">
        <v>1019.84</v>
      </c>
      <c r="I140" t="s">
        <v>263</v>
      </c>
      <c r="J140" t="s">
        <v>263</v>
      </c>
      <c r="L140" s="29">
        <v>14651733.6</v>
      </c>
      <c r="N140" s="29">
        <v>14651733.6</v>
      </c>
      <c r="O140" t="s">
        <v>264</v>
      </c>
      <c r="Q140" t="s">
        <v>264</v>
      </c>
      <c r="R140" t="s">
        <v>265</v>
      </c>
      <c r="S140">
        <v>14369.01</v>
      </c>
      <c r="T140" t="s">
        <v>266</v>
      </c>
      <c r="U140" t="s">
        <v>267</v>
      </c>
      <c r="V140" t="s">
        <v>427</v>
      </c>
      <c r="W140" t="s">
        <v>428</v>
      </c>
      <c r="X140">
        <v>1929306</v>
      </c>
      <c r="Y140" s="6">
        <v>44782</v>
      </c>
      <c r="Z140" t="s">
        <v>264</v>
      </c>
      <c r="AA140">
        <v>1</v>
      </c>
      <c r="AB140" t="s">
        <v>264</v>
      </c>
      <c r="AD140" t="s">
        <v>264</v>
      </c>
      <c r="AE140" t="s">
        <v>264</v>
      </c>
      <c r="AF140" t="s">
        <v>264</v>
      </c>
      <c r="AG140" s="29">
        <v>3780</v>
      </c>
      <c r="AH140" t="s">
        <v>264</v>
      </c>
      <c r="AI140">
        <v>55413988</v>
      </c>
      <c r="AJ140" t="s">
        <v>460</v>
      </c>
      <c r="AL140" t="s">
        <v>264</v>
      </c>
      <c r="AM140" s="6">
        <v>44782</v>
      </c>
      <c r="AN140" t="s">
        <v>461</v>
      </c>
      <c r="AO140" t="s">
        <v>268</v>
      </c>
      <c r="AP140">
        <v>1204</v>
      </c>
      <c r="AQ140" t="s">
        <v>269</v>
      </c>
      <c r="AR140">
        <v>264850</v>
      </c>
      <c r="AU140" t="s">
        <v>264</v>
      </c>
      <c r="AV140" t="s">
        <v>270</v>
      </c>
      <c r="AX140">
        <v>22001006</v>
      </c>
      <c r="AY140">
        <v>630600</v>
      </c>
      <c r="AZ140">
        <v>1204.6306</v>
      </c>
      <c r="BA140" s="28" t="s">
        <v>124</v>
      </c>
    </row>
    <row r="141" spans="1:53">
      <c r="A141" t="s">
        <v>424</v>
      </c>
      <c r="B141" t="s">
        <v>425</v>
      </c>
      <c r="C141">
        <v>22003482</v>
      </c>
      <c r="D141">
        <v>1204</v>
      </c>
      <c r="E141" s="6">
        <v>44782</v>
      </c>
      <c r="F141" t="s">
        <v>460</v>
      </c>
      <c r="G141" s="29">
        <v>1433.45</v>
      </c>
      <c r="H141" s="29">
        <v>1433.45</v>
      </c>
      <c r="I141" t="s">
        <v>263</v>
      </c>
      <c r="J141" t="s">
        <v>263</v>
      </c>
      <c r="L141" s="29">
        <v>20593825.559999999</v>
      </c>
      <c r="N141" s="29">
        <v>20593825.559999999</v>
      </c>
      <c r="O141" t="s">
        <v>264</v>
      </c>
      <c r="Q141" t="s">
        <v>264</v>
      </c>
      <c r="R141" t="s">
        <v>265</v>
      </c>
      <c r="S141">
        <v>14369.01</v>
      </c>
      <c r="T141" t="s">
        <v>266</v>
      </c>
      <c r="U141" t="s">
        <v>267</v>
      </c>
      <c r="V141" t="s">
        <v>427</v>
      </c>
      <c r="W141" t="s">
        <v>428</v>
      </c>
      <c r="X141">
        <v>1929306</v>
      </c>
      <c r="Y141" s="6">
        <v>44782</v>
      </c>
      <c r="Z141" t="s">
        <v>264</v>
      </c>
      <c r="AA141">
        <v>1</v>
      </c>
      <c r="AB141" t="s">
        <v>264</v>
      </c>
      <c r="AD141" t="s">
        <v>264</v>
      </c>
      <c r="AE141" t="s">
        <v>264</v>
      </c>
      <c r="AF141" t="s">
        <v>264</v>
      </c>
      <c r="AG141" s="29">
        <v>5313</v>
      </c>
      <c r="AH141" t="s">
        <v>264</v>
      </c>
      <c r="AI141">
        <v>55413988</v>
      </c>
      <c r="AJ141" t="s">
        <v>460</v>
      </c>
      <c r="AL141" t="s">
        <v>264</v>
      </c>
      <c r="AM141" s="6">
        <v>44782</v>
      </c>
      <c r="AN141" t="s">
        <v>461</v>
      </c>
      <c r="AO141" t="s">
        <v>268</v>
      </c>
      <c r="AP141">
        <v>1204</v>
      </c>
      <c r="AQ141" t="s">
        <v>269</v>
      </c>
      <c r="AR141">
        <v>264850</v>
      </c>
      <c r="AU141" t="s">
        <v>264</v>
      </c>
      <c r="AV141" t="s">
        <v>270</v>
      </c>
      <c r="AX141">
        <v>22001006</v>
      </c>
      <c r="AY141">
        <v>630600</v>
      </c>
      <c r="AZ141">
        <v>1204.6306</v>
      </c>
      <c r="BA141" s="28" t="s">
        <v>124</v>
      </c>
    </row>
    <row r="142" spans="1:53">
      <c r="A142" t="s">
        <v>424</v>
      </c>
      <c r="B142" t="s">
        <v>425</v>
      </c>
      <c r="C142">
        <v>22003483</v>
      </c>
      <c r="D142">
        <v>1204</v>
      </c>
      <c r="E142" s="6">
        <v>44782</v>
      </c>
      <c r="F142" t="s">
        <v>460</v>
      </c>
      <c r="G142">
        <v>359.37</v>
      </c>
      <c r="H142">
        <v>359.37</v>
      </c>
      <c r="I142" t="s">
        <v>263</v>
      </c>
      <c r="J142" t="s">
        <v>263</v>
      </c>
      <c r="L142" s="29">
        <v>5162991.84</v>
      </c>
      <c r="N142" s="29">
        <v>5162991.84</v>
      </c>
      <c r="O142" t="s">
        <v>264</v>
      </c>
      <c r="Q142" t="s">
        <v>264</v>
      </c>
      <c r="R142" t="s">
        <v>265</v>
      </c>
      <c r="S142">
        <v>14369.01</v>
      </c>
      <c r="T142" t="s">
        <v>266</v>
      </c>
      <c r="U142" t="s">
        <v>267</v>
      </c>
      <c r="V142" t="s">
        <v>427</v>
      </c>
      <c r="W142" t="s">
        <v>428</v>
      </c>
      <c r="X142">
        <v>1929306</v>
      </c>
      <c r="Y142" s="6">
        <v>44782</v>
      </c>
      <c r="Z142" t="s">
        <v>264</v>
      </c>
      <c r="AA142">
        <v>1</v>
      </c>
      <c r="AB142" t="s">
        <v>264</v>
      </c>
      <c r="AD142" t="s">
        <v>264</v>
      </c>
      <c r="AE142" t="s">
        <v>264</v>
      </c>
      <c r="AF142" t="s">
        <v>264</v>
      </c>
      <c r="AG142" s="29">
        <v>1332</v>
      </c>
      <c r="AH142" t="s">
        <v>264</v>
      </c>
      <c r="AI142">
        <v>55413988</v>
      </c>
      <c r="AJ142" t="s">
        <v>460</v>
      </c>
      <c r="AL142" t="s">
        <v>264</v>
      </c>
      <c r="AM142" s="6">
        <v>44782</v>
      </c>
      <c r="AN142" t="s">
        <v>461</v>
      </c>
      <c r="AO142" t="s">
        <v>268</v>
      </c>
      <c r="AP142">
        <v>1204</v>
      </c>
      <c r="AQ142" t="s">
        <v>269</v>
      </c>
      <c r="AR142">
        <v>264850</v>
      </c>
      <c r="AU142" t="s">
        <v>264</v>
      </c>
      <c r="AV142" t="s">
        <v>270</v>
      </c>
      <c r="AX142">
        <v>22001006</v>
      </c>
      <c r="AY142">
        <v>630600</v>
      </c>
      <c r="AZ142">
        <v>1204.6306</v>
      </c>
      <c r="BA142" s="28" t="s">
        <v>124</v>
      </c>
    </row>
    <row r="143" spans="1:53">
      <c r="A143" t="s">
        <v>424</v>
      </c>
      <c r="B143" t="s">
        <v>425</v>
      </c>
      <c r="C143">
        <v>22003484</v>
      </c>
      <c r="D143">
        <v>1204</v>
      </c>
      <c r="E143" s="6">
        <v>44782</v>
      </c>
      <c r="F143" t="s">
        <v>460</v>
      </c>
      <c r="G143" s="29">
        <v>1189.82</v>
      </c>
      <c r="H143" s="29">
        <v>1189.82</v>
      </c>
      <c r="I143" t="s">
        <v>263</v>
      </c>
      <c r="J143" t="s">
        <v>263</v>
      </c>
      <c r="L143" s="29">
        <v>17093689.199999999</v>
      </c>
      <c r="N143" s="29">
        <v>17093689.199999999</v>
      </c>
      <c r="O143" t="s">
        <v>264</v>
      </c>
      <c r="Q143" t="s">
        <v>264</v>
      </c>
      <c r="R143" t="s">
        <v>265</v>
      </c>
      <c r="S143">
        <v>14369.01</v>
      </c>
      <c r="T143" t="s">
        <v>266</v>
      </c>
      <c r="U143" t="s">
        <v>267</v>
      </c>
      <c r="V143" t="s">
        <v>427</v>
      </c>
      <c r="W143" t="s">
        <v>428</v>
      </c>
      <c r="X143">
        <v>1929306</v>
      </c>
      <c r="Y143" s="6">
        <v>44782</v>
      </c>
      <c r="Z143" t="s">
        <v>264</v>
      </c>
      <c r="AA143">
        <v>1</v>
      </c>
      <c r="AB143" t="s">
        <v>264</v>
      </c>
      <c r="AD143" t="s">
        <v>264</v>
      </c>
      <c r="AE143" t="s">
        <v>264</v>
      </c>
      <c r="AF143" t="s">
        <v>264</v>
      </c>
      <c r="AG143" s="29">
        <v>4410</v>
      </c>
      <c r="AH143" t="s">
        <v>264</v>
      </c>
      <c r="AI143">
        <v>55413988</v>
      </c>
      <c r="AJ143" t="s">
        <v>460</v>
      </c>
      <c r="AL143" t="s">
        <v>264</v>
      </c>
      <c r="AM143" s="6">
        <v>44782</v>
      </c>
      <c r="AN143" t="s">
        <v>461</v>
      </c>
      <c r="AO143" t="s">
        <v>268</v>
      </c>
      <c r="AP143">
        <v>1204</v>
      </c>
      <c r="AQ143" t="s">
        <v>269</v>
      </c>
      <c r="AR143">
        <v>264850</v>
      </c>
      <c r="AU143" t="s">
        <v>264</v>
      </c>
      <c r="AV143" t="s">
        <v>270</v>
      </c>
      <c r="AX143">
        <v>22001006</v>
      </c>
      <c r="AY143">
        <v>630600</v>
      </c>
      <c r="AZ143">
        <v>1204.6306</v>
      </c>
      <c r="BA143" s="28" t="s">
        <v>124</v>
      </c>
    </row>
    <row r="144" spans="1:53">
      <c r="A144" t="s">
        <v>424</v>
      </c>
      <c r="B144" t="s">
        <v>425</v>
      </c>
      <c r="C144">
        <v>22003485</v>
      </c>
      <c r="D144">
        <v>1204</v>
      </c>
      <c r="E144" s="6">
        <v>44782</v>
      </c>
      <c r="F144" t="s">
        <v>460</v>
      </c>
      <c r="G144">
        <v>736.55</v>
      </c>
      <c r="H144">
        <v>736.55</v>
      </c>
      <c r="I144" t="s">
        <v>263</v>
      </c>
      <c r="J144" t="s">
        <v>263</v>
      </c>
      <c r="L144" s="29">
        <v>10581807.6</v>
      </c>
      <c r="N144" s="29">
        <v>10581807.6</v>
      </c>
      <c r="O144" t="s">
        <v>264</v>
      </c>
      <c r="Q144" t="s">
        <v>264</v>
      </c>
      <c r="R144" t="s">
        <v>265</v>
      </c>
      <c r="S144">
        <v>14369.01</v>
      </c>
      <c r="T144" t="s">
        <v>266</v>
      </c>
      <c r="U144" t="s">
        <v>267</v>
      </c>
      <c r="V144" t="s">
        <v>427</v>
      </c>
      <c r="W144" t="s">
        <v>428</v>
      </c>
      <c r="X144">
        <v>1929306</v>
      </c>
      <c r="Y144" s="6">
        <v>44782</v>
      </c>
      <c r="Z144" t="s">
        <v>264</v>
      </c>
      <c r="AA144">
        <v>1</v>
      </c>
      <c r="AB144" t="s">
        <v>264</v>
      </c>
      <c r="AD144" t="s">
        <v>264</v>
      </c>
      <c r="AE144" t="s">
        <v>264</v>
      </c>
      <c r="AF144" t="s">
        <v>264</v>
      </c>
      <c r="AG144" s="29">
        <v>2730</v>
      </c>
      <c r="AH144" t="s">
        <v>264</v>
      </c>
      <c r="AI144">
        <v>55413988</v>
      </c>
      <c r="AJ144" t="s">
        <v>460</v>
      </c>
      <c r="AL144" t="s">
        <v>264</v>
      </c>
      <c r="AM144" s="6">
        <v>44782</v>
      </c>
      <c r="AN144" t="s">
        <v>461</v>
      </c>
      <c r="AO144" t="s">
        <v>268</v>
      </c>
      <c r="AP144">
        <v>1204</v>
      </c>
      <c r="AQ144" t="s">
        <v>269</v>
      </c>
      <c r="AR144">
        <v>264850</v>
      </c>
      <c r="AU144" t="s">
        <v>264</v>
      </c>
      <c r="AV144" t="s">
        <v>270</v>
      </c>
      <c r="AX144">
        <v>22001006</v>
      </c>
      <c r="AY144">
        <v>630600</v>
      </c>
      <c r="AZ144">
        <v>1204.6306</v>
      </c>
      <c r="BA144" s="28" t="s">
        <v>124</v>
      </c>
    </row>
    <row r="145" spans="1:53">
      <c r="A145" t="s">
        <v>424</v>
      </c>
      <c r="B145" t="s">
        <v>425</v>
      </c>
      <c r="C145">
        <v>22003486</v>
      </c>
      <c r="D145">
        <v>1204</v>
      </c>
      <c r="E145" s="6">
        <v>44782</v>
      </c>
      <c r="F145" t="s">
        <v>460</v>
      </c>
      <c r="G145">
        <v>717.67</v>
      </c>
      <c r="H145">
        <v>717.67</v>
      </c>
      <c r="I145" t="s">
        <v>263</v>
      </c>
      <c r="J145" t="s">
        <v>263</v>
      </c>
      <c r="L145" s="29">
        <v>10310479.199999999</v>
      </c>
      <c r="N145" s="29">
        <v>10310479.199999999</v>
      </c>
      <c r="O145" t="s">
        <v>264</v>
      </c>
      <c r="Q145" t="s">
        <v>264</v>
      </c>
      <c r="R145" t="s">
        <v>265</v>
      </c>
      <c r="S145">
        <v>14369.01</v>
      </c>
      <c r="T145" t="s">
        <v>266</v>
      </c>
      <c r="U145" t="s">
        <v>267</v>
      </c>
      <c r="V145" t="s">
        <v>427</v>
      </c>
      <c r="W145" t="s">
        <v>428</v>
      </c>
      <c r="X145">
        <v>1929306</v>
      </c>
      <c r="Y145" s="6">
        <v>44782</v>
      </c>
      <c r="Z145" t="s">
        <v>264</v>
      </c>
      <c r="AA145">
        <v>1</v>
      </c>
      <c r="AB145" t="s">
        <v>264</v>
      </c>
      <c r="AD145" t="s">
        <v>264</v>
      </c>
      <c r="AE145" t="s">
        <v>264</v>
      </c>
      <c r="AF145" t="s">
        <v>264</v>
      </c>
      <c r="AG145" s="29">
        <v>2660</v>
      </c>
      <c r="AH145" t="s">
        <v>264</v>
      </c>
      <c r="AI145">
        <v>55413988</v>
      </c>
      <c r="AJ145" t="s">
        <v>460</v>
      </c>
      <c r="AL145" t="s">
        <v>264</v>
      </c>
      <c r="AM145" s="6">
        <v>44782</v>
      </c>
      <c r="AN145" t="s">
        <v>461</v>
      </c>
      <c r="AO145" t="s">
        <v>268</v>
      </c>
      <c r="AP145">
        <v>1204</v>
      </c>
      <c r="AQ145" t="s">
        <v>269</v>
      </c>
      <c r="AR145">
        <v>264850</v>
      </c>
      <c r="AU145" t="s">
        <v>264</v>
      </c>
      <c r="AV145" t="s">
        <v>270</v>
      </c>
      <c r="AX145">
        <v>22001006</v>
      </c>
      <c r="AY145">
        <v>630600</v>
      </c>
      <c r="AZ145">
        <v>1204.6306</v>
      </c>
      <c r="BA145" s="28" t="s">
        <v>124</v>
      </c>
    </row>
    <row r="146" spans="1:53">
      <c r="A146" t="s">
        <v>424</v>
      </c>
      <c r="B146" t="s">
        <v>425</v>
      </c>
      <c r="C146">
        <v>22003487</v>
      </c>
      <c r="D146">
        <v>1204</v>
      </c>
      <c r="E146" s="6">
        <v>44782</v>
      </c>
      <c r="F146" t="s">
        <v>460</v>
      </c>
      <c r="G146">
        <v>717.67</v>
      </c>
      <c r="H146">
        <v>717.67</v>
      </c>
      <c r="I146" t="s">
        <v>263</v>
      </c>
      <c r="J146" t="s">
        <v>263</v>
      </c>
      <c r="L146" s="29">
        <v>10310479.199999999</v>
      </c>
      <c r="N146" s="29">
        <v>10310479.199999999</v>
      </c>
      <c r="O146" t="s">
        <v>264</v>
      </c>
      <c r="Q146" t="s">
        <v>264</v>
      </c>
      <c r="R146" t="s">
        <v>265</v>
      </c>
      <c r="S146">
        <v>14369.01</v>
      </c>
      <c r="T146" t="s">
        <v>266</v>
      </c>
      <c r="U146" t="s">
        <v>267</v>
      </c>
      <c r="V146" t="s">
        <v>427</v>
      </c>
      <c r="W146" t="s">
        <v>428</v>
      </c>
      <c r="X146">
        <v>1929306</v>
      </c>
      <c r="Y146" s="6">
        <v>44782</v>
      </c>
      <c r="Z146" t="s">
        <v>264</v>
      </c>
      <c r="AA146">
        <v>1</v>
      </c>
      <c r="AB146" t="s">
        <v>264</v>
      </c>
      <c r="AD146" t="s">
        <v>264</v>
      </c>
      <c r="AE146" t="s">
        <v>264</v>
      </c>
      <c r="AF146" t="s">
        <v>264</v>
      </c>
      <c r="AG146" s="29">
        <v>2660</v>
      </c>
      <c r="AH146" t="s">
        <v>264</v>
      </c>
      <c r="AI146">
        <v>55413988</v>
      </c>
      <c r="AJ146" t="s">
        <v>460</v>
      </c>
      <c r="AL146" t="s">
        <v>264</v>
      </c>
      <c r="AM146" s="6">
        <v>44782</v>
      </c>
      <c r="AN146" t="s">
        <v>461</v>
      </c>
      <c r="AO146" t="s">
        <v>268</v>
      </c>
      <c r="AP146">
        <v>1204</v>
      </c>
      <c r="AQ146" t="s">
        <v>269</v>
      </c>
      <c r="AR146">
        <v>264850</v>
      </c>
      <c r="AU146" t="s">
        <v>264</v>
      </c>
      <c r="AV146" t="s">
        <v>270</v>
      </c>
      <c r="AX146">
        <v>22001006</v>
      </c>
      <c r="AY146">
        <v>630600</v>
      </c>
      <c r="AZ146">
        <v>1204.6306</v>
      </c>
      <c r="BA146" s="28" t="s">
        <v>124</v>
      </c>
    </row>
    <row r="147" spans="1:53">
      <c r="A147" t="s">
        <v>424</v>
      </c>
      <c r="B147" t="s">
        <v>425</v>
      </c>
      <c r="C147">
        <v>22003488</v>
      </c>
      <c r="D147">
        <v>1204</v>
      </c>
      <c r="E147" s="6">
        <v>44782</v>
      </c>
      <c r="F147" t="s">
        <v>460</v>
      </c>
      <c r="G147">
        <v>358.83</v>
      </c>
      <c r="H147">
        <v>358.83</v>
      </c>
      <c r="I147" t="s">
        <v>263</v>
      </c>
      <c r="J147" t="s">
        <v>263</v>
      </c>
      <c r="L147" s="29">
        <v>5155239.5999999996</v>
      </c>
      <c r="N147" s="29">
        <v>5155239.5999999996</v>
      </c>
      <c r="O147" t="s">
        <v>264</v>
      </c>
      <c r="Q147" t="s">
        <v>264</v>
      </c>
      <c r="R147" t="s">
        <v>265</v>
      </c>
      <c r="S147">
        <v>14369.01</v>
      </c>
      <c r="T147" t="s">
        <v>266</v>
      </c>
      <c r="U147" t="s">
        <v>267</v>
      </c>
      <c r="V147" t="s">
        <v>427</v>
      </c>
      <c r="W147" t="s">
        <v>428</v>
      </c>
      <c r="X147">
        <v>1929306</v>
      </c>
      <c r="Y147" s="6">
        <v>44782</v>
      </c>
      <c r="Z147" t="s">
        <v>264</v>
      </c>
      <c r="AA147">
        <v>1</v>
      </c>
      <c r="AB147" t="s">
        <v>264</v>
      </c>
      <c r="AD147" t="s">
        <v>264</v>
      </c>
      <c r="AE147" t="s">
        <v>264</v>
      </c>
      <c r="AF147" t="s">
        <v>264</v>
      </c>
      <c r="AG147" s="29">
        <v>1330</v>
      </c>
      <c r="AH147" t="s">
        <v>264</v>
      </c>
      <c r="AI147">
        <v>55413988</v>
      </c>
      <c r="AJ147" t="s">
        <v>460</v>
      </c>
      <c r="AL147" t="s">
        <v>264</v>
      </c>
      <c r="AM147" s="6">
        <v>44782</v>
      </c>
      <c r="AN147" t="s">
        <v>461</v>
      </c>
      <c r="AO147" t="s">
        <v>268</v>
      </c>
      <c r="AP147">
        <v>1204</v>
      </c>
      <c r="AQ147" t="s">
        <v>269</v>
      </c>
      <c r="AR147">
        <v>264850</v>
      </c>
      <c r="AU147" t="s">
        <v>264</v>
      </c>
      <c r="AV147" t="s">
        <v>270</v>
      </c>
      <c r="AX147">
        <v>22001006</v>
      </c>
      <c r="AY147">
        <v>630600</v>
      </c>
      <c r="AZ147">
        <v>1204.6306</v>
      </c>
      <c r="BA147" s="28" t="s">
        <v>124</v>
      </c>
    </row>
    <row r="148" spans="1:53">
      <c r="A148" t="s">
        <v>424</v>
      </c>
      <c r="B148" t="s">
        <v>425</v>
      </c>
      <c r="C148">
        <v>22003489</v>
      </c>
      <c r="D148">
        <v>1204</v>
      </c>
      <c r="E148" s="6">
        <v>44782</v>
      </c>
      <c r="F148" t="s">
        <v>460</v>
      </c>
      <c r="G148">
        <v>388.51</v>
      </c>
      <c r="H148">
        <v>388.51</v>
      </c>
      <c r="I148" t="s">
        <v>263</v>
      </c>
      <c r="J148" t="s">
        <v>263</v>
      </c>
      <c r="L148" s="29">
        <v>5581612.7999999998</v>
      </c>
      <c r="N148" s="29">
        <v>5581612.7999999998</v>
      </c>
      <c r="O148" t="s">
        <v>264</v>
      </c>
      <c r="Q148" t="s">
        <v>264</v>
      </c>
      <c r="R148" t="s">
        <v>265</v>
      </c>
      <c r="S148">
        <v>14369.01</v>
      </c>
      <c r="T148" t="s">
        <v>266</v>
      </c>
      <c r="U148" t="s">
        <v>267</v>
      </c>
      <c r="V148" t="s">
        <v>427</v>
      </c>
      <c r="W148" t="s">
        <v>428</v>
      </c>
      <c r="X148">
        <v>1929306</v>
      </c>
      <c r="Y148" s="6">
        <v>44782</v>
      </c>
      <c r="Z148" t="s">
        <v>264</v>
      </c>
      <c r="AA148">
        <v>1</v>
      </c>
      <c r="AB148" t="s">
        <v>264</v>
      </c>
      <c r="AD148" t="s">
        <v>264</v>
      </c>
      <c r="AE148" t="s">
        <v>264</v>
      </c>
      <c r="AF148" t="s">
        <v>264</v>
      </c>
      <c r="AG148" s="29">
        <v>1440</v>
      </c>
      <c r="AH148" t="s">
        <v>264</v>
      </c>
      <c r="AI148">
        <v>55413988</v>
      </c>
      <c r="AJ148" t="s">
        <v>460</v>
      </c>
      <c r="AL148" t="s">
        <v>264</v>
      </c>
      <c r="AM148" s="6">
        <v>44782</v>
      </c>
      <c r="AN148" t="s">
        <v>461</v>
      </c>
      <c r="AO148" t="s">
        <v>268</v>
      </c>
      <c r="AP148">
        <v>1204</v>
      </c>
      <c r="AQ148" t="s">
        <v>269</v>
      </c>
      <c r="AR148">
        <v>264850</v>
      </c>
      <c r="AU148" t="s">
        <v>264</v>
      </c>
      <c r="AV148" t="s">
        <v>270</v>
      </c>
      <c r="AX148">
        <v>22001006</v>
      </c>
      <c r="AY148">
        <v>630600</v>
      </c>
      <c r="AZ148">
        <v>1204.6306</v>
      </c>
      <c r="BA148" s="28" t="s">
        <v>124</v>
      </c>
    </row>
    <row r="149" spans="1:53">
      <c r="A149" t="s">
        <v>424</v>
      </c>
      <c r="B149" t="s">
        <v>425</v>
      </c>
      <c r="C149">
        <v>22003490</v>
      </c>
      <c r="D149">
        <v>1204</v>
      </c>
      <c r="E149" s="6">
        <v>44782</v>
      </c>
      <c r="F149" t="s">
        <v>460</v>
      </c>
      <c r="G149">
        <v>717.67</v>
      </c>
      <c r="H149">
        <v>717.67</v>
      </c>
      <c r="I149" t="s">
        <v>263</v>
      </c>
      <c r="J149" t="s">
        <v>263</v>
      </c>
      <c r="L149" s="29">
        <v>10310479.199999999</v>
      </c>
      <c r="N149" s="29">
        <v>10310479.199999999</v>
      </c>
      <c r="O149" t="s">
        <v>264</v>
      </c>
      <c r="Q149" t="s">
        <v>264</v>
      </c>
      <c r="R149" t="s">
        <v>265</v>
      </c>
      <c r="S149">
        <v>14369.01</v>
      </c>
      <c r="T149" t="s">
        <v>266</v>
      </c>
      <c r="U149" t="s">
        <v>267</v>
      </c>
      <c r="V149" t="s">
        <v>427</v>
      </c>
      <c r="W149" t="s">
        <v>428</v>
      </c>
      <c r="X149">
        <v>1929306</v>
      </c>
      <c r="Y149" s="6">
        <v>44782</v>
      </c>
      <c r="Z149" t="s">
        <v>264</v>
      </c>
      <c r="AA149">
        <v>1</v>
      </c>
      <c r="AB149" t="s">
        <v>264</v>
      </c>
      <c r="AD149" t="s">
        <v>264</v>
      </c>
      <c r="AE149" t="s">
        <v>264</v>
      </c>
      <c r="AF149" t="s">
        <v>264</v>
      </c>
      <c r="AG149" s="29">
        <v>2660</v>
      </c>
      <c r="AH149" t="s">
        <v>264</v>
      </c>
      <c r="AI149">
        <v>55413988</v>
      </c>
      <c r="AJ149" t="s">
        <v>460</v>
      </c>
      <c r="AL149" t="s">
        <v>264</v>
      </c>
      <c r="AM149" s="6">
        <v>44782</v>
      </c>
      <c r="AN149" t="s">
        <v>461</v>
      </c>
      <c r="AO149" t="s">
        <v>268</v>
      </c>
      <c r="AP149">
        <v>1204</v>
      </c>
      <c r="AQ149" t="s">
        <v>269</v>
      </c>
      <c r="AR149">
        <v>264850</v>
      </c>
      <c r="AU149" t="s">
        <v>264</v>
      </c>
      <c r="AV149" t="s">
        <v>270</v>
      </c>
      <c r="AX149">
        <v>22001006</v>
      </c>
      <c r="AY149">
        <v>630600</v>
      </c>
      <c r="AZ149">
        <v>1204.6306</v>
      </c>
      <c r="BA149" s="28" t="s">
        <v>124</v>
      </c>
    </row>
    <row r="150" spans="1:53">
      <c r="A150" t="s">
        <v>424</v>
      </c>
      <c r="B150" t="s">
        <v>425</v>
      </c>
      <c r="C150">
        <v>22003491</v>
      </c>
      <c r="D150">
        <v>1204</v>
      </c>
      <c r="E150" s="6">
        <v>44782</v>
      </c>
      <c r="F150" t="s">
        <v>460</v>
      </c>
      <c r="G150">
        <v>339.95</v>
      </c>
      <c r="H150">
        <v>339.95</v>
      </c>
      <c r="I150" t="s">
        <v>263</v>
      </c>
      <c r="J150" t="s">
        <v>263</v>
      </c>
      <c r="L150" s="29">
        <v>4883911.2</v>
      </c>
      <c r="N150" s="29">
        <v>4883911.2</v>
      </c>
      <c r="O150" t="s">
        <v>264</v>
      </c>
      <c r="Q150" t="s">
        <v>264</v>
      </c>
      <c r="R150" t="s">
        <v>265</v>
      </c>
      <c r="S150">
        <v>14369.01</v>
      </c>
      <c r="T150" t="s">
        <v>266</v>
      </c>
      <c r="U150" t="s">
        <v>267</v>
      </c>
      <c r="V150" t="s">
        <v>427</v>
      </c>
      <c r="W150" t="s">
        <v>428</v>
      </c>
      <c r="X150">
        <v>1929306</v>
      </c>
      <c r="Y150" s="6">
        <v>44782</v>
      </c>
      <c r="Z150" t="s">
        <v>264</v>
      </c>
      <c r="AA150">
        <v>1</v>
      </c>
      <c r="AB150" t="s">
        <v>264</v>
      </c>
      <c r="AD150" t="s">
        <v>264</v>
      </c>
      <c r="AE150" t="s">
        <v>264</v>
      </c>
      <c r="AF150" t="s">
        <v>264</v>
      </c>
      <c r="AG150" s="29">
        <v>1260</v>
      </c>
      <c r="AH150" t="s">
        <v>264</v>
      </c>
      <c r="AI150">
        <v>55413988</v>
      </c>
      <c r="AJ150" t="s">
        <v>460</v>
      </c>
      <c r="AL150" t="s">
        <v>264</v>
      </c>
      <c r="AM150" s="6">
        <v>44782</v>
      </c>
      <c r="AN150" t="s">
        <v>461</v>
      </c>
      <c r="AO150" t="s">
        <v>268</v>
      </c>
      <c r="AP150">
        <v>1204</v>
      </c>
      <c r="AQ150" t="s">
        <v>269</v>
      </c>
      <c r="AR150">
        <v>264850</v>
      </c>
      <c r="AU150" t="s">
        <v>264</v>
      </c>
      <c r="AV150" t="s">
        <v>270</v>
      </c>
      <c r="AX150">
        <v>22001006</v>
      </c>
      <c r="AY150">
        <v>630600</v>
      </c>
      <c r="AZ150">
        <v>1204.6306</v>
      </c>
      <c r="BA150" s="28" t="s">
        <v>124</v>
      </c>
    </row>
    <row r="151" spans="1:53">
      <c r="A151" t="s">
        <v>424</v>
      </c>
      <c r="B151" t="s">
        <v>425</v>
      </c>
      <c r="C151">
        <v>22003492</v>
      </c>
      <c r="D151">
        <v>1204</v>
      </c>
      <c r="E151" s="6">
        <v>44782</v>
      </c>
      <c r="F151" t="s">
        <v>460</v>
      </c>
      <c r="G151" s="29">
        <v>1501.44</v>
      </c>
      <c r="H151" s="29">
        <v>1501.44</v>
      </c>
      <c r="I151" t="s">
        <v>263</v>
      </c>
      <c r="J151" t="s">
        <v>263</v>
      </c>
      <c r="L151" s="29">
        <v>21570607.800000001</v>
      </c>
      <c r="N151" s="29">
        <v>21570607.800000001</v>
      </c>
      <c r="O151" t="s">
        <v>264</v>
      </c>
      <c r="Q151" t="s">
        <v>264</v>
      </c>
      <c r="R151" t="s">
        <v>265</v>
      </c>
      <c r="S151">
        <v>14369.01</v>
      </c>
      <c r="T151" t="s">
        <v>266</v>
      </c>
      <c r="U151" t="s">
        <v>267</v>
      </c>
      <c r="V151" t="s">
        <v>427</v>
      </c>
      <c r="W151" t="s">
        <v>428</v>
      </c>
      <c r="X151">
        <v>1929306</v>
      </c>
      <c r="Y151" s="6">
        <v>44782</v>
      </c>
      <c r="Z151" t="s">
        <v>264</v>
      </c>
      <c r="AA151">
        <v>1</v>
      </c>
      <c r="AB151" t="s">
        <v>264</v>
      </c>
      <c r="AD151" t="s">
        <v>264</v>
      </c>
      <c r="AE151" t="s">
        <v>264</v>
      </c>
      <c r="AF151" t="s">
        <v>264</v>
      </c>
      <c r="AG151" s="29">
        <v>5565</v>
      </c>
      <c r="AH151" t="s">
        <v>264</v>
      </c>
      <c r="AI151">
        <v>55413988</v>
      </c>
      <c r="AJ151" t="s">
        <v>460</v>
      </c>
      <c r="AL151" t="s">
        <v>264</v>
      </c>
      <c r="AM151" s="6">
        <v>44782</v>
      </c>
      <c r="AN151" t="s">
        <v>461</v>
      </c>
      <c r="AO151" t="s">
        <v>268</v>
      </c>
      <c r="AP151">
        <v>1204</v>
      </c>
      <c r="AQ151" t="s">
        <v>269</v>
      </c>
      <c r="AR151">
        <v>264850</v>
      </c>
      <c r="AU151" t="s">
        <v>264</v>
      </c>
      <c r="AV151" t="s">
        <v>270</v>
      </c>
      <c r="AX151">
        <v>22001006</v>
      </c>
      <c r="AY151">
        <v>630600</v>
      </c>
      <c r="AZ151">
        <v>1204.6306</v>
      </c>
      <c r="BA151" s="28" t="s">
        <v>124</v>
      </c>
    </row>
    <row r="152" spans="1:53">
      <c r="A152" t="s">
        <v>424</v>
      </c>
      <c r="B152" t="s">
        <v>425</v>
      </c>
      <c r="C152">
        <v>22003493</v>
      </c>
      <c r="D152">
        <v>1204</v>
      </c>
      <c r="E152" s="6">
        <v>44782</v>
      </c>
      <c r="F152" t="s">
        <v>460</v>
      </c>
      <c r="G152">
        <v>676.66</v>
      </c>
      <c r="H152">
        <v>676.66</v>
      </c>
      <c r="I152" t="s">
        <v>263</v>
      </c>
      <c r="J152" t="s">
        <v>263</v>
      </c>
      <c r="L152" s="29">
        <v>9721308.9600000009</v>
      </c>
      <c r="N152" s="29">
        <v>9721308.9600000009</v>
      </c>
      <c r="O152" t="s">
        <v>264</v>
      </c>
      <c r="Q152" t="s">
        <v>264</v>
      </c>
      <c r="R152" t="s">
        <v>265</v>
      </c>
      <c r="S152">
        <v>14369.01</v>
      </c>
      <c r="T152" t="s">
        <v>266</v>
      </c>
      <c r="U152" t="s">
        <v>267</v>
      </c>
      <c r="V152" t="s">
        <v>427</v>
      </c>
      <c r="W152" t="s">
        <v>428</v>
      </c>
      <c r="X152">
        <v>1929306</v>
      </c>
      <c r="Y152" s="6">
        <v>44782</v>
      </c>
      <c r="Z152" t="s">
        <v>264</v>
      </c>
      <c r="AA152">
        <v>1</v>
      </c>
      <c r="AB152" t="s">
        <v>264</v>
      </c>
      <c r="AD152" t="s">
        <v>264</v>
      </c>
      <c r="AE152" t="s">
        <v>264</v>
      </c>
      <c r="AF152" t="s">
        <v>264</v>
      </c>
      <c r="AG152" s="29">
        <v>2508</v>
      </c>
      <c r="AH152" t="s">
        <v>264</v>
      </c>
      <c r="AI152">
        <v>55413988</v>
      </c>
      <c r="AJ152" t="s">
        <v>460</v>
      </c>
      <c r="AL152" t="s">
        <v>264</v>
      </c>
      <c r="AM152" s="6">
        <v>44782</v>
      </c>
      <c r="AN152" t="s">
        <v>461</v>
      </c>
      <c r="AO152" t="s">
        <v>268</v>
      </c>
      <c r="AP152">
        <v>1204</v>
      </c>
      <c r="AQ152" t="s">
        <v>269</v>
      </c>
      <c r="AR152">
        <v>264850</v>
      </c>
      <c r="AU152" t="s">
        <v>264</v>
      </c>
      <c r="AV152" t="s">
        <v>270</v>
      </c>
      <c r="AX152">
        <v>22001006</v>
      </c>
      <c r="AY152">
        <v>630600</v>
      </c>
      <c r="AZ152">
        <v>1204.6306</v>
      </c>
      <c r="BA152" s="28" t="s">
        <v>124</v>
      </c>
    </row>
    <row r="153" spans="1:53">
      <c r="A153" t="s">
        <v>424</v>
      </c>
      <c r="B153" t="s">
        <v>425</v>
      </c>
      <c r="C153">
        <v>22003494</v>
      </c>
      <c r="D153">
        <v>1204</v>
      </c>
      <c r="E153" s="6">
        <v>44782</v>
      </c>
      <c r="F153" t="s">
        <v>460</v>
      </c>
      <c r="G153">
        <v>133.28</v>
      </c>
      <c r="H153">
        <v>133.28</v>
      </c>
      <c r="I153" t="s">
        <v>263</v>
      </c>
      <c r="J153" t="s">
        <v>263</v>
      </c>
      <c r="L153" s="29">
        <v>1914803.28</v>
      </c>
      <c r="N153" s="29">
        <v>1914803.28</v>
      </c>
      <c r="O153" t="s">
        <v>264</v>
      </c>
      <c r="Q153" t="s">
        <v>264</v>
      </c>
      <c r="R153" t="s">
        <v>265</v>
      </c>
      <c r="S153">
        <v>14369.01</v>
      </c>
      <c r="T153" t="s">
        <v>266</v>
      </c>
      <c r="U153" t="s">
        <v>267</v>
      </c>
      <c r="V153" t="s">
        <v>427</v>
      </c>
      <c r="W153" t="s">
        <v>428</v>
      </c>
      <c r="X153">
        <v>1929306</v>
      </c>
      <c r="Y153" s="6">
        <v>44782</v>
      </c>
      <c r="Z153" t="s">
        <v>264</v>
      </c>
      <c r="AA153">
        <v>1</v>
      </c>
      <c r="AB153" t="s">
        <v>264</v>
      </c>
      <c r="AD153" t="s">
        <v>264</v>
      </c>
      <c r="AE153" t="s">
        <v>264</v>
      </c>
      <c r="AF153" t="s">
        <v>264</v>
      </c>
      <c r="AG153">
        <v>494</v>
      </c>
      <c r="AH153" t="s">
        <v>264</v>
      </c>
      <c r="AI153">
        <v>55413988</v>
      </c>
      <c r="AJ153" t="s">
        <v>460</v>
      </c>
      <c r="AL153" t="s">
        <v>264</v>
      </c>
      <c r="AM153" s="6">
        <v>44782</v>
      </c>
      <c r="AN153" t="s">
        <v>461</v>
      </c>
      <c r="AO153" t="s">
        <v>268</v>
      </c>
      <c r="AP153">
        <v>1204</v>
      </c>
      <c r="AQ153" t="s">
        <v>269</v>
      </c>
      <c r="AR153">
        <v>264850</v>
      </c>
      <c r="AU153" t="s">
        <v>264</v>
      </c>
      <c r="AV153" t="s">
        <v>270</v>
      </c>
      <c r="AX153">
        <v>22001006</v>
      </c>
      <c r="AY153">
        <v>630600</v>
      </c>
      <c r="AZ153">
        <v>1204.6306</v>
      </c>
      <c r="BA153" s="28" t="s">
        <v>124</v>
      </c>
    </row>
    <row r="154" spans="1:53">
      <c r="A154" t="s">
        <v>424</v>
      </c>
      <c r="B154" t="s">
        <v>425</v>
      </c>
      <c r="C154">
        <v>22003495</v>
      </c>
      <c r="D154">
        <v>1204</v>
      </c>
      <c r="E154" s="6">
        <v>44782</v>
      </c>
      <c r="F154" t="s">
        <v>460</v>
      </c>
      <c r="G154">
        <v>194.26</v>
      </c>
      <c r="H154">
        <v>194.26</v>
      </c>
      <c r="I154" t="s">
        <v>263</v>
      </c>
      <c r="J154" t="s">
        <v>263</v>
      </c>
      <c r="L154" s="29">
        <v>2790806.4</v>
      </c>
      <c r="N154" s="29">
        <v>2790806.4</v>
      </c>
      <c r="O154" t="s">
        <v>264</v>
      </c>
      <c r="Q154" t="s">
        <v>264</v>
      </c>
      <c r="R154" t="s">
        <v>265</v>
      </c>
      <c r="S154">
        <v>14369.01</v>
      </c>
      <c r="T154" t="s">
        <v>266</v>
      </c>
      <c r="U154" t="s">
        <v>267</v>
      </c>
      <c r="V154" t="s">
        <v>427</v>
      </c>
      <c r="W154" t="s">
        <v>428</v>
      </c>
      <c r="X154">
        <v>1929306</v>
      </c>
      <c r="Y154" s="6">
        <v>44782</v>
      </c>
      <c r="Z154" t="s">
        <v>264</v>
      </c>
      <c r="AA154">
        <v>1</v>
      </c>
      <c r="AB154" t="s">
        <v>264</v>
      </c>
      <c r="AD154" t="s">
        <v>264</v>
      </c>
      <c r="AE154" t="s">
        <v>264</v>
      </c>
      <c r="AF154" t="s">
        <v>264</v>
      </c>
      <c r="AG154">
        <v>720</v>
      </c>
      <c r="AH154" t="s">
        <v>264</v>
      </c>
      <c r="AI154">
        <v>55413988</v>
      </c>
      <c r="AJ154" t="s">
        <v>460</v>
      </c>
      <c r="AL154" t="s">
        <v>264</v>
      </c>
      <c r="AM154" s="6">
        <v>44782</v>
      </c>
      <c r="AN154" t="s">
        <v>461</v>
      </c>
      <c r="AO154" t="s">
        <v>268</v>
      </c>
      <c r="AP154">
        <v>1204</v>
      </c>
      <c r="AQ154" t="s">
        <v>269</v>
      </c>
      <c r="AR154">
        <v>264850</v>
      </c>
      <c r="AU154" t="s">
        <v>264</v>
      </c>
      <c r="AV154" t="s">
        <v>270</v>
      </c>
      <c r="AX154">
        <v>22001006</v>
      </c>
      <c r="AY154">
        <v>630600</v>
      </c>
      <c r="AZ154">
        <v>1204.6306</v>
      </c>
      <c r="BA154" s="28" t="s">
        <v>124</v>
      </c>
    </row>
    <row r="155" spans="1:53">
      <c r="A155" t="s">
        <v>424</v>
      </c>
      <c r="B155" t="s">
        <v>425</v>
      </c>
      <c r="C155">
        <v>22003496</v>
      </c>
      <c r="D155">
        <v>1204</v>
      </c>
      <c r="E155" s="6">
        <v>44782</v>
      </c>
      <c r="F155" t="s">
        <v>460</v>
      </c>
      <c r="G155">
        <v>236.34</v>
      </c>
      <c r="H155">
        <v>236.34</v>
      </c>
      <c r="I155" t="s">
        <v>263</v>
      </c>
      <c r="J155" t="s">
        <v>263</v>
      </c>
      <c r="L155" s="29">
        <v>3395481.12</v>
      </c>
      <c r="N155" s="29">
        <v>3395481.12</v>
      </c>
      <c r="O155" t="s">
        <v>264</v>
      </c>
      <c r="Q155" t="s">
        <v>264</v>
      </c>
      <c r="R155" t="s">
        <v>265</v>
      </c>
      <c r="S155">
        <v>14369.01</v>
      </c>
      <c r="T155" t="s">
        <v>266</v>
      </c>
      <c r="U155" t="s">
        <v>267</v>
      </c>
      <c r="V155" t="s">
        <v>427</v>
      </c>
      <c r="W155" t="s">
        <v>428</v>
      </c>
      <c r="X155">
        <v>1929306</v>
      </c>
      <c r="Y155" s="6">
        <v>44782</v>
      </c>
      <c r="Z155" t="s">
        <v>264</v>
      </c>
      <c r="AA155">
        <v>1</v>
      </c>
      <c r="AB155" t="s">
        <v>264</v>
      </c>
      <c r="AD155" t="s">
        <v>264</v>
      </c>
      <c r="AE155" t="s">
        <v>264</v>
      </c>
      <c r="AF155" t="s">
        <v>264</v>
      </c>
      <c r="AG155">
        <v>876</v>
      </c>
      <c r="AH155" t="s">
        <v>264</v>
      </c>
      <c r="AI155">
        <v>55413988</v>
      </c>
      <c r="AJ155" t="s">
        <v>460</v>
      </c>
      <c r="AL155" t="s">
        <v>264</v>
      </c>
      <c r="AM155" s="6">
        <v>44782</v>
      </c>
      <c r="AN155" t="s">
        <v>461</v>
      </c>
      <c r="AO155" t="s">
        <v>268</v>
      </c>
      <c r="AP155">
        <v>1204</v>
      </c>
      <c r="AQ155" t="s">
        <v>269</v>
      </c>
      <c r="AR155">
        <v>264850</v>
      </c>
      <c r="AU155" t="s">
        <v>264</v>
      </c>
      <c r="AV155" t="s">
        <v>270</v>
      </c>
      <c r="AX155">
        <v>22001006</v>
      </c>
      <c r="AY155">
        <v>630600</v>
      </c>
      <c r="AZ155">
        <v>1204.6306</v>
      </c>
      <c r="BA155" s="28" t="s">
        <v>124</v>
      </c>
    </row>
    <row r="156" spans="1:53">
      <c r="A156" t="s">
        <v>424</v>
      </c>
      <c r="B156" t="s">
        <v>425</v>
      </c>
      <c r="C156">
        <v>22003497</v>
      </c>
      <c r="D156">
        <v>1204</v>
      </c>
      <c r="E156" s="6">
        <v>44782</v>
      </c>
      <c r="F156" t="s">
        <v>460</v>
      </c>
      <c r="G156">
        <v>101.98</v>
      </c>
      <c r="H156">
        <v>101.98</v>
      </c>
      <c r="I156" t="s">
        <v>263</v>
      </c>
      <c r="J156" t="s">
        <v>263</v>
      </c>
      <c r="L156" s="29">
        <v>1465173.36</v>
      </c>
      <c r="N156" s="29">
        <v>1465173.36</v>
      </c>
      <c r="O156" t="s">
        <v>264</v>
      </c>
      <c r="Q156" t="s">
        <v>264</v>
      </c>
      <c r="R156" t="s">
        <v>265</v>
      </c>
      <c r="S156">
        <v>14369.01</v>
      </c>
      <c r="T156" t="s">
        <v>266</v>
      </c>
      <c r="U156" t="s">
        <v>267</v>
      </c>
      <c r="V156" t="s">
        <v>427</v>
      </c>
      <c r="W156" t="s">
        <v>428</v>
      </c>
      <c r="X156">
        <v>1929306</v>
      </c>
      <c r="Y156" s="6">
        <v>44782</v>
      </c>
      <c r="Z156" t="s">
        <v>264</v>
      </c>
      <c r="AA156">
        <v>1</v>
      </c>
      <c r="AB156" t="s">
        <v>264</v>
      </c>
      <c r="AD156" t="s">
        <v>264</v>
      </c>
      <c r="AE156" t="s">
        <v>264</v>
      </c>
      <c r="AF156" t="s">
        <v>264</v>
      </c>
      <c r="AG156">
        <v>378</v>
      </c>
      <c r="AH156" t="s">
        <v>264</v>
      </c>
      <c r="AI156">
        <v>55413988</v>
      </c>
      <c r="AJ156" t="s">
        <v>460</v>
      </c>
      <c r="AL156" t="s">
        <v>264</v>
      </c>
      <c r="AM156" s="6">
        <v>44782</v>
      </c>
      <c r="AN156" t="s">
        <v>461</v>
      </c>
      <c r="AO156" t="s">
        <v>268</v>
      </c>
      <c r="AP156">
        <v>1204</v>
      </c>
      <c r="AQ156" t="s">
        <v>269</v>
      </c>
      <c r="AR156">
        <v>264850</v>
      </c>
      <c r="AU156" t="s">
        <v>264</v>
      </c>
      <c r="AV156" t="s">
        <v>270</v>
      </c>
      <c r="AX156">
        <v>22001006</v>
      </c>
      <c r="AY156">
        <v>630600</v>
      </c>
      <c r="AZ156">
        <v>1204.6306</v>
      </c>
      <c r="BA156" s="28" t="s">
        <v>124</v>
      </c>
    </row>
    <row r="157" spans="1:53">
      <c r="A157" t="s">
        <v>424</v>
      </c>
      <c r="B157" t="s">
        <v>425</v>
      </c>
      <c r="C157">
        <v>22003498</v>
      </c>
      <c r="D157">
        <v>1204</v>
      </c>
      <c r="E157" s="6">
        <v>44782</v>
      </c>
      <c r="F157" t="s">
        <v>460</v>
      </c>
      <c r="G157">
        <v>113.32</v>
      </c>
      <c r="H157">
        <v>113.32</v>
      </c>
      <c r="I157" t="s">
        <v>263</v>
      </c>
      <c r="J157" t="s">
        <v>263</v>
      </c>
      <c r="L157" s="29">
        <v>1627970.4</v>
      </c>
      <c r="N157" s="29">
        <v>1627970.4</v>
      </c>
      <c r="O157" t="s">
        <v>264</v>
      </c>
      <c r="Q157" t="s">
        <v>264</v>
      </c>
      <c r="R157" t="s">
        <v>265</v>
      </c>
      <c r="S157">
        <v>14369.01</v>
      </c>
      <c r="T157" t="s">
        <v>266</v>
      </c>
      <c r="U157" t="s">
        <v>267</v>
      </c>
      <c r="V157" t="s">
        <v>427</v>
      </c>
      <c r="W157" t="s">
        <v>428</v>
      </c>
      <c r="X157">
        <v>1929306</v>
      </c>
      <c r="Y157" s="6">
        <v>44782</v>
      </c>
      <c r="Z157" t="s">
        <v>264</v>
      </c>
      <c r="AA157">
        <v>1</v>
      </c>
      <c r="AB157" t="s">
        <v>264</v>
      </c>
      <c r="AD157" t="s">
        <v>264</v>
      </c>
      <c r="AE157" t="s">
        <v>264</v>
      </c>
      <c r="AF157" t="s">
        <v>264</v>
      </c>
      <c r="AG157">
        <v>420</v>
      </c>
      <c r="AH157" t="s">
        <v>264</v>
      </c>
      <c r="AI157">
        <v>55413988</v>
      </c>
      <c r="AJ157" t="s">
        <v>460</v>
      </c>
      <c r="AL157" t="s">
        <v>264</v>
      </c>
      <c r="AM157" s="6">
        <v>44782</v>
      </c>
      <c r="AN157" t="s">
        <v>461</v>
      </c>
      <c r="AO157" t="s">
        <v>268</v>
      </c>
      <c r="AP157">
        <v>1204</v>
      </c>
      <c r="AQ157" t="s">
        <v>269</v>
      </c>
      <c r="AR157">
        <v>264850</v>
      </c>
      <c r="AU157" t="s">
        <v>264</v>
      </c>
      <c r="AV157" t="s">
        <v>270</v>
      </c>
      <c r="AX157">
        <v>22001006</v>
      </c>
      <c r="AY157">
        <v>630600</v>
      </c>
      <c r="AZ157">
        <v>1204.6306</v>
      </c>
      <c r="BA157" s="28" t="s">
        <v>124</v>
      </c>
    </row>
    <row r="158" spans="1:53">
      <c r="A158" t="s">
        <v>424</v>
      </c>
      <c r="B158" t="s">
        <v>425</v>
      </c>
      <c r="C158">
        <v>22003499</v>
      </c>
      <c r="D158">
        <v>1204</v>
      </c>
      <c r="E158" s="6">
        <v>44782</v>
      </c>
      <c r="F158" t="s">
        <v>460</v>
      </c>
      <c r="G158">
        <v>178.07</v>
      </c>
      <c r="H158">
        <v>178.07</v>
      </c>
      <c r="I158" t="s">
        <v>263</v>
      </c>
      <c r="J158" t="s">
        <v>263</v>
      </c>
      <c r="L158" s="29">
        <v>2558239.2000000002</v>
      </c>
      <c r="N158" s="29">
        <v>2558239.2000000002</v>
      </c>
      <c r="O158" t="s">
        <v>264</v>
      </c>
      <c r="Q158" t="s">
        <v>264</v>
      </c>
      <c r="R158" t="s">
        <v>265</v>
      </c>
      <c r="S158">
        <v>14369.01</v>
      </c>
      <c r="T158" t="s">
        <v>266</v>
      </c>
      <c r="U158" t="s">
        <v>267</v>
      </c>
      <c r="V158" t="s">
        <v>427</v>
      </c>
      <c r="W158" t="s">
        <v>428</v>
      </c>
      <c r="X158">
        <v>1929306</v>
      </c>
      <c r="Y158" s="6">
        <v>44782</v>
      </c>
      <c r="Z158" t="s">
        <v>264</v>
      </c>
      <c r="AA158">
        <v>1</v>
      </c>
      <c r="AB158" t="s">
        <v>264</v>
      </c>
      <c r="AD158" t="s">
        <v>264</v>
      </c>
      <c r="AE158" t="s">
        <v>264</v>
      </c>
      <c r="AF158" t="s">
        <v>264</v>
      </c>
      <c r="AG158">
        <v>660</v>
      </c>
      <c r="AH158" t="s">
        <v>264</v>
      </c>
      <c r="AI158">
        <v>55413988</v>
      </c>
      <c r="AJ158" t="s">
        <v>460</v>
      </c>
      <c r="AL158" t="s">
        <v>264</v>
      </c>
      <c r="AM158" s="6">
        <v>44782</v>
      </c>
      <c r="AN158" t="s">
        <v>461</v>
      </c>
      <c r="AO158" t="s">
        <v>268</v>
      </c>
      <c r="AP158">
        <v>1204</v>
      </c>
      <c r="AQ158" t="s">
        <v>269</v>
      </c>
      <c r="AR158">
        <v>264850</v>
      </c>
      <c r="AU158" t="s">
        <v>264</v>
      </c>
      <c r="AV158" t="s">
        <v>270</v>
      </c>
      <c r="AX158">
        <v>22001006</v>
      </c>
      <c r="AY158">
        <v>630600</v>
      </c>
      <c r="AZ158">
        <v>1204.6306</v>
      </c>
      <c r="BA158" s="28" t="s">
        <v>124</v>
      </c>
    </row>
    <row r="159" spans="1:53">
      <c r="A159" t="s">
        <v>424</v>
      </c>
      <c r="B159" t="s">
        <v>425</v>
      </c>
      <c r="C159">
        <v>22003500</v>
      </c>
      <c r="D159">
        <v>1204</v>
      </c>
      <c r="E159" s="6">
        <v>44782</v>
      </c>
      <c r="F159" t="s">
        <v>460</v>
      </c>
      <c r="G159">
        <v>4.05</v>
      </c>
      <c r="H159">
        <v>4.05</v>
      </c>
      <c r="I159" t="s">
        <v>263</v>
      </c>
      <c r="J159" t="s">
        <v>263</v>
      </c>
      <c r="L159" s="29">
        <v>58141.8</v>
      </c>
      <c r="N159" s="29">
        <v>58141.8</v>
      </c>
      <c r="O159" t="s">
        <v>264</v>
      </c>
      <c r="Q159" t="s">
        <v>264</v>
      </c>
      <c r="R159" t="s">
        <v>265</v>
      </c>
      <c r="S159">
        <v>14369.01</v>
      </c>
      <c r="T159" t="s">
        <v>266</v>
      </c>
      <c r="U159" t="s">
        <v>267</v>
      </c>
      <c r="V159" t="s">
        <v>427</v>
      </c>
      <c r="W159" t="s">
        <v>428</v>
      </c>
      <c r="X159">
        <v>1929306</v>
      </c>
      <c r="Y159" s="6">
        <v>44782</v>
      </c>
      <c r="Z159" t="s">
        <v>264</v>
      </c>
      <c r="AA159">
        <v>1</v>
      </c>
      <c r="AB159" t="s">
        <v>264</v>
      </c>
      <c r="AD159" t="s">
        <v>264</v>
      </c>
      <c r="AE159" t="s">
        <v>264</v>
      </c>
      <c r="AF159" t="s">
        <v>264</v>
      </c>
      <c r="AG159">
        <v>15</v>
      </c>
      <c r="AH159" t="s">
        <v>264</v>
      </c>
      <c r="AI159">
        <v>55413988</v>
      </c>
      <c r="AJ159" t="s">
        <v>460</v>
      </c>
      <c r="AL159" t="s">
        <v>264</v>
      </c>
      <c r="AM159" s="6">
        <v>44782</v>
      </c>
      <c r="AN159" t="s">
        <v>461</v>
      </c>
      <c r="AO159" t="s">
        <v>268</v>
      </c>
      <c r="AP159">
        <v>1204</v>
      </c>
      <c r="AQ159" t="s">
        <v>269</v>
      </c>
      <c r="AR159">
        <v>264850</v>
      </c>
      <c r="AU159" t="s">
        <v>264</v>
      </c>
      <c r="AV159" t="s">
        <v>270</v>
      </c>
      <c r="AX159">
        <v>22001006</v>
      </c>
      <c r="AY159">
        <v>630600</v>
      </c>
      <c r="AZ159">
        <v>1204.6306</v>
      </c>
      <c r="BA159" s="28" t="s">
        <v>124</v>
      </c>
    </row>
    <row r="160" spans="1:53">
      <c r="A160" t="s">
        <v>424</v>
      </c>
      <c r="B160" t="s">
        <v>425</v>
      </c>
      <c r="C160">
        <v>22003501</v>
      </c>
      <c r="D160">
        <v>1204</v>
      </c>
      <c r="E160" s="6">
        <v>44782</v>
      </c>
      <c r="F160" t="s">
        <v>460</v>
      </c>
      <c r="G160">
        <v>53.96</v>
      </c>
      <c r="H160">
        <v>53.96</v>
      </c>
      <c r="I160" t="s">
        <v>263</v>
      </c>
      <c r="J160" t="s">
        <v>263</v>
      </c>
      <c r="L160" s="29">
        <v>775224</v>
      </c>
      <c r="N160" s="29">
        <v>775224</v>
      </c>
      <c r="O160" t="s">
        <v>264</v>
      </c>
      <c r="Q160" t="s">
        <v>264</v>
      </c>
      <c r="R160" t="s">
        <v>265</v>
      </c>
      <c r="S160">
        <v>14369.01</v>
      </c>
      <c r="T160" t="s">
        <v>266</v>
      </c>
      <c r="U160" t="s">
        <v>267</v>
      </c>
      <c r="V160" t="s">
        <v>427</v>
      </c>
      <c r="W160" t="s">
        <v>428</v>
      </c>
      <c r="X160">
        <v>1929306</v>
      </c>
      <c r="Y160" s="6">
        <v>44782</v>
      </c>
      <c r="Z160" t="s">
        <v>264</v>
      </c>
      <c r="AA160">
        <v>1</v>
      </c>
      <c r="AB160" t="s">
        <v>264</v>
      </c>
      <c r="AD160" t="s">
        <v>264</v>
      </c>
      <c r="AE160" t="s">
        <v>264</v>
      </c>
      <c r="AF160" t="s">
        <v>264</v>
      </c>
      <c r="AG160">
        <v>200</v>
      </c>
      <c r="AH160" t="s">
        <v>264</v>
      </c>
      <c r="AI160">
        <v>55413988</v>
      </c>
      <c r="AJ160" t="s">
        <v>460</v>
      </c>
      <c r="AL160" t="s">
        <v>264</v>
      </c>
      <c r="AM160" s="6">
        <v>44782</v>
      </c>
      <c r="AN160" t="s">
        <v>461</v>
      </c>
      <c r="AO160" t="s">
        <v>268</v>
      </c>
      <c r="AP160">
        <v>1204</v>
      </c>
      <c r="AQ160" t="s">
        <v>269</v>
      </c>
      <c r="AR160">
        <v>264850</v>
      </c>
      <c r="AU160" t="s">
        <v>264</v>
      </c>
      <c r="AV160" t="s">
        <v>270</v>
      </c>
      <c r="AX160">
        <v>22001006</v>
      </c>
      <c r="AY160">
        <v>630600</v>
      </c>
      <c r="AZ160">
        <v>1204.6306</v>
      </c>
      <c r="BA160" s="28" t="s">
        <v>124</v>
      </c>
    </row>
    <row r="161" spans="1:53">
      <c r="A161" t="s">
        <v>424</v>
      </c>
      <c r="B161" t="s">
        <v>425</v>
      </c>
      <c r="C161">
        <v>22003502</v>
      </c>
      <c r="D161">
        <v>1204</v>
      </c>
      <c r="E161" s="6">
        <v>44782</v>
      </c>
      <c r="F161" t="s">
        <v>460</v>
      </c>
      <c r="G161">
        <v>99.29</v>
      </c>
      <c r="H161">
        <v>99.29</v>
      </c>
      <c r="I161" t="s">
        <v>263</v>
      </c>
      <c r="J161" t="s">
        <v>263</v>
      </c>
      <c r="L161" s="29">
        <v>1426412.16</v>
      </c>
      <c r="N161" s="29">
        <v>1426412.16</v>
      </c>
      <c r="O161" t="s">
        <v>264</v>
      </c>
      <c r="Q161" t="s">
        <v>264</v>
      </c>
      <c r="R161" t="s">
        <v>265</v>
      </c>
      <c r="S161">
        <v>14369.01</v>
      </c>
      <c r="T161" t="s">
        <v>266</v>
      </c>
      <c r="U161" t="s">
        <v>267</v>
      </c>
      <c r="V161" t="s">
        <v>427</v>
      </c>
      <c r="W161" t="s">
        <v>428</v>
      </c>
      <c r="X161">
        <v>1929306</v>
      </c>
      <c r="Y161" s="6">
        <v>44782</v>
      </c>
      <c r="Z161" t="s">
        <v>264</v>
      </c>
      <c r="AA161">
        <v>1</v>
      </c>
      <c r="AB161" t="s">
        <v>264</v>
      </c>
      <c r="AD161" t="s">
        <v>264</v>
      </c>
      <c r="AE161" t="s">
        <v>264</v>
      </c>
      <c r="AF161" t="s">
        <v>264</v>
      </c>
      <c r="AG161">
        <v>368</v>
      </c>
      <c r="AH161" t="s">
        <v>264</v>
      </c>
      <c r="AI161">
        <v>55413988</v>
      </c>
      <c r="AJ161" t="s">
        <v>460</v>
      </c>
      <c r="AL161" t="s">
        <v>264</v>
      </c>
      <c r="AM161" s="6">
        <v>44782</v>
      </c>
      <c r="AN161" t="s">
        <v>461</v>
      </c>
      <c r="AO161" t="s">
        <v>268</v>
      </c>
      <c r="AP161">
        <v>1204</v>
      </c>
      <c r="AQ161" t="s">
        <v>269</v>
      </c>
      <c r="AR161">
        <v>264850</v>
      </c>
      <c r="AU161" t="s">
        <v>264</v>
      </c>
      <c r="AV161" t="s">
        <v>270</v>
      </c>
      <c r="AX161">
        <v>22001006</v>
      </c>
      <c r="AY161">
        <v>630600</v>
      </c>
      <c r="AZ161">
        <v>1204.6306</v>
      </c>
      <c r="BA161" s="28" t="s">
        <v>124</v>
      </c>
    </row>
    <row r="162" spans="1:53">
      <c r="A162" t="s">
        <v>424</v>
      </c>
      <c r="B162" t="s">
        <v>425</v>
      </c>
      <c r="C162">
        <v>22003503</v>
      </c>
      <c r="D162">
        <v>1204</v>
      </c>
      <c r="E162" s="6">
        <v>44782</v>
      </c>
      <c r="F162" t="s">
        <v>460</v>
      </c>
      <c r="G162">
        <v>113.59</v>
      </c>
      <c r="H162">
        <v>113.59</v>
      </c>
      <c r="I162" t="s">
        <v>263</v>
      </c>
      <c r="J162" t="s">
        <v>263</v>
      </c>
      <c r="L162" s="29">
        <v>1631846.52</v>
      </c>
      <c r="N162" s="29">
        <v>1631846.52</v>
      </c>
      <c r="O162" t="s">
        <v>264</v>
      </c>
      <c r="Q162" t="s">
        <v>264</v>
      </c>
      <c r="R162" t="s">
        <v>265</v>
      </c>
      <c r="S162">
        <v>14369.01</v>
      </c>
      <c r="T162" t="s">
        <v>266</v>
      </c>
      <c r="U162" t="s">
        <v>267</v>
      </c>
      <c r="V162" t="s">
        <v>427</v>
      </c>
      <c r="W162" t="s">
        <v>428</v>
      </c>
      <c r="X162">
        <v>1929306</v>
      </c>
      <c r="Y162" s="6">
        <v>44782</v>
      </c>
      <c r="Z162" t="s">
        <v>264</v>
      </c>
      <c r="AA162">
        <v>1</v>
      </c>
      <c r="AB162" t="s">
        <v>264</v>
      </c>
      <c r="AD162" t="s">
        <v>264</v>
      </c>
      <c r="AE162" t="s">
        <v>264</v>
      </c>
      <c r="AF162" t="s">
        <v>264</v>
      </c>
      <c r="AG162">
        <v>421</v>
      </c>
      <c r="AH162" t="s">
        <v>264</v>
      </c>
      <c r="AI162">
        <v>55413988</v>
      </c>
      <c r="AJ162" t="s">
        <v>460</v>
      </c>
      <c r="AL162" t="s">
        <v>264</v>
      </c>
      <c r="AM162" s="6">
        <v>44782</v>
      </c>
      <c r="AN162" t="s">
        <v>461</v>
      </c>
      <c r="AO162" t="s">
        <v>268</v>
      </c>
      <c r="AP162">
        <v>1204</v>
      </c>
      <c r="AQ162" t="s">
        <v>269</v>
      </c>
      <c r="AR162">
        <v>264850</v>
      </c>
      <c r="AU162" t="s">
        <v>264</v>
      </c>
      <c r="AV162" t="s">
        <v>270</v>
      </c>
      <c r="AX162">
        <v>22001006</v>
      </c>
      <c r="AY162">
        <v>630600</v>
      </c>
      <c r="AZ162">
        <v>1204.6306</v>
      </c>
      <c r="BA162" s="28" t="s">
        <v>124</v>
      </c>
    </row>
    <row r="163" spans="1:53">
      <c r="A163" t="s">
        <v>424</v>
      </c>
      <c r="B163" t="s">
        <v>425</v>
      </c>
      <c r="C163">
        <v>22003504</v>
      </c>
      <c r="D163">
        <v>1204</v>
      </c>
      <c r="E163" s="6">
        <v>44782</v>
      </c>
      <c r="F163" t="s">
        <v>460</v>
      </c>
      <c r="G163">
        <v>25.36</v>
      </c>
      <c r="H163">
        <v>25.36</v>
      </c>
      <c r="I163" t="s">
        <v>263</v>
      </c>
      <c r="J163" t="s">
        <v>263</v>
      </c>
      <c r="L163" s="29">
        <v>364355.28</v>
      </c>
      <c r="N163" s="29">
        <v>364355.28</v>
      </c>
      <c r="O163" t="s">
        <v>264</v>
      </c>
      <c r="Q163" t="s">
        <v>264</v>
      </c>
      <c r="R163" t="s">
        <v>265</v>
      </c>
      <c r="S163">
        <v>14369.01</v>
      </c>
      <c r="T163" t="s">
        <v>266</v>
      </c>
      <c r="U163" t="s">
        <v>267</v>
      </c>
      <c r="V163" t="s">
        <v>427</v>
      </c>
      <c r="W163" t="s">
        <v>428</v>
      </c>
      <c r="X163">
        <v>1929306</v>
      </c>
      <c r="Y163" s="6">
        <v>44782</v>
      </c>
      <c r="Z163" t="s">
        <v>264</v>
      </c>
      <c r="AA163">
        <v>1</v>
      </c>
      <c r="AB163" t="s">
        <v>264</v>
      </c>
      <c r="AD163" t="s">
        <v>264</v>
      </c>
      <c r="AE163" t="s">
        <v>264</v>
      </c>
      <c r="AF163" t="s">
        <v>264</v>
      </c>
      <c r="AG163">
        <v>94</v>
      </c>
      <c r="AH163" t="s">
        <v>264</v>
      </c>
      <c r="AI163">
        <v>55413988</v>
      </c>
      <c r="AJ163" t="s">
        <v>460</v>
      </c>
      <c r="AL163" t="s">
        <v>264</v>
      </c>
      <c r="AM163" s="6">
        <v>44782</v>
      </c>
      <c r="AN163" t="s">
        <v>461</v>
      </c>
      <c r="AO163" t="s">
        <v>268</v>
      </c>
      <c r="AP163">
        <v>1204</v>
      </c>
      <c r="AQ163" t="s">
        <v>269</v>
      </c>
      <c r="AR163">
        <v>264850</v>
      </c>
      <c r="AU163" t="s">
        <v>264</v>
      </c>
      <c r="AV163" t="s">
        <v>270</v>
      </c>
      <c r="AX163">
        <v>22001006</v>
      </c>
      <c r="AY163">
        <v>630600</v>
      </c>
      <c r="AZ163">
        <v>1204.6306</v>
      </c>
      <c r="BA163" s="28" t="s">
        <v>124</v>
      </c>
    </row>
    <row r="164" spans="1:53">
      <c r="A164" t="s">
        <v>424</v>
      </c>
      <c r="B164" t="s">
        <v>425</v>
      </c>
      <c r="C164">
        <v>22003505</v>
      </c>
      <c r="D164">
        <v>1204</v>
      </c>
      <c r="E164" s="6">
        <v>44782</v>
      </c>
      <c r="F164" t="s">
        <v>460</v>
      </c>
      <c r="G164">
        <v>49.1</v>
      </c>
      <c r="H164">
        <v>49.1</v>
      </c>
      <c r="I164" t="s">
        <v>263</v>
      </c>
      <c r="J164" t="s">
        <v>263</v>
      </c>
      <c r="L164" s="29">
        <v>705453.84</v>
      </c>
      <c r="N164" s="29">
        <v>705453.84</v>
      </c>
      <c r="O164" t="s">
        <v>264</v>
      </c>
      <c r="Q164" t="s">
        <v>264</v>
      </c>
      <c r="R164" t="s">
        <v>265</v>
      </c>
      <c r="S164">
        <v>14369.01</v>
      </c>
      <c r="T164" t="s">
        <v>266</v>
      </c>
      <c r="U164" t="s">
        <v>267</v>
      </c>
      <c r="V164" t="s">
        <v>427</v>
      </c>
      <c r="W164" t="s">
        <v>428</v>
      </c>
      <c r="X164">
        <v>1929306</v>
      </c>
      <c r="Y164" s="6">
        <v>44782</v>
      </c>
      <c r="Z164" t="s">
        <v>264</v>
      </c>
      <c r="AA164">
        <v>1</v>
      </c>
      <c r="AB164" t="s">
        <v>264</v>
      </c>
      <c r="AD164" t="s">
        <v>264</v>
      </c>
      <c r="AE164" t="s">
        <v>264</v>
      </c>
      <c r="AF164" t="s">
        <v>264</v>
      </c>
      <c r="AG164">
        <v>182</v>
      </c>
      <c r="AH164" t="s">
        <v>264</v>
      </c>
      <c r="AI164">
        <v>55413988</v>
      </c>
      <c r="AJ164" t="s">
        <v>460</v>
      </c>
      <c r="AL164" t="s">
        <v>264</v>
      </c>
      <c r="AM164" s="6">
        <v>44782</v>
      </c>
      <c r="AN164" t="s">
        <v>461</v>
      </c>
      <c r="AO164" t="s">
        <v>268</v>
      </c>
      <c r="AP164">
        <v>1204</v>
      </c>
      <c r="AQ164" t="s">
        <v>269</v>
      </c>
      <c r="AR164">
        <v>264850</v>
      </c>
      <c r="AU164" t="s">
        <v>264</v>
      </c>
      <c r="AV164" t="s">
        <v>270</v>
      </c>
      <c r="AX164">
        <v>22001006</v>
      </c>
      <c r="AY164">
        <v>630600</v>
      </c>
      <c r="AZ164">
        <v>1204.6306</v>
      </c>
      <c r="BA164" s="28" t="s">
        <v>124</v>
      </c>
    </row>
    <row r="165" spans="1:53">
      <c r="A165" t="s">
        <v>424</v>
      </c>
      <c r="B165" t="s">
        <v>425</v>
      </c>
      <c r="C165">
        <v>22003506</v>
      </c>
      <c r="D165">
        <v>1204</v>
      </c>
      <c r="E165" s="6">
        <v>44782</v>
      </c>
      <c r="F165" t="s">
        <v>460</v>
      </c>
      <c r="G165">
        <v>111.7</v>
      </c>
      <c r="H165">
        <v>111.7</v>
      </c>
      <c r="I165" t="s">
        <v>263</v>
      </c>
      <c r="J165" t="s">
        <v>263</v>
      </c>
      <c r="L165" s="29">
        <v>1604713.68</v>
      </c>
      <c r="N165" s="29">
        <v>1604713.68</v>
      </c>
      <c r="O165" t="s">
        <v>264</v>
      </c>
      <c r="Q165" t="s">
        <v>264</v>
      </c>
      <c r="R165" t="s">
        <v>265</v>
      </c>
      <c r="S165">
        <v>14369.01</v>
      </c>
      <c r="T165" t="s">
        <v>266</v>
      </c>
      <c r="U165" t="s">
        <v>267</v>
      </c>
      <c r="V165" t="s">
        <v>427</v>
      </c>
      <c r="W165" t="s">
        <v>428</v>
      </c>
      <c r="X165">
        <v>1929306</v>
      </c>
      <c r="Y165" s="6">
        <v>44782</v>
      </c>
      <c r="Z165" t="s">
        <v>264</v>
      </c>
      <c r="AA165">
        <v>1</v>
      </c>
      <c r="AB165" t="s">
        <v>264</v>
      </c>
      <c r="AD165" t="s">
        <v>264</v>
      </c>
      <c r="AE165" t="s">
        <v>264</v>
      </c>
      <c r="AF165" t="s">
        <v>264</v>
      </c>
      <c r="AG165">
        <v>414</v>
      </c>
      <c r="AH165" t="s">
        <v>264</v>
      </c>
      <c r="AI165">
        <v>55413988</v>
      </c>
      <c r="AJ165" t="s">
        <v>460</v>
      </c>
      <c r="AL165" t="s">
        <v>264</v>
      </c>
      <c r="AM165" s="6">
        <v>44782</v>
      </c>
      <c r="AN165" t="s">
        <v>461</v>
      </c>
      <c r="AO165" t="s">
        <v>268</v>
      </c>
      <c r="AP165">
        <v>1204</v>
      </c>
      <c r="AQ165" t="s">
        <v>269</v>
      </c>
      <c r="AR165">
        <v>264850</v>
      </c>
      <c r="AU165" t="s">
        <v>264</v>
      </c>
      <c r="AV165" t="s">
        <v>270</v>
      </c>
      <c r="AX165">
        <v>22001006</v>
      </c>
      <c r="AY165">
        <v>630600</v>
      </c>
      <c r="AZ165">
        <v>1204.6306</v>
      </c>
      <c r="BA165" s="28" t="s">
        <v>124</v>
      </c>
    </row>
    <row r="166" spans="1:53">
      <c r="A166" t="s">
        <v>424</v>
      </c>
      <c r="B166" t="s">
        <v>425</v>
      </c>
      <c r="C166">
        <v>22003507</v>
      </c>
      <c r="D166">
        <v>1204</v>
      </c>
      <c r="E166" s="6">
        <v>44782</v>
      </c>
      <c r="F166" t="s">
        <v>460</v>
      </c>
      <c r="G166">
        <v>0.27</v>
      </c>
      <c r="H166">
        <v>0.27</v>
      </c>
      <c r="I166" t="s">
        <v>263</v>
      </c>
      <c r="J166" t="s">
        <v>263</v>
      </c>
      <c r="L166" s="29">
        <v>3876.12</v>
      </c>
      <c r="N166" s="29">
        <v>3876.12</v>
      </c>
      <c r="O166" t="s">
        <v>264</v>
      </c>
      <c r="Q166" t="s">
        <v>264</v>
      </c>
      <c r="R166" t="s">
        <v>265</v>
      </c>
      <c r="S166">
        <v>14369.01</v>
      </c>
      <c r="T166" t="s">
        <v>266</v>
      </c>
      <c r="U166" t="s">
        <v>267</v>
      </c>
      <c r="V166" t="s">
        <v>427</v>
      </c>
      <c r="W166" t="s">
        <v>428</v>
      </c>
      <c r="X166">
        <v>1929306</v>
      </c>
      <c r="Y166" s="6">
        <v>44782</v>
      </c>
      <c r="Z166" t="s">
        <v>264</v>
      </c>
      <c r="AA166">
        <v>1</v>
      </c>
      <c r="AB166" t="s">
        <v>264</v>
      </c>
      <c r="AD166" t="s">
        <v>264</v>
      </c>
      <c r="AE166" t="s">
        <v>264</v>
      </c>
      <c r="AF166" t="s">
        <v>264</v>
      </c>
      <c r="AG166">
        <v>1</v>
      </c>
      <c r="AH166" t="s">
        <v>264</v>
      </c>
      <c r="AI166">
        <v>55413988</v>
      </c>
      <c r="AJ166" t="s">
        <v>460</v>
      </c>
      <c r="AL166" t="s">
        <v>264</v>
      </c>
      <c r="AM166" s="6">
        <v>44782</v>
      </c>
      <c r="AN166" t="s">
        <v>461</v>
      </c>
      <c r="AO166" t="s">
        <v>268</v>
      </c>
      <c r="AP166">
        <v>1204</v>
      </c>
      <c r="AQ166" t="s">
        <v>269</v>
      </c>
      <c r="AR166">
        <v>264850</v>
      </c>
      <c r="AU166" t="s">
        <v>264</v>
      </c>
      <c r="AV166" t="s">
        <v>270</v>
      </c>
      <c r="AX166">
        <v>22001006</v>
      </c>
      <c r="AY166">
        <v>630600</v>
      </c>
      <c r="AZ166">
        <v>1204.6306</v>
      </c>
      <c r="BA166" s="28" t="s">
        <v>124</v>
      </c>
    </row>
    <row r="167" spans="1:53">
      <c r="A167" t="s">
        <v>424</v>
      </c>
      <c r="B167" t="s">
        <v>425</v>
      </c>
      <c r="C167">
        <v>22003508</v>
      </c>
      <c r="D167">
        <v>1204</v>
      </c>
      <c r="E167" s="6">
        <v>44782</v>
      </c>
      <c r="F167" t="s">
        <v>460</v>
      </c>
      <c r="G167">
        <v>1.62</v>
      </c>
      <c r="H167">
        <v>1.62</v>
      </c>
      <c r="I167" t="s">
        <v>263</v>
      </c>
      <c r="J167" t="s">
        <v>263</v>
      </c>
      <c r="L167" s="29">
        <v>23256.720000000001</v>
      </c>
      <c r="N167" s="29">
        <v>23256.720000000001</v>
      </c>
      <c r="O167" t="s">
        <v>264</v>
      </c>
      <c r="Q167" t="s">
        <v>264</v>
      </c>
      <c r="R167" t="s">
        <v>265</v>
      </c>
      <c r="S167">
        <v>14369.01</v>
      </c>
      <c r="T167" t="s">
        <v>266</v>
      </c>
      <c r="U167" t="s">
        <v>267</v>
      </c>
      <c r="V167" t="s">
        <v>427</v>
      </c>
      <c r="W167" t="s">
        <v>428</v>
      </c>
      <c r="X167">
        <v>1929306</v>
      </c>
      <c r="Y167" s="6">
        <v>44782</v>
      </c>
      <c r="Z167" t="s">
        <v>264</v>
      </c>
      <c r="AA167">
        <v>1</v>
      </c>
      <c r="AB167" t="s">
        <v>264</v>
      </c>
      <c r="AD167" t="s">
        <v>264</v>
      </c>
      <c r="AE167" t="s">
        <v>264</v>
      </c>
      <c r="AF167" t="s">
        <v>264</v>
      </c>
      <c r="AG167">
        <v>6</v>
      </c>
      <c r="AH167" t="s">
        <v>264</v>
      </c>
      <c r="AI167">
        <v>55413988</v>
      </c>
      <c r="AJ167" t="s">
        <v>460</v>
      </c>
      <c r="AL167" t="s">
        <v>264</v>
      </c>
      <c r="AM167" s="6">
        <v>44782</v>
      </c>
      <c r="AN167" t="s">
        <v>461</v>
      </c>
      <c r="AO167" t="s">
        <v>268</v>
      </c>
      <c r="AP167">
        <v>1204</v>
      </c>
      <c r="AQ167" t="s">
        <v>269</v>
      </c>
      <c r="AR167">
        <v>264850</v>
      </c>
      <c r="AU167" t="s">
        <v>264</v>
      </c>
      <c r="AV167" t="s">
        <v>270</v>
      </c>
      <c r="AX167">
        <v>22001006</v>
      </c>
      <c r="AY167">
        <v>630600</v>
      </c>
      <c r="AZ167">
        <v>1204.6306</v>
      </c>
      <c r="BA167" s="28" t="s">
        <v>124</v>
      </c>
    </row>
    <row r="168" spans="1:53">
      <c r="A168" t="s">
        <v>424</v>
      </c>
      <c r="B168" t="s">
        <v>425</v>
      </c>
      <c r="C168">
        <v>22003509</v>
      </c>
      <c r="D168">
        <v>1204</v>
      </c>
      <c r="E168" s="6">
        <v>44782</v>
      </c>
      <c r="F168" t="s">
        <v>460</v>
      </c>
      <c r="G168">
        <v>16.46</v>
      </c>
      <c r="H168">
        <v>16.46</v>
      </c>
      <c r="I168" t="s">
        <v>263</v>
      </c>
      <c r="J168" t="s">
        <v>263</v>
      </c>
      <c r="L168" s="29">
        <v>236443.32</v>
      </c>
      <c r="N168" s="29">
        <v>236443.32</v>
      </c>
      <c r="O168" t="s">
        <v>264</v>
      </c>
      <c r="Q168" t="s">
        <v>264</v>
      </c>
      <c r="R168" t="s">
        <v>265</v>
      </c>
      <c r="S168">
        <v>14369.01</v>
      </c>
      <c r="T168" t="s">
        <v>266</v>
      </c>
      <c r="U168" t="s">
        <v>267</v>
      </c>
      <c r="V168" t="s">
        <v>427</v>
      </c>
      <c r="W168" t="s">
        <v>428</v>
      </c>
      <c r="X168">
        <v>1929306</v>
      </c>
      <c r="Y168" s="6">
        <v>44782</v>
      </c>
      <c r="Z168" t="s">
        <v>264</v>
      </c>
      <c r="AA168">
        <v>1</v>
      </c>
      <c r="AB168" t="s">
        <v>264</v>
      </c>
      <c r="AD168" t="s">
        <v>264</v>
      </c>
      <c r="AE168" t="s">
        <v>264</v>
      </c>
      <c r="AF168" t="s">
        <v>264</v>
      </c>
      <c r="AG168">
        <v>61</v>
      </c>
      <c r="AH168" t="s">
        <v>264</v>
      </c>
      <c r="AI168">
        <v>55413988</v>
      </c>
      <c r="AJ168" t="s">
        <v>460</v>
      </c>
      <c r="AL168" t="s">
        <v>264</v>
      </c>
      <c r="AM168" s="6">
        <v>44782</v>
      </c>
      <c r="AN168" t="s">
        <v>461</v>
      </c>
      <c r="AO168" t="s">
        <v>268</v>
      </c>
      <c r="AP168">
        <v>1204</v>
      </c>
      <c r="AQ168" t="s">
        <v>269</v>
      </c>
      <c r="AR168">
        <v>264850</v>
      </c>
      <c r="AU168" t="s">
        <v>264</v>
      </c>
      <c r="AV168" t="s">
        <v>270</v>
      </c>
      <c r="AX168">
        <v>22001006</v>
      </c>
      <c r="AY168">
        <v>630600</v>
      </c>
      <c r="AZ168">
        <v>1204.6306</v>
      </c>
      <c r="BA168" s="28" t="s">
        <v>124</v>
      </c>
    </row>
    <row r="169" spans="1:53">
      <c r="A169" t="s">
        <v>424</v>
      </c>
      <c r="B169" t="s">
        <v>425</v>
      </c>
      <c r="C169">
        <v>22003510</v>
      </c>
      <c r="D169">
        <v>1204</v>
      </c>
      <c r="E169" s="6">
        <v>44782</v>
      </c>
      <c r="F169" t="s">
        <v>460</v>
      </c>
      <c r="G169">
        <v>0.27</v>
      </c>
      <c r="H169">
        <v>0.27</v>
      </c>
      <c r="I169" t="s">
        <v>263</v>
      </c>
      <c r="J169" t="s">
        <v>263</v>
      </c>
      <c r="L169" s="29">
        <v>3876.12</v>
      </c>
      <c r="N169" s="29">
        <v>3876.12</v>
      </c>
      <c r="O169" t="s">
        <v>264</v>
      </c>
      <c r="Q169" t="s">
        <v>264</v>
      </c>
      <c r="R169" t="s">
        <v>265</v>
      </c>
      <c r="S169">
        <v>14369.01</v>
      </c>
      <c r="T169" t="s">
        <v>266</v>
      </c>
      <c r="U169" t="s">
        <v>267</v>
      </c>
      <c r="V169" t="s">
        <v>427</v>
      </c>
      <c r="W169" t="s">
        <v>428</v>
      </c>
      <c r="X169">
        <v>1929306</v>
      </c>
      <c r="Y169" s="6">
        <v>44782</v>
      </c>
      <c r="Z169" t="s">
        <v>264</v>
      </c>
      <c r="AA169">
        <v>1</v>
      </c>
      <c r="AB169" t="s">
        <v>264</v>
      </c>
      <c r="AD169" t="s">
        <v>264</v>
      </c>
      <c r="AE169" t="s">
        <v>264</v>
      </c>
      <c r="AF169" t="s">
        <v>264</v>
      </c>
      <c r="AG169">
        <v>1</v>
      </c>
      <c r="AH169" t="s">
        <v>264</v>
      </c>
      <c r="AI169">
        <v>55413988</v>
      </c>
      <c r="AJ169" t="s">
        <v>460</v>
      </c>
      <c r="AL169" t="s">
        <v>264</v>
      </c>
      <c r="AM169" s="6">
        <v>44782</v>
      </c>
      <c r="AN169" t="s">
        <v>461</v>
      </c>
      <c r="AO169" t="s">
        <v>268</v>
      </c>
      <c r="AP169">
        <v>1204</v>
      </c>
      <c r="AQ169" t="s">
        <v>269</v>
      </c>
      <c r="AR169">
        <v>264850</v>
      </c>
      <c r="AU169" t="s">
        <v>264</v>
      </c>
      <c r="AV169" t="s">
        <v>270</v>
      </c>
      <c r="AX169">
        <v>22001006</v>
      </c>
      <c r="AY169">
        <v>630600</v>
      </c>
      <c r="AZ169">
        <v>1204.6306</v>
      </c>
      <c r="BA169" s="28" t="s">
        <v>124</v>
      </c>
    </row>
    <row r="170" spans="1:53">
      <c r="A170" t="s">
        <v>424</v>
      </c>
      <c r="B170" t="s">
        <v>425</v>
      </c>
      <c r="C170">
        <v>22003511</v>
      </c>
      <c r="D170">
        <v>1204</v>
      </c>
      <c r="E170" s="6">
        <v>44782</v>
      </c>
      <c r="F170" t="s">
        <v>460</v>
      </c>
      <c r="G170">
        <v>139.76</v>
      </c>
      <c r="H170">
        <v>139.76</v>
      </c>
      <c r="I170" t="s">
        <v>263</v>
      </c>
      <c r="J170" t="s">
        <v>263</v>
      </c>
      <c r="L170" s="29">
        <v>2007830.16</v>
      </c>
      <c r="N170" s="29">
        <v>2007830.16</v>
      </c>
      <c r="O170" t="s">
        <v>264</v>
      </c>
      <c r="Q170" t="s">
        <v>264</v>
      </c>
      <c r="R170" t="s">
        <v>265</v>
      </c>
      <c r="S170">
        <v>14369.01</v>
      </c>
      <c r="T170" t="s">
        <v>266</v>
      </c>
      <c r="U170" t="s">
        <v>267</v>
      </c>
      <c r="V170" t="s">
        <v>427</v>
      </c>
      <c r="W170" t="s">
        <v>428</v>
      </c>
      <c r="X170">
        <v>1929306</v>
      </c>
      <c r="Y170" s="6">
        <v>44782</v>
      </c>
      <c r="Z170" t="s">
        <v>264</v>
      </c>
      <c r="AA170">
        <v>1</v>
      </c>
      <c r="AB170" t="s">
        <v>264</v>
      </c>
      <c r="AD170" t="s">
        <v>264</v>
      </c>
      <c r="AE170" t="s">
        <v>264</v>
      </c>
      <c r="AF170" t="s">
        <v>264</v>
      </c>
      <c r="AG170">
        <v>518</v>
      </c>
      <c r="AH170" t="s">
        <v>264</v>
      </c>
      <c r="AI170">
        <v>55413988</v>
      </c>
      <c r="AJ170" t="s">
        <v>460</v>
      </c>
      <c r="AL170" t="s">
        <v>264</v>
      </c>
      <c r="AM170" s="6">
        <v>44782</v>
      </c>
      <c r="AN170" t="s">
        <v>461</v>
      </c>
      <c r="AO170" t="s">
        <v>268</v>
      </c>
      <c r="AP170">
        <v>1204</v>
      </c>
      <c r="AQ170" t="s">
        <v>269</v>
      </c>
      <c r="AR170">
        <v>264850</v>
      </c>
      <c r="AU170" t="s">
        <v>264</v>
      </c>
      <c r="AV170" t="s">
        <v>270</v>
      </c>
      <c r="AX170">
        <v>22001006</v>
      </c>
      <c r="AY170">
        <v>630600</v>
      </c>
      <c r="AZ170">
        <v>1204.6306</v>
      </c>
      <c r="BA170" s="28" t="s">
        <v>124</v>
      </c>
    </row>
    <row r="171" spans="1:53">
      <c r="A171" t="s">
        <v>424</v>
      </c>
      <c r="B171" t="s">
        <v>425</v>
      </c>
      <c r="C171">
        <v>22003512</v>
      </c>
      <c r="D171">
        <v>1204</v>
      </c>
      <c r="E171" s="6">
        <v>44782</v>
      </c>
      <c r="F171" t="s">
        <v>460</v>
      </c>
      <c r="G171">
        <v>16.46</v>
      </c>
      <c r="H171">
        <v>16.46</v>
      </c>
      <c r="I171" t="s">
        <v>263</v>
      </c>
      <c r="J171" t="s">
        <v>263</v>
      </c>
      <c r="L171" s="29">
        <v>236443.32</v>
      </c>
      <c r="N171" s="29">
        <v>236443.32</v>
      </c>
      <c r="O171" t="s">
        <v>264</v>
      </c>
      <c r="Q171" t="s">
        <v>264</v>
      </c>
      <c r="R171" t="s">
        <v>265</v>
      </c>
      <c r="S171">
        <v>14369.01</v>
      </c>
      <c r="T171" t="s">
        <v>266</v>
      </c>
      <c r="U171" t="s">
        <v>267</v>
      </c>
      <c r="V171" t="s">
        <v>427</v>
      </c>
      <c r="W171" t="s">
        <v>428</v>
      </c>
      <c r="X171">
        <v>1929306</v>
      </c>
      <c r="Y171" s="6">
        <v>44782</v>
      </c>
      <c r="Z171" t="s">
        <v>264</v>
      </c>
      <c r="AA171">
        <v>1</v>
      </c>
      <c r="AB171" t="s">
        <v>264</v>
      </c>
      <c r="AD171" t="s">
        <v>264</v>
      </c>
      <c r="AE171" t="s">
        <v>264</v>
      </c>
      <c r="AF171" t="s">
        <v>264</v>
      </c>
      <c r="AG171">
        <v>61</v>
      </c>
      <c r="AH171" t="s">
        <v>264</v>
      </c>
      <c r="AI171">
        <v>55413988</v>
      </c>
      <c r="AJ171" t="s">
        <v>460</v>
      </c>
      <c r="AL171" t="s">
        <v>264</v>
      </c>
      <c r="AM171" s="6">
        <v>44782</v>
      </c>
      <c r="AN171" t="s">
        <v>461</v>
      </c>
      <c r="AO171" t="s">
        <v>268</v>
      </c>
      <c r="AP171">
        <v>1204</v>
      </c>
      <c r="AQ171" t="s">
        <v>269</v>
      </c>
      <c r="AR171">
        <v>264850</v>
      </c>
      <c r="AU171" t="s">
        <v>264</v>
      </c>
      <c r="AV171" t="s">
        <v>270</v>
      </c>
      <c r="AX171">
        <v>22001006</v>
      </c>
      <c r="AY171">
        <v>630600</v>
      </c>
      <c r="AZ171">
        <v>1204.6306</v>
      </c>
      <c r="BA171" s="28" t="s">
        <v>124</v>
      </c>
    </row>
    <row r="172" spans="1:53">
      <c r="A172" t="s">
        <v>424</v>
      </c>
      <c r="B172" t="s">
        <v>425</v>
      </c>
      <c r="C172">
        <v>22003513</v>
      </c>
      <c r="D172">
        <v>1204</v>
      </c>
      <c r="E172" s="6">
        <v>44782</v>
      </c>
      <c r="F172" t="s">
        <v>460</v>
      </c>
      <c r="G172">
        <v>1.35</v>
      </c>
      <c r="H172">
        <v>1.35</v>
      </c>
      <c r="I172" t="s">
        <v>263</v>
      </c>
      <c r="J172" t="s">
        <v>263</v>
      </c>
      <c r="L172" s="29">
        <v>19380.599999999999</v>
      </c>
      <c r="N172" s="29">
        <v>19380.599999999999</v>
      </c>
      <c r="O172" t="s">
        <v>264</v>
      </c>
      <c r="Q172" t="s">
        <v>264</v>
      </c>
      <c r="R172" t="s">
        <v>265</v>
      </c>
      <c r="S172">
        <v>14369.01</v>
      </c>
      <c r="T172" t="s">
        <v>266</v>
      </c>
      <c r="U172" t="s">
        <v>267</v>
      </c>
      <c r="V172" t="s">
        <v>427</v>
      </c>
      <c r="W172" t="s">
        <v>428</v>
      </c>
      <c r="X172">
        <v>1929306</v>
      </c>
      <c r="Y172" s="6">
        <v>44782</v>
      </c>
      <c r="Z172" t="s">
        <v>264</v>
      </c>
      <c r="AA172">
        <v>1</v>
      </c>
      <c r="AB172" t="s">
        <v>264</v>
      </c>
      <c r="AD172" t="s">
        <v>264</v>
      </c>
      <c r="AE172" t="s">
        <v>264</v>
      </c>
      <c r="AF172" t="s">
        <v>264</v>
      </c>
      <c r="AG172">
        <v>5</v>
      </c>
      <c r="AH172" t="s">
        <v>264</v>
      </c>
      <c r="AI172">
        <v>55413988</v>
      </c>
      <c r="AJ172" t="s">
        <v>460</v>
      </c>
      <c r="AL172" t="s">
        <v>264</v>
      </c>
      <c r="AM172" s="6">
        <v>44782</v>
      </c>
      <c r="AN172" t="s">
        <v>461</v>
      </c>
      <c r="AO172" t="s">
        <v>268</v>
      </c>
      <c r="AP172">
        <v>1204</v>
      </c>
      <c r="AQ172" t="s">
        <v>269</v>
      </c>
      <c r="AR172">
        <v>264850</v>
      </c>
      <c r="AU172" t="s">
        <v>264</v>
      </c>
      <c r="AV172" t="s">
        <v>270</v>
      </c>
      <c r="AX172">
        <v>22001006</v>
      </c>
      <c r="AY172">
        <v>630600</v>
      </c>
      <c r="AZ172">
        <v>1204.6306</v>
      </c>
      <c r="BA172" s="28" t="s">
        <v>124</v>
      </c>
    </row>
    <row r="173" spans="1:53">
      <c r="A173" t="s">
        <v>424</v>
      </c>
      <c r="B173" t="s">
        <v>425</v>
      </c>
      <c r="C173">
        <v>22003514</v>
      </c>
      <c r="D173">
        <v>1204</v>
      </c>
      <c r="E173" s="6">
        <v>44782</v>
      </c>
      <c r="F173" t="s">
        <v>460</v>
      </c>
      <c r="G173">
        <v>22.12</v>
      </c>
      <c r="H173">
        <v>22.12</v>
      </c>
      <c r="I173" t="s">
        <v>263</v>
      </c>
      <c r="J173" t="s">
        <v>263</v>
      </c>
      <c r="L173" s="29">
        <v>317841.84000000003</v>
      </c>
      <c r="N173" s="29">
        <v>317841.84000000003</v>
      </c>
      <c r="O173" t="s">
        <v>264</v>
      </c>
      <c r="Q173" t="s">
        <v>264</v>
      </c>
      <c r="R173" t="s">
        <v>265</v>
      </c>
      <c r="S173">
        <v>14369.01</v>
      </c>
      <c r="T173" t="s">
        <v>266</v>
      </c>
      <c r="U173" t="s">
        <v>267</v>
      </c>
      <c r="V173" t="s">
        <v>427</v>
      </c>
      <c r="W173" t="s">
        <v>428</v>
      </c>
      <c r="X173">
        <v>1929306</v>
      </c>
      <c r="Y173" s="6">
        <v>44782</v>
      </c>
      <c r="Z173" t="s">
        <v>264</v>
      </c>
      <c r="AA173">
        <v>1</v>
      </c>
      <c r="AB173" t="s">
        <v>264</v>
      </c>
      <c r="AD173" t="s">
        <v>264</v>
      </c>
      <c r="AE173" t="s">
        <v>264</v>
      </c>
      <c r="AF173" t="s">
        <v>264</v>
      </c>
      <c r="AG173">
        <v>82</v>
      </c>
      <c r="AH173" t="s">
        <v>264</v>
      </c>
      <c r="AI173">
        <v>55413988</v>
      </c>
      <c r="AJ173" t="s">
        <v>460</v>
      </c>
      <c r="AL173" t="s">
        <v>264</v>
      </c>
      <c r="AM173" s="6">
        <v>44782</v>
      </c>
      <c r="AN173" t="s">
        <v>461</v>
      </c>
      <c r="AO173" t="s">
        <v>268</v>
      </c>
      <c r="AP173">
        <v>1204</v>
      </c>
      <c r="AQ173" t="s">
        <v>269</v>
      </c>
      <c r="AR173">
        <v>264850</v>
      </c>
      <c r="AU173" t="s">
        <v>264</v>
      </c>
      <c r="AV173" t="s">
        <v>270</v>
      </c>
      <c r="AX173">
        <v>22001006</v>
      </c>
      <c r="AY173">
        <v>630600</v>
      </c>
      <c r="AZ173">
        <v>1204.6306</v>
      </c>
      <c r="BA173" s="28" t="s">
        <v>124</v>
      </c>
    </row>
    <row r="174" spans="1:53">
      <c r="A174" t="s">
        <v>424</v>
      </c>
      <c r="B174" t="s">
        <v>425</v>
      </c>
      <c r="C174">
        <v>22003515</v>
      </c>
      <c r="D174">
        <v>1204</v>
      </c>
      <c r="E174" s="6">
        <v>44782</v>
      </c>
      <c r="F174" t="s">
        <v>460</v>
      </c>
      <c r="G174">
        <v>103.6</v>
      </c>
      <c r="H174">
        <v>103.6</v>
      </c>
      <c r="I174" t="s">
        <v>263</v>
      </c>
      <c r="J174" t="s">
        <v>263</v>
      </c>
      <c r="L174" s="29">
        <v>1488430.0800000001</v>
      </c>
      <c r="N174" s="29">
        <v>1488430.0800000001</v>
      </c>
      <c r="O174" t="s">
        <v>264</v>
      </c>
      <c r="Q174" t="s">
        <v>264</v>
      </c>
      <c r="R174" t="s">
        <v>265</v>
      </c>
      <c r="S174">
        <v>14369.01</v>
      </c>
      <c r="T174" t="s">
        <v>266</v>
      </c>
      <c r="U174" t="s">
        <v>267</v>
      </c>
      <c r="V174" t="s">
        <v>427</v>
      </c>
      <c r="W174" t="s">
        <v>428</v>
      </c>
      <c r="X174">
        <v>1929306</v>
      </c>
      <c r="Y174" s="6">
        <v>44782</v>
      </c>
      <c r="Z174" t="s">
        <v>264</v>
      </c>
      <c r="AA174">
        <v>1</v>
      </c>
      <c r="AB174" t="s">
        <v>264</v>
      </c>
      <c r="AD174" t="s">
        <v>264</v>
      </c>
      <c r="AE174" t="s">
        <v>264</v>
      </c>
      <c r="AF174" t="s">
        <v>264</v>
      </c>
      <c r="AG174">
        <v>384</v>
      </c>
      <c r="AH174" t="s">
        <v>264</v>
      </c>
      <c r="AI174">
        <v>55413988</v>
      </c>
      <c r="AJ174" t="s">
        <v>460</v>
      </c>
      <c r="AL174" t="s">
        <v>264</v>
      </c>
      <c r="AM174" s="6">
        <v>44782</v>
      </c>
      <c r="AN174" t="s">
        <v>461</v>
      </c>
      <c r="AO174" t="s">
        <v>268</v>
      </c>
      <c r="AP174">
        <v>1204</v>
      </c>
      <c r="AQ174" t="s">
        <v>269</v>
      </c>
      <c r="AR174">
        <v>264850</v>
      </c>
      <c r="AU174" t="s">
        <v>264</v>
      </c>
      <c r="AV174" t="s">
        <v>270</v>
      </c>
      <c r="AX174">
        <v>22001006</v>
      </c>
      <c r="AY174">
        <v>630600</v>
      </c>
      <c r="AZ174">
        <v>1204.6306</v>
      </c>
      <c r="BA174" s="28" t="s">
        <v>124</v>
      </c>
    </row>
    <row r="175" spans="1:53">
      <c r="A175" t="s">
        <v>424</v>
      </c>
      <c r="B175" t="s">
        <v>425</v>
      </c>
      <c r="C175">
        <v>22003516</v>
      </c>
      <c r="D175">
        <v>1204</v>
      </c>
      <c r="E175" s="6">
        <v>44782</v>
      </c>
      <c r="F175" t="s">
        <v>460</v>
      </c>
      <c r="G175">
        <v>153.79</v>
      </c>
      <c r="H175">
        <v>153.79</v>
      </c>
      <c r="I175" t="s">
        <v>263</v>
      </c>
      <c r="J175" t="s">
        <v>263</v>
      </c>
      <c r="L175" s="29">
        <v>2209388.4</v>
      </c>
      <c r="N175" s="29">
        <v>2209388.4</v>
      </c>
      <c r="O175" t="s">
        <v>264</v>
      </c>
      <c r="Q175" t="s">
        <v>264</v>
      </c>
      <c r="R175" t="s">
        <v>265</v>
      </c>
      <c r="S175">
        <v>14369.01</v>
      </c>
      <c r="T175" t="s">
        <v>266</v>
      </c>
      <c r="U175" t="s">
        <v>267</v>
      </c>
      <c r="V175" t="s">
        <v>427</v>
      </c>
      <c r="W175" t="s">
        <v>428</v>
      </c>
      <c r="X175">
        <v>1929306</v>
      </c>
      <c r="Y175" s="6">
        <v>44782</v>
      </c>
      <c r="Z175" t="s">
        <v>264</v>
      </c>
      <c r="AA175">
        <v>1</v>
      </c>
      <c r="AB175" t="s">
        <v>264</v>
      </c>
      <c r="AD175" t="s">
        <v>264</v>
      </c>
      <c r="AE175" t="s">
        <v>264</v>
      </c>
      <c r="AF175" t="s">
        <v>264</v>
      </c>
      <c r="AG175">
        <v>570</v>
      </c>
      <c r="AH175" t="s">
        <v>264</v>
      </c>
      <c r="AI175">
        <v>55413988</v>
      </c>
      <c r="AJ175" t="s">
        <v>460</v>
      </c>
      <c r="AL175" t="s">
        <v>264</v>
      </c>
      <c r="AM175" s="6">
        <v>44782</v>
      </c>
      <c r="AN175" t="s">
        <v>461</v>
      </c>
      <c r="AO175" t="s">
        <v>268</v>
      </c>
      <c r="AP175">
        <v>1204</v>
      </c>
      <c r="AQ175" t="s">
        <v>269</v>
      </c>
      <c r="AR175">
        <v>264850</v>
      </c>
      <c r="AU175" t="s">
        <v>264</v>
      </c>
      <c r="AV175" t="s">
        <v>270</v>
      </c>
      <c r="AX175">
        <v>22001006</v>
      </c>
      <c r="AY175">
        <v>630600</v>
      </c>
      <c r="AZ175">
        <v>1204.6306</v>
      </c>
      <c r="BA175" s="28" t="s">
        <v>124</v>
      </c>
    </row>
    <row r="176" spans="1:53">
      <c r="A176" t="s">
        <v>424</v>
      </c>
      <c r="B176" t="s">
        <v>425</v>
      </c>
      <c r="C176">
        <v>22003517</v>
      </c>
      <c r="D176">
        <v>1204</v>
      </c>
      <c r="E176" s="6">
        <v>44782</v>
      </c>
      <c r="F176" t="s">
        <v>460</v>
      </c>
      <c r="G176">
        <v>103.87</v>
      </c>
      <c r="H176">
        <v>103.87</v>
      </c>
      <c r="I176" t="s">
        <v>263</v>
      </c>
      <c r="J176" t="s">
        <v>263</v>
      </c>
      <c r="L176" s="29">
        <v>1492306.2</v>
      </c>
      <c r="N176" s="29">
        <v>1492306.2</v>
      </c>
      <c r="O176" t="s">
        <v>264</v>
      </c>
      <c r="Q176" t="s">
        <v>264</v>
      </c>
      <c r="R176" t="s">
        <v>265</v>
      </c>
      <c r="S176">
        <v>14369.01</v>
      </c>
      <c r="T176" t="s">
        <v>266</v>
      </c>
      <c r="U176" t="s">
        <v>267</v>
      </c>
      <c r="V176" t="s">
        <v>427</v>
      </c>
      <c r="W176" t="s">
        <v>428</v>
      </c>
      <c r="X176">
        <v>1929306</v>
      </c>
      <c r="Y176" s="6">
        <v>44782</v>
      </c>
      <c r="Z176" t="s">
        <v>264</v>
      </c>
      <c r="AA176">
        <v>1</v>
      </c>
      <c r="AB176" t="s">
        <v>264</v>
      </c>
      <c r="AD176" t="s">
        <v>264</v>
      </c>
      <c r="AE176" t="s">
        <v>264</v>
      </c>
      <c r="AF176" t="s">
        <v>264</v>
      </c>
      <c r="AG176">
        <v>385</v>
      </c>
      <c r="AH176" t="s">
        <v>264</v>
      </c>
      <c r="AI176">
        <v>55413988</v>
      </c>
      <c r="AJ176" t="s">
        <v>460</v>
      </c>
      <c r="AL176" t="s">
        <v>264</v>
      </c>
      <c r="AM176" s="6">
        <v>44782</v>
      </c>
      <c r="AN176" t="s">
        <v>461</v>
      </c>
      <c r="AO176" t="s">
        <v>268</v>
      </c>
      <c r="AP176">
        <v>1204</v>
      </c>
      <c r="AQ176" t="s">
        <v>269</v>
      </c>
      <c r="AR176">
        <v>264850</v>
      </c>
      <c r="AU176" t="s">
        <v>264</v>
      </c>
      <c r="AV176" t="s">
        <v>270</v>
      </c>
      <c r="AX176">
        <v>22001006</v>
      </c>
      <c r="AY176">
        <v>630600</v>
      </c>
      <c r="AZ176">
        <v>1204.6306</v>
      </c>
      <c r="BA176" s="28" t="s">
        <v>124</v>
      </c>
    </row>
    <row r="177" spans="1:53">
      <c r="A177" t="s">
        <v>424</v>
      </c>
      <c r="B177" t="s">
        <v>425</v>
      </c>
      <c r="C177">
        <v>22003518</v>
      </c>
      <c r="D177">
        <v>1204</v>
      </c>
      <c r="E177" s="6">
        <v>44782</v>
      </c>
      <c r="F177" t="s">
        <v>460</v>
      </c>
      <c r="G177">
        <v>0.54</v>
      </c>
      <c r="H177">
        <v>0.54</v>
      </c>
      <c r="I177" t="s">
        <v>263</v>
      </c>
      <c r="J177" t="s">
        <v>263</v>
      </c>
      <c r="L177" s="29">
        <v>7752.24</v>
      </c>
      <c r="N177" s="29">
        <v>7752.24</v>
      </c>
      <c r="O177" t="s">
        <v>264</v>
      </c>
      <c r="Q177" t="s">
        <v>264</v>
      </c>
      <c r="R177" t="s">
        <v>265</v>
      </c>
      <c r="S177">
        <v>14369.01</v>
      </c>
      <c r="T177" t="s">
        <v>266</v>
      </c>
      <c r="U177" t="s">
        <v>267</v>
      </c>
      <c r="V177" t="s">
        <v>427</v>
      </c>
      <c r="W177" t="s">
        <v>428</v>
      </c>
      <c r="X177">
        <v>1929306</v>
      </c>
      <c r="Y177" s="6">
        <v>44782</v>
      </c>
      <c r="Z177" t="s">
        <v>264</v>
      </c>
      <c r="AA177">
        <v>1</v>
      </c>
      <c r="AB177" t="s">
        <v>264</v>
      </c>
      <c r="AD177" t="s">
        <v>264</v>
      </c>
      <c r="AE177" t="s">
        <v>264</v>
      </c>
      <c r="AF177" t="s">
        <v>264</v>
      </c>
      <c r="AG177">
        <v>2</v>
      </c>
      <c r="AH177" t="s">
        <v>264</v>
      </c>
      <c r="AI177">
        <v>55413988</v>
      </c>
      <c r="AJ177" t="s">
        <v>460</v>
      </c>
      <c r="AL177" t="s">
        <v>264</v>
      </c>
      <c r="AM177" s="6">
        <v>44782</v>
      </c>
      <c r="AN177" t="s">
        <v>461</v>
      </c>
      <c r="AO177" t="s">
        <v>268</v>
      </c>
      <c r="AP177">
        <v>1204</v>
      </c>
      <c r="AQ177" t="s">
        <v>269</v>
      </c>
      <c r="AR177">
        <v>264850</v>
      </c>
      <c r="AU177" t="s">
        <v>264</v>
      </c>
      <c r="AV177" t="s">
        <v>270</v>
      </c>
      <c r="AX177">
        <v>22001006</v>
      </c>
      <c r="AY177">
        <v>630600</v>
      </c>
      <c r="AZ177">
        <v>1204.6306</v>
      </c>
      <c r="BA177" s="28" t="s">
        <v>124</v>
      </c>
    </row>
    <row r="178" spans="1:53">
      <c r="A178" t="s">
        <v>424</v>
      </c>
      <c r="B178" t="s">
        <v>425</v>
      </c>
      <c r="C178">
        <v>22003519</v>
      </c>
      <c r="D178">
        <v>1204</v>
      </c>
      <c r="E178" s="6">
        <v>44782</v>
      </c>
      <c r="F178" t="s">
        <v>460</v>
      </c>
      <c r="G178">
        <v>200.73</v>
      </c>
      <c r="H178">
        <v>200.73</v>
      </c>
      <c r="I178" t="s">
        <v>263</v>
      </c>
      <c r="J178" t="s">
        <v>263</v>
      </c>
      <c r="L178" s="29">
        <v>2883833.28</v>
      </c>
      <c r="N178" s="29">
        <v>2883833.28</v>
      </c>
      <c r="O178" t="s">
        <v>264</v>
      </c>
      <c r="Q178" t="s">
        <v>264</v>
      </c>
      <c r="R178" t="s">
        <v>265</v>
      </c>
      <c r="S178">
        <v>14369.01</v>
      </c>
      <c r="T178" t="s">
        <v>266</v>
      </c>
      <c r="U178" t="s">
        <v>267</v>
      </c>
      <c r="V178" t="s">
        <v>427</v>
      </c>
      <c r="W178" t="s">
        <v>428</v>
      </c>
      <c r="X178">
        <v>1929306</v>
      </c>
      <c r="Y178" s="6">
        <v>44782</v>
      </c>
      <c r="Z178" t="s">
        <v>264</v>
      </c>
      <c r="AA178">
        <v>1</v>
      </c>
      <c r="AB178" t="s">
        <v>264</v>
      </c>
      <c r="AD178" t="s">
        <v>264</v>
      </c>
      <c r="AE178" t="s">
        <v>264</v>
      </c>
      <c r="AF178" t="s">
        <v>264</v>
      </c>
      <c r="AG178">
        <v>744</v>
      </c>
      <c r="AH178" t="s">
        <v>264</v>
      </c>
      <c r="AI178">
        <v>55413988</v>
      </c>
      <c r="AJ178" t="s">
        <v>460</v>
      </c>
      <c r="AL178" t="s">
        <v>264</v>
      </c>
      <c r="AM178" s="6">
        <v>44782</v>
      </c>
      <c r="AN178" t="s">
        <v>461</v>
      </c>
      <c r="AO178" t="s">
        <v>268</v>
      </c>
      <c r="AP178">
        <v>1204</v>
      </c>
      <c r="AQ178" t="s">
        <v>269</v>
      </c>
      <c r="AR178">
        <v>264850</v>
      </c>
      <c r="AU178" t="s">
        <v>264</v>
      </c>
      <c r="AV178" t="s">
        <v>270</v>
      </c>
      <c r="AX178">
        <v>22001006</v>
      </c>
      <c r="AY178">
        <v>630600</v>
      </c>
      <c r="AZ178">
        <v>1204.6306</v>
      </c>
      <c r="BA178" s="28" t="s">
        <v>124</v>
      </c>
    </row>
    <row r="179" spans="1:53">
      <c r="A179" t="s">
        <v>424</v>
      </c>
      <c r="B179" t="s">
        <v>425</v>
      </c>
      <c r="C179">
        <v>22003520</v>
      </c>
      <c r="D179">
        <v>1204</v>
      </c>
      <c r="E179" s="6">
        <v>44782</v>
      </c>
      <c r="F179" t="s">
        <v>460</v>
      </c>
      <c r="G179">
        <v>247.68</v>
      </c>
      <c r="H179">
        <v>247.68</v>
      </c>
      <c r="I179" t="s">
        <v>263</v>
      </c>
      <c r="J179" t="s">
        <v>263</v>
      </c>
      <c r="L179" s="29">
        <v>3558278.16</v>
      </c>
      <c r="N179" s="29">
        <v>3558278.16</v>
      </c>
      <c r="O179" t="s">
        <v>264</v>
      </c>
      <c r="Q179" t="s">
        <v>264</v>
      </c>
      <c r="R179" t="s">
        <v>265</v>
      </c>
      <c r="S179">
        <v>14369.01</v>
      </c>
      <c r="T179" t="s">
        <v>266</v>
      </c>
      <c r="U179" t="s">
        <v>267</v>
      </c>
      <c r="V179" t="s">
        <v>427</v>
      </c>
      <c r="W179" t="s">
        <v>428</v>
      </c>
      <c r="X179">
        <v>1929306</v>
      </c>
      <c r="Y179" s="6">
        <v>44782</v>
      </c>
      <c r="Z179" t="s">
        <v>264</v>
      </c>
      <c r="AA179">
        <v>1</v>
      </c>
      <c r="AB179" t="s">
        <v>264</v>
      </c>
      <c r="AD179" t="s">
        <v>264</v>
      </c>
      <c r="AE179" t="s">
        <v>264</v>
      </c>
      <c r="AF179" t="s">
        <v>264</v>
      </c>
      <c r="AG179">
        <v>918</v>
      </c>
      <c r="AH179" t="s">
        <v>264</v>
      </c>
      <c r="AI179">
        <v>55413988</v>
      </c>
      <c r="AJ179" t="s">
        <v>460</v>
      </c>
      <c r="AL179" t="s">
        <v>264</v>
      </c>
      <c r="AM179" s="6">
        <v>44782</v>
      </c>
      <c r="AN179" t="s">
        <v>461</v>
      </c>
      <c r="AO179" t="s">
        <v>268</v>
      </c>
      <c r="AP179">
        <v>1204</v>
      </c>
      <c r="AQ179" t="s">
        <v>269</v>
      </c>
      <c r="AR179">
        <v>264850</v>
      </c>
      <c r="AU179" t="s">
        <v>264</v>
      </c>
      <c r="AV179" t="s">
        <v>270</v>
      </c>
      <c r="AX179">
        <v>22001006</v>
      </c>
      <c r="AY179">
        <v>630600</v>
      </c>
      <c r="AZ179">
        <v>1204.6306</v>
      </c>
      <c r="BA179" s="28" t="s">
        <v>124</v>
      </c>
    </row>
    <row r="180" spans="1:53">
      <c r="A180" t="s">
        <v>424</v>
      </c>
      <c r="B180" t="s">
        <v>425</v>
      </c>
      <c r="C180">
        <v>22003521</v>
      </c>
      <c r="D180">
        <v>1204</v>
      </c>
      <c r="E180" s="6">
        <v>44782</v>
      </c>
      <c r="F180" t="s">
        <v>460</v>
      </c>
      <c r="G180">
        <v>152.16999999999999</v>
      </c>
      <c r="H180">
        <v>152.16999999999999</v>
      </c>
      <c r="I180" t="s">
        <v>263</v>
      </c>
      <c r="J180" t="s">
        <v>263</v>
      </c>
      <c r="L180" s="29">
        <v>2186131.6800000002</v>
      </c>
      <c r="N180" s="29">
        <v>2186131.6800000002</v>
      </c>
      <c r="O180" t="s">
        <v>264</v>
      </c>
      <c r="Q180" t="s">
        <v>264</v>
      </c>
      <c r="R180" t="s">
        <v>265</v>
      </c>
      <c r="S180">
        <v>14369.01</v>
      </c>
      <c r="T180" t="s">
        <v>266</v>
      </c>
      <c r="U180" t="s">
        <v>267</v>
      </c>
      <c r="V180" t="s">
        <v>427</v>
      </c>
      <c r="W180" t="s">
        <v>428</v>
      </c>
      <c r="X180">
        <v>1929306</v>
      </c>
      <c r="Y180" s="6">
        <v>44782</v>
      </c>
      <c r="Z180" t="s">
        <v>264</v>
      </c>
      <c r="AA180">
        <v>1</v>
      </c>
      <c r="AB180" t="s">
        <v>264</v>
      </c>
      <c r="AD180" t="s">
        <v>264</v>
      </c>
      <c r="AE180" t="s">
        <v>264</v>
      </c>
      <c r="AF180" t="s">
        <v>264</v>
      </c>
      <c r="AG180">
        <v>564</v>
      </c>
      <c r="AH180" t="s">
        <v>264</v>
      </c>
      <c r="AI180">
        <v>55413988</v>
      </c>
      <c r="AJ180" t="s">
        <v>460</v>
      </c>
      <c r="AL180" t="s">
        <v>264</v>
      </c>
      <c r="AM180" s="6">
        <v>44782</v>
      </c>
      <c r="AN180" t="s">
        <v>461</v>
      </c>
      <c r="AO180" t="s">
        <v>268</v>
      </c>
      <c r="AP180">
        <v>1204</v>
      </c>
      <c r="AQ180" t="s">
        <v>269</v>
      </c>
      <c r="AR180">
        <v>264850</v>
      </c>
      <c r="AU180" t="s">
        <v>264</v>
      </c>
      <c r="AV180" t="s">
        <v>270</v>
      </c>
      <c r="AX180">
        <v>22001006</v>
      </c>
      <c r="AY180">
        <v>630600</v>
      </c>
      <c r="AZ180">
        <v>1204.6306</v>
      </c>
      <c r="BA180" s="28" t="s">
        <v>124</v>
      </c>
    </row>
    <row r="181" spans="1:53">
      <c r="A181" t="s">
        <v>424</v>
      </c>
      <c r="B181" t="s">
        <v>425</v>
      </c>
      <c r="C181">
        <v>22003522</v>
      </c>
      <c r="D181">
        <v>1204</v>
      </c>
      <c r="E181" s="6">
        <v>44782</v>
      </c>
      <c r="F181" t="s">
        <v>460</v>
      </c>
      <c r="G181">
        <v>56.39</v>
      </c>
      <c r="H181">
        <v>56.39</v>
      </c>
      <c r="I181" t="s">
        <v>263</v>
      </c>
      <c r="J181" t="s">
        <v>263</v>
      </c>
      <c r="L181" s="29">
        <v>810109.08</v>
      </c>
      <c r="N181" s="29">
        <v>810109.08</v>
      </c>
      <c r="O181" t="s">
        <v>264</v>
      </c>
      <c r="Q181" t="s">
        <v>264</v>
      </c>
      <c r="R181" t="s">
        <v>265</v>
      </c>
      <c r="S181">
        <v>14369.01</v>
      </c>
      <c r="T181" t="s">
        <v>266</v>
      </c>
      <c r="U181" t="s">
        <v>267</v>
      </c>
      <c r="V181" t="s">
        <v>427</v>
      </c>
      <c r="W181" t="s">
        <v>428</v>
      </c>
      <c r="X181">
        <v>1929306</v>
      </c>
      <c r="Y181" s="6">
        <v>44782</v>
      </c>
      <c r="Z181" t="s">
        <v>264</v>
      </c>
      <c r="AA181">
        <v>1</v>
      </c>
      <c r="AB181" t="s">
        <v>264</v>
      </c>
      <c r="AD181" t="s">
        <v>264</v>
      </c>
      <c r="AE181" t="s">
        <v>264</v>
      </c>
      <c r="AF181" t="s">
        <v>264</v>
      </c>
      <c r="AG181">
        <v>209</v>
      </c>
      <c r="AH181" t="s">
        <v>264</v>
      </c>
      <c r="AI181">
        <v>55413988</v>
      </c>
      <c r="AJ181" t="s">
        <v>460</v>
      </c>
      <c r="AL181" t="s">
        <v>264</v>
      </c>
      <c r="AM181" s="6">
        <v>44782</v>
      </c>
      <c r="AN181" t="s">
        <v>461</v>
      </c>
      <c r="AO181" t="s">
        <v>268</v>
      </c>
      <c r="AP181">
        <v>1204</v>
      </c>
      <c r="AQ181" t="s">
        <v>269</v>
      </c>
      <c r="AR181">
        <v>264850</v>
      </c>
      <c r="AU181" t="s">
        <v>264</v>
      </c>
      <c r="AV181" t="s">
        <v>270</v>
      </c>
      <c r="AX181">
        <v>22001006</v>
      </c>
      <c r="AY181">
        <v>630600</v>
      </c>
      <c r="AZ181">
        <v>1204.6306</v>
      </c>
      <c r="BA181" s="28" t="s">
        <v>124</v>
      </c>
    </row>
    <row r="182" spans="1:53">
      <c r="A182" t="s">
        <v>424</v>
      </c>
      <c r="B182" t="s">
        <v>425</v>
      </c>
      <c r="C182">
        <v>22003523</v>
      </c>
      <c r="D182">
        <v>1204</v>
      </c>
      <c r="E182" s="6">
        <v>44782</v>
      </c>
      <c r="F182" t="s">
        <v>460</v>
      </c>
      <c r="G182">
        <v>357.71</v>
      </c>
      <c r="H182">
        <v>357.71</v>
      </c>
      <c r="I182" t="s">
        <v>263</v>
      </c>
      <c r="J182" t="s">
        <v>263</v>
      </c>
      <c r="L182" s="29">
        <v>5179809.5999999996</v>
      </c>
      <c r="N182" s="29">
        <v>5179809.5999999996</v>
      </c>
      <c r="O182" t="s">
        <v>264</v>
      </c>
      <c r="Q182" t="s">
        <v>264</v>
      </c>
      <c r="R182" t="s">
        <v>265</v>
      </c>
      <c r="S182">
        <v>14480</v>
      </c>
      <c r="T182" t="s">
        <v>266</v>
      </c>
      <c r="U182" t="s">
        <v>267</v>
      </c>
      <c r="V182" t="s">
        <v>427</v>
      </c>
      <c r="W182" t="s">
        <v>428</v>
      </c>
      <c r="X182">
        <v>1929845</v>
      </c>
      <c r="Y182" s="6">
        <v>44782</v>
      </c>
      <c r="Z182" t="s">
        <v>264</v>
      </c>
      <c r="AA182">
        <v>1</v>
      </c>
      <c r="AB182" t="s">
        <v>264</v>
      </c>
      <c r="AD182" t="s">
        <v>264</v>
      </c>
      <c r="AE182" t="s">
        <v>264</v>
      </c>
      <c r="AF182" t="s">
        <v>264</v>
      </c>
      <c r="AG182" s="29">
        <v>1260</v>
      </c>
      <c r="AH182" t="s">
        <v>264</v>
      </c>
      <c r="AI182">
        <v>55413988</v>
      </c>
      <c r="AJ182" t="s">
        <v>460</v>
      </c>
      <c r="AL182" t="s">
        <v>264</v>
      </c>
      <c r="AM182" s="6">
        <v>44782</v>
      </c>
      <c r="AN182" t="s">
        <v>461</v>
      </c>
      <c r="AO182" t="s">
        <v>268</v>
      </c>
      <c r="AP182">
        <v>1204</v>
      </c>
      <c r="AQ182" t="s">
        <v>269</v>
      </c>
      <c r="AR182">
        <v>264850</v>
      </c>
      <c r="AU182" t="s">
        <v>264</v>
      </c>
      <c r="AV182" t="s">
        <v>270</v>
      </c>
      <c r="AX182">
        <v>22001008</v>
      </c>
      <c r="AY182">
        <v>630600</v>
      </c>
      <c r="AZ182">
        <v>1204.6306</v>
      </c>
      <c r="BA182" s="28" t="s">
        <v>124</v>
      </c>
    </row>
    <row r="183" spans="1:53">
      <c r="A183" t="s">
        <v>424</v>
      </c>
      <c r="B183" t="s">
        <v>425</v>
      </c>
      <c r="C183">
        <v>22003524</v>
      </c>
      <c r="D183">
        <v>1204</v>
      </c>
      <c r="E183" s="6">
        <v>44782</v>
      </c>
      <c r="F183" t="s">
        <v>460</v>
      </c>
      <c r="G183">
        <v>357.71</v>
      </c>
      <c r="H183">
        <v>357.71</v>
      </c>
      <c r="I183" t="s">
        <v>263</v>
      </c>
      <c r="J183" t="s">
        <v>263</v>
      </c>
      <c r="L183" s="29">
        <v>5179809.5999999996</v>
      </c>
      <c r="N183" s="29">
        <v>5179809.5999999996</v>
      </c>
      <c r="O183" t="s">
        <v>264</v>
      </c>
      <c r="Q183" t="s">
        <v>264</v>
      </c>
      <c r="R183" t="s">
        <v>265</v>
      </c>
      <c r="S183">
        <v>14480</v>
      </c>
      <c r="T183" t="s">
        <v>266</v>
      </c>
      <c r="U183" t="s">
        <v>267</v>
      </c>
      <c r="V183" t="s">
        <v>427</v>
      </c>
      <c r="W183" t="s">
        <v>428</v>
      </c>
      <c r="X183">
        <v>1929845</v>
      </c>
      <c r="Y183" s="6">
        <v>44782</v>
      </c>
      <c r="Z183" t="s">
        <v>264</v>
      </c>
      <c r="AA183">
        <v>1</v>
      </c>
      <c r="AB183" t="s">
        <v>264</v>
      </c>
      <c r="AD183" t="s">
        <v>264</v>
      </c>
      <c r="AE183" t="s">
        <v>264</v>
      </c>
      <c r="AF183" t="s">
        <v>264</v>
      </c>
      <c r="AG183" s="29">
        <v>1260</v>
      </c>
      <c r="AH183" t="s">
        <v>264</v>
      </c>
      <c r="AI183">
        <v>55413988</v>
      </c>
      <c r="AJ183" t="s">
        <v>460</v>
      </c>
      <c r="AL183" t="s">
        <v>264</v>
      </c>
      <c r="AM183" s="6">
        <v>44782</v>
      </c>
      <c r="AN183" t="s">
        <v>461</v>
      </c>
      <c r="AO183" t="s">
        <v>268</v>
      </c>
      <c r="AP183">
        <v>1204</v>
      </c>
      <c r="AQ183" t="s">
        <v>269</v>
      </c>
      <c r="AR183">
        <v>264850</v>
      </c>
      <c r="AU183" t="s">
        <v>264</v>
      </c>
      <c r="AV183" t="s">
        <v>270</v>
      </c>
      <c r="AX183">
        <v>22001008</v>
      </c>
      <c r="AY183">
        <v>630600</v>
      </c>
      <c r="AZ183">
        <v>1204.6306</v>
      </c>
      <c r="BA183" s="28" t="s">
        <v>124</v>
      </c>
    </row>
    <row r="184" spans="1:53">
      <c r="A184" t="s">
        <v>424</v>
      </c>
      <c r="B184" t="s">
        <v>425</v>
      </c>
      <c r="C184">
        <v>22003525</v>
      </c>
      <c r="D184">
        <v>1204</v>
      </c>
      <c r="E184" s="6">
        <v>44782</v>
      </c>
      <c r="F184" t="s">
        <v>460</v>
      </c>
      <c r="G184">
        <v>357.71</v>
      </c>
      <c r="H184">
        <v>357.71</v>
      </c>
      <c r="I184" t="s">
        <v>263</v>
      </c>
      <c r="J184" t="s">
        <v>263</v>
      </c>
      <c r="L184" s="29">
        <v>5179809.5999999996</v>
      </c>
      <c r="N184" s="29">
        <v>5179809.5999999996</v>
      </c>
      <c r="O184" t="s">
        <v>264</v>
      </c>
      <c r="Q184" t="s">
        <v>264</v>
      </c>
      <c r="R184" t="s">
        <v>265</v>
      </c>
      <c r="S184">
        <v>14480</v>
      </c>
      <c r="T184" t="s">
        <v>266</v>
      </c>
      <c r="U184" t="s">
        <v>267</v>
      </c>
      <c r="V184" t="s">
        <v>427</v>
      </c>
      <c r="W184" t="s">
        <v>428</v>
      </c>
      <c r="X184">
        <v>1929845</v>
      </c>
      <c r="Y184" s="6">
        <v>44782</v>
      </c>
      <c r="Z184" t="s">
        <v>264</v>
      </c>
      <c r="AA184">
        <v>1</v>
      </c>
      <c r="AB184" t="s">
        <v>264</v>
      </c>
      <c r="AD184" t="s">
        <v>264</v>
      </c>
      <c r="AE184" t="s">
        <v>264</v>
      </c>
      <c r="AF184" t="s">
        <v>264</v>
      </c>
      <c r="AG184" s="29">
        <v>1260</v>
      </c>
      <c r="AH184" t="s">
        <v>264</v>
      </c>
      <c r="AI184">
        <v>55413988</v>
      </c>
      <c r="AJ184" t="s">
        <v>460</v>
      </c>
      <c r="AL184" t="s">
        <v>264</v>
      </c>
      <c r="AM184" s="6">
        <v>44782</v>
      </c>
      <c r="AN184" t="s">
        <v>461</v>
      </c>
      <c r="AO184" t="s">
        <v>268</v>
      </c>
      <c r="AP184">
        <v>1204</v>
      </c>
      <c r="AQ184" t="s">
        <v>269</v>
      </c>
      <c r="AR184">
        <v>264850</v>
      </c>
      <c r="AU184" t="s">
        <v>264</v>
      </c>
      <c r="AV184" t="s">
        <v>270</v>
      </c>
      <c r="AX184">
        <v>22001008</v>
      </c>
      <c r="AY184">
        <v>630600</v>
      </c>
      <c r="AZ184">
        <v>1204.6306</v>
      </c>
      <c r="BA184" s="28" t="s">
        <v>124</v>
      </c>
    </row>
    <row r="185" spans="1:53">
      <c r="A185" t="s">
        <v>424</v>
      </c>
      <c r="B185" t="s">
        <v>425</v>
      </c>
      <c r="C185">
        <v>22003526</v>
      </c>
      <c r="D185">
        <v>1204</v>
      </c>
      <c r="E185" s="6">
        <v>44782</v>
      </c>
      <c r="F185" t="s">
        <v>460</v>
      </c>
      <c r="G185">
        <v>630.54</v>
      </c>
      <c r="H185">
        <v>630.54</v>
      </c>
      <c r="I185" t="s">
        <v>263</v>
      </c>
      <c r="J185" t="s">
        <v>263</v>
      </c>
      <c r="L185" s="29">
        <v>9130442.1600000001</v>
      </c>
      <c r="N185" s="29">
        <v>9130442.1600000001</v>
      </c>
      <c r="O185" t="s">
        <v>264</v>
      </c>
      <c r="Q185" t="s">
        <v>264</v>
      </c>
      <c r="R185" t="s">
        <v>265</v>
      </c>
      <c r="S185">
        <v>14480</v>
      </c>
      <c r="T185" t="s">
        <v>266</v>
      </c>
      <c r="U185" t="s">
        <v>267</v>
      </c>
      <c r="V185" t="s">
        <v>427</v>
      </c>
      <c r="W185" t="s">
        <v>428</v>
      </c>
      <c r="X185">
        <v>1929845</v>
      </c>
      <c r="Y185" s="6">
        <v>44782</v>
      </c>
      <c r="Z185" t="s">
        <v>264</v>
      </c>
      <c r="AA185">
        <v>1</v>
      </c>
      <c r="AB185" t="s">
        <v>264</v>
      </c>
      <c r="AD185" t="s">
        <v>264</v>
      </c>
      <c r="AE185" t="s">
        <v>264</v>
      </c>
      <c r="AF185" t="s">
        <v>264</v>
      </c>
      <c r="AG185" s="29">
        <v>2221</v>
      </c>
      <c r="AH185" t="s">
        <v>264</v>
      </c>
      <c r="AI185">
        <v>55413988</v>
      </c>
      <c r="AJ185" t="s">
        <v>460</v>
      </c>
      <c r="AL185" t="s">
        <v>264</v>
      </c>
      <c r="AM185" s="6">
        <v>44782</v>
      </c>
      <c r="AN185" t="s">
        <v>461</v>
      </c>
      <c r="AO185" t="s">
        <v>268</v>
      </c>
      <c r="AP185">
        <v>1204</v>
      </c>
      <c r="AQ185" t="s">
        <v>269</v>
      </c>
      <c r="AR185">
        <v>264850</v>
      </c>
      <c r="AU185" t="s">
        <v>264</v>
      </c>
      <c r="AV185" t="s">
        <v>270</v>
      </c>
      <c r="AX185">
        <v>22001008</v>
      </c>
      <c r="AY185">
        <v>630600</v>
      </c>
      <c r="AZ185">
        <v>1204.6306</v>
      </c>
      <c r="BA185" s="28" t="s">
        <v>124</v>
      </c>
    </row>
    <row r="186" spans="1:53">
      <c r="A186" t="s">
        <v>424</v>
      </c>
      <c r="B186" t="s">
        <v>425</v>
      </c>
      <c r="C186">
        <v>22003527</v>
      </c>
      <c r="D186">
        <v>1204</v>
      </c>
      <c r="E186" s="6">
        <v>44782</v>
      </c>
      <c r="F186" t="s">
        <v>460</v>
      </c>
      <c r="G186">
        <v>425.85</v>
      </c>
      <c r="H186">
        <v>425.85</v>
      </c>
      <c r="I186" t="s">
        <v>263</v>
      </c>
      <c r="J186" t="s">
        <v>263</v>
      </c>
      <c r="L186" s="29">
        <v>6166440</v>
      </c>
      <c r="N186" s="29">
        <v>6166440</v>
      </c>
      <c r="O186" t="s">
        <v>264</v>
      </c>
      <c r="Q186" t="s">
        <v>264</v>
      </c>
      <c r="R186" t="s">
        <v>265</v>
      </c>
      <c r="S186">
        <v>14480</v>
      </c>
      <c r="T186" t="s">
        <v>266</v>
      </c>
      <c r="U186" t="s">
        <v>267</v>
      </c>
      <c r="V186" t="s">
        <v>427</v>
      </c>
      <c r="W186" t="s">
        <v>428</v>
      </c>
      <c r="X186">
        <v>1929845</v>
      </c>
      <c r="Y186" s="6">
        <v>44782</v>
      </c>
      <c r="Z186" t="s">
        <v>264</v>
      </c>
      <c r="AA186">
        <v>1</v>
      </c>
      <c r="AB186" t="s">
        <v>264</v>
      </c>
      <c r="AD186" t="s">
        <v>264</v>
      </c>
      <c r="AE186" t="s">
        <v>264</v>
      </c>
      <c r="AF186" t="s">
        <v>264</v>
      </c>
      <c r="AG186" s="29">
        <v>1500</v>
      </c>
      <c r="AH186" t="s">
        <v>264</v>
      </c>
      <c r="AI186">
        <v>55413988</v>
      </c>
      <c r="AJ186" t="s">
        <v>460</v>
      </c>
      <c r="AL186" t="s">
        <v>264</v>
      </c>
      <c r="AM186" s="6">
        <v>44782</v>
      </c>
      <c r="AN186" t="s">
        <v>461</v>
      </c>
      <c r="AO186" t="s">
        <v>268</v>
      </c>
      <c r="AP186">
        <v>1204</v>
      </c>
      <c r="AQ186" t="s">
        <v>269</v>
      </c>
      <c r="AR186">
        <v>264850</v>
      </c>
      <c r="AU186" t="s">
        <v>264</v>
      </c>
      <c r="AV186" t="s">
        <v>270</v>
      </c>
      <c r="AX186">
        <v>22001008</v>
      </c>
      <c r="AY186">
        <v>630600</v>
      </c>
      <c r="AZ186">
        <v>1204.6306</v>
      </c>
      <c r="BA186" s="28" t="s">
        <v>124</v>
      </c>
    </row>
    <row r="187" spans="1:53">
      <c r="A187" t="s">
        <v>424</v>
      </c>
      <c r="B187" t="s">
        <v>425</v>
      </c>
      <c r="C187">
        <v>22003528</v>
      </c>
      <c r="D187">
        <v>1204</v>
      </c>
      <c r="E187" s="6">
        <v>44782</v>
      </c>
      <c r="F187" t="s">
        <v>460</v>
      </c>
      <c r="G187">
        <v>397.46</v>
      </c>
      <c r="H187">
        <v>397.46</v>
      </c>
      <c r="I187" t="s">
        <v>263</v>
      </c>
      <c r="J187" t="s">
        <v>263</v>
      </c>
      <c r="L187" s="29">
        <v>5755344</v>
      </c>
      <c r="N187" s="29">
        <v>5755344</v>
      </c>
      <c r="O187" t="s">
        <v>264</v>
      </c>
      <c r="Q187" t="s">
        <v>264</v>
      </c>
      <c r="R187" t="s">
        <v>265</v>
      </c>
      <c r="S187">
        <v>14480</v>
      </c>
      <c r="T187" t="s">
        <v>266</v>
      </c>
      <c r="U187" t="s">
        <v>267</v>
      </c>
      <c r="V187" t="s">
        <v>427</v>
      </c>
      <c r="W187" t="s">
        <v>428</v>
      </c>
      <c r="X187">
        <v>1929845</v>
      </c>
      <c r="Y187" s="6">
        <v>44782</v>
      </c>
      <c r="Z187" t="s">
        <v>264</v>
      </c>
      <c r="AA187">
        <v>1</v>
      </c>
      <c r="AB187" t="s">
        <v>264</v>
      </c>
      <c r="AD187" t="s">
        <v>264</v>
      </c>
      <c r="AE187" t="s">
        <v>264</v>
      </c>
      <c r="AF187" t="s">
        <v>264</v>
      </c>
      <c r="AG187" s="29">
        <v>1400</v>
      </c>
      <c r="AH187" t="s">
        <v>264</v>
      </c>
      <c r="AI187">
        <v>55413988</v>
      </c>
      <c r="AJ187" t="s">
        <v>460</v>
      </c>
      <c r="AL187" t="s">
        <v>264</v>
      </c>
      <c r="AM187" s="6">
        <v>44782</v>
      </c>
      <c r="AN187" t="s">
        <v>461</v>
      </c>
      <c r="AO187" t="s">
        <v>268</v>
      </c>
      <c r="AP187">
        <v>1204</v>
      </c>
      <c r="AQ187" t="s">
        <v>269</v>
      </c>
      <c r="AR187">
        <v>264850</v>
      </c>
      <c r="AU187" t="s">
        <v>264</v>
      </c>
      <c r="AV187" t="s">
        <v>270</v>
      </c>
      <c r="AX187">
        <v>22001008</v>
      </c>
      <c r="AY187">
        <v>630600</v>
      </c>
      <c r="AZ187">
        <v>1204.6306</v>
      </c>
      <c r="BA187" s="28" t="s">
        <v>124</v>
      </c>
    </row>
    <row r="188" spans="1:53">
      <c r="A188" t="s">
        <v>424</v>
      </c>
      <c r="B188" t="s">
        <v>425</v>
      </c>
      <c r="C188">
        <v>22003529</v>
      </c>
      <c r="D188">
        <v>1204</v>
      </c>
      <c r="E188" s="6">
        <v>44782</v>
      </c>
      <c r="F188" t="s">
        <v>460</v>
      </c>
      <c r="G188">
        <v>377.59</v>
      </c>
      <c r="H188">
        <v>377.59</v>
      </c>
      <c r="I188" t="s">
        <v>263</v>
      </c>
      <c r="J188" t="s">
        <v>263</v>
      </c>
      <c r="L188" s="29">
        <v>5467576.7999999998</v>
      </c>
      <c r="N188" s="29">
        <v>5467576.7999999998</v>
      </c>
      <c r="O188" t="s">
        <v>264</v>
      </c>
      <c r="Q188" t="s">
        <v>264</v>
      </c>
      <c r="R188" t="s">
        <v>265</v>
      </c>
      <c r="S188">
        <v>14480</v>
      </c>
      <c r="T188" t="s">
        <v>266</v>
      </c>
      <c r="U188" t="s">
        <v>267</v>
      </c>
      <c r="V188" t="s">
        <v>427</v>
      </c>
      <c r="W188" t="s">
        <v>428</v>
      </c>
      <c r="X188">
        <v>1929845</v>
      </c>
      <c r="Y188" s="6">
        <v>44782</v>
      </c>
      <c r="Z188" t="s">
        <v>264</v>
      </c>
      <c r="AA188">
        <v>1</v>
      </c>
      <c r="AB188" t="s">
        <v>264</v>
      </c>
      <c r="AD188" t="s">
        <v>264</v>
      </c>
      <c r="AE188" t="s">
        <v>264</v>
      </c>
      <c r="AF188" t="s">
        <v>264</v>
      </c>
      <c r="AG188" s="29">
        <v>1330</v>
      </c>
      <c r="AH188" t="s">
        <v>264</v>
      </c>
      <c r="AI188">
        <v>55413988</v>
      </c>
      <c r="AJ188" t="s">
        <v>460</v>
      </c>
      <c r="AL188" t="s">
        <v>264</v>
      </c>
      <c r="AM188" s="6">
        <v>44782</v>
      </c>
      <c r="AN188" t="s">
        <v>461</v>
      </c>
      <c r="AO188" t="s">
        <v>268</v>
      </c>
      <c r="AP188">
        <v>1204</v>
      </c>
      <c r="AQ188" t="s">
        <v>269</v>
      </c>
      <c r="AR188">
        <v>264850</v>
      </c>
      <c r="AU188" t="s">
        <v>264</v>
      </c>
      <c r="AV188" t="s">
        <v>270</v>
      </c>
      <c r="AX188">
        <v>22001008</v>
      </c>
      <c r="AY188">
        <v>630600</v>
      </c>
      <c r="AZ188">
        <v>1204.6306</v>
      </c>
      <c r="BA188" s="28" t="s">
        <v>124</v>
      </c>
    </row>
    <row r="189" spans="1:53">
      <c r="A189" t="s">
        <v>424</v>
      </c>
      <c r="B189" t="s">
        <v>425</v>
      </c>
      <c r="C189">
        <v>22003530</v>
      </c>
      <c r="D189">
        <v>1204</v>
      </c>
      <c r="E189" s="6">
        <v>44782</v>
      </c>
      <c r="F189" t="s">
        <v>460</v>
      </c>
      <c r="G189">
        <v>709.75</v>
      </c>
      <c r="H189">
        <v>709.75</v>
      </c>
      <c r="I189" t="s">
        <v>263</v>
      </c>
      <c r="J189" t="s">
        <v>263</v>
      </c>
      <c r="L189" s="29">
        <v>10277400</v>
      </c>
      <c r="N189" s="29">
        <v>10277400</v>
      </c>
      <c r="O189" t="s">
        <v>264</v>
      </c>
      <c r="Q189" t="s">
        <v>264</v>
      </c>
      <c r="R189" t="s">
        <v>265</v>
      </c>
      <c r="S189">
        <v>14480</v>
      </c>
      <c r="T189" t="s">
        <v>266</v>
      </c>
      <c r="U189" t="s">
        <v>267</v>
      </c>
      <c r="V189" t="s">
        <v>427</v>
      </c>
      <c r="W189" t="s">
        <v>428</v>
      </c>
      <c r="X189">
        <v>1929845</v>
      </c>
      <c r="Y189" s="6">
        <v>44782</v>
      </c>
      <c r="Z189" t="s">
        <v>264</v>
      </c>
      <c r="AA189">
        <v>1</v>
      </c>
      <c r="AB189" t="s">
        <v>264</v>
      </c>
      <c r="AD189" t="s">
        <v>264</v>
      </c>
      <c r="AE189" t="s">
        <v>264</v>
      </c>
      <c r="AF189" t="s">
        <v>264</v>
      </c>
      <c r="AG189" s="29">
        <v>2500</v>
      </c>
      <c r="AH189" t="s">
        <v>264</v>
      </c>
      <c r="AI189">
        <v>55413988</v>
      </c>
      <c r="AJ189" t="s">
        <v>460</v>
      </c>
      <c r="AL189" t="s">
        <v>264</v>
      </c>
      <c r="AM189" s="6">
        <v>44782</v>
      </c>
      <c r="AN189" t="s">
        <v>461</v>
      </c>
      <c r="AO189" t="s">
        <v>268</v>
      </c>
      <c r="AP189">
        <v>1204</v>
      </c>
      <c r="AQ189" t="s">
        <v>269</v>
      </c>
      <c r="AR189">
        <v>264850</v>
      </c>
      <c r="AU189" t="s">
        <v>264</v>
      </c>
      <c r="AV189" t="s">
        <v>270</v>
      </c>
      <c r="AX189">
        <v>22001008</v>
      </c>
      <c r="AY189">
        <v>630600</v>
      </c>
      <c r="AZ189">
        <v>1204.6306</v>
      </c>
      <c r="BA189" s="28" t="s">
        <v>124</v>
      </c>
    </row>
    <row r="190" spans="1:53">
      <c r="A190" t="s">
        <v>424</v>
      </c>
      <c r="B190" t="s">
        <v>425</v>
      </c>
      <c r="C190">
        <v>22003531</v>
      </c>
      <c r="D190">
        <v>1204</v>
      </c>
      <c r="E190" s="6">
        <v>44782</v>
      </c>
      <c r="F190" t="s">
        <v>460</v>
      </c>
      <c r="G190">
        <v>361.97</v>
      </c>
      <c r="H190">
        <v>361.97</v>
      </c>
      <c r="I190" t="s">
        <v>263</v>
      </c>
      <c r="J190" t="s">
        <v>263</v>
      </c>
      <c r="L190" s="29">
        <v>5241474</v>
      </c>
      <c r="N190" s="29">
        <v>5241474</v>
      </c>
      <c r="O190" t="s">
        <v>264</v>
      </c>
      <c r="Q190" t="s">
        <v>264</v>
      </c>
      <c r="R190" t="s">
        <v>265</v>
      </c>
      <c r="S190">
        <v>14480</v>
      </c>
      <c r="T190" t="s">
        <v>266</v>
      </c>
      <c r="U190" t="s">
        <v>267</v>
      </c>
      <c r="V190" t="s">
        <v>427</v>
      </c>
      <c r="W190" t="s">
        <v>428</v>
      </c>
      <c r="X190">
        <v>1929845</v>
      </c>
      <c r="Y190" s="6">
        <v>44782</v>
      </c>
      <c r="Z190" t="s">
        <v>264</v>
      </c>
      <c r="AA190">
        <v>1</v>
      </c>
      <c r="AB190" t="s">
        <v>264</v>
      </c>
      <c r="AD190" t="s">
        <v>264</v>
      </c>
      <c r="AE190" t="s">
        <v>264</v>
      </c>
      <c r="AF190" t="s">
        <v>264</v>
      </c>
      <c r="AG190" s="29">
        <v>1275</v>
      </c>
      <c r="AH190" t="s">
        <v>264</v>
      </c>
      <c r="AI190">
        <v>55413988</v>
      </c>
      <c r="AJ190" t="s">
        <v>460</v>
      </c>
      <c r="AL190" t="s">
        <v>264</v>
      </c>
      <c r="AM190" s="6">
        <v>44782</v>
      </c>
      <c r="AN190" t="s">
        <v>461</v>
      </c>
      <c r="AO190" t="s">
        <v>268</v>
      </c>
      <c r="AP190">
        <v>1204</v>
      </c>
      <c r="AQ190" t="s">
        <v>269</v>
      </c>
      <c r="AR190">
        <v>264850</v>
      </c>
      <c r="AU190" t="s">
        <v>264</v>
      </c>
      <c r="AV190" t="s">
        <v>270</v>
      </c>
      <c r="AX190">
        <v>22001008</v>
      </c>
      <c r="AY190">
        <v>630600</v>
      </c>
      <c r="AZ190">
        <v>1204.6306</v>
      </c>
      <c r="BA190" s="28" t="s">
        <v>124</v>
      </c>
    </row>
    <row r="191" spans="1:53">
      <c r="A191" t="s">
        <v>424</v>
      </c>
      <c r="B191" t="s">
        <v>425</v>
      </c>
      <c r="C191">
        <v>22003532</v>
      </c>
      <c r="D191">
        <v>1204</v>
      </c>
      <c r="E191" s="6">
        <v>44782</v>
      </c>
      <c r="F191" t="s">
        <v>460</v>
      </c>
      <c r="G191">
        <v>105.61</v>
      </c>
      <c r="H191">
        <v>105.61</v>
      </c>
      <c r="I191" t="s">
        <v>263</v>
      </c>
      <c r="J191" t="s">
        <v>263</v>
      </c>
      <c r="L191" s="29">
        <v>1529277.12</v>
      </c>
      <c r="N191" s="29">
        <v>1529277.12</v>
      </c>
      <c r="O191" t="s">
        <v>264</v>
      </c>
      <c r="Q191" t="s">
        <v>264</v>
      </c>
      <c r="R191" t="s">
        <v>265</v>
      </c>
      <c r="S191">
        <v>14480</v>
      </c>
      <c r="T191" t="s">
        <v>266</v>
      </c>
      <c r="U191" t="s">
        <v>267</v>
      </c>
      <c r="V191" t="s">
        <v>427</v>
      </c>
      <c r="W191" t="s">
        <v>428</v>
      </c>
      <c r="X191">
        <v>1929845</v>
      </c>
      <c r="Y191" s="6">
        <v>44782</v>
      </c>
      <c r="Z191" t="s">
        <v>264</v>
      </c>
      <c r="AA191">
        <v>1</v>
      </c>
      <c r="AB191" t="s">
        <v>264</v>
      </c>
      <c r="AD191" t="s">
        <v>264</v>
      </c>
      <c r="AE191" t="s">
        <v>264</v>
      </c>
      <c r="AF191" t="s">
        <v>264</v>
      </c>
      <c r="AG191">
        <v>372</v>
      </c>
      <c r="AH191" t="s">
        <v>264</v>
      </c>
      <c r="AI191">
        <v>55413988</v>
      </c>
      <c r="AJ191" t="s">
        <v>460</v>
      </c>
      <c r="AL191" t="s">
        <v>264</v>
      </c>
      <c r="AM191" s="6">
        <v>44782</v>
      </c>
      <c r="AN191" t="s">
        <v>461</v>
      </c>
      <c r="AO191" t="s">
        <v>268</v>
      </c>
      <c r="AP191">
        <v>1204</v>
      </c>
      <c r="AQ191" t="s">
        <v>269</v>
      </c>
      <c r="AR191">
        <v>264850</v>
      </c>
      <c r="AU191" t="s">
        <v>264</v>
      </c>
      <c r="AV191" t="s">
        <v>270</v>
      </c>
      <c r="AX191">
        <v>22001008</v>
      </c>
      <c r="AY191">
        <v>630600</v>
      </c>
      <c r="AZ191">
        <v>1204.6306</v>
      </c>
      <c r="BA191" s="28" t="s">
        <v>124</v>
      </c>
    </row>
    <row r="192" spans="1:53">
      <c r="A192" t="s">
        <v>424</v>
      </c>
      <c r="B192" t="s">
        <v>425</v>
      </c>
      <c r="C192">
        <v>22003533</v>
      </c>
      <c r="D192">
        <v>1204</v>
      </c>
      <c r="E192" s="6">
        <v>44782</v>
      </c>
      <c r="F192" t="s">
        <v>460</v>
      </c>
      <c r="G192">
        <v>160.12</v>
      </c>
      <c r="H192">
        <v>160.12</v>
      </c>
      <c r="I192" t="s">
        <v>263</v>
      </c>
      <c r="J192" t="s">
        <v>263</v>
      </c>
      <c r="L192" s="29">
        <v>2318581.44</v>
      </c>
      <c r="N192" s="29">
        <v>2318581.44</v>
      </c>
      <c r="O192" t="s">
        <v>264</v>
      </c>
      <c r="Q192" t="s">
        <v>264</v>
      </c>
      <c r="R192" t="s">
        <v>265</v>
      </c>
      <c r="S192">
        <v>14480</v>
      </c>
      <c r="T192" t="s">
        <v>266</v>
      </c>
      <c r="U192" t="s">
        <v>267</v>
      </c>
      <c r="V192" t="s">
        <v>427</v>
      </c>
      <c r="W192" t="s">
        <v>428</v>
      </c>
      <c r="X192">
        <v>1929845</v>
      </c>
      <c r="Y192" s="6">
        <v>44782</v>
      </c>
      <c r="Z192" t="s">
        <v>264</v>
      </c>
      <c r="AA192">
        <v>1</v>
      </c>
      <c r="AB192" t="s">
        <v>264</v>
      </c>
      <c r="AD192" t="s">
        <v>264</v>
      </c>
      <c r="AE192" t="s">
        <v>264</v>
      </c>
      <c r="AF192" t="s">
        <v>264</v>
      </c>
      <c r="AG192">
        <v>564</v>
      </c>
      <c r="AH192" t="s">
        <v>264</v>
      </c>
      <c r="AI192">
        <v>55413988</v>
      </c>
      <c r="AJ192" t="s">
        <v>460</v>
      </c>
      <c r="AL192" t="s">
        <v>264</v>
      </c>
      <c r="AM192" s="6">
        <v>44782</v>
      </c>
      <c r="AN192" t="s">
        <v>461</v>
      </c>
      <c r="AO192" t="s">
        <v>268</v>
      </c>
      <c r="AP192">
        <v>1204</v>
      </c>
      <c r="AQ192" t="s">
        <v>269</v>
      </c>
      <c r="AR192">
        <v>264850</v>
      </c>
      <c r="AU192" t="s">
        <v>264</v>
      </c>
      <c r="AV192" t="s">
        <v>270</v>
      </c>
      <c r="AX192">
        <v>22001008</v>
      </c>
      <c r="AY192">
        <v>630600</v>
      </c>
      <c r="AZ192">
        <v>1204.6306</v>
      </c>
      <c r="BA192" s="28" t="s">
        <v>124</v>
      </c>
    </row>
    <row r="193" spans="1:53">
      <c r="A193" t="s">
        <v>424</v>
      </c>
      <c r="B193" t="s">
        <v>425</v>
      </c>
      <c r="C193">
        <v>22003534</v>
      </c>
      <c r="D193">
        <v>1204</v>
      </c>
      <c r="E193" s="6">
        <v>44782</v>
      </c>
      <c r="F193" t="s">
        <v>460</v>
      </c>
      <c r="G193">
        <v>154.44</v>
      </c>
      <c r="H193">
        <v>154.44</v>
      </c>
      <c r="I193" t="s">
        <v>263</v>
      </c>
      <c r="J193" t="s">
        <v>263</v>
      </c>
      <c r="L193" s="29">
        <v>2236362.2400000002</v>
      </c>
      <c r="N193" s="29">
        <v>2236362.2400000002</v>
      </c>
      <c r="O193" t="s">
        <v>264</v>
      </c>
      <c r="Q193" t="s">
        <v>264</v>
      </c>
      <c r="R193" t="s">
        <v>265</v>
      </c>
      <c r="S193">
        <v>14480</v>
      </c>
      <c r="T193" t="s">
        <v>266</v>
      </c>
      <c r="U193" t="s">
        <v>267</v>
      </c>
      <c r="V193" t="s">
        <v>427</v>
      </c>
      <c r="W193" t="s">
        <v>428</v>
      </c>
      <c r="X193">
        <v>1929845</v>
      </c>
      <c r="Y193" s="6">
        <v>44782</v>
      </c>
      <c r="Z193" t="s">
        <v>264</v>
      </c>
      <c r="AA193">
        <v>1</v>
      </c>
      <c r="AB193" t="s">
        <v>264</v>
      </c>
      <c r="AD193" t="s">
        <v>264</v>
      </c>
      <c r="AE193" t="s">
        <v>264</v>
      </c>
      <c r="AF193" t="s">
        <v>264</v>
      </c>
      <c r="AG193">
        <v>544</v>
      </c>
      <c r="AH193" t="s">
        <v>264</v>
      </c>
      <c r="AI193">
        <v>55413988</v>
      </c>
      <c r="AJ193" t="s">
        <v>460</v>
      </c>
      <c r="AL193" t="s">
        <v>264</v>
      </c>
      <c r="AM193" s="6">
        <v>44782</v>
      </c>
      <c r="AN193" t="s">
        <v>461</v>
      </c>
      <c r="AO193" t="s">
        <v>268</v>
      </c>
      <c r="AP193">
        <v>1204</v>
      </c>
      <c r="AQ193" t="s">
        <v>269</v>
      </c>
      <c r="AR193">
        <v>264850</v>
      </c>
      <c r="AU193" t="s">
        <v>264</v>
      </c>
      <c r="AV193" t="s">
        <v>270</v>
      </c>
      <c r="AX193">
        <v>22001008</v>
      </c>
      <c r="AY193">
        <v>630600</v>
      </c>
      <c r="AZ193">
        <v>1204.6306</v>
      </c>
      <c r="BA193" s="28" t="s">
        <v>124</v>
      </c>
    </row>
    <row r="194" spans="1:53">
      <c r="A194" t="s">
        <v>424</v>
      </c>
      <c r="B194" t="s">
        <v>425</v>
      </c>
      <c r="C194">
        <v>22003535</v>
      </c>
      <c r="D194">
        <v>1204</v>
      </c>
      <c r="E194" s="6">
        <v>44782</v>
      </c>
      <c r="F194" t="s">
        <v>460</v>
      </c>
      <c r="G194">
        <v>122.64</v>
      </c>
      <c r="H194">
        <v>122.64</v>
      </c>
      <c r="I194" t="s">
        <v>263</v>
      </c>
      <c r="J194" t="s">
        <v>263</v>
      </c>
      <c r="L194" s="29">
        <v>1775934.72</v>
      </c>
      <c r="N194" s="29">
        <v>1775934.72</v>
      </c>
      <c r="O194" t="s">
        <v>264</v>
      </c>
      <c r="Q194" t="s">
        <v>264</v>
      </c>
      <c r="R194" t="s">
        <v>265</v>
      </c>
      <c r="S194">
        <v>14480</v>
      </c>
      <c r="T194" t="s">
        <v>266</v>
      </c>
      <c r="U194" t="s">
        <v>267</v>
      </c>
      <c r="V194" t="s">
        <v>427</v>
      </c>
      <c r="W194" t="s">
        <v>428</v>
      </c>
      <c r="X194">
        <v>1929845</v>
      </c>
      <c r="Y194" s="6">
        <v>44782</v>
      </c>
      <c r="Z194" t="s">
        <v>264</v>
      </c>
      <c r="AA194">
        <v>1</v>
      </c>
      <c r="AB194" t="s">
        <v>264</v>
      </c>
      <c r="AD194" t="s">
        <v>264</v>
      </c>
      <c r="AE194" t="s">
        <v>264</v>
      </c>
      <c r="AF194" t="s">
        <v>264</v>
      </c>
      <c r="AG194">
        <v>432</v>
      </c>
      <c r="AH194" t="s">
        <v>264</v>
      </c>
      <c r="AI194">
        <v>55413988</v>
      </c>
      <c r="AJ194" t="s">
        <v>460</v>
      </c>
      <c r="AL194" t="s">
        <v>264</v>
      </c>
      <c r="AM194" s="6">
        <v>44782</v>
      </c>
      <c r="AN194" t="s">
        <v>461</v>
      </c>
      <c r="AO194" t="s">
        <v>268</v>
      </c>
      <c r="AP194">
        <v>1204</v>
      </c>
      <c r="AQ194" t="s">
        <v>269</v>
      </c>
      <c r="AR194">
        <v>264850</v>
      </c>
      <c r="AU194" t="s">
        <v>264</v>
      </c>
      <c r="AV194" t="s">
        <v>270</v>
      </c>
      <c r="AX194">
        <v>22001008</v>
      </c>
      <c r="AY194">
        <v>630600</v>
      </c>
      <c r="AZ194">
        <v>1204.6306</v>
      </c>
      <c r="BA194" s="28" t="s">
        <v>124</v>
      </c>
    </row>
    <row r="195" spans="1:53">
      <c r="A195" t="s">
        <v>424</v>
      </c>
      <c r="B195" t="s">
        <v>425</v>
      </c>
      <c r="C195">
        <v>22003536</v>
      </c>
      <c r="D195">
        <v>1204</v>
      </c>
      <c r="E195" s="6">
        <v>44782</v>
      </c>
      <c r="F195" t="s">
        <v>460</v>
      </c>
      <c r="G195">
        <v>105.61</v>
      </c>
      <c r="H195">
        <v>105.61</v>
      </c>
      <c r="I195" t="s">
        <v>263</v>
      </c>
      <c r="J195" t="s">
        <v>263</v>
      </c>
      <c r="L195" s="29">
        <v>1529277.12</v>
      </c>
      <c r="N195" s="29">
        <v>1529277.12</v>
      </c>
      <c r="O195" t="s">
        <v>264</v>
      </c>
      <c r="Q195" t="s">
        <v>264</v>
      </c>
      <c r="R195" t="s">
        <v>265</v>
      </c>
      <c r="S195">
        <v>14480</v>
      </c>
      <c r="T195" t="s">
        <v>266</v>
      </c>
      <c r="U195" t="s">
        <v>267</v>
      </c>
      <c r="V195" t="s">
        <v>427</v>
      </c>
      <c r="W195" t="s">
        <v>428</v>
      </c>
      <c r="X195">
        <v>1929845</v>
      </c>
      <c r="Y195" s="6">
        <v>44782</v>
      </c>
      <c r="Z195" t="s">
        <v>264</v>
      </c>
      <c r="AA195">
        <v>1</v>
      </c>
      <c r="AB195" t="s">
        <v>264</v>
      </c>
      <c r="AD195" t="s">
        <v>264</v>
      </c>
      <c r="AE195" t="s">
        <v>264</v>
      </c>
      <c r="AF195" t="s">
        <v>264</v>
      </c>
      <c r="AG195">
        <v>372</v>
      </c>
      <c r="AH195" t="s">
        <v>264</v>
      </c>
      <c r="AI195">
        <v>55413988</v>
      </c>
      <c r="AJ195" t="s">
        <v>460</v>
      </c>
      <c r="AL195" t="s">
        <v>264</v>
      </c>
      <c r="AM195" s="6">
        <v>44782</v>
      </c>
      <c r="AN195" t="s">
        <v>461</v>
      </c>
      <c r="AO195" t="s">
        <v>268</v>
      </c>
      <c r="AP195">
        <v>1204</v>
      </c>
      <c r="AQ195" t="s">
        <v>269</v>
      </c>
      <c r="AR195">
        <v>264850</v>
      </c>
      <c r="AU195" t="s">
        <v>264</v>
      </c>
      <c r="AV195" t="s">
        <v>270</v>
      </c>
      <c r="AX195">
        <v>22001008</v>
      </c>
      <c r="AY195">
        <v>630600</v>
      </c>
      <c r="AZ195">
        <v>1204.6306</v>
      </c>
      <c r="BA195" s="28" t="s">
        <v>124</v>
      </c>
    </row>
    <row r="196" spans="1:53">
      <c r="A196" t="s">
        <v>424</v>
      </c>
      <c r="B196" t="s">
        <v>425</v>
      </c>
      <c r="C196">
        <v>22003537</v>
      </c>
      <c r="D196">
        <v>1204</v>
      </c>
      <c r="E196" s="6">
        <v>44782</v>
      </c>
      <c r="F196" t="s">
        <v>460</v>
      </c>
      <c r="G196">
        <v>105.61</v>
      </c>
      <c r="H196">
        <v>105.61</v>
      </c>
      <c r="I196" t="s">
        <v>263</v>
      </c>
      <c r="J196" t="s">
        <v>263</v>
      </c>
      <c r="L196" s="29">
        <v>1529277.12</v>
      </c>
      <c r="N196" s="29">
        <v>1529277.12</v>
      </c>
      <c r="O196" t="s">
        <v>264</v>
      </c>
      <c r="Q196" t="s">
        <v>264</v>
      </c>
      <c r="R196" t="s">
        <v>265</v>
      </c>
      <c r="S196">
        <v>14480</v>
      </c>
      <c r="T196" t="s">
        <v>266</v>
      </c>
      <c r="U196" t="s">
        <v>267</v>
      </c>
      <c r="V196" t="s">
        <v>427</v>
      </c>
      <c r="W196" t="s">
        <v>428</v>
      </c>
      <c r="X196">
        <v>1929845</v>
      </c>
      <c r="Y196" s="6">
        <v>44782</v>
      </c>
      <c r="Z196" t="s">
        <v>264</v>
      </c>
      <c r="AA196">
        <v>1</v>
      </c>
      <c r="AB196" t="s">
        <v>264</v>
      </c>
      <c r="AD196" t="s">
        <v>264</v>
      </c>
      <c r="AE196" t="s">
        <v>264</v>
      </c>
      <c r="AF196" t="s">
        <v>264</v>
      </c>
      <c r="AG196">
        <v>372</v>
      </c>
      <c r="AH196" t="s">
        <v>264</v>
      </c>
      <c r="AI196">
        <v>55413988</v>
      </c>
      <c r="AJ196" t="s">
        <v>460</v>
      </c>
      <c r="AL196" t="s">
        <v>264</v>
      </c>
      <c r="AM196" s="6">
        <v>44782</v>
      </c>
      <c r="AN196" t="s">
        <v>461</v>
      </c>
      <c r="AO196" t="s">
        <v>268</v>
      </c>
      <c r="AP196">
        <v>1204</v>
      </c>
      <c r="AQ196" t="s">
        <v>269</v>
      </c>
      <c r="AR196">
        <v>264850</v>
      </c>
      <c r="AU196" t="s">
        <v>264</v>
      </c>
      <c r="AV196" t="s">
        <v>270</v>
      </c>
      <c r="AX196">
        <v>22001008</v>
      </c>
      <c r="AY196">
        <v>630600</v>
      </c>
      <c r="AZ196">
        <v>1204.6306</v>
      </c>
      <c r="BA196" s="28" t="s">
        <v>124</v>
      </c>
    </row>
    <row r="197" spans="1:53">
      <c r="A197" t="s">
        <v>424</v>
      </c>
      <c r="B197" t="s">
        <v>425</v>
      </c>
      <c r="C197">
        <v>22003538</v>
      </c>
      <c r="D197">
        <v>1204</v>
      </c>
      <c r="E197" s="6">
        <v>44782</v>
      </c>
      <c r="F197" t="s">
        <v>460</v>
      </c>
      <c r="G197">
        <v>105.61</v>
      </c>
      <c r="H197">
        <v>105.61</v>
      </c>
      <c r="I197" t="s">
        <v>263</v>
      </c>
      <c r="J197" t="s">
        <v>263</v>
      </c>
      <c r="L197" s="29">
        <v>1529277.12</v>
      </c>
      <c r="N197" s="29">
        <v>1529277.12</v>
      </c>
      <c r="O197" t="s">
        <v>264</v>
      </c>
      <c r="Q197" t="s">
        <v>264</v>
      </c>
      <c r="R197" t="s">
        <v>265</v>
      </c>
      <c r="S197">
        <v>14480</v>
      </c>
      <c r="T197" t="s">
        <v>266</v>
      </c>
      <c r="U197" t="s">
        <v>267</v>
      </c>
      <c r="V197" t="s">
        <v>427</v>
      </c>
      <c r="W197" t="s">
        <v>428</v>
      </c>
      <c r="X197">
        <v>1929845</v>
      </c>
      <c r="Y197" s="6">
        <v>44782</v>
      </c>
      <c r="Z197" t="s">
        <v>264</v>
      </c>
      <c r="AA197">
        <v>1</v>
      </c>
      <c r="AB197" t="s">
        <v>264</v>
      </c>
      <c r="AD197" t="s">
        <v>264</v>
      </c>
      <c r="AE197" t="s">
        <v>264</v>
      </c>
      <c r="AF197" t="s">
        <v>264</v>
      </c>
      <c r="AG197">
        <v>372</v>
      </c>
      <c r="AH197" t="s">
        <v>264</v>
      </c>
      <c r="AI197">
        <v>55413988</v>
      </c>
      <c r="AJ197" t="s">
        <v>460</v>
      </c>
      <c r="AL197" t="s">
        <v>264</v>
      </c>
      <c r="AM197" s="6">
        <v>44782</v>
      </c>
      <c r="AN197" t="s">
        <v>461</v>
      </c>
      <c r="AO197" t="s">
        <v>268</v>
      </c>
      <c r="AP197">
        <v>1204</v>
      </c>
      <c r="AQ197" t="s">
        <v>269</v>
      </c>
      <c r="AR197">
        <v>264850</v>
      </c>
      <c r="AU197" t="s">
        <v>264</v>
      </c>
      <c r="AV197" t="s">
        <v>270</v>
      </c>
      <c r="AX197">
        <v>22001008</v>
      </c>
      <c r="AY197">
        <v>630600</v>
      </c>
      <c r="AZ197">
        <v>1204.6306</v>
      </c>
      <c r="BA197" s="28" t="s">
        <v>124</v>
      </c>
    </row>
    <row r="198" spans="1:53">
      <c r="A198" t="s">
        <v>424</v>
      </c>
      <c r="B198" t="s">
        <v>425</v>
      </c>
      <c r="C198">
        <v>22003539</v>
      </c>
      <c r="D198">
        <v>1204</v>
      </c>
      <c r="E198" s="6">
        <v>44782</v>
      </c>
      <c r="F198" t="s">
        <v>460</v>
      </c>
      <c r="G198">
        <v>122.64</v>
      </c>
      <c r="H198">
        <v>122.64</v>
      </c>
      <c r="I198" t="s">
        <v>263</v>
      </c>
      <c r="J198" t="s">
        <v>263</v>
      </c>
      <c r="L198" s="29">
        <v>1775934.72</v>
      </c>
      <c r="N198" s="29">
        <v>1775934.72</v>
      </c>
      <c r="O198" t="s">
        <v>264</v>
      </c>
      <c r="Q198" t="s">
        <v>264</v>
      </c>
      <c r="R198" t="s">
        <v>265</v>
      </c>
      <c r="S198">
        <v>14480</v>
      </c>
      <c r="T198" t="s">
        <v>266</v>
      </c>
      <c r="U198" t="s">
        <v>267</v>
      </c>
      <c r="V198" t="s">
        <v>427</v>
      </c>
      <c r="W198" t="s">
        <v>428</v>
      </c>
      <c r="X198">
        <v>1929845</v>
      </c>
      <c r="Y198" s="6">
        <v>44782</v>
      </c>
      <c r="Z198" t="s">
        <v>264</v>
      </c>
      <c r="AA198">
        <v>1</v>
      </c>
      <c r="AB198" t="s">
        <v>264</v>
      </c>
      <c r="AD198" t="s">
        <v>264</v>
      </c>
      <c r="AE198" t="s">
        <v>264</v>
      </c>
      <c r="AF198" t="s">
        <v>264</v>
      </c>
      <c r="AG198">
        <v>432</v>
      </c>
      <c r="AH198" t="s">
        <v>264</v>
      </c>
      <c r="AI198">
        <v>55413988</v>
      </c>
      <c r="AJ198" t="s">
        <v>460</v>
      </c>
      <c r="AL198" t="s">
        <v>264</v>
      </c>
      <c r="AM198" s="6">
        <v>44782</v>
      </c>
      <c r="AN198" t="s">
        <v>461</v>
      </c>
      <c r="AO198" t="s">
        <v>268</v>
      </c>
      <c r="AP198">
        <v>1204</v>
      </c>
      <c r="AQ198" t="s">
        <v>269</v>
      </c>
      <c r="AR198">
        <v>264850</v>
      </c>
      <c r="AU198" t="s">
        <v>264</v>
      </c>
      <c r="AV198" t="s">
        <v>270</v>
      </c>
      <c r="AX198">
        <v>22001008</v>
      </c>
      <c r="AY198">
        <v>630600</v>
      </c>
      <c r="AZ198">
        <v>1204.6306</v>
      </c>
      <c r="BA198" s="28" t="s">
        <v>124</v>
      </c>
    </row>
    <row r="199" spans="1:53">
      <c r="A199" t="s">
        <v>424</v>
      </c>
      <c r="B199" t="s">
        <v>425</v>
      </c>
      <c r="C199">
        <v>22003540</v>
      </c>
      <c r="D199">
        <v>1204</v>
      </c>
      <c r="E199" s="6">
        <v>44782</v>
      </c>
      <c r="F199" t="s">
        <v>460</v>
      </c>
      <c r="G199">
        <v>106.75</v>
      </c>
      <c r="H199">
        <v>106.75</v>
      </c>
      <c r="I199" t="s">
        <v>263</v>
      </c>
      <c r="J199" t="s">
        <v>263</v>
      </c>
      <c r="L199" s="29">
        <v>1545720.96</v>
      </c>
      <c r="N199" s="29">
        <v>1545720.96</v>
      </c>
      <c r="O199" t="s">
        <v>264</v>
      </c>
      <c r="Q199" t="s">
        <v>264</v>
      </c>
      <c r="R199" t="s">
        <v>265</v>
      </c>
      <c r="S199">
        <v>14480</v>
      </c>
      <c r="T199" t="s">
        <v>266</v>
      </c>
      <c r="U199" t="s">
        <v>267</v>
      </c>
      <c r="V199" t="s">
        <v>427</v>
      </c>
      <c r="W199" t="s">
        <v>428</v>
      </c>
      <c r="X199">
        <v>1929845</v>
      </c>
      <c r="Y199" s="6">
        <v>44782</v>
      </c>
      <c r="Z199" t="s">
        <v>264</v>
      </c>
      <c r="AA199">
        <v>1</v>
      </c>
      <c r="AB199" t="s">
        <v>264</v>
      </c>
      <c r="AD199" t="s">
        <v>264</v>
      </c>
      <c r="AE199" t="s">
        <v>264</v>
      </c>
      <c r="AF199" t="s">
        <v>264</v>
      </c>
      <c r="AG199">
        <v>376</v>
      </c>
      <c r="AH199" t="s">
        <v>264</v>
      </c>
      <c r="AI199">
        <v>55413988</v>
      </c>
      <c r="AJ199" t="s">
        <v>460</v>
      </c>
      <c r="AL199" t="s">
        <v>264</v>
      </c>
      <c r="AM199" s="6">
        <v>44782</v>
      </c>
      <c r="AN199" t="s">
        <v>461</v>
      </c>
      <c r="AO199" t="s">
        <v>268</v>
      </c>
      <c r="AP199">
        <v>1204</v>
      </c>
      <c r="AQ199" t="s">
        <v>269</v>
      </c>
      <c r="AR199">
        <v>264850</v>
      </c>
      <c r="AU199" t="s">
        <v>264</v>
      </c>
      <c r="AV199" t="s">
        <v>270</v>
      </c>
      <c r="AX199">
        <v>22001008</v>
      </c>
      <c r="AY199">
        <v>630600</v>
      </c>
      <c r="AZ199">
        <v>1204.6306</v>
      </c>
      <c r="BA199" s="28" t="s">
        <v>124</v>
      </c>
    </row>
    <row r="200" spans="1:53">
      <c r="A200" t="s">
        <v>424</v>
      </c>
      <c r="B200" t="s">
        <v>425</v>
      </c>
      <c r="C200">
        <v>22003541</v>
      </c>
      <c r="D200">
        <v>1204</v>
      </c>
      <c r="E200" s="6">
        <v>44782</v>
      </c>
      <c r="F200" t="s">
        <v>460</v>
      </c>
      <c r="G200">
        <v>32.36</v>
      </c>
      <c r="H200">
        <v>32.36</v>
      </c>
      <c r="I200" t="s">
        <v>263</v>
      </c>
      <c r="J200" t="s">
        <v>263</v>
      </c>
      <c r="L200" s="29">
        <v>468649.44</v>
      </c>
      <c r="N200" s="29">
        <v>468649.44</v>
      </c>
      <c r="O200" t="s">
        <v>264</v>
      </c>
      <c r="Q200" t="s">
        <v>264</v>
      </c>
      <c r="R200" t="s">
        <v>265</v>
      </c>
      <c r="S200">
        <v>14480</v>
      </c>
      <c r="T200" t="s">
        <v>266</v>
      </c>
      <c r="U200" t="s">
        <v>267</v>
      </c>
      <c r="V200" t="s">
        <v>427</v>
      </c>
      <c r="W200" t="s">
        <v>428</v>
      </c>
      <c r="X200">
        <v>1929845</v>
      </c>
      <c r="Y200" s="6">
        <v>44782</v>
      </c>
      <c r="Z200" t="s">
        <v>264</v>
      </c>
      <c r="AA200">
        <v>1</v>
      </c>
      <c r="AB200" t="s">
        <v>264</v>
      </c>
      <c r="AD200" t="s">
        <v>264</v>
      </c>
      <c r="AE200" t="s">
        <v>264</v>
      </c>
      <c r="AF200" t="s">
        <v>264</v>
      </c>
      <c r="AG200">
        <v>114</v>
      </c>
      <c r="AH200" t="s">
        <v>264</v>
      </c>
      <c r="AI200">
        <v>55413988</v>
      </c>
      <c r="AJ200" t="s">
        <v>460</v>
      </c>
      <c r="AL200" t="s">
        <v>264</v>
      </c>
      <c r="AM200" s="6">
        <v>44782</v>
      </c>
      <c r="AN200" t="s">
        <v>461</v>
      </c>
      <c r="AO200" t="s">
        <v>268</v>
      </c>
      <c r="AP200">
        <v>1204</v>
      </c>
      <c r="AQ200" t="s">
        <v>269</v>
      </c>
      <c r="AR200">
        <v>264850</v>
      </c>
      <c r="AU200" t="s">
        <v>264</v>
      </c>
      <c r="AV200" t="s">
        <v>270</v>
      </c>
      <c r="AX200">
        <v>22001008</v>
      </c>
      <c r="AY200">
        <v>630600</v>
      </c>
      <c r="AZ200">
        <v>1204.6306</v>
      </c>
      <c r="BA200" s="28" t="s">
        <v>124</v>
      </c>
    </row>
    <row r="201" spans="1:53">
      <c r="A201" t="s">
        <v>424</v>
      </c>
      <c r="B201" t="s">
        <v>425</v>
      </c>
      <c r="C201">
        <v>22003542</v>
      </c>
      <c r="D201">
        <v>1204</v>
      </c>
      <c r="E201" s="6">
        <v>44782</v>
      </c>
      <c r="F201" t="s">
        <v>460</v>
      </c>
      <c r="G201">
        <v>8.8000000000000007</v>
      </c>
      <c r="H201">
        <v>8.8000000000000007</v>
      </c>
      <c r="I201" t="s">
        <v>263</v>
      </c>
      <c r="J201" t="s">
        <v>263</v>
      </c>
      <c r="L201" s="29">
        <v>127439.76</v>
      </c>
      <c r="N201" s="29">
        <v>127439.76</v>
      </c>
      <c r="O201" t="s">
        <v>264</v>
      </c>
      <c r="Q201" t="s">
        <v>264</v>
      </c>
      <c r="R201" t="s">
        <v>265</v>
      </c>
      <c r="S201">
        <v>14480</v>
      </c>
      <c r="T201" t="s">
        <v>266</v>
      </c>
      <c r="U201" t="s">
        <v>267</v>
      </c>
      <c r="V201" t="s">
        <v>427</v>
      </c>
      <c r="W201" t="s">
        <v>428</v>
      </c>
      <c r="X201">
        <v>1929845</v>
      </c>
      <c r="Y201" s="6">
        <v>44782</v>
      </c>
      <c r="Z201" t="s">
        <v>264</v>
      </c>
      <c r="AA201">
        <v>1</v>
      </c>
      <c r="AB201" t="s">
        <v>264</v>
      </c>
      <c r="AD201" t="s">
        <v>264</v>
      </c>
      <c r="AE201" t="s">
        <v>264</v>
      </c>
      <c r="AF201" t="s">
        <v>264</v>
      </c>
      <c r="AG201">
        <v>31</v>
      </c>
      <c r="AH201" t="s">
        <v>264</v>
      </c>
      <c r="AI201">
        <v>55413988</v>
      </c>
      <c r="AJ201" t="s">
        <v>460</v>
      </c>
      <c r="AL201" t="s">
        <v>264</v>
      </c>
      <c r="AM201" s="6">
        <v>44782</v>
      </c>
      <c r="AN201" t="s">
        <v>461</v>
      </c>
      <c r="AO201" t="s">
        <v>268</v>
      </c>
      <c r="AP201">
        <v>1204</v>
      </c>
      <c r="AQ201" t="s">
        <v>269</v>
      </c>
      <c r="AR201">
        <v>264850</v>
      </c>
      <c r="AU201" t="s">
        <v>264</v>
      </c>
      <c r="AV201" t="s">
        <v>270</v>
      </c>
      <c r="AX201">
        <v>22001008</v>
      </c>
      <c r="AY201">
        <v>630600</v>
      </c>
      <c r="AZ201">
        <v>1204.6306</v>
      </c>
      <c r="BA201" s="28" t="s">
        <v>124</v>
      </c>
    </row>
    <row r="202" spans="1:53">
      <c r="A202" t="s">
        <v>424</v>
      </c>
      <c r="B202" t="s">
        <v>425</v>
      </c>
      <c r="C202">
        <v>22003543</v>
      </c>
      <c r="D202">
        <v>1204</v>
      </c>
      <c r="E202" s="6">
        <v>44782</v>
      </c>
      <c r="F202" t="s">
        <v>460</v>
      </c>
      <c r="G202">
        <v>1.1399999999999999</v>
      </c>
      <c r="H202">
        <v>1.1399999999999999</v>
      </c>
      <c r="I202" t="s">
        <v>263</v>
      </c>
      <c r="J202" t="s">
        <v>263</v>
      </c>
      <c r="L202" s="29">
        <v>16443.84</v>
      </c>
      <c r="N202" s="29">
        <v>16443.84</v>
      </c>
      <c r="O202" t="s">
        <v>264</v>
      </c>
      <c r="Q202" t="s">
        <v>264</v>
      </c>
      <c r="R202" t="s">
        <v>265</v>
      </c>
      <c r="S202">
        <v>14480</v>
      </c>
      <c r="T202" t="s">
        <v>266</v>
      </c>
      <c r="U202" t="s">
        <v>267</v>
      </c>
      <c r="V202" t="s">
        <v>427</v>
      </c>
      <c r="W202" t="s">
        <v>428</v>
      </c>
      <c r="X202">
        <v>1929845</v>
      </c>
      <c r="Y202" s="6">
        <v>44782</v>
      </c>
      <c r="Z202" t="s">
        <v>264</v>
      </c>
      <c r="AA202">
        <v>1</v>
      </c>
      <c r="AB202" t="s">
        <v>264</v>
      </c>
      <c r="AD202" t="s">
        <v>264</v>
      </c>
      <c r="AE202" t="s">
        <v>264</v>
      </c>
      <c r="AF202" t="s">
        <v>264</v>
      </c>
      <c r="AG202">
        <v>4</v>
      </c>
      <c r="AH202" t="s">
        <v>264</v>
      </c>
      <c r="AI202">
        <v>55413988</v>
      </c>
      <c r="AJ202" t="s">
        <v>460</v>
      </c>
      <c r="AL202" t="s">
        <v>264</v>
      </c>
      <c r="AM202" s="6">
        <v>44782</v>
      </c>
      <c r="AN202" t="s">
        <v>461</v>
      </c>
      <c r="AO202" t="s">
        <v>268</v>
      </c>
      <c r="AP202">
        <v>1204</v>
      </c>
      <c r="AQ202" t="s">
        <v>269</v>
      </c>
      <c r="AR202">
        <v>264850</v>
      </c>
      <c r="AU202" t="s">
        <v>264</v>
      </c>
      <c r="AV202" t="s">
        <v>270</v>
      </c>
      <c r="AX202">
        <v>22001008</v>
      </c>
      <c r="AY202">
        <v>630600</v>
      </c>
      <c r="AZ202">
        <v>1204.6306</v>
      </c>
      <c r="BA202" s="28" t="s">
        <v>124</v>
      </c>
    </row>
    <row r="203" spans="1:53">
      <c r="A203" t="s">
        <v>424</v>
      </c>
      <c r="B203" t="s">
        <v>425</v>
      </c>
      <c r="C203">
        <v>22003544</v>
      </c>
      <c r="D203">
        <v>1204</v>
      </c>
      <c r="E203" s="6">
        <v>44782</v>
      </c>
      <c r="F203" t="s">
        <v>460</v>
      </c>
      <c r="G203">
        <v>0.85</v>
      </c>
      <c r="H203">
        <v>0.85</v>
      </c>
      <c r="I203" t="s">
        <v>263</v>
      </c>
      <c r="J203" t="s">
        <v>263</v>
      </c>
      <c r="L203" s="29">
        <v>12332.88</v>
      </c>
      <c r="N203" s="29">
        <v>12332.88</v>
      </c>
      <c r="O203" t="s">
        <v>264</v>
      </c>
      <c r="Q203" t="s">
        <v>264</v>
      </c>
      <c r="R203" t="s">
        <v>265</v>
      </c>
      <c r="S203">
        <v>14480</v>
      </c>
      <c r="T203" t="s">
        <v>266</v>
      </c>
      <c r="U203" t="s">
        <v>267</v>
      </c>
      <c r="V203" t="s">
        <v>427</v>
      </c>
      <c r="W203" t="s">
        <v>428</v>
      </c>
      <c r="X203">
        <v>1929845</v>
      </c>
      <c r="Y203" s="6">
        <v>44782</v>
      </c>
      <c r="Z203" t="s">
        <v>264</v>
      </c>
      <c r="AA203">
        <v>1</v>
      </c>
      <c r="AB203" t="s">
        <v>264</v>
      </c>
      <c r="AD203" t="s">
        <v>264</v>
      </c>
      <c r="AE203" t="s">
        <v>264</v>
      </c>
      <c r="AF203" t="s">
        <v>264</v>
      </c>
      <c r="AG203">
        <v>3</v>
      </c>
      <c r="AH203" t="s">
        <v>264</v>
      </c>
      <c r="AI203">
        <v>55413988</v>
      </c>
      <c r="AJ203" t="s">
        <v>460</v>
      </c>
      <c r="AL203" t="s">
        <v>264</v>
      </c>
      <c r="AM203" s="6">
        <v>44782</v>
      </c>
      <c r="AN203" t="s">
        <v>461</v>
      </c>
      <c r="AO203" t="s">
        <v>268</v>
      </c>
      <c r="AP203">
        <v>1204</v>
      </c>
      <c r="AQ203" t="s">
        <v>269</v>
      </c>
      <c r="AR203">
        <v>264850</v>
      </c>
      <c r="AU203" t="s">
        <v>264</v>
      </c>
      <c r="AV203" t="s">
        <v>270</v>
      </c>
      <c r="AX203">
        <v>22001008</v>
      </c>
      <c r="AY203">
        <v>630600</v>
      </c>
      <c r="AZ203">
        <v>1204.6306</v>
      </c>
      <c r="BA203" s="28" t="s">
        <v>124</v>
      </c>
    </row>
    <row r="204" spans="1:53">
      <c r="A204" t="s">
        <v>424</v>
      </c>
      <c r="B204" t="s">
        <v>425</v>
      </c>
      <c r="C204">
        <v>22003545</v>
      </c>
      <c r="D204">
        <v>1204</v>
      </c>
      <c r="E204" s="6">
        <v>44782</v>
      </c>
      <c r="F204" t="s">
        <v>460</v>
      </c>
      <c r="G204">
        <v>0.28000000000000003</v>
      </c>
      <c r="H204">
        <v>0.28000000000000003</v>
      </c>
      <c r="I204" t="s">
        <v>263</v>
      </c>
      <c r="J204" t="s">
        <v>263</v>
      </c>
      <c r="L204" s="29">
        <v>4110.96</v>
      </c>
      <c r="N204" s="29">
        <v>4110.96</v>
      </c>
      <c r="O204" t="s">
        <v>264</v>
      </c>
      <c r="Q204" t="s">
        <v>264</v>
      </c>
      <c r="R204" t="s">
        <v>265</v>
      </c>
      <c r="S204">
        <v>14480</v>
      </c>
      <c r="T204" t="s">
        <v>266</v>
      </c>
      <c r="U204" t="s">
        <v>267</v>
      </c>
      <c r="V204" t="s">
        <v>427</v>
      </c>
      <c r="W204" t="s">
        <v>428</v>
      </c>
      <c r="X204">
        <v>1929845</v>
      </c>
      <c r="Y204" s="6">
        <v>44782</v>
      </c>
      <c r="Z204" t="s">
        <v>264</v>
      </c>
      <c r="AA204">
        <v>1</v>
      </c>
      <c r="AB204" t="s">
        <v>264</v>
      </c>
      <c r="AD204" t="s">
        <v>264</v>
      </c>
      <c r="AE204" t="s">
        <v>264</v>
      </c>
      <c r="AF204" t="s">
        <v>264</v>
      </c>
      <c r="AG204">
        <v>1</v>
      </c>
      <c r="AH204" t="s">
        <v>264</v>
      </c>
      <c r="AI204">
        <v>55413988</v>
      </c>
      <c r="AJ204" t="s">
        <v>460</v>
      </c>
      <c r="AL204" t="s">
        <v>264</v>
      </c>
      <c r="AM204" s="6">
        <v>44782</v>
      </c>
      <c r="AN204" t="s">
        <v>461</v>
      </c>
      <c r="AO204" t="s">
        <v>268</v>
      </c>
      <c r="AP204">
        <v>1204</v>
      </c>
      <c r="AQ204" t="s">
        <v>269</v>
      </c>
      <c r="AR204">
        <v>264850</v>
      </c>
      <c r="AU204" t="s">
        <v>264</v>
      </c>
      <c r="AV204" t="s">
        <v>270</v>
      </c>
      <c r="AX204">
        <v>22001008</v>
      </c>
      <c r="AY204">
        <v>630600</v>
      </c>
      <c r="AZ204">
        <v>1204.6306</v>
      </c>
      <c r="BA204" s="28" t="s">
        <v>124</v>
      </c>
    </row>
    <row r="205" spans="1:53">
      <c r="A205" t="s">
        <v>424</v>
      </c>
      <c r="B205" t="s">
        <v>425</v>
      </c>
      <c r="C205">
        <v>22003546</v>
      </c>
      <c r="D205">
        <v>1204</v>
      </c>
      <c r="E205" s="6">
        <v>44782</v>
      </c>
      <c r="F205" t="s">
        <v>460</v>
      </c>
      <c r="G205">
        <v>0.85</v>
      </c>
      <c r="H205">
        <v>0.85</v>
      </c>
      <c r="I205" t="s">
        <v>263</v>
      </c>
      <c r="J205" t="s">
        <v>263</v>
      </c>
      <c r="L205" s="29">
        <v>12332.88</v>
      </c>
      <c r="N205" s="29">
        <v>12332.88</v>
      </c>
      <c r="O205" t="s">
        <v>264</v>
      </c>
      <c r="Q205" t="s">
        <v>264</v>
      </c>
      <c r="R205" t="s">
        <v>265</v>
      </c>
      <c r="S205">
        <v>14480</v>
      </c>
      <c r="T205" t="s">
        <v>266</v>
      </c>
      <c r="U205" t="s">
        <v>267</v>
      </c>
      <c r="V205" t="s">
        <v>427</v>
      </c>
      <c r="W205" t="s">
        <v>428</v>
      </c>
      <c r="X205">
        <v>1929845</v>
      </c>
      <c r="Y205" s="6">
        <v>44782</v>
      </c>
      <c r="Z205" t="s">
        <v>264</v>
      </c>
      <c r="AA205">
        <v>1</v>
      </c>
      <c r="AB205" t="s">
        <v>264</v>
      </c>
      <c r="AD205" t="s">
        <v>264</v>
      </c>
      <c r="AE205" t="s">
        <v>264</v>
      </c>
      <c r="AF205" t="s">
        <v>264</v>
      </c>
      <c r="AG205">
        <v>3</v>
      </c>
      <c r="AH205" t="s">
        <v>264</v>
      </c>
      <c r="AI205">
        <v>55413988</v>
      </c>
      <c r="AJ205" t="s">
        <v>460</v>
      </c>
      <c r="AL205" t="s">
        <v>264</v>
      </c>
      <c r="AM205" s="6">
        <v>44782</v>
      </c>
      <c r="AN205" t="s">
        <v>461</v>
      </c>
      <c r="AO205" t="s">
        <v>268</v>
      </c>
      <c r="AP205">
        <v>1204</v>
      </c>
      <c r="AQ205" t="s">
        <v>269</v>
      </c>
      <c r="AR205">
        <v>264850</v>
      </c>
      <c r="AU205" t="s">
        <v>264</v>
      </c>
      <c r="AV205" t="s">
        <v>270</v>
      </c>
      <c r="AX205">
        <v>22001008</v>
      </c>
      <c r="AY205">
        <v>630600</v>
      </c>
      <c r="AZ205">
        <v>1204.6306</v>
      </c>
      <c r="BA205" s="28" t="s">
        <v>124</v>
      </c>
    </row>
    <row r="206" spans="1:53">
      <c r="A206" t="s">
        <v>424</v>
      </c>
      <c r="B206" t="s">
        <v>425</v>
      </c>
      <c r="C206">
        <v>22003547</v>
      </c>
      <c r="D206">
        <v>1204</v>
      </c>
      <c r="E206" s="6">
        <v>44782</v>
      </c>
      <c r="F206" t="s">
        <v>460</v>
      </c>
      <c r="G206">
        <v>0.85</v>
      </c>
      <c r="H206">
        <v>0.85</v>
      </c>
      <c r="I206" t="s">
        <v>263</v>
      </c>
      <c r="J206" t="s">
        <v>263</v>
      </c>
      <c r="L206" s="29">
        <v>12332.88</v>
      </c>
      <c r="N206" s="29">
        <v>12332.88</v>
      </c>
      <c r="O206" t="s">
        <v>264</v>
      </c>
      <c r="Q206" t="s">
        <v>264</v>
      </c>
      <c r="R206" t="s">
        <v>265</v>
      </c>
      <c r="S206">
        <v>14480</v>
      </c>
      <c r="T206" t="s">
        <v>266</v>
      </c>
      <c r="U206" t="s">
        <v>267</v>
      </c>
      <c r="V206" t="s">
        <v>427</v>
      </c>
      <c r="W206" t="s">
        <v>428</v>
      </c>
      <c r="X206">
        <v>1929845</v>
      </c>
      <c r="Y206" s="6">
        <v>44782</v>
      </c>
      <c r="Z206" t="s">
        <v>264</v>
      </c>
      <c r="AA206">
        <v>1</v>
      </c>
      <c r="AB206" t="s">
        <v>264</v>
      </c>
      <c r="AD206" t="s">
        <v>264</v>
      </c>
      <c r="AE206" t="s">
        <v>264</v>
      </c>
      <c r="AF206" t="s">
        <v>264</v>
      </c>
      <c r="AG206">
        <v>3</v>
      </c>
      <c r="AH206" t="s">
        <v>264</v>
      </c>
      <c r="AI206">
        <v>55413988</v>
      </c>
      <c r="AJ206" t="s">
        <v>460</v>
      </c>
      <c r="AL206" t="s">
        <v>264</v>
      </c>
      <c r="AM206" s="6">
        <v>44782</v>
      </c>
      <c r="AN206" t="s">
        <v>461</v>
      </c>
      <c r="AO206" t="s">
        <v>268</v>
      </c>
      <c r="AP206">
        <v>1204</v>
      </c>
      <c r="AQ206" t="s">
        <v>269</v>
      </c>
      <c r="AR206">
        <v>264850</v>
      </c>
      <c r="AU206" t="s">
        <v>264</v>
      </c>
      <c r="AV206" t="s">
        <v>270</v>
      </c>
      <c r="AX206">
        <v>22001008</v>
      </c>
      <c r="AY206">
        <v>630600</v>
      </c>
      <c r="AZ206">
        <v>1204.6306</v>
      </c>
      <c r="BA206" s="28" t="s">
        <v>124</v>
      </c>
    </row>
    <row r="207" spans="1:53">
      <c r="A207" t="s">
        <v>424</v>
      </c>
      <c r="B207" t="s">
        <v>425</v>
      </c>
      <c r="C207">
        <v>22003548</v>
      </c>
      <c r="D207">
        <v>1204</v>
      </c>
      <c r="E207" s="6">
        <v>44782</v>
      </c>
      <c r="F207" t="s">
        <v>460</v>
      </c>
      <c r="G207">
        <v>1.1000000000000001</v>
      </c>
      <c r="H207">
        <v>1.1000000000000001</v>
      </c>
      <c r="I207" t="s">
        <v>263</v>
      </c>
      <c r="J207" t="s">
        <v>263</v>
      </c>
      <c r="L207" s="29">
        <v>15856.56</v>
      </c>
      <c r="N207" s="29">
        <v>15856.56</v>
      </c>
      <c r="O207" t="s">
        <v>264</v>
      </c>
      <c r="Q207" t="s">
        <v>264</v>
      </c>
      <c r="R207" t="s">
        <v>265</v>
      </c>
      <c r="S207">
        <v>14480</v>
      </c>
      <c r="T207" t="s">
        <v>266</v>
      </c>
      <c r="U207" t="s">
        <v>267</v>
      </c>
      <c r="V207" t="s">
        <v>427</v>
      </c>
      <c r="W207" t="s">
        <v>428</v>
      </c>
      <c r="X207">
        <v>1929851</v>
      </c>
      <c r="Y207" s="6">
        <v>44782</v>
      </c>
      <c r="Z207" t="s">
        <v>264</v>
      </c>
      <c r="AA207">
        <v>1</v>
      </c>
      <c r="AB207" t="s">
        <v>264</v>
      </c>
      <c r="AD207" t="s">
        <v>264</v>
      </c>
      <c r="AE207" t="s">
        <v>264</v>
      </c>
      <c r="AF207" t="s">
        <v>264</v>
      </c>
      <c r="AG207">
        <v>4</v>
      </c>
      <c r="AH207" t="s">
        <v>264</v>
      </c>
      <c r="AI207">
        <v>55413988</v>
      </c>
      <c r="AJ207" t="s">
        <v>460</v>
      </c>
      <c r="AL207" t="s">
        <v>264</v>
      </c>
      <c r="AM207" s="6">
        <v>44782</v>
      </c>
      <c r="AN207" t="s">
        <v>461</v>
      </c>
      <c r="AO207" t="s">
        <v>268</v>
      </c>
      <c r="AP207">
        <v>1204</v>
      </c>
      <c r="AQ207" t="s">
        <v>269</v>
      </c>
      <c r="AR207">
        <v>264850</v>
      </c>
      <c r="AU207" t="s">
        <v>264</v>
      </c>
      <c r="AV207" t="s">
        <v>270</v>
      </c>
      <c r="AX207">
        <v>22001008</v>
      </c>
      <c r="AY207">
        <v>630600</v>
      </c>
      <c r="AZ207">
        <v>1204.6306</v>
      </c>
      <c r="BA207" s="28" t="s">
        <v>124</v>
      </c>
    </row>
    <row r="208" spans="1:53">
      <c r="A208" t="s">
        <v>424</v>
      </c>
      <c r="B208" t="s">
        <v>425</v>
      </c>
      <c r="C208">
        <v>22003549</v>
      </c>
      <c r="D208">
        <v>1204</v>
      </c>
      <c r="E208" s="6">
        <v>44782</v>
      </c>
      <c r="F208" t="s">
        <v>460</v>
      </c>
      <c r="G208">
        <v>1.1000000000000001</v>
      </c>
      <c r="H208">
        <v>1.1000000000000001</v>
      </c>
      <c r="I208" t="s">
        <v>263</v>
      </c>
      <c r="J208" t="s">
        <v>263</v>
      </c>
      <c r="L208" s="29">
        <v>15856.56</v>
      </c>
      <c r="N208" s="29">
        <v>15856.56</v>
      </c>
      <c r="O208" t="s">
        <v>264</v>
      </c>
      <c r="Q208" t="s">
        <v>264</v>
      </c>
      <c r="R208" t="s">
        <v>265</v>
      </c>
      <c r="S208">
        <v>14480</v>
      </c>
      <c r="T208" t="s">
        <v>266</v>
      </c>
      <c r="U208" t="s">
        <v>267</v>
      </c>
      <c r="V208" t="s">
        <v>427</v>
      </c>
      <c r="W208" t="s">
        <v>428</v>
      </c>
      <c r="X208">
        <v>1929851</v>
      </c>
      <c r="Y208" s="6">
        <v>44782</v>
      </c>
      <c r="Z208" t="s">
        <v>264</v>
      </c>
      <c r="AA208">
        <v>1</v>
      </c>
      <c r="AB208" t="s">
        <v>264</v>
      </c>
      <c r="AD208" t="s">
        <v>264</v>
      </c>
      <c r="AE208" t="s">
        <v>264</v>
      </c>
      <c r="AF208" t="s">
        <v>264</v>
      </c>
      <c r="AG208">
        <v>4</v>
      </c>
      <c r="AH208" t="s">
        <v>264</v>
      </c>
      <c r="AI208">
        <v>55413988</v>
      </c>
      <c r="AJ208" t="s">
        <v>460</v>
      </c>
      <c r="AL208" t="s">
        <v>264</v>
      </c>
      <c r="AM208" s="6">
        <v>44782</v>
      </c>
      <c r="AN208" t="s">
        <v>461</v>
      </c>
      <c r="AO208" t="s">
        <v>268</v>
      </c>
      <c r="AP208">
        <v>1204</v>
      </c>
      <c r="AQ208" t="s">
        <v>269</v>
      </c>
      <c r="AR208">
        <v>264850</v>
      </c>
      <c r="AU208" t="s">
        <v>264</v>
      </c>
      <c r="AV208" t="s">
        <v>270</v>
      </c>
      <c r="AX208">
        <v>22001008</v>
      </c>
      <c r="AY208">
        <v>630600</v>
      </c>
      <c r="AZ208">
        <v>1204.6306</v>
      </c>
      <c r="BA208" s="28" t="s">
        <v>124</v>
      </c>
    </row>
    <row r="209" spans="1:53">
      <c r="A209" t="s">
        <v>424</v>
      </c>
      <c r="B209" t="s">
        <v>425</v>
      </c>
      <c r="C209">
        <v>22003550</v>
      </c>
      <c r="D209">
        <v>1204</v>
      </c>
      <c r="E209" s="6">
        <v>44782</v>
      </c>
      <c r="F209" t="s">
        <v>460</v>
      </c>
      <c r="G209">
        <v>610.03</v>
      </c>
      <c r="H209">
        <v>610.03</v>
      </c>
      <c r="I209" t="s">
        <v>263</v>
      </c>
      <c r="J209" t="s">
        <v>263</v>
      </c>
      <c r="L209" s="29">
        <v>8832103.9199999999</v>
      </c>
      <c r="N209" s="29">
        <v>8832103.9199999999</v>
      </c>
      <c r="O209" t="s">
        <v>264</v>
      </c>
      <c r="Q209" t="s">
        <v>264</v>
      </c>
      <c r="R209" t="s">
        <v>265</v>
      </c>
      <c r="S209">
        <v>14480</v>
      </c>
      <c r="T209" t="s">
        <v>266</v>
      </c>
      <c r="U209" t="s">
        <v>267</v>
      </c>
      <c r="V209" t="s">
        <v>427</v>
      </c>
      <c r="W209" t="s">
        <v>428</v>
      </c>
      <c r="X209">
        <v>1929851</v>
      </c>
      <c r="Y209" s="6">
        <v>44782</v>
      </c>
      <c r="Z209" t="s">
        <v>264</v>
      </c>
      <c r="AA209">
        <v>1</v>
      </c>
      <c r="AB209" t="s">
        <v>264</v>
      </c>
      <c r="AD209" t="s">
        <v>264</v>
      </c>
      <c r="AE209" t="s">
        <v>264</v>
      </c>
      <c r="AF209" t="s">
        <v>264</v>
      </c>
      <c r="AG209" s="29">
        <v>2228</v>
      </c>
      <c r="AH209" t="s">
        <v>264</v>
      </c>
      <c r="AI209">
        <v>55413988</v>
      </c>
      <c r="AJ209" t="s">
        <v>460</v>
      </c>
      <c r="AL209" t="s">
        <v>264</v>
      </c>
      <c r="AM209" s="6">
        <v>44782</v>
      </c>
      <c r="AN209" t="s">
        <v>461</v>
      </c>
      <c r="AO209" t="s">
        <v>268</v>
      </c>
      <c r="AP209">
        <v>1204</v>
      </c>
      <c r="AQ209" t="s">
        <v>269</v>
      </c>
      <c r="AR209">
        <v>264850</v>
      </c>
      <c r="AU209" t="s">
        <v>264</v>
      </c>
      <c r="AV209" t="s">
        <v>270</v>
      </c>
      <c r="AX209">
        <v>22001008</v>
      </c>
      <c r="AY209">
        <v>630600</v>
      </c>
      <c r="AZ209">
        <v>1204.6306</v>
      </c>
      <c r="BA209" s="28" t="s">
        <v>124</v>
      </c>
    </row>
    <row r="210" spans="1:53">
      <c r="A210" t="s">
        <v>424</v>
      </c>
      <c r="B210" t="s">
        <v>425</v>
      </c>
      <c r="C210">
        <v>22003551</v>
      </c>
      <c r="D210">
        <v>1204</v>
      </c>
      <c r="E210" s="6">
        <v>44782</v>
      </c>
      <c r="F210" t="s">
        <v>460</v>
      </c>
      <c r="G210">
        <v>101.85</v>
      </c>
      <c r="H210">
        <v>101.85</v>
      </c>
      <c r="I210" t="s">
        <v>263</v>
      </c>
      <c r="J210" t="s">
        <v>263</v>
      </c>
      <c r="L210" s="29">
        <v>1474660.08</v>
      </c>
      <c r="N210" s="29">
        <v>1474660.08</v>
      </c>
      <c r="O210" t="s">
        <v>264</v>
      </c>
      <c r="Q210" t="s">
        <v>264</v>
      </c>
      <c r="R210" t="s">
        <v>265</v>
      </c>
      <c r="S210">
        <v>14480</v>
      </c>
      <c r="T210" t="s">
        <v>266</v>
      </c>
      <c r="U210" t="s">
        <v>267</v>
      </c>
      <c r="V210" t="s">
        <v>427</v>
      </c>
      <c r="W210" t="s">
        <v>428</v>
      </c>
      <c r="X210">
        <v>1929851</v>
      </c>
      <c r="Y210" s="6">
        <v>44782</v>
      </c>
      <c r="Z210" t="s">
        <v>264</v>
      </c>
      <c r="AA210">
        <v>1</v>
      </c>
      <c r="AB210" t="s">
        <v>264</v>
      </c>
      <c r="AD210" t="s">
        <v>264</v>
      </c>
      <c r="AE210" t="s">
        <v>264</v>
      </c>
      <c r="AF210" t="s">
        <v>264</v>
      </c>
      <c r="AG210">
        <v>372</v>
      </c>
      <c r="AH210" t="s">
        <v>264</v>
      </c>
      <c r="AI210">
        <v>55413988</v>
      </c>
      <c r="AJ210" t="s">
        <v>460</v>
      </c>
      <c r="AL210" t="s">
        <v>264</v>
      </c>
      <c r="AM210" s="6">
        <v>44782</v>
      </c>
      <c r="AN210" t="s">
        <v>461</v>
      </c>
      <c r="AO210" t="s">
        <v>268</v>
      </c>
      <c r="AP210">
        <v>1204</v>
      </c>
      <c r="AQ210" t="s">
        <v>269</v>
      </c>
      <c r="AR210">
        <v>264850</v>
      </c>
      <c r="AU210" t="s">
        <v>264</v>
      </c>
      <c r="AV210" t="s">
        <v>270</v>
      </c>
      <c r="AX210">
        <v>22001008</v>
      </c>
      <c r="AY210">
        <v>630600</v>
      </c>
      <c r="AZ210">
        <v>1204.6306</v>
      </c>
      <c r="BA210" s="28" t="s">
        <v>124</v>
      </c>
    </row>
    <row r="211" spans="1:53">
      <c r="A211" t="s">
        <v>424</v>
      </c>
      <c r="B211" t="s">
        <v>425</v>
      </c>
      <c r="C211">
        <v>22003552</v>
      </c>
      <c r="D211">
        <v>1204</v>
      </c>
      <c r="E211" s="6">
        <v>44782</v>
      </c>
      <c r="F211" t="s">
        <v>460</v>
      </c>
      <c r="G211">
        <v>410.7</v>
      </c>
      <c r="H211">
        <v>410.7</v>
      </c>
      <c r="I211" t="s">
        <v>263</v>
      </c>
      <c r="J211" t="s">
        <v>263</v>
      </c>
      <c r="L211" s="29">
        <v>5946210</v>
      </c>
      <c r="N211" s="29">
        <v>5946210</v>
      </c>
      <c r="O211" t="s">
        <v>264</v>
      </c>
      <c r="Q211" t="s">
        <v>264</v>
      </c>
      <c r="R211" t="s">
        <v>265</v>
      </c>
      <c r="S211">
        <v>14480</v>
      </c>
      <c r="T211" t="s">
        <v>266</v>
      </c>
      <c r="U211" t="s">
        <v>267</v>
      </c>
      <c r="V211" t="s">
        <v>427</v>
      </c>
      <c r="W211" t="s">
        <v>428</v>
      </c>
      <c r="X211">
        <v>1929851</v>
      </c>
      <c r="Y211" s="6">
        <v>44782</v>
      </c>
      <c r="Z211" t="s">
        <v>264</v>
      </c>
      <c r="AA211">
        <v>1</v>
      </c>
      <c r="AB211" t="s">
        <v>264</v>
      </c>
      <c r="AD211" t="s">
        <v>264</v>
      </c>
      <c r="AE211" t="s">
        <v>264</v>
      </c>
      <c r="AF211" t="s">
        <v>264</v>
      </c>
      <c r="AG211" s="29">
        <v>1500</v>
      </c>
      <c r="AH211" t="s">
        <v>264</v>
      </c>
      <c r="AI211">
        <v>55413988</v>
      </c>
      <c r="AJ211" t="s">
        <v>460</v>
      </c>
      <c r="AL211" t="s">
        <v>264</v>
      </c>
      <c r="AM211" s="6">
        <v>44782</v>
      </c>
      <c r="AN211" t="s">
        <v>461</v>
      </c>
      <c r="AO211" t="s">
        <v>268</v>
      </c>
      <c r="AP211">
        <v>1204</v>
      </c>
      <c r="AQ211" t="s">
        <v>269</v>
      </c>
      <c r="AR211">
        <v>264850</v>
      </c>
      <c r="AU211" t="s">
        <v>264</v>
      </c>
      <c r="AV211" t="s">
        <v>270</v>
      </c>
      <c r="AX211">
        <v>22001008</v>
      </c>
      <c r="AY211">
        <v>630600</v>
      </c>
      <c r="AZ211">
        <v>1204.6306</v>
      </c>
      <c r="BA211" s="28" t="s">
        <v>124</v>
      </c>
    </row>
    <row r="212" spans="1:53">
      <c r="A212" t="s">
        <v>424</v>
      </c>
      <c r="B212" t="s">
        <v>425</v>
      </c>
      <c r="C212">
        <v>22003553</v>
      </c>
      <c r="D212">
        <v>1204</v>
      </c>
      <c r="E212" s="6">
        <v>44782</v>
      </c>
      <c r="F212" t="s">
        <v>460</v>
      </c>
      <c r="G212">
        <v>30.67</v>
      </c>
      <c r="H212">
        <v>30.67</v>
      </c>
      <c r="I212" t="s">
        <v>263</v>
      </c>
      <c r="J212" t="s">
        <v>263</v>
      </c>
      <c r="L212" s="29">
        <v>443983.68</v>
      </c>
      <c r="N212" s="29">
        <v>443983.68</v>
      </c>
      <c r="O212" t="s">
        <v>264</v>
      </c>
      <c r="Q212" t="s">
        <v>264</v>
      </c>
      <c r="R212" t="s">
        <v>265</v>
      </c>
      <c r="S212">
        <v>14480</v>
      </c>
      <c r="T212" t="s">
        <v>266</v>
      </c>
      <c r="U212" t="s">
        <v>267</v>
      </c>
      <c r="V212" t="s">
        <v>427</v>
      </c>
      <c r="W212" t="s">
        <v>428</v>
      </c>
      <c r="X212">
        <v>1929851</v>
      </c>
      <c r="Y212" s="6">
        <v>44782</v>
      </c>
      <c r="Z212" t="s">
        <v>264</v>
      </c>
      <c r="AA212">
        <v>1</v>
      </c>
      <c r="AB212" t="s">
        <v>264</v>
      </c>
      <c r="AD212" t="s">
        <v>264</v>
      </c>
      <c r="AE212" t="s">
        <v>264</v>
      </c>
      <c r="AF212" t="s">
        <v>264</v>
      </c>
      <c r="AG212">
        <v>112</v>
      </c>
      <c r="AH212" t="s">
        <v>264</v>
      </c>
      <c r="AI212">
        <v>55413988</v>
      </c>
      <c r="AJ212" t="s">
        <v>460</v>
      </c>
      <c r="AL212" t="s">
        <v>264</v>
      </c>
      <c r="AM212" s="6">
        <v>44782</v>
      </c>
      <c r="AN212" t="s">
        <v>461</v>
      </c>
      <c r="AO212" t="s">
        <v>268</v>
      </c>
      <c r="AP212">
        <v>1204</v>
      </c>
      <c r="AQ212" t="s">
        <v>269</v>
      </c>
      <c r="AR212">
        <v>264850</v>
      </c>
      <c r="AU212" t="s">
        <v>264</v>
      </c>
      <c r="AV212" t="s">
        <v>270</v>
      </c>
      <c r="AX212">
        <v>22001008</v>
      </c>
      <c r="AY212">
        <v>630600</v>
      </c>
      <c r="AZ212">
        <v>1204.6306</v>
      </c>
      <c r="BA212" s="28" t="s">
        <v>124</v>
      </c>
    </row>
    <row r="213" spans="1:53">
      <c r="A213" t="s">
        <v>424</v>
      </c>
      <c r="B213" t="s">
        <v>425</v>
      </c>
      <c r="C213">
        <v>22003554</v>
      </c>
      <c r="D213">
        <v>1204</v>
      </c>
      <c r="E213" s="6">
        <v>44782</v>
      </c>
      <c r="F213" t="s">
        <v>460</v>
      </c>
      <c r="G213">
        <v>463.27</v>
      </c>
      <c r="H213">
        <v>463.27</v>
      </c>
      <c r="I213" t="s">
        <v>263</v>
      </c>
      <c r="J213" t="s">
        <v>263</v>
      </c>
      <c r="L213" s="29">
        <v>6707324.8799999999</v>
      </c>
      <c r="N213" s="29">
        <v>6707324.8799999999</v>
      </c>
      <c r="O213" t="s">
        <v>264</v>
      </c>
      <c r="Q213" t="s">
        <v>264</v>
      </c>
      <c r="R213" t="s">
        <v>265</v>
      </c>
      <c r="S213">
        <v>14480</v>
      </c>
      <c r="T213" t="s">
        <v>266</v>
      </c>
      <c r="U213" t="s">
        <v>267</v>
      </c>
      <c r="V213" t="s">
        <v>427</v>
      </c>
      <c r="W213" t="s">
        <v>428</v>
      </c>
      <c r="X213">
        <v>1929851</v>
      </c>
      <c r="Y213" s="6">
        <v>44782</v>
      </c>
      <c r="Z213" t="s">
        <v>264</v>
      </c>
      <c r="AA213">
        <v>1</v>
      </c>
      <c r="AB213" t="s">
        <v>264</v>
      </c>
      <c r="AD213" t="s">
        <v>264</v>
      </c>
      <c r="AE213" t="s">
        <v>264</v>
      </c>
      <c r="AF213" t="s">
        <v>264</v>
      </c>
      <c r="AG213" s="29">
        <v>1692</v>
      </c>
      <c r="AH213" t="s">
        <v>264</v>
      </c>
      <c r="AI213">
        <v>55413988</v>
      </c>
      <c r="AJ213" t="s">
        <v>460</v>
      </c>
      <c r="AL213" t="s">
        <v>264</v>
      </c>
      <c r="AM213" s="6">
        <v>44782</v>
      </c>
      <c r="AN213" t="s">
        <v>461</v>
      </c>
      <c r="AO213" t="s">
        <v>268</v>
      </c>
      <c r="AP213">
        <v>1204</v>
      </c>
      <c r="AQ213" t="s">
        <v>269</v>
      </c>
      <c r="AR213">
        <v>264850</v>
      </c>
      <c r="AU213" t="s">
        <v>264</v>
      </c>
      <c r="AV213" t="s">
        <v>270</v>
      </c>
      <c r="AX213">
        <v>22001008</v>
      </c>
      <c r="AY213">
        <v>630600</v>
      </c>
      <c r="AZ213">
        <v>1204.6306</v>
      </c>
      <c r="BA213" s="28" t="s">
        <v>124</v>
      </c>
    </row>
    <row r="214" spans="1:53">
      <c r="A214" t="s">
        <v>424</v>
      </c>
      <c r="B214" t="s">
        <v>425</v>
      </c>
      <c r="C214">
        <v>22003555</v>
      </c>
      <c r="D214">
        <v>1204</v>
      </c>
      <c r="E214" s="6">
        <v>44782</v>
      </c>
      <c r="F214" t="s">
        <v>460</v>
      </c>
      <c r="G214">
        <v>101.85</v>
      </c>
      <c r="H214">
        <v>101.85</v>
      </c>
      <c r="I214" t="s">
        <v>263</v>
      </c>
      <c r="J214" t="s">
        <v>263</v>
      </c>
      <c r="L214" s="29">
        <v>1474660.08</v>
      </c>
      <c r="N214" s="29">
        <v>1474660.08</v>
      </c>
      <c r="O214" t="s">
        <v>264</v>
      </c>
      <c r="Q214" t="s">
        <v>264</v>
      </c>
      <c r="R214" t="s">
        <v>265</v>
      </c>
      <c r="S214">
        <v>14480</v>
      </c>
      <c r="T214" t="s">
        <v>266</v>
      </c>
      <c r="U214" t="s">
        <v>267</v>
      </c>
      <c r="V214" t="s">
        <v>427</v>
      </c>
      <c r="W214" t="s">
        <v>428</v>
      </c>
      <c r="X214">
        <v>1929851</v>
      </c>
      <c r="Y214" s="6">
        <v>44782</v>
      </c>
      <c r="Z214" t="s">
        <v>264</v>
      </c>
      <c r="AA214">
        <v>1</v>
      </c>
      <c r="AB214" t="s">
        <v>264</v>
      </c>
      <c r="AD214" t="s">
        <v>264</v>
      </c>
      <c r="AE214" t="s">
        <v>264</v>
      </c>
      <c r="AF214" t="s">
        <v>264</v>
      </c>
      <c r="AG214">
        <v>372</v>
      </c>
      <c r="AH214" t="s">
        <v>264</v>
      </c>
      <c r="AI214">
        <v>55413988</v>
      </c>
      <c r="AJ214" t="s">
        <v>460</v>
      </c>
      <c r="AL214" t="s">
        <v>264</v>
      </c>
      <c r="AM214" s="6">
        <v>44782</v>
      </c>
      <c r="AN214" t="s">
        <v>461</v>
      </c>
      <c r="AO214" t="s">
        <v>268</v>
      </c>
      <c r="AP214">
        <v>1204</v>
      </c>
      <c r="AQ214" t="s">
        <v>269</v>
      </c>
      <c r="AR214">
        <v>264850</v>
      </c>
      <c r="AU214" t="s">
        <v>264</v>
      </c>
      <c r="AV214" t="s">
        <v>270</v>
      </c>
      <c r="AX214">
        <v>22001008</v>
      </c>
      <c r="AY214">
        <v>630600</v>
      </c>
      <c r="AZ214">
        <v>1204.6306</v>
      </c>
      <c r="BA214" s="28" t="s">
        <v>124</v>
      </c>
    </row>
    <row r="215" spans="1:53">
      <c r="A215" t="s">
        <v>424</v>
      </c>
      <c r="B215" t="s">
        <v>425</v>
      </c>
      <c r="C215">
        <v>22003556</v>
      </c>
      <c r="D215">
        <v>1204</v>
      </c>
      <c r="E215" s="6">
        <v>44782</v>
      </c>
      <c r="F215" t="s">
        <v>460</v>
      </c>
      <c r="G215">
        <v>101.85</v>
      </c>
      <c r="H215">
        <v>101.85</v>
      </c>
      <c r="I215" t="s">
        <v>263</v>
      </c>
      <c r="J215" t="s">
        <v>263</v>
      </c>
      <c r="L215" s="29">
        <v>1474660.08</v>
      </c>
      <c r="N215" s="29">
        <v>1474660.08</v>
      </c>
      <c r="O215" t="s">
        <v>264</v>
      </c>
      <c r="Q215" t="s">
        <v>264</v>
      </c>
      <c r="R215" t="s">
        <v>265</v>
      </c>
      <c r="S215">
        <v>14480</v>
      </c>
      <c r="T215" t="s">
        <v>266</v>
      </c>
      <c r="U215" t="s">
        <v>267</v>
      </c>
      <c r="V215" t="s">
        <v>427</v>
      </c>
      <c r="W215" t="s">
        <v>428</v>
      </c>
      <c r="X215">
        <v>1929851</v>
      </c>
      <c r="Y215" s="6">
        <v>44782</v>
      </c>
      <c r="Z215" t="s">
        <v>264</v>
      </c>
      <c r="AA215">
        <v>1</v>
      </c>
      <c r="AB215" t="s">
        <v>264</v>
      </c>
      <c r="AD215" t="s">
        <v>264</v>
      </c>
      <c r="AE215" t="s">
        <v>264</v>
      </c>
      <c r="AF215" t="s">
        <v>264</v>
      </c>
      <c r="AG215">
        <v>372</v>
      </c>
      <c r="AH215" t="s">
        <v>264</v>
      </c>
      <c r="AI215">
        <v>55413988</v>
      </c>
      <c r="AJ215" t="s">
        <v>460</v>
      </c>
      <c r="AL215" t="s">
        <v>264</v>
      </c>
      <c r="AM215" s="6">
        <v>44782</v>
      </c>
      <c r="AN215" t="s">
        <v>461</v>
      </c>
      <c r="AO215" t="s">
        <v>268</v>
      </c>
      <c r="AP215">
        <v>1204</v>
      </c>
      <c r="AQ215" t="s">
        <v>269</v>
      </c>
      <c r="AR215">
        <v>264850</v>
      </c>
      <c r="AU215" t="s">
        <v>264</v>
      </c>
      <c r="AV215" t="s">
        <v>270</v>
      </c>
      <c r="AX215">
        <v>22001008</v>
      </c>
      <c r="AY215">
        <v>630600</v>
      </c>
      <c r="AZ215">
        <v>1204.6306</v>
      </c>
      <c r="BA215" s="28" t="s">
        <v>124</v>
      </c>
    </row>
    <row r="216" spans="1:53">
      <c r="A216" t="s">
        <v>424</v>
      </c>
      <c r="B216" t="s">
        <v>425</v>
      </c>
      <c r="C216">
        <v>22003557</v>
      </c>
      <c r="D216">
        <v>1204</v>
      </c>
      <c r="E216" s="6">
        <v>44782</v>
      </c>
      <c r="F216" t="s">
        <v>460</v>
      </c>
      <c r="G216">
        <v>20.260000000000002</v>
      </c>
      <c r="H216">
        <v>20.260000000000002</v>
      </c>
      <c r="I216" t="s">
        <v>263</v>
      </c>
      <c r="J216" t="s">
        <v>263</v>
      </c>
      <c r="L216" s="29">
        <v>293346.36</v>
      </c>
      <c r="N216" s="29">
        <v>293346.36</v>
      </c>
      <c r="O216" t="s">
        <v>264</v>
      </c>
      <c r="Q216" t="s">
        <v>264</v>
      </c>
      <c r="R216" t="s">
        <v>265</v>
      </c>
      <c r="S216">
        <v>14480</v>
      </c>
      <c r="T216" t="s">
        <v>266</v>
      </c>
      <c r="U216" t="s">
        <v>267</v>
      </c>
      <c r="V216" t="s">
        <v>427</v>
      </c>
      <c r="W216" t="s">
        <v>428</v>
      </c>
      <c r="X216">
        <v>1929851</v>
      </c>
      <c r="Y216" s="6">
        <v>44782</v>
      </c>
      <c r="Z216" t="s">
        <v>264</v>
      </c>
      <c r="AA216">
        <v>1</v>
      </c>
      <c r="AB216" t="s">
        <v>264</v>
      </c>
      <c r="AD216" t="s">
        <v>264</v>
      </c>
      <c r="AE216" t="s">
        <v>264</v>
      </c>
      <c r="AF216" t="s">
        <v>264</v>
      </c>
      <c r="AG216">
        <v>74</v>
      </c>
      <c r="AH216" t="s">
        <v>264</v>
      </c>
      <c r="AI216">
        <v>55413988</v>
      </c>
      <c r="AJ216" t="s">
        <v>460</v>
      </c>
      <c r="AL216" t="s">
        <v>264</v>
      </c>
      <c r="AM216" s="6">
        <v>44782</v>
      </c>
      <c r="AN216" t="s">
        <v>461</v>
      </c>
      <c r="AO216" t="s">
        <v>268</v>
      </c>
      <c r="AP216">
        <v>1204</v>
      </c>
      <c r="AQ216" t="s">
        <v>269</v>
      </c>
      <c r="AR216">
        <v>264850</v>
      </c>
      <c r="AU216" t="s">
        <v>264</v>
      </c>
      <c r="AV216" t="s">
        <v>270</v>
      </c>
      <c r="AX216">
        <v>22001008</v>
      </c>
      <c r="AY216">
        <v>630600</v>
      </c>
      <c r="AZ216">
        <v>1204.6306</v>
      </c>
      <c r="BA216" s="28" t="s">
        <v>124</v>
      </c>
    </row>
    <row r="217" spans="1:53">
      <c r="A217" t="s">
        <v>424</v>
      </c>
      <c r="B217" t="s">
        <v>425</v>
      </c>
      <c r="C217">
        <v>22003558</v>
      </c>
      <c r="D217">
        <v>1204</v>
      </c>
      <c r="E217" s="6">
        <v>44782</v>
      </c>
      <c r="F217" t="s">
        <v>460</v>
      </c>
      <c r="G217">
        <v>463.27</v>
      </c>
      <c r="H217">
        <v>463.27</v>
      </c>
      <c r="I217" t="s">
        <v>263</v>
      </c>
      <c r="J217" t="s">
        <v>263</v>
      </c>
      <c r="L217" s="29">
        <v>6707324.8799999999</v>
      </c>
      <c r="N217" s="29">
        <v>6707324.8799999999</v>
      </c>
      <c r="O217" t="s">
        <v>264</v>
      </c>
      <c r="Q217" t="s">
        <v>264</v>
      </c>
      <c r="R217" t="s">
        <v>265</v>
      </c>
      <c r="S217">
        <v>14480</v>
      </c>
      <c r="T217" t="s">
        <v>266</v>
      </c>
      <c r="U217" t="s">
        <v>267</v>
      </c>
      <c r="V217" t="s">
        <v>427</v>
      </c>
      <c r="W217" t="s">
        <v>428</v>
      </c>
      <c r="X217">
        <v>1929851</v>
      </c>
      <c r="Y217" s="6">
        <v>44782</v>
      </c>
      <c r="Z217" t="s">
        <v>264</v>
      </c>
      <c r="AA217">
        <v>1</v>
      </c>
      <c r="AB217" t="s">
        <v>264</v>
      </c>
      <c r="AD217" t="s">
        <v>264</v>
      </c>
      <c r="AE217" t="s">
        <v>264</v>
      </c>
      <c r="AF217" t="s">
        <v>264</v>
      </c>
      <c r="AG217" s="29">
        <v>1692</v>
      </c>
      <c r="AH217" t="s">
        <v>264</v>
      </c>
      <c r="AI217">
        <v>55413988</v>
      </c>
      <c r="AJ217" t="s">
        <v>460</v>
      </c>
      <c r="AL217" t="s">
        <v>264</v>
      </c>
      <c r="AM217" s="6">
        <v>44782</v>
      </c>
      <c r="AN217" t="s">
        <v>461</v>
      </c>
      <c r="AO217" t="s">
        <v>268</v>
      </c>
      <c r="AP217">
        <v>1204</v>
      </c>
      <c r="AQ217" t="s">
        <v>269</v>
      </c>
      <c r="AR217">
        <v>264850</v>
      </c>
      <c r="AU217" t="s">
        <v>264</v>
      </c>
      <c r="AV217" t="s">
        <v>270</v>
      </c>
      <c r="AX217">
        <v>22001008</v>
      </c>
      <c r="AY217">
        <v>630600</v>
      </c>
      <c r="AZ217">
        <v>1204.6306</v>
      </c>
      <c r="BA217" s="28" t="s">
        <v>124</v>
      </c>
    </row>
    <row r="218" spans="1:53">
      <c r="A218" t="s">
        <v>424</v>
      </c>
      <c r="B218" t="s">
        <v>425</v>
      </c>
      <c r="C218">
        <v>22003559</v>
      </c>
      <c r="D218">
        <v>1204</v>
      </c>
      <c r="E218" s="6">
        <v>44782</v>
      </c>
      <c r="F218" t="s">
        <v>460</v>
      </c>
      <c r="G218">
        <v>349.1</v>
      </c>
      <c r="H218">
        <v>349.1</v>
      </c>
      <c r="I218" t="s">
        <v>263</v>
      </c>
      <c r="J218" t="s">
        <v>263</v>
      </c>
      <c r="L218" s="29">
        <v>5054278.5</v>
      </c>
      <c r="N218" s="29">
        <v>5054278.5</v>
      </c>
      <c r="O218" t="s">
        <v>264</v>
      </c>
      <c r="Q218" t="s">
        <v>264</v>
      </c>
      <c r="R218" t="s">
        <v>265</v>
      </c>
      <c r="S218">
        <v>14480</v>
      </c>
      <c r="T218" t="s">
        <v>266</v>
      </c>
      <c r="U218" t="s">
        <v>267</v>
      </c>
      <c r="V218" t="s">
        <v>427</v>
      </c>
      <c r="W218" t="s">
        <v>428</v>
      </c>
      <c r="X218">
        <v>1929851</v>
      </c>
      <c r="Y218" s="6">
        <v>44782</v>
      </c>
      <c r="Z218" t="s">
        <v>264</v>
      </c>
      <c r="AA218">
        <v>1</v>
      </c>
      <c r="AB218" t="s">
        <v>264</v>
      </c>
      <c r="AD218" t="s">
        <v>264</v>
      </c>
      <c r="AE218" t="s">
        <v>264</v>
      </c>
      <c r="AF218" t="s">
        <v>264</v>
      </c>
      <c r="AG218" s="29">
        <v>1275</v>
      </c>
      <c r="AH218" t="s">
        <v>264</v>
      </c>
      <c r="AI218">
        <v>55413988</v>
      </c>
      <c r="AJ218" t="s">
        <v>460</v>
      </c>
      <c r="AL218" t="s">
        <v>264</v>
      </c>
      <c r="AM218" s="6">
        <v>44782</v>
      </c>
      <c r="AN218" t="s">
        <v>461</v>
      </c>
      <c r="AO218" t="s">
        <v>268</v>
      </c>
      <c r="AP218">
        <v>1204</v>
      </c>
      <c r="AQ218" t="s">
        <v>269</v>
      </c>
      <c r="AR218">
        <v>264850</v>
      </c>
      <c r="AU218" t="s">
        <v>264</v>
      </c>
      <c r="AV218" t="s">
        <v>270</v>
      </c>
      <c r="AX218">
        <v>22001008</v>
      </c>
      <c r="AY218">
        <v>630600</v>
      </c>
      <c r="AZ218">
        <v>1204.6306</v>
      </c>
      <c r="BA218" s="28" t="s">
        <v>124</v>
      </c>
    </row>
    <row r="219" spans="1:53">
      <c r="A219" t="s">
        <v>424</v>
      </c>
      <c r="B219" t="s">
        <v>425</v>
      </c>
      <c r="C219">
        <v>22003560</v>
      </c>
      <c r="D219">
        <v>1204</v>
      </c>
      <c r="E219" s="6">
        <v>44782</v>
      </c>
      <c r="F219" t="s">
        <v>460</v>
      </c>
      <c r="G219">
        <v>31.21</v>
      </c>
      <c r="H219">
        <v>31.21</v>
      </c>
      <c r="I219" t="s">
        <v>263</v>
      </c>
      <c r="J219" t="s">
        <v>263</v>
      </c>
      <c r="L219" s="29">
        <v>451911.96</v>
      </c>
      <c r="N219" s="29">
        <v>451911.96</v>
      </c>
      <c r="O219" t="s">
        <v>264</v>
      </c>
      <c r="Q219" t="s">
        <v>264</v>
      </c>
      <c r="R219" t="s">
        <v>265</v>
      </c>
      <c r="S219">
        <v>14480</v>
      </c>
      <c r="T219" t="s">
        <v>266</v>
      </c>
      <c r="U219" t="s">
        <v>267</v>
      </c>
      <c r="V219" t="s">
        <v>427</v>
      </c>
      <c r="W219" t="s">
        <v>428</v>
      </c>
      <c r="X219">
        <v>1929851</v>
      </c>
      <c r="Y219" s="6">
        <v>44782</v>
      </c>
      <c r="Z219" t="s">
        <v>264</v>
      </c>
      <c r="AA219">
        <v>1</v>
      </c>
      <c r="AB219" t="s">
        <v>264</v>
      </c>
      <c r="AD219" t="s">
        <v>264</v>
      </c>
      <c r="AE219" t="s">
        <v>264</v>
      </c>
      <c r="AF219" t="s">
        <v>264</v>
      </c>
      <c r="AG219">
        <v>114</v>
      </c>
      <c r="AH219" t="s">
        <v>264</v>
      </c>
      <c r="AI219">
        <v>55413988</v>
      </c>
      <c r="AJ219" t="s">
        <v>460</v>
      </c>
      <c r="AL219" t="s">
        <v>264</v>
      </c>
      <c r="AM219" s="6">
        <v>44782</v>
      </c>
      <c r="AN219" t="s">
        <v>461</v>
      </c>
      <c r="AO219" t="s">
        <v>268</v>
      </c>
      <c r="AP219">
        <v>1204</v>
      </c>
      <c r="AQ219" t="s">
        <v>269</v>
      </c>
      <c r="AR219">
        <v>264850</v>
      </c>
      <c r="AU219" t="s">
        <v>264</v>
      </c>
      <c r="AV219" t="s">
        <v>270</v>
      </c>
      <c r="AX219">
        <v>22001008</v>
      </c>
      <c r="AY219">
        <v>630600</v>
      </c>
      <c r="AZ219">
        <v>1204.6306</v>
      </c>
      <c r="BA219" s="28" t="s">
        <v>124</v>
      </c>
    </row>
    <row r="220" spans="1:53">
      <c r="A220" t="s">
        <v>424</v>
      </c>
      <c r="B220" t="s">
        <v>425</v>
      </c>
      <c r="C220">
        <v>22003561</v>
      </c>
      <c r="D220">
        <v>1204</v>
      </c>
      <c r="E220" s="6">
        <v>44782</v>
      </c>
      <c r="F220" t="s">
        <v>460</v>
      </c>
      <c r="G220">
        <v>74.47</v>
      </c>
      <c r="H220">
        <v>74.47</v>
      </c>
      <c r="I220" t="s">
        <v>263</v>
      </c>
      <c r="J220" t="s">
        <v>263</v>
      </c>
      <c r="L220" s="29">
        <v>1078246.08</v>
      </c>
      <c r="N220" s="29">
        <v>1078246.08</v>
      </c>
      <c r="O220" t="s">
        <v>264</v>
      </c>
      <c r="Q220" t="s">
        <v>264</v>
      </c>
      <c r="R220" t="s">
        <v>265</v>
      </c>
      <c r="S220">
        <v>14480</v>
      </c>
      <c r="T220" t="s">
        <v>266</v>
      </c>
      <c r="U220" t="s">
        <v>267</v>
      </c>
      <c r="V220" t="s">
        <v>427</v>
      </c>
      <c r="W220" t="s">
        <v>428</v>
      </c>
      <c r="X220">
        <v>1929851</v>
      </c>
      <c r="Y220" s="6">
        <v>44782</v>
      </c>
      <c r="Z220" t="s">
        <v>264</v>
      </c>
      <c r="AA220">
        <v>1</v>
      </c>
      <c r="AB220" t="s">
        <v>264</v>
      </c>
      <c r="AD220" t="s">
        <v>264</v>
      </c>
      <c r="AE220" t="s">
        <v>264</v>
      </c>
      <c r="AF220" t="s">
        <v>264</v>
      </c>
      <c r="AG220">
        <v>272</v>
      </c>
      <c r="AH220" t="s">
        <v>264</v>
      </c>
      <c r="AI220">
        <v>55413988</v>
      </c>
      <c r="AJ220" t="s">
        <v>460</v>
      </c>
      <c r="AL220" t="s">
        <v>264</v>
      </c>
      <c r="AM220" s="6">
        <v>44782</v>
      </c>
      <c r="AN220" t="s">
        <v>461</v>
      </c>
      <c r="AO220" t="s">
        <v>268</v>
      </c>
      <c r="AP220">
        <v>1204</v>
      </c>
      <c r="AQ220" t="s">
        <v>269</v>
      </c>
      <c r="AR220">
        <v>264850</v>
      </c>
      <c r="AU220" t="s">
        <v>264</v>
      </c>
      <c r="AV220" t="s">
        <v>270</v>
      </c>
      <c r="AX220">
        <v>22001008</v>
      </c>
      <c r="AY220">
        <v>630600</v>
      </c>
      <c r="AZ220">
        <v>1204.6306</v>
      </c>
      <c r="BA220" s="28" t="s">
        <v>124</v>
      </c>
    </row>
    <row r="221" spans="1:53">
      <c r="A221" t="s">
        <v>424</v>
      </c>
      <c r="B221" t="s">
        <v>425</v>
      </c>
      <c r="C221">
        <v>22003562</v>
      </c>
      <c r="D221">
        <v>1204</v>
      </c>
      <c r="E221" s="6">
        <v>44782</v>
      </c>
      <c r="F221" t="s">
        <v>460</v>
      </c>
      <c r="G221">
        <v>154.41999999999999</v>
      </c>
      <c r="H221">
        <v>154.41999999999999</v>
      </c>
      <c r="I221" t="s">
        <v>263</v>
      </c>
      <c r="J221" t="s">
        <v>263</v>
      </c>
      <c r="L221" s="29">
        <v>2235774.96</v>
      </c>
      <c r="N221" s="29">
        <v>2235774.96</v>
      </c>
      <c r="O221" t="s">
        <v>264</v>
      </c>
      <c r="Q221" t="s">
        <v>264</v>
      </c>
      <c r="R221" t="s">
        <v>265</v>
      </c>
      <c r="S221">
        <v>14480</v>
      </c>
      <c r="T221" t="s">
        <v>266</v>
      </c>
      <c r="U221" t="s">
        <v>267</v>
      </c>
      <c r="V221" t="s">
        <v>427</v>
      </c>
      <c r="W221" t="s">
        <v>428</v>
      </c>
      <c r="X221">
        <v>1929851</v>
      </c>
      <c r="Y221" s="6">
        <v>44782</v>
      </c>
      <c r="Z221" t="s">
        <v>264</v>
      </c>
      <c r="AA221">
        <v>1</v>
      </c>
      <c r="AB221" t="s">
        <v>264</v>
      </c>
      <c r="AD221" t="s">
        <v>264</v>
      </c>
      <c r="AE221" t="s">
        <v>264</v>
      </c>
      <c r="AF221" t="s">
        <v>264</v>
      </c>
      <c r="AG221">
        <v>564</v>
      </c>
      <c r="AH221" t="s">
        <v>264</v>
      </c>
      <c r="AI221">
        <v>55413988</v>
      </c>
      <c r="AJ221" t="s">
        <v>460</v>
      </c>
      <c r="AL221" t="s">
        <v>264</v>
      </c>
      <c r="AM221" s="6">
        <v>44782</v>
      </c>
      <c r="AN221" t="s">
        <v>461</v>
      </c>
      <c r="AO221" t="s">
        <v>268</v>
      </c>
      <c r="AP221">
        <v>1204</v>
      </c>
      <c r="AQ221" t="s">
        <v>269</v>
      </c>
      <c r="AR221">
        <v>264850</v>
      </c>
      <c r="AU221" t="s">
        <v>264</v>
      </c>
      <c r="AV221" t="s">
        <v>270</v>
      </c>
      <c r="AX221">
        <v>22001008</v>
      </c>
      <c r="AY221">
        <v>630600</v>
      </c>
      <c r="AZ221">
        <v>1204.6306</v>
      </c>
      <c r="BA221" s="28" t="s">
        <v>124</v>
      </c>
    </row>
    <row r="222" spans="1:53">
      <c r="A222" t="s">
        <v>424</v>
      </c>
      <c r="B222" t="s">
        <v>425</v>
      </c>
      <c r="C222">
        <v>22003563</v>
      </c>
      <c r="D222">
        <v>1204</v>
      </c>
      <c r="E222" s="6">
        <v>44782</v>
      </c>
      <c r="F222" t="s">
        <v>460</v>
      </c>
      <c r="G222">
        <v>364.15</v>
      </c>
      <c r="H222">
        <v>364.15</v>
      </c>
      <c r="I222" t="s">
        <v>263</v>
      </c>
      <c r="J222" t="s">
        <v>263</v>
      </c>
      <c r="L222" s="29">
        <v>5272306.2</v>
      </c>
      <c r="N222" s="29">
        <v>5272306.2</v>
      </c>
      <c r="O222" t="s">
        <v>264</v>
      </c>
      <c r="Q222" t="s">
        <v>264</v>
      </c>
      <c r="R222" t="s">
        <v>265</v>
      </c>
      <c r="S222">
        <v>14480</v>
      </c>
      <c r="T222" t="s">
        <v>266</v>
      </c>
      <c r="U222" t="s">
        <v>267</v>
      </c>
      <c r="V222" t="s">
        <v>427</v>
      </c>
      <c r="W222" t="s">
        <v>428</v>
      </c>
      <c r="X222">
        <v>1929851</v>
      </c>
      <c r="Y222" s="6">
        <v>44782</v>
      </c>
      <c r="Z222" t="s">
        <v>264</v>
      </c>
      <c r="AA222">
        <v>1</v>
      </c>
      <c r="AB222" t="s">
        <v>264</v>
      </c>
      <c r="AD222" t="s">
        <v>264</v>
      </c>
      <c r="AE222" t="s">
        <v>264</v>
      </c>
      <c r="AF222" t="s">
        <v>264</v>
      </c>
      <c r="AG222" s="29">
        <v>1330</v>
      </c>
      <c r="AH222" t="s">
        <v>264</v>
      </c>
      <c r="AI222">
        <v>55413988</v>
      </c>
      <c r="AJ222" t="s">
        <v>460</v>
      </c>
      <c r="AL222" t="s">
        <v>264</v>
      </c>
      <c r="AM222" s="6">
        <v>44782</v>
      </c>
      <c r="AN222" t="s">
        <v>461</v>
      </c>
      <c r="AO222" t="s">
        <v>268</v>
      </c>
      <c r="AP222">
        <v>1204</v>
      </c>
      <c r="AQ222" t="s">
        <v>269</v>
      </c>
      <c r="AR222">
        <v>264850</v>
      </c>
      <c r="AU222" t="s">
        <v>264</v>
      </c>
      <c r="AV222" t="s">
        <v>270</v>
      </c>
      <c r="AX222">
        <v>22001008</v>
      </c>
      <c r="AY222">
        <v>630600</v>
      </c>
      <c r="AZ222">
        <v>1204.6306</v>
      </c>
      <c r="BA222" s="28" t="s">
        <v>124</v>
      </c>
    </row>
    <row r="223" spans="1:53">
      <c r="A223" t="s">
        <v>424</v>
      </c>
      <c r="B223" t="s">
        <v>425</v>
      </c>
      <c r="C223">
        <v>22003564</v>
      </c>
      <c r="D223">
        <v>1204</v>
      </c>
      <c r="E223" s="6">
        <v>44782</v>
      </c>
      <c r="F223" t="s">
        <v>460</v>
      </c>
      <c r="G223">
        <v>101.85</v>
      </c>
      <c r="H223">
        <v>101.85</v>
      </c>
      <c r="I223" t="s">
        <v>263</v>
      </c>
      <c r="J223" t="s">
        <v>263</v>
      </c>
      <c r="L223" s="29">
        <v>1474660.08</v>
      </c>
      <c r="N223" s="29">
        <v>1474660.08</v>
      </c>
      <c r="O223" t="s">
        <v>264</v>
      </c>
      <c r="Q223" t="s">
        <v>264</v>
      </c>
      <c r="R223" t="s">
        <v>265</v>
      </c>
      <c r="S223">
        <v>14480</v>
      </c>
      <c r="T223" t="s">
        <v>266</v>
      </c>
      <c r="U223" t="s">
        <v>267</v>
      </c>
      <c r="V223" t="s">
        <v>427</v>
      </c>
      <c r="W223" t="s">
        <v>428</v>
      </c>
      <c r="X223">
        <v>1929851</v>
      </c>
      <c r="Y223" s="6">
        <v>44782</v>
      </c>
      <c r="Z223" t="s">
        <v>264</v>
      </c>
      <c r="AA223">
        <v>1</v>
      </c>
      <c r="AB223" t="s">
        <v>264</v>
      </c>
      <c r="AD223" t="s">
        <v>264</v>
      </c>
      <c r="AE223" t="s">
        <v>264</v>
      </c>
      <c r="AF223" t="s">
        <v>264</v>
      </c>
      <c r="AG223">
        <v>372</v>
      </c>
      <c r="AH223" t="s">
        <v>264</v>
      </c>
      <c r="AI223">
        <v>55413988</v>
      </c>
      <c r="AJ223" t="s">
        <v>460</v>
      </c>
      <c r="AL223" t="s">
        <v>264</v>
      </c>
      <c r="AM223" s="6">
        <v>44782</v>
      </c>
      <c r="AN223" t="s">
        <v>461</v>
      </c>
      <c r="AO223" t="s">
        <v>268</v>
      </c>
      <c r="AP223">
        <v>1204</v>
      </c>
      <c r="AQ223" t="s">
        <v>269</v>
      </c>
      <c r="AR223">
        <v>264850</v>
      </c>
      <c r="AU223" t="s">
        <v>264</v>
      </c>
      <c r="AV223" t="s">
        <v>270</v>
      </c>
      <c r="AX223">
        <v>22001008</v>
      </c>
      <c r="AY223">
        <v>630600</v>
      </c>
      <c r="AZ223">
        <v>1204.6306</v>
      </c>
      <c r="BA223" s="28" t="s">
        <v>124</v>
      </c>
    </row>
    <row r="224" spans="1:53">
      <c r="A224" t="s">
        <v>424</v>
      </c>
      <c r="B224" t="s">
        <v>425</v>
      </c>
      <c r="C224">
        <v>22003565</v>
      </c>
      <c r="D224">
        <v>1204</v>
      </c>
      <c r="E224" s="6">
        <v>44782</v>
      </c>
      <c r="F224" t="s">
        <v>460</v>
      </c>
      <c r="G224">
        <v>587.85</v>
      </c>
      <c r="H224">
        <v>587.85</v>
      </c>
      <c r="I224" t="s">
        <v>263</v>
      </c>
      <c r="J224" t="s">
        <v>263</v>
      </c>
      <c r="L224" s="29">
        <v>8511008.5800000001</v>
      </c>
      <c r="N224" s="29">
        <v>8511008.5800000001</v>
      </c>
      <c r="O224" t="s">
        <v>264</v>
      </c>
      <c r="Q224" t="s">
        <v>264</v>
      </c>
      <c r="R224" t="s">
        <v>265</v>
      </c>
      <c r="S224">
        <v>14480</v>
      </c>
      <c r="T224" t="s">
        <v>266</v>
      </c>
      <c r="U224" t="s">
        <v>267</v>
      </c>
      <c r="V224" t="s">
        <v>427</v>
      </c>
      <c r="W224" t="s">
        <v>428</v>
      </c>
      <c r="X224">
        <v>1929851</v>
      </c>
      <c r="Y224" s="6">
        <v>44782</v>
      </c>
      <c r="Z224" t="s">
        <v>264</v>
      </c>
      <c r="AA224">
        <v>1</v>
      </c>
      <c r="AB224" t="s">
        <v>264</v>
      </c>
      <c r="AD224" t="s">
        <v>264</v>
      </c>
      <c r="AE224" t="s">
        <v>264</v>
      </c>
      <c r="AF224" t="s">
        <v>264</v>
      </c>
      <c r="AG224" s="29">
        <v>2147</v>
      </c>
      <c r="AH224" t="s">
        <v>264</v>
      </c>
      <c r="AI224">
        <v>55413988</v>
      </c>
      <c r="AJ224" t="s">
        <v>460</v>
      </c>
      <c r="AL224" t="s">
        <v>264</v>
      </c>
      <c r="AM224" s="6">
        <v>44782</v>
      </c>
      <c r="AN224" t="s">
        <v>461</v>
      </c>
      <c r="AO224" t="s">
        <v>268</v>
      </c>
      <c r="AP224">
        <v>1204</v>
      </c>
      <c r="AQ224" t="s">
        <v>269</v>
      </c>
      <c r="AR224">
        <v>264850</v>
      </c>
      <c r="AU224" t="s">
        <v>264</v>
      </c>
      <c r="AV224" t="s">
        <v>270</v>
      </c>
      <c r="AX224">
        <v>22001008</v>
      </c>
      <c r="AY224">
        <v>630600</v>
      </c>
      <c r="AZ224">
        <v>1204.6306</v>
      </c>
      <c r="BA224" s="28" t="s">
        <v>124</v>
      </c>
    </row>
    <row r="225" spans="1:53">
      <c r="A225" t="s">
        <v>424</v>
      </c>
      <c r="B225" t="s">
        <v>425</v>
      </c>
      <c r="C225">
        <v>22003566</v>
      </c>
      <c r="D225">
        <v>1204</v>
      </c>
      <c r="E225" s="6">
        <v>44782</v>
      </c>
      <c r="F225" t="s">
        <v>460</v>
      </c>
      <c r="G225">
        <v>410.7</v>
      </c>
      <c r="H225">
        <v>410.7</v>
      </c>
      <c r="I225" t="s">
        <v>263</v>
      </c>
      <c r="J225" t="s">
        <v>263</v>
      </c>
      <c r="L225" s="29">
        <v>5946210</v>
      </c>
      <c r="N225" s="29">
        <v>5946210</v>
      </c>
      <c r="O225" t="s">
        <v>264</v>
      </c>
      <c r="Q225" t="s">
        <v>264</v>
      </c>
      <c r="R225" t="s">
        <v>265</v>
      </c>
      <c r="S225">
        <v>14480</v>
      </c>
      <c r="T225" t="s">
        <v>266</v>
      </c>
      <c r="U225" t="s">
        <v>267</v>
      </c>
      <c r="V225" t="s">
        <v>427</v>
      </c>
      <c r="W225" t="s">
        <v>428</v>
      </c>
      <c r="X225">
        <v>1929851</v>
      </c>
      <c r="Y225" s="6">
        <v>44782</v>
      </c>
      <c r="Z225" t="s">
        <v>264</v>
      </c>
      <c r="AA225">
        <v>1</v>
      </c>
      <c r="AB225" t="s">
        <v>264</v>
      </c>
      <c r="AD225" t="s">
        <v>264</v>
      </c>
      <c r="AE225" t="s">
        <v>264</v>
      </c>
      <c r="AF225" t="s">
        <v>264</v>
      </c>
      <c r="AG225" s="29">
        <v>1500</v>
      </c>
      <c r="AH225" t="s">
        <v>264</v>
      </c>
      <c r="AI225">
        <v>55413988</v>
      </c>
      <c r="AJ225" t="s">
        <v>460</v>
      </c>
      <c r="AL225" t="s">
        <v>264</v>
      </c>
      <c r="AM225" s="6">
        <v>44782</v>
      </c>
      <c r="AN225" t="s">
        <v>461</v>
      </c>
      <c r="AO225" t="s">
        <v>268</v>
      </c>
      <c r="AP225">
        <v>1204</v>
      </c>
      <c r="AQ225" t="s">
        <v>269</v>
      </c>
      <c r="AR225">
        <v>264850</v>
      </c>
      <c r="AU225" t="s">
        <v>264</v>
      </c>
      <c r="AV225" t="s">
        <v>270</v>
      </c>
      <c r="AX225">
        <v>22001008</v>
      </c>
      <c r="AY225">
        <v>630600</v>
      </c>
      <c r="AZ225">
        <v>1204.6306</v>
      </c>
      <c r="BA225" s="28" t="s">
        <v>124</v>
      </c>
    </row>
    <row r="226" spans="1:53">
      <c r="A226" t="s">
        <v>424</v>
      </c>
      <c r="B226" t="s">
        <v>425</v>
      </c>
      <c r="C226">
        <v>22003567</v>
      </c>
      <c r="D226">
        <v>1204</v>
      </c>
      <c r="E226" s="6">
        <v>44782</v>
      </c>
      <c r="F226" t="s">
        <v>460</v>
      </c>
      <c r="G226">
        <v>463.27</v>
      </c>
      <c r="H226">
        <v>463.27</v>
      </c>
      <c r="I226" t="s">
        <v>263</v>
      </c>
      <c r="J226" t="s">
        <v>263</v>
      </c>
      <c r="L226" s="29">
        <v>6707324.8799999999</v>
      </c>
      <c r="N226" s="29">
        <v>6707324.8799999999</v>
      </c>
      <c r="O226" t="s">
        <v>264</v>
      </c>
      <c r="Q226" t="s">
        <v>264</v>
      </c>
      <c r="R226" t="s">
        <v>265</v>
      </c>
      <c r="S226">
        <v>14480</v>
      </c>
      <c r="T226" t="s">
        <v>266</v>
      </c>
      <c r="U226" t="s">
        <v>267</v>
      </c>
      <c r="V226" t="s">
        <v>427</v>
      </c>
      <c r="W226" t="s">
        <v>428</v>
      </c>
      <c r="X226">
        <v>1929851</v>
      </c>
      <c r="Y226" s="6">
        <v>44782</v>
      </c>
      <c r="Z226" t="s">
        <v>264</v>
      </c>
      <c r="AA226">
        <v>1</v>
      </c>
      <c r="AB226" t="s">
        <v>264</v>
      </c>
      <c r="AD226" t="s">
        <v>264</v>
      </c>
      <c r="AE226" t="s">
        <v>264</v>
      </c>
      <c r="AF226" t="s">
        <v>264</v>
      </c>
      <c r="AG226" s="29">
        <v>1692</v>
      </c>
      <c r="AH226" t="s">
        <v>264</v>
      </c>
      <c r="AI226">
        <v>55413988</v>
      </c>
      <c r="AJ226" t="s">
        <v>460</v>
      </c>
      <c r="AL226" t="s">
        <v>264</v>
      </c>
      <c r="AM226" s="6">
        <v>44782</v>
      </c>
      <c r="AN226" t="s">
        <v>461</v>
      </c>
      <c r="AO226" t="s">
        <v>268</v>
      </c>
      <c r="AP226">
        <v>1204</v>
      </c>
      <c r="AQ226" t="s">
        <v>269</v>
      </c>
      <c r="AR226">
        <v>264850</v>
      </c>
      <c r="AU226" t="s">
        <v>264</v>
      </c>
      <c r="AV226" t="s">
        <v>270</v>
      </c>
      <c r="AX226">
        <v>22001008</v>
      </c>
      <c r="AY226">
        <v>630600</v>
      </c>
      <c r="AZ226">
        <v>1204.6306</v>
      </c>
      <c r="BA226" s="28" t="s">
        <v>124</v>
      </c>
    </row>
    <row r="227" spans="1:53">
      <c r="A227" t="s">
        <v>424</v>
      </c>
      <c r="B227" t="s">
        <v>425</v>
      </c>
      <c r="C227">
        <v>22003585</v>
      </c>
      <c r="D227">
        <v>1204</v>
      </c>
      <c r="E227" s="6">
        <v>44792</v>
      </c>
      <c r="F227" t="s">
        <v>460</v>
      </c>
      <c r="G227">
        <v>-111.7</v>
      </c>
      <c r="I227" t="s">
        <v>263</v>
      </c>
      <c r="J227" t="s">
        <v>263</v>
      </c>
      <c r="K227">
        <v>-111.7</v>
      </c>
      <c r="M227" s="29">
        <v>-1604713.68</v>
      </c>
      <c r="N227" s="29">
        <v>-1604713.68</v>
      </c>
      <c r="O227" t="s">
        <v>264</v>
      </c>
      <c r="Q227" t="s">
        <v>264</v>
      </c>
      <c r="R227" t="s">
        <v>265</v>
      </c>
      <c r="S227">
        <v>14369.01</v>
      </c>
      <c r="T227" t="s">
        <v>266</v>
      </c>
      <c r="U227" t="s">
        <v>267</v>
      </c>
      <c r="V227" t="s">
        <v>427</v>
      </c>
      <c r="W227" t="s">
        <v>428</v>
      </c>
      <c r="X227">
        <v>1934041</v>
      </c>
      <c r="Y227" s="6">
        <v>44792</v>
      </c>
      <c r="Z227" t="s">
        <v>264</v>
      </c>
      <c r="AA227">
        <v>1</v>
      </c>
      <c r="AB227" t="s">
        <v>264</v>
      </c>
      <c r="AD227" t="s">
        <v>264</v>
      </c>
      <c r="AE227" t="s">
        <v>264</v>
      </c>
      <c r="AF227" t="s">
        <v>264</v>
      </c>
      <c r="AG227">
        <v>-414</v>
      </c>
      <c r="AH227" t="s">
        <v>264</v>
      </c>
      <c r="AI227">
        <v>55413988</v>
      </c>
      <c r="AJ227" t="s">
        <v>460</v>
      </c>
      <c r="AL227" t="s">
        <v>264</v>
      </c>
      <c r="AM227" s="6">
        <v>44792</v>
      </c>
      <c r="AN227" t="s">
        <v>461</v>
      </c>
      <c r="AO227" t="s">
        <v>268</v>
      </c>
      <c r="AP227">
        <v>1204</v>
      </c>
      <c r="AQ227" t="s">
        <v>269</v>
      </c>
      <c r="AR227">
        <v>264850</v>
      </c>
      <c r="AU227" t="s">
        <v>264</v>
      </c>
      <c r="AV227" t="s">
        <v>270</v>
      </c>
      <c r="AX227">
        <v>22001006</v>
      </c>
      <c r="AY227">
        <v>630600</v>
      </c>
      <c r="AZ227">
        <v>1204.6306</v>
      </c>
      <c r="BA227" s="28" t="s">
        <v>124</v>
      </c>
    </row>
    <row r="228" spans="1:53">
      <c r="A228" t="s">
        <v>424</v>
      </c>
      <c r="B228" t="s">
        <v>425</v>
      </c>
      <c r="C228">
        <v>22003586</v>
      </c>
      <c r="D228">
        <v>1204</v>
      </c>
      <c r="E228" s="6">
        <v>44792</v>
      </c>
      <c r="F228" t="s">
        <v>460</v>
      </c>
      <c r="G228">
        <v>-16.46</v>
      </c>
      <c r="I228" t="s">
        <v>263</v>
      </c>
      <c r="J228" t="s">
        <v>263</v>
      </c>
      <c r="K228">
        <v>-16.46</v>
      </c>
      <c r="M228" s="29">
        <v>-236443.32</v>
      </c>
      <c r="N228" s="29">
        <v>-236443.32</v>
      </c>
      <c r="O228" t="s">
        <v>264</v>
      </c>
      <c r="Q228" t="s">
        <v>264</v>
      </c>
      <c r="R228" t="s">
        <v>265</v>
      </c>
      <c r="S228">
        <v>14369.01</v>
      </c>
      <c r="T228" t="s">
        <v>266</v>
      </c>
      <c r="U228" t="s">
        <v>267</v>
      </c>
      <c r="V228" t="s">
        <v>427</v>
      </c>
      <c r="W228" t="s">
        <v>428</v>
      </c>
      <c r="X228">
        <v>1934042</v>
      </c>
      <c r="Y228" s="6">
        <v>44792</v>
      </c>
      <c r="Z228" t="s">
        <v>264</v>
      </c>
      <c r="AA228">
        <v>1</v>
      </c>
      <c r="AB228" t="s">
        <v>264</v>
      </c>
      <c r="AD228" t="s">
        <v>264</v>
      </c>
      <c r="AE228" t="s">
        <v>264</v>
      </c>
      <c r="AF228" t="s">
        <v>264</v>
      </c>
      <c r="AG228">
        <v>-61</v>
      </c>
      <c r="AH228" t="s">
        <v>264</v>
      </c>
      <c r="AI228">
        <v>55413988</v>
      </c>
      <c r="AJ228" t="s">
        <v>460</v>
      </c>
      <c r="AL228" t="s">
        <v>264</v>
      </c>
      <c r="AM228" s="6">
        <v>44792</v>
      </c>
      <c r="AN228" t="s">
        <v>461</v>
      </c>
      <c r="AO228" t="s">
        <v>268</v>
      </c>
      <c r="AP228">
        <v>1204</v>
      </c>
      <c r="AQ228" t="s">
        <v>269</v>
      </c>
      <c r="AR228">
        <v>264850</v>
      </c>
      <c r="AU228" t="s">
        <v>264</v>
      </c>
      <c r="AV228" t="s">
        <v>270</v>
      </c>
      <c r="AX228">
        <v>22001006</v>
      </c>
      <c r="AY228">
        <v>630600</v>
      </c>
      <c r="AZ228">
        <v>1204.6306</v>
      </c>
      <c r="BA228" s="28" t="s">
        <v>124</v>
      </c>
    </row>
    <row r="229" spans="1:53">
      <c r="A229" t="s">
        <v>424</v>
      </c>
      <c r="B229" t="s">
        <v>425</v>
      </c>
      <c r="C229">
        <v>22003587</v>
      </c>
      <c r="D229">
        <v>1204</v>
      </c>
      <c r="E229" s="6">
        <v>44792</v>
      </c>
      <c r="F229" t="s">
        <v>460</v>
      </c>
      <c r="G229">
        <v>-0.27</v>
      </c>
      <c r="I229" t="s">
        <v>263</v>
      </c>
      <c r="J229" t="s">
        <v>263</v>
      </c>
      <c r="K229">
        <v>-0.27</v>
      </c>
      <c r="M229" s="29">
        <v>-3876.12</v>
      </c>
      <c r="N229" s="29">
        <v>-3876.12</v>
      </c>
      <c r="O229" t="s">
        <v>264</v>
      </c>
      <c r="Q229" t="s">
        <v>264</v>
      </c>
      <c r="R229" t="s">
        <v>265</v>
      </c>
      <c r="S229">
        <v>14369.01</v>
      </c>
      <c r="T229" t="s">
        <v>266</v>
      </c>
      <c r="U229" t="s">
        <v>267</v>
      </c>
      <c r="V229" t="s">
        <v>427</v>
      </c>
      <c r="W229" t="s">
        <v>428</v>
      </c>
      <c r="X229">
        <v>1934044</v>
      </c>
      <c r="Y229" s="6">
        <v>44792</v>
      </c>
      <c r="Z229" t="s">
        <v>264</v>
      </c>
      <c r="AA229">
        <v>1</v>
      </c>
      <c r="AB229" t="s">
        <v>264</v>
      </c>
      <c r="AD229" t="s">
        <v>264</v>
      </c>
      <c r="AE229" t="s">
        <v>264</v>
      </c>
      <c r="AF229" t="s">
        <v>264</v>
      </c>
      <c r="AG229">
        <v>-1</v>
      </c>
      <c r="AH229" t="s">
        <v>264</v>
      </c>
      <c r="AI229">
        <v>55413988</v>
      </c>
      <c r="AJ229" t="s">
        <v>460</v>
      </c>
      <c r="AL229" t="s">
        <v>264</v>
      </c>
      <c r="AM229" s="6">
        <v>44792</v>
      </c>
      <c r="AN229" t="s">
        <v>461</v>
      </c>
      <c r="AO229" t="s">
        <v>268</v>
      </c>
      <c r="AP229">
        <v>1204</v>
      </c>
      <c r="AQ229" t="s">
        <v>269</v>
      </c>
      <c r="AR229">
        <v>264850</v>
      </c>
      <c r="AU229" t="s">
        <v>264</v>
      </c>
      <c r="AV229" t="s">
        <v>270</v>
      </c>
      <c r="AX229">
        <v>22001006</v>
      </c>
      <c r="AY229">
        <v>630600</v>
      </c>
      <c r="AZ229">
        <v>1204.6306</v>
      </c>
      <c r="BA229" s="28" t="s">
        <v>124</v>
      </c>
    </row>
    <row r="230" spans="1:53">
      <c r="A230" t="s">
        <v>424</v>
      </c>
      <c r="B230" t="s">
        <v>425</v>
      </c>
      <c r="C230">
        <v>22003588</v>
      </c>
      <c r="D230">
        <v>1204</v>
      </c>
      <c r="E230" s="6">
        <v>44792</v>
      </c>
      <c r="F230" t="s">
        <v>460</v>
      </c>
      <c r="G230">
        <v>-0.54</v>
      </c>
      <c r="I230" t="s">
        <v>263</v>
      </c>
      <c r="J230" t="s">
        <v>263</v>
      </c>
      <c r="K230">
        <v>-0.54</v>
      </c>
      <c r="M230" s="29">
        <v>-7752.24</v>
      </c>
      <c r="N230" s="29">
        <v>-7752.24</v>
      </c>
      <c r="O230" t="s">
        <v>264</v>
      </c>
      <c r="Q230" t="s">
        <v>264</v>
      </c>
      <c r="R230" t="s">
        <v>265</v>
      </c>
      <c r="S230">
        <v>14369.01</v>
      </c>
      <c r="T230" t="s">
        <v>266</v>
      </c>
      <c r="U230" t="s">
        <v>267</v>
      </c>
      <c r="V230" t="s">
        <v>427</v>
      </c>
      <c r="W230" t="s">
        <v>428</v>
      </c>
      <c r="X230">
        <v>1934045</v>
      </c>
      <c r="Y230" s="6">
        <v>44792</v>
      </c>
      <c r="Z230" t="s">
        <v>264</v>
      </c>
      <c r="AA230">
        <v>1</v>
      </c>
      <c r="AB230" t="s">
        <v>264</v>
      </c>
      <c r="AD230" t="s">
        <v>264</v>
      </c>
      <c r="AE230" t="s">
        <v>264</v>
      </c>
      <c r="AF230" t="s">
        <v>264</v>
      </c>
      <c r="AG230">
        <v>-2</v>
      </c>
      <c r="AH230" t="s">
        <v>264</v>
      </c>
      <c r="AI230">
        <v>55413988</v>
      </c>
      <c r="AJ230" t="s">
        <v>460</v>
      </c>
      <c r="AL230" t="s">
        <v>264</v>
      </c>
      <c r="AM230" s="6">
        <v>44792</v>
      </c>
      <c r="AN230" t="s">
        <v>461</v>
      </c>
      <c r="AO230" t="s">
        <v>268</v>
      </c>
      <c r="AP230">
        <v>1204</v>
      </c>
      <c r="AQ230" t="s">
        <v>269</v>
      </c>
      <c r="AR230">
        <v>264850</v>
      </c>
      <c r="AU230" t="s">
        <v>264</v>
      </c>
      <c r="AV230" t="s">
        <v>270</v>
      </c>
      <c r="AX230">
        <v>22001006</v>
      </c>
      <c r="AY230">
        <v>630600</v>
      </c>
      <c r="AZ230">
        <v>1204.6306</v>
      </c>
      <c r="BA230" s="28" t="s">
        <v>124</v>
      </c>
    </row>
    <row r="231" spans="1:53">
      <c r="A231" t="s">
        <v>424</v>
      </c>
      <c r="B231" t="s">
        <v>425</v>
      </c>
      <c r="C231">
        <v>22003590</v>
      </c>
      <c r="D231">
        <v>1204</v>
      </c>
      <c r="E231" s="6">
        <v>44792</v>
      </c>
      <c r="F231" t="s">
        <v>460</v>
      </c>
      <c r="G231">
        <v>111.7</v>
      </c>
      <c r="H231">
        <v>111.7</v>
      </c>
      <c r="I231" t="s">
        <v>263</v>
      </c>
      <c r="J231" t="s">
        <v>263</v>
      </c>
      <c r="L231" s="29">
        <v>1604713.68</v>
      </c>
      <c r="N231" s="29">
        <v>1604713.68</v>
      </c>
      <c r="O231" t="s">
        <v>264</v>
      </c>
      <c r="Q231" t="s">
        <v>264</v>
      </c>
      <c r="R231" t="s">
        <v>265</v>
      </c>
      <c r="S231">
        <v>14369.01</v>
      </c>
      <c r="T231" t="s">
        <v>266</v>
      </c>
      <c r="U231" t="s">
        <v>267</v>
      </c>
      <c r="V231" t="s">
        <v>427</v>
      </c>
      <c r="W231" t="s">
        <v>428</v>
      </c>
      <c r="X231">
        <v>1934062</v>
      </c>
      <c r="Y231" s="6">
        <v>44792</v>
      </c>
      <c r="Z231" t="s">
        <v>264</v>
      </c>
      <c r="AA231">
        <v>1</v>
      </c>
      <c r="AB231" t="s">
        <v>264</v>
      </c>
      <c r="AD231" t="s">
        <v>264</v>
      </c>
      <c r="AE231" t="s">
        <v>264</v>
      </c>
      <c r="AF231" t="s">
        <v>264</v>
      </c>
      <c r="AG231">
        <v>414</v>
      </c>
      <c r="AH231" t="s">
        <v>264</v>
      </c>
      <c r="AI231">
        <v>55413988</v>
      </c>
      <c r="AJ231" t="s">
        <v>460</v>
      </c>
      <c r="AL231" t="s">
        <v>264</v>
      </c>
      <c r="AM231" s="6">
        <v>44792</v>
      </c>
      <c r="AN231" t="s">
        <v>461</v>
      </c>
      <c r="AO231" t="s">
        <v>268</v>
      </c>
      <c r="AP231">
        <v>1204</v>
      </c>
      <c r="AQ231" t="s">
        <v>269</v>
      </c>
      <c r="AR231">
        <v>264850</v>
      </c>
      <c r="AU231" t="s">
        <v>264</v>
      </c>
      <c r="AV231" t="s">
        <v>270</v>
      </c>
      <c r="AX231">
        <v>22001006</v>
      </c>
      <c r="AY231">
        <v>630600</v>
      </c>
      <c r="AZ231">
        <v>1204.6306</v>
      </c>
      <c r="BA231" s="28" t="s">
        <v>124</v>
      </c>
    </row>
    <row r="232" spans="1:53">
      <c r="A232" t="s">
        <v>424</v>
      </c>
      <c r="B232" t="s">
        <v>425</v>
      </c>
      <c r="C232">
        <v>22003591</v>
      </c>
      <c r="D232">
        <v>1204</v>
      </c>
      <c r="E232" s="6">
        <v>44792</v>
      </c>
      <c r="F232" t="s">
        <v>460</v>
      </c>
      <c r="G232">
        <v>-0.27</v>
      </c>
      <c r="I232" t="s">
        <v>263</v>
      </c>
      <c r="J232" t="s">
        <v>263</v>
      </c>
      <c r="K232">
        <v>-0.27</v>
      </c>
      <c r="M232" s="29">
        <v>-3876.12</v>
      </c>
      <c r="N232" s="29">
        <v>-3876.12</v>
      </c>
      <c r="O232" t="s">
        <v>264</v>
      </c>
      <c r="Q232" t="s">
        <v>264</v>
      </c>
      <c r="R232" t="s">
        <v>265</v>
      </c>
      <c r="S232">
        <v>14369.01</v>
      </c>
      <c r="T232" t="s">
        <v>266</v>
      </c>
      <c r="U232" t="s">
        <v>267</v>
      </c>
      <c r="V232" t="s">
        <v>427</v>
      </c>
      <c r="W232" t="s">
        <v>428</v>
      </c>
      <c r="X232">
        <v>1934072</v>
      </c>
      <c r="Y232" s="6">
        <v>44792</v>
      </c>
      <c r="Z232" t="s">
        <v>264</v>
      </c>
      <c r="AA232">
        <v>1</v>
      </c>
      <c r="AB232" t="s">
        <v>264</v>
      </c>
      <c r="AD232" t="s">
        <v>264</v>
      </c>
      <c r="AE232" t="s">
        <v>264</v>
      </c>
      <c r="AF232" t="s">
        <v>264</v>
      </c>
      <c r="AG232">
        <v>-1</v>
      </c>
      <c r="AH232" t="s">
        <v>264</v>
      </c>
      <c r="AI232">
        <v>55413988</v>
      </c>
      <c r="AJ232" t="s">
        <v>460</v>
      </c>
      <c r="AL232" t="s">
        <v>264</v>
      </c>
      <c r="AM232" s="6">
        <v>44792</v>
      </c>
      <c r="AN232" t="s">
        <v>461</v>
      </c>
      <c r="AO232" t="s">
        <v>268</v>
      </c>
      <c r="AP232">
        <v>1204</v>
      </c>
      <c r="AQ232" t="s">
        <v>269</v>
      </c>
      <c r="AR232">
        <v>264850</v>
      </c>
      <c r="AU232" t="s">
        <v>264</v>
      </c>
      <c r="AV232" t="s">
        <v>270</v>
      </c>
      <c r="AX232">
        <v>22001006</v>
      </c>
      <c r="AY232">
        <v>630600</v>
      </c>
      <c r="AZ232">
        <v>1204.6306</v>
      </c>
      <c r="BA232" s="28" t="s">
        <v>124</v>
      </c>
    </row>
    <row r="233" spans="1:53">
      <c r="A233" t="s">
        <v>424</v>
      </c>
      <c r="B233" t="s">
        <v>425</v>
      </c>
      <c r="C233">
        <v>22003592</v>
      </c>
      <c r="D233">
        <v>1204</v>
      </c>
      <c r="E233" s="6">
        <v>44792</v>
      </c>
      <c r="F233" t="s">
        <v>460</v>
      </c>
      <c r="G233">
        <v>0.82</v>
      </c>
      <c r="H233">
        <v>0.82</v>
      </c>
      <c r="I233" t="s">
        <v>263</v>
      </c>
      <c r="J233" t="s">
        <v>263</v>
      </c>
      <c r="L233" s="29">
        <v>11892.42</v>
      </c>
      <c r="N233" s="29">
        <v>11892.42</v>
      </c>
      <c r="O233" t="s">
        <v>264</v>
      </c>
      <c r="Q233" t="s">
        <v>264</v>
      </c>
      <c r="R233" t="s">
        <v>265</v>
      </c>
      <c r="S233">
        <v>14480</v>
      </c>
      <c r="T233" t="s">
        <v>266</v>
      </c>
      <c r="U233" t="s">
        <v>267</v>
      </c>
      <c r="V233" t="s">
        <v>427</v>
      </c>
      <c r="W233" t="s">
        <v>428</v>
      </c>
      <c r="X233">
        <v>1934074</v>
      </c>
      <c r="Y233" s="6">
        <v>44792</v>
      </c>
      <c r="Z233" t="s">
        <v>264</v>
      </c>
      <c r="AA233">
        <v>1</v>
      </c>
      <c r="AB233" t="s">
        <v>264</v>
      </c>
      <c r="AD233" t="s">
        <v>264</v>
      </c>
      <c r="AE233" t="s">
        <v>264</v>
      </c>
      <c r="AF233" t="s">
        <v>264</v>
      </c>
      <c r="AG233">
        <v>3</v>
      </c>
      <c r="AH233" t="s">
        <v>264</v>
      </c>
      <c r="AI233">
        <v>55413988</v>
      </c>
      <c r="AJ233" t="s">
        <v>460</v>
      </c>
      <c r="AL233" t="s">
        <v>264</v>
      </c>
      <c r="AM233" s="6">
        <v>44792</v>
      </c>
      <c r="AN233" t="s">
        <v>461</v>
      </c>
      <c r="AO233" t="s">
        <v>268</v>
      </c>
      <c r="AP233">
        <v>1204</v>
      </c>
      <c r="AQ233" t="s">
        <v>269</v>
      </c>
      <c r="AR233">
        <v>264850</v>
      </c>
      <c r="AU233" t="s">
        <v>264</v>
      </c>
      <c r="AV233" t="s">
        <v>270</v>
      </c>
      <c r="AX233">
        <v>22001008</v>
      </c>
      <c r="AY233">
        <v>630600</v>
      </c>
      <c r="AZ233">
        <v>1204.6306</v>
      </c>
      <c r="BA233" s="28" t="s">
        <v>124</v>
      </c>
    </row>
    <row r="234" spans="1:53">
      <c r="A234" t="s">
        <v>424</v>
      </c>
      <c r="B234" t="s">
        <v>425</v>
      </c>
      <c r="C234">
        <v>22003593</v>
      </c>
      <c r="D234">
        <v>1204</v>
      </c>
      <c r="E234" s="6">
        <v>44792</v>
      </c>
      <c r="F234" t="s">
        <v>460</v>
      </c>
      <c r="G234">
        <v>3.01</v>
      </c>
      <c r="H234">
        <v>3.01</v>
      </c>
      <c r="I234" t="s">
        <v>263</v>
      </c>
      <c r="J234" t="s">
        <v>263</v>
      </c>
      <c r="L234" s="29">
        <v>43605.54</v>
      </c>
      <c r="N234" s="29">
        <v>43605.54</v>
      </c>
      <c r="O234" t="s">
        <v>264</v>
      </c>
      <c r="Q234" t="s">
        <v>264</v>
      </c>
      <c r="R234" t="s">
        <v>265</v>
      </c>
      <c r="S234">
        <v>14480</v>
      </c>
      <c r="T234" t="s">
        <v>266</v>
      </c>
      <c r="U234" t="s">
        <v>267</v>
      </c>
      <c r="V234" t="s">
        <v>427</v>
      </c>
      <c r="W234" t="s">
        <v>428</v>
      </c>
      <c r="X234">
        <v>1934074</v>
      </c>
      <c r="Y234" s="6">
        <v>44792</v>
      </c>
      <c r="Z234" t="s">
        <v>264</v>
      </c>
      <c r="AA234">
        <v>1</v>
      </c>
      <c r="AB234" t="s">
        <v>264</v>
      </c>
      <c r="AD234" t="s">
        <v>264</v>
      </c>
      <c r="AE234" t="s">
        <v>264</v>
      </c>
      <c r="AF234" t="s">
        <v>264</v>
      </c>
      <c r="AG234">
        <v>11</v>
      </c>
      <c r="AH234" t="s">
        <v>264</v>
      </c>
      <c r="AI234">
        <v>55413988</v>
      </c>
      <c r="AJ234" t="s">
        <v>460</v>
      </c>
      <c r="AL234" t="s">
        <v>264</v>
      </c>
      <c r="AM234" s="6">
        <v>44792</v>
      </c>
      <c r="AN234" t="s">
        <v>461</v>
      </c>
      <c r="AO234" t="s">
        <v>268</v>
      </c>
      <c r="AP234">
        <v>1204</v>
      </c>
      <c r="AQ234" t="s">
        <v>269</v>
      </c>
      <c r="AR234">
        <v>264850</v>
      </c>
      <c r="AU234" t="s">
        <v>264</v>
      </c>
      <c r="AV234" t="s">
        <v>270</v>
      </c>
      <c r="AX234">
        <v>22001008</v>
      </c>
      <c r="AY234">
        <v>630600</v>
      </c>
      <c r="AZ234">
        <v>1204.6306</v>
      </c>
      <c r="BA234" s="28" t="s">
        <v>124</v>
      </c>
    </row>
    <row r="235" spans="1:53">
      <c r="A235" t="s">
        <v>424</v>
      </c>
      <c r="B235" t="s">
        <v>425</v>
      </c>
      <c r="C235">
        <v>22003594</v>
      </c>
      <c r="D235">
        <v>1204</v>
      </c>
      <c r="E235" s="6">
        <v>44792</v>
      </c>
      <c r="F235" t="s">
        <v>460</v>
      </c>
      <c r="G235">
        <v>0.27</v>
      </c>
      <c r="H235">
        <v>0.27</v>
      </c>
      <c r="I235" t="s">
        <v>263</v>
      </c>
      <c r="J235" t="s">
        <v>263</v>
      </c>
      <c r="L235" s="29">
        <v>3964.14</v>
      </c>
      <c r="N235" s="29">
        <v>3964.14</v>
      </c>
      <c r="O235" t="s">
        <v>264</v>
      </c>
      <c r="Q235" t="s">
        <v>264</v>
      </c>
      <c r="R235" t="s">
        <v>265</v>
      </c>
      <c r="S235">
        <v>14480</v>
      </c>
      <c r="T235" t="s">
        <v>266</v>
      </c>
      <c r="U235" t="s">
        <v>267</v>
      </c>
      <c r="V235" t="s">
        <v>427</v>
      </c>
      <c r="W235" t="s">
        <v>428</v>
      </c>
      <c r="X235">
        <v>1934074</v>
      </c>
      <c r="Y235" s="6">
        <v>44792</v>
      </c>
      <c r="Z235" t="s">
        <v>264</v>
      </c>
      <c r="AA235">
        <v>1</v>
      </c>
      <c r="AB235" t="s">
        <v>264</v>
      </c>
      <c r="AD235" t="s">
        <v>264</v>
      </c>
      <c r="AE235" t="s">
        <v>264</v>
      </c>
      <c r="AF235" t="s">
        <v>264</v>
      </c>
      <c r="AG235">
        <v>1</v>
      </c>
      <c r="AH235" t="s">
        <v>264</v>
      </c>
      <c r="AI235">
        <v>55413988</v>
      </c>
      <c r="AJ235" t="s">
        <v>460</v>
      </c>
      <c r="AL235" t="s">
        <v>264</v>
      </c>
      <c r="AM235" s="6">
        <v>44792</v>
      </c>
      <c r="AN235" t="s">
        <v>461</v>
      </c>
      <c r="AO235" t="s">
        <v>268</v>
      </c>
      <c r="AP235">
        <v>1204</v>
      </c>
      <c r="AQ235" t="s">
        <v>269</v>
      </c>
      <c r="AR235">
        <v>264850</v>
      </c>
      <c r="AU235" t="s">
        <v>264</v>
      </c>
      <c r="AV235" t="s">
        <v>270</v>
      </c>
      <c r="AX235">
        <v>22001008</v>
      </c>
      <c r="AY235">
        <v>630600</v>
      </c>
      <c r="AZ235">
        <v>1204.6306</v>
      </c>
      <c r="BA235" s="28" t="s">
        <v>124</v>
      </c>
    </row>
    <row r="236" spans="1:53">
      <c r="A236" t="s">
        <v>424</v>
      </c>
      <c r="B236" t="s">
        <v>425</v>
      </c>
      <c r="C236">
        <v>22003595</v>
      </c>
      <c r="D236">
        <v>1204</v>
      </c>
      <c r="E236" s="6">
        <v>44792</v>
      </c>
      <c r="F236" t="s">
        <v>460</v>
      </c>
      <c r="G236">
        <v>0.82</v>
      </c>
      <c r="H236">
        <v>0.82</v>
      </c>
      <c r="I236" t="s">
        <v>263</v>
      </c>
      <c r="J236" t="s">
        <v>263</v>
      </c>
      <c r="L236" s="29">
        <v>11892.42</v>
      </c>
      <c r="N236" s="29">
        <v>11892.42</v>
      </c>
      <c r="O236" t="s">
        <v>264</v>
      </c>
      <c r="Q236" t="s">
        <v>264</v>
      </c>
      <c r="R236" t="s">
        <v>265</v>
      </c>
      <c r="S236">
        <v>14480</v>
      </c>
      <c r="T236" t="s">
        <v>266</v>
      </c>
      <c r="U236" t="s">
        <v>267</v>
      </c>
      <c r="V236" t="s">
        <v>427</v>
      </c>
      <c r="W236" t="s">
        <v>428</v>
      </c>
      <c r="X236">
        <v>1934074</v>
      </c>
      <c r="Y236" s="6">
        <v>44792</v>
      </c>
      <c r="Z236" t="s">
        <v>264</v>
      </c>
      <c r="AA236">
        <v>1</v>
      </c>
      <c r="AB236" t="s">
        <v>264</v>
      </c>
      <c r="AD236" t="s">
        <v>264</v>
      </c>
      <c r="AE236" t="s">
        <v>264</v>
      </c>
      <c r="AF236" t="s">
        <v>264</v>
      </c>
      <c r="AG236">
        <v>3</v>
      </c>
      <c r="AH236" t="s">
        <v>264</v>
      </c>
      <c r="AI236">
        <v>55413988</v>
      </c>
      <c r="AJ236" t="s">
        <v>460</v>
      </c>
      <c r="AL236" t="s">
        <v>264</v>
      </c>
      <c r="AM236" s="6">
        <v>44792</v>
      </c>
      <c r="AN236" t="s">
        <v>461</v>
      </c>
      <c r="AO236" t="s">
        <v>268</v>
      </c>
      <c r="AP236">
        <v>1204</v>
      </c>
      <c r="AQ236" t="s">
        <v>269</v>
      </c>
      <c r="AR236">
        <v>264850</v>
      </c>
      <c r="AU236" t="s">
        <v>264</v>
      </c>
      <c r="AV236" t="s">
        <v>270</v>
      </c>
      <c r="AX236">
        <v>22001008</v>
      </c>
      <c r="AY236">
        <v>630600</v>
      </c>
      <c r="AZ236">
        <v>1204.6306</v>
      </c>
      <c r="BA236" s="28" t="s">
        <v>124</v>
      </c>
    </row>
    <row r="237" spans="1:53">
      <c r="A237" t="s">
        <v>424</v>
      </c>
      <c r="B237" t="s">
        <v>425</v>
      </c>
      <c r="C237">
        <v>22003596</v>
      </c>
      <c r="D237">
        <v>1204</v>
      </c>
      <c r="E237" s="6">
        <v>44792</v>
      </c>
      <c r="F237" t="s">
        <v>460</v>
      </c>
      <c r="G237">
        <v>0.82</v>
      </c>
      <c r="H237">
        <v>0.82</v>
      </c>
      <c r="I237" t="s">
        <v>263</v>
      </c>
      <c r="J237" t="s">
        <v>263</v>
      </c>
      <c r="L237" s="29">
        <v>11892.42</v>
      </c>
      <c r="N237" s="29">
        <v>11892.42</v>
      </c>
      <c r="O237" t="s">
        <v>264</v>
      </c>
      <c r="Q237" t="s">
        <v>264</v>
      </c>
      <c r="R237" t="s">
        <v>265</v>
      </c>
      <c r="S237">
        <v>14480</v>
      </c>
      <c r="T237" t="s">
        <v>266</v>
      </c>
      <c r="U237" t="s">
        <v>267</v>
      </c>
      <c r="V237" t="s">
        <v>427</v>
      </c>
      <c r="W237" t="s">
        <v>428</v>
      </c>
      <c r="X237">
        <v>1934074</v>
      </c>
      <c r="Y237" s="6">
        <v>44792</v>
      </c>
      <c r="Z237" t="s">
        <v>264</v>
      </c>
      <c r="AA237">
        <v>1</v>
      </c>
      <c r="AB237" t="s">
        <v>264</v>
      </c>
      <c r="AD237" t="s">
        <v>264</v>
      </c>
      <c r="AE237" t="s">
        <v>264</v>
      </c>
      <c r="AF237" t="s">
        <v>264</v>
      </c>
      <c r="AG237">
        <v>3</v>
      </c>
      <c r="AH237" t="s">
        <v>264</v>
      </c>
      <c r="AI237">
        <v>55413988</v>
      </c>
      <c r="AJ237" t="s">
        <v>460</v>
      </c>
      <c r="AL237" t="s">
        <v>264</v>
      </c>
      <c r="AM237" s="6">
        <v>44792</v>
      </c>
      <c r="AN237" t="s">
        <v>461</v>
      </c>
      <c r="AO237" t="s">
        <v>268</v>
      </c>
      <c r="AP237">
        <v>1204</v>
      </c>
      <c r="AQ237" t="s">
        <v>269</v>
      </c>
      <c r="AR237">
        <v>264850</v>
      </c>
      <c r="AU237" t="s">
        <v>264</v>
      </c>
      <c r="AV237" t="s">
        <v>270</v>
      </c>
      <c r="AX237">
        <v>22001008</v>
      </c>
      <c r="AY237">
        <v>630600</v>
      </c>
      <c r="AZ237">
        <v>1204.6306</v>
      </c>
      <c r="BA237" s="28" t="s">
        <v>124</v>
      </c>
    </row>
    <row r="238" spans="1:53">
      <c r="A238" t="s">
        <v>424</v>
      </c>
      <c r="B238" t="s">
        <v>425</v>
      </c>
      <c r="C238">
        <v>22003597</v>
      </c>
      <c r="D238">
        <v>1204</v>
      </c>
      <c r="E238" s="6">
        <v>44792</v>
      </c>
      <c r="F238" t="s">
        <v>460</v>
      </c>
      <c r="G238">
        <v>102.68</v>
      </c>
      <c r="H238">
        <v>102.68</v>
      </c>
      <c r="I238" t="s">
        <v>263</v>
      </c>
      <c r="J238" t="s">
        <v>263</v>
      </c>
      <c r="L238" s="29">
        <v>1486552.5</v>
      </c>
      <c r="N238" s="29">
        <v>1486552.5</v>
      </c>
      <c r="O238" t="s">
        <v>264</v>
      </c>
      <c r="Q238" t="s">
        <v>264</v>
      </c>
      <c r="R238" t="s">
        <v>265</v>
      </c>
      <c r="S238">
        <v>14480</v>
      </c>
      <c r="T238" t="s">
        <v>266</v>
      </c>
      <c r="U238" t="s">
        <v>267</v>
      </c>
      <c r="V238" t="s">
        <v>427</v>
      </c>
      <c r="W238" t="s">
        <v>428</v>
      </c>
      <c r="X238">
        <v>1934074</v>
      </c>
      <c r="Y238" s="6">
        <v>44792</v>
      </c>
      <c r="Z238" t="s">
        <v>264</v>
      </c>
      <c r="AA238">
        <v>1</v>
      </c>
      <c r="AB238" t="s">
        <v>264</v>
      </c>
      <c r="AD238" t="s">
        <v>264</v>
      </c>
      <c r="AE238" t="s">
        <v>264</v>
      </c>
      <c r="AF238" t="s">
        <v>264</v>
      </c>
      <c r="AG238">
        <v>375</v>
      </c>
      <c r="AH238" t="s">
        <v>264</v>
      </c>
      <c r="AI238">
        <v>55413988</v>
      </c>
      <c r="AJ238" t="s">
        <v>460</v>
      </c>
      <c r="AL238" t="s">
        <v>264</v>
      </c>
      <c r="AM238" s="6">
        <v>44792</v>
      </c>
      <c r="AN238" t="s">
        <v>461</v>
      </c>
      <c r="AO238" t="s">
        <v>268</v>
      </c>
      <c r="AP238">
        <v>1204</v>
      </c>
      <c r="AQ238" t="s">
        <v>269</v>
      </c>
      <c r="AR238">
        <v>264850</v>
      </c>
      <c r="AU238" t="s">
        <v>264</v>
      </c>
      <c r="AV238" t="s">
        <v>270</v>
      </c>
      <c r="AX238">
        <v>22001008</v>
      </c>
      <c r="AY238">
        <v>630600</v>
      </c>
      <c r="AZ238">
        <v>1204.6306</v>
      </c>
      <c r="BA238" s="28" t="s">
        <v>124</v>
      </c>
    </row>
    <row r="239" spans="1:53">
      <c r="A239" t="s">
        <v>424</v>
      </c>
      <c r="B239" t="s">
        <v>425</v>
      </c>
      <c r="C239">
        <v>22003598</v>
      </c>
      <c r="D239">
        <v>1204</v>
      </c>
      <c r="E239" s="6">
        <v>44792</v>
      </c>
      <c r="F239" t="s">
        <v>460</v>
      </c>
      <c r="G239">
        <v>101.85</v>
      </c>
      <c r="H239">
        <v>101.85</v>
      </c>
      <c r="I239" t="s">
        <v>263</v>
      </c>
      <c r="J239" t="s">
        <v>263</v>
      </c>
      <c r="L239" s="29">
        <v>1474660.08</v>
      </c>
      <c r="N239" s="29">
        <v>1474660.08</v>
      </c>
      <c r="O239" t="s">
        <v>264</v>
      </c>
      <c r="Q239" t="s">
        <v>264</v>
      </c>
      <c r="R239" t="s">
        <v>265</v>
      </c>
      <c r="S239">
        <v>14480</v>
      </c>
      <c r="T239" t="s">
        <v>266</v>
      </c>
      <c r="U239" t="s">
        <v>267</v>
      </c>
      <c r="V239" t="s">
        <v>427</v>
      </c>
      <c r="W239" t="s">
        <v>428</v>
      </c>
      <c r="X239">
        <v>1934074</v>
      </c>
      <c r="Y239" s="6">
        <v>44792</v>
      </c>
      <c r="Z239" t="s">
        <v>264</v>
      </c>
      <c r="AA239">
        <v>1</v>
      </c>
      <c r="AB239" t="s">
        <v>264</v>
      </c>
      <c r="AD239" t="s">
        <v>264</v>
      </c>
      <c r="AE239" t="s">
        <v>264</v>
      </c>
      <c r="AF239" t="s">
        <v>264</v>
      </c>
      <c r="AG239">
        <v>372</v>
      </c>
      <c r="AH239" t="s">
        <v>264</v>
      </c>
      <c r="AI239">
        <v>55413988</v>
      </c>
      <c r="AJ239" t="s">
        <v>460</v>
      </c>
      <c r="AL239" t="s">
        <v>264</v>
      </c>
      <c r="AM239" s="6">
        <v>44792</v>
      </c>
      <c r="AN239" t="s">
        <v>461</v>
      </c>
      <c r="AO239" t="s">
        <v>268</v>
      </c>
      <c r="AP239">
        <v>1204</v>
      </c>
      <c r="AQ239" t="s">
        <v>269</v>
      </c>
      <c r="AR239">
        <v>264850</v>
      </c>
      <c r="AU239" t="s">
        <v>264</v>
      </c>
      <c r="AV239" t="s">
        <v>270</v>
      </c>
      <c r="AX239">
        <v>22001008</v>
      </c>
      <c r="AY239">
        <v>630600</v>
      </c>
      <c r="AZ239">
        <v>1204.6306</v>
      </c>
      <c r="BA239" s="28" t="s">
        <v>124</v>
      </c>
    </row>
    <row r="240" spans="1:53">
      <c r="A240" t="s">
        <v>424</v>
      </c>
      <c r="B240" t="s">
        <v>425</v>
      </c>
      <c r="C240">
        <v>22003599</v>
      </c>
      <c r="D240">
        <v>1204</v>
      </c>
      <c r="E240" s="6">
        <v>44792</v>
      </c>
      <c r="F240" t="s">
        <v>460</v>
      </c>
      <c r="G240">
        <v>150.86000000000001</v>
      </c>
      <c r="H240">
        <v>150.86000000000001</v>
      </c>
      <c r="I240" t="s">
        <v>263</v>
      </c>
      <c r="J240" t="s">
        <v>263</v>
      </c>
      <c r="L240" s="29">
        <v>2184241.14</v>
      </c>
      <c r="N240" s="29">
        <v>2184241.14</v>
      </c>
      <c r="O240" t="s">
        <v>264</v>
      </c>
      <c r="Q240" t="s">
        <v>264</v>
      </c>
      <c r="R240" t="s">
        <v>265</v>
      </c>
      <c r="S240">
        <v>14480</v>
      </c>
      <c r="T240" t="s">
        <v>266</v>
      </c>
      <c r="U240" t="s">
        <v>267</v>
      </c>
      <c r="V240" t="s">
        <v>427</v>
      </c>
      <c r="W240" t="s">
        <v>428</v>
      </c>
      <c r="X240">
        <v>1934074</v>
      </c>
      <c r="Y240" s="6">
        <v>44792</v>
      </c>
      <c r="Z240" t="s">
        <v>264</v>
      </c>
      <c r="AA240">
        <v>1</v>
      </c>
      <c r="AB240" t="s">
        <v>264</v>
      </c>
      <c r="AD240" t="s">
        <v>264</v>
      </c>
      <c r="AE240" t="s">
        <v>264</v>
      </c>
      <c r="AF240" t="s">
        <v>264</v>
      </c>
      <c r="AG240">
        <v>551</v>
      </c>
      <c r="AH240" t="s">
        <v>264</v>
      </c>
      <c r="AI240">
        <v>55413988</v>
      </c>
      <c r="AJ240" t="s">
        <v>460</v>
      </c>
      <c r="AL240" t="s">
        <v>264</v>
      </c>
      <c r="AM240" s="6">
        <v>44792</v>
      </c>
      <c r="AN240" t="s">
        <v>461</v>
      </c>
      <c r="AO240" t="s">
        <v>268</v>
      </c>
      <c r="AP240">
        <v>1204</v>
      </c>
      <c r="AQ240" t="s">
        <v>269</v>
      </c>
      <c r="AR240">
        <v>264850</v>
      </c>
      <c r="AU240" t="s">
        <v>264</v>
      </c>
      <c r="AV240" t="s">
        <v>270</v>
      </c>
      <c r="AX240">
        <v>22001008</v>
      </c>
      <c r="AY240">
        <v>630600</v>
      </c>
      <c r="AZ240">
        <v>1204.6306</v>
      </c>
      <c r="BA240" s="28" t="s">
        <v>124</v>
      </c>
    </row>
    <row r="241" spans="1:53">
      <c r="A241" t="s">
        <v>424</v>
      </c>
      <c r="B241" t="s">
        <v>425</v>
      </c>
      <c r="C241">
        <v>22003600</v>
      </c>
      <c r="D241">
        <v>1204</v>
      </c>
      <c r="E241" s="6">
        <v>44792</v>
      </c>
      <c r="F241" t="s">
        <v>460</v>
      </c>
      <c r="G241">
        <v>102.68</v>
      </c>
      <c r="H241">
        <v>102.68</v>
      </c>
      <c r="I241" t="s">
        <v>263</v>
      </c>
      <c r="J241" t="s">
        <v>263</v>
      </c>
      <c r="L241" s="29">
        <v>1486552.5</v>
      </c>
      <c r="N241" s="29">
        <v>1486552.5</v>
      </c>
      <c r="O241" t="s">
        <v>264</v>
      </c>
      <c r="Q241" t="s">
        <v>264</v>
      </c>
      <c r="R241" t="s">
        <v>265</v>
      </c>
      <c r="S241">
        <v>14480</v>
      </c>
      <c r="T241" t="s">
        <v>266</v>
      </c>
      <c r="U241" t="s">
        <v>267</v>
      </c>
      <c r="V241" t="s">
        <v>427</v>
      </c>
      <c r="W241" t="s">
        <v>428</v>
      </c>
      <c r="X241">
        <v>1934074</v>
      </c>
      <c r="Y241" s="6">
        <v>44792</v>
      </c>
      <c r="Z241" t="s">
        <v>264</v>
      </c>
      <c r="AA241">
        <v>1</v>
      </c>
      <c r="AB241" t="s">
        <v>264</v>
      </c>
      <c r="AD241" t="s">
        <v>264</v>
      </c>
      <c r="AE241" t="s">
        <v>264</v>
      </c>
      <c r="AF241" t="s">
        <v>264</v>
      </c>
      <c r="AG241">
        <v>375</v>
      </c>
      <c r="AH241" t="s">
        <v>264</v>
      </c>
      <c r="AI241">
        <v>55413988</v>
      </c>
      <c r="AJ241" t="s">
        <v>460</v>
      </c>
      <c r="AL241" t="s">
        <v>264</v>
      </c>
      <c r="AM241" s="6">
        <v>44792</v>
      </c>
      <c r="AN241" t="s">
        <v>461</v>
      </c>
      <c r="AO241" t="s">
        <v>268</v>
      </c>
      <c r="AP241">
        <v>1204</v>
      </c>
      <c r="AQ241" t="s">
        <v>269</v>
      </c>
      <c r="AR241">
        <v>264850</v>
      </c>
      <c r="AU241" t="s">
        <v>264</v>
      </c>
      <c r="AV241" t="s">
        <v>270</v>
      </c>
      <c r="AX241">
        <v>22001008</v>
      </c>
      <c r="AY241">
        <v>630600</v>
      </c>
      <c r="AZ241">
        <v>1204.6306</v>
      </c>
      <c r="BA241" s="28" t="s">
        <v>124</v>
      </c>
    </row>
    <row r="242" spans="1:53">
      <c r="A242" t="s">
        <v>424</v>
      </c>
      <c r="B242" t="s">
        <v>425</v>
      </c>
      <c r="C242">
        <v>22003601</v>
      </c>
      <c r="D242">
        <v>1204</v>
      </c>
      <c r="E242" s="6">
        <v>44792</v>
      </c>
      <c r="F242" t="s">
        <v>460</v>
      </c>
      <c r="G242">
        <v>108.7</v>
      </c>
      <c r="H242">
        <v>108.7</v>
      </c>
      <c r="I242" t="s">
        <v>263</v>
      </c>
      <c r="J242" t="s">
        <v>263</v>
      </c>
      <c r="L242" s="29">
        <v>1573763.58</v>
      </c>
      <c r="N242" s="29">
        <v>1573763.58</v>
      </c>
      <c r="O242" t="s">
        <v>264</v>
      </c>
      <c r="Q242" t="s">
        <v>264</v>
      </c>
      <c r="R242" t="s">
        <v>265</v>
      </c>
      <c r="S242">
        <v>14480</v>
      </c>
      <c r="T242" t="s">
        <v>266</v>
      </c>
      <c r="U242" t="s">
        <v>267</v>
      </c>
      <c r="V242" t="s">
        <v>427</v>
      </c>
      <c r="W242" t="s">
        <v>428</v>
      </c>
      <c r="X242">
        <v>1934074</v>
      </c>
      <c r="Y242" s="6">
        <v>44792</v>
      </c>
      <c r="Z242" t="s">
        <v>264</v>
      </c>
      <c r="AA242">
        <v>1</v>
      </c>
      <c r="AB242" t="s">
        <v>264</v>
      </c>
      <c r="AD242" t="s">
        <v>264</v>
      </c>
      <c r="AE242" t="s">
        <v>264</v>
      </c>
      <c r="AF242" t="s">
        <v>264</v>
      </c>
      <c r="AG242">
        <v>397</v>
      </c>
      <c r="AH242" t="s">
        <v>264</v>
      </c>
      <c r="AI242">
        <v>55413988</v>
      </c>
      <c r="AJ242" t="s">
        <v>460</v>
      </c>
      <c r="AL242" t="s">
        <v>264</v>
      </c>
      <c r="AM242" s="6">
        <v>44792</v>
      </c>
      <c r="AN242" t="s">
        <v>461</v>
      </c>
      <c r="AO242" t="s">
        <v>268</v>
      </c>
      <c r="AP242">
        <v>1204</v>
      </c>
      <c r="AQ242" t="s">
        <v>269</v>
      </c>
      <c r="AR242">
        <v>264850</v>
      </c>
      <c r="AU242" t="s">
        <v>264</v>
      </c>
      <c r="AV242" t="s">
        <v>270</v>
      </c>
      <c r="AX242">
        <v>22001008</v>
      </c>
      <c r="AY242">
        <v>630600</v>
      </c>
      <c r="AZ242">
        <v>1204.6306</v>
      </c>
      <c r="BA242" s="28" t="s">
        <v>124</v>
      </c>
    </row>
    <row r="243" spans="1:53">
      <c r="A243" t="s">
        <v>424</v>
      </c>
      <c r="B243" t="s">
        <v>425</v>
      </c>
      <c r="C243">
        <v>22003602</v>
      </c>
      <c r="D243">
        <v>1204</v>
      </c>
      <c r="E243" s="6">
        <v>44792</v>
      </c>
      <c r="F243" t="s">
        <v>460</v>
      </c>
      <c r="G243">
        <v>102.68</v>
      </c>
      <c r="H243">
        <v>102.68</v>
      </c>
      <c r="I243" t="s">
        <v>263</v>
      </c>
      <c r="J243" t="s">
        <v>263</v>
      </c>
      <c r="L243" s="29">
        <v>1486552.5</v>
      </c>
      <c r="N243" s="29">
        <v>1486552.5</v>
      </c>
      <c r="O243" t="s">
        <v>264</v>
      </c>
      <c r="Q243" t="s">
        <v>264</v>
      </c>
      <c r="R243" t="s">
        <v>265</v>
      </c>
      <c r="S243">
        <v>14480</v>
      </c>
      <c r="T243" t="s">
        <v>266</v>
      </c>
      <c r="U243" t="s">
        <v>267</v>
      </c>
      <c r="V243" t="s">
        <v>427</v>
      </c>
      <c r="W243" t="s">
        <v>428</v>
      </c>
      <c r="X243">
        <v>1934074</v>
      </c>
      <c r="Y243" s="6">
        <v>44792</v>
      </c>
      <c r="Z243" t="s">
        <v>264</v>
      </c>
      <c r="AA243">
        <v>1</v>
      </c>
      <c r="AB243" t="s">
        <v>264</v>
      </c>
      <c r="AD243" t="s">
        <v>264</v>
      </c>
      <c r="AE243" t="s">
        <v>264</v>
      </c>
      <c r="AF243" t="s">
        <v>264</v>
      </c>
      <c r="AG243">
        <v>375</v>
      </c>
      <c r="AH243" t="s">
        <v>264</v>
      </c>
      <c r="AI243">
        <v>55413988</v>
      </c>
      <c r="AJ243" t="s">
        <v>460</v>
      </c>
      <c r="AL243" t="s">
        <v>264</v>
      </c>
      <c r="AM243" s="6">
        <v>44792</v>
      </c>
      <c r="AN243" t="s">
        <v>461</v>
      </c>
      <c r="AO243" t="s">
        <v>268</v>
      </c>
      <c r="AP243">
        <v>1204</v>
      </c>
      <c r="AQ243" t="s">
        <v>269</v>
      </c>
      <c r="AR243">
        <v>264850</v>
      </c>
      <c r="AU243" t="s">
        <v>264</v>
      </c>
      <c r="AV243" t="s">
        <v>270</v>
      </c>
      <c r="AX243">
        <v>22001008</v>
      </c>
      <c r="AY243">
        <v>630600</v>
      </c>
      <c r="AZ243">
        <v>1204.6306</v>
      </c>
      <c r="BA243" s="28" t="s">
        <v>124</v>
      </c>
    </row>
    <row r="244" spans="1:53">
      <c r="A244" t="s">
        <v>424</v>
      </c>
      <c r="B244" t="s">
        <v>425</v>
      </c>
      <c r="C244">
        <v>22003603</v>
      </c>
      <c r="D244">
        <v>1204</v>
      </c>
      <c r="E244" s="6">
        <v>44792</v>
      </c>
      <c r="F244" t="s">
        <v>460</v>
      </c>
      <c r="G244">
        <v>41.62</v>
      </c>
      <c r="H244">
        <v>41.62</v>
      </c>
      <c r="I244" t="s">
        <v>263</v>
      </c>
      <c r="J244" t="s">
        <v>263</v>
      </c>
      <c r="L244" s="29">
        <v>602549.28</v>
      </c>
      <c r="N244" s="29">
        <v>602549.28</v>
      </c>
      <c r="O244" t="s">
        <v>264</v>
      </c>
      <c r="Q244" t="s">
        <v>264</v>
      </c>
      <c r="R244" t="s">
        <v>265</v>
      </c>
      <c r="S244">
        <v>14480</v>
      </c>
      <c r="T244" t="s">
        <v>266</v>
      </c>
      <c r="U244" t="s">
        <v>267</v>
      </c>
      <c r="V244" t="s">
        <v>427</v>
      </c>
      <c r="W244" t="s">
        <v>428</v>
      </c>
      <c r="X244">
        <v>1934074</v>
      </c>
      <c r="Y244" s="6">
        <v>44792</v>
      </c>
      <c r="Z244" t="s">
        <v>264</v>
      </c>
      <c r="AA244">
        <v>1</v>
      </c>
      <c r="AB244" t="s">
        <v>264</v>
      </c>
      <c r="AD244" t="s">
        <v>264</v>
      </c>
      <c r="AE244" t="s">
        <v>264</v>
      </c>
      <c r="AF244" t="s">
        <v>264</v>
      </c>
      <c r="AG244">
        <v>152</v>
      </c>
      <c r="AH244" t="s">
        <v>264</v>
      </c>
      <c r="AI244">
        <v>55413988</v>
      </c>
      <c r="AJ244" t="s">
        <v>460</v>
      </c>
      <c r="AL244" t="s">
        <v>264</v>
      </c>
      <c r="AM244" s="6">
        <v>44792</v>
      </c>
      <c r="AN244" t="s">
        <v>461</v>
      </c>
      <c r="AO244" t="s">
        <v>268</v>
      </c>
      <c r="AP244">
        <v>1204</v>
      </c>
      <c r="AQ244" t="s">
        <v>269</v>
      </c>
      <c r="AR244">
        <v>264850</v>
      </c>
      <c r="AU244" t="s">
        <v>264</v>
      </c>
      <c r="AV244" t="s">
        <v>270</v>
      </c>
      <c r="AX244">
        <v>22001008</v>
      </c>
      <c r="AY244">
        <v>630600</v>
      </c>
      <c r="AZ244">
        <v>1204.6306</v>
      </c>
      <c r="BA244" s="28" t="s">
        <v>124</v>
      </c>
    </row>
    <row r="245" spans="1:53">
      <c r="A245" t="s">
        <v>424</v>
      </c>
      <c r="B245" t="s">
        <v>425</v>
      </c>
      <c r="C245">
        <v>22003604</v>
      </c>
      <c r="D245">
        <v>1204</v>
      </c>
      <c r="E245" s="6">
        <v>44792</v>
      </c>
      <c r="F245" t="s">
        <v>460</v>
      </c>
      <c r="G245">
        <v>106.46</v>
      </c>
      <c r="H245">
        <v>106.46</v>
      </c>
      <c r="I245" t="s">
        <v>263</v>
      </c>
      <c r="J245" t="s">
        <v>263</v>
      </c>
      <c r="L245" s="29">
        <v>1541610</v>
      </c>
      <c r="N245" s="29">
        <v>1541610</v>
      </c>
      <c r="O245" t="s">
        <v>264</v>
      </c>
      <c r="Q245" t="s">
        <v>264</v>
      </c>
      <c r="R245" t="s">
        <v>265</v>
      </c>
      <c r="S245">
        <v>14480</v>
      </c>
      <c r="T245" t="s">
        <v>266</v>
      </c>
      <c r="U245" t="s">
        <v>267</v>
      </c>
      <c r="V245" t="s">
        <v>427</v>
      </c>
      <c r="W245" t="s">
        <v>428</v>
      </c>
      <c r="X245">
        <v>1934074</v>
      </c>
      <c r="Y245" s="6">
        <v>44792</v>
      </c>
      <c r="Z245" t="s">
        <v>264</v>
      </c>
      <c r="AA245">
        <v>1</v>
      </c>
      <c r="AB245" t="s">
        <v>264</v>
      </c>
      <c r="AD245" t="s">
        <v>264</v>
      </c>
      <c r="AE245" t="s">
        <v>264</v>
      </c>
      <c r="AF245" t="s">
        <v>264</v>
      </c>
      <c r="AG245">
        <v>375</v>
      </c>
      <c r="AH245" t="s">
        <v>264</v>
      </c>
      <c r="AI245">
        <v>55413988</v>
      </c>
      <c r="AJ245" t="s">
        <v>460</v>
      </c>
      <c r="AL245" t="s">
        <v>264</v>
      </c>
      <c r="AM245" s="6">
        <v>44792</v>
      </c>
      <c r="AN245" t="s">
        <v>461</v>
      </c>
      <c r="AO245" t="s">
        <v>268</v>
      </c>
      <c r="AP245">
        <v>1204</v>
      </c>
      <c r="AQ245" t="s">
        <v>269</v>
      </c>
      <c r="AR245">
        <v>264850</v>
      </c>
      <c r="AU245" t="s">
        <v>264</v>
      </c>
      <c r="AV245" t="s">
        <v>270</v>
      </c>
      <c r="AX245">
        <v>22001008</v>
      </c>
      <c r="AY245">
        <v>630600</v>
      </c>
      <c r="AZ245">
        <v>1204.6306</v>
      </c>
      <c r="BA245" s="28" t="s">
        <v>124</v>
      </c>
    </row>
    <row r="246" spans="1:53">
      <c r="A246" t="s">
        <v>424</v>
      </c>
      <c r="B246" t="s">
        <v>425</v>
      </c>
      <c r="C246">
        <v>22003605</v>
      </c>
      <c r="D246">
        <v>1204</v>
      </c>
      <c r="E246" s="6">
        <v>44792</v>
      </c>
      <c r="F246" t="s">
        <v>460</v>
      </c>
      <c r="G246">
        <v>128.04</v>
      </c>
      <c r="H246">
        <v>128.04</v>
      </c>
      <c r="I246" t="s">
        <v>263</v>
      </c>
      <c r="J246" t="s">
        <v>263</v>
      </c>
      <c r="L246" s="29">
        <v>1854042.96</v>
      </c>
      <c r="N246" s="29">
        <v>1854042.96</v>
      </c>
      <c r="O246" t="s">
        <v>264</v>
      </c>
      <c r="Q246" t="s">
        <v>264</v>
      </c>
      <c r="R246" t="s">
        <v>265</v>
      </c>
      <c r="S246">
        <v>14480</v>
      </c>
      <c r="T246" t="s">
        <v>266</v>
      </c>
      <c r="U246" t="s">
        <v>267</v>
      </c>
      <c r="V246" t="s">
        <v>427</v>
      </c>
      <c r="W246" t="s">
        <v>428</v>
      </c>
      <c r="X246">
        <v>1934074</v>
      </c>
      <c r="Y246" s="6">
        <v>44792</v>
      </c>
      <c r="Z246" t="s">
        <v>264</v>
      </c>
      <c r="AA246">
        <v>1</v>
      </c>
      <c r="AB246" t="s">
        <v>264</v>
      </c>
      <c r="AD246" t="s">
        <v>264</v>
      </c>
      <c r="AE246" t="s">
        <v>264</v>
      </c>
      <c r="AF246" t="s">
        <v>264</v>
      </c>
      <c r="AG246">
        <v>451</v>
      </c>
      <c r="AH246" t="s">
        <v>264</v>
      </c>
      <c r="AI246">
        <v>55413988</v>
      </c>
      <c r="AJ246" t="s">
        <v>460</v>
      </c>
      <c r="AL246" t="s">
        <v>264</v>
      </c>
      <c r="AM246" s="6">
        <v>44792</v>
      </c>
      <c r="AN246" t="s">
        <v>461</v>
      </c>
      <c r="AO246" t="s">
        <v>268</v>
      </c>
      <c r="AP246">
        <v>1204</v>
      </c>
      <c r="AQ246" t="s">
        <v>269</v>
      </c>
      <c r="AR246">
        <v>264850</v>
      </c>
      <c r="AU246" t="s">
        <v>264</v>
      </c>
      <c r="AV246" t="s">
        <v>270</v>
      </c>
      <c r="AX246">
        <v>22001008</v>
      </c>
      <c r="AY246">
        <v>630600</v>
      </c>
      <c r="AZ246">
        <v>1204.6306</v>
      </c>
      <c r="BA246" s="28" t="s">
        <v>124</v>
      </c>
    </row>
    <row r="247" spans="1:53">
      <c r="A247" t="s">
        <v>424</v>
      </c>
      <c r="B247" t="s">
        <v>425</v>
      </c>
      <c r="C247">
        <v>22003606</v>
      </c>
      <c r="D247">
        <v>1204</v>
      </c>
      <c r="E247" s="6">
        <v>44792</v>
      </c>
      <c r="F247" t="s">
        <v>460</v>
      </c>
      <c r="G247">
        <v>112.71</v>
      </c>
      <c r="H247">
        <v>112.71</v>
      </c>
      <c r="I247" t="s">
        <v>263</v>
      </c>
      <c r="J247" t="s">
        <v>263</v>
      </c>
      <c r="L247" s="29">
        <v>1632051.12</v>
      </c>
      <c r="N247" s="29">
        <v>1632051.12</v>
      </c>
      <c r="O247" t="s">
        <v>264</v>
      </c>
      <c r="Q247" t="s">
        <v>264</v>
      </c>
      <c r="R247" t="s">
        <v>265</v>
      </c>
      <c r="S247">
        <v>14480</v>
      </c>
      <c r="T247" t="s">
        <v>266</v>
      </c>
      <c r="U247" t="s">
        <v>267</v>
      </c>
      <c r="V247" t="s">
        <v>427</v>
      </c>
      <c r="W247" t="s">
        <v>428</v>
      </c>
      <c r="X247">
        <v>1934074</v>
      </c>
      <c r="Y247" s="6">
        <v>44792</v>
      </c>
      <c r="Z247" t="s">
        <v>264</v>
      </c>
      <c r="AA247">
        <v>1</v>
      </c>
      <c r="AB247" t="s">
        <v>264</v>
      </c>
      <c r="AD247" t="s">
        <v>264</v>
      </c>
      <c r="AE247" t="s">
        <v>264</v>
      </c>
      <c r="AF247" t="s">
        <v>264</v>
      </c>
      <c r="AG247">
        <v>397</v>
      </c>
      <c r="AH247" t="s">
        <v>264</v>
      </c>
      <c r="AI247">
        <v>55413988</v>
      </c>
      <c r="AJ247" t="s">
        <v>460</v>
      </c>
      <c r="AL247" t="s">
        <v>264</v>
      </c>
      <c r="AM247" s="6">
        <v>44792</v>
      </c>
      <c r="AN247" t="s">
        <v>461</v>
      </c>
      <c r="AO247" t="s">
        <v>268</v>
      </c>
      <c r="AP247">
        <v>1204</v>
      </c>
      <c r="AQ247" t="s">
        <v>269</v>
      </c>
      <c r="AR247">
        <v>264850</v>
      </c>
      <c r="AU247" t="s">
        <v>264</v>
      </c>
      <c r="AV247" t="s">
        <v>270</v>
      </c>
      <c r="AX247">
        <v>22001008</v>
      </c>
      <c r="AY247">
        <v>630600</v>
      </c>
      <c r="AZ247">
        <v>1204.6306</v>
      </c>
      <c r="BA247" s="28" t="s">
        <v>124</v>
      </c>
    </row>
    <row r="248" spans="1:53">
      <c r="A248" t="s">
        <v>424</v>
      </c>
      <c r="B248" t="s">
        <v>425</v>
      </c>
      <c r="C248">
        <v>22003607</v>
      </c>
      <c r="D248">
        <v>1204</v>
      </c>
      <c r="E248" s="6">
        <v>44792</v>
      </c>
      <c r="F248" t="s">
        <v>460</v>
      </c>
      <c r="G248">
        <v>100.5</v>
      </c>
      <c r="H248">
        <v>100.5</v>
      </c>
      <c r="I248" t="s">
        <v>263</v>
      </c>
      <c r="J248" t="s">
        <v>263</v>
      </c>
      <c r="L248" s="29">
        <v>1455279.84</v>
      </c>
      <c r="N248" s="29">
        <v>1455279.84</v>
      </c>
      <c r="O248" t="s">
        <v>264</v>
      </c>
      <c r="Q248" t="s">
        <v>264</v>
      </c>
      <c r="R248" t="s">
        <v>265</v>
      </c>
      <c r="S248">
        <v>14480</v>
      </c>
      <c r="T248" t="s">
        <v>266</v>
      </c>
      <c r="U248" t="s">
        <v>267</v>
      </c>
      <c r="V248" t="s">
        <v>427</v>
      </c>
      <c r="W248" t="s">
        <v>428</v>
      </c>
      <c r="X248">
        <v>1934074</v>
      </c>
      <c r="Y248" s="6">
        <v>44792</v>
      </c>
      <c r="Z248" t="s">
        <v>264</v>
      </c>
      <c r="AA248">
        <v>1</v>
      </c>
      <c r="AB248" t="s">
        <v>264</v>
      </c>
      <c r="AD248" t="s">
        <v>264</v>
      </c>
      <c r="AE248" t="s">
        <v>264</v>
      </c>
      <c r="AF248" t="s">
        <v>264</v>
      </c>
      <c r="AG248">
        <v>354</v>
      </c>
      <c r="AH248" t="s">
        <v>264</v>
      </c>
      <c r="AI248">
        <v>55413988</v>
      </c>
      <c r="AJ248" t="s">
        <v>460</v>
      </c>
      <c r="AL248" t="s">
        <v>264</v>
      </c>
      <c r="AM248" s="6">
        <v>44792</v>
      </c>
      <c r="AN248" t="s">
        <v>461</v>
      </c>
      <c r="AO248" t="s">
        <v>268</v>
      </c>
      <c r="AP248">
        <v>1204</v>
      </c>
      <c r="AQ248" t="s">
        <v>269</v>
      </c>
      <c r="AR248">
        <v>264850</v>
      </c>
      <c r="AU248" t="s">
        <v>264</v>
      </c>
      <c r="AV248" t="s">
        <v>270</v>
      </c>
      <c r="AX248">
        <v>22001008</v>
      </c>
      <c r="AY248">
        <v>630600</v>
      </c>
      <c r="AZ248">
        <v>1204.6306</v>
      </c>
      <c r="BA248" s="28" t="s">
        <v>124</v>
      </c>
    </row>
    <row r="249" spans="1:53">
      <c r="A249" t="s">
        <v>424</v>
      </c>
      <c r="B249" t="s">
        <v>425</v>
      </c>
      <c r="C249">
        <v>22003608</v>
      </c>
      <c r="D249">
        <v>1204</v>
      </c>
      <c r="E249" s="6">
        <v>44792</v>
      </c>
      <c r="F249" t="s">
        <v>460</v>
      </c>
      <c r="G249">
        <v>106.46</v>
      </c>
      <c r="H249">
        <v>106.46</v>
      </c>
      <c r="I249" t="s">
        <v>263</v>
      </c>
      <c r="J249" t="s">
        <v>263</v>
      </c>
      <c r="L249" s="29">
        <v>1541610</v>
      </c>
      <c r="N249" s="29">
        <v>1541610</v>
      </c>
      <c r="O249" t="s">
        <v>264</v>
      </c>
      <c r="Q249" t="s">
        <v>264</v>
      </c>
      <c r="R249" t="s">
        <v>265</v>
      </c>
      <c r="S249">
        <v>14480</v>
      </c>
      <c r="T249" t="s">
        <v>266</v>
      </c>
      <c r="U249" t="s">
        <v>267</v>
      </c>
      <c r="V249" t="s">
        <v>427</v>
      </c>
      <c r="W249" t="s">
        <v>428</v>
      </c>
      <c r="X249">
        <v>1934074</v>
      </c>
      <c r="Y249" s="6">
        <v>44792</v>
      </c>
      <c r="Z249" t="s">
        <v>264</v>
      </c>
      <c r="AA249">
        <v>1</v>
      </c>
      <c r="AB249" t="s">
        <v>264</v>
      </c>
      <c r="AD249" t="s">
        <v>264</v>
      </c>
      <c r="AE249" t="s">
        <v>264</v>
      </c>
      <c r="AF249" t="s">
        <v>264</v>
      </c>
      <c r="AG249">
        <v>375</v>
      </c>
      <c r="AH249" t="s">
        <v>264</v>
      </c>
      <c r="AI249">
        <v>55413988</v>
      </c>
      <c r="AJ249" t="s">
        <v>460</v>
      </c>
      <c r="AL249" t="s">
        <v>264</v>
      </c>
      <c r="AM249" s="6">
        <v>44792</v>
      </c>
      <c r="AN249" t="s">
        <v>461</v>
      </c>
      <c r="AO249" t="s">
        <v>268</v>
      </c>
      <c r="AP249">
        <v>1204</v>
      </c>
      <c r="AQ249" t="s">
        <v>269</v>
      </c>
      <c r="AR249">
        <v>264850</v>
      </c>
      <c r="AU249" t="s">
        <v>264</v>
      </c>
      <c r="AV249" t="s">
        <v>270</v>
      </c>
      <c r="AX249">
        <v>22001008</v>
      </c>
      <c r="AY249">
        <v>630600</v>
      </c>
      <c r="AZ249">
        <v>1204.6306</v>
      </c>
      <c r="BA249" s="28" t="s">
        <v>124</v>
      </c>
    </row>
    <row r="250" spans="1:53">
      <c r="A250" t="s">
        <v>424</v>
      </c>
      <c r="B250" t="s">
        <v>425</v>
      </c>
      <c r="C250">
        <v>22003609</v>
      </c>
      <c r="D250">
        <v>1204</v>
      </c>
      <c r="E250" s="6">
        <v>44792</v>
      </c>
      <c r="F250" t="s">
        <v>460</v>
      </c>
      <c r="G250">
        <v>106.46</v>
      </c>
      <c r="H250">
        <v>106.46</v>
      </c>
      <c r="I250" t="s">
        <v>263</v>
      </c>
      <c r="J250" t="s">
        <v>263</v>
      </c>
      <c r="L250" s="29">
        <v>1541610</v>
      </c>
      <c r="N250" s="29">
        <v>1541610</v>
      </c>
      <c r="O250" t="s">
        <v>264</v>
      </c>
      <c r="Q250" t="s">
        <v>264</v>
      </c>
      <c r="R250" t="s">
        <v>265</v>
      </c>
      <c r="S250">
        <v>14480</v>
      </c>
      <c r="T250" t="s">
        <v>266</v>
      </c>
      <c r="U250" t="s">
        <v>267</v>
      </c>
      <c r="V250" t="s">
        <v>427</v>
      </c>
      <c r="W250" t="s">
        <v>428</v>
      </c>
      <c r="X250">
        <v>1934074</v>
      </c>
      <c r="Y250" s="6">
        <v>44792</v>
      </c>
      <c r="Z250" t="s">
        <v>264</v>
      </c>
      <c r="AA250">
        <v>1</v>
      </c>
      <c r="AB250" t="s">
        <v>264</v>
      </c>
      <c r="AD250" t="s">
        <v>264</v>
      </c>
      <c r="AE250" t="s">
        <v>264</v>
      </c>
      <c r="AF250" t="s">
        <v>264</v>
      </c>
      <c r="AG250">
        <v>375</v>
      </c>
      <c r="AH250" t="s">
        <v>264</v>
      </c>
      <c r="AI250">
        <v>55413988</v>
      </c>
      <c r="AJ250" t="s">
        <v>460</v>
      </c>
      <c r="AL250" t="s">
        <v>264</v>
      </c>
      <c r="AM250" s="6">
        <v>44792</v>
      </c>
      <c r="AN250" t="s">
        <v>461</v>
      </c>
      <c r="AO250" t="s">
        <v>268</v>
      </c>
      <c r="AP250">
        <v>1204</v>
      </c>
      <c r="AQ250" t="s">
        <v>269</v>
      </c>
      <c r="AR250">
        <v>264850</v>
      </c>
      <c r="AU250" t="s">
        <v>264</v>
      </c>
      <c r="AV250" t="s">
        <v>270</v>
      </c>
      <c r="AX250">
        <v>22001008</v>
      </c>
      <c r="AY250">
        <v>630600</v>
      </c>
      <c r="AZ250">
        <v>1204.6306</v>
      </c>
      <c r="BA250" s="28" t="s">
        <v>124</v>
      </c>
    </row>
    <row r="251" spans="1:53">
      <c r="A251" t="s">
        <v>424</v>
      </c>
      <c r="B251" t="s">
        <v>425</v>
      </c>
      <c r="C251">
        <v>22003614</v>
      </c>
      <c r="D251">
        <v>1204</v>
      </c>
      <c r="E251" s="6">
        <v>44796</v>
      </c>
      <c r="F251" t="s">
        <v>460</v>
      </c>
      <c r="G251">
        <v>-1.1000000000000001</v>
      </c>
      <c r="I251" t="s">
        <v>263</v>
      </c>
      <c r="J251" t="s">
        <v>263</v>
      </c>
      <c r="K251">
        <v>-1.1000000000000001</v>
      </c>
      <c r="M251" s="29">
        <v>-15856.56</v>
      </c>
      <c r="N251" s="29">
        <v>-15856.56</v>
      </c>
      <c r="O251" t="s">
        <v>264</v>
      </c>
      <c r="Q251" t="s">
        <v>264</v>
      </c>
      <c r="R251" t="s">
        <v>265</v>
      </c>
      <c r="S251">
        <v>14480</v>
      </c>
      <c r="T251" t="s">
        <v>266</v>
      </c>
      <c r="U251" t="s">
        <v>267</v>
      </c>
      <c r="V251" t="s">
        <v>427</v>
      </c>
      <c r="W251" t="s">
        <v>428</v>
      </c>
      <c r="X251">
        <v>1934485</v>
      </c>
      <c r="Y251" s="6">
        <v>44796</v>
      </c>
      <c r="Z251" t="s">
        <v>264</v>
      </c>
      <c r="AA251">
        <v>1</v>
      </c>
      <c r="AB251" t="s">
        <v>264</v>
      </c>
      <c r="AD251" t="s">
        <v>264</v>
      </c>
      <c r="AE251" t="s">
        <v>264</v>
      </c>
      <c r="AF251" t="s">
        <v>264</v>
      </c>
      <c r="AG251">
        <v>-4</v>
      </c>
      <c r="AH251" t="s">
        <v>264</v>
      </c>
      <c r="AI251">
        <v>55413988</v>
      </c>
      <c r="AJ251" t="s">
        <v>460</v>
      </c>
      <c r="AL251" t="s">
        <v>264</v>
      </c>
      <c r="AM251" s="6">
        <v>44796</v>
      </c>
      <c r="AN251" t="s">
        <v>461</v>
      </c>
      <c r="AO251" t="s">
        <v>268</v>
      </c>
      <c r="AP251">
        <v>1204</v>
      </c>
      <c r="AQ251" t="s">
        <v>269</v>
      </c>
      <c r="AR251">
        <v>264850</v>
      </c>
      <c r="AU251" t="s">
        <v>264</v>
      </c>
      <c r="AV251" t="s">
        <v>270</v>
      </c>
      <c r="AX251">
        <v>22001008</v>
      </c>
      <c r="AY251">
        <v>630600</v>
      </c>
      <c r="AZ251">
        <v>1204.6306</v>
      </c>
      <c r="BA251" s="28" t="s">
        <v>124</v>
      </c>
    </row>
    <row r="252" spans="1:53">
      <c r="A252" t="s">
        <v>424</v>
      </c>
      <c r="B252" t="s">
        <v>425</v>
      </c>
      <c r="C252">
        <v>22003615</v>
      </c>
      <c r="D252">
        <v>1204</v>
      </c>
      <c r="E252" s="6">
        <v>44796</v>
      </c>
      <c r="F252" t="s">
        <v>460</v>
      </c>
      <c r="G252">
        <v>-1.1000000000000001</v>
      </c>
      <c r="I252" t="s">
        <v>263</v>
      </c>
      <c r="J252" t="s">
        <v>263</v>
      </c>
      <c r="K252">
        <v>-1.1000000000000001</v>
      </c>
      <c r="M252" s="29">
        <v>-15856.56</v>
      </c>
      <c r="N252" s="29">
        <v>-15856.56</v>
      </c>
      <c r="O252" t="s">
        <v>264</v>
      </c>
      <c r="Q252" t="s">
        <v>264</v>
      </c>
      <c r="R252" t="s">
        <v>265</v>
      </c>
      <c r="S252">
        <v>14480</v>
      </c>
      <c r="T252" t="s">
        <v>266</v>
      </c>
      <c r="U252" t="s">
        <v>267</v>
      </c>
      <c r="V252" t="s">
        <v>427</v>
      </c>
      <c r="W252" t="s">
        <v>428</v>
      </c>
      <c r="X252">
        <v>1934486</v>
      </c>
      <c r="Y252" s="6">
        <v>44796</v>
      </c>
      <c r="Z252" t="s">
        <v>264</v>
      </c>
      <c r="AA252">
        <v>1</v>
      </c>
      <c r="AB252" t="s">
        <v>264</v>
      </c>
      <c r="AD252" t="s">
        <v>264</v>
      </c>
      <c r="AE252" t="s">
        <v>264</v>
      </c>
      <c r="AF252" t="s">
        <v>264</v>
      </c>
      <c r="AG252">
        <v>-4</v>
      </c>
      <c r="AH252" t="s">
        <v>264</v>
      </c>
      <c r="AI252">
        <v>55413988</v>
      </c>
      <c r="AJ252" t="s">
        <v>460</v>
      </c>
      <c r="AL252" t="s">
        <v>264</v>
      </c>
      <c r="AM252" s="6">
        <v>44796</v>
      </c>
      <c r="AN252" t="s">
        <v>461</v>
      </c>
      <c r="AO252" t="s">
        <v>268</v>
      </c>
      <c r="AP252">
        <v>1204</v>
      </c>
      <c r="AQ252" t="s">
        <v>269</v>
      </c>
      <c r="AR252">
        <v>264850</v>
      </c>
      <c r="AU252" t="s">
        <v>264</v>
      </c>
      <c r="AV252" t="s">
        <v>270</v>
      </c>
      <c r="AX252">
        <v>22001008</v>
      </c>
      <c r="AY252">
        <v>630600</v>
      </c>
      <c r="AZ252">
        <v>1204.6306</v>
      </c>
      <c r="BA252" s="28" t="s">
        <v>124</v>
      </c>
    </row>
    <row r="253" spans="1:53">
      <c r="A253" t="s">
        <v>424</v>
      </c>
      <c r="B253" t="s">
        <v>425</v>
      </c>
      <c r="C253">
        <v>22003616</v>
      </c>
      <c r="D253">
        <v>1204</v>
      </c>
      <c r="E253" s="6">
        <v>44796</v>
      </c>
      <c r="F253" t="s">
        <v>460</v>
      </c>
      <c r="G253">
        <v>-0.82</v>
      </c>
      <c r="I253" t="s">
        <v>263</v>
      </c>
      <c r="J253" t="s">
        <v>263</v>
      </c>
      <c r="K253">
        <v>-0.82</v>
      </c>
      <c r="M253" s="29">
        <v>-11892.42</v>
      </c>
      <c r="N253" s="29">
        <v>-11892.42</v>
      </c>
      <c r="O253" t="s">
        <v>264</v>
      </c>
      <c r="Q253" t="s">
        <v>264</v>
      </c>
      <c r="R253" t="s">
        <v>265</v>
      </c>
      <c r="S253">
        <v>14480</v>
      </c>
      <c r="T253" t="s">
        <v>266</v>
      </c>
      <c r="U253" t="s">
        <v>267</v>
      </c>
      <c r="V253" t="s">
        <v>427</v>
      </c>
      <c r="W253" t="s">
        <v>428</v>
      </c>
      <c r="X253">
        <v>1934487</v>
      </c>
      <c r="Y253" s="6">
        <v>44796</v>
      </c>
      <c r="Z253" t="s">
        <v>264</v>
      </c>
      <c r="AA253">
        <v>1</v>
      </c>
      <c r="AB253" t="s">
        <v>264</v>
      </c>
      <c r="AD253" t="s">
        <v>264</v>
      </c>
      <c r="AE253" t="s">
        <v>264</v>
      </c>
      <c r="AF253" t="s">
        <v>264</v>
      </c>
      <c r="AG253">
        <v>-3</v>
      </c>
      <c r="AH253" t="s">
        <v>264</v>
      </c>
      <c r="AI253">
        <v>55413988</v>
      </c>
      <c r="AJ253" t="s">
        <v>460</v>
      </c>
      <c r="AL253" t="s">
        <v>264</v>
      </c>
      <c r="AM253" s="6">
        <v>44796</v>
      </c>
      <c r="AN253" t="s">
        <v>461</v>
      </c>
      <c r="AO253" t="s">
        <v>268</v>
      </c>
      <c r="AP253">
        <v>1204</v>
      </c>
      <c r="AQ253" t="s">
        <v>269</v>
      </c>
      <c r="AR253">
        <v>264850</v>
      </c>
      <c r="AU253" t="s">
        <v>264</v>
      </c>
      <c r="AV253" t="s">
        <v>270</v>
      </c>
      <c r="AX253">
        <v>22001008</v>
      </c>
      <c r="AY253">
        <v>630600</v>
      </c>
      <c r="AZ253">
        <v>1204.6306</v>
      </c>
      <c r="BA253" s="28" t="s">
        <v>124</v>
      </c>
    </row>
    <row r="254" spans="1:53">
      <c r="A254" t="s">
        <v>424</v>
      </c>
      <c r="B254" t="s">
        <v>425</v>
      </c>
      <c r="C254">
        <v>22003617</v>
      </c>
      <c r="D254">
        <v>1204</v>
      </c>
      <c r="E254" s="6">
        <v>44796</v>
      </c>
      <c r="F254" t="s">
        <v>460</v>
      </c>
      <c r="G254">
        <v>-3.01</v>
      </c>
      <c r="I254" t="s">
        <v>263</v>
      </c>
      <c r="J254" t="s">
        <v>263</v>
      </c>
      <c r="K254">
        <v>-3.01</v>
      </c>
      <c r="M254" s="29">
        <v>-43605.54</v>
      </c>
      <c r="N254" s="29">
        <v>-43605.54</v>
      </c>
      <c r="O254" t="s">
        <v>264</v>
      </c>
      <c r="Q254" t="s">
        <v>264</v>
      </c>
      <c r="R254" t="s">
        <v>265</v>
      </c>
      <c r="S254">
        <v>14480</v>
      </c>
      <c r="T254" t="s">
        <v>266</v>
      </c>
      <c r="U254" t="s">
        <v>267</v>
      </c>
      <c r="V254" t="s">
        <v>427</v>
      </c>
      <c r="W254" t="s">
        <v>428</v>
      </c>
      <c r="X254">
        <v>1934488</v>
      </c>
      <c r="Y254" s="6">
        <v>44796</v>
      </c>
      <c r="Z254" t="s">
        <v>264</v>
      </c>
      <c r="AA254">
        <v>1</v>
      </c>
      <c r="AB254" t="s">
        <v>264</v>
      </c>
      <c r="AD254" t="s">
        <v>264</v>
      </c>
      <c r="AE254" t="s">
        <v>264</v>
      </c>
      <c r="AF254" t="s">
        <v>264</v>
      </c>
      <c r="AG254">
        <v>-11</v>
      </c>
      <c r="AH254" t="s">
        <v>264</v>
      </c>
      <c r="AI254">
        <v>55413988</v>
      </c>
      <c r="AJ254" t="s">
        <v>460</v>
      </c>
      <c r="AL254" t="s">
        <v>264</v>
      </c>
      <c r="AM254" s="6">
        <v>44796</v>
      </c>
      <c r="AN254" t="s">
        <v>461</v>
      </c>
      <c r="AO254" t="s">
        <v>268</v>
      </c>
      <c r="AP254">
        <v>1204</v>
      </c>
      <c r="AQ254" t="s">
        <v>269</v>
      </c>
      <c r="AR254">
        <v>264850</v>
      </c>
      <c r="AU254" t="s">
        <v>264</v>
      </c>
      <c r="AV254" t="s">
        <v>270</v>
      </c>
      <c r="AX254">
        <v>22001008</v>
      </c>
      <c r="AY254">
        <v>630600</v>
      </c>
      <c r="AZ254">
        <v>1204.6306</v>
      </c>
      <c r="BA254" s="28" t="s">
        <v>124</v>
      </c>
    </row>
    <row r="255" spans="1:53">
      <c r="A255" t="s">
        <v>424</v>
      </c>
      <c r="B255" t="s">
        <v>425</v>
      </c>
      <c r="C255">
        <v>22003618</v>
      </c>
      <c r="D255">
        <v>1204</v>
      </c>
      <c r="E255" s="6">
        <v>44796</v>
      </c>
      <c r="F255" t="s">
        <v>460</v>
      </c>
      <c r="G255">
        <v>-0.27</v>
      </c>
      <c r="I255" t="s">
        <v>263</v>
      </c>
      <c r="J255" t="s">
        <v>263</v>
      </c>
      <c r="K255">
        <v>-0.27</v>
      </c>
      <c r="M255" s="29">
        <v>-3964.14</v>
      </c>
      <c r="N255" s="29">
        <v>-3964.14</v>
      </c>
      <c r="O255" t="s">
        <v>264</v>
      </c>
      <c r="Q255" t="s">
        <v>264</v>
      </c>
      <c r="R255" t="s">
        <v>265</v>
      </c>
      <c r="S255">
        <v>14480</v>
      </c>
      <c r="T255" t="s">
        <v>266</v>
      </c>
      <c r="U255" t="s">
        <v>267</v>
      </c>
      <c r="V255" t="s">
        <v>427</v>
      </c>
      <c r="W255" t="s">
        <v>428</v>
      </c>
      <c r="X255">
        <v>1934489</v>
      </c>
      <c r="Y255" s="6">
        <v>44796</v>
      </c>
      <c r="Z255" t="s">
        <v>264</v>
      </c>
      <c r="AA255">
        <v>1</v>
      </c>
      <c r="AB255" t="s">
        <v>264</v>
      </c>
      <c r="AD255" t="s">
        <v>264</v>
      </c>
      <c r="AE255" t="s">
        <v>264</v>
      </c>
      <c r="AF255" t="s">
        <v>264</v>
      </c>
      <c r="AG255">
        <v>-1</v>
      </c>
      <c r="AH255" t="s">
        <v>264</v>
      </c>
      <c r="AI255">
        <v>55413988</v>
      </c>
      <c r="AJ255" t="s">
        <v>460</v>
      </c>
      <c r="AL255" t="s">
        <v>264</v>
      </c>
      <c r="AM255" s="6">
        <v>44796</v>
      </c>
      <c r="AN255" t="s">
        <v>461</v>
      </c>
      <c r="AO255" t="s">
        <v>268</v>
      </c>
      <c r="AP255">
        <v>1204</v>
      </c>
      <c r="AQ255" t="s">
        <v>269</v>
      </c>
      <c r="AR255">
        <v>264850</v>
      </c>
      <c r="AU255" t="s">
        <v>264</v>
      </c>
      <c r="AV255" t="s">
        <v>270</v>
      </c>
      <c r="AX255">
        <v>22001008</v>
      </c>
      <c r="AY255">
        <v>630600</v>
      </c>
      <c r="AZ255">
        <v>1204.6306</v>
      </c>
      <c r="BA255" s="28" t="s">
        <v>124</v>
      </c>
    </row>
    <row r="256" spans="1:53">
      <c r="A256" t="s">
        <v>424</v>
      </c>
      <c r="B256" t="s">
        <v>425</v>
      </c>
      <c r="C256">
        <v>22003619</v>
      </c>
      <c r="D256">
        <v>1204</v>
      </c>
      <c r="E256" s="6">
        <v>44796</v>
      </c>
      <c r="F256" t="s">
        <v>460</v>
      </c>
      <c r="G256">
        <v>-0.82</v>
      </c>
      <c r="I256" t="s">
        <v>263</v>
      </c>
      <c r="J256" t="s">
        <v>263</v>
      </c>
      <c r="K256">
        <v>-0.82</v>
      </c>
      <c r="M256" s="29">
        <v>-11892.42</v>
      </c>
      <c r="N256" s="29">
        <v>-11892.42</v>
      </c>
      <c r="O256" t="s">
        <v>264</v>
      </c>
      <c r="Q256" t="s">
        <v>264</v>
      </c>
      <c r="R256" t="s">
        <v>265</v>
      </c>
      <c r="S256">
        <v>14480</v>
      </c>
      <c r="T256" t="s">
        <v>266</v>
      </c>
      <c r="U256" t="s">
        <v>267</v>
      </c>
      <c r="V256" t="s">
        <v>427</v>
      </c>
      <c r="W256" t="s">
        <v>428</v>
      </c>
      <c r="X256">
        <v>1934490</v>
      </c>
      <c r="Y256" s="6">
        <v>44796</v>
      </c>
      <c r="Z256" t="s">
        <v>264</v>
      </c>
      <c r="AA256">
        <v>1</v>
      </c>
      <c r="AB256" t="s">
        <v>264</v>
      </c>
      <c r="AD256" t="s">
        <v>264</v>
      </c>
      <c r="AE256" t="s">
        <v>264</v>
      </c>
      <c r="AF256" t="s">
        <v>264</v>
      </c>
      <c r="AG256">
        <v>-3</v>
      </c>
      <c r="AH256" t="s">
        <v>264</v>
      </c>
      <c r="AI256">
        <v>55413988</v>
      </c>
      <c r="AJ256" t="s">
        <v>460</v>
      </c>
      <c r="AL256" t="s">
        <v>264</v>
      </c>
      <c r="AM256" s="6">
        <v>44796</v>
      </c>
      <c r="AN256" t="s">
        <v>461</v>
      </c>
      <c r="AO256" t="s">
        <v>268</v>
      </c>
      <c r="AP256">
        <v>1204</v>
      </c>
      <c r="AQ256" t="s">
        <v>269</v>
      </c>
      <c r="AR256">
        <v>264850</v>
      </c>
      <c r="AU256" t="s">
        <v>264</v>
      </c>
      <c r="AV256" t="s">
        <v>270</v>
      </c>
      <c r="AX256">
        <v>22001008</v>
      </c>
      <c r="AY256">
        <v>630600</v>
      </c>
      <c r="AZ256">
        <v>1204.6306</v>
      </c>
      <c r="BA256" s="28" t="s">
        <v>124</v>
      </c>
    </row>
    <row r="257" spans="1:53">
      <c r="A257" t="s">
        <v>424</v>
      </c>
      <c r="B257" t="s">
        <v>425</v>
      </c>
      <c r="C257">
        <v>22003620</v>
      </c>
      <c r="D257">
        <v>1204</v>
      </c>
      <c r="E257" s="6">
        <v>44796</v>
      </c>
      <c r="F257" t="s">
        <v>460</v>
      </c>
      <c r="G257">
        <v>-32.36</v>
      </c>
      <c r="I257" t="s">
        <v>263</v>
      </c>
      <c r="J257" t="s">
        <v>263</v>
      </c>
      <c r="K257">
        <v>-32.36</v>
      </c>
      <c r="M257" s="29">
        <v>-468649.44</v>
      </c>
      <c r="N257" s="29">
        <v>-468649.44</v>
      </c>
      <c r="O257" t="s">
        <v>264</v>
      </c>
      <c r="Q257" t="s">
        <v>264</v>
      </c>
      <c r="R257" t="s">
        <v>265</v>
      </c>
      <c r="S257">
        <v>14480</v>
      </c>
      <c r="T257" t="s">
        <v>266</v>
      </c>
      <c r="U257" t="s">
        <v>267</v>
      </c>
      <c r="V257" t="s">
        <v>427</v>
      </c>
      <c r="W257" t="s">
        <v>428</v>
      </c>
      <c r="X257">
        <v>1934491</v>
      </c>
      <c r="Y257" s="6">
        <v>44796</v>
      </c>
      <c r="Z257" t="s">
        <v>264</v>
      </c>
      <c r="AA257">
        <v>1</v>
      </c>
      <c r="AB257" t="s">
        <v>264</v>
      </c>
      <c r="AD257" t="s">
        <v>264</v>
      </c>
      <c r="AE257" t="s">
        <v>264</v>
      </c>
      <c r="AF257" t="s">
        <v>264</v>
      </c>
      <c r="AG257">
        <v>-114</v>
      </c>
      <c r="AH257" t="s">
        <v>264</v>
      </c>
      <c r="AI257">
        <v>55413988</v>
      </c>
      <c r="AJ257" t="s">
        <v>460</v>
      </c>
      <c r="AL257" t="s">
        <v>264</v>
      </c>
      <c r="AM257" s="6">
        <v>44796</v>
      </c>
      <c r="AN257" t="s">
        <v>461</v>
      </c>
      <c r="AO257" t="s">
        <v>268</v>
      </c>
      <c r="AP257">
        <v>1204</v>
      </c>
      <c r="AQ257" t="s">
        <v>269</v>
      </c>
      <c r="AR257">
        <v>264850</v>
      </c>
      <c r="AU257" t="s">
        <v>264</v>
      </c>
      <c r="AV257" t="s">
        <v>270</v>
      </c>
      <c r="AX257">
        <v>22001008</v>
      </c>
      <c r="AY257">
        <v>630600</v>
      </c>
      <c r="AZ257">
        <v>1204.6306</v>
      </c>
      <c r="BA257" s="28" t="s">
        <v>124</v>
      </c>
    </row>
    <row r="258" spans="1:53">
      <c r="A258" t="s">
        <v>424</v>
      </c>
      <c r="B258" t="s">
        <v>425</v>
      </c>
      <c r="C258">
        <v>22003621</v>
      </c>
      <c r="D258">
        <v>1204</v>
      </c>
      <c r="E258" s="6">
        <v>44796</v>
      </c>
      <c r="F258" t="s">
        <v>460</v>
      </c>
      <c r="G258">
        <v>18.739999999999998</v>
      </c>
      <c r="H258">
        <v>18.739999999999998</v>
      </c>
      <c r="I258" t="s">
        <v>263</v>
      </c>
      <c r="J258" t="s">
        <v>263</v>
      </c>
      <c r="L258" s="29">
        <v>271323.36</v>
      </c>
      <c r="N258" s="29">
        <v>271323.36</v>
      </c>
      <c r="O258" t="s">
        <v>264</v>
      </c>
      <c r="Q258" t="s">
        <v>264</v>
      </c>
      <c r="R258" t="s">
        <v>265</v>
      </c>
      <c r="S258">
        <v>14480</v>
      </c>
      <c r="T258" t="s">
        <v>266</v>
      </c>
      <c r="U258" t="s">
        <v>267</v>
      </c>
      <c r="V258" t="s">
        <v>427</v>
      </c>
      <c r="W258" t="s">
        <v>428</v>
      </c>
      <c r="X258">
        <v>1934492</v>
      </c>
      <c r="Y258" s="6">
        <v>44796</v>
      </c>
      <c r="Z258" t="s">
        <v>264</v>
      </c>
      <c r="AA258">
        <v>1</v>
      </c>
      <c r="AB258" t="s">
        <v>264</v>
      </c>
      <c r="AD258" t="s">
        <v>264</v>
      </c>
      <c r="AE258" t="s">
        <v>264</v>
      </c>
      <c r="AF258" t="s">
        <v>264</v>
      </c>
      <c r="AG258">
        <v>66</v>
      </c>
      <c r="AH258" t="s">
        <v>264</v>
      </c>
      <c r="AI258">
        <v>55413988</v>
      </c>
      <c r="AJ258" t="s">
        <v>460</v>
      </c>
      <c r="AL258" t="s">
        <v>264</v>
      </c>
      <c r="AM258" s="6">
        <v>44796</v>
      </c>
      <c r="AN258" t="s">
        <v>461</v>
      </c>
      <c r="AO258" t="s">
        <v>268</v>
      </c>
      <c r="AP258">
        <v>1204</v>
      </c>
      <c r="AQ258" t="s">
        <v>269</v>
      </c>
      <c r="AR258">
        <v>264850</v>
      </c>
      <c r="AU258" t="s">
        <v>264</v>
      </c>
      <c r="AV258" t="s">
        <v>270</v>
      </c>
      <c r="AX258">
        <v>22001008</v>
      </c>
      <c r="AY258">
        <v>630600</v>
      </c>
      <c r="AZ258">
        <v>1204.6306</v>
      </c>
      <c r="BA258" s="28" t="s">
        <v>124</v>
      </c>
    </row>
    <row r="259" spans="1:53">
      <c r="A259" t="s">
        <v>424</v>
      </c>
      <c r="B259" t="s">
        <v>425</v>
      </c>
      <c r="C259">
        <v>22004072</v>
      </c>
      <c r="D259">
        <v>1205</v>
      </c>
      <c r="E259" s="6">
        <v>44774</v>
      </c>
      <c r="F259" t="s">
        <v>451</v>
      </c>
      <c r="G259">
        <v>-129.87</v>
      </c>
      <c r="I259" t="s">
        <v>263</v>
      </c>
      <c r="J259" t="s">
        <v>263</v>
      </c>
      <c r="K259">
        <v>-129.87</v>
      </c>
      <c r="M259" s="29">
        <v>-1895400</v>
      </c>
      <c r="N259" s="29">
        <v>-1895400</v>
      </c>
      <c r="O259" t="s">
        <v>264</v>
      </c>
      <c r="Q259" t="s">
        <v>264</v>
      </c>
      <c r="R259" t="s">
        <v>265</v>
      </c>
      <c r="S259">
        <v>14592</v>
      </c>
      <c r="T259" t="s">
        <v>266</v>
      </c>
      <c r="U259" t="s">
        <v>267</v>
      </c>
      <c r="V259" t="s">
        <v>427</v>
      </c>
      <c r="W259" t="s">
        <v>428</v>
      </c>
      <c r="X259">
        <v>1926700</v>
      </c>
      <c r="Y259" s="6">
        <v>44776</v>
      </c>
      <c r="Z259" t="s">
        <v>264</v>
      </c>
      <c r="AA259">
        <v>1</v>
      </c>
      <c r="AB259" t="s">
        <v>264</v>
      </c>
      <c r="AD259" t="s">
        <v>264</v>
      </c>
      <c r="AE259" t="s">
        <v>264</v>
      </c>
      <c r="AF259" t="s">
        <v>264</v>
      </c>
      <c r="AG259">
        <v>-702</v>
      </c>
      <c r="AH259" t="s">
        <v>264</v>
      </c>
      <c r="AI259">
        <v>57330810</v>
      </c>
      <c r="AJ259" t="s">
        <v>451</v>
      </c>
      <c r="AL259" t="s">
        <v>264</v>
      </c>
      <c r="AM259" s="6">
        <v>44774</v>
      </c>
      <c r="AN259" t="s">
        <v>462</v>
      </c>
      <c r="AO259" t="s">
        <v>268</v>
      </c>
      <c r="AP259">
        <v>1205</v>
      </c>
      <c r="AQ259" t="s">
        <v>269</v>
      </c>
      <c r="AR259">
        <v>264850</v>
      </c>
      <c r="AU259" t="s">
        <v>264</v>
      </c>
      <c r="AV259" t="s">
        <v>270</v>
      </c>
      <c r="AX259">
        <v>22001110</v>
      </c>
      <c r="AY259">
        <v>630600</v>
      </c>
      <c r="AZ259">
        <v>1205.6306</v>
      </c>
      <c r="BA259" s="28" t="s">
        <v>125</v>
      </c>
    </row>
    <row r="260" spans="1:53">
      <c r="A260" t="s">
        <v>424</v>
      </c>
      <c r="B260" t="s">
        <v>425</v>
      </c>
      <c r="C260">
        <v>22004073</v>
      </c>
      <c r="D260">
        <v>1205</v>
      </c>
      <c r="E260" s="6">
        <v>44774</v>
      </c>
      <c r="F260" t="s">
        <v>451</v>
      </c>
      <c r="G260">
        <v>-156.88</v>
      </c>
      <c r="I260" t="s">
        <v>263</v>
      </c>
      <c r="J260" t="s">
        <v>263</v>
      </c>
      <c r="K260">
        <v>-156.88</v>
      </c>
      <c r="M260" s="29">
        <v>-2289600</v>
      </c>
      <c r="N260" s="29">
        <v>-2289600</v>
      </c>
      <c r="O260" t="s">
        <v>264</v>
      </c>
      <c r="Q260" t="s">
        <v>264</v>
      </c>
      <c r="R260" t="s">
        <v>265</v>
      </c>
      <c r="S260">
        <v>14592</v>
      </c>
      <c r="T260" t="s">
        <v>266</v>
      </c>
      <c r="U260" t="s">
        <v>267</v>
      </c>
      <c r="V260" t="s">
        <v>427</v>
      </c>
      <c r="W260" t="s">
        <v>428</v>
      </c>
      <c r="X260">
        <v>1926701</v>
      </c>
      <c r="Y260" s="6">
        <v>44776</v>
      </c>
      <c r="Z260" t="s">
        <v>264</v>
      </c>
      <c r="AA260">
        <v>1</v>
      </c>
      <c r="AB260" t="s">
        <v>264</v>
      </c>
      <c r="AD260" t="s">
        <v>264</v>
      </c>
      <c r="AE260" t="s">
        <v>264</v>
      </c>
      <c r="AF260" t="s">
        <v>264</v>
      </c>
      <c r="AG260">
        <v>-848</v>
      </c>
      <c r="AH260" t="s">
        <v>264</v>
      </c>
      <c r="AI260">
        <v>57330810</v>
      </c>
      <c r="AJ260" t="s">
        <v>451</v>
      </c>
      <c r="AL260" t="s">
        <v>264</v>
      </c>
      <c r="AM260" s="6">
        <v>44774</v>
      </c>
      <c r="AN260" t="s">
        <v>462</v>
      </c>
      <c r="AO260" t="s">
        <v>268</v>
      </c>
      <c r="AP260">
        <v>1205</v>
      </c>
      <c r="AQ260" t="s">
        <v>269</v>
      </c>
      <c r="AR260">
        <v>264850</v>
      </c>
      <c r="AU260" t="s">
        <v>264</v>
      </c>
      <c r="AV260" t="s">
        <v>270</v>
      </c>
      <c r="AX260">
        <v>22001110</v>
      </c>
      <c r="AY260">
        <v>630600</v>
      </c>
      <c r="AZ260">
        <v>1205.6306</v>
      </c>
      <c r="BA260" s="28" t="s">
        <v>125</v>
      </c>
    </row>
    <row r="261" spans="1:53">
      <c r="A261" t="s">
        <v>424</v>
      </c>
      <c r="B261" t="s">
        <v>425</v>
      </c>
      <c r="C261">
        <v>22004078</v>
      </c>
      <c r="D261">
        <v>1205</v>
      </c>
      <c r="E261" s="6">
        <v>44774</v>
      </c>
      <c r="F261" t="s">
        <v>451</v>
      </c>
      <c r="G261">
        <v>-147.63</v>
      </c>
      <c r="I261" t="s">
        <v>263</v>
      </c>
      <c r="J261" t="s">
        <v>263</v>
      </c>
      <c r="K261">
        <v>-147.63</v>
      </c>
      <c r="M261" s="29">
        <v>-2154600</v>
      </c>
      <c r="N261" s="29">
        <v>-2154600</v>
      </c>
      <c r="O261" t="s">
        <v>264</v>
      </c>
      <c r="Q261" t="s">
        <v>264</v>
      </c>
      <c r="R261" t="s">
        <v>265</v>
      </c>
      <c r="S261">
        <v>14592</v>
      </c>
      <c r="T261" t="s">
        <v>266</v>
      </c>
      <c r="U261" t="s">
        <v>267</v>
      </c>
      <c r="V261" t="s">
        <v>427</v>
      </c>
      <c r="W261" t="s">
        <v>428</v>
      </c>
      <c r="X261">
        <v>1926709</v>
      </c>
      <c r="Y261" s="6">
        <v>44776</v>
      </c>
      <c r="Z261" t="s">
        <v>264</v>
      </c>
      <c r="AA261">
        <v>1</v>
      </c>
      <c r="AB261" t="s">
        <v>264</v>
      </c>
      <c r="AD261" t="s">
        <v>264</v>
      </c>
      <c r="AE261" t="s">
        <v>264</v>
      </c>
      <c r="AF261" t="s">
        <v>264</v>
      </c>
      <c r="AG261">
        <v>-798</v>
      </c>
      <c r="AH261" t="s">
        <v>264</v>
      </c>
      <c r="AI261">
        <v>57330810</v>
      </c>
      <c r="AJ261" t="s">
        <v>451</v>
      </c>
      <c r="AL261" t="s">
        <v>264</v>
      </c>
      <c r="AM261" s="6">
        <v>44774</v>
      </c>
      <c r="AN261" t="s">
        <v>462</v>
      </c>
      <c r="AO261" t="s">
        <v>268</v>
      </c>
      <c r="AP261">
        <v>1205</v>
      </c>
      <c r="AQ261" t="s">
        <v>269</v>
      </c>
      <c r="AR261">
        <v>264850</v>
      </c>
      <c r="AU261" t="s">
        <v>264</v>
      </c>
      <c r="AV261" t="s">
        <v>270</v>
      </c>
      <c r="AX261">
        <v>22001110</v>
      </c>
      <c r="AY261">
        <v>630600</v>
      </c>
      <c r="AZ261">
        <v>1205.6306</v>
      </c>
      <c r="BA261" s="28" t="s">
        <v>125</v>
      </c>
    </row>
    <row r="262" spans="1:53">
      <c r="A262" t="s">
        <v>424</v>
      </c>
      <c r="B262" t="s">
        <v>425</v>
      </c>
      <c r="C262">
        <v>22004079</v>
      </c>
      <c r="D262">
        <v>1205</v>
      </c>
      <c r="E262" s="6">
        <v>44774</v>
      </c>
      <c r="F262" t="s">
        <v>451</v>
      </c>
      <c r="G262">
        <v>-147.08000000000001</v>
      </c>
      <c r="I262" t="s">
        <v>263</v>
      </c>
      <c r="J262" t="s">
        <v>263</v>
      </c>
      <c r="K262">
        <v>-147.08000000000001</v>
      </c>
      <c r="M262" s="29">
        <v>-2146500</v>
      </c>
      <c r="N262" s="29">
        <v>-2146500</v>
      </c>
      <c r="O262" t="s">
        <v>264</v>
      </c>
      <c r="Q262" t="s">
        <v>264</v>
      </c>
      <c r="R262" t="s">
        <v>265</v>
      </c>
      <c r="S262">
        <v>14592</v>
      </c>
      <c r="T262" t="s">
        <v>266</v>
      </c>
      <c r="U262" t="s">
        <v>267</v>
      </c>
      <c r="V262" t="s">
        <v>427</v>
      </c>
      <c r="W262" t="s">
        <v>428</v>
      </c>
      <c r="X262">
        <v>1926710</v>
      </c>
      <c r="Y262" s="6">
        <v>44776</v>
      </c>
      <c r="Z262" t="s">
        <v>264</v>
      </c>
      <c r="AA262">
        <v>1</v>
      </c>
      <c r="AB262" t="s">
        <v>264</v>
      </c>
      <c r="AD262" t="s">
        <v>264</v>
      </c>
      <c r="AE262" t="s">
        <v>264</v>
      </c>
      <c r="AF262" t="s">
        <v>264</v>
      </c>
      <c r="AG262">
        <v>-795</v>
      </c>
      <c r="AH262" t="s">
        <v>264</v>
      </c>
      <c r="AI262">
        <v>57330810</v>
      </c>
      <c r="AJ262" t="s">
        <v>451</v>
      </c>
      <c r="AL262" t="s">
        <v>264</v>
      </c>
      <c r="AM262" s="6">
        <v>44774</v>
      </c>
      <c r="AN262" t="s">
        <v>462</v>
      </c>
      <c r="AO262" t="s">
        <v>268</v>
      </c>
      <c r="AP262">
        <v>1205</v>
      </c>
      <c r="AQ262" t="s">
        <v>269</v>
      </c>
      <c r="AR262">
        <v>264850</v>
      </c>
      <c r="AU262" t="s">
        <v>264</v>
      </c>
      <c r="AV262" t="s">
        <v>270</v>
      </c>
      <c r="AX262">
        <v>22001110</v>
      </c>
      <c r="AY262">
        <v>630600</v>
      </c>
      <c r="AZ262">
        <v>1205.6306</v>
      </c>
      <c r="BA262" s="28" t="s">
        <v>125</v>
      </c>
    </row>
    <row r="263" spans="1:53">
      <c r="A263" t="s">
        <v>424</v>
      </c>
      <c r="B263" t="s">
        <v>425</v>
      </c>
      <c r="C263">
        <v>22004086</v>
      </c>
      <c r="D263">
        <v>1205</v>
      </c>
      <c r="E263" s="6">
        <v>44774</v>
      </c>
      <c r="F263" t="s">
        <v>451</v>
      </c>
      <c r="G263">
        <v>65.86</v>
      </c>
      <c r="H263">
        <v>65.86</v>
      </c>
      <c r="I263" t="s">
        <v>263</v>
      </c>
      <c r="J263" t="s">
        <v>263</v>
      </c>
      <c r="L263" s="29">
        <v>961200</v>
      </c>
      <c r="N263" s="29">
        <v>961200</v>
      </c>
      <c r="O263" t="s">
        <v>264</v>
      </c>
      <c r="Q263" t="s">
        <v>264</v>
      </c>
      <c r="R263" t="s">
        <v>265</v>
      </c>
      <c r="S263">
        <v>14592</v>
      </c>
      <c r="T263" t="s">
        <v>266</v>
      </c>
      <c r="U263" t="s">
        <v>267</v>
      </c>
      <c r="V263" t="s">
        <v>427</v>
      </c>
      <c r="W263" t="s">
        <v>428</v>
      </c>
      <c r="X263">
        <v>1926765</v>
      </c>
      <c r="Y263" s="6">
        <v>44776</v>
      </c>
      <c r="Z263" t="s">
        <v>264</v>
      </c>
      <c r="AA263">
        <v>1</v>
      </c>
      <c r="AB263" t="s">
        <v>264</v>
      </c>
      <c r="AD263" t="s">
        <v>264</v>
      </c>
      <c r="AE263" t="s">
        <v>264</v>
      </c>
      <c r="AF263" t="s">
        <v>264</v>
      </c>
      <c r="AG263">
        <v>356</v>
      </c>
      <c r="AH263" t="s">
        <v>264</v>
      </c>
      <c r="AI263">
        <v>57330810</v>
      </c>
      <c r="AJ263" t="s">
        <v>451</v>
      </c>
      <c r="AL263" t="s">
        <v>264</v>
      </c>
      <c r="AM263" s="6">
        <v>44774</v>
      </c>
      <c r="AN263" t="s">
        <v>462</v>
      </c>
      <c r="AO263" t="s">
        <v>268</v>
      </c>
      <c r="AP263">
        <v>1205</v>
      </c>
      <c r="AQ263" t="s">
        <v>269</v>
      </c>
      <c r="AR263">
        <v>264850</v>
      </c>
      <c r="AU263" t="s">
        <v>264</v>
      </c>
      <c r="AV263" t="s">
        <v>270</v>
      </c>
      <c r="AX263">
        <v>22001110</v>
      </c>
      <c r="AY263">
        <v>630600</v>
      </c>
      <c r="AZ263">
        <v>1205.6306</v>
      </c>
      <c r="BA263" s="28" t="s">
        <v>125</v>
      </c>
    </row>
    <row r="264" spans="1:53">
      <c r="A264" t="s">
        <v>424</v>
      </c>
      <c r="B264" t="s">
        <v>425</v>
      </c>
      <c r="C264">
        <v>22004087</v>
      </c>
      <c r="D264">
        <v>1205</v>
      </c>
      <c r="E264" s="6">
        <v>44774</v>
      </c>
      <c r="F264" t="s">
        <v>451</v>
      </c>
      <c r="G264">
        <v>147.63</v>
      </c>
      <c r="H264">
        <v>147.63</v>
      </c>
      <c r="I264" t="s">
        <v>263</v>
      </c>
      <c r="J264" t="s">
        <v>263</v>
      </c>
      <c r="L264" s="29">
        <v>2154600</v>
      </c>
      <c r="N264" s="29">
        <v>2154600</v>
      </c>
      <c r="O264" t="s">
        <v>264</v>
      </c>
      <c r="Q264" t="s">
        <v>264</v>
      </c>
      <c r="R264" t="s">
        <v>265</v>
      </c>
      <c r="S264">
        <v>14592</v>
      </c>
      <c r="T264" t="s">
        <v>266</v>
      </c>
      <c r="U264" t="s">
        <v>267</v>
      </c>
      <c r="V264" t="s">
        <v>427</v>
      </c>
      <c r="W264" t="s">
        <v>428</v>
      </c>
      <c r="X264">
        <v>1926765</v>
      </c>
      <c r="Y264" s="6">
        <v>44776</v>
      </c>
      <c r="Z264" t="s">
        <v>264</v>
      </c>
      <c r="AA264">
        <v>1</v>
      </c>
      <c r="AB264" t="s">
        <v>264</v>
      </c>
      <c r="AD264" t="s">
        <v>264</v>
      </c>
      <c r="AE264" t="s">
        <v>264</v>
      </c>
      <c r="AF264" t="s">
        <v>264</v>
      </c>
      <c r="AG264">
        <v>798</v>
      </c>
      <c r="AH264" t="s">
        <v>264</v>
      </c>
      <c r="AI264">
        <v>57330810</v>
      </c>
      <c r="AJ264" t="s">
        <v>451</v>
      </c>
      <c r="AL264" t="s">
        <v>264</v>
      </c>
      <c r="AM264" s="6">
        <v>44774</v>
      </c>
      <c r="AN264" t="s">
        <v>462</v>
      </c>
      <c r="AO264" t="s">
        <v>268</v>
      </c>
      <c r="AP264">
        <v>1205</v>
      </c>
      <c r="AQ264" t="s">
        <v>269</v>
      </c>
      <c r="AR264">
        <v>264850</v>
      </c>
      <c r="AU264" t="s">
        <v>264</v>
      </c>
      <c r="AV264" t="s">
        <v>270</v>
      </c>
      <c r="AX264">
        <v>22001110</v>
      </c>
      <c r="AY264">
        <v>630600</v>
      </c>
      <c r="AZ264">
        <v>1205.6306</v>
      </c>
      <c r="BA264" s="28" t="s">
        <v>125</v>
      </c>
    </row>
    <row r="265" spans="1:53">
      <c r="A265" t="s">
        <v>424</v>
      </c>
      <c r="B265" t="s">
        <v>425</v>
      </c>
      <c r="C265">
        <v>22004088</v>
      </c>
      <c r="D265">
        <v>1205</v>
      </c>
      <c r="E265" s="6">
        <v>44774</v>
      </c>
      <c r="F265" t="s">
        <v>451</v>
      </c>
      <c r="G265">
        <v>23.87</v>
      </c>
      <c r="H265">
        <v>23.87</v>
      </c>
      <c r="I265" t="s">
        <v>263</v>
      </c>
      <c r="J265" t="s">
        <v>263</v>
      </c>
      <c r="L265" s="29">
        <v>348300</v>
      </c>
      <c r="N265" s="29">
        <v>348300</v>
      </c>
      <c r="O265" t="s">
        <v>264</v>
      </c>
      <c r="Q265" t="s">
        <v>264</v>
      </c>
      <c r="R265" t="s">
        <v>265</v>
      </c>
      <c r="S265">
        <v>14592</v>
      </c>
      <c r="T265" t="s">
        <v>266</v>
      </c>
      <c r="U265" t="s">
        <v>267</v>
      </c>
      <c r="V265" t="s">
        <v>427</v>
      </c>
      <c r="W265" t="s">
        <v>428</v>
      </c>
      <c r="X265">
        <v>1926765</v>
      </c>
      <c r="Y265" s="6">
        <v>44776</v>
      </c>
      <c r="Z265" t="s">
        <v>264</v>
      </c>
      <c r="AA265">
        <v>1</v>
      </c>
      <c r="AB265" t="s">
        <v>264</v>
      </c>
      <c r="AD265" t="s">
        <v>264</v>
      </c>
      <c r="AE265" t="s">
        <v>264</v>
      </c>
      <c r="AF265" t="s">
        <v>264</v>
      </c>
      <c r="AG265">
        <v>129</v>
      </c>
      <c r="AH265" t="s">
        <v>264</v>
      </c>
      <c r="AI265">
        <v>57330810</v>
      </c>
      <c r="AJ265" t="s">
        <v>451</v>
      </c>
      <c r="AL265" t="s">
        <v>264</v>
      </c>
      <c r="AM265" s="6">
        <v>44774</v>
      </c>
      <c r="AN265" t="s">
        <v>462</v>
      </c>
      <c r="AO265" t="s">
        <v>268</v>
      </c>
      <c r="AP265">
        <v>1205</v>
      </c>
      <c r="AQ265" t="s">
        <v>269</v>
      </c>
      <c r="AR265">
        <v>264850</v>
      </c>
      <c r="AU265" t="s">
        <v>264</v>
      </c>
      <c r="AV265" t="s">
        <v>270</v>
      </c>
      <c r="AX265">
        <v>22001110</v>
      </c>
      <c r="AY265">
        <v>630600</v>
      </c>
      <c r="AZ265">
        <v>1205.6306</v>
      </c>
      <c r="BA265" s="28" t="s">
        <v>125</v>
      </c>
    </row>
    <row r="266" spans="1:53">
      <c r="A266" t="s">
        <v>424</v>
      </c>
      <c r="B266" t="s">
        <v>425</v>
      </c>
      <c r="C266">
        <v>22004089</v>
      </c>
      <c r="D266">
        <v>1205</v>
      </c>
      <c r="E266" s="6">
        <v>44774</v>
      </c>
      <c r="F266" t="s">
        <v>451</v>
      </c>
      <c r="G266">
        <v>46.44</v>
      </c>
      <c r="H266">
        <v>46.44</v>
      </c>
      <c r="I266" t="s">
        <v>263</v>
      </c>
      <c r="J266" t="s">
        <v>263</v>
      </c>
      <c r="L266" s="29">
        <v>677700</v>
      </c>
      <c r="N266" s="29">
        <v>677700</v>
      </c>
      <c r="O266" t="s">
        <v>264</v>
      </c>
      <c r="Q266" t="s">
        <v>264</v>
      </c>
      <c r="R266" t="s">
        <v>265</v>
      </c>
      <c r="S266">
        <v>14592</v>
      </c>
      <c r="T266" t="s">
        <v>266</v>
      </c>
      <c r="U266" t="s">
        <v>267</v>
      </c>
      <c r="V266" t="s">
        <v>427</v>
      </c>
      <c r="W266" t="s">
        <v>428</v>
      </c>
      <c r="X266">
        <v>1926765</v>
      </c>
      <c r="Y266" s="6">
        <v>44776</v>
      </c>
      <c r="Z266" t="s">
        <v>264</v>
      </c>
      <c r="AA266">
        <v>1</v>
      </c>
      <c r="AB266" t="s">
        <v>264</v>
      </c>
      <c r="AD266" t="s">
        <v>264</v>
      </c>
      <c r="AE266" t="s">
        <v>264</v>
      </c>
      <c r="AF266" t="s">
        <v>264</v>
      </c>
      <c r="AG266">
        <v>251</v>
      </c>
      <c r="AH266" t="s">
        <v>264</v>
      </c>
      <c r="AI266">
        <v>57330810</v>
      </c>
      <c r="AJ266" t="s">
        <v>451</v>
      </c>
      <c r="AL266" t="s">
        <v>264</v>
      </c>
      <c r="AM266" s="6">
        <v>44774</v>
      </c>
      <c r="AN266" t="s">
        <v>462</v>
      </c>
      <c r="AO266" t="s">
        <v>268</v>
      </c>
      <c r="AP266">
        <v>1205</v>
      </c>
      <c r="AQ266" t="s">
        <v>269</v>
      </c>
      <c r="AR266">
        <v>264850</v>
      </c>
      <c r="AU266" t="s">
        <v>264</v>
      </c>
      <c r="AV266" t="s">
        <v>270</v>
      </c>
      <c r="AX266">
        <v>22001110</v>
      </c>
      <c r="AY266">
        <v>630600</v>
      </c>
      <c r="AZ266">
        <v>1205.6306</v>
      </c>
      <c r="BA266" s="28" t="s">
        <v>125</v>
      </c>
    </row>
    <row r="267" spans="1:53">
      <c r="A267" t="s">
        <v>424</v>
      </c>
      <c r="B267" t="s">
        <v>425</v>
      </c>
      <c r="C267">
        <v>22004090</v>
      </c>
      <c r="D267">
        <v>1205</v>
      </c>
      <c r="E267" s="6">
        <v>44774</v>
      </c>
      <c r="F267" t="s">
        <v>451</v>
      </c>
      <c r="G267">
        <v>147.08000000000001</v>
      </c>
      <c r="H267">
        <v>147.08000000000001</v>
      </c>
      <c r="I267" t="s">
        <v>263</v>
      </c>
      <c r="J267" t="s">
        <v>263</v>
      </c>
      <c r="L267" s="29">
        <v>2146500</v>
      </c>
      <c r="N267" s="29">
        <v>2146500</v>
      </c>
      <c r="O267" t="s">
        <v>264</v>
      </c>
      <c r="Q267" t="s">
        <v>264</v>
      </c>
      <c r="R267" t="s">
        <v>265</v>
      </c>
      <c r="S267">
        <v>14592</v>
      </c>
      <c r="T267" t="s">
        <v>266</v>
      </c>
      <c r="U267" t="s">
        <v>267</v>
      </c>
      <c r="V267" t="s">
        <v>427</v>
      </c>
      <c r="W267" t="s">
        <v>428</v>
      </c>
      <c r="X267">
        <v>1926765</v>
      </c>
      <c r="Y267" s="6">
        <v>44776</v>
      </c>
      <c r="Z267" t="s">
        <v>264</v>
      </c>
      <c r="AA267">
        <v>1</v>
      </c>
      <c r="AB267" t="s">
        <v>264</v>
      </c>
      <c r="AD267" t="s">
        <v>264</v>
      </c>
      <c r="AE267" t="s">
        <v>264</v>
      </c>
      <c r="AF267" t="s">
        <v>264</v>
      </c>
      <c r="AG267">
        <v>795</v>
      </c>
      <c r="AH267" t="s">
        <v>264</v>
      </c>
      <c r="AI267">
        <v>57330810</v>
      </c>
      <c r="AJ267" t="s">
        <v>451</v>
      </c>
      <c r="AL267" t="s">
        <v>264</v>
      </c>
      <c r="AM267" s="6">
        <v>44774</v>
      </c>
      <c r="AN267" t="s">
        <v>462</v>
      </c>
      <c r="AO267" t="s">
        <v>268</v>
      </c>
      <c r="AP267">
        <v>1205</v>
      </c>
      <c r="AQ267" t="s">
        <v>269</v>
      </c>
      <c r="AR267">
        <v>264850</v>
      </c>
      <c r="AU267" t="s">
        <v>264</v>
      </c>
      <c r="AV267" t="s">
        <v>270</v>
      </c>
      <c r="AX267">
        <v>22001110</v>
      </c>
      <c r="AY267">
        <v>630600</v>
      </c>
      <c r="AZ267">
        <v>1205.6306</v>
      </c>
      <c r="BA267" s="28" t="s">
        <v>125</v>
      </c>
    </row>
    <row r="268" spans="1:53">
      <c r="A268" t="s">
        <v>424</v>
      </c>
      <c r="B268" t="s">
        <v>425</v>
      </c>
      <c r="C268">
        <v>22004091</v>
      </c>
      <c r="D268">
        <v>1205</v>
      </c>
      <c r="E268" s="6">
        <v>44774</v>
      </c>
      <c r="F268" t="s">
        <v>451</v>
      </c>
      <c r="G268">
        <v>371.11</v>
      </c>
      <c r="H268">
        <v>371.11</v>
      </c>
      <c r="I268" t="s">
        <v>263</v>
      </c>
      <c r="J268" t="s">
        <v>263</v>
      </c>
      <c r="L268" s="29">
        <v>5416200</v>
      </c>
      <c r="N268" s="29">
        <v>5416200</v>
      </c>
      <c r="O268" t="s">
        <v>264</v>
      </c>
      <c r="Q268" t="s">
        <v>264</v>
      </c>
      <c r="R268" t="s">
        <v>265</v>
      </c>
      <c r="S268">
        <v>14592</v>
      </c>
      <c r="T268" t="s">
        <v>266</v>
      </c>
      <c r="U268" t="s">
        <v>267</v>
      </c>
      <c r="V268" t="s">
        <v>427</v>
      </c>
      <c r="W268" t="s">
        <v>428</v>
      </c>
      <c r="X268">
        <v>1926765</v>
      </c>
      <c r="Y268" s="6">
        <v>44776</v>
      </c>
      <c r="Z268" t="s">
        <v>264</v>
      </c>
      <c r="AA268">
        <v>1</v>
      </c>
      <c r="AB268" t="s">
        <v>264</v>
      </c>
      <c r="AD268" t="s">
        <v>264</v>
      </c>
      <c r="AE268" t="s">
        <v>264</v>
      </c>
      <c r="AF268" t="s">
        <v>264</v>
      </c>
      <c r="AG268" s="29">
        <v>2006</v>
      </c>
      <c r="AH268" t="s">
        <v>264</v>
      </c>
      <c r="AI268">
        <v>57330810</v>
      </c>
      <c r="AJ268" t="s">
        <v>451</v>
      </c>
      <c r="AL268" t="s">
        <v>264</v>
      </c>
      <c r="AM268" s="6">
        <v>44774</v>
      </c>
      <c r="AN268" t="s">
        <v>462</v>
      </c>
      <c r="AO268" t="s">
        <v>268</v>
      </c>
      <c r="AP268">
        <v>1205</v>
      </c>
      <c r="AQ268" t="s">
        <v>269</v>
      </c>
      <c r="AR268">
        <v>264850</v>
      </c>
      <c r="AU268" t="s">
        <v>264</v>
      </c>
      <c r="AV268" t="s">
        <v>270</v>
      </c>
      <c r="AX268">
        <v>22001110</v>
      </c>
      <c r="AY268">
        <v>630600</v>
      </c>
      <c r="AZ268">
        <v>1205.6306</v>
      </c>
      <c r="BA268" s="28" t="s">
        <v>125</v>
      </c>
    </row>
    <row r="269" spans="1:53">
      <c r="A269" t="s">
        <v>424</v>
      </c>
      <c r="B269" t="s">
        <v>425</v>
      </c>
      <c r="C269">
        <v>22004092</v>
      </c>
      <c r="D269">
        <v>1205</v>
      </c>
      <c r="E269" s="6">
        <v>44774</v>
      </c>
      <c r="F269" t="s">
        <v>451</v>
      </c>
      <c r="G269">
        <v>312.83999999999997</v>
      </c>
      <c r="H269">
        <v>312.83999999999997</v>
      </c>
      <c r="I269" t="s">
        <v>263</v>
      </c>
      <c r="J269" t="s">
        <v>263</v>
      </c>
      <c r="L269" s="29">
        <v>4565700</v>
      </c>
      <c r="N269" s="29">
        <v>4565700</v>
      </c>
      <c r="O269" t="s">
        <v>264</v>
      </c>
      <c r="Q269" t="s">
        <v>264</v>
      </c>
      <c r="R269" t="s">
        <v>265</v>
      </c>
      <c r="S269">
        <v>14592</v>
      </c>
      <c r="T269" t="s">
        <v>266</v>
      </c>
      <c r="U269" t="s">
        <v>267</v>
      </c>
      <c r="V269" t="s">
        <v>427</v>
      </c>
      <c r="W269" t="s">
        <v>428</v>
      </c>
      <c r="X269">
        <v>1926765</v>
      </c>
      <c r="Y269" s="6">
        <v>44776</v>
      </c>
      <c r="Z269" t="s">
        <v>264</v>
      </c>
      <c r="AA269">
        <v>1</v>
      </c>
      <c r="AB269" t="s">
        <v>264</v>
      </c>
      <c r="AD269" t="s">
        <v>264</v>
      </c>
      <c r="AE269" t="s">
        <v>264</v>
      </c>
      <c r="AF269" t="s">
        <v>264</v>
      </c>
      <c r="AG269" s="29">
        <v>1691</v>
      </c>
      <c r="AH269" t="s">
        <v>264</v>
      </c>
      <c r="AI269">
        <v>57330810</v>
      </c>
      <c r="AJ269" t="s">
        <v>451</v>
      </c>
      <c r="AL269" t="s">
        <v>264</v>
      </c>
      <c r="AM269" s="6">
        <v>44774</v>
      </c>
      <c r="AN269" t="s">
        <v>462</v>
      </c>
      <c r="AO269" t="s">
        <v>268</v>
      </c>
      <c r="AP269">
        <v>1205</v>
      </c>
      <c r="AQ269" t="s">
        <v>269</v>
      </c>
      <c r="AR269">
        <v>264850</v>
      </c>
      <c r="AU269" t="s">
        <v>264</v>
      </c>
      <c r="AV269" t="s">
        <v>270</v>
      </c>
      <c r="AX269">
        <v>22001110</v>
      </c>
      <c r="AY269">
        <v>630600</v>
      </c>
      <c r="AZ269">
        <v>1205.6306</v>
      </c>
      <c r="BA269" s="28" t="s">
        <v>125</v>
      </c>
    </row>
    <row r="270" spans="1:53">
      <c r="A270" t="s">
        <v>424</v>
      </c>
      <c r="B270" t="s">
        <v>425</v>
      </c>
      <c r="C270">
        <v>22004093</v>
      </c>
      <c r="D270">
        <v>1205</v>
      </c>
      <c r="E270" s="6">
        <v>44774</v>
      </c>
      <c r="F270" t="s">
        <v>451</v>
      </c>
      <c r="G270">
        <v>111.19</v>
      </c>
      <c r="H270">
        <v>111.19</v>
      </c>
      <c r="I270" t="s">
        <v>263</v>
      </c>
      <c r="J270" t="s">
        <v>263</v>
      </c>
      <c r="L270" s="29">
        <v>1622700</v>
      </c>
      <c r="N270" s="29">
        <v>1622700</v>
      </c>
      <c r="O270" t="s">
        <v>264</v>
      </c>
      <c r="Q270" t="s">
        <v>264</v>
      </c>
      <c r="R270" t="s">
        <v>265</v>
      </c>
      <c r="S270">
        <v>14592</v>
      </c>
      <c r="T270" t="s">
        <v>266</v>
      </c>
      <c r="U270" t="s">
        <v>267</v>
      </c>
      <c r="V270" t="s">
        <v>427</v>
      </c>
      <c r="W270" t="s">
        <v>428</v>
      </c>
      <c r="X270">
        <v>1926765</v>
      </c>
      <c r="Y270" s="6">
        <v>44776</v>
      </c>
      <c r="Z270" t="s">
        <v>264</v>
      </c>
      <c r="AA270">
        <v>1</v>
      </c>
      <c r="AB270" t="s">
        <v>264</v>
      </c>
      <c r="AD270" t="s">
        <v>264</v>
      </c>
      <c r="AE270" t="s">
        <v>264</v>
      </c>
      <c r="AF270" t="s">
        <v>264</v>
      </c>
      <c r="AG270">
        <v>601</v>
      </c>
      <c r="AH270" t="s">
        <v>264</v>
      </c>
      <c r="AI270">
        <v>57330810</v>
      </c>
      <c r="AJ270" t="s">
        <v>451</v>
      </c>
      <c r="AL270" t="s">
        <v>264</v>
      </c>
      <c r="AM270" s="6">
        <v>44774</v>
      </c>
      <c r="AN270" t="s">
        <v>462</v>
      </c>
      <c r="AO270" t="s">
        <v>268</v>
      </c>
      <c r="AP270">
        <v>1205</v>
      </c>
      <c r="AQ270" t="s">
        <v>269</v>
      </c>
      <c r="AR270">
        <v>264850</v>
      </c>
      <c r="AU270" t="s">
        <v>264</v>
      </c>
      <c r="AV270" t="s">
        <v>270</v>
      </c>
      <c r="AX270">
        <v>22001110</v>
      </c>
      <c r="AY270">
        <v>630600</v>
      </c>
      <c r="AZ270">
        <v>1205.6306</v>
      </c>
      <c r="BA270" s="28" t="s">
        <v>125</v>
      </c>
    </row>
    <row r="271" spans="1:53">
      <c r="A271" t="s">
        <v>424</v>
      </c>
      <c r="B271" t="s">
        <v>425</v>
      </c>
      <c r="C271">
        <v>22004094</v>
      </c>
      <c r="D271">
        <v>1205</v>
      </c>
      <c r="E271" s="6">
        <v>44774</v>
      </c>
      <c r="F271" t="s">
        <v>451</v>
      </c>
      <c r="G271">
        <v>106.93</v>
      </c>
      <c r="H271">
        <v>106.93</v>
      </c>
      <c r="I271" t="s">
        <v>263</v>
      </c>
      <c r="J271" t="s">
        <v>263</v>
      </c>
      <c r="L271" s="29">
        <v>1560600</v>
      </c>
      <c r="N271" s="29">
        <v>1560600</v>
      </c>
      <c r="O271" t="s">
        <v>264</v>
      </c>
      <c r="Q271" t="s">
        <v>264</v>
      </c>
      <c r="R271" t="s">
        <v>265</v>
      </c>
      <c r="S271">
        <v>14592</v>
      </c>
      <c r="T271" t="s">
        <v>266</v>
      </c>
      <c r="U271" t="s">
        <v>267</v>
      </c>
      <c r="V271" t="s">
        <v>427</v>
      </c>
      <c r="W271" t="s">
        <v>428</v>
      </c>
      <c r="X271">
        <v>1926765</v>
      </c>
      <c r="Y271" s="6">
        <v>44776</v>
      </c>
      <c r="Z271" t="s">
        <v>264</v>
      </c>
      <c r="AA271">
        <v>1</v>
      </c>
      <c r="AB271" t="s">
        <v>264</v>
      </c>
      <c r="AD271" t="s">
        <v>264</v>
      </c>
      <c r="AE271" t="s">
        <v>264</v>
      </c>
      <c r="AF271" t="s">
        <v>264</v>
      </c>
      <c r="AG271">
        <v>578</v>
      </c>
      <c r="AH271" t="s">
        <v>264</v>
      </c>
      <c r="AI271">
        <v>57330810</v>
      </c>
      <c r="AJ271" t="s">
        <v>451</v>
      </c>
      <c r="AL271" t="s">
        <v>264</v>
      </c>
      <c r="AM271" s="6">
        <v>44774</v>
      </c>
      <c r="AN271" t="s">
        <v>462</v>
      </c>
      <c r="AO271" t="s">
        <v>268</v>
      </c>
      <c r="AP271">
        <v>1205</v>
      </c>
      <c r="AQ271" t="s">
        <v>269</v>
      </c>
      <c r="AR271">
        <v>264850</v>
      </c>
      <c r="AU271" t="s">
        <v>264</v>
      </c>
      <c r="AV271" t="s">
        <v>270</v>
      </c>
      <c r="AX271">
        <v>22001110</v>
      </c>
      <c r="AY271">
        <v>630600</v>
      </c>
      <c r="AZ271">
        <v>1205.6306</v>
      </c>
      <c r="BA271" s="28" t="s">
        <v>125</v>
      </c>
    </row>
    <row r="272" spans="1:53">
      <c r="A272" t="s">
        <v>424</v>
      </c>
      <c r="B272" t="s">
        <v>425</v>
      </c>
      <c r="C272">
        <v>22004095</v>
      </c>
      <c r="D272">
        <v>1205</v>
      </c>
      <c r="E272" s="6">
        <v>44774</v>
      </c>
      <c r="F272" t="s">
        <v>451</v>
      </c>
      <c r="G272">
        <v>129.87</v>
      </c>
      <c r="H272">
        <v>129.87</v>
      </c>
      <c r="I272" t="s">
        <v>263</v>
      </c>
      <c r="J272" t="s">
        <v>263</v>
      </c>
      <c r="L272" s="29">
        <v>1895400</v>
      </c>
      <c r="N272" s="29">
        <v>1895400</v>
      </c>
      <c r="O272" t="s">
        <v>264</v>
      </c>
      <c r="Q272" t="s">
        <v>264</v>
      </c>
      <c r="R272" t="s">
        <v>265</v>
      </c>
      <c r="S272">
        <v>14592</v>
      </c>
      <c r="T272" t="s">
        <v>266</v>
      </c>
      <c r="U272" t="s">
        <v>267</v>
      </c>
      <c r="V272" t="s">
        <v>427</v>
      </c>
      <c r="W272" t="s">
        <v>428</v>
      </c>
      <c r="X272">
        <v>1926765</v>
      </c>
      <c r="Y272" s="6">
        <v>44776</v>
      </c>
      <c r="Z272" t="s">
        <v>264</v>
      </c>
      <c r="AA272">
        <v>1</v>
      </c>
      <c r="AB272" t="s">
        <v>264</v>
      </c>
      <c r="AD272" t="s">
        <v>264</v>
      </c>
      <c r="AE272" t="s">
        <v>264</v>
      </c>
      <c r="AF272" t="s">
        <v>264</v>
      </c>
      <c r="AG272">
        <v>702</v>
      </c>
      <c r="AH272" t="s">
        <v>264</v>
      </c>
      <c r="AI272">
        <v>57330810</v>
      </c>
      <c r="AJ272" t="s">
        <v>451</v>
      </c>
      <c r="AL272" t="s">
        <v>264</v>
      </c>
      <c r="AM272" s="6">
        <v>44774</v>
      </c>
      <c r="AN272" t="s">
        <v>462</v>
      </c>
      <c r="AO272" t="s">
        <v>268</v>
      </c>
      <c r="AP272">
        <v>1205</v>
      </c>
      <c r="AQ272" t="s">
        <v>269</v>
      </c>
      <c r="AR272">
        <v>264850</v>
      </c>
      <c r="AU272" t="s">
        <v>264</v>
      </c>
      <c r="AV272" t="s">
        <v>270</v>
      </c>
      <c r="AX272">
        <v>22001110</v>
      </c>
      <c r="AY272">
        <v>630600</v>
      </c>
      <c r="AZ272">
        <v>1205.6306</v>
      </c>
      <c r="BA272" s="28" t="s">
        <v>125</v>
      </c>
    </row>
    <row r="273" spans="1:53">
      <c r="A273" t="s">
        <v>424</v>
      </c>
      <c r="B273" t="s">
        <v>425</v>
      </c>
      <c r="C273">
        <v>22004096</v>
      </c>
      <c r="D273">
        <v>1205</v>
      </c>
      <c r="E273" s="6">
        <v>44774</v>
      </c>
      <c r="F273" t="s">
        <v>451</v>
      </c>
      <c r="G273">
        <v>24.61</v>
      </c>
      <c r="H273">
        <v>24.61</v>
      </c>
      <c r="I273" t="s">
        <v>263</v>
      </c>
      <c r="J273" t="s">
        <v>263</v>
      </c>
      <c r="L273" s="29">
        <v>359100</v>
      </c>
      <c r="N273" s="29">
        <v>359100</v>
      </c>
      <c r="O273" t="s">
        <v>264</v>
      </c>
      <c r="Q273" t="s">
        <v>264</v>
      </c>
      <c r="R273" t="s">
        <v>265</v>
      </c>
      <c r="S273">
        <v>14592</v>
      </c>
      <c r="T273" t="s">
        <v>266</v>
      </c>
      <c r="U273" t="s">
        <v>267</v>
      </c>
      <c r="V273" t="s">
        <v>427</v>
      </c>
      <c r="W273" t="s">
        <v>428</v>
      </c>
      <c r="X273">
        <v>1926765</v>
      </c>
      <c r="Y273" s="6">
        <v>44776</v>
      </c>
      <c r="Z273" t="s">
        <v>264</v>
      </c>
      <c r="AA273">
        <v>1</v>
      </c>
      <c r="AB273" t="s">
        <v>264</v>
      </c>
      <c r="AD273" t="s">
        <v>264</v>
      </c>
      <c r="AE273" t="s">
        <v>264</v>
      </c>
      <c r="AF273" t="s">
        <v>264</v>
      </c>
      <c r="AG273">
        <v>133</v>
      </c>
      <c r="AH273" t="s">
        <v>264</v>
      </c>
      <c r="AI273">
        <v>57330810</v>
      </c>
      <c r="AJ273" t="s">
        <v>451</v>
      </c>
      <c r="AL273" t="s">
        <v>264</v>
      </c>
      <c r="AM273" s="6">
        <v>44774</v>
      </c>
      <c r="AN273" t="s">
        <v>462</v>
      </c>
      <c r="AO273" t="s">
        <v>268</v>
      </c>
      <c r="AP273">
        <v>1205</v>
      </c>
      <c r="AQ273" t="s">
        <v>269</v>
      </c>
      <c r="AR273">
        <v>264850</v>
      </c>
      <c r="AU273" t="s">
        <v>264</v>
      </c>
      <c r="AV273" t="s">
        <v>270</v>
      </c>
      <c r="AX273">
        <v>22001110</v>
      </c>
      <c r="AY273">
        <v>630600</v>
      </c>
      <c r="AZ273">
        <v>1205.6306</v>
      </c>
      <c r="BA273" s="28" t="s">
        <v>125</v>
      </c>
    </row>
    <row r="274" spans="1:53">
      <c r="A274" t="s">
        <v>424</v>
      </c>
      <c r="B274" t="s">
        <v>425</v>
      </c>
      <c r="C274">
        <v>22004097</v>
      </c>
      <c r="D274">
        <v>1205</v>
      </c>
      <c r="E274" s="6">
        <v>44774</v>
      </c>
      <c r="F274" t="s">
        <v>451</v>
      </c>
      <c r="G274">
        <v>61.61</v>
      </c>
      <c r="H274">
        <v>61.61</v>
      </c>
      <c r="I274" t="s">
        <v>263</v>
      </c>
      <c r="J274" t="s">
        <v>263</v>
      </c>
      <c r="L274" s="29">
        <v>899100</v>
      </c>
      <c r="N274" s="29">
        <v>899100</v>
      </c>
      <c r="O274" t="s">
        <v>264</v>
      </c>
      <c r="Q274" t="s">
        <v>264</v>
      </c>
      <c r="R274" t="s">
        <v>265</v>
      </c>
      <c r="S274">
        <v>14592</v>
      </c>
      <c r="T274" t="s">
        <v>266</v>
      </c>
      <c r="U274" t="s">
        <v>267</v>
      </c>
      <c r="V274" t="s">
        <v>427</v>
      </c>
      <c r="W274" t="s">
        <v>428</v>
      </c>
      <c r="X274">
        <v>1926765</v>
      </c>
      <c r="Y274" s="6">
        <v>44776</v>
      </c>
      <c r="Z274" t="s">
        <v>264</v>
      </c>
      <c r="AA274">
        <v>1</v>
      </c>
      <c r="AB274" t="s">
        <v>264</v>
      </c>
      <c r="AD274" t="s">
        <v>264</v>
      </c>
      <c r="AE274" t="s">
        <v>264</v>
      </c>
      <c r="AF274" t="s">
        <v>264</v>
      </c>
      <c r="AG274">
        <v>333</v>
      </c>
      <c r="AH274" t="s">
        <v>264</v>
      </c>
      <c r="AI274">
        <v>57330810</v>
      </c>
      <c r="AJ274" t="s">
        <v>451</v>
      </c>
      <c r="AL274" t="s">
        <v>264</v>
      </c>
      <c r="AM274" s="6">
        <v>44774</v>
      </c>
      <c r="AN274" t="s">
        <v>462</v>
      </c>
      <c r="AO274" t="s">
        <v>268</v>
      </c>
      <c r="AP274">
        <v>1205</v>
      </c>
      <c r="AQ274" t="s">
        <v>269</v>
      </c>
      <c r="AR274">
        <v>264850</v>
      </c>
      <c r="AU274" t="s">
        <v>264</v>
      </c>
      <c r="AV274" t="s">
        <v>270</v>
      </c>
      <c r="AX274">
        <v>22001110</v>
      </c>
      <c r="AY274">
        <v>630600</v>
      </c>
      <c r="AZ274">
        <v>1205.6306</v>
      </c>
      <c r="BA274" s="28" t="s">
        <v>125</v>
      </c>
    </row>
    <row r="275" spans="1:53">
      <c r="A275" t="s">
        <v>424</v>
      </c>
      <c r="B275" t="s">
        <v>425</v>
      </c>
      <c r="C275">
        <v>22004098</v>
      </c>
      <c r="D275">
        <v>1205</v>
      </c>
      <c r="E275" s="6">
        <v>44774</v>
      </c>
      <c r="F275" t="s">
        <v>451</v>
      </c>
      <c r="G275">
        <v>60.87</v>
      </c>
      <c r="H275">
        <v>60.87</v>
      </c>
      <c r="I275" t="s">
        <v>263</v>
      </c>
      <c r="J275" t="s">
        <v>263</v>
      </c>
      <c r="L275" s="29">
        <v>888300</v>
      </c>
      <c r="N275" s="29">
        <v>888300</v>
      </c>
      <c r="O275" t="s">
        <v>264</v>
      </c>
      <c r="Q275" t="s">
        <v>264</v>
      </c>
      <c r="R275" t="s">
        <v>265</v>
      </c>
      <c r="S275">
        <v>14592</v>
      </c>
      <c r="T275" t="s">
        <v>266</v>
      </c>
      <c r="U275" t="s">
        <v>267</v>
      </c>
      <c r="V275" t="s">
        <v>427</v>
      </c>
      <c r="W275" t="s">
        <v>428</v>
      </c>
      <c r="X275">
        <v>1926765</v>
      </c>
      <c r="Y275" s="6">
        <v>44776</v>
      </c>
      <c r="Z275" t="s">
        <v>264</v>
      </c>
      <c r="AA275">
        <v>1</v>
      </c>
      <c r="AB275" t="s">
        <v>264</v>
      </c>
      <c r="AD275" t="s">
        <v>264</v>
      </c>
      <c r="AE275" t="s">
        <v>264</v>
      </c>
      <c r="AF275" t="s">
        <v>264</v>
      </c>
      <c r="AG275">
        <v>329</v>
      </c>
      <c r="AH275" t="s">
        <v>264</v>
      </c>
      <c r="AI275">
        <v>57330810</v>
      </c>
      <c r="AJ275" t="s">
        <v>451</v>
      </c>
      <c r="AL275" t="s">
        <v>264</v>
      </c>
      <c r="AM275" s="6">
        <v>44774</v>
      </c>
      <c r="AN275" t="s">
        <v>462</v>
      </c>
      <c r="AO275" t="s">
        <v>268</v>
      </c>
      <c r="AP275">
        <v>1205</v>
      </c>
      <c r="AQ275" t="s">
        <v>269</v>
      </c>
      <c r="AR275">
        <v>264850</v>
      </c>
      <c r="AU275" t="s">
        <v>264</v>
      </c>
      <c r="AV275" t="s">
        <v>270</v>
      </c>
      <c r="AX275">
        <v>22001110</v>
      </c>
      <c r="AY275">
        <v>630600</v>
      </c>
      <c r="AZ275">
        <v>1205.6306</v>
      </c>
      <c r="BA275" s="28" t="s">
        <v>125</v>
      </c>
    </row>
    <row r="276" spans="1:53">
      <c r="A276" t="s">
        <v>424</v>
      </c>
      <c r="B276" t="s">
        <v>425</v>
      </c>
      <c r="C276">
        <v>22004099</v>
      </c>
      <c r="D276">
        <v>1205</v>
      </c>
      <c r="E276" s="6">
        <v>44774</v>
      </c>
      <c r="F276" t="s">
        <v>451</v>
      </c>
      <c r="G276">
        <v>96.02</v>
      </c>
      <c r="H276">
        <v>96.02</v>
      </c>
      <c r="I276" t="s">
        <v>263</v>
      </c>
      <c r="J276" t="s">
        <v>263</v>
      </c>
      <c r="L276" s="29">
        <v>1401300</v>
      </c>
      <c r="N276" s="29">
        <v>1401300</v>
      </c>
      <c r="O276" t="s">
        <v>264</v>
      </c>
      <c r="Q276" t="s">
        <v>264</v>
      </c>
      <c r="R276" t="s">
        <v>265</v>
      </c>
      <c r="S276">
        <v>14592</v>
      </c>
      <c r="T276" t="s">
        <v>266</v>
      </c>
      <c r="U276" t="s">
        <v>267</v>
      </c>
      <c r="V276" t="s">
        <v>427</v>
      </c>
      <c r="W276" t="s">
        <v>428</v>
      </c>
      <c r="X276">
        <v>1926765</v>
      </c>
      <c r="Y276" s="6">
        <v>44776</v>
      </c>
      <c r="Z276" t="s">
        <v>264</v>
      </c>
      <c r="AA276">
        <v>1</v>
      </c>
      <c r="AB276" t="s">
        <v>264</v>
      </c>
      <c r="AD276" t="s">
        <v>264</v>
      </c>
      <c r="AE276" t="s">
        <v>264</v>
      </c>
      <c r="AF276" t="s">
        <v>264</v>
      </c>
      <c r="AG276">
        <v>519</v>
      </c>
      <c r="AH276" t="s">
        <v>264</v>
      </c>
      <c r="AI276">
        <v>57330810</v>
      </c>
      <c r="AJ276" t="s">
        <v>451</v>
      </c>
      <c r="AL276" t="s">
        <v>264</v>
      </c>
      <c r="AM276" s="6">
        <v>44774</v>
      </c>
      <c r="AN276" t="s">
        <v>462</v>
      </c>
      <c r="AO276" t="s">
        <v>268</v>
      </c>
      <c r="AP276">
        <v>1205</v>
      </c>
      <c r="AQ276" t="s">
        <v>269</v>
      </c>
      <c r="AR276">
        <v>264850</v>
      </c>
      <c r="AU276" t="s">
        <v>264</v>
      </c>
      <c r="AV276" t="s">
        <v>270</v>
      </c>
      <c r="AX276">
        <v>22001110</v>
      </c>
      <c r="AY276">
        <v>630600</v>
      </c>
      <c r="AZ276">
        <v>1205.6306</v>
      </c>
      <c r="BA276" s="28" t="s">
        <v>125</v>
      </c>
    </row>
    <row r="277" spans="1:53">
      <c r="A277" t="s">
        <v>424</v>
      </c>
      <c r="B277" t="s">
        <v>425</v>
      </c>
      <c r="C277">
        <v>22004104</v>
      </c>
      <c r="D277">
        <v>1205</v>
      </c>
      <c r="E277" s="6">
        <v>44774</v>
      </c>
      <c r="F277" t="s">
        <v>451</v>
      </c>
      <c r="G277">
        <v>-32.9</v>
      </c>
      <c r="I277" t="s">
        <v>263</v>
      </c>
      <c r="J277" t="s">
        <v>263</v>
      </c>
      <c r="K277">
        <v>-32.9</v>
      </c>
      <c r="M277" s="29">
        <v>-480000</v>
      </c>
      <c r="N277" s="29">
        <v>-480000</v>
      </c>
      <c r="O277" t="s">
        <v>264</v>
      </c>
      <c r="Q277" t="s">
        <v>264</v>
      </c>
      <c r="R277" t="s">
        <v>265</v>
      </c>
      <c r="S277">
        <v>14592</v>
      </c>
      <c r="T277" t="s">
        <v>266</v>
      </c>
      <c r="U277" t="s">
        <v>267</v>
      </c>
      <c r="V277" t="s">
        <v>427</v>
      </c>
      <c r="W277" t="s">
        <v>428</v>
      </c>
      <c r="X277">
        <v>1926807</v>
      </c>
      <c r="Y277" s="6">
        <v>44776</v>
      </c>
      <c r="Z277" t="s">
        <v>264</v>
      </c>
      <c r="AA277">
        <v>1</v>
      </c>
      <c r="AB277" t="s">
        <v>264</v>
      </c>
      <c r="AD277" t="s">
        <v>264</v>
      </c>
      <c r="AE277" t="s">
        <v>264</v>
      </c>
      <c r="AF277" t="s">
        <v>264</v>
      </c>
      <c r="AG277">
        <v>-40</v>
      </c>
      <c r="AH277" t="s">
        <v>264</v>
      </c>
      <c r="AI277">
        <v>57330810</v>
      </c>
      <c r="AJ277" t="s">
        <v>451</v>
      </c>
      <c r="AL277" t="s">
        <v>264</v>
      </c>
      <c r="AM277" s="6">
        <v>44774</v>
      </c>
      <c r="AN277" t="s">
        <v>462</v>
      </c>
      <c r="AO277" t="s">
        <v>268</v>
      </c>
      <c r="AP277">
        <v>1205</v>
      </c>
      <c r="AQ277" t="s">
        <v>269</v>
      </c>
      <c r="AR277" t="s">
        <v>463</v>
      </c>
      <c r="AU277" t="s">
        <v>264</v>
      </c>
      <c r="AV277" t="s">
        <v>270</v>
      </c>
      <c r="AX277">
        <v>22001097</v>
      </c>
      <c r="AY277">
        <v>630600</v>
      </c>
      <c r="AZ277">
        <v>1205.6306</v>
      </c>
      <c r="BA277" s="28" t="s">
        <v>125</v>
      </c>
    </row>
    <row r="278" spans="1:53">
      <c r="A278" t="s">
        <v>424</v>
      </c>
      <c r="B278" t="s">
        <v>425</v>
      </c>
      <c r="C278">
        <v>22004105</v>
      </c>
      <c r="D278">
        <v>1205</v>
      </c>
      <c r="E278" s="6">
        <v>44774</v>
      </c>
      <c r="F278" t="s">
        <v>451</v>
      </c>
      <c r="G278">
        <v>-19.190000000000001</v>
      </c>
      <c r="I278" t="s">
        <v>263</v>
      </c>
      <c r="J278" t="s">
        <v>263</v>
      </c>
      <c r="K278">
        <v>-19.190000000000001</v>
      </c>
      <c r="M278" s="29">
        <v>-280000</v>
      </c>
      <c r="N278" s="29">
        <v>-280000</v>
      </c>
      <c r="O278" t="s">
        <v>264</v>
      </c>
      <c r="Q278" t="s">
        <v>264</v>
      </c>
      <c r="R278" t="s">
        <v>265</v>
      </c>
      <c r="S278">
        <v>14592</v>
      </c>
      <c r="T278" t="s">
        <v>266</v>
      </c>
      <c r="U278" t="s">
        <v>267</v>
      </c>
      <c r="V278" t="s">
        <v>427</v>
      </c>
      <c r="W278" t="s">
        <v>428</v>
      </c>
      <c r="X278">
        <v>1926808</v>
      </c>
      <c r="Y278" s="6">
        <v>44776</v>
      </c>
      <c r="Z278" t="s">
        <v>264</v>
      </c>
      <c r="AA278">
        <v>1</v>
      </c>
      <c r="AB278" t="s">
        <v>264</v>
      </c>
      <c r="AD278" t="s">
        <v>264</v>
      </c>
      <c r="AE278" t="s">
        <v>264</v>
      </c>
      <c r="AF278" t="s">
        <v>264</v>
      </c>
      <c r="AG278">
        <v>-40</v>
      </c>
      <c r="AH278" t="s">
        <v>264</v>
      </c>
      <c r="AI278">
        <v>57330810</v>
      </c>
      <c r="AJ278" t="s">
        <v>451</v>
      </c>
      <c r="AL278" t="s">
        <v>264</v>
      </c>
      <c r="AM278" s="6">
        <v>44774</v>
      </c>
      <c r="AN278" t="s">
        <v>462</v>
      </c>
      <c r="AO278" t="s">
        <v>268</v>
      </c>
      <c r="AP278">
        <v>1205</v>
      </c>
      <c r="AQ278" t="s">
        <v>269</v>
      </c>
      <c r="AR278" t="s">
        <v>463</v>
      </c>
      <c r="AU278" t="s">
        <v>264</v>
      </c>
      <c r="AV278" t="s">
        <v>270</v>
      </c>
      <c r="AX278">
        <v>22001097</v>
      </c>
      <c r="AY278">
        <v>630600</v>
      </c>
      <c r="AZ278">
        <v>1205.6306</v>
      </c>
      <c r="BA278" s="28" t="s">
        <v>125</v>
      </c>
    </row>
    <row r="279" spans="1:53">
      <c r="A279" t="s">
        <v>424</v>
      </c>
      <c r="B279" t="s">
        <v>425</v>
      </c>
      <c r="C279">
        <v>22004106</v>
      </c>
      <c r="D279">
        <v>1205</v>
      </c>
      <c r="E279" s="6">
        <v>44774</v>
      </c>
      <c r="F279" t="s">
        <v>451</v>
      </c>
      <c r="G279">
        <v>-0.82</v>
      </c>
      <c r="I279" t="s">
        <v>263</v>
      </c>
      <c r="J279" t="s">
        <v>263</v>
      </c>
      <c r="K279">
        <v>-0.82</v>
      </c>
      <c r="M279" s="29">
        <v>-12000</v>
      </c>
      <c r="N279" s="29">
        <v>-12000</v>
      </c>
      <c r="O279" t="s">
        <v>264</v>
      </c>
      <c r="Q279" t="s">
        <v>264</v>
      </c>
      <c r="R279" t="s">
        <v>265</v>
      </c>
      <c r="S279">
        <v>14592</v>
      </c>
      <c r="T279" t="s">
        <v>266</v>
      </c>
      <c r="U279" t="s">
        <v>267</v>
      </c>
      <c r="V279" t="s">
        <v>427</v>
      </c>
      <c r="W279" t="s">
        <v>428</v>
      </c>
      <c r="X279">
        <v>1926809</v>
      </c>
      <c r="Y279" s="6">
        <v>44776</v>
      </c>
      <c r="Z279" t="s">
        <v>264</v>
      </c>
      <c r="AA279">
        <v>1</v>
      </c>
      <c r="AB279" t="s">
        <v>264</v>
      </c>
      <c r="AD279" t="s">
        <v>264</v>
      </c>
      <c r="AE279" t="s">
        <v>264</v>
      </c>
      <c r="AF279" t="s">
        <v>264</v>
      </c>
      <c r="AG279">
        <v>-1</v>
      </c>
      <c r="AH279" t="s">
        <v>264</v>
      </c>
      <c r="AI279">
        <v>57330810</v>
      </c>
      <c r="AJ279" t="s">
        <v>451</v>
      </c>
      <c r="AL279" t="s">
        <v>264</v>
      </c>
      <c r="AM279" s="6">
        <v>44774</v>
      </c>
      <c r="AN279" t="s">
        <v>462</v>
      </c>
      <c r="AO279" t="s">
        <v>268</v>
      </c>
      <c r="AP279">
        <v>1205</v>
      </c>
      <c r="AQ279" t="s">
        <v>269</v>
      </c>
      <c r="AR279" t="s">
        <v>463</v>
      </c>
      <c r="AU279" t="s">
        <v>264</v>
      </c>
      <c r="AV279" t="s">
        <v>270</v>
      </c>
      <c r="AX279">
        <v>22001097</v>
      </c>
      <c r="AY279">
        <v>630600</v>
      </c>
      <c r="AZ279">
        <v>1205.6306</v>
      </c>
      <c r="BA279" s="28" t="s">
        <v>125</v>
      </c>
    </row>
    <row r="280" spans="1:53">
      <c r="A280" t="s">
        <v>424</v>
      </c>
      <c r="B280" t="s">
        <v>425</v>
      </c>
      <c r="C280">
        <v>22004107</v>
      </c>
      <c r="D280">
        <v>1205</v>
      </c>
      <c r="E280" s="6">
        <v>44774</v>
      </c>
      <c r="F280" t="s">
        <v>451</v>
      </c>
      <c r="G280">
        <v>-0.48</v>
      </c>
      <c r="I280" t="s">
        <v>263</v>
      </c>
      <c r="J280" t="s">
        <v>263</v>
      </c>
      <c r="K280">
        <v>-0.48</v>
      </c>
      <c r="M280" s="29">
        <v>-7000</v>
      </c>
      <c r="N280" s="29">
        <v>-7000</v>
      </c>
      <c r="O280" t="s">
        <v>264</v>
      </c>
      <c r="Q280" t="s">
        <v>264</v>
      </c>
      <c r="R280" t="s">
        <v>265</v>
      </c>
      <c r="S280">
        <v>14592</v>
      </c>
      <c r="T280" t="s">
        <v>266</v>
      </c>
      <c r="U280" t="s">
        <v>267</v>
      </c>
      <c r="V280" t="s">
        <v>427</v>
      </c>
      <c r="W280" t="s">
        <v>428</v>
      </c>
      <c r="X280">
        <v>1926810</v>
      </c>
      <c r="Y280" s="6">
        <v>44776</v>
      </c>
      <c r="Z280" t="s">
        <v>264</v>
      </c>
      <c r="AA280">
        <v>3</v>
      </c>
      <c r="AB280" t="s">
        <v>264</v>
      </c>
      <c r="AD280" t="s">
        <v>264</v>
      </c>
      <c r="AE280" t="s">
        <v>264</v>
      </c>
      <c r="AF280" t="s">
        <v>264</v>
      </c>
      <c r="AG280">
        <v>-1</v>
      </c>
      <c r="AH280" t="s">
        <v>264</v>
      </c>
      <c r="AI280">
        <v>57330810</v>
      </c>
      <c r="AJ280" t="s">
        <v>451</v>
      </c>
      <c r="AL280" t="s">
        <v>264</v>
      </c>
      <c r="AM280" s="6">
        <v>44774</v>
      </c>
      <c r="AN280" t="s">
        <v>462</v>
      </c>
      <c r="AO280" t="s">
        <v>268</v>
      </c>
      <c r="AP280">
        <v>1205</v>
      </c>
      <c r="AQ280" t="s">
        <v>269</v>
      </c>
      <c r="AR280" t="s">
        <v>463</v>
      </c>
      <c r="AU280" t="s">
        <v>264</v>
      </c>
      <c r="AV280" t="s">
        <v>270</v>
      </c>
      <c r="AX280">
        <v>22001097</v>
      </c>
      <c r="AY280">
        <v>630600</v>
      </c>
      <c r="AZ280">
        <v>1205.6306</v>
      </c>
      <c r="BA280" s="28" t="s">
        <v>125</v>
      </c>
    </row>
    <row r="281" spans="1:53">
      <c r="A281" t="s">
        <v>424</v>
      </c>
      <c r="B281" t="s">
        <v>425</v>
      </c>
      <c r="C281">
        <v>22004108</v>
      </c>
      <c r="D281">
        <v>1205</v>
      </c>
      <c r="E281" s="6">
        <v>44774</v>
      </c>
      <c r="F281" t="s">
        <v>451</v>
      </c>
      <c r="G281">
        <v>-131.58000000000001</v>
      </c>
      <c r="I281" t="s">
        <v>263</v>
      </c>
      <c r="J281" t="s">
        <v>263</v>
      </c>
      <c r="K281">
        <v>-131.58000000000001</v>
      </c>
      <c r="M281" s="29">
        <v>-1920000</v>
      </c>
      <c r="N281" s="29">
        <v>-1920000</v>
      </c>
      <c r="O281" t="s">
        <v>264</v>
      </c>
      <c r="Q281" t="s">
        <v>264</v>
      </c>
      <c r="R281" t="s">
        <v>265</v>
      </c>
      <c r="S281">
        <v>14592</v>
      </c>
      <c r="T281" t="s">
        <v>266</v>
      </c>
      <c r="U281" t="s">
        <v>267</v>
      </c>
      <c r="V281" t="s">
        <v>427</v>
      </c>
      <c r="W281" t="s">
        <v>428</v>
      </c>
      <c r="X281">
        <v>1926811</v>
      </c>
      <c r="Y281" s="6">
        <v>44776</v>
      </c>
      <c r="Z281" t="s">
        <v>264</v>
      </c>
      <c r="AA281">
        <v>5</v>
      </c>
      <c r="AB281" t="s">
        <v>264</v>
      </c>
      <c r="AD281" t="s">
        <v>264</v>
      </c>
      <c r="AE281" t="s">
        <v>264</v>
      </c>
      <c r="AF281" t="s">
        <v>264</v>
      </c>
      <c r="AG281">
        <v>-160</v>
      </c>
      <c r="AH281" t="s">
        <v>264</v>
      </c>
      <c r="AI281">
        <v>57330810</v>
      </c>
      <c r="AJ281" t="s">
        <v>451</v>
      </c>
      <c r="AL281" t="s">
        <v>264</v>
      </c>
      <c r="AM281" s="6">
        <v>44774</v>
      </c>
      <c r="AN281" t="s">
        <v>462</v>
      </c>
      <c r="AO281" t="s">
        <v>268</v>
      </c>
      <c r="AP281">
        <v>1205</v>
      </c>
      <c r="AQ281" t="s">
        <v>269</v>
      </c>
      <c r="AR281" t="s">
        <v>463</v>
      </c>
      <c r="AU281" t="s">
        <v>264</v>
      </c>
      <c r="AV281" t="s">
        <v>270</v>
      </c>
      <c r="AX281">
        <v>22001097</v>
      </c>
      <c r="AY281">
        <v>630600</v>
      </c>
      <c r="AZ281">
        <v>1205.6306</v>
      </c>
      <c r="BA281" s="28" t="s">
        <v>125</v>
      </c>
    </row>
    <row r="282" spans="1:53">
      <c r="A282" t="s">
        <v>424</v>
      </c>
      <c r="B282" t="s">
        <v>425</v>
      </c>
      <c r="C282">
        <v>22004109</v>
      </c>
      <c r="D282">
        <v>1205</v>
      </c>
      <c r="E282" s="6">
        <v>44774</v>
      </c>
      <c r="F282" t="s">
        <v>451</v>
      </c>
      <c r="G282">
        <v>-76.75</v>
      </c>
      <c r="I282" t="s">
        <v>263</v>
      </c>
      <c r="J282" t="s">
        <v>263</v>
      </c>
      <c r="K282">
        <v>-76.75</v>
      </c>
      <c r="M282" s="29">
        <v>-1120000</v>
      </c>
      <c r="N282" s="29">
        <v>-1120000</v>
      </c>
      <c r="O282" t="s">
        <v>264</v>
      </c>
      <c r="Q282" t="s">
        <v>264</v>
      </c>
      <c r="R282" t="s">
        <v>265</v>
      </c>
      <c r="S282">
        <v>14592</v>
      </c>
      <c r="T282" t="s">
        <v>266</v>
      </c>
      <c r="U282" t="s">
        <v>267</v>
      </c>
      <c r="V282" t="s">
        <v>427</v>
      </c>
      <c r="W282" t="s">
        <v>428</v>
      </c>
      <c r="X282">
        <v>1926812</v>
      </c>
      <c r="Y282" s="6">
        <v>44776</v>
      </c>
      <c r="Z282" t="s">
        <v>264</v>
      </c>
      <c r="AA282">
        <v>7</v>
      </c>
      <c r="AB282" t="s">
        <v>264</v>
      </c>
      <c r="AD282" t="s">
        <v>264</v>
      </c>
      <c r="AE282" t="s">
        <v>264</v>
      </c>
      <c r="AF282" t="s">
        <v>264</v>
      </c>
      <c r="AG282">
        <v>-160</v>
      </c>
      <c r="AH282" t="s">
        <v>264</v>
      </c>
      <c r="AI282">
        <v>57330810</v>
      </c>
      <c r="AJ282" t="s">
        <v>451</v>
      </c>
      <c r="AL282" t="s">
        <v>264</v>
      </c>
      <c r="AM282" s="6">
        <v>44774</v>
      </c>
      <c r="AN282" t="s">
        <v>462</v>
      </c>
      <c r="AO282" t="s">
        <v>268</v>
      </c>
      <c r="AP282">
        <v>1205</v>
      </c>
      <c r="AQ282" t="s">
        <v>269</v>
      </c>
      <c r="AR282" t="s">
        <v>463</v>
      </c>
      <c r="AU282" t="s">
        <v>264</v>
      </c>
      <c r="AV282" t="s">
        <v>270</v>
      </c>
      <c r="AX282">
        <v>22001097</v>
      </c>
      <c r="AY282">
        <v>630600</v>
      </c>
      <c r="AZ282">
        <v>1205.6306</v>
      </c>
      <c r="BA282" s="28" t="s">
        <v>125</v>
      </c>
    </row>
    <row r="283" spans="1:53">
      <c r="A283" t="s">
        <v>424</v>
      </c>
      <c r="B283" t="s">
        <v>425</v>
      </c>
      <c r="C283">
        <v>22004110</v>
      </c>
      <c r="D283">
        <v>1205</v>
      </c>
      <c r="E283" s="6">
        <v>44774</v>
      </c>
      <c r="F283" t="s">
        <v>451</v>
      </c>
      <c r="G283">
        <v>-163.66</v>
      </c>
      <c r="I283" t="s">
        <v>263</v>
      </c>
      <c r="J283" t="s">
        <v>263</v>
      </c>
      <c r="K283">
        <v>-163.66</v>
      </c>
      <c r="M283" s="29">
        <v>-2388000</v>
      </c>
      <c r="N283" s="29">
        <v>-2388000</v>
      </c>
      <c r="O283" t="s">
        <v>264</v>
      </c>
      <c r="Q283" t="s">
        <v>264</v>
      </c>
      <c r="R283" t="s">
        <v>265</v>
      </c>
      <c r="S283">
        <v>14592</v>
      </c>
      <c r="T283" t="s">
        <v>266</v>
      </c>
      <c r="U283" t="s">
        <v>267</v>
      </c>
      <c r="V283" t="s">
        <v>427</v>
      </c>
      <c r="W283" t="s">
        <v>428</v>
      </c>
      <c r="X283">
        <v>1926813</v>
      </c>
      <c r="Y283" s="6">
        <v>44776</v>
      </c>
      <c r="Z283" t="s">
        <v>264</v>
      </c>
      <c r="AA283">
        <v>9</v>
      </c>
      <c r="AB283" t="s">
        <v>264</v>
      </c>
      <c r="AD283" t="s">
        <v>264</v>
      </c>
      <c r="AE283" t="s">
        <v>264</v>
      </c>
      <c r="AF283" t="s">
        <v>264</v>
      </c>
      <c r="AG283">
        <v>-199</v>
      </c>
      <c r="AH283" t="s">
        <v>264</v>
      </c>
      <c r="AI283">
        <v>57330810</v>
      </c>
      <c r="AJ283" t="s">
        <v>451</v>
      </c>
      <c r="AL283" t="s">
        <v>264</v>
      </c>
      <c r="AM283" s="6">
        <v>44774</v>
      </c>
      <c r="AN283" t="s">
        <v>462</v>
      </c>
      <c r="AO283" t="s">
        <v>268</v>
      </c>
      <c r="AP283">
        <v>1205</v>
      </c>
      <c r="AQ283" t="s">
        <v>269</v>
      </c>
      <c r="AR283" t="s">
        <v>463</v>
      </c>
      <c r="AU283" t="s">
        <v>264</v>
      </c>
      <c r="AV283" t="s">
        <v>270</v>
      </c>
      <c r="AX283">
        <v>22001097</v>
      </c>
      <c r="AY283">
        <v>630600</v>
      </c>
      <c r="AZ283">
        <v>1205.6306</v>
      </c>
      <c r="BA283" s="28" t="s">
        <v>125</v>
      </c>
    </row>
    <row r="284" spans="1:53">
      <c r="A284" t="s">
        <v>424</v>
      </c>
      <c r="B284" t="s">
        <v>425</v>
      </c>
      <c r="C284">
        <v>22004111</v>
      </c>
      <c r="D284">
        <v>1205</v>
      </c>
      <c r="E284" s="6">
        <v>44774</v>
      </c>
      <c r="F284" t="s">
        <v>451</v>
      </c>
      <c r="G284">
        <v>-95.46</v>
      </c>
      <c r="I284" t="s">
        <v>263</v>
      </c>
      <c r="J284" t="s">
        <v>263</v>
      </c>
      <c r="K284">
        <v>-95.46</v>
      </c>
      <c r="M284" s="29">
        <v>-1393000</v>
      </c>
      <c r="N284" s="29">
        <v>-1393000</v>
      </c>
      <c r="O284" t="s">
        <v>264</v>
      </c>
      <c r="Q284" t="s">
        <v>264</v>
      </c>
      <c r="R284" t="s">
        <v>265</v>
      </c>
      <c r="S284">
        <v>14592</v>
      </c>
      <c r="T284" t="s">
        <v>266</v>
      </c>
      <c r="U284" t="s">
        <v>267</v>
      </c>
      <c r="V284" t="s">
        <v>427</v>
      </c>
      <c r="W284" t="s">
        <v>428</v>
      </c>
      <c r="X284">
        <v>1926814</v>
      </c>
      <c r="Y284" s="6">
        <v>44776</v>
      </c>
      <c r="Z284" t="s">
        <v>264</v>
      </c>
      <c r="AA284">
        <v>11</v>
      </c>
      <c r="AB284" t="s">
        <v>264</v>
      </c>
      <c r="AD284" t="s">
        <v>264</v>
      </c>
      <c r="AE284" t="s">
        <v>264</v>
      </c>
      <c r="AF284" t="s">
        <v>264</v>
      </c>
      <c r="AG284">
        <v>-199</v>
      </c>
      <c r="AH284" t="s">
        <v>264</v>
      </c>
      <c r="AI284">
        <v>57330810</v>
      </c>
      <c r="AJ284" t="s">
        <v>451</v>
      </c>
      <c r="AL284" t="s">
        <v>264</v>
      </c>
      <c r="AM284" s="6">
        <v>44774</v>
      </c>
      <c r="AN284" t="s">
        <v>462</v>
      </c>
      <c r="AO284" t="s">
        <v>268</v>
      </c>
      <c r="AP284">
        <v>1205</v>
      </c>
      <c r="AQ284" t="s">
        <v>269</v>
      </c>
      <c r="AR284" t="s">
        <v>463</v>
      </c>
      <c r="AU284" t="s">
        <v>264</v>
      </c>
      <c r="AV284" t="s">
        <v>270</v>
      </c>
      <c r="AX284">
        <v>22001097</v>
      </c>
      <c r="AY284">
        <v>630600</v>
      </c>
      <c r="AZ284">
        <v>1205.6306</v>
      </c>
      <c r="BA284" s="28" t="s">
        <v>125</v>
      </c>
    </row>
    <row r="285" spans="1:53">
      <c r="A285" t="s">
        <v>424</v>
      </c>
      <c r="B285" t="s">
        <v>425</v>
      </c>
      <c r="C285">
        <v>22004112</v>
      </c>
      <c r="D285">
        <v>1205</v>
      </c>
      <c r="E285" s="6">
        <v>44774</v>
      </c>
      <c r="F285" t="s">
        <v>451</v>
      </c>
      <c r="G285">
        <v>-38.65</v>
      </c>
      <c r="I285" t="s">
        <v>263</v>
      </c>
      <c r="J285" t="s">
        <v>263</v>
      </c>
      <c r="K285">
        <v>-38.65</v>
      </c>
      <c r="M285" s="29">
        <v>-564000</v>
      </c>
      <c r="N285" s="29">
        <v>-564000</v>
      </c>
      <c r="O285" t="s">
        <v>264</v>
      </c>
      <c r="Q285" t="s">
        <v>264</v>
      </c>
      <c r="R285" t="s">
        <v>265</v>
      </c>
      <c r="S285">
        <v>14592</v>
      </c>
      <c r="T285" t="s">
        <v>266</v>
      </c>
      <c r="U285" t="s">
        <v>267</v>
      </c>
      <c r="V285" t="s">
        <v>427</v>
      </c>
      <c r="W285" t="s">
        <v>428</v>
      </c>
      <c r="X285">
        <v>1926816</v>
      </c>
      <c r="Y285" s="6">
        <v>44776</v>
      </c>
      <c r="Z285" t="s">
        <v>264</v>
      </c>
      <c r="AA285">
        <v>13</v>
      </c>
      <c r="AB285" t="s">
        <v>264</v>
      </c>
      <c r="AD285" t="s">
        <v>264</v>
      </c>
      <c r="AE285" t="s">
        <v>264</v>
      </c>
      <c r="AF285" t="s">
        <v>264</v>
      </c>
      <c r="AG285">
        <v>-47</v>
      </c>
      <c r="AH285" t="s">
        <v>264</v>
      </c>
      <c r="AI285">
        <v>57330810</v>
      </c>
      <c r="AJ285" t="s">
        <v>451</v>
      </c>
      <c r="AL285" t="s">
        <v>264</v>
      </c>
      <c r="AM285" s="6">
        <v>44774</v>
      </c>
      <c r="AN285" t="s">
        <v>462</v>
      </c>
      <c r="AO285" t="s">
        <v>268</v>
      </c>
      <c r="AP285">
        <v>1205</v>
      </c>
      <c r="AQ285" t="s">
        <v>269</v>
      </c>
      <c r="AR285" t="s">
        <v>463</v>
      </c>
      <c r="AU285" t="s">
        <v>264</v>
      </c>
      <c r="AV285" t="s">
        <v>270</v>
      </c>
      <c r="AX285">
        <v>22001097</v>
      </c>
      <c r="AY285">
        <v>630600</v>
      </c>
      <c r="AZ285">
        <v>1205.6306</v>
      </c>
      <c r="BA285" s="28" t="s">
        <v>125</v>
      </c>
    </row>
    <row r="286" spans="1:53">
      <c r="A286" t="s">
        <v>424</v>
      </c>
      <c r="B286" t="s">
        <v>425</v>
      </c>
      <c r="C286">
        <v>22004113</v>
      </c>
      <c r="D286">
        <v>1205</v>
      </c>
      <c r="E286" s="6">
        <v>44774</v>
      </c>
      <c r="F286" t="s">
        <v>451</v>
      </c>
      <c r="G286">
        <v>-22.55</v>
      </c>
      <c r="I286" t="s">
        <v>263</v>
      </c>
      <c r="J286" t="s">
        <v>263</v>
      </c>
      <c r="K286">
        <v>-22.55</v>
      </c>
      <c r="M286" s="29">
        <v>-329000</v>
      </c>
      <c r="N286" s="29">
        <v>-329000</v>
      </c>
      <c r="O286" t="s">
        <v>264</v>
      </c>
      <c r="Q286" t="s">
        <v>264</v>
      </c>
      <c r="R286" t="s">
        <v>265</v>
      </c>
      <c r="S286">
        <v>14592</v>
      </c>
      <c r="T286" t="s">
        <v>266</v>
      </c>
      <c r="U286" t="s">
        <v>267</v>
      </c>
      <c r="V286" t="s">
        <v>427</v>
      </c>
      <c r="W286" t="s">
        <v>428</v>
      </c>
      <c r="X286">
        <v>1926818</v>
      </c>
      <c r="Y286" s="6">
        <v>44776</v>
      </c>
      <c r="Z286" t="s">
        <v>264</v>
      </c>
      <c r="AA286">
        <v>1</v>
      </c>
      <c r="AB286" t="s">
        <v>264</v>
      </c>
      <c r="AD286" t="s">
        <v>264</v>
      </c>
      <c r="AE286" t="s">
        <v>264</v>
      </c>
      <c r="AF286" t="s">
        <v>264</v>
      </c>
      <c r="AG286">
        <v>-47</v>
      </c>
      <c r="AH286" t="s">
        <v>264</v>
      </c>
      <c r="AI286">
        <v>57330810</v>
      </c>
      <c r="AJ286" t="s">
        <v>451</v>
      </c>
      <c r="AL286" t="s">
        <v>264</v>
      </c>
      <c r="AM286" s="6">
        <v>44774</v>
      </c>
      <c r="AN286" t="s">
        <v>462</v>
      </c>
      <c r="AO286" t="s">
        <v>268</v>
      </c>
      <c r="AP286">
        <v>1205</v>
      </c>
      <c r="AQ286" t="s">
        <v>269</v>
      </c>
      <c r="AR286" t="s">
        <v>463</v>
      </c>
      <c r="AU286" t="s">
        <v>264</v>
      </c>
      <c r="AV286" t="s">
        <v>270</v>
      </c>
      <c r="AX286">
        <v>22001097</v>
      </c>
      <c r="AY286">
        <v>630600</v>
      </c>
      <c r="AZ286">
        <v>1205.6306</v>
      </c>
      <c r="BA286" s="28" t="s">
        <v>125</v>
      </c>
    </row>
    <row r="287" spans="1:53">
      <c r="A287" t="s">
        <v>424</v>
      </c>
      <c r="B287" t="s">
        <v>425</v>
      </c>
      <c r="C287">
        <v>22004114</v>
      </c>
      <c r="D287">
        <v>1205</v>
      </c>
      <c r="E287" s="6">
        <v>44774</v>
      </c>
      <c r="F287" t="s">
        <v>451</v>
      </c>
      <c r="G287">
        <v>-40.299999999999997</v>
      </c>
      <c r="I287" t="s">
        <v>263</v>
      </c>
      <c r="J287" t="s">
        <v>263</v>
      </c>
      <c r="K287">
        <v>-40.299999999999997</v>
      </c>
      <c r="M287" s="29">
        <v>-588000</v>
      </c>
      <c r="N287" s="29">
        <v>-588000</v>
      </c>
      <c r="O287" t="s">
        <v>264</v>
      </c>
      <c r="Q287" t="s">
        <v>264</v>
      </c>
      <c r="R287" t="s">
        <v>265</v>
      </c>
      <c r="S287">
        <v>14592</v>
      </c>
      <c r="T287" t="s">
        <v>266</v>
      </c>
      <c r="U287" t="s">
        <v>267</v>
      </c>
      <c r="V287" t="s">
        <v>427</v>
      </c>
      <c r="W287" t="s">
        <v>428</v>
      </c>
      <c r="X287">
        <v>1926819</v>
      </c>
      <c r="Y287" s="6">
        <v>44776</v>
      </c>
      <c r="Z287" t="s">
        <v>264</v>
      </c>
      <c r="AA287">
        <v>3</v>
      </c>
      <c r="AB287" t="s">
        <v>264</v>
      </c>
      <c r="AD287" t="s">
        <v>264</v>
      </c>
      <c r="AE287" t="s">
        <v>264</v>
      </c>
      <c r="AF287" t="s">
        <v>264</v>
      </c>
      <c r="AG287">
        <v>-49</v>
      </c>
      <c r="AH287" t="s">
        <v>264</v>
      </c>
      <c r="AI287">
        <v>57330810</v>
      </c>
      <c r="AJ287" t="s">
        <v>451</v>
      </c>
      <c r="AL287" t="s">
        <v>264</v>
      </c>
      <c r="AM287" s="6">
        <v>44774</v>
      </c>
      <c r="AN287" t="s">
        <v>462</v>
      </c>
      <c r="AO287" t="s">
        <v>268</v>
      </c>
      <c r="AP287">
        <v>1205</v>
      </c>
      <c r="AQ287" t="s">
        <v>269</v>
      </c>
      <c r="AR287" t="s">
        <v>463</v>
      </c>
      <c r="AU287" t="s">
        <v>264</v>
      </c>
      <c r="AV287" t="s">
        <v>270</v>
      </c>
      <c r="AX287">
        <v>22001097</v>
      </c>
      <c r="AY287">
        <v>630600</v>
      </c>
      <c r="AZ287">
        <v>1205.6306</v>
      </c>
      <c r="BA287" s="28" t="s">
        <v>125</v>
      </c>
    </row>
    <row r="288" spans="1:53">
      <c r="A288" t="s">
        <v>424</v>
      </c>
      <c r="B288" t="s">
        <v>425</v>
      </c>
      <c r="C288">
        <v>22004115</v>
      </c>
      <c r="D288">
        <v>1205</v>
      </c>
      <c r="E288" s="6">
        <v>44774</v>
      </c>
      <c r="F288" t="s">
        <v>451</v>
      </c>
      <c r="G288">
        <v>-23.51</v>
      </c>
      <c r="I288" t="s">
        <v>263</v>
      </c>
      <c r="J288" t="s">
        <v>263</v>
      </c>
      <c r="K288">
        <v>-23.51</v>
      </c>
      <c r="M288" s="29">
        <v>-343000</v>
      </c>
      <c r="N288" s="29">
        <v>-343000</v>
      </c>
      <c r="O288" t="s">
        <v>264</v>
      </c>
      <c r="Q288" t="s">
        <v>264</v>
      </c>
      <c r="R288" t="s">
        <v>265</v>
      </c>
      <c r="S288">
        <v>14592</v>
      </c>
      <c r="T288" t="s">
        <v>266</v>
      </c>
      <c r="U288" t="s">
        <v>267</v>
      </c>
      <c r="V288" t="s">
        <v>427</v>
      </c>
      <c r="W288" t="s">
        <v>428</v>
      </c>
      <c r="X288">
        <v>1926820</v>
      </c>
      <c r="Y288" s="6">
        <v>44776</v>
      </c>
      <c r="Z288" t="s">
        <v>264</v>
      </c>
      <c r="AA288">
        <v>5</v>
      </c>
      <c r="AB288" t="s">
        <v>264</v>
      </c>
      <c r="AD288" t="s">
        <v>264</v>
      </c>
      <c r="AE288" t="s">
        <v>264</v>
      </c>
      <c r="AF288" t="s">
        <v>264</v>
      </c>
      <c r="AG288">
        <v>-49</v>
      </c>
      <c r="AH288" t="s">
        <v>264</v>
      </c>
      <c r="AI288">
        <v>57330810</v>
      </c>
      <c r="AJ288" t="s">
        <v>451</v>
      </c>
      <c r="AL288" t="s">
        <v>264</v>
      </c>
      <c r="AM288" s="6">
        <v>44774</v>
      </c>
      <c r="AN288" t="s">
        <v>462</v>
      </c>
      <c r="AO288" t="s">
        <v>268</v>
      </c>
      <c r="AP288">
        <v>1205</v>
      </c>
      <c r="AQ288" t="s">
        <v>269</v>
      </c>
      <c r="AR288" t="s">
        <v>463</v>
      </c>
      <c r="AU288" t="s">
        <v>264</v>
      </c>
      <c r="AV288" t="s">
        <v>270</v>
      </c>
      <c r="AX288">
        <v>22001097</v>
      </c>
      <c r="AY288">
        <v>630600</v>
      </c>
      <c r="AZ288">
        <v>1205.6306</v>
      </c>
      <c r="BA288" s="28" t="s">
        <v>125</v>
      </c>
    </row>
    <row r="289" spans="1:53">
      <c r="A289" t="s">
        <v>424</v>
      </c>
      <c r="B289" t="s">
        <v>425</v>
      </c>
      <c r="C289">
        <v>22004116</v>
      </c>
      <c r="D289">
        <v>1205</v>
      </c>
      <c r="E289" s="6">
        <v>44774</v>
      </c>
      <c r="F289" t="s">
        <v>451</v>
      </c>
      <c r="G289">
        <v>-122.54</v>
      </c>
      <c r="I289" t="s">
        <v>263</v>
      </c>
      <c r="J289" t="s">
        <v>263</v>
      </c>
      <c r="K289">
        <v>-122.54</v>
      </c>
      <c r="M289" s="29">
        <v>-1788000</v>
      </c>
      <c r="N289" s="29">
        <v>-1788000</v>
      </c>
      <c r="O289" t="s">
        <v>264</v>
      </c>
      <c r="Q289" t="s">
        <v>264</v>
      </c>
      <c r="R289" t="s">
        <v>265</v>
      </c>
      <c r="S289">
        <v>14592</v>
      </c>
      <c r="T289" t="s">
        <v>266</v>
      </c>
      <c r="U289" t="s">
        <v>267</v>
      </c>
      <c r="V289" t="s">
        <v>427</v>
      </c>
      <c r="W289" t="s">
        <v>428</v>
      </c>
      <c r="X289">
        <v>1926821</v>
      </c>
      <c r="Y289" s="6">
        <v>44776</v>
      </c>
      <c r="Z289" t="s">
        <v>264</v>
      </c>
      <c r="AA289">
        <v>7</v>
      </c>
      <c r="AB289" t="s">
        <v>264</v>
      </c>
      <c r="AD289" t="s">
        <v>264</v>
      </c>
      <c r="AE289" t="s">
        <v>264</v>
      </c>
      <c r="AF289" t="s">
        <v>264</v>
      </c>
      <c r="AG289">
        <v>-149</v>
      </c>
      <c r="AH289" t="s">
        <v>264</v>
      </c>
      <c r="AI289">
        <v>57330810</v>
      </c>
      <c r="AJ289" t="s">
        <v>451</v>
      </c>
      <c r="AL289" t="s">
        <v>264</v>
      </c>
      <c r="AM289" s="6">
        <v>44774</v>
      </c>
      <c r="AN289" t="s">
        <v>462</v>
      </c>
      <c r="AO289" t="s">
        <v>268</v>
      </c>
      <c r="AP289">
        <v>1205</v>
      </c>
      <c r="AQ289" t="s">
        <v>269</v>
      </c>
      <c r="AR289" t="s">
        <v>463</v>
      </c>
      <c r="AU289" t="s">
        <v>264</v>
      </c>
      <c r="AV289" t="s">
        <v>270</v>
      </c>
      <c r="AX289">
        <v>22001097</v>
      </c>
      <c r="AY289">
        <v>630600</v>
      </c>
      <c r="AZ289">
        <v>1205.6306</v>
      </c>
      <c r="BA289" s="28" t="s">
        <v>125</v>
      </c>
    </row>
    <row r="290" spans="1:53">
      <c r="A290" t="s">
        <v>424</v>
      </c>
      <c r="B290" t="s">
        <v>425</v>
      </c>
      <c r="C290">
        <v>22004117</v>
      </c>
      <c r="D290">
        <v>1205</v>
      </c>
      <c r="E290" s="6">
        <v>44774</v>
      </c>
      <c r="F290" t="s">
        <v>451</v>
      </c>
      <c r="G290">
        <v>-71.48</v>
      </c>
      <c r="I290" t="s">
        <v>263</v>
      </c>
      <c r="J290" t="s">
        <v>263</v>
      </c>
      <c r="K290">
        <v>-71.48</v>
      </c>
      <c r="M290" s="29">
        <v>-1043000</v>
      </c>
      <c r="N290" s="29">
        <v>-1043000</v>
      </c>
      <c r="O290" t="s">
        <v>264</v>
      </c>
      <c r="Q290" t="s">
        <v>264</v>
      </c>
      <c r="R290" t="s">
        <v>265</v>
      </c>
      <c r="S290">
        <v>14592</v>
      </c>
      <c r="T290" t="s">
        <v>266</v>
      </c>
      <c r="U290" t="s">
        <v>267</v>
      </c>
      <c r="V290" t="s">
        <v>427</v>
      </c>
      <c r="W290" t="s">
        <v>428</v>
      </c>
      <c r="X290">
        <v>1926822</v>
      </c>
      <c r="Y290" s="6">
        <v>44776</v>
      </c>
      <c r="Z290" t="s">
        <v>264</v>
      </c>
      <c r="AA290">
        <v>9</v>
      </c>
      <c r="AB290" t="s">
        <v>264</v>
      </c>
      <c r="AD290" t="s">
        <v>264</v>
      </c>
      <c r="AE290" t="s">
        <v>264</v>
      </c>
      <c r="AF290" t="s">
        <v>264</v>
      </c>
      <c r="AG290">
        <v>-149</v>
      </c>
      <c r="AH290" t="s">
        <v>264</v>
      </c>
      <c r="AI290">
        <v>57330810</v>
      </c>
      <c r="AJ290" t="s">
        <v>451</v>
      </c>
      <c r="AL290" t="s">
        <v>264</v>
      </c>
      <c r="AM290" s="6">
        <v>44774</v>
      </c>
      <c r="AN290" t="s">
        <v>462</v>
      </c>
      <c r="AO290" t="s">
        <v>268</v>
      </c>
      <c r="AP290">
        <v>1205</v>
      </c>
      <c r="AQ290" t="s">
        <v>269</v>
      </c>
      <c r="AR290" t="s">
        <v>463</v>
      </c>
      <c r="AU290" t="s">
        <v>264</v>
      </c>
      <c r="AV290" t="s">
        <v>270</v>
      </c>
      <c r="AX290">
        <v>22001097</v>
      </c>
      <c r="AY290">
        <v>630600</v>
      </c>
      <c r="AZ290">
        <v>1205.6306</v>
      </c>
      <c r="BA290" s="28" t="s">
        <v>125</v>
      </c>
    </row>
    <row r="291" spans="1:53">
      <c r="A291" t="s">
        <v>424</v>
      </c>
      <c r="B291" t="s">
        <v>425</v>
      </c>
      <c r="C291">
        <v>22004118</v>
      </c>
      <c r="D291">
        <v>1205</v>
      </c>
      <c r="E291" s="6">
        <v>44774</v>
      </c>
      <c r="F291" t="s">
        <v>451</v>
      </c>
      <c r="G291">
        <v>-6.58</v>
      </c>
      <c r="I291" t="s">
        <v>263</v>
      </c>
      <c r="J291" t="s">
        <v>263</v>
      </c>
      <c r="K291">
        <v>-6.58</v>
      </c>
      <c r="M291" s="29">
        <v>-96000</v>
      </c>
      <c r="N291" s="29">
        <v>-96000</v>
      </c>
      <c r="O291" t="s">
        <v>264</v>
      </c>
      <c r="Q291" t="s">
        <v>264</v>
      </c>
      <c r="R291" t="s">
        <v>265</v>
      </c>
      <c r="S291">
        <v>14592</v>
      </c>
      <c r="T291" t="s">
        <v>266</v>
      </c>
      <c r="U291" t="s">
        <v>267</v>
      </c>
      <c r="V291" t="s">
        <v>427</v>
      </c>
      <c r="W291" t="s">
        <v>428</v>
      </c>
      <c r="X291">
        <v>1926823</v>
      </c>
      <c r="Y291" s="6">
        <v>44776</v>
      </c>
      <c r="Z291" t="s">
        <v>264</v>
      </c>
      <c r="AA291">
        <v>11</v>
      </c>
      <c r="AB291" t="s">
        <v>264</v>
      </c>
      <c r="AD291" t="s">
        <v>264</v>
      </c>
      <c r="AE291" t="s">
        <v>264</v>
      </c>
      <c r="AF291" t="s">
        <v>264</v>
      </c>
      <c r="AG291">
        <v>-8</v>
      </c>
      <c r="AH291" t="s">
        <v>264</v>
      </c>
      <c r="AI291">
        <v>57330810</v>
      </c>
      <c r="AJ291" t="s">
        <v>451</v>
      </c>
      <c r="AL291" t="s">
        <v>264</v>
      </c>
      <c r="AM291" s="6">
        <v>44774</v>
      </c>
      <c r="AN291" t="s">
        <v>462</v>
      </c>
      <c r="AO291" t="s">
        <v>268</v>
      </c>
      <c r="AP291">
        <v>1205</v>
      </c>
      <c r="AQ291" t="s">
        <v>269</v>
      </c>
      <c r="AR291" t="s">
        <v>463</v>
      </c>
      <c r="AU291" t="s">
        <v>264</v>
      </c>
      <c r="AV291" t="s">
        <v>270</v>
      </c>
      <c r="AX291">
        <v>22001097</v>
      </c>
      <c r="AY291">
        <v>630600</v>
      </c>
      <c r="AZ291">
        <v>1205.6306</v>
      </c>
      <c r="BA291" s="28" t="s">
        <v>125</v>
      </c>
    </row>
    <row r="292" spans="1:53">
      <c r="A292" t="s">
        <v>424</v>
      </c>
      <c r="B292" t="s">
        <v>425</v>
      </c>
      <c r="C292">
        <v>22004119</v>
      </c>
      <c r="D292">
        <v>1205</v>
      </c>
      <c r="E292" s="6">
        <v>44774</v>
      </c>
      <c r="F292" t="s">
        <v>451</v>
      </c>
      <c r="G292">
        <v>-3.84</v>
      </c>
      <c r="I292" t="s">
        <v>263</v>
      </c>
      <c r="J292" t="s">
        <v>263</v>
      </c>
      <c r="K292">
        <v>-3.84</v>
      </c>
      <c r="M292" s="29">
        <v>-56000</v>
      </c>
      <c r="N292" s="29">
        <v>-56000</v>
      </c>
      <c r="O292" t="s">
        <v>264</v>
      </c>
      <c r="Q292" t="s">
        <v>264</v>
      </c>
      <c r="R292" t="s">
        <v>265</v>
      </c>
      <c r="S292">
        <v>14592</v>
      </c>
      <c r="T292" t="s">
        <v>266</v>
      </c>
      <c r="U292" t="s">
        <v>267</v>
      </c>
      <c r="V292" t="s">
        <v>427</v>
      </c>
      <c r="W292" t="s">
        <v>428</v>
      </c>
      <c r="X292">
        <v>1926824</v>
      </c>
      <c r="Y292" s="6">
        <v>44776</v>
      </c>
      <c r="Z292" t="s">
        <v>264</v>
      </c>
      <c r="AA292">
        <v>13</v>
      </c>
      <c r="AB292" t="s">
        <v>264</v>
      </c>
      <c r="AD292" t="s">
        <v>264</v>
      </c>
      <c r="AE292" t="s">
        <v>264</v>
      </c>
      <c r="AF292" t="s">
        <v>264</v>
      </c>
      <c r="AG292">
        <v>-8</v>
      </c>
      <c r="AH292" t="s">
        <v>264</v>
      </c>
      <c r="AI292">
        <v>57330810</v>
      </c>
      <c r="AJ292" t="s">
        <v>451</v>
      </c>
      <c r="AL292" t="s">
        <v>264</v>
      </c>
      <c r="AM292" s="6">
        <v>44774</v>
      </c>
      <c r="AN292" t="s">
        <v>462</v>
      </c>
      <c r="AO292" t="s">
        <v>268</v>
      </c>
      <c r="AP292">
        <v>1205</v>
      </c>
      <c r="AQ292" t="s">
        <v>269</v>
      </c>
      <c r="AR292" t="s">
        <v>463</v>
      </c>
      <c r="AU292" t="s">
        <v>264</v>
      </c>
      <c r="AV292" t="s">
        <v>270</v>
      </c>
      <c r="AX292">
        <v>22001097</v>
      </c>
      <c r="AY292">
        <v>630600</v>
      </c>
      <c r="AZ292">
        <v>1205.6306</v>
      </c>
      <c r="BA292" s="28" t="s">
        <v>125</v>
      </c>
    </row>
    <row r="293" spans="1:53">
      <c r="A293" t="s">
        <v>424</v>
      </c>
      <c r="B293" t="s">
        <v>425</v>
      </c>
      <c r="C293">
        <v>22004120</v>
      </c>
      <c r="D293">
        <v>1205</v>
      </c>
      <c r="E293" s="6">
        <v>44774</v>
      </c>
      <c r="F293" t="s">
        <v>451</v>
      </c>
      <c r="G293">
        <v>-6.58</v>
      </c>
      <c r="I293" t="s">
        <v>263</v>
      </c>
      <c r="J293" t="s">
        <v>263</v>
      </c>
      <c r="K293">
        <v>-6.58</v>
      </c>
      <c r="M293" s="29">
        <v>-96000</v>
      </c>
      <c r="N293" s="29">
        <v>-96000</v>
      </c>
      <c r="O293" t="s">
        <v>264</v>
      </c>
      <c r="Q293" t="s">
        <v>264</v>
      </c>
      <c r="R293" t="s">
        <v>265</v>
      </c>
      <c r="S293">
        <v>14592</v>
      </c>
      <c r="T293" t="s">
        <v>266</v>
      </c>
      <c r="U293" t="s">
        <v>267</v>
      </c>
      <c r="V293" t="s">
        <v>427</v>
      </c>
      <c r="W293" t="s">
        <v>428</v>
      </c>
      <c r="X293">
        <v>1926825</v>
      </c>
      <c r="Y293" s="6">
        <v>44776</v>
      </c>
      <c r="Z293" t="s">
        <v>264</v>
      </c>
      <c r="AA293">
        <v>15</v>
      </c>
      <c r="AB293" t="s">
        <v>264</v>
      </c>
      <c r="AD293" t="s">
        <v>264</v>
      </c>
      <c r="AE293" t="s">
        <v>264</v>
      </c>
      <c r="AF293" t="s">
        <v>264</v>
      </c>
      <c r="AG293">
        <v>-8</v>
      </c>
      <c r="AH293" t="s">
        <v>264</v>
      </c>
      <c r="AI293">
        <v>57330810</v>
      </c>
      <c r="AJ293" t="s">
        <v>451</v>
      </c>
      <c r="AL293" t="s">
        <v>264</v>
      </c>
      <c r="AM293" s="6">
        <v>44774</v>
      </c>
      <c r="AN293" t="s">
        <v>462</v>
      </c>
      <c r="AO293" t="s">
        <v>268</v>
      </c>
      <c r="AP293">
        <v>1205</v>
      </c>
      <c r="AQ293" t="s">
        <v>269</v>
      </c>
      <c r="AR293" t="s">
        <v>463</v>
      </c>
      <c r="AU293" t="s">
        <v>264</v>
      </c>
      <c r="AV293" t="s">
        <v>270</v>
      </c>
      <c r="AX293">
        <v>22001097</v>
      </c>
      <c r="AY293">
        <v>630600</v>
      </c>
      <c r="AZ293">
        <v>1205.6306</v>
      </c>
      <c r="BA293" s="28" t="s">
        <v>125</v>
      </c>
    </row>
    <row r="294" spans="1:53">
      <c r="A294" t="s">
        <v>424</v>
      </c>
      <c r="B294" t="s">
        <v>425</v>
      </c>
      <c r="C294">
        <v>22004121</v>
      </c>
      <c r="D294">
        <v>1205</v>
      </c>
      <c r="E294" s="6">
        <v>44774</v>
      </c>
      <c r="F294" t="s">
        <v>451</v>
      </c>
      <c r="G294">
        <v>-3.84</v>
      </c>
      <c r="I294" t="s">
        <v>263</v>
      </c>
      <c r="J294" t="s">
        <v>263</v>
      </c>
      <c r="K294">
        <v>-3.84</v>
      </c>
      <c r="M294" s="29">
        <v>-56000</v>
      </c>
      <c r="N294" s="29">
        <v>-56000</v>
      </c>
      <c r="O294" t="s">
        <v>264</v>
      </c>
      <c r="Q294" t="s">
        <v>264</v>
      </c>
      <c r="R294" t="s">
        <v>265</v>
      </c>
      <c r="S294">
        <v>14592</v>
      </c>
      <c r="T294" t="s">
        <v>266</v>
      </c>
      <c r="U294" t="s">
        <v>267</v>
      </c>
      <c r="V294" t="s">
        <v>427</v>
      </c>
      <c r="W294" t="s">
        <v>428</v>
      </c>
      <c r="X294">
        <v>1926826</v>
      </c>
      <c r="Y294" s="6">
        <v>44776</v>
      </c>
      <c r="Z294" t="s">
        <v>264</v>
      </c>
      <c r="AA294">
        <v>17</v>
      </c>
      <c r="AB294" t="s">
        <v>264</v>
      </c>
      <c r="AD294" t="s">
        <v>264</v>
      </c>
      <c r="AE294" t="s">
        <v>264</v>
      </c>
      <c r="AF294" t="s">
        <v>264</v>
      </c>
      <c r="AG294">
        <v>-8</v>
      </c>
      <c r="AH294" t="s">
        <v>264</v>
      </c>
      <c r="AI294">
        <v>57330810</v>
      </c>
      <c r="AJ294" t="s">
        <v>451</v>
      </c>
      <c r="AL294" t="s">
        <v>264</v>
      </c>
      <c r="AM294" s="6">
        <v>44774</v>
      </c>
      <c r="AN294" t="s">
        <v>462</v>
      </c>
      <c r="AO294" t="s">
        <v>268</v>
      </c>
      <c r="AP294">
        <v>1205</v>
      </c>
      <c r="AQ294" t="s">
        <v>269</v>
      </c>
      <c r="AR294" t="s">
        <v>463</v>
      </c>
      <c r="AU294" t="s">
        <v>264</v>
      </c>
      <c r="AV294" t="s">
        <v>270</v>
      </c>
      <c r="AX294">
        <v>22001097</v>
      </c>
      <c r="AY294">
        <v>630600</v>
      </c>
      <c r="AZ294">
        <v>1205.6306</v>
      </c>
      <c r="BA294" s="28" t="s">
        <v>125</v>
      </c>
    </row>
    <row r="295" spans="1:53">
      <c r="A295" t="s">
        <v>424</v>
      </c>
      <c r="B295" t="s">
        <v>425</v>
      </c>
      <c r="C295">
        <v>22004122</v>
      </c>
      <c r="D295">
        <v>1205</v>
      </c>
      <c r="E295" s="6">
        <v>44774</v>
      </c>
      <c r="F295" t="s">
        <v>451</v>
      </c>
      <c r="G295">
        <v>-23.85</v>
      </c>
      <c r="I295" t="s">
        <v>263</v>
      </c>
      <c r="J295" t="s">
        <v>263</v>
      </c>
      <c r="K295">
        <v>-23.85</v>
      </c>
      <c r="M295" s="29">
        <v>-348000</v>
      </c>
      <c r="N295" s="29">
        <v>-348000</v>
      </c>
      <c r="O295" t="s">
        <v>264</v>
      </c>
      <c r="Q295" t="s">
        <v>264</v>
      </c>
      <c r="R295" t="s">
        <v>265</v>
      </c>
      <c r="S295">
        <v>14592</v>
      </c>
      <c r="T295" t="s">
        <v>266</v>
      </c>
      <c r="U295" t="s">
        <v>267</v>
      </c>
      <c r="V295" t="s">
        <v>427</v>
      </c>
      <c r="W295" t="s">
        <v>428</v>
      </c>
      <c r="X295">
        <v>1926827</v>
      </c>
      <c r="Y295" s="6">
        <v>44776</v>
      </c>
      <c r="Z295" t="s">
        <v>264</v>
      </c>
      <c r="AA295">
        <v>19</v>
      </c>
      <c r="AB295" t="s">
        <v>264</v>
      </c>
      <c r="AD295" t="s">
        <v>264</v>
      </c>
      <c r="AE295" t="s">
        <v>264</v>
      </c>
      <c r="AF295" t="s">
        <v>264</v>
      </c>
      <c r="AG295">
        <v>-29</v>
      </c>
      <c r="AH295" t="s">
        <v>264</v>
      </c>
      <c r="AI295">
        <v>57330810</v>
      </c>
      <c r="AJ295" t="s">
        <v>451</v>
      </c>
      <c r="AL295" t="s">
        <v>264</v>
      </c>
      <c r="AM295" s="6">
        <v>44774</v>
      </c>
      <c r="AN295" t="s">
        <v>462</v>
      </c>
      <c r="AO295" t="s">
        <v>268</v>
      </c>
      <c r="AP295">
        <v>1205</v>
      </c>
      <c r="AQ295" t="s">
        <v>269</v>
      </c>
      <c r="AR295" t="s">
        <v>463</v>
      </c>
      <c r="AU295" t="s">
        <v>264</v>
      </c>
      <c r="AV295" t="s">
        <v>270</v>
      </c>
      <c r="AX295">
        <v>22001097</v>
      </c>
      <c r="AY295">
        <v>630600</v>
      </c>
      <c r="AZ295">
        <v>1205.6306</v>
      </c>
      <c r="BA295" s="28" t="s">
        <v>125</v>
      </c>
    </row>
    <row r="296" spans="1:53">
      <c r="A296" t="s">
        <v>424</v>
      </c>
      <c r="B296" t="s">
        <v>425</v>
      </c>
      <c r="C296">
        <v>22004123</v>
      </c>
      <c r="D296">
        <v>1205</v>
      </c>
      <c r="E296" s="6">
        <v>44774</v>
      </c>
      <c r="F296" t="s">
        <v>451</v>
      </c>
      <c r="G296">
        <v>-13.91</v>
      </c>
      <c r="I296" t="s">
        <v>263</v>
      </c>
      <c r="J296" t="s">
        <v>263</v>
      </c>
      <c r="K296">
        <v>-13.91</v>
      </c>
      <c r="M296" s="29">
        <v>-203000</v>
      </c>
      <c r="N296" s="29">
        <v>-203000</v>
      </c>
      <c r="O296" t="s">
        <v>264</v>
      </c>
      <c r="Q296" t="s">
        <v>264</v>
      </c>
      <c r="R296" t="s">
        <v>265</v>
      </c>
      <c r="S296">
        <v>14592</v>
      </c>
      <c r="T296" t="s">
        <v>266</v>
      </c>
      <c r="U296" t="s">
        <v>267</v>
      </c>
      <c r="V296" t="s">
        <v>427</v>
      </c>
      <c r="W296" t="s">
        <v>428</v>
      </c>
      <c r="X296">
        <v>1926828</v>
      </c>
      <c r="Y296" s="6">
        <v>44776</v>
      </c>
      <c r="Z296" t="s">
        <v>264</v>
      </c>
      <c r="AA296">
        <v>21</v>
      </c>
      <c r="AB296" t="s">
        <v>264</v>
      </c>
      <c r="AD296" t="s">
        <v>264</v>
      </c>
      <c r="AE296" t="s">
        <v>264</v>
      </c>
      <c r="AF296" t="s">
        <v>264</v>
      </c>
      <c r="AG296">
        <v>-29</v>
      </c>
      <c r="AH296" t="s">
        <v>264</v>
      </c>
      <c r="AI296">
        <v>57330810</v>
      </c>
      <c r="AJ296" t="s">
        <v>451</v>
      </c>
      <c r="AL296" t="s">
        <v>264</v>
      </c>
      <c r="AM296" s="6">
        <v>44774</v>
      </c>
      <c r="AN296" t="s">
        <v>462</v>
      </c>
      <c r="AO296" t="s">
        <v>268</v>
      </c>
      <c r="AP296">
        <v>1205</v>
      </c>
      <c r="AQ296" t="s">
        <v>269</v>
      </c>
      <c r="AR296" t="s">
        <v>463</v>
      </c>
      <c r="AU296" t="s">
        <v>264</v>
      </c>
      <c r="AV296" t="s">
        <v>270</v>
      </c>
      <c r="AX296">
        <v>22001097</v>
      </c>
      <c r="AY296">
        <v>630600</v>
      </c>
      <c r="AZ296">
        <v>1205.6306</v>
      </c>
      <c r="BA296" s="28" t="s">
        <v>125</v>
      </c>
    </row>
    <row r="297" spans="1:53">
      <c r="A297" t="s">
        <v>424</v>
      </c>
      <c r="B297" t="s">
        <v>425</v>
      </c>
      <c r="C297">
        <v>22004124</v>
      </c>
      <c r="D297">
        <v>1205</v>
      </c>
      <c r="E297" s="6">
        <v>44774</v>
      </c>
      <c r="F297" t="s">
        <v>451</v>
      </c>
      <c r="G297">
        <v>6.58</v>
      </c>
      <c r="H297">
        <v>6.58</v>
      </c>
      <c r="I297" t="s">
        <v>263</v>
      </c>
      <c r="J297" t="s">
        <v>263</v>
      </c>
      <c r="L297" s="29">
        <v>96000</v>
      </c>
      <c r="N297" s="29">
        <v>96000</v>
      </c>
      <c r="O297" t="s">
        <v>264</v>
      </c>
      <c r="Q297" t="s">
        <v>264</v>
      </c>
      <c r="R297" t="s">
        <v>265</v>
      </c>
      <c r="S297">
        <v>14592</v>
      </c>
      <c r="T297" t="s">
        <v>266</v>
      </c>
      <c r="U297" t="s">
        <v>267</v>
      </c>
      <c r="V297" t="s">
        <v>427</v>
      </c>
      <c r="W297" t="s">
        <v>428</v>
      </c>
      <c r="X297">
        <v>1926829</v>
      </c>
      <c r="Y297" s="6">
        <v>44776</v>
      </c>
      <c r="Z297" t="s">
        <v>264</v>
      </c>
      <c r="AA297">
        <v>1</v>
      </c>
      <c r="AB297" t="s">
        <v>264</v>
      </c>
      <c r="AD297" t="s">
        <v>264</v>
      </c>
      <c r="AE297" t="s">
        <v>264</v>
      </c>
      <c r="AF297" t="s">
        <v>264</v>
      </c>
      <c r="AG297">
        <v>8</v>
      </c>
      <c r="AH297" t="s">
        <v>264</v>
      </c>
      <c r="AI297">
        <v>57330810</v>
      </c>
      <c r="AJ297" t="s">
        <v>451</v>
      </c>
      <c r="AL297" t="s">
        <v>264</v>
      </c>
      <c r="AM297" s="6">
        <v>44774</v>
      </c>
      <c r="AN297" t="s">
        <v>462</v>
      </c>
      <c r="AO297" t="s">
        <v>268</v>
      </c>
      <c r="AP297">
        <v>1205</v>
      </c>
      <c r="AQ297" t="s">
        <v>269</v>
      </c>
      <c r="AR297" t="s">
        <v>463</v>
      </c>
      <c r="AU297" t="s">
        <v>264</v>
      </c>
      <c r="AV297" t="s">
        <v>270</v>
      </c>
      <c r="AX297">
        <v>22001097</v>
      </c>
      <c r="AY297">
        <v>630600</v>
      </c>
      <c r="AZ297">
        <v>1205.6306</v>
      </c>
      <c r="BA297" s="28" t="s">
        <v>125</v>
      </c>
    </row>
    <row r="298" spans="1:53">
      <c r="A298" t="s">
        <v>424</v>
      </c>
      <c r="B298" t="s">
        <v>425</v>
      </c>
      <c r="C298">
        <v>22004125</v>
      </c>
      <c r="D298">
        <v>1205</v>
      </c>
      <c r="E298" s="6">
        <v>44774</v>
      </c>
      <c r="F298" t="s">
        <v>451</v>
      </c>
      <c r="G298">
        <v>3.84</v>
      </c>
      <c r="H298">
        <v>3.84</v>
      </c>
      <c r="I298" t="s">
        <v>263</v>
      </c>
      <c r="J298" t="s">
        <v>263</v>
      </c>
      <c r="L298" s="29">
        <v>56000</v>
      </c>
      <c r="N298" s="29">
        <v>56000</v>
      </c>
      <c r="O298" t="s">
        <v>264</v>
      </c>
      <c r="Q298" t="s">
        <v>264</v>
      </c>
      <c r="R298" t="s">
        <v>265</v>
      </c>
      <c r="S298">
        <v>14592</v>
      </c>
      <c r="T298" t="s">
        <v>266</v>
      </c>
      <c r="U298" t="s">
        <v>267</v>
      </c>
      <c r="V298" t="s">
        <v>427</v>
      </c>
      <c r="W298" t="s">
        <v>428</v>
      </c>
      <c r="X298">
        <v>1926829</v>
      </c>
      <c r="Y298" s="6">
        <v>44776</v>
      </c>
      <c r="Z298" t="s">
        <v>264</v>
      </c>
      <c r="AA298">
        <v>1</v>
      </c>
      <c r="AB298" t="s">
        <v>264</v>
      </c>
      <c r="AD298" t="s">
        <v>264</v>
      </c>
      <c r="AE298" t="s">
        <v>264</v>
      </c>
      <c r="AF298" t="s">
        <v>264</v>
      </c>
      <c r="AG298">
        <v>8</v>
      </c>
      <c r="AH298" t="s">
        <v>264</v>
      </c>
      <c r="AI298">
        <v>57330810</v>
      </c>
      <c r="AJ298" t="s">
        <v>451</v>
      </c>
      <c r="AL298" t="s">
        <v>264</v>
      </c>
      <c r="AM298" s="6">
        <v>44774</v>
      </c>
      <c r="AN298" t="s">
        <v>462</v>
      </c>
      <c r="AO298" t="s">
        <v>268</v>
      </c>
      <c r="AP298">
        <v>1205</v>
      </c>
      <c r="AQ298" t="s">
        <v>269</v>
      </c>
      <c r="AR298" t="s">
        <v>463</v>
      </c>
      <c r="AU298" t="s">
        <v>264</v>
      </c>
      <c r="AV298" t="s">
        <v>270</v>
      </c>
      <c r="AX298">
        <v>22001097</v>
      </c>
      <c r="AY298">
        <v>630600</v>
      </c>
      <c r="AZ298">
        <v>1205.6306</v>
      </c>
      <c r="BA298" s="28" t="s">
        <v>125</v>
      </c>
    </row>
    <row r="299" spans="1:53">
      <c r="A299" t="s">
        <v>424</v>
      </c>
      <c r="B299" t="s">
        <v>425</v>
      </c>
      <c r="C299">
        <v>22004126</v>
      </c>
      <c r="D299">
        <v>1205</v>
      </c>
      <c r="E299" s="6">
        <v>44774</v>
      </c>
      <c r="F299" t="s">
        <v>451</v>
      </c>
      <c r="G299">
        <v>6.58</v>
      </c>
      <c r="H299">
        <v>6.58</v>
      </c>
      <c r="I299" t="s">
        <v>263</v>
      </c>
      <c r="J299" t="s">
        <v>263</v>
      </c>
      <c r="L299" s="29">
        <v>96000</v>
      </c>
      <c r="N299" s="29">
        <v>96000</v>
      </c>
      <c r="O299" t="s">
        <v>264</v>
      </c>
      <c r="Q299" t="s">
        <v>264</v>
      </c>
      <c r="R299" t="s">
        <v>265</v>
      </c>
      <c r="S299">
        <v>14592</v>
      </c>
      <c r="T299" t="s">
        <v>266</v>
      </c>
      <c r="U299" t="s">
        <v>267</v>
      </c>
      <c r="V299" t="s">
        <v>427</v>
      </c>
      <c r="W299" t="s">
        <v>428</v>
      </c>
      <c r="X299">
        <v>1926829</v>
      </c>
      <c r="Y299" s="6">
        <v>44776</v>
      </c>
      <c r="Z299" t="s">
        <v>264</v>
      </c>
      <c r="AA299">
        <v>1</v>
      </c>
      <c r="AB299" t="s">
        <v>264</v>
      </c>
      <c r="AD299" t="s">
        <v>264</v>
      </c>
      <c r="AE299" t="s">
        <v>264</v>
      </c>
      <c r="AF299" t="s">
        <v>264</v>
      </c>
      <c r="AG299">
        <v>8</v>
      </c>
      <c r="AH299" t="s">
        <v>264</v>
      </c>
      <c r="AI299">
        <v>57330810</v>
      </c>
      <c r="AJ299" t="s">
        <v>451</v>
      </c>
      <c r="AL299" t="s">
        <v>264</v>
      </c>
      <c r="AM299" s="6">
        <v>44774</v>
      </c>
      <c r="AN299" t="s">
        <v>462</v>
      </c>
      <c r="AO299" t="s">
        <v>268</v>
      </c>
      <c r="AP299">
        <v>1205</v>
      </c>
      <c r="AQ299" t="s">
        <v>269</v>
      </c>
      <c r="AR299" t="s">
        <v>463</v>
      </c>
      <c r="AU299" t="s">
        <v>264</v>
      </c>
      <c r="AV299" t="s">
        <v>270</v>
      </c>
      <c r="AX299">
        <v>22001097</v>
      </c>
      <c r="AY299">
        <v>630600</v>
      </c>
      <c r="AZ299">
        <v>1205.6306</v>
      </c>
      <c r="BA299" s="28" t="s">
        <v>125</v>
      </c>
    </row>
    <row r="300" spans="1:53">
      <c r="A300" t="s">
        <v>424</v>
      </c>
      <c r="B300" t="s">
        <v>425</v>
      </c>
      <c r="C300">
        <v>22004127</v>
      </c>
      <c r="D300">
        <v>1205</v>
      </c>
      <c r="E300" s="6">
        <v>44774</v>
      </c>
      <c r="F300" t="s">
        <v>451</v>
      </c>
      <c r="G300">
        <v>3.84</v>
      </c>
      <c r="H300">
        <v>3.84</v>
      </c>
      <c r="I300" t="s">
        <v>263</v>
      </c>
      <c r="J300" t="s">
        <v>263</v>
      </c>
      <c r="L300" s="29">
        <v>56000</v>
      </c>
      <c r="N300" s="29">
        <v>56000</v>
      </c>
      <c r="O300" t="s">
        <v>264</v>
      </c>
      <c r="Q300" t="s">
        <v>264</v>
      </c>
      <c r="R300" t="s">
        <v>265</v>
      </c>
      <c r="S300">
        <v>14592</v>
      </c>
      <c r="T300" t="s">
        <v>266</v>
      </c>
      <c r="U300" t="s">
        <v>267</v>
      </c>
      <c r="V300" t="s">
        <v>427</v>
      </c>
      <c r="W300" t="s">
        <v>428</v>
      </c>
      <c r="X300">
        <v>1926829</v>
      </c>
      <c r="Y300" s="6">
        <v>44776</v>
      </c>
      <c r="Z300" t="s">
        <v>264</v>
      </c>
      <c r="AA300">
        <v>1</v>
      </c>
      <c r="AB300" t="s">
        <v>264</v>
      </c>
      <c r="AD300" t="s">
        <v>264</v>
      </c>
      <c r="AE300" t="s">
        <v>264</v>
      </c>
      <c r="AF300" t="s">
        <v>264</v>
      </c>
      <c r="AG300">
        <v>8</v>
      </c>
      <c r="AH300" t="s">
        <v>264</v>
      </c>
      <c r="AI300">
        <v>57330810</v>
      </c>
      <c r="AJ300" t="s">
        <v>451</v>
      </c>
      <c r="AL300" t="s">
        <v>264</v>
      </c>
      <c r="AM300" s="6">
        <v>44774</v>
      </c>
      <c r="AN300" t="s">
        <v>462</v>
      </c>
      <c r="AO300" t="s">
        <v>268</v>
      </c>
      <c r="AP300">
        <v>1205</v>
      </c>
      <c r="AQ300" t="s">
        <v>269</v>
      </c>
      <c r="AR300" t="s">
        <v>463</v>
      </c>
      <c r="AU300" t="s">
        <v>264</v>
      </c>
      <c r="AV300" t="s">
        <v>270</v>
      </c>
      <c r="AX300">
        <v>22001097</v>
      </c>
      <c r="AY300">
        <v>630600</v>
      </c>
      <c r="AZ300">
        <v>1205.6306</v>
      </c>
      <c r="BA300" s="28" t="s">
        <v>125</v>
      </c>
    </row>
    <row r="301" spans="1:53">
      <c r="A301" t="s">
        <v>424</v>
      </c>
      <c r="B301" t="s">
        <v>425</v>
      </c>
      <c r="C301">
        <v>22004128</v>
      </c>
      <c r="D301">
        <v>1205</v>
      </c>
      <c r="E301" s="6">
        <v>44774</v>
      </c>
      <c r="F301" t="s">
        <v>451</v>
      </c>
      <c r="G301">
        <v>122.54</v>
      </c>
      <c r="H301">
        <v>122.54</v>
      </c>
      <c r="I301" t="s">
        <v>263</v>
      </c>
      <c r="J301" t="s">
        <v>263</v>
      </c>
      <c r="L301" s="29">
        <v>1788000</v>
      </c>
      <c r="N301" s="29">
        <v>1788000</v>
      </c>
      <c r="O301" t="s">
        <v>264</v>
      </c>
      <c r="Q301" t="s">
        <v>264</v>
      </c>
      <c r="R301" t="s">
        <v>265</v>
      </c>
      <c r="S301">
        <v>14592</v>
      </c>
      <c r="T301" t="s">
        <v>266</v>
      </c>
      <c r="U301" t="s">
        <v>267</v>
      </c>
      <c r="V301" t="s">
        <v>427</v>
      </c>
      <c r="W301" t="s">
        <v>428</v>
      </c>
      <c r="X301">
        <v>1926829</v>
      </c>
      <c r="Y301" s="6">
        <v>44776</v>
      </c>
      <c r="Z301" t="s">
        <v>264</v>
      </c>
      <c r="AA301">
        <v>1</v>
      </c>
      <c r="AB301" t="s">
        <v>264</v>
      </c>
      <c r="AD301" t="s">
        <v>264</v>
      </c>
      <c r="AE301" t="s">
        <v>264</v>
      </c>
      <c r="AF301" t="s">
        <v>264</v>
      </c>
      <c r="AG301">
        <v>149</v>
      </c>
      <c r="AH301" t="s">
        <v>264</v>
      </c>
      <c r="AI301">
        <v>57330810</v>
      </c>
      <c r="AJ301" t="s">
        <v>451</v>
      </c>
      <c r="AL301" t="s">
        <v>264</v>
      </c>
      <c r="AM301" s="6">
        <v>44774</v>
      </c>
      <c r="AN301" t="s">
        <v>462</v>
      </c>
      <c r="AO301" t="s">
        <v>268</v>
      </c>
      <c r="AP301">
        <v>1205</v>
      </c>
      <c r="AQ301" t="s">
        <v>269</v>
      </c>
      <c r="AR301" t="s">
        <v>463</v>
      </c>
      <c r="AU301" t="s">
        <v>264</v>
      </c>
      <c r="AV301" t="s">
        <v>270</v>
      </c>
      <c r="AX301">
        <v>22001097</v>
      </c>
      <c r="AY301">
        <v>630600</v>
      </c>
      <c r="AZ301">
        <v>1205.6306</v>
      </c>
      <c r="BA301" s="28" t="s">
        <v>125</v>
      </c>
    </row>
    <row r="302" spans="1:53">
      <c r="A302" t="s">
        <v>424</v>
      </c>
      <c r="B302" t="s">
        <v>425</v>
      </c>
      <c r="C302">
        <v>22004129</v>
      </c>
      <c r="D302">
        <v>1205</v>
      </c>
      <c r="E302" s="6">
        <v>44774</v>
      </c>
      <c r="F302" t="s">
        <v>451</v>
      </c>
      <c r="G302">
        <v>71.48</v>
      </c>
      <c r="H302">
        <v>71.48</v>
      </c>
      <c r="I302" t="s">
        <v>263</v>
      </c>
      <c r="J302" t="s">
        <v>263</v>
      </c>
      <c r="L302" s="29">
        <v>1043000</v>
      </c>
      <c r="N302" s="29">
        <v>1043000</v>
      </c>
      <c r="O302" t="s">
        <v>264</v>
      </c>
      <c r="Q302" t="s">
        <v>264</v>
      </c>
      <c r="R302" t="s">
        <v>265</v>
      </c>
      <c r="S302">
        <v>14592</v>
      </c>
      <c r="T302" t="s">
        <v>266</v>
      </c>
      <c r="U302" t="s">
        <v>267</v>
      </c>
      <c r="V302" t="s">
        <v>427</v>
      </c>
      <c r="W302" t="s">
        <v>428</v>
      </c>
      <c r="X302">
        <v>1926829</v>
      </c>
      <c r="Y302" s="6">
        <v>44776</v>
      </c>
      <c r="Z302" t="s">
        <v>264</v>
      </c>
      <c r="AA302">
        <v>1</v>
      </c>
      <c r="AB302" t="s">
        <v>264</v>
      </c>
      <c r="AD302" t="s">
        <v>264</v>
      </c>
      <c r="AE302" t="s">
        <v>264</v>
      </c>
      <c r="AF302" t="s">
        <v>264</v>
      </c>
      <c r="AG302">
        <v>149</v>
      </c>
      <c r="AH302" t="s">
        <v>264</v>
      </c>
      <c r="AI302">
        <v>57330810</v>
      </c>
      <c r="AJ302" t="s">
        <v>451</v>
      </c>
      <c r="AL302" t="s">
        <v>264</v>
      </c>
      <c r="AM302" s="6">
        <v>44774</v>
      </c>
      <c r="AN302" t="s">
        <v>462</v>
      </c>
      <c r="AO302" t="s">
        <v>268</v>
      </c>
      <c r="AP302">
        <v>1205</v>
      </c>
      <c r="AQ302" t="s">
        <v>269</v>
      </c>
      <c r="AR302" t="s">
        <v>463</v>
      </c>
      <c r="AU302" t="s">
        <v>264</v>
      </c>
      <c r="AV302" t="s">
        <v>270</v>
      </c>
      <c r="AX302">
        <v>22001097</v>
      </c>
      <c r="AY302">
        <v>630600</v>
      </c>
      <c r="AZ302">
        <v>1205.6306</v>
      </c>
      <c r="BA302" s="28" t="s">
        <v>125</v>
      </c>
    </row>
    <row r="303" spans="1:53">
      <c r="A303" t="s">
        <v>424</v>
      </c>
      <c r="B303" t="s">
        <v>425</v>
      </c>
      <c r="C303">
        <v>22004130</v>
      </c>
      <c r="D303">
        <v>1205</v>
      </c>
      <c r="E303" s="6">
        <v>44774</v>
      </c>
      <c r="F303" t="s">
        <v>451</v>
      </c>
      <c r="G303">
        <v>40.299999999999997</v>
      </c>
      <c r="H303">
        <v>40.299999999999997</v>
      </c>
      <c r="I303" t="s">
        <v>263</v>
      </c>
      <c r="J303" t="s">
        <v>263</v>
      </c>
      <c r="L303" s="29">
        <v>588000</v>
      </c>
      <c r="N303" s="29">
        <v>588000</v>
      </c>
      <c r="O303" t="s">
        <v>264</v>
      </c>
      <c r="Q303" t="s">
        <v>264</v>
      </c>
      <c r="R303" t="s">
        <v>265</v>
      </c>
      <c r="S303">
        <v>14592</v>
      </c>
      <c r="T303" t="s">
        <v>266</v>
      </c>
      <c r="U303" t="s">
        <v>267</v>
      </c>
      <c r="V303" t="s">
        <v>427</v>
      </c>
      <c r="W303" t="s">
        <v>428</v>
      </c>
      <c r="X303">
        <v>1926829</v>
      </c>
      <c r="Y303" s="6">
        <v>44776</v>
      </c>
      <c r="Z303" t="s">
        <v>264</v>
      </c>
      <c r="AA303">
        <v>1</v>
      </c>
      <c r="AB303" t="s">
        <v>264</v>
      </c>
      <c r="AD303" t="s">
        <v>264</v>
      </c>
      <c r="AE303" t="s">
        <v>264</v>
      </c>
      <c r="AF303" t="s">
        <v>264</v>
      </c>
      <c r="AG303">
        <v>49</v>
      </c>
      <c r="AH303" t="s">
        <v>264</v>
      </c>
      <c r="AI303">
        <v>57330810</v>
      </c>
      <c r="AJ303" t="s">
        <v>451</v>
      </c>
      <c r="AL303" t="s">
        <v>264</v>
      </c>
      <c r="AM303" s="6">
        <v>44774</v>
      </c>
      <c r="AN303" t="s">
        <v>462</v>
      </c>
      <c r="AO303" t="s">
        <v>268</v>
      </c>
      <c r="AP303">
        <v>1205</v>
      </c>
      <c r="AQ303" t="s">
        <v>269</v>
      </c>
      <c r="AR303" t="s">
        <v>463</v>
      </c>
      <c r="AU303" t="s">
        <v>264</v>
      </c>
      <c r="AV303" t="s">
        <v>270</v>
      </c>
      <c r="AX303">
        <v>22001097</v>
      </c>
      <c r="AY303">
        <v>630600</v>
      </c>
      <c r="AZ303">
        <v>1205.6306</v>
      </c>
      <c r="BA303" s="28" t="s">
        <v>125</v>
      </c>
    </row>
    <row r="304" spans="1:53">
      <c r="A304" t="s">
        <v>424</v>
      </c>
      <c r="B304" t="s">
        <v>425</v>
      </c>
      <c r="C304">
        <v>22004131</v>
      </c>
      <c r="D304">
        <v>1205</v>
      </c>
      <c r="E304" s="6">
        <v>44774</v>
      </c>
      <c r="F304" t="s">
        <v>451</v>
      </c>
      <c r="G304">
        <v>23.51</v>
      </c>
      <c r="H304">
        <v>23.51</v>
      </c>
      <c r="I304" t="s">
        <v>263</v>
      </c>
      <c r="J304" t="s">
        <v>263</v>
      </c>
      <c r="L304" s="29">
        <v>343000</v>
      </c>
      <c r="N304" s="29">
        <v>343000</v>
      </c>
      <c r="O304" t="s">
        <v>264</v>
      </c>
      <c r="Q304" t="s">
        <v>264</v>
      </c>
      <c r="R304" t="s">
        <v>265</v>
      </c>
      <c r="S304">
        <v>14592</v>
      </c>
      <c r="T304" t="s">
        <v>266</v>
      </c>
      <c r="U304" t="s">
        <v>267</v>
      </c>
      <c r="V304" t="s">
        <v>427</v>
      </c>
      <c r="W304" t="s">
        <v>428</v>
      </c>
      <c r="X304">
        <v>1926829</v>
      </c>
      <c r="Y304" s="6">
        <v>44776</v>
      </c>
      <c r="Z304" t="s">
        <v>264</v>
      </c>
      <c r="AA304">
        <v>1</v>
      </c>
      <c r="AB304" t="s">
        <v>264</v>
      </c>
      <c r="AD304" t="s">
        <v>264</v>
      </c>
      <c r="AE304" t="s">
        <v>264</v>
      </c>
      <c r="AF304" t="s">
        <v>264</v>
      </c>
      <c r="AG304">
        <v>49</v>
      </c>
      <c r="AH304" t="s">
        <v>264</v>
      </c>
      <c r="AI304">
        <v>57330810</v>
      </c>
      <c r="AJ304" t="s">
        <v>451</v>
      </c>
      <c r="AL304" t="s">
        <v>264</v>
      </c>
      <c r="AM304" s="6">
        <v>44774</v>
      </c>
      <c r="AN304" t="s">
        <v>462</v>
      </c>
      <c r="AO304" t="s">
        <v>268</v>
      </c>
      <c r="AP304">
        <v>1205</v>
      </c>
      <c r="AQ304" t="s">
        <v>269</v>
      </c>
      <c r="AR304" t="s">
        <v>463</v>
      </c>
      <c r="AU304" t="s">
        <v>264</v>
      </c>
      <c r="AV304" t="s">
        <v>270</v>
      </c>
      <c r="AX304">
        <v>22001097</v>
      </c>
      <c r="AY304">
        <v>630600</v>
      </c>
      <c r="AZ304">
        <v>1205.6306</v>
      </c>
      <c r="BA304" s="28" t="s">
        <v>125</v>
      </c>
    </row>
    <row r="305" spans="1:53">
      <c r="A305" t="s">
        <v>424</v>
      </c>
      <c r="B305" t="s">
        <v>425</v>
      </c>
      <c r="C305">
        <v>22004132</v>
      </c>
      <c r="D305">
        <v>1205</v>
      </c>
      <c r="E305" s="6">
        <v>44774</v>
      </c>
      <c r="F305" t="s">
        <v>451</v>
      </c>
      <c r="G305">
        <v>38.65</v>
      </c>
      <c r="H305">
        <v>38.65</v>
      </c>
      <c r="I305" t="s">
        <v>263</v>
      </c>
      <c r="J305" t="s">
        <v>263</v>
      </c>
      <c r="L305" s="29">
        <v>564000</v>
      </c>
      <c r="N305" s="29">
        <v>564000</v>
      </c>
      <c r="O305" t="s">
        <v>264</v>
      </c>
      <c r="Q305" t="s">
        <v>264</v>
      </c>
      <c r="R305" t="s">
        <v>265</v>
      </c>
      <c r="S305">
        <v>14592</v>
      </c>
      <c r="T305" t="s">
        <v>266</v>
      </c>
      <c r="U305" t="s">
        <v>267</v>
      </c>
      <c r="V305" t="s">
        <v>427</v>
      </c>
      <c r="W305" t="s">
        <v>428</v>
      </c>
      <c r="X305">
        <v>1926829</v>
      </c>
      <c r="Y305" s="6">
        <v>44776</v>
      </c>
      <c r="Z305" t="s">
        <v>264</v>
      </c>
      <c r="AA305">
        <v>1</v>
      </c>
      <c r="AB305" t="s">
        <v>264</v>
      </c>
      <c r="AD305" t="s">
        <v>264</v>
      </c>
      <c r="AE305" t="s">
        <v>264</v>
      </c>
      <c r="AF305" t="s">
        <v>264</v>
      </c>
      <c r="AG305">
        <v>47</v>
      </c>
      <c r="AH305" t="s">
        <v>264</v>
      </c>
      <c r="AI305">
        <v>57330810</v>
      </c>
      <c r="AJ305" t="s">
        <v>451</v>
      </c>
      <c r="AL305" t="s">
        <v>264</v>
      </c>
      <c r="AM305" s="6">
        <v>44774</v>
      </c>
      <c r="AN305" t="s">
        <v>462</v>
      </c>
      <c r="AO305" t="s">
        <v>268</v>
      </c>
      <c r="AP305">
        <v>1205</v>
      </c>
      <c r="AQ305" t="s">
        <v>269</v>
      </c>
      <c r="AR305" t="s">
        <v>463</v>
      </c>
      <c r="AU305" t="s">
        <v>264</v>
      </c>
      <c r="AV305" t="s">
        <v>270</v>
      </c>
      <c r="AX305">
        <v>22001097</v>
      </c>
      <c r="AY305">
        <v>630600</v>
      </c>
      <c r="AZ305">
        <v>1205.6306</v>
      </c>
      <c r="BA305" s="28" t="s">
        <v>125</v>
      </c>
    </row>
    <row r="306" spans="1:53">
      <c r="A306" t="s">
        <v>424</v>
      </c>
      <c r="B306" t="s">
        <v>425</v>
      </c>
      <c r="C306">
        <v>22004133</v>
      </c>
      <c r="D306">
        <v>1205</v>
      </c>
      <c r="E306" s="6">
        <v>44774</v>
      </c>
      <c r="F306" t="s">
        <v>451</v>
      </c>
      <c r="G306">
        <v>22.55</v>
      </c>
      <c r="H306">
        <v>22.55</v>
      </c>
      <c r="I306" t="s">
        <v>263</v>
      </c>
      <c r="J306" t="s">
        <v>263</v>
      </c>
      <c r="L306" s="29">
        <v>329000</v>
      </c>
      <c r="N306" s="29">
        <v>329000</v>
      </c>
      <c r="O306" t="s">
        <v>264</v>
      </c>
      <c r="Q306" t="s">
        <v>264</v>
      </c>
      <c r="R306" t="s">
        <v>265</v>
      </c>
      <c r="S306">
        <v>14592</v>
      </c>
      <c r="T306" t="s">
        <v>266</v>
      </c>
      <c r="U306" t="s">
        <v>267</v>
      </c>
      <c r="V306" t="s">
        <v>427</v>
      </c>
      <c r="W306" t="s">
        <v>428</v>
      </c>
      <c r="X306">
        <v>1926829</v>
      </c>
      <c r="Y306" s="6">
        <v>44776</v>
      </c>
      <c r="Z306" t="s">
        <v>264</v>
      </c>
      <c r="AA306">
        <v>1</v>
      </c>
      <c r="AB306" t="s">
        <v>264</v>
      </c>
      <c r="AD306" t="s">
        <v>264</v>
      </c>
      <c r="AE306" t="s">
        <v>264</v>
      </c>
      <c r="AF306" t="s">
        <v>264</v>
      </c>
      <c r="AG306">
        <v>47</v>
      </c>
      <c r="AH306" t="s">
        <v>264</v>
      </c>
      <c r="AI306">
        <v>57330810</v>
      </c>
      <c r="AJ306" t="s">
        <v>451</v>
      </c>
      <c r="AL306" t="s">
        <v>264</v>
      </c>
      <c r="AM306" s="6">
        <v>44774</v>
      </c>
      <c r="AN306" t="s">
        <v>462</v>
      </c>
      <c r="AO306" t="s">
        <v>268</v>
      </c>
      <c r="AP306">
        <v>1205</v>
      </c>
      <c r="AQ306" t="s">
        <v>269</v>
      </c>
      <c r="AR306" t="s">
        <v>463</v>
      </c>
      <c r="AU306" t="s">
        <v>264</v>
      </c>
      <c r="AV306" t="s">
        <v>270</v>
      </c>
      <c r="AX306">
        <v>22001097</v>
      </c>
      <c r="AY306">
        <v>630600</v>
      </c>
      <c r="AZ306">
        <v>1205.6306</v>
      </c>
      <c r="BA306" s="28" t="s">
        <v>125</v>
      </c>
    </row>
    <row r="307" spans="1:53">
      <c r="A307" t="s">
        <v>424</v>
      </c>
      <c r="B307" t="s">
        <v>425</v>
      </c>
      <c r="C307">
        <v>22004134</v>
      </c>
      <c r="D307">
        <v>1205</v>
      </c>
      <c r="E307" s="6">
        <v>44774</v>
      </c>
      <c r="F307" t="s">
        <v>451</v>
      </c>
      <c r="G307">
        <v>163.66</v>
      </c>
      <c r="H307">
        <v>163.66</v>
      </c>
      <c r="I307" t="s">
        <v>263</v>
      </c>
      <c r="J307" t="s">
        <v>263</v>
      </c>
      <c r="L307" s="29">
        <v>2388000</v>
      </c>
      <c r="N307" s="29">
        <v>2388000</v>
      </c>
      <c r="O307" t="s">
        <v>264</v>
      </c>
      <c r="Q307" t="s">
        <v>264</v>
      </c>
      <c r="R307" t="s">
        <v>265</v>
      </c>
      <c r="S307">
        <v>14592</v>
      </c>
      <c r="T307" t="s">
        <v>266</v>
      </c>
      <c r="U307" t="s">
        <v>267</v>
      </c>
      <c r="V307" t="s">
        <v>427</v>
      </c>
      <c r="W307" t="s">
        <v>428</v>
      </c>
      <c r="X307">
        <v>1926829</v>
      </c>
      <c r="Y307" s="6">
        <v>44776</v>
      </c>
      <c r="Z307" t="s">
        <v>264</v>
      </c>
      <c r="AA307">
        <v>1</v>
      </c>
      <c r="AB307" t="s">
        <v>264</v>
      </c>
      <c r="AD307" t="s">
        <v>264</v>
      </c>
      <c r="AE307" t="s">
        <v>264</v>
      </c>
      <c r="AF307" t="s">
        <v>264</v>
      </c>
      <c r="AG307">
        <v>199</v>
      </c>
      <c r="AH307" t="s">
        <v>264</v>
      </c>
      <c r="AI307">
        <v>57330810</v>
      </c>
      <c r="AJ307" t="s">
        <v>451</v>
      </c>
      <c r="AL307" t="s">
        <v>264</v>
      </c>
      <c r="AM307" s="6">
        <v>44774</v>
      </c>
      <c r="AN307" t="s">
        <v>462</v>
      </c>
      <c r="AO307" t="s">
        <v>268</v>
      </c>
      <c r="AP307">
        <v>1205</v>
      </c>
      <c r="AQ307" t="s">
        <v>269</v>
      </c>
      <c r="AR307" t="s">
        <v>463</v>
      </c>
      <c r="AU307" t="s">
        <v>264</v>
      </c>
      <c r="AV307" t="s">
        <v>270</v>
      </c>
      <c r="AX307">
        <v>22001097</v>
      </c>
      <c r="AY307">
        <v>630600</v>
      </c>
      <c r="AZ307">
        <v>1205.6306</v>
      </c>
      <c r="BA307" s="28" t="s">
        <v>125</v>
      </c>
    </row>
    <row r="308" spans="1:53">
      <c r="A308" t="s">
        <v>424</v>
      </c>
      <c r="B308" t="s">
        <v>425</v>
      </c>
      <c r="C308">
        <v>22004135</v>
      </c>
      <c r="D308">
        <v>1205</v>
      </c>
      <c r="E308" s="6">
        <v>44774</v>
      </c>
      <c r="F308" t="s">
        <v>451</v>
      </c>
      <c r="G308">
        <v>95.46</v>
      </c>
      <c r="H308">
        <v>95.46</v>
      </c>
      <c r="I308" t="s">
        <v>263</v>
      </c>
      <c r="J308" t="s">
        <v>263</v>
      </c>
      <c r="L308" s="29">
        <v>1393000</v>
      </c>
      <c r="N308" s="29">
        <v>1393000</v>
      </c>
      <c r="O308" t="s">
        <v>264</v>
      </c>
      <c r="Q308" t="s">
        <v>264</v>
      </c>
      <c r="R308" t="s">
        <v>265</v>
      </c>
      <c r="S308">
        <v>14592</v>
      </c>
      <c r="T308" t="s">
        <v>266</v>
      </c>
      <c r="U308" t="s">
        <v>267</v>
      </c>
      <c r="V308" t="s">
        <v>427</v>
      </c>
      <c r="W308" t="s">
        <v>428</v>
      </c>
      <c r="X308">
        <v>1926829</v>
      </c>
      <c r="Y308" s="6">
        <v>44776</v>
      </c>
      <c r="Z308" t="s">
        <v>264</v>
      </c>
      <c r="AA308">
        <v>1</v>
      </c>
      <c r="AB308" t="s">
        <v>264</v>
      </c>
      <c r="AD308" t="s">
        <v>264</v>
      </c>
      <c r="AE308" t="s">
        <v>264</v>
      </c>
      <c r="AF308" t="s">
        <v>264</v>
      </c>
      <c r="AG308">
        <v>199</v>
      </c>
      <c r="AH308" t="s">
        <v>264</v>
      </c>
      <c r="AI308">
        <v>57330810</v>
      </c>
      <c r="AJ308" t="s">
        <v>451</v>
      </c>
      <c r="AL308" t="s">
        <v>264</v>
      </c>
      <c r="AM308" s="6">
        <v>44774</v>
      </c>
      <c r="AN308" t="s">
        <v>462</v>
      </c>
      <c r="AO308" t="s">
        <v>268</v>
      </c>
      <c r="AP308">
        <v>1205</v>
      </c>
      <c r="AQ308" t="s">
        <v>269</v>
      </c>
      <c r="AR308" t="s">
        <v>463</v>
      </c>
      <c r="AU308" t="s">
        <v>264</v>
      </c>
      <c r="AV308" t="s">
        <v>270</v>
      </c>
      <c r="AX308">
        <v>22001097</v>
      </c>
      <c r="AY308">
        <v>630600</v>
      </c>
      <c r="AZ308">
        <v>1205.6306</v>
      </c>
      <c r="BA308" s="28" t="s">
        <v>125</v>
      </c>
    </row>
    <row r="309" spans="1:53">
      <c r="A309" t="s">
        <v>424</v>
      </c>
      <c r="B309" t="s">
        <v>425</v>
      </c>
      <c r="C309">
        <v>22004136</v>
      </c>
      <c r="D309">
        <v>1205</v>
      </c>
      <c r="E309" s="6">
        <v>44774</v>
      </c>
      <c r="F309" t="s">
        <v>451</v>
      </c>
      <c r="G309">
        <v>131.58000000000001</v>
      </c>
      <c r="H309">
        <v>131.58000000000001</v>
      </c>
      <c r="I309" t="s">
        <v>263</v>
      </c>
      <c r="J309" t="s">
        <v>263</v>
      </c>
      <c r="L309" s="29">
        <v>1920000</v>
      </c>
      <c r="N309" s="29">
        <v>1920000</v>
      </c>
      <c r="O309" t="s">
        <v>264</v>
      </c>
      <c r="Q309" t="s">
        <v>264</v>
      </c>
      <c r="R309" t="s">
        <v>265</v>
      </c>
      <c r="S309">
        <v>14592</v>
      </c>
      <c r="T309" t="s">
        <v>266</v>
      </c>
      <c r="U309" t="s">
        <v>267</v>
      </c>
      <c r="V309" t="s">
        <v>427</v>
      </c>
      <c r="W309" t="s">
        <v>428</v>
      </c>
      <c r="X309">
        <v>1926829</v>
      </c>
      <c r="Y309" s="6">
        <v>44776</v>
      </c>
      <c r="Z309" t="s">
        <v>264</v>
      </c>
      <c r="AA309">
        <v>1</v>
      </c>
      <c r="AB309" t="s">
        <v>264</v>
      </c>
      <c r="AD309" t="s">
        <v>264</v>
      </c>
      <c r="AE309" t="s">
        <v>264</v>
      </c>
      <c r="AF309" t="s">
        <v>264</v>
      </c>
      <c r="AG309">
        <v>160</v>
      </c>
      <c r="AH309" t="s">
        <v>264</v>
      </c>
      <c r="AI309">
        <v>57330810</v>
      </c>
      <c r="AJ309" t="s">
        <v>451</v>
      </c>
      <c r="AL309" t="s">
        <v>264</v>
      </c>
      <c r="AM309" s="6">
        <v>44774</v>
      </c>
      <c r="AN309" t="s">
        <v>462</v>
      </c>
      <c r="AO309" t="s">
        <v>268</v>
      </c>
      <c r="AP309">
        <v>1205</v>
      </c>
      <c r="AQ309" t="s">
        <v>269</v>
      </c>
      <c r="AR309" t="s">
        <v>463</v>
      </c>
      <c r="AU309" t="s">
        <v>264</v>
      </c>
      <c r="AV309" t="s">
        <v>270</v>
      </c>
      <c r="AX309">
        <v>22001097</v>
      </c>
      <c r="AY309">
        <v>630600</v>
      </c>
      <c r="AZ309">
        <v>1205.6306</v>
      </c>
      <c r="BA309" s="28" t="s">
        <v>125</v>
      </c>
    </row>
    <row r="310" spans="1:53">
      <c r="A310" t="s">
        <v>424</v>
      </c>
      <c r="B310" t="s">
        <v>425</v>
      </c>
      <c r="C310">
        <v>22004137</v>
      </c>
      <c r="D310">
        <v>1205</v>
      </c>
      <c r="E310" s="6">
        <v>44774</v>
      </c>
      <c r="F310" t="s">
        <v>451</v>
      </c>
      <c r="G310">
        <v>76.75</v>
      </c>
      <c r="H310">
        <v>76.75</v>
      </c>
      <c r="I310" t="s">
        <v>263</v>
      </c>
      <c r="J310" t="s">
        <v>263</v>
      </c>
      <c r="L310" s="29">
        <v>1120000</v>
      </c>
      <c r="N310" s="29">
        <v>1120000</v>
      </c>
      <c r="O310" t="s">
        <v>264</v>
      </c>
      <c r="Q310" t="s">
        <v>264</v>
      </c>
      <c r="R310" t="s">
        <v>265</v>
      </c>
      <c r="S310">
        <v>14592</v>
      </c>
      <c r="T310" t="s">
        <v>266</v>
      </c>
      <c r="U310" t="s">
        <v>267</v>
      </c>
      <c r="V310" t="s">
        <v>427</v>
      </c>
      <c r="W310" t="s">
        <v>428</v>
      </c>
      <c r="X310">
        <v>1926829</v>
      </c>
      <c r="Y310" s="6">
        <v>44776</v>
      </c>
      <c r="Z310" t="s">
        <v>264</v>
      </c>
      <c r="AA310">
        <v>1</v>
      </c>
      <c r="AB310" t="s">
        <v>264</v>
      </c>
      <c r="AD310" t="s">
        <v>264</v>
      </c>
      <c r="AE310" t="s">
        <v>264</v>
      </c>
      <c r="AF310" t="s">
        <v>264</v>
      </c>
      <c r="AG310">
        <v>160</v>
      </c>
      <c r="AH310" t="s">
        <v>264</v>
      </c>
      <c r="AI310">
        <v>57330810</v>
      </c>
      <c r="AJ310" t="s">
        <v>451</v>
      </c>
      <c r="AL310" t="s">
        <v>264</v>
      </c>
      <c r="AM310" s="6">
        <v>44774</v>
      </c>
      <c r="AN310" t="s">
        <v>462</v>
      </c>
      <c r="AO310" t="s">
        <v>268</v>
      </c>
      <c r="AP310">
        <v>1205</v>
      </c>
      <c r="AQ310" t="s">
        <v>269</v>
      </c>
      <c r="AR310" t="s">
        <v>463</v>
      </c>
      <c r="AU310" t="s">
        <v>264</v>
      </c>
      <c r="AV310" t="s">
        <v>270</v>
      </c>
      <c r="AX310">
        <v>22001097</v>
      </c>
      <c r="AY310">
        <v>630600</v>
      </c>
      <c r="AZ310">
        <v>1205.6306</v>
      </c>
      <c r="BA310" s="28" t="s">
        <v>125</v>
      </c>
    </row>
    <row r="311" spans="1:53">
      <c r="A311" t="s">
        <v>424</v>
      </c>
      <c r="B311" t="s">
        <v>425</v>
      </c>
      <c r="C311">
        <v>22004138</v>
      </c>
      <c r="D311">
        <v>1205</v>
      </c>
      <c r="E311" s="6">
        <v>44774</v>
      </c>
      <c r="F311" t="s">
        <v>451</v>
      </c>
      <c r="G311">
        <v>0.82</v>
      </c>
      <c r="H311">
        <v>0.82</v>
      </c>
      <c r="I311" t="s">
        <v>263</v>
      </c>
      <c r="J311" t="s">
        <v>263</v>
      </c>
      <c r="L311" s="29">
        <v>12000</v>
      </c>
      <c r="N311" s="29">
        <v>12000</v>
      </c>
      <c r="O311" t="s">
        <v>264</v>
      </c>
      <c r="Q311" t="s">
        <v>264</v>
      </c>
      <c r="R311" t="s">
        <v>265</v>
      </c>
      <c r="S311">
        <v>14592</v>
      </c>
      <c r="T311" t="s">
        <v>266</v>
      </c>
      <c r="U311" t="s">
        <v>267</v>
      </c>
      <c r="V311" t="s">
        <v>427</v>
      </c>
      <c r="W311" t="s">
        <v>428</v>
      </c>
      <c r="X311">
        <v>1926829</v>
      </c>
      <c r="Y311" s="6">
        <v>44776</v>
      </c>
      <c r="Z311" t="s">
        <v>264</v>
      </c>
      <c r="AA311">
        <v>1</v>
      </c>
      <c r="AB311" t="s">
        <v>264</v>
      </c>
      <c r="AD311" t="s">
        <v>264</v>
      </c>
      <c r="AE311" t="s">
        <v>264</v>
      </c>
      <c r="AF311" t="s">
        <v>264</v>
      </c>
      <c r="AG311">
        <v>1</v>
      </c>
      <c r="AH311" t="s">
        <v>264</v>
      </c>
      <c r="AI311">
        <v>57330810</v>
      </c>
      <c r="AJ311" t="s">
        <v>451</v>
      </c>
      <c r="AL311" t="s">
        <v>264</v>
      </c>
      <c r="AM311" s="6">
        <v>44774</v>
      </c>
      <c r="AN311" t="s">
        <v>462</v>
      </c>
      <c r="AO311" t="s">
        <v>268</v>
      </c>
      <c r="AP311">
        <v>1205</v>
      </c>
      <c r="AQ311" t="s">
        <v>269</v>
      </c>
      <c r="AR311" t="s">
        <v>463</v>
      </c>
      <c r="AU311" t="s">
        <v>264</v>
      </c>
      <c r="AV311" t="s">
        <v>270</v>
      </c>
      <c r="AX311">
        <v>22001097</v>
      </c>
      <c r="AY311">
        <v>630600</v>
      </c>
      <c r="AZ311">
        <v>1205.6306</v>
      </c>
      <c r="BA311" s="28" t="s">
        <v>125</v>
      </c>
    </row>
    <row r="312" spans="1:53">
      <c r="A312" t="s">
        <v>424</v>
      </c>
      <c r="B312" t="s">
        <v>425</v>
      </c>
      <c r="C312">
        <v>22004139</v>
      </c>
      <c r="D312">
        <v>1205</v>
      </c>
      <c r="E312" s="6">
        <v>44774</v>
      </c>
      <c r="F312" t="s">
        <v>451</v>
      </c>
      <c r="G312">
        <v>0.48</v>
      </c>
      <c r="H312">
        <v>0.48</v>
      </c>
      <c r="I312" t="s">
        <v>263</v>
      </c>
      <c r="J312" t="s">
        <v>263</v>
      </c>
      <c r="L312" s="29">
        <v>7000</v>
      </c>
      <c r="N312" s="29">
        <v>7000</v>
      </c>
      <c r="O312" t="s">
        <v>264</v>
      </c>
      <c r="Q312" t="s">
        <v>264</v>
      </c>
      <c r="R312" t="s">
        <v>265</v>
      </c>
      <c r="S312">
        <v>14592</v>
      </c>
      <c r="T312" t="s">
        <v>266</v>
      </c>
      <c r="U312" t="s">
        <v>267</v>
      </c>
      <c r="V312" t="s">
        <v>427</v>
      </c>
      <c r="W312" t="s">
        <v>428</v>
      </c>
      <c r="X312">
        <v>1926829</v>
      </c>
      <c r="Y312" s="6">
        <v>44776</v>
      </c>
      <c r="Z312" t="s">
        <v>264</v>
      </c>
      <c r="AA312">
        <v>1</v>
      </c>
      <c r="AB312" t="s">
        <v>264</v>
      </c>
      <c r="AD312" t="s">
        <v>264</v>
      </c>
      <c r="AE312" t="s">
        <v>264</v>
      </c>
      <c r="AF312" t="s">
        <v>264</v>
      </c>
      <c r="AG312">
        <v>1</v>
      </c>
      <c r="AH312" t="s">
        <v>264</v>
      </c>
      <c r="AI312">
        <v>57330810</v>
      </c>
      <c r="AJ312" t="s">
        <v>451</v>
      </c>
      <c r="AL312" t="s">
        <v>264</v>
      </c>
      <c r="AM312" s="6">
        <v>44774</v>
      </c>
      <c r="AN312" t="s">
        <v>462</v>
      </c>
      <c r="AO312" t="s">
        <v>268</v>
      </c>
      <c r="AP312">
        <v>1205</v>
      </c>
      <c r="AQ312" t="s">
        <v>269</v>
      </c>
      <c r="AR312" t="s">
        <v>463</v>
      </c>
      <c r="AU312" t="s">
        <v>264</v>
      </c>
      <c r="AV312" t="s">
        <v>270</v>
      </c>
      <c r="AX312">
        <v>22001097</v>
      </c>
      <c r="AY312">
        <v>630600</v>
      </c>
      <c r="AZ312">
        <v>1205.6306</v>
      </c>
      <c r="BA312" s="28" t="s">
        <v>125</v>
      </c>
    </row>
    <row r="313" spans="1:53">
      <c r="A313" t="s">
        <v>424</v>
      </c>
      <c r="B313" t="s">
        <v>425</v>
      </c>
      <c r="C313">
        <v>22004140</v>
      </c>
      <c r="D313">
        <v>1205</v>
      </c>
      <c r="E313" s="6">
        <v>44774</v>
      </c>
      <c r="F313" t="s">
        <v>451</v>
      </c>
      <c r="G313">
        <v>32.9</v>
      </c>
      <c r="H313">
        <v>32.9</v>
      </c>
      <c r="I313" t="s">
        <v>263</v>
      </c>
      <c r="J313" t="s">
        <v>263</v>
      </c>
      <c r="L313" s="29">
        <v>480000</v>
      </c>
      <c r="N313" s="29">
        <v>480000</v>
      </c>
      <c r="O313" t="s">
        <v>264</v>
      </c>
      <c r="Q313" t="s">
        <v>264</v>
      </c>
      <c r="R313" t="s">
        <v>265</v>
      </c>
      <c r="S313">
        <v>14592</v>
      </c>
      <c r="T313" t="s">
        <v>266</v>
      </c>
      <c r="U313" t="s">
        <v>267</v>
      </c>
      <c r="V313" t="s">
        <v>427</v>
      </c>
      <c r="W313" t="s">
        <v>428</v>
      </c>
      <c r="X313">
        <v>1926829</v>
      </c>
      <c r="Y313" s="6">
        <v>44776</v>
      </c>
      <c r="Z313" t="s">
        <v>264</v>
      </c>
      <c r="AA313">
        <v>1</v>
      </c>
      <c r="AB313" t="s">
        <v>264</v>
      </c>
      <c r="AD313" t="s">
        <v>264</v>
      </c>
      <c r="AE313" t="s">
        <v>264</v>
      </c>
      <c r="AF313" t="s">
        <v>264</v>
      </c>
      <c r="AG313">
        <v>40</v>
      </c>
      <c r="AH313" t="s">
        <v>264</v>
      </c>
      <c r="AI313">
        <v>57330810</v>
      </c>
      <c r="AJ313" t="s">
        <v>451</v>
      </c>
      <c r="AL313" t="s">
        <v>264</v>
      </c>
      <c r="AM313" s="6">
        <v>44774</v>
      </c>
      <c r="AN313" t="s">
        <v>462</v>
      </c>
      <c r="AO313" t="s">
        <v>268</v>
      </c>
      <c r="AP313">
        <v>1205</v>
      </c>
      <c r="AQ313" t="s">
        <v>269</v>
      </c>
      <c r="AR313" t="s">
        <v>463</v>
      </c>
      <c r="AU313" t="s">
        <v>264</v>
      </c>
      <c r="AV313" t="s">
        <v>270</v>
      </c>
      <c r="AX313">
        <v>22001097</v>
      </c>
      <c r="AY313">
        <v>630600</v>
      </c>
      <c r="AZ313">
        <v>1205.6306</v>
      </c>
      <c r="BA313" s="28" t="s">
        <v>125</v>
      </c>
    </row>
    <row r="314" spans="1:53">
      <c r="A314" t="s">
        <v>424</v>
      </c>
      <c r="B314" t="s">
        <v>425</v>
      </c>
      <c r="C314">
        <v>22004141</v>
      </c>
      <c r="D314">
        <v>1205</v>
      </c>
      <c r="E314" s="6">
        <v>44774</v>
      </c>
      <c r="F314" t="s">
        <v>451</v>
      </c>
      <c r="G314">
        <v>19.190000000000001</v>
      </c>
      <c r="H314">
        <v>19.190000000000001</v>
      </c>
      <c r="I314" t="s">
        <v>263</v>
      </c>
      <c r="J314" t="s">
        <v>263</v>
      </c>
      <c r="L314" s="29">
        <v>280000</v>
      </c>
      <c r="N314" s="29">
        <v>280000</v>
      </c>
      <c r="O314" t="s">
        <v>264</v>
      </c>
      <c r="Q314" t="s">
        <v>264</v>
      </c>
      <c r="R314" t="s">
        <v>265</v>
      </c>
      <c r="S314">
        <v>14592</v>
      </c>
      <c r="T314" t="s">
        <v>266</v>
      </c>
      <c r="U314" t="s">
        <v>267</v>
      </c>
      <c r="V314" t="s">
        <v>427</v>
      </c>
      <c r="W314" t="s">
        <v>428</v>
      </c>
      <c r="X314">
        <v>1926829</v>
      </c>
      <c r="Y314" s="6">
        <v>44776</v>
      </c>
      <c r="Z314" t="s">
        <v>264</v>
      </c>
      <c r="AA314">
        <v>1</v>
      </c>
      <c r="AB314" t="s">
        <v>264</v>
      </c>
      <c r="AD314" t="s">
        <v>264</v>
      </c>
      <c r="AE314" t="s">
        <v>264</v>
      </c>
      <c r="AF314" t="s">
        <v>264</v>
      </c>
      <c r="AG314">
        <v>40</v>
      </c>
      <c r="AH314" t="s">
        <v>264</v>
      </c>
      <c r="AI314">
        <v>57330810</v>
      </c>
      <c r="AJ314" t="s">
        <v>451</v>
      </c>
      <c r="AL314" t="s">
        <v>264</v>
      </c>
      <c r="AM314" s="6">
        <v>44774</v>
      </c>
      <c r="AN314" t="s">
        <v>462</v>
      </c>
      <c r="AO314" t="s">
        <v>268</v>
      </c>
      <c r="AP314">
        <v>1205</v>
      </c>
      <c r="AQ314" t="s">
        <v>269</v>
      </c>
      <c r="AR314" t="s">
        <v>463</v>
      </c>
      <c r="AU314" t="s">
        <v>264</v>
      </c>
      <c r="AV314" t="s">
        <v>270</v>
      </c>
      <c r="AX314">
        <v>22001097</v>
      </c>
      <c r="AY314">
        <v>630600</v>
      </c>
      <c r="AZ314">
        <v>1205.6306</v>
      </c>
      <c r="BA314" s="28" t="s">
        <v>125</v>
      </c>
    </row>
    <row r="315" spans="1:53">
      <c r="A315" t="s">
        <v>424</v>
      </c>
      <c r="B315" t="s">
        <v>425</v>
      </c>
      <c r="C315">
        <v>22004142</v>
      </c>
      <c r="D315">
        <v>1205</v>
      </c>
      <c r="E315" s="6">
        <v>44774</v>
      </c>
      <c r="F315" t="s">
        <v>451</v>
      </c>
      <c r="G315">
        <v>9.8699999999999992</v>
      </c>
      <c r="H315">
        <v>9.8699999999999992</v>
      </c>
      <c r="I315" t="s">
        <v>263</v>
      </c>
      <c r="J315" t="s">
        <v>263</v>
      </c>
      <c r="L315" s="29">
        <v>144000</v>
      </c>
      <c r="N315" s="29">
        <v>144000</v>
      </c>
      <c r="O315" t="s">
        <v>264</v>
      </c>
      <c r="Q315" t="s">
        <v>264</v>
      </c>
      <c r="R315" t="s">
        <v>265</v>
      </c>
      <c r="S315">
        <v>14592</v>
      </c>
      <c r="T315" t="s">
        <v>266</v>
      </c>
      <c r="U315" t="s">
        <v>267</v>
      </c>
      <c r="V315" t="s">
        <v>427</v>
      </c>
      <c r="W315" t="s">
        <v>428</v>
      </c>
      <c r="X315">
        <v>1926829</v>
      </c>
      <c r="Y315" s="6">
        <v>44776</v>
      </c>
      <c r="Z315" t="s">
        <v>264</v>
      </c>
      <c r="AA315">
        <v>1</v>
      </c>
      <c r="AB315" t="s">
        <v>264</v>
      </c>
      <c r="AD315" t="s">
        <v>264</v>
      </c>
      <c r="AE315" t="s">
        <v>264</v>
      </c>
      <c r="AF315" t="s">
        <v>264</v>
      </c>
      <c r="AG315">
        <v>12</v>
      </c>
      <c r="AH315" t="s">
        <v>264</v>
      </c>
      <c r="AI315">
        <v>57330810</v>
      </c>
      <c r="AJ315" t="s">
        <v>451</v>
      </c>
      <c r="AL315" t="s">
        <v>264</v>
      </c>
      <c r="AM315" s="6">
        <v>44774</v>
      </c>
      <c r="AN315" t="s">
        <v>462</v>
      </c>
      <c r="AO315" t="s">
        <v>268</v>
      </c>
      <c r="AP315">
        <v>1205</v>
      </c>
      <c r="AQ315" t="s">
        <v>269</v>
      </c>
      <c r="AR315" t="s">
        <v>463</v>
      </c>
      <c r="AU315" t="s">
        <v>264</v>
      </c>
      <c r="AV315" t="s">
        <v>270</v>
      </c>
      <c r="AX315">
        <v>22001097</v>
      </c>
      <c r="AY315">
        <v>630600</v>
      </c>
      <c r="AZ315">
        <v>1205.6306</v>
      </c>
      <c r="BA315" s="28" t="s">
        <v>125</v>
      </c>
    </row>
    <row r="316" spans="1:53">
      <c r="A316" t="s">
        <v>424</v>
      </c>
      <c r="B316" t="s">
        <v>425</v>
      </c>
      <c r="C316">
        <v>22004143</v>
      </c>
      <c r="D316">
        <v>1205</v>
      </c>
      <c r="E316" s="6">
        <v>44774</v>
      </c>
      <c r="F316" t="s">
        <v>451</v>
      </c>
      <c r="G316">
        <v>5.76</v>
      </c>
      <c r="H316">
        <v>5.76</v>
      </c>
      <c r="I316" t="s">
        <v>263</v>
      </c>
      <c r="J316" t="s">
        <v>263</v>
      </c>
      <c r="L316" s="29">
        <v>84000</v>
      </c>
      <c r="N316" s="29">
        <v>84000</v>
      </c>
      <c r="O316" t="s">
        <v>264</v>
      </c>
      <c r="Q316" t="s">
        <v>264</v>
      </c>
      <c r="R316" t="s">
        <v>265</v>
      </c>
      <c r="S316">
        <v>14592</v>
      </c>
      <c r="T316" t="s">
        <v>266</v>
      </c>
      <c r="U316" t="s">
        <v>267</v>
      </c>
      <c r="V316" t="s">
        <v>427</v>
      </c>
      <c r="W316" t="s">
        <v>428</v>
      </c>
      <c r="X316">
        <v>1926829</v>
      </c>
      <c r="Y316" s="6">
        <v>44776</v>
      </c>
      <c r="Z316" t="s">
        <v>264</v>
      </c>
      <c r="AA316">
        <v>1</v>
      </c>
      <c r="AB316" t="s">
        <v>264</v>
      </c>
      <c r="AD316" t="s">
        <v>264</v>
      </c>
      <c r="AE316" t="s">
        <v>264</v>
      </c>
      <c r="AF316" t="s">
        <v>264</v>
      </c>
      <c r="AG316">
        <v>12</v>
      </c>
      <c r="AH316" t="s">
        <v>264</v>
      </c>
      <c r="AI316">
        <v>57330810</v>
      </c>
      <c r="AJ316" t="s">
        <v>451</v>
      </c>
      <c r="AL316" t="s">
        <v>264</v>
      </c>
      <c r="AM316" s="6">
        <v>44774</v>
      </c>
      <c r="AN316" t="s">
        <v>462</v>
      </c>
      <c r="AO316" t="s">
        <v>268</v>
      </c>
      <c r="AP316">
        <v>1205</v>
      </c>
      <c r="AQ316" t="s">
        <v>269</v>
      </c>
      <c r="AR316" t="s">
        <v>463</v>
      </c>
      <c r="AU316" t="s">
        <v>264</v>
      </c>
      <c r="AV316" t="s">
        <v>270</v>
      </c>
      <c r="AX316">
        <v>22001097</v>
      </c>
      <c r="AY316">
        <v>630600</v>
      </c>
      <c r="AZ316">
        <v>1205.6306</v>
      </c>
      <c r="BA316" s="28" t="s">
        <v>125</v>
      </c>
    </row>
    <row r="317" spans="1:53">
      <c r="A317" t="s">
        <v>424</v>
      </c>
      <c r="B317" t="s">
        <v>425</v>
      </c>
      <c r="C317">
        <v>22004144</v>
      </c>
      <c r="D317">
        <v>1205</v>
      </c>
      <c r="E317" s="6">
        <v>44774</v>
      </c>
      <c r="F317" t="s">
        <v>451</v>
      </c>
      <c r="G317">
        <v>6.58</v>
      </c>
      <c r="H317">
        <v>6.58</v>
      </c>
      <c r="I317" t="s">
        <v>263</v>
      </c>
      <c r="J317" t="s">
        <v>263</v>
      </c>
      <c r="L317" s="29">
        <v>96000</v>
      </c>
      <c r="N317" s="29">
        <v>96000</v>
      </c>
      <c r="O317" t="s">
        <v>264</v>
      </c>
      <c r="Q317" t="s">
        <v>264</v>
      </c>
      <c r="R317" t="s">
        <v>265</v>
      </c>
      <c r="S317">
        <v>14592</v>
      </c>
      <c r="T317" t="s">
        <v>266</v>
      </c>
      <c r="U317" t="s">
        <v>267</v>
      </c>
      <c r="V317" t="s">
        <v>427</v>
      </c>
      <c r="W317" t="s">
        <v>428</v>
      </c>
      <c r="X317">
        <v>1926829</v>
      </c>
      <c r="Y317" s="6">
        <v>44776</v>
      </c>
      <c r="Z317" t="s">
        <v>264</v>
      </c>
      <c r="AA317">
        <v>1</v>
      </c>
      <c r="AB317" t="s">
        <v>264</v>
      </c>
      <c r="AD317" t="s">
        <v>264</v>
      </c>
      <c r="AE317" t="s">
        <v>264</v>
      </c>
      <c r="AF317" t="s">
        <v>264</v>
      </c>
      <c r="AG317">
        <v>8</v>
      </c>
      <c r="AH317" t="s">
        <v>264</v>
      </c>
      <c r="AI317">
        <v>57330810</v>
      </c>
      <c r="AJ317" t="s">
        <v>451</v>
      </c>
      <c r="AL317" t="s">
        <v>264</v>
      </c>
      <c r="AM317" s="6">
        <v>44774</v>
      </c>
      <c r="AN317" t="s">
        <v>462</v>
      </c>
      <c r="AO317" t="s">
        <v>268</v>
      </c>
      <c r="AP317">
        <v>1205</v>
      </c>
      <c r="AQ317" t="s">
        <v>269</v>
      </c>
      <c r="AR317" t="s">
        <v>463</v>
      </c>
      <c r="AU317" t="s">
        <v>264</v>
      </c>
      <c r="AV317" t="s">
        <v>270</v>
      </c>
      <c r="AX317">
        <v>22001097</v>
      </c>
      <c r="AY317">
        <v>630600</v>
      </c>
      <c r="AZ317">
        <v>1205.6306</v>
      </c>
      <c r="BA317" s="28" t="s">
        <v>125</v>
      </c>
    </row>
    <row r="318" spans="1:53">
      <c r="A318" t="s">
        <v>424</v>
      </c>
      <c r="B318" t="s">
        <v>425</v>
      </c>
      <c r="C318">
        <v>22004145</v>
      </c>
      <c r="D318">
        <v>1205</v>
      </c>
      <c r="E318" s="6">
        <v>44774</v>
      </c>
      <c r="F318" t="s">
        <v>451</v>
      </c>
      <c r="G318">
        <v>3.84</v>
      </c>
      <c r="H318">
        <v>3.84</v>
      </c>
      <c r="I318" t="s">
        <v>263</v>
      </c>
      <c r="J318" t="s">
        <v>263</v>
      </c>
      <c r="L318" s="29">
        <v>56000</v>
      </c>
      <c r="N318" s="29">
        <v>56000</v>
      </c>
      <c r="O318" t="s">
        <v>264</v>
      </c>
      <c r="Q318" t="s">
        <v>264</v>
      </c>
      <c r="R318" t="s">
        <v>265</v>
      </c>
      <c r="S318">
        <v>14592</v>
      </c>
      <c r="T318" t="s">
        <v>266</v>
      </c>
      <c r="U318" t="s">
        <v>267</v>
      </c>
      <c r="V318" t="s">
        <v>427</v>
      </c>
      <c r="W318" t="s">
        <v>428</v>
      </c>
      <c r="X318">
        <v>1926829</v>
      </c>
      <c r="Y318" s="6">
        <v>44776</v>
      </c>
      <c r="Z318" t="s">
        <v>264</v>
      </c>
      <c r="AA318">
        <v>1</v>
      </c>
      <c r="AB318" t="s">
        <v>264</v>
      </c>
      <c r="AD318" t="s">
        <v>264</v>
      </c>
      <c r="AE318" t="s">
        <v>264</v>
      </c>
      <c r="AF318" t="s">
        <v>264</v>
      </c>
      <c r="AG318">
        <v>8</v>
      </c>
      <c r="AH318" t="s">
        <v>264</v>
      </c>
      <c r="AI318">
        <v>57330810</v>
      </c>
      <c r="AJ318" t="s">
        <v>451</v>
      </c>
      <c r="AL318" t="s">
        <v>264</v>
      </c>
      <c r="AM318" s="6">
        <v>44774</v>
      </c>
      <c r="AN318" t="s">
        <v>462</v>
      </c>
      <c r="AO318" t="s">
        <v>268</v>
      </c>
      <c r="AP318">
        <v>1205</v>
      </c>
      <c r="AQ318" t="s">
        <v>269</v>
      </c>
      <c r="AR318" t="s">
        <v>463</v>
      </c>
      <c r="AU318" t="s">
        <v>264</v>
      </c>
      <c r="AV318" t="s">
        <v>270</v>
      </c>
      <c r="AX318">
        <v>22001097</v>
      </c>
      <c r="AY318">
        <v>630600</v>
      </c>
      <c r="AZ318">
        <v>1205.6306</v>
      </c>
      <c r="BA318" s="28" t="s">
        <v>125</v>
      </c>
    </row>
    <row r="319" spans="1:53">
      <c r="A319" t="s">
        <v>424</v>
      </c>
      <c r="B319" t="s">
        <v>425</v>
      </c>
      <c r="C319">
        <v>22004146</v>
      </c>
      <c r="D319">
        <v>1205</v>
      </c>
      <c r="E319" s="6">
        <v>44774</v>
      </c>
      <c r="F319" t="s">
        <v>451</v>
      </c>
      <c r="G319">
        <v>23.85</v>
      </c>
      <c r="H319">
        <v>23.85</v>
      </c>
      <c r="I319" t="s">
        <v>263</v>
      </c>
      <c r="J319" t="s">
        <v>263</v>
      </c>
      <c r="L319" s="29">
        <v>348000</v>
      </c>
      <c r="N319" s="29">
        <v>348000</v>
      </c>
      <c r="O319" t="s">
        <v>264</v>
      </c>
      <c r="Q319" t="s">
        <v>264</v>
      </c>
      <c r="R319" t="s">
        <v>265</v>
      </c>
      <c r="S319">
        <v>14592</v>
      </c>
      <c r="T319" t="s">
        <v>266</v>
      </c>
      <c r="U319" t="s">
        <v>267</v>
      </c>
      <c r="V319" t="s">
        <v>427</v>
      </c>
      <c r="W319" t="s">
        <v>428</v>
      </c>
      <c r="X319">
        <v>1926829</v>
      </c>
      <c r="Y319" s="6">
        <v>44776</v>
      </c>
      <c r="Z319" t="s">
        <v>264</v>
      </c>
      <c r="AA319">
        <v>1</v>
      </c>
      <c r="AB319" t="s">
        <v>264</v>
      </c>
      <c r="AD319" t="s">
        <v>264</v>
      </c>
      <c r="AE319" t="s">
        <v>264</v>
      </c>
      <c r="AF319" t="s">
        <v>264</v>
      </c>
      <c r="AG319">
        <v>29</v>
      </c>
      <c r="AH319" t="s">
        <v>264</v>
      </c>
      <c r="AI319">
        <v>57330810</v>
      </c>
      <c r="AJ319" t="s">
        <v>451</v>
      </c>
      <c r="AL319" t="s">
        <v>264</v>
      </c>
      <c r="AM319" s="6">
        <v>44774</v>
      </c>
      <c r="AN319" t="s">
        <v>462</v>
      </c>
      <c r="AO319" t="s">
        <v>268</v>
      </c>
      <c r="AP319">
        <v>1205</v>
      </c>
      <c r="AQ319" t="s">
        <v>269</v>
      </c>
      <c r="AR319" t="s">
        <v>463</v>
      </c>
      <c r="AU319" t="s">
        <v>264</v>
      </c>
      <c r="AV319" t="s">
        <v>270</v>
      </c>
      <c r="AX319">
        <v>22001097</v>
      </c>
      <c r="AY319">
        <v>630600</v>
      </c>
      <c r="AZ319">
        <v>1205.6306</v>
      </c>
      <c r="BA319" s="28" t="s">
        <v>125</v>
      </c>
    </row>
    <row r="320" spans="1:53">
      <c r="A320" t="s">
        <v>424</v>
      </c>
      <c r="B320" t="s">
        <v>425</v>
      </c>
      <c r="C320">
        <v>22004147</v>
      </c>
      <c r="D320">
        <v>1205</v>
      </c>
      <c r="E320" s="6">
        <v>44774</v>
      </c>
      <c r="F320" t="s">
        <v>451</v>
      </c>
      <c r="G320">
        <v>13.91</v>
      </c>
      <c r="H320">
        <v>13.91</v>
      </c>
      <c r="I320" t="s">
        <v>263</v>
      </c>
      <c r="J320" t="s">
        <v>263</v>
      </c>
      <c r="L320" s="29">
        <v>203000</v>
      </c>
      <c r="N320" s="29">
        <v>203000</v>
      </c>
      <c r="O320" t="s">
        <v>264</v>
      </c>
      <c r="Q320" t="s">
        <v>264</v>
      </c>
      <c r="R320" t="s">
        <v>265</v>
      </c>
      <c r="S320">
        <v>14592</v>
      </c>
      <c r="T320" t="s">
        <v>266</v>
      </c>
      <c r="U320" t="s">
        <v>267</v>
      </c>
      <c r="V320" t="s">
        <v>427</v>
      </c>
      <c r="W320" t="s">
        <v>428</v>
      </c>
      <c r="X320">
        <v>1926829</v>
      </c>
      <c r="Y320" s="6">
        <v>44776</v>
      </c>
      <c r="Z320" t="s">
        <v>264</v>
      </c>
      <c r="AA320">
        <v>1</v>
      </c>
      <c r="AB320" t="s">
        <v>264</v>
      </c>
      <c r="AD320" t="s">
        <v>264</v>
      </c>
      <c r="AE320" t="s">
        <v>264</v>
      </c>
      <c r="AF320" t="s">
        <v>264</v>
      </c>
      <c r="AG320">
        <v>29</v>
      </c>
      <c r="AH320" t="s">
        <v>264</v>
      </c>
      <c r="AI320">
        <v>57330810</v>
      </c>
      <c r="AJ320" t="s">
        <v>451</v>
      </c>
      <c r="AL320" t="s">
        <v>264</v>
      </c>
      <c r="AM320" s="6">
        <v>44774</v>
      </c>
      <c r="AN320" t="s">
        <v>462</v>
      </c>
      <c r="AO320" t="s">
        <v>268</v>
      </c>
      <c r="AP320">
        <v>1205</v>
      </c>
      <c r="AQ320" t="s">
        <v>269</v>
      </c>
      <c r="AR320" t="s">
        <v>463</v>
      </c>
      <c r="AU320" t="s">
        <v>264</v>
      </c>
      <c r="AV320" t="s">
        <v>270</v>
      </c>
      <c r="AX320">
        <v>22001097</v>
      </c>
      <c r="AY320">
        <v>630600</v>
      </c>
      <c r="AZ320">
        <v>1205.6306</v>
      </c>
      <c r="BA320" s="28" t="s">
        <v>125</v>
      </c>
    </row>
    <row r="321" spans="1:53">
      <c r="A321" t="s">
        <v>424</v>
      </c>
      <c r="B321" t="s">
        <v>425</v>
      </c>
      <c r="C321">
        <v>22004170</v>
      </c>
      <c r="D321">
        <v>1205</v>
      </c>
      <c r="E321" s="6">
        <v>44774</v>
      </c>
      <c r="F321" t="s">
        <v>451</v>
      </c>
      <c r="G321">
        <v>83.43</v>
      </c>
      <c r="H321">
        <v>83.43</v>
      </c>
      <c r="I321" t="s">
        <v>263</v>
      </c>
      <c r="J321" t="s">
        <v>263</v>
      </c>
      <c r="L321" s="29">
        <v>1213250</v>
      </c>
      <c r="N321" s="29">
        <v>1213250</v>
      </c>
      <c r="O321" t="s">
        <v>264</v>
      </c>
      <c r="Q321" t="s">
        <v>264</v>
      </c>
      <c r="R321" t="s">
        <v>265</v>
      </c>
      <c r="S321">
        <v>14544</v>
      </c>
      <c r="T321" t="s">
        <v>266</v>
      </c>
      <c r="U321" t="s">
        <v>267</v>
      </c>
      <c r="V321" t="s">
        <v>427</v>
      </c>
      <c r="W321" t="s">
        <v>428</v>
      </c>
      <c r="X321">
        <v>1926829</v>
      </c>
      <c r="Y321" s="6">
        <v>44776</v>
      </c>
      <c r="Z321" t="s">
        <v>264</v>
      </c>
      <c r="AA321">
        <v>1</v>
      </c>
      <c r="AB321" t="s">
        <v>264</v>
      </c>
      <c r="AD321" t="s">
        <v>264</v>
      </c>
      <c r="AE321" t="s">
        <v>264</v>
      </c>
      <c r="AF321" t="s">
        <v>264</v>
      </c>
      <c r="AG321">
        <v>211</v>
      </c>
      <c r="AH321" t="s">
        <v>264</v>
      </c>
      <c r="AI321">
        <v>57330810</v>
      </c>
      <c r="AJ321" t="s">
        <v>451</v>
      </c>
      <c r="AL321" t="s">
        <v>264</v>
      </c>
      <c r="AM321" s="6">
        <v>44774</v>
      </c>
      <c r="AN321" t="s">
        <v>462</v>
      </c>
      <c r="AO321" t="s">
        <v>268</v>
      </c>
      <c r="AP321">
        <v>1205</v>
      </c>
      <c r="AQ321" t="s">
        <v>269</v>
      </c>
      <c r="AR321" t="s">
        <v>464</v>
      </c>
      <c r="AU321" t="s">
        <v>264</v>
      </c>
      <c r="AV321" t="s">
        <v>270</v>
      </c>
      <c r="AX321">
        <v>22001091</v>
      </c>
      <c r="AY321">
        <v>630600</v>
      </c>
      <c r="AZ321">
        <v>1205.6306</v>
      </c>
      <c r="BA321" s="28" t="s">
        <v>125</v>
      </c>
    </row>
    <row r="322" spans="1:53">
      <c r="A322" t="s">
        <v>424</v>
      </c>
      <c r="B322" t="s">
        <v>425</v>
      </c>
      <c r="C322">
        <v>22004171</v>
      </c>
      <c r="D322">
        <v>1205</v>
      </c>
      <c r="E322" s="6">
        <v>44774</v>
      </c>
      <c r="F322" t="s">
        <v>451</v>
      </c>
      <c r="G322">
        <v>83.43</v>
      </c>
      <c r="H322">
        <v>83.43</v>
      </c>
      <c r="I322" t="s">
        <v>263</v>
      </c>
      <c r="J322" t="s">
        <v>263</v>
      </c>
      <c r="L322" s="29">
        <v>1213250</v>
      </c>
      <c r="N322" s="29">
        <v>1213250</v>
      </c>
      <c r="O322" t="s">
        <v>264</v>
      </c>
      <c r="Q322" t="s">
        <v>264</v>
      </c>
      <c r="R322" t="s">
        <v>265</v>
      </c>
      <c r="S322">
        <v>14544</v>
      </c>
      <c r="T322" t="s">
        <v>266</v>
      </c>
      <c r="U322" t="s">
        <v>267</v>
      </c>
      <c r="V322" t="s">
        <v>427</v>
      </c>
      <c r="W322" t="s">
        <v>428</v>
      </c>
      <c r="X322">
        <v>1926829</v>
      </c>
      <c r="Y322" s="6">
        <v>44776</v>
      </c>
      <c r="Z322" t="s">
        <v>264</v>
      </c>
      <c r="AA322">
        <v>1</v>
      </c>
      <c r="AB322" t="s">
        <v>264</v>
      </c>
      <c r="AD322" t="s">
        <v>264</v>
      </c>
      <c r="AE322" t="s">
        <v>264</v>
      </c>
      <c r="AF322" t="s">
        <v>264</v>
      </c>
      <c r="AG322">
        <v>211</v>
      </c>
      <c r="AH322" t="s">
        <v>264</v>
      </c>
      <c r="AI322">
        <v>57330810</v>
      </c>
      <c r="AJ322" t="s">
        <v>451</v>
      </c>
      <c r="AL322" t="s">
        <v>264</v>
      </c>
      <c r="AM322" s="6">
        <v>44774</v>
      </c>
      <c r="AN322" t="s">
        <v>462</v>
      </c>
      <c r="AO322" t="s">
        <v>268</v>
      </c>
      <c r="AP322">
        <v>1205</v>
      </c>
      <c r="AQ322" t="s">
        <v>269</v>
      </c>
      <c r="AR322" t="s">
        <v>464</v>
      </c>
      <c r="AU322" t="s">
        <v>264</v>
      </c>
      <c r="AV322" t="s">
        <v>270</v>
      </c>
      <c r="AX322">
        <v>22001091</v>
      </c>
      <c r="AY322">
        <v>630600</v>
      </c>
      <c r="AZ322">
        <v>1205.6306</v>
      </c>
      <c r="BA322" s="28" t="s">
        <v>125</v>
      </c>
    </row>
    <row r="323" spans="1:53">
      <c r="A323" t="s">
        <v>424</v>
      </c>
      <c r="B323" t="s">
        <v>425</v>
      </c>
      <c r="C323">
        <v>22004172</v>
      </c>
      <c r="D323">
        <v>1205</v>
      </c>
      <c r="E323" s="6">
        <v>44774</v>
      </c>
      <c r="F323" t="s">
        <v>451</v>
      </c>
      <c r="G323">
        <v>9.49</v>
      </c>
      <c r="H323">
        <v>9.49</v>
      </c>
      <c r="I323" t="s">
        <v>263</v>
      </c>
      <c r="J323" t="s">
        <v>263</v>
      </c>
      <c r="L323" s="29">
        <v>138000</v>
      </c>
      <c r="N323" s="29">
        <v>138000</v>
      </c>
      <c r="O323" t="s">
        <v>264</v>
      </c>
      <c r="Q323" t="s">
        <v>264</v>
      </c>
      <c r="R323" t="s">
        <v>265</v>
      </c>
      <c r="S323">
        <v>14544</v>
      </c>
      <c r="T323" t="s">
        <v>266</v>
      </c>
      <c r="U323" t="s">
        <v>267</v>
      </c>
      <c r="V323" t="s">
        <v>427</v>
      </c>
      <c r="W323" t="s">
        <v>428</v>
      </c>
      <c r="X323">
        <v>1926829</v>
      </c>
      <c r="Y323" s="6">
        <v>44776</v>
      </c>
      <c r="Z323" t="s">
        <v>264</v>
      </c>
      <c r="AA323">
        <v>1</v>
      </c>
      <c r="AB323" t="s">
        <v>264</v>
      </c>
      <c r="AD323" t="s">
        <v>264</v>
      </c>
      <c r="AE323" t="s">
        <v>264</v>
      </c>
      <c r="AF323" t="s">
        <v>264</v>
      </c>
      <c r="AG323">
        <v>24</v>
      </c>
      <c r="AH323" t="s">
        <v>264</v>
      </c>
      <c r="AI323">
        <v>57330810</v>
      </c>
      <c r="AJ323" t="s">
        <v>451</v>
      </c>
      <c r="AL323" t="s">
        <v>264</v>
      </c>
      <c r="AM323" s="6">
        <v>44774</v>
      </c>
      <c r="AN323" t="s">
        <v>462</v>
      </c>
      <c r="AO323" t="s">
        <v>268</v>
      </c>
      <c r="AP323">
        <v>1205</v>
      </c>
      <c r="AQ323" t="s">
        <v>269</v>
      </c>
      <c r="AR323" t="s">
        <v>464</v>
      </c>
      <c r="AU323" t="s">
        <v>264</v>
      </c>
      <c r="AV323" t="s">
        <v>270</v>
      </c>
      <c r="AX323">
        <v>22001091</v>
      </c>
      <c r="AY323">
        <v>630600</v>
      </c>
      <c r="AZ323">
        <v>1205.6306</v>
      </c>
      <c r="BA323" s="28" t="s">
        <v>125</v>
      </c>
    </row>
    <row r="324" spans="1:53">
      <c r="A324" t="s">
        <v>424</v>
      </c>
      <c r="B324" t="s">
        <v>425</v>
      </c>
      <c r="C324">
        <v>22004173</v>
      </c>
      <c r="D324">
        <v>1205</v>
      </c>
      <c r="E324" s="6">
        <v>44774</v>
      </c>
      <c r="F324" t="s">
        <v>451</v>
      </c>
      <c r="G324">
        <v>9.49</v>
      </c>
      <c r="H324">
        <v>9.49</v>
      </c>
      <c r="I324" t="s">
        <v>263</v>
      </c>
      <c r="J324" t="s">
        <v>263</v>
      </c>
      <c r="L324" s="29">
        <v>138000</v>
      </c>
      <c r="N324" s="29">
        <v>138000</v>
      </c>
      <c r="O324" t="s">
        <v>264</v>
      </c>
      <c r="Q324" t="s">
        <v>264</v>
      </c>
      <c r="R324" t="s">
        <v>265</v>
      </c>
      <c r="S324">
        <v>14544</v>
      </c>
      <c r="T324" t="s">
        <v>266</v>
      </c>
      <c r="U324" t="s">
        <v>267</v>
      </c>
      <c r="V324" t="s">
        <v>427</v>
      </c>
      <c r="W324" t="s">
        <v>428</v>
      </c>
      <c r="X324">
        <v>1926829</v>
      </c>
      <c r="Y324" s="6">
        <v>44776</v>
      </c>
      <c r="Z324" t="s">
        <v>264</v>
      </c>
      <c r="AA324">
        <v>1</v>
      </c>
      <c r="AB324" t="s">
        <v>264</v>
      </c>
      <c r="AD324" t="s">
        <v>264</v>
      </c>
      <c r="AE324" t="s">
        <v>264</v>
      </c>
      <c r="AF324" t="s">
        <v>264</v>
      </c>
      <c r="AG324">
        <v>24</v>
      </c>
      <c r="AH324" t="s">
        <v>264</v>
      </c>
      <c r="AI324">
        <v>57330810</v>
      </c>
      <c r="AJ324" t="s">
        <v>451</v>
      </c>
      <c r="AL324" t="s">
        <v>264</v>
      </c>
      <c r="AM324" s="6">
        <v>44774</v>
      </c>
      <c r="AN324" t="s">
        <v>462</v>
      </c>
      <c r="AO324" t="s">
        <v>268</v>
      </c>
      <c r="AP324">
        <v>1205</v>
      </c>
      <c r="AQ324" t="s">
        <v>269</v>
      </c>
      <c r="AR324" t="s">
        <v>464</v>
      </c>
      <c r="AU324" t="s">
        <v>264</v>
      </c>
      <c r="AV324" t="s">
        <v>270</v>
      </c>
      <c r="AX324">
        <v>22001091</v>
      </c>
      <c r="AY324">
        <v>630600</v>
      </c>
      <c r="AZ324">
        <v>1205.6306</v>
      </c>
      <c r="BA324" s="28" t="s">
        <v>125</v>
      </c>
    </row>
    <row r="325" spans="1:53">
      <c r="A325" t="s">
        <v>424</v>
      </c>
      <c r="B325" t="s">
        <v>425</v>
      </c>
      <c r="C325">
        <v>22004174</v>
      </c>
      <c r="D325">
        <v>1205</v>
      </c>
      <c r="E325" s="6">
        <v>44774</v>
      </c>
      <c r="F325" t="s">
        <v>451</v>
      </c>
      <c r="G325">
        <v>2.37</v>
      </c>
      <c r="H325">
        <v>2.37</v>
      </c>
      <c r="I325" t="s">
        <v>263</v>
      </c>
      <c r="J325" t="s">
        <v>263</v>
      </c>
      <c r="L325" s="29">
        <v>34500</v>
      </c>
      <c r="N325" s="29">
        <v>34500</v>
      </c>
      <c r="O325" t="s">
        <v>264</v>
      </c>
      <c r="Q325" t="s">
        <v>264</v>
      </c>
      <c r="R325" t="s">
        <v>265</v>
      </c>
      <c r="S325">
        <v>14544</v>
      </c>
      <c r="T325" t="s">
        <v>266</v>
      </c>
      <c r="U325" t="s">
        <v>267</v>
      </c>
      <c r="V325" t="s">
        <v>427</v>
      </c>
      <c r="W325" t="s">
        <v>428</v>
      </c>
      <c r="X325">
        <v>1926829</v>
      </c>
      <c r="Y325" s="6">
        <v>44776</v>
      </c>
      <c r="Z325" t="s">
        <v>264</v>
      </c>
      <c r="AA325">
        <v>1</v>
      </c>
      <c r="AB325" t="s">
        <v>264</v>
      </c>
      <c r="AD325" t="s">
        <v>264</v>
      </c>
      <c r="AE325" t="s">
        <v>264</v>
      </c>
      <c r="AF325" t="s">
        <v>264</v>
      </c>
      <c r="AG325">
        <v>6</v>
      </c>
      <c r="AH325" t="s">
        <v>264</v>
      </c>
      <c r="AI325">
        <v>57330810</v>
      </c>
      <c r="AJ325" t="s">
        <v>451</v>
      </c>
      <c r="AL325" t="s">
        <v>264</v>
      </c>
      <c r="AM325" s="6">
        <v>44774</v>
      </c>
      <c r="AN325" t="s">
        <v>462</v>
      </c>
      <c r="AO325" t="s">
        <v>268</v>
      </c>
      <c r="AP325">
        <v>1205</v>
      </c>
      <c r="AQ325" t="s">
        <v>269</v>
      </c>
      <c r="AR325" t="s">
        <v>464</v>
      </c>
      <c r="AU325" t="s">
        <v>264</v>
      </c>
      <c r="AV325" t="s">
        <v>270</v>
      </c>
      <c r="AX325">
        <v>22001091</v>
      </c>
      <c r="AY325">
        <v>630600</v>
      </c>
      <c r="AZ325">
        <v>1205.6306</v>
      </c>
      <c r="BA325" s="28" t="s">
        <v>125</v>
      </c>
    </row>
    <row r="326" spans="1:53">
      <c r="A326" t="s">
        <v>424</v>
      </c>
      <c r="B326" t="s">
        <v>425</v>
      </c>
      <c r="C326">
        <v>22004175</v>
      </c>
      <c r="D326">
        <v>1205</v>
      </c>
      <c r="E326" s="6">
        <v>44774</v>
      </c>
      <c r="F326" t="s">
        <v>451</v>
      </c>
      <c r="G326">
        <v>2.37</v>
      </c>
      <c r="H326">
        <v>2.37</v>
      </c>
      <c r="I326" t="s">
        <v>263</v>
      </c>
      <c r="J326" t="s">
        <v>263</v>
      </c>
      <c r="L326" s="29">
        <v>34500</v>
      </c>
      <c r="N326" s="29">
        <v>34500</v>
      </c>
      <c r="O326" t="s">
        <v>264</v>
      </c>
      <c r="Q326" t="s">
        <v>264</v>
      </c>
      <c r="R326" t="s">
        <v>265</v>
      </c>
      <c r="S326">
        <v>14544</v>
      </c>
      <c r="T326" t="s">
        <v>266</v>
      </c>
      <c r="U326" t="s">
        <v>267</v>
      </c>
      <c r="V326" t="s">
        <v>427</v>
      </c>
      <c r="W326" t="s">
        <v>428</v>
      </c>
      <c r="X326">
        <v>1926829</v>
      </c>
      <c r="Y326" s="6">
        <v>44776</v>
      </c>
      <c r="Z326" t="s">
        <v>264</v>
      </c>
      <c r="AA326">
        <v>1</v>
      </c>
      <c r="AB326" t="s">
        <v>264</v>
      </c>
      <c r="AD326" t="s">
        <v>264</v>
      </c>
      <c r="AE326" t="s">
        <v>264</v>
      </c>
      <c r="AF326" t="s">
        <v>264</v>
      </c>
      <c r="AG326">
        <v>6</v>
      </c>
      <c r="AH326" t="s">
        <v>264</v>
      </c>
      <c r="AI326">
        <v>57330810</v>
      </c>
      <c r="AJ326" t="s">
        <v>451</v>
      </c>
      <c r="AL326" t="s">
        <v>264</v>
      </c>
      <c r="AM326" s="6">
        <v>44774</v>
      </c>
      <c r="AN326" t="s">
        <v>462</v>
      </c>
      <c r="AO326" t="s">
        <v>268</v>
      </c>
      <c r="AP326">
        <v>1205</v>
      </c>
      <c r="AQ326" t="s">
        <v>269</v>
      </c>
      <c r="AR326" t="s">
        <v>464</v>
      </c>
      <c r="AU326" t="s">
        <v>264</v>
      </c>
      <c r="AV326" t="s">
        <v>270</v>
      </c>
      <c r="AX326">
        <v>22001091</v>
      </c>
      <c r="AY326">
        <v>630600</v>
      </c>
      <c r="AZ326">
        <v>1205.6306</v>
      </c>
      <c r="BA326" s="28" t="s">
        <v>125</v>
      </c>
    </row>
    <row r="327" spans="1:53">
      <c r="A327" t="s">
        <v>424</v>
      </c>
      <c r="B327" t="s">
        <v>425</v>
      </c>
      <c r="C327">
        <v>22004176</v>
      </c>
      <c r="D327">
        <v>1205</v>
      </c>
      <c r="E327" s="6">
        <v>44774</v>
      </c>
      <c r="F327" t="s">
        <v>451</v>
      </c>
      <c r="G327">
        <v>26.89</v>
      </c>
      <c r="H327">
        <v>26.89</v>
      </c>
      <c r="I327" t="s">
        <v>263</v>
      </c>
      <c r="J327" t="s">
        <v>263</v>
      </c>
      <c r="L327" s="29">
        <v>391000</v>
      </c>
      <c r="N327" s="29">
        <v>391000</v>
      </c>
      <c r="O327" t="s">
        <v>264</v>
      </c>
      <c r="Q327" t="s">
        <v>264</v>
      </c>
      <c r="R327" t="s">
        <v>265</v>
      </c>
      <c r="S327">
        <v>14544</v>
      </c>
      <c r="T327" t="s">
        <v>266</v>
      </c>
      <c r="U327" t="s">
        <v>267</v>
      </c>
      <c r="V327" t="s">
        <v>427</v>
      </c>
      <c r="W327" t="s">
        <v>428</v>
      </c>
      <c r="X327">
        <v>1926829</v>
      </c>
      <c r="Y327" s="6">
        <v>44776</v>
      </c>
      <c r="Z327" t="s">
        <v>264</v>
      </c>
      <c r="AA327">
        <v>1</v>
      </c>
      <c r="AB327" t="s">
        <v>264</v>
      </c>
      <c r="AD327" t="s">
        <v>264</v>
      </c>
      <c r="AE327" t="s">
        <v>264</v>
      </c>
      <c r="AF327" t="s">
        <v>264</v>
      </c>
      <c r="AG327">
        <v>68</v>
      </c>
      <c r="AH327" t="s">
        <v>264</v>
      </c>
      <c r="AI327">
        <v>57330810</v>
      </c>
      <c r="AJ327" t="s">
        <v>451</v>
      </c>
      <c r="AL327" t="s">
        <v>264</v>
      </c>
      <c r="AM327" s="6">
        <v>44774</v>
      </c>
      <c r="AN327" t="s">
        <v>462</v>
      </c>
      <c r="AO327" t="s">
        <v>268</v>
      </c>
      <c r="AP327">
        <v>1205</v>
      </c>
      <c r="AQ327" t="s">
        <v>269</v>
      </c>
      <c r="AR327" t="s">
        <v>464</v>
      </c>
      <c r="AU327" t="s">
        <v>264</v>
      </c>
      <c r="AV327" t="s">
        <v>270</v>
      </c>
      <c r="AX327">
        <v>22001091</v>
      </c>
      <c r="AY327">
        <v>630600</v>
      </c>
      <c r="AZ327">
        <v>1205.6306</v>
      </c>
      <c r="BA327" s="28" t="s">
        <v>125</v>
      </c>
    </row>
    <row r="328" spans="1:53">
      <c r="A328" t="s">
        <v>424</v>
      </c>
      <c r="B328" t="s">
        <v>425</v>
      </c>
      <c r="C328">
        <v>22004177</v>
      </c>
      <c r="D328">
        <v>1205</v>
      </c>
      <c r="E328" s="6">
        <v>44774</v>
      </c>
      <c r="F328" t="s">
        <v>451</v>
      </c>
      <c r="G328">
        <v>26.89</v>
      </c>
      <c r="H328">
        <v>26.89</v>
      </c>
      <c r="I328" t="s">
        <v>263</v>
      </c>
      <c r="J328" t="s">
        <v>263</v>
      </c>
      <c r="L328" s="29">
        <v>391000</v>
      </c>
      <c r="N328" s="29">
        <v>391000</v>
      </c>
      <c r="O328" t="s">
        <v>264</v>
      </c>
      <c r="Q328" t="s">
        <v>264</v>
      </c>
      <c r="R328" t="s">
        <v>265</v>
      </c>
      <c r="S328">
        <v>14544</v>
      </c>
      <c r="T328" t="s">
        <v>266</v>
      </c>
      <c r="U328" t="s">
        <v>267</v>
      </c>
      <c r="V328" t="s">
        <v>427</v>
      </c>
      <c r="W328" t="s">
        <v>428</v>
      </c>
      <c r="X328">
        <v>1926829</v>
      </c>
      <c r="Y328" s="6">
        <v>44776</v>
      </c>
      <c r="Z328" t="s">
        <v>264</v>
      </c>
      <c r="AA328">
        <v>1</v>
      </c>
      <c r="AB328" t="s">
        <v>264</v>
      </c>
      <c r="AD328" t="s">
        <v>264</v>
      </c>
      <c r="AE328" t="s">
        <v>264</v>
      </c>
      <c r="AF328" t="s">
        <v>264</v>
      </c>
      <c r="AG328">
        <v>68</v>
      </c>
      <c r="AH328" t="s">
        <v>264</v>
      </c>
      <c r="AI328">
        <v>57330810</v>
      </c>
      <c r="AJ328" t="s">
        <v>451</v>
      </c>
      <c r="AL328" t="s">
        <v>264</v>
      </c>
      <c r="AM328" s="6">
        <v>44774</v>
      </c>
      <c r="AN328" t="s">
        <v>462</v>
      </c>
      <c r="AO328" t="s">
        <v>268</v>
      </c>
      <c r="AP328">
        <v>1205</v>
      </c>
      <c r="AQ328" t="s">
        <v>269</v>
      </c>
      <c r="AR328" t="s">
        <v>464</v>
      </c>
      <c r="AU328" t="s">
        <v>264</v>
      </c>
      <c r="AV328" t="s">
        <v>270</v>
      </c>
      <c r="AX328">
        <v>22001091</v>
      </c>
      <c r="AY328">
        <v>630600</v>
      </c>
      <c r="AZ328">
        <v>1205.6306</v>
      </c>
      <c r="BA328" s="28" t="s">
        <v>125</v>
      </c>
    </row>
    <row r="329" spans="1:53">
      <c r="A329" t="s">
        <v>424</v>
      </c>
      <c r="B329" t="s">
        <v>425</v>
      </c>
      <c r="C329">
        <v>22004178</v>
      </c>
      <c r="D329">
        <v>1205</v>
      </c>
      <c r="E329" s="6">
        <v>44774</v>
      </c>
      <c r="F329" t="s">
        <v>451</v>
      </c>
      <c r="G329">
        <v>63.26</v>
      </c>
      <c r="H329">
        <v>63.26</v>
      </c>
      <c r="I329" t="s">
        <v>263</v>
      </c>
      <c r="J329" t="s">
        <v>263</v>
      </c>
      <c r="L329" s="29">
        <v>920000</v>
      </c>
      <c r="N329" s="29">
        <v>920000</v>
      </c>
      <c r="O329" t="s">
        <v>264</v>
      </c>
      <c r="Q329" t="s">
        <v>264</v>
      </c>
      <c r="R329" t="s">
        <v>265</v>
      </c>
      <c r="S329">
        <v>14544</v>
      </c>
      <c r="T329" t="s">
        <v>266</v>
      </c>
      <c r="U329" t="s">
        <v>267</v>
      </c>
      <c r="V329" t="s">
        <v>427</v>
      </c>
      <c r="W329" t="s">
        <v>428</v>
      </c>
      <c r="X329">
        <v>1926829</v>
      </c>
      <c r="Y329" s="6">
        <v>44776</v>
      </c>
      <c r="Z329" t="s">
        <v>264</v>
      </c>
      <c r="AA329">
        <v>1</v>
      </c>
      <c r="AB329" t="s">
        <v>264</v>
      </c>
      <c r="AD329" t="s">
        <v>264</v>
      </c>
      <c r="AE329" t="s">
        <v>264</v>
      </c>
      <c r="AF329" t="s">
        <v>264</v>
      </c>
      <c r="AG329">
        <v>160</v>
      </c>
      <c r="AH329" t="s">
        <v>264</v>
      </c>
      <c r="AI329">
        <v>57330810</v>
      </c>
      <c r="AJ329" t="s">
        <v>451</v>
      </c>
      <c r="AL329" t="s">
        <v>264</v>
      </c>
      <c r="AM329" s="6">
        <v>44774</v>
      </c>
      <c r="AN329" t="s">
        <v>462</v>
      </c>
      <c r="AO329" t="s">
        <v>268</v>
      </c>
      <c r="AP329">
        <v>1205</v>
      </c>
      <c r="AQ329" t="s">
        <v>269</v>
      </c>
      <c r="AR329" t="s">
        <v>464</v>
      </c>
      <c r="AU329" t="s">
        <v>264</v>
      </c>
      <c r="AV329" t="s">
        <v>270</v>
      </c>
      <c r="AX329">
        <v>22001091</v>
      </c>
      <c r="AY329">
        <v>630600</v>
      </c>
      <c r="AZ329">
        <v>1205.6306</v>
      </c>
      <c r="BA329" s="28" t="s">
        <v>125</v>
      </c>
    </row>
    <row r="330" spans="1:53">
      <c r="A330" t="s">
        <v>424</v>
      </c>
      <c r="B330" t="s">
        <v>425</v>
      </c>
      <c r="C330">
        <v>22004179</v>
      </c>
      <c r="D330">
        <v>1205</v>
      </c>
      <c r="E330" s="6">
        <v>44774</v>
      </c>
      <c r="F330" t="s">
        <v>451</v>
      </c>
      <c r="G330">
        <v>63.26</v>
      </c>
      <c r="H330">
        <v>63.26</v>
      </c>
      <c r="I330" t="s">
        <v>263</v>
      </c>
      <c r="J330" t="s">
        <v>263</v>
      </c>
      <c r="L330" s="29">
        <v>920000</v>
      </c>
      <c r="N330" s="29">
        <v>920000</v>
      </c>
      <c r="O330" t="s">
        <v>264</v>
      </c>
      <c r="Q330" t="s">
        <v>264</v>
      </c>
      <c r="R330" t="s">
        <v>265</v>
      </c>
      <c r="S330">
        <v>14544</v>
      </c>
      <c r="T330" t="s">
        <v>266</v>
      </c>
      <c r="U330" t="s">
        <v>267</v>
      </c>
      <c r="V330" t="s">
        <v>427</v>
      </c>
      <c r="W330" t="s">
        <v>428</v>
      </c>
      <c r="X330">
        <v>1926829</v>
      </c>
      <c r="Y330" s="6">
        <v>44776</v>
      </c>
      <c r="Z330" t="s">
        <v>264</v>
      </c>
      <c r="AA330">
        <v>1</v>
      </c>
      <c r="AB330" t="s">
        <v>264</v>
      </c>
      <c r="AD330" t="s">
        <v>264</v>
      </c>
      <c r="AE330" t="s">
        <v>264</v>
      </c>
      <c r="AF330" t="s">
        <v>264</v>
      </c>
      <c r="AG330">
        <v>160</v>
      </c>
      <c r="AH330" t="s">
        <v>264</v>
      </c>
      <c r="AI330">
        <v>57330810</v>
      </c>
      <c r="AJ330" t="s">
        <v>451</v>
      </c>
      <c r="AL330" t="s">
        <v>264</v>
      </c>
      <c r="AM330" s="6">
        <v>44774</v>
      </c>
      <c r="AN330" t="s">
        <v>462</v>
      </c>
      <c r="AO330" t="s">
        <v>268</v>
      </c>
      <c r="AP330">
        <v>1205</v>
      </c>
      <c r="AQ330" t="s">
        <v>269</v>
      </c>
      <c r="AR330" t="s">
        <v>464</v>
      </c>
      <c r="AU330" t="s">
        <v>264</v>
      </c>
      <c r="AV330" t="s">
        <v>270</v>
      </c>
      <c r="AX330">
        <v>22001091</v>
      </c>
      <c r="AY330">
        <v>630600</v>
      </c>
      <c r="AZ330">
        <v>1205.6306</v>
      </c>
      <c r="BA330" s="28" t="s">
        <v>125</v>
      </c>
    </row>
    <row r="331" spans="1:53">
      <c r="A331" t="s">
        <v>424</v>
      </c>
      <c r="B331" t="s">
        <v>425</v>
      </c>
      <c r="C331">
        <v>22004180</v>
      </c>
      <c r="D331">
        <v>1205</v>
      </c>
      <c r="E331" s="6">
        <v>44774</v>
      </c>
      <c r="F331" t="s">
        <v>451</v>
      </c>
      <c r="G331">
        <v>8.3000000000000007</v>
      </c>
      <c r="H331">
        <v>8.3000000000000007</v>
      </c>
      <c r="I331" t="s">
        <v>263</v>
      </c>
      <c r="J331" t="s">
        <v>263</v>
      </c>
      <c r="L331" s="29">
        <v>120750</v>
      </c>
      <c r="N331" s="29">
        <v>120750</v>
      </c>
      <c r="O331" t="s">
        <v>264</v>
      </c>
      <c r="Q331" t="s">
        <v>264</v>
      </c>
      <c r="R331" t="s">
        <v>265</v>
      </c>
      <c r="S331">
        <v>14544</v>
      </c>
      <c r="T331" t="s">
        <v>266</v>
      </c>
      <c r="U331" t="s">
        <v>267</v>
      </c>
      <c r="V331" t="s">
        <v>427</v>
      </c>
      <c r="W331" t="s">
        <v>428</v>
      </c>
      <c r="X331">
        <v>1926829</v>
      </c>
      <c r="Y331" s="6">
        <v>44776</v>
      </c>
      <c r="Z331" t="s">
        <v>264</v>
      </c>
      <c r="AA331">
        <v>1</v>
      </c>
      <c r="AB331" t="s">
        <v>264</v>
      </c>
      <c r="AD331" t="s">
        <v>264</v>
      </c>
      <c r="AE331" t="s">
        <v>264</v>
      </c>
      <c r="AF331" t="s">
        <v>264</v>
      </c>
      <c r="AG331">
        <v>21</v>
      </c>
      <c r="AH331" t="s">
        <v>264</v>
      </c>
      <c r="AI331">
        <v>57330810</v>
      </c>
      <c r="AJ331" t="s">
        <v>451</v>
      </c>
      <c r="AL331" t="s">
        <v>264</v>
      </c>
      <c r="AM331" s="6">
        <v>44774</v>
      </c>
      <c r="AN331" t="s">
        <v>462</v>
      </c>
      <c r="AO331" t="s">
        <v>268</v>
      </c>
      <c r="AP331">
        <v>1205</v>
      </c>
      <c r="AQ331" t="s">
        <v>269</v>
      </c>
      <c r="AR331" t="s">
        <v>464</v>
      </c>
      <c r="AU331" t="s">
        <v>264</v>
      </c>
      <c r="AV331" t="s">
        <v>270</v>
      </c>
      <c r="AX331">
        <v>22001091</v>
      </c>
      <c r="AY331">
        <v>630600</v>
      </c>
      <c r="AZ331">
        <v>1205.6306</v>
      </c>
      <c r="BA331" s="28" t="s">
        <v>125</v>
      </c>
    </row>
    <row r="332" spans="1:53">
      <c r="A332" t="s">
        <v>424</v>
      </c>
      <c r="B332" t="s">
        <v>425</v>
      </c>
      <c r="C332">
        <v>22004181</v>
      </c>
      <c r="D332">
        <v>1205</v>
      </c>
      <c r="E332" s="6">
        <v>44774</v>
      </c>
      <c r="F332" t="s">
        <v>451</v>
      </c>
      <c r="G332">
        <v>8.3000000000000007</v>
      </c>
      <c r="H332">
        <v>8.3000000000000007</v>
      </c>
      <c r="I332" t="s">
        <v>263</v>
      </c>
      <c r="J332" t="s">
        <v>263</v>
      </c>
      <c r="L332" s="29">
        <v>120750</v>
      </c>
      <c r="N332" s="29">
        <v>120750</v>
      </c>
      <c r="O332" t="s">
        <v>264</v>
      </c>
      <c r="Q332" t="s">
        <v>264</v>
      </c>
      <c r="R332" t="s">
        <v>265</v>
      </c>
      <c r="S332">
        <v>14544</v>
      </c>
      <c r="T332" t="s">
        <v>266</v>
      </c>
      <c r="U332" t="s">
        <v>267</v>
      </c>
      <c r="V332" t="s">
        <v>427</v>
      </c>
      <c r="W332" t="s">
        <v>428</v>
      </c>
      <c r="X332">
        <v>1926829</v>
      </c>
      <c r="Y332" s="6">
        <v>44776</v>
      </c>
      <c r="Z332" t="s">
        <v>264</v>
      </c>
      <c r="AA332">
        <v>1</v>
      </c>
      <c r="AB332" t="s">
        <v>264</v>
      </c>
      <c r="AD332" t="s">
        <v>264</v>
      </c>
      <c r="AE332" t="s">
        <v>264</v>
      </c>
      <c r="AF332" t="s">
        <v>264</v>
      </c>
      <c r="AG332">
        <v>21</v>
      </c>
      <c r="AH332" t="s">
        <v>264</v>
      </c>
      <c r="AI332">
        <v>57330810</v>
      </c>
      <c r="AJ332" t="s">
        <v>451</v>
      </c>
      <c r="AL332" t="s">
        <v>264</v>
      </c>
      <c r="AM332" s="6">
        <v>44774</v>
      </c>
      <c r="AN332" t="s">
        <v>462</v>
      </c>
      <c r="AO332" t="s">
        <v>268</v>
      </c>
      <c r="AP332">
        <v>1205</v>
      </c>
      <c r="AQ332" t="s">
        <v>269</v>
      </c>
      <c r="AR332" t="s">
        <v>464</v>
      </c>
      <c r="AU332" t="s">
        <v>264</v>
      </c>
      <c r="AV332" t="s">
        <v>270</v>
      </c>
      <c r="AX332">
        <v>22001091</v>
      </c>
      <c r="AY332">
        <v>630600</v>
      </c>
      <c r="AZ332">
        <v>1205.6306</v>
      </c>
      <c r="BA332" s="28" t="s">
        <v>125</v>
      </c>
    </row>
    <row r="333" spans="1:53">
      <c r="A333" t="s">
        <v>424</v>
      </c>
      <c r="B333" t="s">
        <v>425</v>
      </c>
      <c r="C333">
        <v>22004182</v>
      </c>
      <c r="D333">
        <v>1205</v>
      </c>
      <c r="E333" s="6">
        <v>44774</v>
      </c>
      <c r="F333" t="s">
        <v>451</v>
      </c>
      <c r="G333">
        <v>17.79</v>
      </c>
      <c r="H333">
        <v>17.79</v>
      </c>
      <c r="I333" t="s">
        <v>263</v>
      </c>
      <c r="J333" t="s">
        <v>263</v>
      </c>
      <c r="L333" s="29">
        <v>258750</v>
      </c>
      <c r="N333" s="29">
        <v>258750</v>
      </c>
      <c r="O333" t="s">
        <v>264</v>
      </c>
      <c r="Q333" t="s">
        <v>264</v>
      </c>
      <c r="R333" t="s">
        <v>265</v>
      </c>
      <c r="S333">
        <v>14544</v>
      </c>
      <c r="T333" t="s">
        <v>266</v>
      </c>
      <c r="U333" t="s">
        <v>267</v>
      </c>
      <c r="V333" t="s">
        <v>427</v>
      </c>
      <c r="W333" t="s">
        <v>428</v>
      </c>
      <c r="X333">
        <v>1926829</v>
      </c>
      <c r="Y333" s="6">
        <v>44776</v>
      </c>
      <c r="Z333" t="s">
        <v>264</v>
      </c>
      <c r="AA333">
        <v>1</v>
      </c>
      <c r="AB333" t="s">
        <v>264</v>
      </c>
      <c r="AD333" t="s">
        <v>264</v>
      </c>
      <c r="AE333" t="s">
        <v>264</v>
      </c>
      <c r="AF333" t="s">
        <v>264</v>
      </c>
      <c r="AG333">
        <v>45</v>
      </c>
      <c r="AH333" t="s">
        <v>264</v>
      </c>
      <c r="AI333">
        <v>57330810</v>
      </c>
      <c r="AJ333" t="s">
        <v>451</v>
      </c>
      <c r="AL333" t="s">
        <v>264</v>
      </c>
      <c r="AM333" s="6">
        <v>44774</v>
      </c>
      <c r="AN333" t="s">
        <v>462</v>
      </c>
      <c r="AO333" t="s">
        <v>268</v>
      </c>
      <c r="AP333">
        <v>1205</v>
      </c>
      <c r="AQ333" t="s">
        <v>269</v>
      </c>
      <c r="AR333" t="s">
        <v>464</v>
      </c>
      <c r="AU333" t="s">
        <v>264</v>
      </c>
      <c r="AV333" t="s">
        <v>270</v>
      </c>
      <c r="AX333">
        <v>22001091</v>
      </c>
      <c r="AY333">
        <v>630600</v>
      </c>
      <c r="AZ333">
        <v>1205.6306</v>
      </c>
      <c r="BA333" s="28" t="s">
        <v>125</v>
      </c>
    </row>
    <row r="334" spans="1:53">
      <c r="A334" t="s">
        <v>424</v>
      </c>
      <c r="B334" t="s">
        <v>425</v>
      </c>
      <c r="C334">
        <v>22004183</v>
      </c>
      <c r="D334">
        <v>1205</v>
      </c>
      <c r="E334" s="6">
        <v>44774</v>
      </c>
      <c r="F334" t="s">
        <v>451</v>
      </c>
      <c r="G334">
        <v>17.79</v>
      </c>
      <c r="H334">
        <v>17.79</v>
      </c>
      <c r="I334" t="s">
        <v>263</v>
      </c>
      <c r="J334" t="s">
        <v>263</v>
      </c>
      <c r="L334" s="29">
        <v>258750</v>
      </c>
      <c r="N334" s="29">
        <v>258750</v>
      </c>
      <c r="O334" t="s">
        <v>264</v>
      </c>
      <c r="Q334" t="s">
        <v>264</v>
      </c>
      <c r="R334" t="s">
        <v>265</v>
      </c>
      <c r="S334">
        <v>14544</v>
      </c>
      <c r="T334" t="s">
        <v>266</v>
      </c>
      <c r="U334" t="s">
        <v>267</v>
      </c>
      <c r="V334" t="s">
        <v>427</v>
      </c>
      <c r="W334" t="s">
        <v>428</v>
      </c>
      <c r="X334">
        <v>1926829</v>
      </c>
      <c r="Y334" s="6">
        <v>44776</v>
      </c>
      <c r="Z334" t="s">
        <v>264</v>
      </c>
      <c r="AA334">
        <v>1</v>
      </c>
      <c r="AB334" t="s">
        <v>264</v>
      </c>
      <c r="AD334" t="s">
        <v>264</v>
      </c>
      <c r="AE334" t="s">
        <v>264</v>
      </c>
      <c r="AF334" t="s">
        <v>264</v>
      </c>
      <c r="AG334">
        <v>45</v>
      </c>
      <c r="AH334" t="s">
        <v>264</v>
      </c>
      <c r="AI334">
        <v>57330810</v>
      </c>
      <c r="AJ334" t="s">
        <v>451</v>
      </c>
      <c r="AL334" t="s">
        <v>264</v>
      </c>
      <c r="AM334" s="6">
        <v>44774</v>
      </c>
      <c r="AN334" t="s">
        <v>462</v>
      </c>
      <c r="AO334" t="s">
        <v>268</v>
      </c>
      <c r="AP334">
        <v>1205</v>
      </c>
      <c r="AQ334" t="s">
        <v>269</v>
      </c>
      <c r="AR334" t="s">
        <v>464</v>
      </c>
      <c r="AU334" t="s">
        <v>264</v>
      </c>
      <c r="AV334" t="s">
        <v>270</v>
      </c>
      <c r="AX334">
        <v>22001091</v>
      </c>
      <c r="AY334">
        <v>630600</v>
      </c>
      <c r="AZ334">
        <v>1205.6306</v>
      </c>
      <c r="BA334" s="28" t="s">
        <v>125</v>
      </c>
    </row>
    <row r="335" spans="1:53">
      <c r="A335" t="s">
        <v>424</v>
      </c>
      <c r="B335" t="s">
        <v>425</v>
      </c>
      <c r="C335">
        <v>22004184</v>
      </c>
      <c r="D335">
        <v>1205</v>
      </c>
      <c r="E335" s="6">
        <v>44774</v>
      </c>
      <c r="F335" t="s">
        <v>451</v>
      </c>
      <c r="G335">
        <v>63.26</v>
      </c>
      <c r="H335">
        <v>63.26</v>
      </c>
      <c r="I335" t="s">
        <v>263</v>
      </c>
      <c r="J335" t="s">
        <v>263</v>
      </c>
      <c r="L335" s="29">
        <v>920000</v>
      </c>
      <c r="N335" s="29">
        <v>920000</v>
      </c>
      <c r="O335" t="s">
        <v>264</v>
      </c>
      <c r="Q335" t="s">
        <v>264</v>
      </c>
      <c r="R335" t="s">
        <v>265</v>
      </c>
      <c r="S335">
        <v>14544</v>
      </c>
      <c r="T335" t="s">
        <v>266</v>
      </c>
      <c r="U335" t="s">
        <v>267</v>
      </c>
      <c r="V335" t="s">
        <v>427</v>
      </c>
      <c r="W335" t="s">
        <v>428</v>
      </c>
      <c r="X335">
        <v>1926829</v>
      </c>
      <c r="Y335" s="6">
        <v>44776</v>
      </c>
      <c r="Z335" t="s">
        <v>264</v>
      </c>
      <c r="AA335">
        <v>1</v>
      </c>
      <c r="AB335" t="s">
        <v>264</v>
      </c>
      <c r="AD335" t="s">
        <v>264</v>
      </c>
      <c r="AE335" t="s">
        <v>264</v>
      </c>
      <c r="AF335" t="s">
        <v>264</v>
      </c>
      <c r="AG335">
        <v>160</v>
      </c>
      <c r="AH335" t="s">
        <v>264</v>
      </c>
      <c r="AI335">
        <v>57330810</v>
      </c>
      <c r="AJ335" t="s">
        <v>451</v>
      </c>
      <c r="AL335" t="s">
        <v>264</v>
      </c>
      <c r="AM335" s="6">
        <v>44774</v>
      </c>
      <c r="AN335" t="s">
        <v>462</v>
      </c>
      <c r="AO335" t="s">
        <v>268</v>
      </c>
      <c r="AP335">
        <v>1205</v>
      </c>
      <c r="AQ335" t="s">
        <v>269</v>
      </c>
      <c r="AR335" t="s">
        <v>464</v>
      </c>
      <c r="AU335" t="s">
        <v>264</v>
      </c>
      <c r="AV335" t="s">
        <v>270</v>
      </c>
      <c r="AX335">
        <v>22001091</v>
      </c>
      <c r="AY335">
        <v>630600</v>
      </c>
      <c r="AZ335">
        <v>1205.6306</v>
      </c>
      <c r="BA335" s="28" t="s">
        <v>125</v>
      </c>
    </row>
    <row r="336" spans="1:53">
      <c r="A336" t="s">
        <v>424</v>
      </c>
      <c r="B336" t="s">
        <v>425</v>
      </c>
      <c r="C336">
        <v>22004185</v>
      </c>
      <c r="D336">
        <v>1205</v>
      </c>
      <c r="E336" s="6">
        <v>44774</v>
      </c>
      <c r="F336" t="s">
        <v>451</v>
      </c>
      <c r="G336">
        <v>63.26</v>
      </c>
      <c r="H336">
        <v>63.26</v>
      </c>
      <c r="I336" t="s">
        <v>263</v>
      </c>
      <c r="J336" t="s">
        <v>263</v>
      </c>
      <c r="L336" s="29">
        <v>920000</v>
      </c>
      <c r="N336" s="29">
        <v>920000</v>
      </c>
      <c r="O336" t="s">
        <v>264</v>
      </c>
      <c r="Q336" t="s">
        <v>264</v>
      </c>
      <c r="R336" t="s">
        <v>265</v>
      </c>
      <c r="S336">
        <v>14544</v>
      </c>
      <c r="T336" t="s">
        <v>266</v>
      </c>
      <c r="U336" t="s">
        <v>267</v>
      </c>
      <c r="V336" t="s">
        <v>427</v>
      </c>
      <c r="W336" t="s">
        <v>428</v>
      </c>
      <c r="X336">
        <v>1926829</v>
      </c>
      <c r="Y336" s="6">
        <v>44776</v>
      </c>
      <c r="Z336" t="s">
        <v>264</v>
      </c>
      <c r="AA336">
        <v>1</v>
      </c>
      <c r="AB336" t="s">
        <v>264</v>
      </c>
      <c r="AD336" t="s">
        <v>264</v>
      </c>
      <c r="AE336" t="s">
        <v>264</v>
      </c>
      <c r="AF336" t="s">
        <v>264</v>
      </c>
      <c r="AG336">
        <v>160</v>
      </c>
      <c r="AH336" t="s">
        <v>264</v>
      </c>
      <c r="AI336">
        <v>57330810</v>
      </c>
      <c r="AJ336" t="s">
        <v>451</v>
      </c>
      <c r="AL336" t="s">
        <v>264</v>
      </c>
      <c r="AM336" s="6">
        <v>44774</v>
      </c>
      <c r="AN336" t="s">
        <v>462</v>
      </c>
      <c r="AO336" t="s">
        <v>268</v>
      </c>
      <c r="AP336">
        <v>1205</v>
      </c>
      <c r="AQ336" t="s">
        <v>269</v>
      </c>
      <c r="AR336" t="s">
        <v>464</v>
      </c>
      <c r="AU336" t="s">
        <v>264</v>
      </c>
      <c r="AV336" t="s">
        <v>270</v>
      </c>
      <c r="AX336">
        <v>22001091</v>
      </c>
      <c r="AY336">
        <v>630600</v>
      </c>
      <c r="AZ336">
        <v>1205.6306</v>
      </c>
      <c r="BA336" s="28" t="s">
        <v>125</v>
      </c>
    </row>
    <row r="337" spans="1:53">
      <c r="A337" t="s">
        <v>424</v>
      </c>
      <c r="B337" t="s">
        <v>425</v>
      </c>
      <c r="C337">
        <v>22004186</v>
      </c>
      <c r="D337">
        <v>1205</v>
      </c>
      <c r="E337" s="6">
        <v>44774</v>
      </c>
      <c r="F337" t="s">
        <v>451</v>
      </c>
      <c r="G337">
        <v>5.93</v>
      </c>
      <c r="H337">
        <v>5.93</v>
      </c>
      <c r="I337" t="s">
        <v>263</v>
      </c>
      <c r="J337" t="s">
        <v>263</v>
      </c>
      <c r="L337" s="29">
        <v>86250</v>
      </c>
      <c r="N337" s="29">
        <v>86250</v>
      </c>
      <c r="O337" t="s">
        <v>264</v>
      </c>
      <c r="Q337" t="s">
        <v>264</v>
      </c>
      <c r="R337" t="s">
        <v>265</v>
      </c>
      <c r="S337">
        <v>14544</v>
      </c>
      <c r="T337" t="s">
        <v>266</v>
      </c>
      <c r="U337" t="s">
        <v>267</v>
      </c>
      <c r="V337" t="s">
        <v>427</v>
      </c>
      <c r="W337" t="s">
        <v>428</v>
      </c>
      <c r="X337">
        <v>1926829</v>
      </c>
      <c r="Y337" s="6">
        <v>44776</v>
      </c>
      <c r="Z337" t="s">
        <v>264</v>
      </c>
      <c r="AA337">
        <v>1</v>
      </c>
      <c r="AB337" t="s">
        <v>264</v>
      </c>
      <c r="AD337" t="s">
        <v>264</v>
      </c>
      <c r="AE337" t="s">
        <v>264</v>
      </c>
      <c r="AF337" t="s">
        <v>264</v>
      </c>
      <c r="AG337">
        <v>15</v>
      </c>
      <c r="AH337" t="s">
        <v>264</v>
      </c>
      <c r="AI337">
        <v>57330810</v>
      </c>
      <c r="AJ337" t="s">
        <v>451</v>
      </c>
      <c r="AL337" t="s">
        <v>264</v>
      </c>
      <c r="AM337" s="6">
        <v>44774</v>
      </c>
      <c r="AN337" t="s">
        <v>462</v>
      </c>
      <c r="AO337" t="s">
        <v>268</v>
      </c>
      <c r="AP337">
        <v>1205</v>
      </c>
      <c r="AQ337" t="s">
        <v>269</v>
      </c>
      <c r="AR337" t="s">
        <v>464</v>
      </c>
      <c r="AU337" t="s">
        <v>264</v>
      </c>
      <c r="AV337" t="s">
        <v>270</v>
      </c>
      <c r="AX337">
        <v>22001091</v>
      </c>
      <c r="AY337">
        <v>630600</v>
      </c>
      <c r="AZ337">
        <v>1205.6306</v>
      </c>
      <c r="BA337" s="28" t="s">
        <v>125</v>
      </c>
    </row>
    <row r="338" spans="1:53">
      <c r="A338" t="s">
        <v>424</v>
      </c>
      <c r="B338" t="s">
        <v>425</v>
      </c>
      <c r="C338">
        <v>22004187</v>
      </c>
      <c r="D338">
        <v>1205</v>
      </c>
      <c r="E338" s="6">
        <v>44774</v>
      </c>
      <c r="F338" t="s">
        <v>451</v>
      </c>
      <c r="G338">
        <v>5.93</v>
      </c>
      <c r="H338">
        <v>5.93</v>
      </c>
      <c r="I338" t="s">
        <v>263</v>
      </c>
      <c r="J338" t="s">
        <v>263</v>
      </c>
      <c r="L338" s="29">
        <v>86250</v>
      </c>
      <c r="N338" s="29">
        <v>86250</v>
      </c>
      <c r="O338" t="s">
        <v>264</v>
      </c>
      <c r="Q338" t="s">
        <v>264</v>
      </c>
      <c r="R338" t="s">
        <v>265</v>
      </c>
      <c r="S338">
        <v>14544</v>
      </c>
      <c r="T338" t="s">
        <v>266</v>
      </c>
      <c r="U338" t="s">
        <v>267</v>
      </c>
      <c r="V338" t="s">
        <v>427</v>
      </c>
      <c r="W338" t="s">
        <v>428</v>
      </c>
      <c r="X338">
        <v>1926829</v>
      </c>
      <c r="Y338" s="6">
        <v>44776</v>
      </c>
      <c r="Z338" t="s">
        <v>264</v>
      </c>
      <c r="AA338">
        <v>1</v>
      </c>
      <c r="AB338" t="s">
        <v>264</v>
      </c>
      <c r="AD338" t="s">
        <v>264</v>
      </c>
      <c r="AE338" t="s">
        <v>264</v>
      </c>
      <c r="AF338" t="s">
        <v>264</v>
      </c>
      <c r="AG338">
        <v>15</v>
      </c>
      <c r="AH338" t="s">
        <v>264</v>
      </c>
      <c r="AI338">
        <v>57330810</v>
      </c>
      <c r="AJ338" t="s">
        <v>451</v>
      </c>
      <c r="AL338" t="s">
        <v>264</v>
      </c>
      <c r="AM338" s="6">
        <v>44774</v>
      </c>
      <c r="AN338" t="s">
        <v>462</v>
      </c>
      <c r="AO338" t="s">
        <v>268</v>
      </c>
      <c r="AP338">
        <v>1205</v>
      </c>
      <c r="AQ338" t="s">
        <v>269</v>
      </c>
      <c r="AR338" t="s">
        <v>464</v>
      </c>
      <c r="AU338" t="s">
        <v>264</v>
      </c>
      <c r="AV338" t="s">
        <v>270</v>
      </c>
      <c r="AX338">
        <v>22001091</v>
      </c>
      <c r="AY338">
        <v>630600</v>
      </c>
      <c r="AZ338">
        <v>1205.6306</v>
      </c>
      <c r="BA338" s="28" t="s">
        <v>125</v>
      </c>
    </row>
    <row r="339" spans="1:53">
      <c r="A339" t="s">
        <v>424</v>
      </c>
      <c r="B339" t="s">
        <v>425</v>
      </c>
      <c r="C339">
        <v>22004188</v>
      </c>
      <c r="D339">
        <v>1205</v>
      </c>
      <c r="E339" s="6">
        <v>44774</v>
      </c>
      <c r="F339" t="s">
        <v>451</v>
      </c>
      <c r="G339">
        <v>21.35</v>
      </c>
      <c r="H339">
        <v>21.35</v>
      </c>
      <c r="I339" t="s">
        <v>263</v>
      </c>
      <c r="J339" t="s">
        <v>263</v>
      </c>
      <c r="L339" s="29">
        <v>310500</v>
      </c>
      <c r="N339" s="29">
        <v>310500</v>
      </c>
      <c r="O339" t="s">
        <v>264</v>
      </c>
      <c r="Q339" t="s">
        <v>264</v>
      </c>
      <c r="R339" t="s">
        <v>265</v>
      </c>
      <c r="S339">
        <v>14544</v>
      </c>
      <c r="T339" t="s">
        <v>266</v>
      </c>
      <c r="U339" t="s">
        <v>267</v>
      </c>
      <c r="V339" t="s">
        <v>427</v>
      </c>
      <c r="W339" t="s">
        <v>428</v>
      </c>
      <c r="X339">
        <v>1926829</v>
      </c>
      <c r="Y339" s="6">
        <v>44776</v>
      </c>
      <c r="Z339" t="s">
        <v>264</v>
      </c>
      <c r="AA339">
        <v>1</v>
      </c>
      <c r="AB339" t="s">
        <v>264</v>
      </c>
      <c r="AD339" t="s">
        <v>264</v>
      </c>
      <c r="AE339" t="s">
        <v>264</v>
      </c>
      <c r="AF339" t="s">
        <v>264</v>
      </c>
      <c r="AG339">
        <v>54</v>
      </c>
      <c r="AH339" t="s">
        <v>264</v>
      </c>
      <c r="AI339">
        <v>57330810</v>
      </c>
      <c r="AJ339" t="s">
        <v>451</v>
      </c>
      <c r="AL339" t="s">
        <v>264</v>
      </c>
      <c r="AM339" s="6">
        <v>44774</v>
      </c>
      <c r="AN339" t="s">
        <v>462</v>
      </c>
      <c r="AO339" t="s">
        <v>268</v>
      </c>
      <c r="AP339">
        <v>1205</v>
      </c>
      <c r="AQ339" t="s">
        <v>269</v>
      </c>
      <c r="AR339" t="s">
        <v>464</v>
      </c>
      <c r="AU339" t="s">
        <v>264</v>
      </c>
      <c r="AV339" t="s">
        <v>270</v>
      </c>
      <c r="AX339">
        <v>22001091</v>
      </c>
      <c r="AY339">
        <v>630600</v>
      </c>
      <c r="AZ339">
        <v>1205.6306</v>
      </c>
      <c r="BA339" s="28" t="s">
        <v>125</v>
      </c>
    </row>
    <row r="340" spans="1:53">
      <c r="A340" t="s">
        <v>424</v>
      </c>
      <c r="B340" t="s">
        <v>425</v>
      </c>
      <c r="C340">
        <v>22004189</v>
      </c>
      <c r="D340">
        <v>1205</v>
      </c>
      <c r="E340" s="6">
        <v>44774</v>
      </c>
      <c r="F340" t="s">
        <v>451</v>
      </c>
      <c r="G340">
        <v>21.35</v>
      </c>
      <c r="H340">
        <v>21.35</v>
      </c>
      <c r="I340" t="s">
        <v>263</v>
      </c>
      <c r="J340" t="s">
        <v>263</v>
      </c>
      <c r="L340" s="29">
        <v>310500</v>
      </c>
      <c r="N340" s="29">
        <v>310500</v>
      </c>
      <c r="O340" t="s">
        <v>264</v>
      </c>
      <c r="Q340" t="s">
        <v>264</v>
      </c>
      <c r="R340" t="s">
        <v>265</v>
      </c>
      <c r="S340">
        <v>14544</v>
      </c>
      <c r="T340" t="s">
        <v>266</v>
      </c>
      <c r="U340" t="s">
        <v>267</v>
      </c>
      <c r="V340" t="s">
        <v>427</v>
      </c>
      <c r="W340" t="s">
        <v>428</v>
      </c>
      <c r="X340">
        <v>1926829</v>
      </c>
      <c r="Y340" s="6">
        <v>44776</v>
      </c>
      <c r="Z340" t="s">
        <v>264</v>
      </c>
      <c r="AA340">
        <v>1</v>
      </c>
      <c r="AB340" t="s">
        <v>264</v>
      </c>
      <c r="AD340" t="s">
        <v>264</v>
      </c>
      <c r="AE340" t="s">
        <v>264</v>
      </c>
      <c r="AF340" t="s">
        <v>264</v>
      </c>
      <c r="AG340">
        <v>54</v>
      </c>
      <c r="AH340" t="s">
        <v>264</v>
      </c>
      <c r="AI340">
        <v>57330810</v>
      </c>
      <c r="AJ340" t="s">
        <v>451</v>
      </c>
      <c r="AL340" t="s">
        <v>264</v>
      </c>
      <c r="AM340" s="6">
        <v>44774</v>
      </c>
      <c r="AN340" t="s">
        <v>462</v>
      </c>
      <c r="AO340" t="s">
        <v>268</v>
      </c>
      <c r="AP340">
        <v>1205</v>
      </c>
      <c r="AQ340" t="s">
        <v>269</v>
      </c>
      <c r="AR340" t="s">
        <v>464</v>
      </c>
      <c r="AU340" t="s">
        <v>264</v>
      </c>
      <c r="AV340" t="s">
        <v>270</v>
      </c>
      <c r="AX340">
        <v>22001091</v>
      </c>
      <c r="AY340">
        <v>630600</v>
      </c>
      <c r="AZ340">
        <v>1205.6306</v>
      </c>
      <c r="BA340" s="28" t="s">
        <v>125</v>
      </c>
    </row>
    <row r="341" spans="1:53">
      <c r="A341" t="s">
        <v>424</v>
      </c>
      <c r="B341" t="s">
        <v>425</v>
      </c>
      <c r="C341">
        <v>22004190</v>
      </c>
      <c r="D341">
        <v>1205</v>
      </c>
      <c r="E341" s="6">
        <v>44774</v>
      </c>
      <c r="F341" t="s">
        <v>451</v>
      </c>
      <c r="G341">
        <v>24.51</v>
      </c>
      <c r="H341">
        <v>24.51</v>
      </c>
      <c r="I341" t="s">
        <v>263</v>
      </c>
      <c r="J341" t="s">
        <v>263</v>
      </c>
      <c r="L341" s="29">
        <v>356500</v>
      </c>
      <c r="N341" s="29">
        <v>356500</v>
      </c>
      <c r="O341" t="s">
        <v>264</v>
      </c>
      <c r="Q341" t="s">
        <v>264</v>
      </c>
      <c r="R341" t="s">
        <v>265</v>
      </c>
      <c r="S341">
        <v>14544</v>
      </c>
      <c r="T341" t="s">
        <v>266</v>
      </c>
      <c r="U341" t="s">
        <v>267</v>
      </c>
      <c r="V341" t="s">
        <v>427</v>
      </c>
      <c r="W341" t="s">
        <v>428</v>
      </c>
      <c r="X341">
        <v>1926829</v>
      </c>
      <c r="Y341" s="6">
        <v>44776</v>
      </c>
      <c r="Z341" t="s">
        <v>264</v>
      </c>
      <c r="AA341">
        <v>1</v>
      </c>
      <c r="AB341" t="s">
        <v>264</v>
      </c>
      <c r="AD341" t="s">
        <v>264</v>
      </c>
      <c r="AE341" t="s">
        <v>264</v>
      </c>
      <c r="AF341" t="s">
        <v>264</v>
      </c>
      <c r="AG341">
        <v>62</v>
      </c>
      <c r="AH341" t="s">
        <v>264</v>
      </c>
      <c r="AI341">
        <v>57330810</v>
      </c>
      <c r="AJ341" t="s">
        <v>451</v>
      </c>
      <c r="AL341" t="s">
        <v>264</v>
      </c>
      <c r="AM341" s="6">
        <v>44774</v>
      </c>
      <c r="AN341" t="s">
        <v>462</v>
      </c>
      <c r="AO341" t="s">
        <v>268</v>
      </c>
      <c r="AP341">
        <v>1205</v>
      </c>
      <c r="AQ341" t="s">
        <v>269</v>
      </c>
      <c r="AR341" t="s">
        <v>464</v>
      </c>
      <c r="AU341" t="s">
        <v>264</v>
      </c>
      <c r="AV341" t="s">
        <v>270</v>
      </c>
      <c r="AX341">
        <v>22001091</v>
      </c>
      <c r="AY341">
        <v>630600</v>
      </c>
      <c r="AZ341">
        <v>1205.6306</v>
      </c>
      <c r="BA341" s="28" t="s">
        <v>125</v>
      </c>
    </row>
    <row r="342" spans="1:53">
      <c r="A342" t="s">
        <v>424</v>
      </c>
      <c r="B342" t="s">
        <v>425</v>
      </c>
      <c r="C342">
        <v>22004191</v>
      </c>
      <c r="D342">
        <v>1205</v>
      </c>
      <c r="E342" s="6">
        <v>44774</v>
      </c>
      <c r="F342" t="s">
        <v>451</v>
      </c>
      <c r="G342">
        <v>24.51</v>
      </c>
      <c r="H342">
        <v>24.51</v>
      </c>
      <c r="I342" t="s">
        <v>263</v>
      </c>
      <c r="J342" t="s">
        <v>263</v>
      </c>
      <c r="L342" s="29">
        <v>356500</v>
      </c>
      <c r="N342" s="29">
        <v>356500</v>
      </c>
      <c r="O342" t="s">
        <v>264</v>
      </c>
      <c r="Q342" t="s">
        <v>264</v>
      </c>
      <c r="R342" t="s">
        <v>265</v>
      </c>
      <c r="S342">
        <v>14544</v>
      </c>
      <c r="T342" t="s">
        <v>266</v>
      </c>
      <c r="U342" t="s">
        <v>267</v>
      </c>
      <c r="V342" t="s">
        <v>427</v>
      </c>
      <c r="W342" t="s">
        <v>428</v>
      </c>
      <c r="X342">
        <v>1926829</v>
      </c>
      <c r="Y342" s="6">
        <v>44776</v>
      </c>
      <c r="Z342" t="s">
        <v>264</v>
      </c>
      <c r="AA342">
        <v>1</v>
      </c>
      <c r="AB342" t="s">
        <v>264</v>
      </c>
      <c r="AD342" t="s">
        <v>264</v>
      </c>
      <c r="AE342" t="s">
        <v>264</v>
      </c>
      <c r="AF342" t="s">
        <v>264</v>
      </c>
      <c r="AG342">
        <v>62</v>
      </c>
      <c r="AH342" t="s">
        <v>264</v>
      </c>
      <c r="AI342">
        <v>57330810</v>
      </c>
      <c r="AJ342" t="s">
        <v>451</v>
      </c>
      <c r="AL342" t="s">
        <v>264</v>
      </c>
      <c r="AM342" s="6">
        <v>44774</v>
      </c>
      <c r="AN342" t="s">
        <v>462</v>
      </c>
      <c r="AO342" t="s">
        <v>268</v>
      </c>
      <c r="AP342">
        <v>1205</v>
      </c>
      <c r="AQ342" t="s">
        <v>269</v>
      </c>
      <c r="AR342" t="s">
        <v>464</v>
      </c>
      <c r="AU342" t="s">
        <v>264</v>
      </c>
      <c r="AV342" t="s">
        <v>270</v>
      </c>
      <c r="AX342">
        <v>22001091</v>
      </c>
      <c r="AY342">
        <v>630600</v>
      </c>
      <c r="AZ342">
        <v>1205.6306</v>
      </c>
      <c r="BA342" s="28" t="s">
        <v>125</v>
      </c>
    </row>
    <row r="343" spans="1:53">
      <c r="A343" t="s">
        <v>424</v>
      </c>
      <c r="B343" t="s">
        <v>425</v>
      </c>
      <c r="C343">
        <v>22004219</v>
      </c>
      <c r="D343">
        <v>1205</v>
      </c>
      <c r="E343" s="6">
        <v>44774</v>
      </c>
      <c r="F343" t="s">
        <v>451</v>
      </c>
      <c r="G343">
        <v>94.06</v>
      </c>
      <c r="H343">
        <v>94.06</v>
      </c>
      <c r="I343" t="s">
        <v>263</v>
      </c>
      <c r="J343" t="s">
        <v>263</v>
      </c>
      <c r="L343" s="29">
        <v>1368000</v>
      </c>
      <c r="N343" s="29">
        <v>1368000</v>
      </c>
      <c r="O343" t="s">
        <v>264</v>
      </c>
      <c r="Q343" t="s">
        <v>264</v>
      </c>
      <c r="R343" t="s">
        <v>265</v>
      </c>
      <c r="S343">
        <v>14544</v>
      </c>
      <c r="T343" t="s">
        <v>266</v>
      </c>
      <c r="U343" t="s">
        <v>267</v>
      </c>
      <c r="V343" t="s">
        <v>427</v>
      </c>
      <c r="W343" t="s">
        <v>428</v>
      </c>
      <c r="X343">
        <v>1926829</v>
      </c>
      <c r="Y343" s="6">
        <v>44776</v>
      </c>
      <c r="Z343" t="s">
        <v>264</v>
      </c>
      <c r="AA343">
        <v>1</v>
      </c>
      <c r="AB343" t="s">
        <v>264</v>
      </c>
      <c r="AD343" t="s">
        <v>264</v>
      </c>
      <c r="AE343" t="s">
        <v>264</v>
      </c>
      <c r="AF343" t="s">
        <v>264</v>
      </c>
      <c r="AG343">
        <v>76</v>
      </c>
      <c r="AH343" t="s">
        <v>264</v>
      </c>
      <c r="AI343">
        <v>57330810</v>
      </c>
      <c r="AJ343" t="s">
        <v>451</v>
      </c>
      <c r="AL343" t="s">
        <v>264</v>
      </c>
      <c r="AM343" s="6">
        <v>44774</v>
      </c>
      <c r="AN343" t="s">
        <v>462</v>
      </c>
      <c r="AO343" t="s">
        <v>268</v>
      </c>
      <c r="AP343">
        <v>1205</v>
      </c>
      <c r="AQ343" t="s">
        <v>269</v>
      </c>
      <c r="AR343" t="s">
        <v>463</v>
      </c>
      <c r="AU343" t="s">
        <v>264</v>
      </c>
      <c r="AV343" t="s">
        <v>270</v>
      </c>
      <c r="AX343">
        <v>22001088</v>
      </c>
      <c r="AY343">
        <v>630600</v>
      </c>
      <c r="AZ343">
        <v>1205.6306</v>
      </c>
      <c r="BA343" s="28" t="s">
        <v>125</v>
      </c>
    </row>
    <row r="344" spans="1:53">
      <c r="A344" t="s">
        <v>424</v>
      </c>
      <c r="B344" t="s">
        <v>425</v>
      </c>
      <c r="C344">
        <v>22004220</v>
      </c>
      <c r="D344">
        <v>1205</v>
      </c>
      <c r="E344" s="6">
        <v>44774</v>
      </c>
      <c r="F344" t="s">
        <v>451</v>
      </c>
      <c r="G344">
        <v>36.58</v>
      </c>
      <c r="H344">
        <v>36.58</v>
      </c>
      <c r="I344" t="s">
        <v>263</v>
      </c>
      <c r="J344" t="s">
        <v>263</v>
      </c>
      <c r="L344" s="29">
        <v>532000</v>
      </c>
      <c r="N344" s="29">
        <v>532000</v>
      </c>
      <c r="O344" t="s">
        <v>264</v>
      </c>
      <c r="Q344" t="s">
        <v>264</v>
      </c>
      <c r="R344" t="s">
        <v>265</v>
      </c>
      <c r="S344">
        <v>14544</v>
      </c>
      <c r="T344" t="s">
        <v>266</v>
      </c>
      <c r="U344" t="s">
        <v>267</v>
      </c>
      <c r="V344" t="s">
        <v>427</v>
      </c>
      <c r="W344" t="s">
        <v>428</v>
      </c>
      <c r="X344">
        <v>1926829</v>
      </c>
      <c r="Y344" s="6">
        <v>44776</v>
      </c>
      <c r="Z344" t="s">
        <v>264</v>
      </c>
      <c r="AA344">
        <v>1</v>
      </c>
      <c r="AB344" t="s">
        <v>264</v>
      </c>
      <c r="AD344" t="s">
        <v>264</v>
      </c>
      <c r="AE344" t="s">
        <v>264</v>
      </c>
      <c r="AF344" t="s">
        <v>264</v>
      </c>
      <c r="AG344">
        <v>76</v>
      </c>
      <c r="AH344" t="s">
        <v>264</v>
      </c>
      <c r="AI344">
        <v>57330810</v>
      </c>
      <c r="AJ344" t="s">
        <v>451</v>
      </c>
      <c r="AL344" t="s">
        <v>264</v>
      </c>
      <c r="AM344" s="6">
        <v>44774</v>
      </c>
      <c r="AN344" t="s">
        <v>462</v>
      </c>
      <c r="AO344" t="s">
        <v>268</v>
      </c>
      <c r="AP344">
        <v>1205</v>
      </c>
      <c r="AQ344" t="s">
        <v>269</v>
      </c>
      <c r="AR344" t="s">
        <v>463</v>
      </c>
      <c r="AU344" t="s">
        <v>264</v>
      </c>
      <c r="AV344" t="s">
        <v>270</v>
      </c>
      <c r="AX344">
        <v>22001088</v>
      </c>
      <c r="AY344">
        <v>630600</v>
      </c>
      <c r="AZ344">
        <v>1205.6306</v>
      </c>
      <c r="BA344" s="28" t="s">
        <v>125</v>
      </c>
    </row>
    <row r="345" spans="1:53">
      <c r="A345" t="s">
        <v>424</v>
      </c>
      <c r="B345" t="s">
        <v>425</v>
      </c>
      <c r="C345">
        <v>22004221</v>
      </c>
      <c r="D345">
        <v>1205</v>
      </c>
      <c r="E345" s="6">
        <v>44774</v>
      </c>
      <c r="F345" t="s">
        <v>451</v>
      </c>
      <c r="G345">
        <v>251.23</v>
      </c>
      <c r="H345">
        <v>251.23</v>
      </c>
      <c r="I345" t="s">
        <v>263</v>
      </c>
      <c r="J345" t="s">
        <v>263</v>
      </c>
      <c r="L345" s="29">
        <v>3654000</v>
      </c>
      <c r="N345" s="29">
        <v>3654000</v>
      </c>
      <c r="O345" t="s">
        <v>264</v>
      </c>
      <c r="Q345" t="s">
        <v>264</v>
      </c>
      <c r="R345" t="s">
        <v>265</v>
      </c>
      <c r="S345">
        <v>14544</v>
      </c>
      <c r="T345" t="s">
        <v>266</v>
      </c>
      <c r="U345" t="s">
        <v>267</v>
      </c>
      <c r="V345" t="s">
        <v>427</v>
      </c>
      <c r="W345" t="s">
        <v>428</v>
      </c>
      <c r="X345">
        <v>1926829</v>
      </c>
      <c r="Y345" s="6">
        <v>44776</v>
      </c>
      <c r="Z345" t="s">
        <v>264</v>
      </c>
      <c r="AA345">
        <v>1</v>
      </c>
      <c r="AB345" t="s">
        <v>264</v>
      </c>
      <c r="AD345" t="s">
        <v>264</v>
      </c>
      <c r="AE345" t="s">
        <v>264</v>
      </c>
      <c r="AF345" t="s">
        <v>264</v>
      </c>
      <c r="AG345">
        <v>203</v>
      </c>
      <c r="AH345" t="s">
        <v>264</v>
      </c>
      <c r="AI345">
        <v>57330810</v>
      </c>
      <c r="AJ345" t="s">
        <v>451</v>
      </c>
      <c r="AL345" t="s">
        <v>264</v>
      </c>
      <c r="AM345" s="6">
        <v>44774</v>
      </c>
      <c r="AN345" t="s">
        <v>462</v>
      </c>
      <c r="AO345" t="s">
        <v>268</v>
      </c>
      <c r="AP345">
        <v>1205</v>
      </c>
      <c r="AQ345" t="s">
        <v>269</v>
      </c>
      <c r="AR345" t="s">
        <v>463</v>
      </c>
      <c r="AU345" t="s">
        <v>264</v>
      </c>
      <c r="AV345" t="s">
        <v>270</v>
      </c>
      <c r="AX345">
        <v>22001088</v>
      </c>
      <c r="AY345">
        <v>630600</v>
      </c>
      <c r="AZ345">
        <v>1205.6306</v>
      </c>
      <c r="BA345" s="28" t="s">
        <v>125</v>
      </c>
    </row>
    <row r="346" spans="1:53">
      <c r="A346" t="s">
        <v>424</v>
      </c>
      <c r="B346" t="s">
        <v>425</v>
      </c>
      <c r="C346">
        <v>22004222</v>
      </c>
      <c r="D346">
        <v>1205</v>
      </c>
      <c r="E346" s="6">
        <v>44774</v>
      </c>
      <c r="F346" t="s">
        <v>451</v>
      </c>
      <c r="G346">
        <v>119.64</v>
      </c>
      <c r="H346">
        <v>119.64</v>
      </c>
      <c r="I346" t="s">
        <v>263</v>
      </c>
      <c r="J346" t="s">
        <v>263</v>
      </c>
      <c r="L346" s="29">
        <v>1740000</v>
      </c>
      <c r="N346" s="29">
        <v>1740000</v>
      </c>
      <c r="O346" t="s">
        <v>264</v>
      </c>
      <c r="Q346" t="s">
        <v>264</v>
      </c>
      <c r="R346" t="s">
        <v>265</v>
      </c>
      <c r="S346">
        <v>14544</v>
      </c>
      <c r="T346" t="s">
        <v>266</v>
      </c>
      <c r="U346" t="s">
        <v>267</v>
      </c>
      <c r="V346" t="s">
        <v>427</v>
      </c>
      <c r="W346" t="s">
        <v>428</v>
      </c>
      <c r="X346">
        <v>1926906</v>
      </c>
      <c r="Y346" s="6">
        <v>44776</v>
      </c>
      <c r="Z346" t="s">
        <v>264</v>
      </c>
      <c r="AA346">
        <v>1</v>
      </c>
      <c r="AB346" t="s">
        <v>264</v>
      </c>
      <c r="AD346" t="s">
        <v>264</v>
      </c>
      <c r="AE346" t="s">
        <v>264</v>
      </c>
      <c r="AF346" t="s">
        <v>264</v>
      </c>
      <c r="AG346">
        <v>116</v>
      </c>
      <c r="AH346" t="s">
        <v>264</v>
      </c>
      <c r="AI346">
        <v>57330810</v>
      </c>
      <c r="AJ346" t="s">
        <v>451</v>
      </c>
      <c r="AL346" t="s">
        <v>264</v>
      </c>
      <c r="AM346" s="6">
        <v>44774</v>
      </c>
      <c r="AN346" t="s">
        <v>462</v>
      </c>
      <c r="AO346" t="s">
        <v>268</v>
      </c>
      <c r="AP346">
        <v>1205</v>
      </c>
      <c r="AQ346" t="s">
        <v>269</v>
      </c>
      <c r="AR346" t="s">
        <v>465</v>
      </c>
      <c r="AU346" t="s">
        <v>264</v>
      </c>
      <c r="AV346" t="s">
        <v>270</v>
      </c>
      <c r="AX346">
        <v>22001087</v>
      </c>
      <c r="AY346">
        <v>630600</v>
      </c>
      <c r="AZ346">
        <v>1205.6306</v>
      </c>
      <c r="BA346" s="28" t="s">
        <v>125</v>
      </c>
    </row>
    <row r="347" spans="1:53">
      <c r="A347" t="s">
        <v>424</v>
      </c>
      <c r="B347" t="s">
        <v>425</v>
      </c>
      <c r="C347">
        <v>22004223</v>
      </c>
      <c r="D347">
        <v>1205</v>
      </c>
      <c r="E347" s="6">
        <v>44774</v>
      </c>
      <c r="F347" t="s">
        <v>451</v>
      </c>
      <c r="G347">
        <v>97.7</v>
      </c>
      <c r="H347">
        <v>97.7</v>
      </c>
      <c r="I347" t="s">
        <v>263</v>
      </c>
      <c r="J347" t="s">
        <v>263</v>
      </c>
      <c r="L347" s="29">
        <v>1421000</v>
      </c>
      <c r="N347" s="29">
        <v>1421000</v>
      </c>
      <c r="O347" t="s">
        <v>264</v>
      </c>
      <c r="Q347" t="s">
        <v>264</v>
      </c>
      <c r="R347" t="s">
        <v>265</v>
      </c>
      <c r="S347">
        <v>14544</v>
      </c>
      <c r="T347" t="s">
        <v>266</v>
      </c>
      <c r="U347" t="s">
        <v>267</v>
      </c>
      <c r="V347" t="s">
        <v>427</v>
      </c>
      <c r="W347" t="s">
        <v>428</v>
      </c>
      <c r="X347">
        <v>1926829</v>
      </c>
      <c r="Y347" s="6">
        <v>44776</v>
      </c>
      <c r="Z347" t="s">
        <v>264</v>
      </c>
      <c r="AA347">
        <v>1</v>
      </c>
      <c r="AB347" t="s">
        <v>264</v>
      </c>
      <c r="AD347" t="s">
        <v>264</v>
      </c>
      <c r="AE347" t="s">
        <v>264</v>
      </c>
      <c r="AF347" t="s">
        <v>264</v>
      </c>
      <c r="AG347">
        <v>203</v>
      </c>
      <c r="AH347" t="s">
        <v>264</v>
      </c>
      <c r="AI347">
        <v>57330810</v>
      </c>
      <c r="AJ347" t="s">
        <v>451</v>
      </c>
      <c r="AL347" t="s">
        <v>264</v>
      </c>
      <c r="AM347" s="6">
        <v>44774</v>
      </c>
      <c r="AN347" t="s">
        <v>462</v>
      </c>
      <c r="AO347" t="s">
        <v>268</v>
      </c>
      <c r="AP347">
        <v>1205</v>
      </c>
      <c r="AQ347" t="s">
        <v>269</v>
      </c>
      <c r="AR347" t="s">
        <v>463</v>
      </c>
      <c r="AU347" t="s">
        <v>264</v>
      </c>
      <c r="AV347" t="s">
        <v>270</v>
      </c>
      <c r="AX347">
        <v>22001088</v>
      </c>
      <c r="AY347">
        <v>630600</v>
      </c>
      <c r="AZ347">
        <v>1205.6306</v>
      </c>
      <c r="BA347" s="28" t="s">
        <v>125</v>
      </c>
    </row>
    <row r="348" spans="1:53">
      <c r="A348" t="s">
        <v>424</v>
      </c>
      <c r="B348" t="s">
        <v>425</v>
      </c>
      <c r="C348">
        <v>22004224</v>
      </c>
      <c r="D348">
        <v>1205</v>
      </c>
      <c r="E348" s="6">
        <v>44774</v>
      </c>
      <c r="F348" t="s">
        <v>451</v>
      </c>
      <c r="G348">
        <v>47.85</v>
      </c>
      <c r="H348">
        <v>47.85</v>
      </c>
      <c r="I348" t="s">
        <v>263</v>
      </c>
      <c r="J348" t="s">
        <v>263</v>
      </c>
      <c r="L348" s="29">
        <v>696000</v>
      </c>
      <c r="N348" s="29">
        <v>696000</v>
      </c>
      <c r="O348" t="s">
        <v>264</v>
      </c>
      <c r="Q348" t="s">
        <v>264</v>
      </c>
      <c r="R348" t="s">
        <v>265</v>
      </c>
      <c r="S348">
        <v>14544</v>
      </c>
      <c r="T348" t="s">
        <v>266</v>
      </c>
      <c r="U348" t="s">
        <v>267</v>
      </c>
      <c r="V348" t="s">
        <v>427</v>
      </c>
      <c r="W348" t="s">
        <v>428</v>
      </c>
      <c r="X348">
        <v>1926906</v>
      </c>
      <c r="Y348" s="6">
        <v>44776</v>
      </c>
      <c r="Z348" t="s">
        <v>264</v>
      </c>
      <c r="AA348">
        <v>1</v>
      </c>
      <c r="AB348" t="s">
        <v>264</v>
      </c>
      <c r="AD348" t="s">
        <v>264</v>
      </c>
      <c r="AE348" t="s">
        <v>264</v>
      </c>
      <c r="AF348" t="s">
        <v>264</v>
      </c>
      <c r="AG348">
        <v>116</v>
      </c>
      <c r="AH348" t="s">
        <v>264</v>
      </c>
      <c r="AI348">
        <v>57330810</v>
      </c>
      <c r="AJ348" t="s">
        <v>451</v>
      </c>
      <c r="AL348" t="s">
        <v>264</v>
      </c>
      <c r="AM348" s="6">
        <v>44774</v>
      </c>
      <c r="AN348" t="s">
        <v>462</v>
      </c>
      <c r="AO348" t="s">
        <v>268</v>
      </c>
      <c r="AP348">
        <v>1205</v>
      </c>
      <c r="AQ348" t="s">
        <v>269</v>
      </c>
      <c r="AR348" t="s">
        <v>465</v>
      </c>
      <c r="AU348" t="s">
        <v>264</v>
      </c>
      <c r="AV348" t="s">
        <v>270</v>
      </c>
      <c r="AX348">
        <v>22001087</v>
      </c>
      <c r="AY348">
        <v>630600</v>
      </c>
      <c r="AZ348">
        <v>1205.6306</v>
      </c>
      <c r="BA348" s="28" t="s">
        <v>125</v>
      </c>
    </row>
    <row r="349" spans="1:53">
      <c r="A349" t="s">
        <v>424</v>
      </c>
      <c r="B349" t="s">
        <v>425</v>
      </c>
      <c r="C349">
        <v>22004225</v>
      </c>
      <c r="D349">
        <v>1205</v>
      </c>
      <c r="E349" s="6">
        <v>44774</v>
      </c>
      <c r="F349" t="s">
        <v>451</v>
      </c>
      <c r="G349">
        <v>13.41</v>
      </c>
      <c r="H349">
        <v>13.41</v>
      </c>
      <c r="I349" t="s">
        <v>263</v>
      </c>
      <c r="J349" t="s">
        <v>263</v>
      </c>
      <c r="L349" s="29">
        <v>195000</v>
      </c>
      <c r="N349" s="29">
        <v>195000</v>
      </c>
      <c r="O349" t="s">
        <v>264</v>
      </c>
      <c r="Q349" t="s">
        <v>264</v>
      </c>
      <c r="R349" t="s">
        <v>265</v>
      </c>
      <c r="S349">
        <v>14544</v>
      </c>
      <c r="T349" t="s">
        <v>266</v>
      </c>
      <c r="U349" t="s">
        <v>267</v>
      </c>
      <c r="V349" t="s">
        <v>427</v>
      </c>
      <c r="W349" t="s">
        <v>428</v>
      </c>
      <c r="X349">
        <v>1926906</v>
      </c>
      <c r="Y349" s="6">
        <v>44776</v>
      </c>
      <c r="Z349" t="s">
        <v>264</v>
      </c>
      <c r="AA349">
        <v>1</v>
      </c>
      <c r="AB349" t="s">
        <v>264</v>
      </c>
      <c r="AD349" t="s">
        <v>264</v>
      </c>
      <c r="AE349" t="s">
        <v>264</v>
      </c>
      <c r="AF349" t="s">
        <v>264</v>
      </c>
      <c r="AG349">
        <v>13</v>
      </c>
      <c r="AH349" t="s">
        <v>264</v>
      </c>
      <c r="AI349">
        <v>57330810</v>
      </c>
      <c r="AJ349" t="s">
        <v>451</v>
      </c>
      <c r="AL349" t="s">
        <v>264</v>
      </c>
      <c r="AM349" s="6">
        <v>44774</v>
      </c>
      <c r="AN349" t="s">
        <v>462</v>
      </c>
      <c r="AO349" t="s">
        <v>268</v>
      </c>
      <c r="AP349">
        <v>1205</v>
      </c>
      <c r="AQ349" t="s">
        <v>269</v>
      </c>
      <c r="AR349" t="s">
        <v>465</v>
      </c>
      <c r="AU349" t="s">
        <v>264</v>
      </c>
      <c r="AV349" t="s">
        <v>270</v>
      </c>
      <c r="AX349">
        <v>22001087</v>
      </c>
      <c r="AY349">
        <v>630600</v>
      </c>
      <c r="AZ349">
        <v>1205.6306</v>
      </c>
      <c r="BA349" s="28" t="s">
        <v>125</v>
      </c>
    </row>
    <row r="350" spans="1:53">
      <c r="A350" t="s">
        <v>424</v>
      </c>
      <c r="B350" t="s">
        <v>425</v>
      </c>
      <c r="C350">
        <v>22004226</v>
      </c>
      <c r="D350">
        <v>1205</v>
      </c>
      <c r="E350" s="6">
        <v>44774</v>
      </c>
      <c r="F350" t="s">
        <v>451</v>
      </c>
      <c r="G350">
        <v>117.57</v>
      </c>
      <c r="H350">
        <v>117.57</v>
      </c>
      <c r="I350" t="s">
        <v>263</v>
      </c>
      <c r="J350" t="s">
        <v>263</v>
      </c>
      <c r="L350" s="29">
        <v>1710000</v>
      </c>
      <c r="N350" s="29">
        <v>1710000</v>
      </c>
      <c r="O350" t="s">
        <v>264</v>
      </c>
      <c r="Q350" t="s">
        <v>264</v>
      </c>
      <c r="R350" t="s">
        <v>265</v>
      </c>
      <c r="S350">
        <v>14544</v>
      </c>
      <c r="T350" t="s">
        <v>266</v>
      </c>
      <c r="U350" t="s">
        <v>267</v>
      </c>
      <c r="V350" t="s">
        <v>427</v>
      </c>
      <c r="W350" t="s">
        <v>428</v>
      </c>
      <c r="X350">
        <v>1926829</v>
      </c>
      <c r="Y350" s="6">
        <v>44776</v>
      </c>
      <c r="Z350" t="s">
        <v>264</v>
      </c>
      <c r="AA350">
        <v>1</v>
      </c>
      <c r="AB350" t="s">
        <v>264</v>
      </c>
      <c r="AD350" t="s">
        <v>264</v>
      </c>
      <c r="AE350" t="s">
        <v>264</v>
      </c>
      <c r="AF350" t="s">
        <v>264</v>
      </c>
      <c r="AG350">
        <v>95</v>
      </c>
      <c r="AH350" t="s">
        <v>264</v>
      </c>
      <c r="AI350">
        <v>57330810</v>
      </c>
      <c r="AJ350" t="s">
        <v>451</v>
      </c>
      <c r="AL350" t="s">
        <v>264</v>
      </c>
      <c r="AM350" s="6">
        <v>44774</v>
      </c>
      <c r="AN350" t="s">
        <v>462</v>
      </c>
      <c r="AO350" t="s">
        <v>268</v>
      </c>
      <c r="AP350">
        <v>1205</v>
      </c>
      <c r="AQ350" t="s">
        <v>269</v>
      </c>
      <c r="AR350" t="s">
        <v>463</v>
      </c>
      <c r="AU350" t="s">
        <v>264</v>
      </c>
      <c r="AV350" t="s">
        <v>270</v>
      </c>
      <c r="AX350">
        <v>22001088</v>
      </c>
      <c r="AY350">
        <v>630600</v>
      </c>
      <c r="AZ350">
        <v>1205.6306</v>
      </c>
      <c r="BA350" s="28" t="s">
        <v>125</v>
      </c>
    </row>
    <row r="351" spans="1:53">
      <c r="A351" t="s">
        <v>424</v>
      </c>
      <c r="B351" t="s">
        <v>425</v>
      </c>
      <c r="C351">
        <v>22004227</v>
      </c>
      <c r="D351">
        <v>1205</v>
      </c>
      <c r="E351" s="6">
        <v>44774</v>
      </c>
      <c r="F351" t="s">
        <v>451</v>
      </c>
      <c r="G351">
        <v>5.36</v>
      </c>
      <c r="H351">
        <v>5.36</v>
      </c>
      <c r="I351" t="s">
        <v>263</v>
      </c>
      <c r="J351" t="s">
        <v>263</v>
      </c>
      <c r="L351" s="29">
        <v>78000</v>
      </c>
      <c r="N351" s="29">
        <v>78000</v>
      </c>
      <c r="O351" t="s">
        <v>264</v>
      </c>
      <c r="Q351" t="s">
        <v>264</v>
      </c>
      <c r="R351" t="s">
        <v>265</v>
      </c>
      <c r="S351">
        <v>14544</v>
      </c>
      <c r="T351" t="s">
        <v>266</v>
      </c>
      <c r="U351" t="s">
        <v>267</v>
      </c>
      <c r="V351" t="s">
        <v>427</v>
      </c>
      <c r="W351" t="s">
        <v>428</v>
      </c>
      <c r="X351">
        <v>1926906</v>
      </c>
      <c r="Y351" s="6">
        <v>44776</v>
      </c>
      <c r="Z351" t="s">
        <v>264</v>
      </c>
      <c r="AA351">
        <v>1</v>
      </c>
      <c r="AB351" t="s">
        <v>264</v>
      </c>
      <c r="AD351" t="s">
        <v>264</v>
      </c>
      <c r="AE351" t="s">
        <v>264</v>
      </c>
      <c r="AF351" t="s">
        <v>264</v>
      </c>
      <c r="AG351">
        <v>13</v>
      </c>
      <c r="AH351" t="s">
        <v>264</v>
      </c>
      <c r="AI351">
        <v>57330810</v>
      </c>
      <c r="AJ351" t="s">
        <v>451</v>
      </c>
      <c r="AL351" t="s">
        <v>264</v>
      </c>
      <c r="AM351" s="6">
        <v>44774</v>
      </c>
      <c r="AN351" t="s">
        <v>462</v>
      </c>
      <c r="AO351" t="s">
        <v>268</v>
      </c>
      <c r="AP351">
        <v>1205</v>
      </c>
      <c r="AQ351" t="s">
        <v>269</v>
      </c>
      <c r="AR351" t="s">
        <v>465</v>
      </c>
      <c r="AU351" t="s">
        <v>264</v>
      </c>
      <c r="AV351" t="s">
        <v>270</v>
      </c>
      <c r="AX351">
        <v>22001087</v>
      </c>
      <c r="AY351">
        <v>630600</v>
      </c>
      <c r="AZ351">
        <v>1205.6306</v>
      </c>
      <c r="BA351" s="28" t="s">
        <v>125</v>
      </c>
    </row>
    <row r="352" spans="1:53">
      <c r="A352" t="s">
        <v>424</v>
      </c>
      <c r="B352" t="s">
        <v>425</v>
      </c>
      <c r="C352">
        <v>22004228</v>
      </c>
      <c r="D352">
        <v>1205</v>
      </c>
      <c r="E352" s="6">
        <v>44774</v>
      </c>
      <c r="F352" t="s">
        <v>451</v>
      </c>
      <c r="G352">
        <v>45.72</v>
      </c>
      <c r="H352">
        <v>45.72</v>
      </c>
      <c r="I352" t="s">
        <v>263</v>
      </c>
      <c r="J352" t="s">
        <v>263</v>
      </c>
      <c r="L352" s="29">
        <v>665000</v>
      </c>
      <c r="N352" s="29">
        <v>665000</v>
      </c>
      <c r="O352" t="s">
        <v>264</v>
      </c>
      <c r="Q352" t="s">
        <v>264</v>
      </c>
      <c r="R352" t="s">
        <v>265</v>
      </c>
      <c r="S352">
        <v>14544</v>
      </c>
      <c r="T352" t="s">
        <v>266</v>
      </c>
      <c r="U352" t="s">
        <v>267</v>
      </c>
      <c r="V352" t="s">
        <v>427</v>
      </c>
      <c r="W352" t="s">
        <v>428</v>
      </c>
      <c r="X352">
        <v>1926829</v>
      </c>
      <c r="Y352" s="6">
        <v>44776</v>
      </c>
      <c r="Z352" t="s">
        <v>264</v>
      </c>
      <c r="AA352">
        <v>1</v>
      </c>
      <c r="AB352" t="s">
        <v>264</v>
      </c>
      <c r="AD352" t="s">
        <v>264</v>
      </c>
      <c r="AE352" t="s">
        <v>264</v>
      </c>
      <c r="AF352" t="s">
        <v>264</v>
      </c>
      <c r="AG352">
        <v>95</v>
      </c>
      <c r="AH352" t="s">
        <v>264</v>
      </c>
      <c r="AI352">
        <v>57330810</v>
      </c>
      <c r="AJ352" t="s">
        <v>451</v>
      </c>
      <c r="AL352" t="s">
        <v>264</v>
      </c>
      <c r="AM352" s="6">
        <v>44774</v>
      </c>
      <c r="AN352" t="s">
        <v>462</v>
      </c>
      <c r="AO352" t="s">
        <v>268</v>
      </c>
      <c r="AP352">
        <v>1205</v>
      </c>
      <c r="AQ352" t="s">
        <v>269</v>
      </c>
      <c r="AR352" t="s">
        <v>463</v>
      </c>
      <c r="AU352" t="s">
        <v>264</v>
      </c>
      <c r="AV352" t="s">
        <v>270</v>
      </c>
      <c r="AX352">
        <v>22001088</v>
      </c>
      <c r="AY352">
        <v>630600</v>
      </c>
      <c r="AZ352">
        <v>1205.6306</v>
      </c>
      <c r="BA352" s="28" t="s">
        <v>125</v>
      </c>
    </row>
    <row r="353" spans="1:53">
      <c r="A353" t="s">
        <v>424</v>
      </c>
      <c r="B353" t="s">
        <v>425</v>
      </c>
      <c r="C353">
        <v>22004229</v>
      </c>
      <c r="D353">
        <v>1205</v>
      </c>
      <c r="E353" s="6">
        <v>44774</v>
      </c>
      <c r="F353" t="s">
        <v>451</v>
      </c>
      <c r="G353">
        <v>111.39</v>
      </c>
      <c r="H353">
        <v>111.39</v>
      </c>
      <c r="I353" t="s">
        <v>263</v>
      </c>
      <c r="J353" t="s">
        <v>263</v>
      </c>
      <c r="L353" s="29">
        <v>1620000</v>
      </c>
      <c r="N353" s="29">
        <v>1620000</v>
      </c>
      <c r="O353" t="s">
        <v>264</v>
      </c>
      <c r="Q353" t="s">
        <v>264</v>
      </c>
      <c r="R353" t="s">
        <v>265</v>
      </c>
      <c r="S353">
        <v>14544</v>
      </c>
      <c r="T353" t="s">
        <v>266</v>
      </c>
      <c r="U353" t="s">
        <v>267</v>
      </c>
      <c r="V353" t="s">
        <v>427</v>
      </c>
      <c r="W353" t="s">
        <v>428</v>
      </c>
      <c r="X353">
        <v>1926906</v>
      </c>
      <c r="Y353" s="6">
        <v>44776</v>
      </c>
      <c r="Z353" t="s">
        <v>264</v>
      </c>
      <c r="AA353">
        <v>1</v>
      </c>
      <c r="AB353" t="s">
        <v>264</v>
      </c>
      <c r="AD353" t="s">
        <v>264</v>
      </c>
      <c r="AE353" t="s">
        <v>264</v>
      </c>
      <c r="AF353" t="s">
        <v>264</v>
      </c>
      <c r="AG353">
        <v>108</v>
      </c>
      <c r="AH353" t="s">
        <v>264</v>
      </c>
      <c r="AI353">
        <v>57330810</v>
      </c>
      <c r="AJ353" t="s">
        <v>451</v>
      </c>
      <c r="AL353" t="s">
        <v>264</v>
      </c>
      <c r="AM353" s="6">
        <v>44774</v>
      </c>
      <c r="AN353" t="s">
        <v>462</v>
      </c>
      <c r="AO353" t="s">
        <v>268</v>
      </c>
      <c r="AP353">
        <v>1205</v>
      </c>
      <c r="AQ353" t="s">
        <v>269</v>
      </c>
      <c r="AR353" t="s">
        <v>465</v>
      </c>
      <c r="AU353" t="s">
        <v>264</v>
      </c>
      <c r="AV353" t="s">
        <v>270</v>
      </c>
      <c r="AX353">
        <v>22001087</v>
      </c>
      <c r="AY353">
        <v>630600</v>
      </c>
      <c r="AZ353">
        <v>1205.6306</v>
      </c>
      <c r="BA353" s="28" t="s">
        <v>125</v>
      </c>
    </row>
    <row r="354" spans="1:53">
      <c r="A354" t="s">
        <v>424</v>
      </c>
      <c r="B354" t="s">
        <v>425</v>
      </c>
      <c r="C354">
        <v>22004230</v>
      </c>
      <c r="D354">
        <v>1205</v>
      </c>
      <c r="E354" s="6">
        <v>44774</v>
      </c>
      <c r="F354" t="s">
        <v>451</v>
      </c>
      <c r="G354">
        <v>44.55</v>
      </c>
      <c r="H354">
        <v>44.55</v>
      </c>
      <c r="I354" t="s">
        <v>263</v>
      </c>
      <c r="J354" t="s">
        <v>263</v>
      </c>
      <c r="L354" s="29">
        <v>648000</v>
      </c>
      <c r="N354" s="29">
        <v>648000</v>
      </c>
      <c r="O354" t="s">
        <v>264</v>
      </c>
      <c r="Q354" t="s">
        <v>264</v>
      </c>
      <c r="R354" t="s">
        <v>265</v>
      </c>
      <c r="S354">
        <v>14544</v>
      </c>
      <c r="T354" t="s">
        <v>266</v>
      </c>
      <c r="U354" t="s">
        <v>267</v>
      </c>
      <c r="V354" t="s">
        <v>427</v>
      </c>
      <c r="W354" t="s">
        <v>428</v>
      </c>
      <c r="X354">
        <v>1926906</v>
      </c>
      <c r="Y354" s="6">
        <v>44776</v>
      </c>
      <c r="Z354" t="s">
        <v>264</v>
      </c>
      <c r="AA354">
        <v>1</v>
      </c>
      <c r="AB354" t="s">
        <v>264</v>
      </c>
      <c r="AD354" t="s">
        <v>264</v>
      </c>
      <c r="AE354" t="s">
        <v>264</v>
      </c>
      <c r="AF354" t="s">
        <v>264</v>
      </c>
      <c r="AG354">
        <v>108</v>
      </c>
      <c r="AH354" t="s">
        <v>264</v>
      </c>
      <c r="AI354">
        <v>57330810</v>
      </c>
      <c r="AJ354" t="s">
        <v>451</v>
      </c>
      <c r="AL354" t="s">
        <v>264</v>
      </c>
      <c r="AM354" s="6">
        <v>44774</v>
      </c>
      <c r="AN354" t="s">
        <v>462</v>
      </c>
      <c r="AO354" t="s">
        <v>268</v>
      </c>
      <c r="AP354">
        <v>1205</v>
      </c>
      <c r="AQ354" t="s">
        <v>269</v>
      </c>
      <c r="AR354" t="s">
        <v>465</v>
      </c>
      <c r="AU354" t="s">
        <v>264</v>
      </c>
      <c r="AV354" t="s">
        <v>270</v>
      </c>
      <c r="AX354">
        <v>22001087</v>
      </c>
      <c r="AY354">
        <v>630600</v>
      </c>
      <c r="AZ354">
        <v>1205.6306</v>
      </c>
      <c r="BA354" s="28" t="s">
        <v>125</v>
      </c>
    </row>
    <row r="355" spans="1:53">
      <c r="A355" t="s">
        <v>424</v>
      </c>
      <c r="B355" t="s">
        <v>425</v>
      </c>
      <c r="C355">
        <v>22004231</v>
      </c>
      <c r="D355">
        <v>1205</v>
      </c>
      <c r="E355" s="6">
        <v>44774</v>
      </c>
      <c r="F355" t="s">
        <v>451</v>
      </c>
      <c r="G355">
        <v>233.91</v>
      </c>
      <c r="H355">
        <v>233.91</v>
      </c>
      <c r="I355" t="s">
        <v>263</v>
      </c>
      <c r="J355" t="s">
        <v>263</v>
      </c>
      <c r="L355" s="29">
        <v>3402000</v>
      </c>
      <c r="N355" s="29">
        <v>3402000</v>
      </c>
      <c r="O355" t="s">
        <v>264</v>
      </c>
      <c r="Q355" t="s">
        <v>264</v>
      </c>
      <c r="R355" t="s">
        <v>265</v>
      </c>
      <c r="S355">
        <v>14544</v>
      </c>
      <c r="T355" t="s">
        <v>266</v>
      </c>
      <c r="U355" t="s">
        <v>267</v>
      </c>
      <c r="V355" t="s">
        <v>427</v>
      </c>
      <c r="W355" t="s">
        <v>428</v>
      </c>
      <c r="X355">
        <v>1926829</v>
      </c>
      <c r="Y355" s="6">
        <v>44776</v>
      </c>
      <c r="Z355" t="s">
        <v>264</v>
      </c>
      <c r="AA355">
        <v>1</v>
      </c>
      <c r="AB355" t="s">
        <v>264</v>
      </c>
      <c r="AD355" t="s">
        <v>264</v>
      </c>
      <c r="AE355" t="s">
        <v>264</v>
      </c>
      <c r="AF355" t="s">
        <v>264</v>
      </c>
      <c r="AG355">
        <v>189</v>
      </c>
      <c r="AH355" t="s">
        <v>264</v>
      </c>
      <c r="AI355">
        <v>57330810</v>
      </c>
      <c r="AJ355" t="s">
        <v>451</v>
      </c>
      <c r="AL355" t="s">
        <v>264</v>
      </c>
      <c r="AM355" s="6">
        <v>44774</v>
      </c>
      <c r="AN355" t="s">
        <v>462</v>
      </c>
      <c r="AO355" t="s">
        <v>268</v>
      </c>
      <c r="AP355">
        <v>1205</v>
      </c>
      <c r="AQ355" t="s">
        <v>269</v>
      </c>
      <c r="AR355" t="s">
        <v>463</v>
      </c>
      <c r="AU355" t="s">
        <v>264</v>
      </c>
      <c r="AV355" t="s">
        <v>270</v>
      </c>
      <c r="AX355">
        <v>22001088</v>
      </c>
      <c r="AY355">
        <v>630600</v>
      </c>
      <c r="AZ355">
        <v>1205.6306</v>
      </c>
      <c r="BA355" s="28" t="s">
        <v>125</v>
      </c>
    </row>
    <row r="356" spans="1:53">
      <c r="A356" t="s">
        <v>424</v>
      </c>
      <c r="B356" t="s">
        <v>425</v>
      </c>
      <c r="C356">
        <v>22004232</v>
      </c>
      <c r="D356">
        <v>1205</v>
      </c>
      <c r="E356" s="6">
        <v>44774</v>
      </c>
      <c r="F356" t="s">
        <v>451</v>
      </c>
      <c r="G356">
        <v>90.97</v>
      </c>
      <c r="H356">
        <v>90.97</v>
      </c>
      <c r="I356" t="s">
        <v>263</v>
      </c>
      <c r="J356" t="s">
        <v>263</v>
      </c>
      <c r="L356" s="29">
        <v>1323000</v>
      </c>
      <c r="N356" s="29">
        <v>1323000</v>
      </c>
      <c r="O356" t="s">
        <v>264</v>
      </c>
      <c r="Q356" t="s">
        <v>264</v>
      </c>
      <c r="R356" t="s">
        <v>265</v>
      </c>
      <c r="S356">
        <v>14544</v>
      </c>
      <c r="T356" t="s">
        <v>266</v>
      </c>
      <c r="U356" t="s">
        <v>267</v>
      </c>
      <c r="V356" t="s">
        <v>427</v>
      </c>
      <c r="W356" t="s">
        <v>428</v>
      </c>
      <c r="X356">
        <v>1926829</v>
      </c>
      <c r="Y356" s="6">
        <v>44776</v>
      </c>
      <c r="Z356" t="s">
        <v>264</v>
      </c>
      <c r="AA356">
        <v>1</v>
      </c>
      <c r="AB356" t="s">
        <v>264</v>
      </c>
      <c r="AD356" t="s">
        <v>264</v>
      </c>
      <c r="AE356" t="s">
        <v>264</v>
      </c>
      <c r="AF356" t="s">
        <v>264</v>
      </c>
      <c r="AG356">
        <v>189</v>
      </c>
      <c r="AH356" t="s">
        <v>264</v>
      </c>
      <c r="AI356">
        <v>57330810</v>
      </c>
      <c r="AJ356" t="s">
        <v>451</v>
      </c>
      <c r="AL356" t="s">
        <v>264</v>
      </c>
      <c r="AM356" s="6">
        <v>44774</v>
      </c>
      <c r="AN356" t="s">
        <v>462</v>
      </c>
      <c r="AO356" t="s">
        <v>268</v>
      </c>
      <c r="AP356">
        <v>1205</v>
      </c>
      <c r="AQ356" t="s">
        <v>269</v>
      </c>
      <c r="AR356" t="s">
        <v>463</v>
      </c>
      <c r="AU356" t="s">
        <v>264</v>
      </c>
      <c r="AV356" t="s">
        <v>270</v>
      </c>
      <c r="AX356">
        <v>22001088</v>
      </c>
      <c r="AY356">
        <v>630600</v>
      </c>
      <c r="AZ356">
        <v>1205.6306</v>
      </c>
      <c r="BA356" s="28" t="s">
        <v>125</v>
      </c>
    </row>
    <row r="357" spans="1:53">
      <c r="A357" t="s">
        <v>424</v>
      </c>
      <c r="B357" t="s">
        <v>425</v>
      </c>
      <c r="C357">
        <v>22004241</v>
      </c>
      <c r="D357">
        <v>1205</v>
      </c>
      <c r="E357" s="6">
        <v>44774</v>
      </c>
      <c r="F357" t="s">
        <v>451</v>
      </c>
      <c r="G357">
        <v>414.6</v>
      </c>
      <c r="H357">
        <v>414.6</v>
      </c>
      <c r="I357" t="s">
        <v>263</v>
      </c>
      <c r="J357" t="s">
        <v>263</v>
      </c>
      <c r="L357" s="29">
        <v>6030000</v>
      </c>
      <c r="N357" s="29">
        <v>6030000</v>
      </c>
      <c r="O357" t="s">
        <v>264</v>
      </c>
      <c r="Q357" t="s">
        <v>264</v>
      </c>
      <c r="R357" t="s">
        <v>265</v>
      </c>
      <c r="S357">
        <v>14544</v>
      </c>
      <c r="T357" t="s">
        <v>266</v>
      </c>
      <c r="U357" t="s">
        <v>267</v>
      </c>
      <c r="V357" t="s">
        <v>427</v>
      </c>
      <c r="W357" t="s">
        <v>428</v>
      </c>
      <c r="X357">
        <v>1926829</v>
      </c>
      <c r="Y357" s="6">
        <v>44776</v>
      </c>
      <c r="Z357" t="s">
        <v>264</v>
      </c>
      <c r="AA357">
        <v>1</v>
      </c>
      <c r="AB357" t="s">
        <v>264</v>
      </c>
      <c r="AD357" t="s">
        <v>264</v>
      </c>
      <c r="AE357" t="s">
        <v>264</v>
      </c>
      <c r="AF357" t="s">
        <v>264</v>
      </c>
      <c r="AG357">
        <v>335</v>
      </c>
      <c r="AH357" t="s">
        <v>264</v>
      </c>
      <c r="AI357">
        <v>57330810</v>
      </c>
      <c r="AJ357" t="s">
        <v>451</v>
      </c>
      <c r="AL357" t="s">
        <v>264</v>
      </c>
      <c r="AM357" s="6">
        <v>44774</v>
      </c>
      <c r="AN357" t="s">
        <v>462</v>
      </c>
      <c r="AO357" t="s">
        <v>268</v>
      </c>
      <c r="AP357">
        <v>1205</v>
      </c>
      <c r="AQ357" t="s">
        <v>269</v>
      </c>
      <c r="AR357" t="s">
        <v>466</v>
      </c>
      <c r="AU357" t="s">
        <v>264</v>
      </c>
      <c r="AV357" t="s">
        <v>270</v>
      </c>
      <c r="AX357">
        <v>22001089</v>
      </c>
      <c r="AY357">
        <v>630600</v>
      </c>
      <c r="AZ357">
        <v>1205.6306</v>
      </c>
      <c r="BA357" s="28" t="s">
        <v>125</v>
      </c>
    </row>
    <row r="358" spans="1:53">
      <c r="A358" t="s">
        <v>424</v>
      </c>
      <c r="B358" t="s">
        <v>425</v>
      </c>
      <c r="C358">
        <v>22004244</v>
      </c>
      <c r="D358">
        <v>1205</v>
      </c>
      <c r="E358" s="6">
        <v>44774</v>
      </c>
      <c r="F358" t="s">
        <v>451</v>
      </c>
      <c r="G358">
        <v>161.24</v>
      </c>
      <c r="H358">
        <v>161.24</v>
      </c>
      <c r="I358" t="s">
        <v>263</v>
      </c>
      <c r="J358" t="s">
        <v>263</v>
      </c>
      <c r="L358" s="29">
        <v>2345000</v>
      </c>
      <c r="N358" s="29">
        <v>2345000</v>
      </c>
      <c r="O358" t="s">
        <v>264</v>
      </c>
      <c r="Q358" t="s">
        <v>264</v>
      </c>
      <c r="R358" t="s">
        <v>265</v>
      </c>
      <c r="S358">
        <v>14544</v>
      </c>
      <c r="T358" t="s">
        <v>266</v>
      </c>
      <c r="U358" t="s">
        <v>267</v>
      </c>
      <c r="V358" t="s">
        <v>427</v>
      </c>
      <c r="W358" t="s">
        <v>428</v>
      </c>
      <c r="X358">
        <v>1926829</v>
      </c>
      <c r="Y358" s="6">
        <v>44776</v>
      </c>
      <c r="Z358" t="s">
        <v>264</v>
      </c>
      <c r="AA358">
        <v>1</v>
      </c>
      <c r="AB358" t="s">
        <v>264</v>
      </c>
      <c r="AD358" t="s">
        <v>264</v>
      </c>
      <c r="AE358" t="s">
        <v>264</v>
      </c>
      <c r="AF358" t="s">
        <v>264</v>
      </c>
      <c r="AG358">
        <v>335</v>
      </c>
      <c r="AH358" t="s">
        <v>264</v>
      </c>
      <c r="AI358">
        <v>57330810</v>
      </c>
      <c r="AJ358" t="s">
        <v>451</v>
      </c>
      <c r="AL358" t="s">
        <v>264</v>
      </c>
      <c r="AM358" s="6">
        <v>44774</v>
      </c>
      <c r="AN358" t="s">
        <v>462</v>
      </c>
      <c r="AO358" t="s">
        <v>268</v>
      </c>
      <c r="AP358">
        <v>1205</v>
      </c>
      <c r="AQ358" t="s">
        <v>269</v>
      </c>
      <c r="AR358" t="s">
        <v>466</v>
      </c>
      <c r="AU358" t="s">
        <v>264</v>
      </c>
      <c r="AV358" t="s">
        <v>270</v>
      </c>
      <c r="AX358">
        <v>22001089</v>
      </c>
      <c r="AY358">
        <v>630600</v>
      </c>
      <c r="AZ358">
        <v>1205.6306</v>
      </c>
      <c r="BA358" s="28" t="s">
        <v>125</v>
      </c>
    </row>
    <row r="359" spans="1:53">
      <c r="A359" t="s">
        <v>424</v>
      </c>
      <c r="B359" t="s">
        <v>425</v>
      </c>
      <c r="C359">
        <v>22004245</v>
      </c>
      <c r="D359">
        <v>1205</v>
      </c>
      <c r="E359" s="6">
        <v>44774</v>
      </c>
      <c r="F359" t="s">
        <v>451</v>
      </c>
      <c r="G359">
        <v>342.82</v>
      </c>
      <c r="H359">
        <v>342.82</v>
      </c>
      <c r="I359" t="s">
        <v>263</v>
      </c>
      <c r="J359" t="s">
        <v>263</v>
      </c>
      <c r="L359" s="29">
        <v>4986000</v>
      </c>
      <c r="N359" s="29">
        <v>4986000</v>
      </c>
      <c r="O359" t="s">
        <v>264</v>
      </c>
      <c r="Q359" t="s">
        <v>264</v>
      </c>
      <c r="R359" t="s">
        <v>265</v>
      </c>
      <c r="S359">
        <v>14544</v>
      </c>
      <c r="T359" t="s">
        <v>266</v>
      </c>
      <c r="U359" t="s">
        <v>267</v>
      </c>
      <c r="V359" t="s">
        <v>427</v>
      </c>
      <c r="W359" t="s">
        <v>428</v>
      </c>
      <c r="X359">
        <v>1926829</v>
      </c>
      <c r="Y359" s="6">
        <v>44776</v>
      </c>
      <c r="Z359" t="s">
        <v>264</v>
      </c>
      <c r="AA359">
        <v>1</v>
      </c>
      <c r="AB359" t="s">
        <v>264</v>
      </c>
      <c r="AD359" t="s">
        <v>264</v>
      </c>
      <c r="AE359" t="s">
        <v>264</v>
      </c>
      <c r="AF359" t="s">
        <v>264</v>
      </c>
      <c r="AG359">
        <v>277</v>
      </c>
      <c r="AH359" t="s">
        <v>264</v>
      </c>
      <c r="AI359">
        <v>57330810</v>
      </c>
      <c r="AJ359" t="s">
        <v>451</v>
      </c>
      <c r="AL359" t="s">
        <v>264</v>
      </c>
      <c r="AM359" s="6">
        <v>44774</v>
      </c>
      <c r="AN359" t="s">
        <v>462</v>
      </c>
      <c r="AO359" t="s">
        <v>268</v>
      </c>
      <c r="AP359">
        <v>1205</v>
      </c>
      <c r="AQ359" t="s">
        <v>269</v>
      </c>
      <c r="AR359" t="s">
        <v>466</v>
      </c>
      <c r="AU359" t="s">
        <v>264</v>
      </c>
      <c r="AV359" t="s">
        <v>270</v>
      </c>
      <c r="AX359">
        <v>22001089</v>
      </c>
      <c r="AY359">
        <v>630600</v>
      </c>
      <c r="AZ359">
        <v>1205.6306</v>
      </c>
      <c r="BA359" s="28" t="s">
        <v>125</v>
      </c>
    </row>
    <row r="360" spans="1:53">
      <c r="A360" t="s">
        <v>424</v>
      </c>
      <c r="B360" t="s">
        <v>425</v>
      </c>
      <c r="C360">
        <v>22004246</v>
      </c>
      <c r="D360">
        <v>1205</v>
      </c>
      <c r="E360" s="6">
        <v>44774</v>
      </c>
      <c r="F360" t="s">
        <v>451</v>
      </c>
      <c r="G360">
        <v>133.32</v>
      </c>
      <c r="H360">
        <v>133.32</v>
      </c>
      <c r="I360" t="s">
        <v>263</v>
      </c>
      <c r="J360" t="s">
        <v>263</v>
      </c>
      <c r="L360" s="29">
        <v>1939000</v>
      </c>
      <c r="N360" s="29">
        <v>1939000</v>
      </c>
      <c r="O360" t="s">
        <v>264</v>
      </c>
      <c r="Q360" t="s">
        <v>264</v>
      </c>
      <c r="R360" t="s">
        <v>265</v>
      </c>
      <c r="S360">
        <v>14544</v>
      </c>
      <c r="T360" t="s">
        <v>266</v>
      </c>
      <c r="U360" t="s">
        <v>267</v>
      </c>
      <c r="V360" t="s">
        <v>427</v>
      </c>
      <c r="W360" t="s">
        <v>428</v>
      </c>
      <c r="X360">
        <v>1926829</v>
      </c>
      <c r="Y360" s="6">
        <v>44776</v>
      </c>
      <c r="Z360" t="s">
        <v>264</v>
      </c>
      <c r="AA360">
        <v>1</v>
      </c>
      <c r="AB360" t="s">
        <v>264</v>
      </c>
      <c r="AD360" t="s">
        <v>264</v>
      </c>
      <c r="AE360" t="s">
        <v>264</v>
      </c>
      <c r="AF360" t="s">
        <v>264</v>
      </c>
      <c r="AG360">
        <v>277</v>
      </c>
      <c r="AH360" t="s">
        <v>264</v>
      </c>
      <c r="AI360">
        <v>57330810</v>
      </c>
      <c r="AJ360" t="s">
        <v>451</v>
      </c>
      <c r="AL360" t="s">
        <v>264</v>
      </c>
      <c r="AM360" s="6">
        <v>44774</v>
      </c>
      <c r="AN360" t="s">
        <v>462</v>
      </c>
      <c r="AO360" t="s">
        <v>268</v>
      </c>
      <c r="AP360">
        <v>1205</v>
      </c>
      <c r="AQ360" t="s">
        <v>269</v>
      </c>
      <c r="AR360" t="s">
        <v>466</v>
      </c>
      <c r="AU360" t="s">
        <v>264</v>
      </c>
      <c r="AV360" t="s">
        <v>270</v>
      </c>
      <c r="AX360">
        <v>22001089</v>
      </c>
      <c r="AY360">
        <v>630600</v>
      </c>
      <c r="AZ360">
        <v>1205.6306</v>
      </c>
      <c r="BA360" s="28" t="s">
        <v>125</v>
      </c>
    </row>
    <row r="361" spans="1:53">
      <c r="A361" t="s">
        <v>424</v>
      </c>
      <c r="B361" t="s">
        <v>425</v>
      </c>
      <c r="C361">
        <v>22004247</v>
      </c>
      <c r="D361">
        <v>1205</v>
      </c>
      <c r="E361" s="6">
        <v>44774</v>
      </c>
      <c r="F361" t="s">
        <v>451</v>
      </c>
      <c r="G361">
        <v>200.09</v>
      </c>
      <c r="H361">
        <v>200.09</v>
      </c>
      <c r="I361" t="s">
        <v>263</v>
      </c>
      <c r="J361" t="s">
        <v>263</v>
      </c>
      <c r="L361" s="29">
        <v>2910000</v>
      </c>
      <c r="N361" s="29">
        <v>2910000</v>
      </c>
      <c r="O361" t="s">
        <v>264</v>
      </c>
      <c r="Q361" t="s">
        <v>264</v>
      </c>
      <c r="R361" t="s">
        <v>265</v>
      </c>
      <c r="S361">
        <v>14544</v>
      </c>
      <c r="T361" t="s">
        <v>266</v>
      </c>
      <c r="U361" t="s">
        <v>267</v>
      </c>
      <c r="V361" t="s">
        <v>427</v>
      </c>
      <c r="W361" t="s">
        <v>428</v>
      </c>
      <c r="X361">
        <v>1926921</v>
      </c>
      <c r="Y361" s="6">
        <v>44776</v>
      </c>
      <c r="Z361" t="s">
        <v>264</v>
      </c>
      <c r="AA361">
        <v>1</v>
      </c>
      <c r="AB361" t="s">
        <v>264</v>
      </c>
      <c r="AD361" t="s">
        <v>264</v>
      </c>
      <c r="AE361" t="s">
        <v>264</v>
      </c>
      <c r="AF361" t="s">
        <v>264</v>
      </c>
      <c r="AG361">
        <v>194</v>
      </c>
      <c r="AH361" t="s">
        <v>264</v>
      </c>
      <c r="AI361">
        <v>57330810</v>
      </c>
      <c r="AJ361" t="s">
        <v>451</v>
      </c>
      <c r="AL361" t="s">
        <v>264</v>
      </c>
      <c r="AM361" s="6">
        <v>44774</v>
      </c>
      <c r="AN361" t="s">
        <v>462</v>
      </c>
      <c r="AO361" t="s">
        <v>268</v>
      </c>
      <c r="AP361">
        <v>1205</v>
      </c>
      <c r="AQ361" t="s">
        <v>269</v>
      </c>
      <c r="AR361" t="s">
        <v>465</v>
      </c>
      <c r="AU361" t="s">
        <v>264</v>
      </c>
      <c r="AV361" t="s">
        <v>270</v>
      </c>
      <c r="AX361">
        <v>22001087</v>
      </c>
      <c r="AY361">
        <v>630600</v>
      </c>
      <c r="AZ361">
        <v>1205.6306</v>
      </c>
      <c r="BA361" s="28" t="s">
        <v>125</v>
      </c>
    </row>
    <row r="362" spans="1:53">
      <c r="A362" t="s">
        <v>424</v>
      </c>
      <c r="B362" t="s">
        <v>425</v>
      </c>
      <c r="C362">
        <v>22004248</v>
      </c>
      <c r="D362">
        <v>1205</v>
      </c>
      <c r="E362" s="6">
        <v>44774</v>
      </c>
      <c r="F362" t="s">
        <v>451</v>
      </c>
      <c r="G362">
        <v>35.89</v>
      </c>
      <c r="H362">
        <v>35.89</v>
      </c>
      <c r="I362" t="s">
        <v>263</v>
      </c>
      <c r="J362" t="s">
        <v>263</v>
      </c>
      <c r="L362" s="29">
        <v>522000</v>
      </c>
      <c r="N362" s="29">
        <v>522000</v>
      </c>
      <c r="O362" t="s">
        <v>264</v>
      </c>
      <c r="Q362" t="s">
        <v>264</v>
      </c>
      <c r="R362" t="s">
        <v>265</v>
      </c>
      <c r="S362">
        <v>14544</v>
      </c>
      <c r="T362" t="s">
        <v>266</v>
      </c>
      <c r="U362" t="s">
        <v>267</v>
      </c>
      <c r="V362" t="s">
        <v>427</v>
      </c>
      <c r="W362" t="s">
        <v>428</v>
      </c>
      <c r="X362">
        <v>1926829</v>
      </c>
      <c r="Y362" s="6">
        <v>44776</v>
      </c>
      <c r="Z362" t="s">
        <v>264</v>
      </c>
      <c r="AA362">
        <v>1</v>
      </c>
      <c r="AB362" t="s">
        <v>264</v>
      </c>
      <c r="AD362" t="s">
        <v>264</v>
      </c>
      <c r="AE362" t="s">
        <v>264</v>
      </c>
      <c r="AF362" t="s">
        <v>264</v>
      </c>
      <c r="AG362">
        <v>29</v>
      </c>
      <c r="AH362" t="s">
        <v>264</v>
      </c>
      <c r="AI362">
        <v>57330810</v>
      </c>
      <c r="AJ362" t="s">
        <v>451</v>
      </c>
      <c r="AL362" t="s">
        <v>264</v>
      </c>
      <c r="AM362" s="6">
        <v>44774</v>
      </c>
      <c r="AN362" t="s">
        <v>462</v>
      </c>
      <c r="AO362" t="s">
        <v>268</v>
      </c>
      <c r="AP362">
        <v>1205</v>
      </c>
      <c r="AQ362" t="s">
        <v>269</v>
      </c>
      <c r="AR362" t="s">
        <v>466</v>
      </c>
      <c r="AU362" t="s">
        <v>264</v>
      </c>
      <c r="AV362" t="s">
        <v>270</v>
      </c>
      <c r="AX362">
        <v>22001089</v>
      </c>
      <c r="AY362">
        <v>630600</v>
      </c>
      <c r="AZ362">
        <v>1205.6306</v>
      </c>
      <c r="BA362" s="28" t="s">
        <v>125</v>
      </c>
    </row>
    <row r="363" spans="1:53">
      <c r="A363" t="s">
        <v>424</v>
      </c>
      <c r="B363" t="s">
        <v>425</v>
      </c>
      <c r="C363">
        <v>22004249</v>
      </c>
      <c r="D363">
        <v>1205</v>
      </c>
      <c r="E363" s="6">
        <v>44774</v>
      </c>
      <c r="F363" t="s">
        <v>451</v>
      </c>
      <c r="G363">
        <v>80.03</v>
      </c>
      <c r="H363">
        <v>80.03</v>
      </c>
      <c r="I363" t="s">
        <v>263</v>
      </c>
      <c r="J363" t="s">
        <v>263</v>
      </c>
      <c r="L363" s="29">
        <v>1164000</v>
      </c>
      <c r="N363" s="29">
        <v>1164000</v>
      </c>
      <c r="O363" t="s">
        <v>264</v>
      </c>
      <c r="Q363" t="s">
        <v>264</v>
      </c>
      <c r="R363" t="s">
        <v>265</v>
      </c>
      <c r="S363">
        <v>14544</v>
      </c>
      <c r="T363" t="s">
        <v>266</v>
      </c>
      <c r="U363" t="s">
        <v>267</v>
      </c>
      <c r="V363" t="s">
        <v>427</v>
      </c>
      <c r="W363" t="s">
        <v>428</v>
      </c>
      <c r="X363">
        <v>1926921</v>
      </c>
      <c r="Y363" s="6">
        <v>44776</v>
      </c>
      <c r="Z363" t="s">
        <v>264</v>
      </c>
      <c r="AA363">
        <v>1</v>
      </c>
      <c r="AB363" t="s">
        <v>264</v>
      </c>
      <c r="AD363" t="s">
        <v>264</v>
      </c>
      <c r="AE363" t="s">
        <v>264</v>
      </c>
      <c r="AF363" t="s">
        <v>264</v>
      </c>
      <c r="AG363">
        <v>194</v>
      </c>
      <c r="AH363" t="s">
        <v>264</v>
      </c>
      <c r="AI363">
        <v>57330810</v>
      </c>
      <c r="AJ363" t="s">
        <v>451</v>
      </c>
      <c r="AL363" t="s">
        <v>264</v>
      </c>
      <c r="AM363" s="6">
        <v>44774</v>
      </c>
      <c r="AN363" t="s">
        <v>462</v>
      </c>
      <c r="AO363" t="s">
        <v>268</v>
      </c>
      <c r="AP363">
        <v>1205</v>
      </c>
      <c r="AQ363" t="s">
        <v>269</v>
      </c>
      <c r="AR363" t="s">
        <v>465</v>
      </c>
      <c r="AU363" t="s">
        <v>264</v>
      </c>
      <c r="AV363" t="s">
        <v>270</v>
      </c>
      <c r="AX363">
        <v>22001087</v>
      </c>
      <c r="AY363">
        <v>630600</v>
      </c>
      <c r="AZ363">
        <v>1205.6306</v>
      </c>
      <c r="BA363" s="28" t="s">
        <v>125</v>
      </c>
    </row>
    <row r="364" spans="1:53">
      <c r="A364" t="s">
        <v>424</v>
      </c>
      <c r="B364" t="s">
        <v>425</v>
      </c>
      <c r="C364">
        <v>22004250</v>
      </c>
      <c r="D364">
        <v>1205</v>
      </c>
      <c r="E364" s="6">
        <v>44774</v>
      </c>
      <c r="F364" t="s">
        <v>451</v>
      </c>
      <c r="G364">
        <v>13.96</v>
      </c>
      <c r="H364">
        <v>13.96</v>
      </c>
      <c r="I364" t="s">
        <v>263</v>
      </c>
      <c r="J364" t="s">
        <v>263</v>
      </c>
      <c r="L364" s="29">
        <v>203000</v>
      </c>
      <c r="N364" s="29">
        <v>203000</v>
      </c>
      <c r="O364" t="s">
        <v>264</v>
      </c>
      <c r="Q364" t="s">
        <v>264</v>
      </c>
      <c r="R364" t="s">
        <v>265</v>
      </c>
      <c r="S364">
        <v>14544</v>
      </c>
      <c r="T364" t="s">
        <v>266</v>
      </c>
      <c r="U364" t="s">
        <v>267</v>
      </c>
      <c r="V364" t="s">
        <v>427</v>
      </c>
      <c r="W364" t="s">
        <v>428</v>
      </c>
      <c r="X364">
        <v>1926829</v>
      </c>
      <c r="Y364" s="6">
        <v>44776</v>
      </c>
      <c r="Z364" t="s">
        <v>264</v>
      </c>
      <c r="AA364">
        <v>1</v>
      </c>
      <c r="AB364" t="s">
        <v>264</v>
      </c>
      <c r="AD364" t="s">
        <v>264</v>
      </c>
      <c r="AE364" t="s">
        <v>264</v>
      </c>
      <c r="AF364" t="s">
        <v>264</v>
      </c>
      <c r="AG364">
        <v>29</v>
      </c>
      <c r="AH364" t="s">
        <v>264</v>
      </c>
      <c r="AI364">
        <v>57330810</v>
      </c>
      <c r="AJ364" t="s">
        <v>451</v>
      </c>
      <c r="AL364" t="s">
        <v>264</v>
      </c>
      <c r="AM364" s="6">
        <v>44774</v>
      </c>
      <c r="AN364" t="s">
        <v>462</v>
      </c>
      <c r="AO364" t="s">
        <v>268</v>
      </c>
      <c r="AP364">
        <v>1205</v>
      </c>
      <c r="AQ364" t="s">
        <v>269</v>
      </c>
      <c r="AR364" t="s">
        <v>466</v>
      </c>
      <c r="AU364" t="s">
        <v>264</v>
      </c>
      <c r="AV364" t="s">
        <v>270</v>
      </c>
      <c r="AX364">
        <v>22001089</v>
      </c>
      <c r="AY364">
        <v>630600</v>
      </c>
      <c r="AZ364">
        <v>1205.6306</v>
      </c>
      <c r="BA364" s="28" t="s">
        <v>125</v>
      </c>
    </row>
    <row r="365" spans="1:53">
      <c r="A365" t="s">
        <v>424</v>
      </c>
      <c r="B365" t="s">
        <v>425</v>
      </c>
      <c r="C365">
        <v>22004251</v>
      </c>
      <c r="D365">
        <v>1205</v>
      </c>
      <c r="E365" s="6">
        <v>44774</v>
      </c>
      <c r="F365" t="s">
        <v>451</v>
      </c>
      <c r="G365">
        <v>51.57</v>
      </c>
      <c r="H365">
        <v>51.57</v>
      </c>
      <c r="I365" t="s">
        <v>263</v>
      </c>
      <c r="J365" t="s">
        <v>263</v>
      </c>
      <c r="L365" s="29">
        <v>750000</v>
      </c>
      <c r="N365" s="29">
        <v>750000</v>
      </c>
      <c r="O365" t="s">
        <v>264</v>
      </c>
      <c r="Q365" t="s">
        <v>264</v>
      </c>
      <c r="R365" t="s">
        <v>265</v>
      </c>
      <c r="S365">
        <v>14544</v>
      </c>
      <c r="T365" t="s">
        <v>266</v>
      </c>
      <c r="U365" t="s">
        <v>267</v>
      </c>
      <c r="V365" t="s">
        <v>427</v>
      </c>
      <c r="W365" t="s">
        <v>428</v>
      </c>
      <c r="X365">
        <v>1926921</v>
      </c>
      <c r="Y365" s="6">
        <v>44776</v>
      </c>
      <c r="Z365" t="s">
        <v>264</v>
      </c>
      <c r="AA365">
        <v>1</v>
      </c>
      <c r="AB365" t="s">
        <v>264</v>
      </c>
      <c r="AD365" t="s">
        <v>264</v>
      </c>
      <c r="AE365" t="s">
        <v>264</v>
      </c>
      <c r="AF365" t="s">
        <v>264</v>
      </c>
      <c r="AG365">
        <v>50</v>
      </c>
      <c r="AH365" t="s">
        <v>264</v>
      </c>
      <c r="AI365">
        <v>57330810</v>
      </c>
      <c r="AJ365" t="s">
        <v>451</v>
      </c>
      <c r="AL365" t="s">
        <v>264</v>
      </c>
      <c r="AM365" s="6">
        <v>44774</v>
      </c>
      <c r="AN365" t="s">
        <v>462</v>
      </c>
      <c r="AO365" t="s">
        <v>268</v>
      </c>
      <c r="AP365">
        <v>1205</v>
      </c>
      <c r="AQ365" t="s">
        <v>269</v>
      </c>
      <c r="AR365" t="s">
        <v>465</v>
      </c>
      <c r="AU365" t="s">
        <v>264</v>
      </c>
      <c r="AV365" t="s">
        <v>270</v>
      </c>
      <c r="AX365">
        <v>22001087</v>
      </c>
      <c r="AY365">
        <v>630600</v>
      </c>
      <c r="AZ365">
        <v>1205.6306</v>
      </c>
      <c r="BA365" s="28" t="s">
        <v>125</v>
      </c>
    </row>
    <row r="366" spans="1:53">
      <c r="A366" t="s">
        <v>424</v>
      </c>
      <c r="B366" t="s">
        <v>425</v>
      </c>
      <c r="C366">
        <v>22004252</v>
      </c>
      <c r="D366">
        <v>1205</v>
      </c>
      <c r="E366" s="6">
        <v>44774</v>
      </c>
      <c r="F366" t="s">
        <v>451</v>
      </c>
      <c r="G366">
        <v>30.94</v>
      </c>
      <c r="H366">
        <v>30.94</v>
      </c>
      <c r="I366" t="s">
        <v>263</v>
      </c>
      <c r="J366" t="s">
        <v>263</v>
      </c>
      <c r="L366" s="29">
        <v>450000</v>
      </c>
      <c r="N366" s="29">
        <v>450000</v>
      </c>
      <c r="O366" t="s">
        <v>264</v>
      </c>
      <c r="Q366" t="s">
        <v>264</v>
      </c>
      <c r="R366" t="s">
        <v>265</v>
      </c>
      <c r="S366">
        <v>14544</v>
      </c>
      <c r="T366" t="s">
        <v>266</v>
      </c>
      <c r="U366" t="s">
        <v>267</v>
      </c>
      <c r="V366" t="s">
        <v>427</v>
      </c>
      <c r="W366" t="s">
        <v>428</v>
      </c>
      <c r="X366">
        <v>1926829</v>
      </c>
      <c r="Y366" s="6">
        <v>44776</v>
      </c>
      <c r="Z366" t="s">
        <v>264</v>
      </c>
      <c r="AA366">
        <v>1</v>
      </c>
      <c r="AB366" t="s">
        <v>264</v>
      </c>
      <c r="AD366" t="s">
        <v>264</v>
      </c>
      <c r="AE366" t="s">
        <v>264</v>
      </c>
      <c r="AF366" t="s">
        <v>264</v>
      </c>
      <c r="AG366">
        <v>25</v>
      </c>
      <c r="AH366" t="s">
        <v>264</v>
      </c>
      <c r="AI366">
        <v>57330810</v>
      </c>
      <c r="AJ366" t="s">
        <v>451</v>
      </c>
      <c r="AL366" t="s">
        <v>264</v>
      </c>
      <c r="AM366" s="6">
        <v>44774</v>
      </c>
      <c r="AN366" t="s">
        <v>462</v>
      </c>
      <c r="AO366" t="s">
        <v>268</v>
      </c>
      <c r="AP366">
        <v>1205</v>
      </c>
      <c r="AQ366" t="s">
        <v>269</v>
      </c>
      <c r="AR366" t="s">
        <v>466</v>
      </c>
      <c r="AU366" t="s">
        <v>264</v>
      </c>
      <c r="AV366" t="s">
        <v>270</v>
      </c>
      <c r="AX366">
        <v>22001089</v>
      </c>
      <c r="AY366">
        <v>630600</v>
      </c>
      <c r="AZ366">
        <v>1205.6306</v>
      </c>
      <c r="BA366" s="28" t="s">
        <v>125</v>
      </c>
    </row>
    <row r="367" spans="1:53">
      <c r="A367" t="s">
        <v>424</v>
      </c>
      <c r="B367" t="s">
        <v>425</v>
      </c>
      <c r="C367">
        <v>22004253</v>
      </c>
      <c r="D367">
        <v>1205</v>
      </c>
      <c r="E367" s="6">
        <v>44774</v>
      </c>
      <c r="F367" t="s">
        <v>451</v>
      </c>
      <c r="G367">
        <v>12.03</v>
      </c>
      <c r="H367">
        <v>12.03</v>
      </c>
      <c r="I367" t="s">
        <v>263</v>
      </c>
      <c r="J367" t="s">
        <v>263</v>
      </c>
      <c r="L367" s="29">
        <v>175000</v>
      </c>
      <c r="N367" s="29">
        <v>175000</v>
      </c>
      <c r="O367" t="s">
        <v>264</v>
      </c>
      <c r="Q367" t="s">
        <v>264</v>
      </c>
      <c r="R367" t="s">
        <v>265</v>
      </c>
      <c r="S367">
        <v>14544</v>
      </c>
      <c r="T367" t="s">
        <v>266</v>
      </c>
      <c r="U367" t="s">
        <v>267</v>
      </c>
      <c r="V367" t="s">
        <v>427</v>
      </c>
      <c r="W367" t="s">
        <v>428</v>
      </c>
      <c r="X367">
        <v>1926829</v>
      </c>
      <c r="Y367" s="6">
        <v>44776</v>
      </c>
      <c r="Z367" t="s">
        <v>264</v>
      </c>
      <c r="AA367">
        <v>1</v>
      </c>
      <c r="AB367" t="s">
        <v>264</v>
      </c>
      <c r="AD367" t="s">
        <v>264</v>
      </c>
      <c r="AE367" t="s">
        <v>264</v>
      </c>
      <c r="AF367" t="s">
        <v>264</v>
      </c>
      <c r="AG367">
        <v>25</v>
      </c>
      <c r="AH367" t="s">
        <v>264</v>
      </c>
      <c r="AI367">
        <v>57330810</v>
      </c>
      <c r="AJ367" t="s">
        <v>451</v>
      </c>
      <c r="AL367" t="s">
        <v>264</v>
      </c>
      <c r="AM367" s="6">
        <v>44774</v>
      </c>
      <c r="AN367" t="s">
        <v>462</v>
      </c>
      <c r="AO367" t="s">
        <v>268</v>
      </c>
      <c r="AP367">
        <v>1205</v>
      </c>
      <c r="AQ367" t="s">
        <v>269</v>
      </c>
      <c r="AR367" t="s">
        <v>466</v>
      </c>
      <c r="AU367" t="s">
        <v>264</v>
      </c>
      <c r="AV367" t="s">
        <v>270</v>
      </c>
      <c r="AX367">
        <v>22001089</v>
      </c>
      <c r="AY367">
        <v>630600</v>
      </c>
      <c r="AZ367">
        <v>1205.6306</v>
      </c>
      <c r="BA367" s="28" t="s">
        <v>125</v>
      </c>
    </row>
    <row r="368" spans="1:53">
      <c r="A368" t="s">
        <v>424</v>
      </c>
      <c r="B368" t="s">
        <v>425</v>
      </c>
      <c r="C368">
        <v>22004254</v>
      </c>
      <c r="D368">
        <v>1205</v>
      </c>
      <c r="E368" s="6">
        <v>44774</v>
      </c>
      <c r="F368" t="s">
        <v>451</v>
      </c>
      <c r="G368">
        <v>20.63</v>
      </c>
      <c r="H368">
        <v>20.63</v>
      </c>
      <c r="I368" t="s">
        <v>263</v>
      </c>
      <c r="J368" t="s">
        <v>263</v>
      </c>
      <c r="L368" s="29">
        <v>300000</v>
      </c>
      <c r="N368" s="29">
        <v>300000</v>
      </c>
      <c r="O368" t="s">
        <v>264</v>
      </c>
      <c r="Q368" t="s">
        <v>264</v>
      </c>
      <c r="R368" t="s">
        <v>265</v>
      </c>
      <c r="S368">
        <v>14544</v>
      </c>
      <c r="T368" t="s">
        <v>266</v>
      </c>
      <c r="U368" t="s">
        <v>267</v>
      </c>
      <c r="V368" t="s">
        <v>427</v>
      </c>
      <c r="W368" t="s">
        <v>428</v>
      </c>
      <c r="X368">
        <v>1926921</v>
      </c>
      <c r="Y368" s="6">
        <v>44776</v>
      </c>
      <c r="Z368" t="s">
        <v>264</v>
      </c>
      <c r="AA368">
        <v>1</v>
      </c>
      <c r="AB368" t="s">
        <v>264</v>
      </c>
      <c r="AD368" t="s">
        <v>264</v>
      </c>
      <c r="AE368" t="s">
        <v>264</v>
      </c>
      <c r="AF368" t="s">
        <v>264</v>
      </c>
      <c r="AG368">
        <v>50</v>
      </c>
      <c r="AH368" t="s">
        <v>264</v>
      </c>
      <c r="AI368">
        <v>57330810</v>
      </c>
      <c r="AJ368" t="s">
        <v>451</v>
      </c>
      <c r="AL368" t="s">
        <v>264</v>
      </c>
      <c r="AM368" s="6">
        <v>44774</v>
      </c>
      <c r="AN368" t="s">
        <v>462</v>
      </c>
      <c r="AO368" t="s">
        <v>268</v>
      </c>
      <c r="AP368">
        <v>1205</v>
      </c>
      <c r="AQ368" t="s">
        <v>269</v>
      </c>
      <c r="AR368" t="s">
        <v>465</v>
      </c>
      <c r="AU368" t="s">
        <v>264</v>
      </c>
      <c r="AV368" t="s">
        <v>270</v>
      </c>
      <c r="AX368">
        <v>22001087</v>
      </c>
      <c r="AY368">
        <v>630600</v>
      </c>
      <c r="AZ368">
        <v>1205.6306</v>
      </c>
      <c r="BA368" s="28" t="s">
        <v>125</v>
      </c>
    </row>
    <row r="369" spans="1:53">
      <c r="A369" t="s">
        <v>424</v>
      </c>
      <c r="B369" t="s">
        <v>425</v>
      </c>
      <c r="C369">
        <v>22004255</v>
      </c>
      <c r="D369">
        <v>1205</v>
      </c>
      <c r="E369" s="6">
        <v>44774</v>
      </c>
      <c r="F369" t="s">
        <v>451</v>
      </c>
      <c r="G369">
        <v>80.44</v>
      </c>
      <c r="H369">
        <v>80.44</v>
      </c>
      <c r="I369" t="s">
        <v>263</v>
      </c>
      <c r="J369" t="s">
        <v>263</v>
      </c>
      <c r="L369" s="29">
        <v>1170000</v>
      </c>
      <c r="N369" s="29">
        <v>1170000</v>
      </c>
      <c r="O369" t="s">
        <v>264</v>
      </c>
      <c r="Q369" t="s">
        <v>264</v>
      </c>
      <c r="R369" t="s">
        <v>265</v>
      </c>
      <c r="S369">
        <v>14544</v>
      </c>
      <c r="T369" t="s">
        <v>266</v>
      </c>
      <c r="U369" t="s">
        <v>267</v>
      </c>
      <c r="V369" t="s">
        <v>427</v>
      </c>
      <c r="W369" t="s">
        <v>428</v>
      </c>
      <c r="X369">
        <v>1926829</v>
      </c>
      <c r="Y369" s="6">
        <v>44776</v>
      </c>
      <c r="Z369" t="s">
        <v>264</v>
      </c>
      <c r="AA369">
        <v>1</v>
      </c>
      <c r="AB369" t="s">
        <v>264</v>
      </c>
      <c r="AD369" t="s">
        <v>264</v>
      </c>
      <c r="AE369" t="s">
        <v>264</v>
      </c>
      <c r="AF369" t="s">
        <v>264</v>
      </c>
      <c r="AG369">
        <v>65</v>
      </c>
      <c r="AH369" t="s">
        <v>264</v>
      </c>
      <c r="AI369">
        <v>57330810</v>
      </c>
      <c r="AJ369" t="s">
        <v>451</v>
      </c>
      <c r="AL369" t="s">
        <v>264</v>
      </c>
      <c r="AM369" s="6">
        <v>44774</v>
      </c>
      <c r="AN369" t="s">
        <v>462</v>
      </c>
      <c r="AO369" t="s">
        <v>268</v>
      </c>
      <c r="AP369">
        <v>1205</v>
      </c>
      <c r="AQ369" t="s">
        <v>269</v>
      </c>
      <c r="AR369" t="s">
        <v>466</v>
      </c>
      <c r="AU369" t="s">
        <v>264</v>
      </c>
      <c r="AV369" t="s">
        <v>270</v>
      </c>
      <c r="AX369">
        <v>22001089</v>
      </c>
      <c r="AY369">
        <v>630600</v>
      </c>
      <c r="AZ369">
        <v>1205.6306</v>
      </c>
      <c r="BA369" s="28" t="s">
        <v>125</v>
      </c>
    </row>
    <row r="370" spans="1:53">
      <c r="A370" t="s">
        <v>424</v>
      </c>
      <c r="B370" t="s">
        <v>425</v>
      </c>
      <c r="C370">
        <v>22004256</v>
      </c>
      <c r="D370">
        <v>1205</v>
      </c>
      <c r="E370" s="6">
        <v>44774</v>
      </c>
      <c r="F370" t="s">
        <v>451</v>
      </c>
      <c r="G370">
        <v>31.28</v>
      </c>
      <c r="H370">
        <v>31.28</v>
      </c>
      <c r="I370" t="s">
        <v>263</v>
      </c>
      <c r="J370" t="s">
        <v>263</v>
      </c>
      <c r="L370" s="29">
        <v>455000</v>
      </c>
      <c r="N370" s="29">
        <v>455000</v>
      </c>
      <c r="O370" t="s">
        <v>264</v>
      </c>
      <c r="Q370" t="s">
        <v>264</v>
      </c>
      <c r="R370" t="s">
        <v>265</v>
      </c>
      <c r="S370">
        <v>14544</v>
      </c>
      <c r="T370" t="s">
        <v>266</v>
      </c>
      <c r="U370" t="s">
        <v>267</v>
      </c>
      <c r="V370" t="s">
        <v>427</v>
      </c>
      <c r="W370" t="s">
        <v>428</v>
      </c>
      <c r="X370">
        <v>1926829</v>
      </c>
      <c r="Y370" s="6">
        <v>44776</v>
      </c>
      <c r="Z370" t="s">
        <v>264</v>
      </c>
      <c r="AA370">
        <v>1</v>
      </c>
      <c r="AB370" t="s">
        <v>264</v>
      </c>
      <c r="AD370" t="s">
        <v>264</v>
      </c>
      <c r="AE370" t="s">
        <v>264</v>
      </c>
      <c r="AF370" t="s">
        <v>264</v>
      </c>
      <c r="AG370">
        <v>65</v>
      </c>
      <c r="AH370" t="s">
        <v>264</v>
      </c>
      <c r="AI370">
        <v>57330810</v>
      </c>
      <c r="AJ370" t="s">
        <v>451</v>
      </c>
      <c r="AL370" t="s">
        <v>264</v>
      </c>
      <c r="AM370" s="6">
        <v>44774</v>
      </c>
      <c r="AN370" t="s">
        <v>462</v>
      </c>
      <c r="AO370" t="s">
        <v>268</v>
      </c>
      <c r="AP370">
        <v>1205</v>
      </c>
      <c r="AQ370" t="s">
        <v>269</v>
      </c>
      <c r="AR370" t="s">
        <v>466</v>
      </c>
      <c r="AU370" t="s">
        <v>264</v>
      </c>
      <c r="AV370" t="s">
        <v>270</v>
      </c>
      <c r="AX370">
        <v>22001089</v>
      </c>
      <c r="AY370">
        <v>630600</v>
      </c>
      <c r="AZ370">
        <v>1205.6306</v>
      </c>
      <c r="BA370" s="28" t="s">
        <v>125</v>
      </c>
    </row>
    <row r="371" spans="1:53">
      <c r="A371" t="s">
        <v>424</v>
      </c>
      <c r="B371" t="s">
        <v>425</v>
      </c>
      <c r="C371">
        <v>22004257</v>
      </c>
      <c r="D371">
        <v>1205</v>
      </c>
      <c r="E371" s="6">
        <v>44774</v>
      </c>
      <c r="F371" t="s">
        <v>451</v>
      </c>
      <c r="G371">
        <v>5.16</v>
      </c>
      <c r="H371">
        <v>5.16</v>
      </c>
      <c r="I371" t="s">
        <v>263</v>
      </c>
      <c r="J371" t="s">
        <v>263</v>
      </c>
      <c r="L371" s="29">
        <v>75000</v>
      </c>
      <c r="N371" s="29">
        <v>75000</v>
      </c>
      <c r="O371" t="s">
        <v>264</v>
      </c>
      <c r="Q371" t="s">
        <v>264</v>
      </c>
      <c r="R371" t="s">
        <v>265</v>
      </c>
      <c r="S371">
        <v>14544</v>
      </c>
      <c r="T371" t="s">
        <v>266</v>
      </c>
      <c r="U371" t="s">
        <v>267</v>
      </c>
      <c r="V371" t="s">
        <v>427</v>
      </c>
      <c r="W371" t="s">
        <v>428</v>
      </c>
      <c r="X371">
        <v>1926921</v>
      </c>
      <c r="Y371" s="6">
        <v>44776</v>
      </c>
      <c r="Z371" t="s">
        <v>264</v>
      </c>
      <c r="AA371">
        <v>1</v>
      </c>
      <c r="AB371" t="s">
        <v>264</v>
      </c>
      <c r="AD371" t="s">
        <v>264</v>
      </c>
      <c r="AE371" t="s">
        <v>264</v>
      </c>
      <c r="AF371" t="s">
        <v>264</v>
      </c>
      <c r="AG371">
        <v>5</v>
      </c>
      <c r="AH371" t="s">
        <v>264</v>
      </c>
      <c r="AI371">
        <v>57330810</v>
      </c>
      <c r="AJ371" t="s">
        <v>451</v>
      </c>
      <c r="AL371" t="s">
        <v>264</v>
      </c>
      <c r="AM371" s="6">
        <v>44774</v>
      </c>
      <c r="AN371" t="s">
        <v>462</v>
      </c>
      <c r="AO371" t="s">
        <v>268</v>
      </c>
      <c r="AP371">
        <v>1205</v>
      </c>
      <c r="AQ371" t="s">
        <v>269</v>
      </c>
      <c r="AR371" t="s">
        <v>465</v>
      </c>
      <c r="AU371" t="s">
        <v>264</v>
      </c>
      <c r="AV371" t="s">
        <v>270</v>
      </c>
      <c r="AX371">
        <v>22001087</v>
      </c>
      <c r="AY371">
        <v>630600</v>
      </c>
      <c r="AZ371">
        <v>1205.6306</v>
      </c>
      <c r="BA371" s="28" t="s">
        <v>125</v>
      </c>
    </row>
    <row r="372" spans="1:53">
      <c r="A372" t="s">
        <v>424</v>
      </c>
      <c r="B372" t="s">
        <v>425</v>
      </c>
      <c r="C372">
        <v>22004258</v>
      </c>
      <c r="D372">
        <v>1205</v>
      </c>
      <c r="E372" s="6">
        <v>44774</v>
      </c>
      <c r="F372" t="s">
        <v>451</v>
      </c>
      <c r="G372">
        <v>2.06</v>
      </c>
      <c r="H372">
        <v>2.06</v>
      </c>
      <c r="I372" t="s">
        <v>263</v>
      </c>
      <c r="J372" t="s">
        <v>263</v>
      </c>
      <c r="L372" s="29">
        <v>30000</v>
      </c>
      <c r="N372" s="29">
        <v>30000</v>
      </c>
      <c r="O372" t="s">
        <v>264</v>
      </c>
      <c r="Q372" t="s">
        <v>264</v>
      </c>
      <c r="R372" t="s">
        <v>265</v>
      </c>
      <c r="S372">
        <v>14544</v>
      </c>
      <c r="T372" t="s">
        <v>266</v>
      </c>
      <c r="U372" t="s">
        <v>267</v>
      </c>
      <c r="V372" t="s">
        <v>427</v>
      </c>
      <c r="W372" t="s">
        <v>428</v>
      </c>
      <c r="X372">
        <v>1926921</v>
      </c>
      <c r="Y372" s="6">
        <v>44776</v>
      </c>
      <c r="Z372" t="s">
        <v>264</v>
      </c>
      <c r="AA372">
        <v>1</v>
      </c>
      <c r="AB372" t="s">
        <v>264</v>
      </c>
      <c r="AD372" t="s">
        <v>264</v>
      </c>
      <c r="AE372" t="s">
        <v>264</v>
      </c>
      <c r="AF372" t="s">
        <v>264</v>
      </c>
      <c r="AG372">
        <v>5</v>
      </c>
      <c r="AH372" t="s">
        <v>264</v>
      </c>
      <c r="AI372">
        <v>57330810</v>
      </c>
      <c r="AJ372" t="s">
        <v>451</v>
      </c>
      <c r="AL372" t="s">
        <v>264</v>
      </c>
      <c r="AM372" s="6">
        <v>44774</v>
      </c>
      <c r="AN372" t="s">
        <v>462</v>
      </c>
      <c r="AO372" t="s">
        <v>268</v>
      </c>
      <c r="AP372">
        <v>1205</v>
      </c>
      <c r="AQ372" t="s">
        <v>269</v>
      </c>
      <c r="AR372" t="s">
        <v>465</v>
      </c>
      <c r="AU372" t="s">
        <v>264</v>
      </c>
      <c r="AV372" t="s">
        <v>270</v>
      </c>
      <c r="AX372">
        <v>22001087</v>
      </c>
      <c r="AY372">
        <v>630600</v>
      </c>
      <c r="AZ372">
        <v>1205.6306</v>
      </c>
      <c r="BA372" s="28" t="s">
        <v>125</v>
      </c>
    </row>
    <row r="373" spans="1:53">
      <c r="A373" t="s">
        <v>424</v>
      </c>
      <c r="B373" t="s">
        <v>425</v>
      </c>
      <c r="C373">
        <v>22004259</v>
      </c>
      <c r="D373">
        <v>1205</v>
      </c>
      <c r="E373" s="6">
        <v>44774</v>
      </c>
      <c r="F373" t="s">
        <v>451</v>
      </c>
      <c r="G373">
        <v>180.5</v>
      </c>
      <c r="H373">
        <v>180.5</v>
      </c>
      <c r="I373" t="s">
        <v>263</v>
      </c>
      <c r="J373" t="s">
        <v>263</v>
      </c>
      <c r="L373" s="29">
        <v>2625000</v>
      </c>
      <c r="N373" s="29">
        <v>2625000</v>
      </c>
      <c r="O373" t="s">
        <v>264</v>
      </c>
      <c r="Q373" t="s">
        <v>264</v>
      </c>
      <c r="R373" t="s">
        <v>265</v>
      </c>
      <c r="S373">
        <v>14544</v>
      </c>
      <c r="T373" t="s">
        <v>266</v>
      </c>
      <c r="U373" t="s">
        <v>267</v>
      </c>
      <c r="V373" t="s">
        <v>427</v>
      </c>
      <c r="W373" t="s">
        <v>428</v>
      </c>
      <c r="X373">
        <v>1926921</v>
      </c>
      <c r="Y373" s="6">
        <v>44776</v>
      </c>
      <c r="Z373" t="s">
        <v>264</v>
      </c>
      <c r="AA373">
        <v>1</v>
      </c>
      <c r="AB373" t="s">
        <v>264</v>
      </c>
      <c r="AD373" t="s">
        <v>264</v>
      </c>
      <c r="AE373" t="s">
        <v>264</v>
      </c>
      <c r="AF373" t="s">
        <v>264</v>
      </c>
      <c r="AG373">
        <v>175</v>
      </c>
      <c r="AH373" t="s">
        <v>264</v>
      </c>
      <c r="AI373">
        <v>57330810</v>
      </c>
      <c r="AJ373" t="s">
        <v>451</v>
      </c>
      <c r="AL373" t="s">
        <v>264</v>
      </c>
      <c r="AM373" s="6">
        <v>44774</v>
      </c>
      <c r="AN373" t="s">
        <v>462</v>
      </c>
      <c r="AO373" t="s">
        <v>268</v>
      </c>
      <c r="AP373">
        <v>1205</v>
      </c>
      <c r="AQ373" t="s">
        <v>269</v>
      </c>
      <c r="AR373" t="s">
        <v>465</v>
      </c>
      <c r="AU373" t="s">
        <v>264</v>
      </c>
      <c r="AV373" t="s">
        <v>270</v>
      </c>
      <c r="AX373">
        <v>22001087</v>
      </c>
      <c r="AY373">
        <v>630600</v>
      </c>
      <c r="AZ373">
        <v>1205.6306</v>
      </c>
      <c r="BA373" s="28" t="s">
        <v>125</v>
      </c>
    </row>
    <row r="374" spans="1:53">
      <c r="A374" t="s">
        <v>424</v>
      </c>
      <c r="B374" t="s">
        <v>425</v>
      </c>
      <c r="C374">
        <v>22004260</v>
      </c>
      <c r="D374">
        <v>1205</v>
      </c>
      <c r="E374" s="6">
        <v>44774</v>
      </c>
      <c r="F374" t="s">
        <v>451</v>
      </c>
      <c r="G374">
        <v>72.19</v>
      </c>
      <c r="H374">
        <v>72.19</v>
      </c>
      <c r="I374" t="s">
        <v>263</v>
      </c>
      <c r="J374" t="s">
        <v>263</v>
      </c>
      <c r="L374" s="29">
        <v>1050000</v>
      </c>
      <c r="N374" s="29">
        <v>1050000</v>
      </c>
      <c r="O374" t="s">
        <v>264</v>
      </c>
      <c r="Q374" t="s">
        <v>264</v>
      </c>
      <c r="R374" t="s">
        <v>265</v>
      </c>
      <c r="S374">
        <v>14544</v>
      </c>
      <c r="T374" t="s">
        <v>266</v>
      </c>
      <c r="U374" t="s">
        <v>267</v>
      </c>
      <c r="V374" t="s">
        <v>427</v>
      </c>
      <c r="W374" t="s">
        <v>428</v>
      </c>
      <c r="X374">
        <v>1926921</v>
      </c>
      <c r="Y374" s="6">
        <v>44776</v>
      </c>
      <c r="Z374" t="s">
        <v>264</v>
      </c>
      <c r="AA374">
        <v>1</v>
      </c>
      <c r="AB374" t="s">
        <v>264</v>
      </c>
      <c r="AD374" t="s">
        <v>264</v>
      </c>
      <c r="AE374" t="s">
        <v>264</v>
      </c>
      <c r="AF374" t="s">
        <v>264</v>
      </c>
      <c r="AG374">
        <v>175</v>
      </c>
      <c r="AH374" t="s">
        <v>264</v>
      </c>
      <c r="AI374">
        <v>57330810</v>
      </c>
      <c r="AJ374" t="s">
        <v>451</v>
      </c>
      <c r="AL374" t="s">
        <v>264</v>
      </c>
      <c r="AM374" s="6">
        <v>44774</v>
      </c>
      <c r="AN374" t="s">
        <v>462</v>
      </c>
      <c r="AO374" t="s">
        <v>268</v>
      </c>
      <c r="AP374">
        <v>1205</v>
      </c>
      <c r="AQ374" t="s">
        <v>269</v>
      </c>
      <c r="AR374" t="s">
        <v>465</v>
      </c>
      <c r="AU374" t="s">
        <v>264</v>
      </c>
      <c r="AV374" t="s">
        <v>270</v>
      </c>
      <c r="AX374">
        <v>22001087</v>
      </c>
      <c r="AY374">
        <v>630600</v>
      </c>
      <c r="AZ374">
        <v>1205.6306</v>
      </c>
      <c r="BA374" s="28" t="s">
        <v>125</v>
      </c>
    </row>
    <row r="375" spans="1:53">
      <c r="A375" t="s">
        <v>424</v>
      </c>
      <c r="B375" t="s">
        <v>425</v>
      </c>
      <c r="C375">
        <v>22004261</v>
      </c>
      <c r="D375">
        <v>1205</v>
      </c>
      <c r="E375" s="6">
        <v>44774</v>
      </c>
      <c r="F375" t="s">
        <v>451</v>
      </c>
      <c r="G375">
        <v>38.159999999999997</v>
      </c>
      <c r="H375">
        <v>38.159999999999997</v>
      </c>
      <c r="I375" t="s">
        <v>263</v>
      </c>
      <c r="J375" t="s">
        <v>263</v>
      </c>
      <c r="L375" s="29">
        <v>555000</v>
      </c>
      <c r="N375" s="29">
        <v>555000</v>
      </c>
      <c r="O375" t="s">
        <v>264</v>
      </c>
      <c r="Q375" t="s">
        <v>264</v>
      </c>
      <c r="R375" t="s">
        <v>265</v>
      </c>
      <c r="S375">
        <v>14544</v>
      </c>
      <c r="T375" t="s">
        <v>266</v>
      </c>
      <c r="U375" t="s">
        <v>267</v>
      </c>
      <c r="V375" t="s">
        <v>427</v>
      </c>
      <c r="W375" t="s">
        <v>428</v>
      </c>
      <c r="X375">
        <v>1926921</v>
      </c>
      <c r="Y375" s="6">
        <v>44776</v>
      </c>
      <c r="Z375" t="s">
        <v>264</v>
      </c>
      <c r="AA375">
        <v>1</v>
      </c>
      <c r="AB375" t="s">
        <v>264</v>
      </c>
      <c r="AD375" t="s">
        <v>264</v>
      </c>
      <c r="AE375" t="s">
        <v>264</v>
      </c>
      <c r="AF375" t="s">
        <v>264</v>
      </c>
      <c r="AG375">
        <v>37</v>
      </c>
      <c r="AH375" t="s">
        <v>264</v>
      </c>
      <c r="AI375">
        <v>57330810</v>
      </c>
      <c r="AJ375" t="s">
        <v>451</v>
      </c>
      <c r="AL375" t="s">
        <v>264</v>
      </c>
      <c r="AM375" s="6">
        <v>44774</v>
      </c>
      <c r="AN375" t="s">
        <v>462</v>
      </c>
      <c r="AO375" t="s">
        <v>268</v>
      </c>
      <c r="AP375">
        <v>1205</v>
      </c>
      <c r="AQ375" t="s">
        <v>269</v>
      </c>
      <c r="AR375" t="s">
        <v>465</v>
      </c>
      <c r="AU375" t="s">
        <v>264</v>
      </c>
      <c r="AV375" t="s">
        <v>270</v>
      </c>
      <c r="AX375">
        <v>22001087</v>
      </c>
      <c r="AY375">
        <v>630600</v>
      </c>
      <c r="AZ375">
        <v>1205.6306</v>
      </c>
      <c r="BA375" s="28" t="s">
        <v>125</v>
      </c>
    </row>
    <row r="376" spans="1:53">
      <c r="A376" t="s">
        <v>424</v>
      </c>
      <c r="B376" t="s">
        <v>425</v>
      </c>
      <c r="C376">
        <v>22004262</v>
      </c>
      <c r="D376">
        <v>1205</v>
      </c>
      <c r="E376" s="6">
        <v>44774</v>
      </c>
      <c r="F376" t="s">
        <v>451</v>
      </c>
      <c r="G376">
        <v>15.26</v>
      </c>
      <c r="H376">
        <v>15.26</v>
      </c>
      <c r="I376" t="s">
        <v>263</v>
      </c>
      <c r="J376" t="s">
        <v>263</v>
      </c>
      <c r="L376" s="29">
        <v>222000</v>
      </c>
      <c r="N376" s="29">
        <v>222000</v>
      </c>
      <c r="O376" t="s">
        <v>264</v>
      </c>
      <c r="Q376" t="s">
        <v>264</v>
      </c>
      <c r="R376" t="s">
        <v>265</v>
      </c>
      <c r="S376">
        <v>14544</v>
      </c>
      <c r="T376" t="s">
        <v>266</v>
      </c>
      <c r="U376" t="s">
        <v>267</v>
      </c>
      <c r="V376" t="s">
        <v>427</v>
      </c>
      <c r="W376" t="s">
        <v>428</v>
      </c>
      <c r="X376">
        <v>1926921</v>
      </c>
      <c r="Y376" s="6">
        <v>44776</v>
      </c>
      <c r="Z376" t="s">
        <v>264</v>
      </c>
      <c r="AA376">
        <v>1</v>
      </c>
      <c r="AB376" t="s">
        <v>264</v>
      </c>
      <c r="AD376" t="s">
        <v>264</v>
      </c>
      <c r="AE376" t="s">
        <v>264</v>
      </c>
      <c r="AF376" t="s">
        <v>264</v>
      </c>
      <c r="AG376">
        <v>37</v>
      </c>
      <c r="AH376" t="s">
        <v>264</v>
      </c>
      <c r="AI376">
        <v>57330810</v>
      </c>
      <c r="AJ376" t="s">
        <v>451</v>
      </c>
      <c r="AL376" t="s">
        <v>264</v>
      </c>
      <c r="AM376" s="6">
        <v>44774</v>
      </c>
      <c r="AN376" t="s">
        <v>462</v>
      </c>
      <c r="AO376" t="s">
        <v>268</v>
      </c>
      <c r="AP376">
        <v>1205</v>
      </c>
      <c r="AQ376" t="s">
        <v>269</v>
      </c>
      <c r="AR376" t="s">
        <v>465</v>
      </c>
      <c r="AU376" t="s">
        <v>264</v>
      </c>
      <c r="AV376" t="s">
        <v>270</v>
      </c>
      <c r="AX376">
        <v>22001087</v>
      </c>
      <c r="AY376">
        <v>630600</v>
      </c>
      <c r="AZ376">
        <v>1205.6306</v>
      </c>
      <c r="BA376" s="28" t="s">
        <v>125</v>
      </c>
    </row>
    <row r="377" spans="1:53">
      <c r="A377" t="s">
        <v>424</v>
      </c>
      <c r="B377" t="s">
        <v>425</v>
      </c>
      <c r="C377">
        <v>22004361</v>
      </c>
      <c r="D377">
        <v>1205</v>
      </c>
      <c r="E377" s="6">
        <v>44774</v>
      </c>
      <c r="F377" t="s">
        <v>451</v>
      </c>
      <c r="G377">
        <v>21.04</v>
      </c>
      <c r="H377">
        <v>21.04</v>
      </c>
      <c r="I377" t="s">
        <v>263</v>
      </c>
      <c r="J377" t="s">
        <v>263</v>
      </c>
      <c r="L377" s="29">
        <v>306000</v>
      </c>
      <c r="N377" s="29">
        <v>306000</v>
      </c>
      <c r="O377" t="s">
        <v>264</v>
      </c>
      <c r="Q377" t="s">
        <v>264</v>
      </c>
      <c r="R377" t="s">
        <v>265</v>
      </c>
      <c r="S377">
        <v>14544</v>
      </c>
      <c r="T377" t="s">
        <v>266</v>
      </c>
      <c r="U377" t="s">
        <v>267</v>
      </c>
      <c r="V377" t="s">
        <v>427</v>
      </c>
      <c r="W377" t="s">
        <v>428</v>
      </c>
      <c r="X377">
        <v>1930194</v>
      </c>
      <c r="Y377" s="6">
        <v>44783</v>
      </c>
      <c r="Z377" t="s">
        <v>264</v>
      </c>
      <c r="AA377">
        <v>1</v>
      </c>
      <c r="AB377" t="s">
        <v>264</v>
      </c>
      <c r="AD377" t="s">
        <v>264</v>
      </c>
      <c r="AE377" t="s">
        <v>264</v>
      </c>
      <c r="AF377" t="s">
        <v>264</v>
      </c>
      <c r="AG377">
        <v>17</v>
      </c>
      <c r="AH377" t="s">
        <v>264</v>
      </c>
      <c r="AI377">
        <v>57330810</v>
      </c>
      <c r="AJ377" t="s">
        <v>451</v>
      </c>
      <c r="AL377" t="s">
        <v>264</v>
      </c>
      <c r="AM377" s="6">
        <v>44774</v>
      </c>
      <c r="AN377" t="s">
        <v>462</v>
      </c>
      <c r="AO377" t="s">
        <v>268</v>
      </c>
      <c r="AP377">
        <v>1205</v>
      </c>
      <c r="AQ377" t="s">
        <v>269</v>
      </c>
      <c r="AR377" t="s">
        <v>463</v>
      </c>
      <c r="AU377" t="s">
        <v>264</v>
      </c>
      <c r="AV377" t="s">
        <v>270</v>
      </c>
      <c r="AX377">
        <v>22001088</v>
      </c>
      <c r="AY377">
        <v>630600</v>
      </c>
      <c r="AZ377">
        <v>1205.6306</v>
      </c>
      <c r="BA377" s="28" t="s">
        <v>125</v>
      </c>
    </row>
    <row r="378" spans="1:53">
      <c r="A378" t="s">
        <v>424</v>
      </c>
      <c r="B378" t="s">
        <v>425</v>
      </c>
      <c r="C378">
        <v>22004362</v>
      </c>
      <c r="D378">
        <v>1205</v>
      </c>
      <c r="E378" s="6">
        <v>44774</v>
      </c>
      <c r="F378" t="s">
        <v>451</v>
      </c>
      <c r="G378">
        <v>8.18</v>
      </c>
      <c r="H378">
        <v>8.18</v>
      </c>
      <c r="I378" t="s">
        <v>263</v>
      </c>
      <c r="J378" t="s">
        <v>263</v>
      </c>
      <c r="L378" s="29">
        <v>119000</v>
      </c>
      <c r="N378" s="29">
        <v>119000</v>
      </c>
      <c r="O378" t="s">
        <v>264</v>
      </c>
      <c r="Q378" t="s">
        <v>264</v>
      </c>
      <c r="R378" t="s">
        <v>265</v>
      </c>
      <c r="S378">
        <v>14544</v>
      </c>
      <c r="T378" t="s">
        <v>266</v>
      </c>
      <c r="U378" t="s">
        <v>267</v>
      </c>
      <c r="V378" t="s">
        <v>427</v>
      </c>
      <c r="W378" t="s">
        <v>428</v>
      </c>
      <c r="X378">
        <v>1930194</v>
      </c>
      <c r="Y378" s="6">
        <v>44783</v>
      </c>
      <c r="Z378" t="s">
        <v>264</v>
      </c>
      <c r="AA378">
        <v>1</v>
      </c>
      <c r="AB378" t="s">
        <v>264</v>
      </c>
      <c r="AD378" t="s">
        <v>264</v>
      </c>
      <c r="AE378" t="s">
        <v>264</v>
      </c>
      <c r="AF378" t="s">
        <v>264</v>
      </c>
      <c r="AG378">
        <v>17</v>
      </c>
      <c r="AH378" t="s">
        <v>264</v>
      </c>
      <c r="AI378">
        <v>57330810</v>
      </c>
      <c r="AJ378" t="s">
        <v>451</v>
      </c>
      <c r="AL378" t="s">
        <v>264</v>
      </c>
      <c r="AM378" s="6">
        <v>44774</v>
      </c>
      <c r="AN378" t="s">
        <v>462</v>
      </c>
      <c r="AO378" t="s">
        <v>268</v>
      </c>
      <c r="AP378">
        <v>1205</v>
      </c>
      <c r="AQ378" t="s">
        <v>269</v>
      </c>
      <c r="AR378" t="s">
        <v>463</v>
      </c>
      <c r="AU378" t="s">
        <v>264</v>
      </c>
      <c r="AV378" t="s">
        <v>270</v>
      </c>
      <c r="AX378">
        <v>22001088</v>
      </c>
      <c r="AY378">
        <v>630600</v>
      </c>
      <c r="AZ378">
        <v>1205.6306</v>
      </c>
      <c r="BA378" s="28" t="s">
        <v>125</v>
      </c>
    </row>
    <row r="379" spans="1:53">
      <c r="A379" t="s">
        <v>424</v>
      </c>
      <c r="B379" t="s">
        <v>425</v>
      </c>
      <c r="C379">
        <v>22004371</v>
      </c>
      <c r="D379">
        <v>1205</v>
      </c>
      <c r="E379" s="6">
        <v>44774</v>
      </c>
      <c r="F379" t="s">
        <v>451</v>
      </c>
      <c r="G379">
        <v>15.47</v>
      </c>
      <c r="H379">
        <v>15.47</v>
      </c>
      <c r="I379" t="s">
        <v>263</v>
      </c>
      <c r="J379" t="s">
        <v>263</v>
      </c>
      <c r="L379" s="29">
        <v>225000</v>
      </c>
      <c r="N379" s="29">
        <v>225000</v>
      </c>
      <c r="O379" t="s">
        <v>264</v>
      </c>
      <c r="Q379" t="s">
        <v>264</v>
      </c>
      <c r="R379" t="s">
        <v>265</v>
      </c>
      <c r="S379">
        <v>14544</v>
      </c>
      <c r="T379" t="s">
        <v>266</v>
      </c>
      <c r="U379" t="s">
        <v>267</v>
      </c>
      <c r="V379" t="s">
        <v>427</v>
      </c>
      <c r="W379" t="s">
        <v>428</v>
      </c>
      <c r="X379">
        <v>1930205</v>
      </c>
      <c r="Y379" s="6">
        <v>44783</v>
      </c>
      <c r="Z379" t="s">
        <v>264</v>
      </c>
      <c r="AA379">
        <v>1</v>
      </c>
      <c r="AB379" t="s">
        <v>264</v>
      </c>
      <c r="AD379" t="s">
        <v>264</v>
      </c>
      <c r="AE379" t="s">
        <v>264</v>
      </c>
      <c r="AF379" t="s">
        <v>264</v>
      </c>
      <c r="AG379">
        <v>15</v>
      </c>
      <c r="AH379" t="s">
        <v>264</v>
      </c>
      <c r="AI379">
        <v>57330810</v>
      </c>
      <c r="AJ379" t="s">
        <v>451</v>
      </c>
      <c r="AL379" t="s">
        <v>264</v>
      </c>
      <c r="AM379" s="6">
        <v>44774</v>
      </c>
      <c r="AN379" t="s">
        <v>462</v>
      </c>
      <c r="AO379" t="s">
        <v>268</v>
      </c>
      <c r="AP379">
        <v>1205</v>
      </c>
      <c r="AQ379" t="s">
        <v>269</v>
      </c>
      <c r="AR379" t="s">
        <v>465</v>
      </c>
      <c r="AU379" t="s">
        <v>264</v>
      </c>
      <c r="AV379" t="s">
        <v>270</v>
      </c>
      <c r="AX379">
        <v>22001087</v>
      </c>
      <c r="AY379">
        <v>630600</v>
      </c>
      <c r="AZ379">
        <v>1205.6306</v>
      </c>
      <c r="BA379" s="28" t="s">
        <v>125</v>
      </c>
    </row>
    <row r="380" spans="1:53">
      <c r="A380" t="s">
        <v>424</v>
      </c>
      <c r="B380" t="s">
        <v>425</v>
      </c>
      <c r="C380">
        <v>22004372</v>
      </c>
      <c r="D380">
        <v>1205</v>
      </c>
      <c r="E380" s="6">
        <v>44774</v>
      </c>
      <c r="F380" t="s">
        <v>451</v>
      </c>
      <c r="G380">
        <v>6.19</v>
      </c>
      <c r="H380">
        <v>6.19</v>
      </c>
      <c r="I380" t="s">
        <v>263</v>
      </c>
      <c r="J380" t="s">
        <v>263</v>
      </c>
      <c r="L380" s="29">
        <v>90000</v>
      </c>
      <c r="N380" s="29">
        <v>90000</v>
      </c>
      <c r="O380" t="s">
        <v>264</v>
      </c>
      <c r="Q380" t="s">
        <v>264</v>
      </c>
      <c r="R380" t="s">
        <v>265</v>
      </c>
      <c r="S380">
        <v>14544</v>
      </c>
      <c r="T380" t="s">
        <v>266</v>
      </c>
      <c r="U380" t="s">
        <v>267</v>
      </c>
      <c r="V380" t="s">
        <v>427</v>
      </c>
      <c r="W380" t="s">
        <v>428</v>
      </c>
      <c r="X380">
        <v>1930205</v>
      </c>
      <c r="Y380" s="6">
        <v>44783</v>
      </c>
      <c r="Z380" t="s">
        <v>264</v>
      </c>
      <c r="AA380">
        <v>1</v>
      </c>
      <c r="AB380" t="s">
        <v>264</v>
      </c>
      <c r="AD380" t="s">
        <v>264</v>
      </c>
      <c r="AE380" t="s">
        <v>264</v>
      </c>
      <c r="AF380" t="s">
        <v>264</v>
      </c>
      <c r="AG380">
        <v>15</v>
      </c>
      <c r="AH380" t="s">
        <v>264</v>
      </c>
      <c r="AI380">
        <v>57330810</v>
      </c>
      <c r="AJ380" t="s">
        <v>451</v>
      </c>
      <c r="AL380" t="s">
        <v>264</v>
      </c>
      <c r="AM380" s="6">
        <v>44774</v>
      </c>
      <c r="AN380" t="s">
        <v>462</v>
      </c>
      <c r="AO380" t="s">
        <v>268</v>
      </c>
      <c r="AP380">
        <v>1205</v>
      </c>
      <c r="AQ380" t="s">
        <v>269</v>
      </c>
      <c r="AR380" t="s">
        <v>465</v>
      </c>
      <c r="AU380" t="s">
        <v>264</v>
      </c>
      <c r="AV380" t="s">
        <v>270</v>
      </c>
      <c r="AX380">
        <v>22001087</v>
      </c>
      <c r="AY380">
        <v>630600</v>
      </c>
      <c r="AZ380">
        <v>1205.6306</v>
      </c>
      <c r="BA380" s="28" t="s">
        <v>125</v>
      </c>
    </row>
    <row r="381" spans="1:53">
      <c r="A381" t="s">
        <v>424</v>
      </c>
      <c r="B381" t="s">
        <v>425</v>
      </c>
      <c r="C381">
        <v>22004373</v>
      </c>
      <c r="D381">
        <v>1205</v>
      </c>
      <c r="E381" s="6">
        <v>44774</v>
      </c>
      <c r="F381" t="s">
        <v>451</v>
      </c>
      <c r="G381">
        <v>7.22</v>
      </c>
      <c r="H381">
        <v>7.22</v>
      </c>
      <c r="I381" t="s">
        <v>263</v>
      </c>
      <c r="J381" t="s">
        <v>263</v>
      </c>
      <c r="L381" s="29">
        <v>105000</v>
      </c>
      <c r="N381" s="29">
        <v>105000</v>
      </c>
      <c r="O381" t="s">
        <v>264</v>
      </c>
      <c r="Q381" t="s">
        <v>264</v>
      </c>
      <c r="R381" t="s">
        <v>265</v>
      </c>
      <c r="S381">
        <v>14544</v>
      </c>
      <c r="T381" t="s">
        <v>266</v>
      </c>
      <c r="U381" t="s">
        <v>267</v>
      </c>
      <c r="V381" t="s">
        <v>427</v>
      </c>
      <c r="W381" t="s">
        <v>428</v>
      </c>
      <c r="X381">
        <v>1930205</v>
      </c>
      <c r="Y381" s="6">
        <v>44783</v>
      </c>
      <c r="Z381" t="s">
        <v>264</v>
      </c>
      <c r="AA381">
        <v>1</v>
      </c>
      <c r="AB381" t="s">
        <v>264</v>
      </c>
      <c r="AD381" t="s">
        <v>264</v>
      </c>
      <c r="AE381" t="s">
        <v>264</v>
      </c>
      <c r="AF381" t="s">
        <v>264</v>
      </c>
      <c r="AG381">
        <v>7</v>
      </c>
      <c r="AH381" t="s">
        <v>264</v>
      </c>
      <c r="AI381">
        <v>57330810</v>
      </c>
      <c r="AJ381" t="s">
        <v>451</v>
      </c>
      <c r="AL381" t="s">
        <v>264</v>
      </c>
      <c r="AM381" s="6">
        <v>44774</v>
      </c>
      <c r="AN381" t="s">
        <v>462</v>
      </c>
      <c r="AO381" t="s">
        <v>268</v>
      </c>
      <c r="AP381">
        <v>1205</v>
      </c>
      <c r="AQ381" t="s">
        <v>269</v>
      </c>
      <c r="AR381" t="s">
        <v>465</v>
      </c>
      <c r="AU381" t="s">
        <v>264</v>
      </c>
      <c r="AV381" t="s">
        <v>270</v>
      </c>
      <c r="AX381">
        <v>22001087</v>
      </c>
      <c r="AY381">
        <v>630600</v>
      </c>
      <c r="AZ381">
        <v>1205.6306</v>
      </c>
      <c r="BA381" s="28" t="s">
        <v>125</v>
      </c>
    </row>
    <row r="382" spans="1:53">
      <c r="A382" t="s">
        <v>424</v>
      </c>
      <c r="B382" t="s">
        <v>425</v>
      </c>
      <c r="C382">
        <v>22004374</v>
      </c>
      <c r="D382">
        <v>1205</v>
      </c>
      <c r="E382" s="6">
        <v>44774</v>
      </c>
      <c r="F382" t="s">
        <v>451</v>
      </c>
      <c r="G382">
        <v>2.89</v>
      </c>
      <c r="H382">
        <v>2.89</v>
      </c>
      <c r="I382" t="s">
        <v>263</v>
      </c>
      <c r="J382" t="s">
        <v>263</v>
      </c>
      <c r="L382" s="29">
        <v>42000</v>
      </c>
      <c r="N382" s="29">
        <v>42000</v>
      </c>
      <c r="O382" t="s">
        <v>264</v>
      </c>
      <c r="Q382" t="s">
        <v>264</v>
      </c>
      <c r="R382" t="s">
        <v>265</v>
      </c>
      <c r="S382">
        <v>14544</v>
      </c>
      <c r="T382" t="s">
        <v>266</v>
      </c>
      <c r="U382" t="s">
        <v>267</v>
      </c>
      <c r="V382" t="s">
        <v>427</v>
      </c>
      <c r="W382" t="s">
        <v>428</v>
      </c>
      <c r="X382">
        <v>1930205</v>
      </c>
      <c r="Y382" s="6">
        <v>44783</v>
      </c>
      <c r="Z382" t="s">
        <v>264</v>
      </c>
      <c r="AA382">
        <v>1</v>
      </c>
      <c r="AB382" t="s">
        <v>264</v>
      </c>
      <c r="AD382" t="s">
        <v>264</v>
      </c>
      <c r="AE382" t="s">
        <v>264</v>
      </c>
      <c r="AF382" t="s">
        <v>264</v>
      </c>
      <c r="AG382">
        <v>7</v>
      </c>
      <c r="AH382" t="s">
        <v>264</v>
      </c>
      <c r="AI382">
        <v>57330810</v>
      </c>
      <c r="AJ382" t="s">
        <v>451</v>
      </c>
      <c r="AL382" t="s">
        <v>264</v>
      </c>
      <c r="AM382" s="6">
        <v>44774</v>
      </c>
      <c r="AN382" t="s">
        <v>462</v>
      </c>
      <c r="AO382" t="s">
        <v>268</v>
      </c>
      <c r="AP382">
        <v>1205</v>
      </c>
      <c r="AQ382" t="s">
        <v>269</v>
      </c>
      <c r="AR382" t="s">
        <v>465</v>
      </c>
      <c r="AU382" t="s">
        <v>264</v>
      </c>
      <c r="AV382" t="s">
        <v>270</v>
      </c>
      <c r="AX382">
        <v>22001087</v>
      </c>
      <c r="AY382">
        <v>630600</v>
      </c>
      <c r="AZ382">
        <v>1205.6306</v>
      </c>
      <c r="BA382" s="28" t="s">
        <v>125</v>
      </c>
    </row>
    <row r="383" spans="1:53">
      <c r="A383" t="s">
        <v>424</v>
      </c>
      <c r="B383" t="s">
        <v>425</v>
      </c>
      <c r="C383">
        <v>22004375</v>
      </c>
      <c r="D383">
        <v>1205</v>
      </c>
      <c r="E383" s="6">
        <v>44774</v>
      </c>
      <c r="F383" t="s">
        <v>451</v>
      </c>
      <c r="G383">
        <v>5.16</v>
      </c>
      <c r="H383">
        <v>5.16</v>
      </c>
      <c r="I383" t="s">
        <v>263</v>
      </c>
      <c r="J383" t="s">
        <v>263</v>
      </c>
      <c r="L383" s="29">
        <v>75000</v>
      </c>
      <c r="N383" s="29">
        <v>75000</v>
      </c>
      <c r="O383" t="s">
        <v>264</v>
      </c>
      <c r="Q383" t="s">
        <v>264</v>
      </c>
      <c r="R383" t="s">
        <v>265</v>
      </c>
      <c r="S383">
        <v>14544</v>
      </c>
      <c r="T383" t="s">
        <v>266</v>
      </c>
      <c r="U383" t="s">
        <v>267</v>
      </c>
      <c r="V383" t="s">
        <v>427</v>
      </c>
      <c r="W383" t="s">
        <v>428</v>
      </c>
      <c r="X383">
        <v>1930205</v>
      </c>
      <c r="Y383" s="6">
        <v>44783</v>
      </c>
      <c r="Z383" t="s">
        <v>264</v>
      </c>
      <c r="AA383">
        <v>1</v>
      </c>
      <c r="AB383" t="s">
        <v>264</v>
      </c>
      <c r="AD383" t="s">
        <v>264</v>
      </c>
      <c r="AE383" t="s">
        <v>264</v>
      </c>
      <c r="AF383" t="s">
        <v>264</v>
      </c>
      <c r="AG383">
        <v>5</v>
      </c>
      <c r="AH383" t="s">
        <v>264</v>
      </c>
      <c r="AI383">
        <v>57330810</v>
      </c>
      <c r="AJ383" t="s">
        <v>451</v>
      </c>
      <c r="AL383" t="s">
        <v>264</v>
      </c>
      <c r="AM383" s="6">
        <v>44774</v>
      </c>
      <c r="AN383" t="s">
        <v>462</v>
      </c>
      <c r="AO383" t="s">
        <v>268</v>
      </c>
      <c r="AP383">
        <v>1205</v>
      </c>
      <c r="AQ383" t="s">
        <v>269</v>
      </c>
      <c r="AR383" t="s">
        <v>465</v>
      </c>
      <c r="AU383" t="s">
        <v>264</v>
      </c>
      <c r="AV383" t="s">
        <v>270</v>
      </c>
      <c r="AX383">
        <v>22001087</v>
      </c>
      <c r="AY383">
        <v>630600</v>
      </c>
      <c r="AZ383">
        <v>1205.6306</v>
      </c>
      <c r="BA383" s="28" t="s">
        <v>125</v>
      </c>
    </row>
    <row r="384" spans="1:53">
      <c r="A384" t="s">
        <v>424</v>
      </c>
      <c r="B384" t="s">
        <v>425</v>
      </c>
      <c r="C384">
        <v>22004376</v>
      </c>
      <c r="D384">
        <v>1205</v>
      </c>
      <c r="E384" s="6">
        <v>44774</v>
      </c>
      <c r="F384" t="s">
        <v>451</v>
      </c>
      <c r="G384">
        <v>2.06</v>
      </c>
      <c r="H384">
        <v>2.06</v>
      </c>
      <c r="I384" t="s">
        <v>263</v>
      </c>
      <c r="J384" t="s">
        <v>263</v>
      </c>
      <c r="L384" s="29">
        <v>30000</v>
      </c>
      <c r="N384" s="29">
        <v>30000</v>
      </c>
      <c r="O384" t="s">
        <v>264</v>
      </c>
      <c r="Q384" t="s">
        <v>264</v>
      </c>
      <c r="R384" t="s">
        <v>265</v>
      </c>
      <c r="S384">
        <v>14544</v>
      </c>
      <c r="T384" t="s">
        <v>266</v>
      </c>
      <c r="U384" t="s">
        <v>267</v>
      </c>
      <c r="V384" t="s">
        <v>427</v>
      </c>
      <c r="W384" t="s">
        <v>428</v>
      </c>
      <c r="X384">
        <v>1930205</v>
      </c>
      <c r="Y384" s="6">
        <v>44783</v>
      </c>
      <c r="Z384" t="s">
        <v>264</v>
      </c>
      <c r="AA384">
        <v>1</v>
      </c>
      <c r="AB384" t="s">
        <v>264</v>
      </c>
      <c r="AD384" t="s">
        <v>264</v>
      </c>
      <c r="AE384" t="s">
        <v>264</v>
      </c>
      <c r="AF384" t="s">
        <v>264</v>
      </c>
      <c r="AG384">
        <v>5</v>
      </c>
      <c r="AH384" t="s">
        <v>264</v>
      </c>
      <c r="AI384">
        <v>57330810</v>
      </c>
      <c r="AJ384" t="s">
        <v>451</v>
      </c>
      <c r="AL384" t="s">
        <v>264</v>
      </c>
      <c r="AM384" s="6">
        <v>44774</v>
      </c>
      <c r="AN384" t="s">
        <v>462</v>
      </c>
      <c r="AO384" t="s">
        <v>268</v>
      </c>
      <c r="AP384">
        <v>1205</v>
      </c>
      <c r="AQ384" t="s">
        <v>269</v>
      </c>
      <c r="AR384" t="s">
        <v>465</v>
      </c>
      <c r="AU384" t="s">
        <v>264</v>
      </c>
      <c r="AV384" t="s">
        <v>270</v>
      </c>
      <c r="AX384">
        <v>22001087</v>
      </c>
      <c r="AY384">
        <v>630600</v>
      </c>
      <c r="AZ384">
        <v>1205.6306</v>
      </c>
      <c r="BA384" s="28" t="s">
        <v>125</v>
      </c>
    </row>
    <row r="385" spans="1:53">
      <c r="A385" t="s">
        <v>424</v>
      </c>
      <c r="B385" t="s">
        <v>425</v>
      </c>
      <c r="C385">
        <v>22004377</v>
      </c>
      <c r="D385">
        <v>1205</v>
      </c>
      <c r="E385" s="6">
        <v>44774</v>
      </c>
      <c r="F385" t="s">
        <v>451</v>
      </c>
      <c r="G385">
        <v>4.13</v>
      </c>
      <c r="H385">
        <v>4.13</v>
      </c>
      <c r="I385" t="s">
        <v>263</v>
      </c>
      <c r="J385" t="s">
        <v>263</v>
      </c>
      <c r="L385" s="29">
        <v>60000</v>
      </c>
      <c r="N385" s="29">
        <v>60000</v>
      </c>
      <c r="O385" t="s">
        <v>264</v>
      </c>
      <c r="Q385" t="s">
        <v>264</v>
      </c>
      <c r="R385" t="s">
        <v>265</v>
      </c>
      <c r="S385">
        <v>14544</v>
      </c>
      <c r="T385" t="s">
        <v>266</v>
      </c>
      <c r="U385" t="s">
        <v>267</v>
      </c>
      <c r="V385" t="s">
        <v>427</v>
      </c>
      <c r="W385" t="s">
        <v>428</v>
      </c>
      <c r="X385">
        <v>1930205</v>
      </c>
      <c r="Y385" s="6">
        <v>44783</v>
      </c>
      <c r="Z385" t="s">
        <v>264</v>
      </c>
      <c r="AA385">
        <v>1</v>
      </c>
      <c r="AB385" t="s">
        <v>264</v>
      </c>
      <c r="AD385" t="s">
        <v>264</v>
      </c>
      <c r="AE385" t="s">
        <v>264</v>
      </c>
      <c r="AF385" t="s">
        <v>264</v>
      </c>
      <c r="AG385">
        <v>4</v>
      </c>
      <c r="AH385" t="s">
        <v>264</v>
      </c>
      <c r="AI385">
        <v>57330810</v>
      </c>
      <c r="AJ385" t="s">
        <v>451</v>
      </c>
      <c r="AL385" t="s">
        <v>264</v>
      </c>
      <c r="AM385" s="6">
        <v>44774</v>
      </c>
      <c r="AN385" t="s">
        <v>462</v>
      </c>
      <c r="AO385" t="s">
        <v>268</v>
      </c>
      <c r="AP385">
        <v>1205</v>
      </c>
      <c r="AQ385" t="s">
        <v>269</v>
      </c>
      <c r="AR385" t="s">
        <v>465</v>
      </c>
      <c r="AU385" t="s">
        <v>264</v>
      </c>
      <c r="AV385" t="s">
        <v>270</v>
      </c>
      <c r="AX385">
        <v>22001087</v>
      </c>
      <c r="AY385">
        <v>630600</v>
      </c>
      <c r="AZ385">
        <v>1205.6306</v>
      </c>
      <c r="BA385" s="28" t="s">
        <v>125</v>
      </c>
    </row>
    <row r="386" spans="1:53">
      <c r="A386" t="s">
        <v>424</v>
      </c>
      <c r="B386" t="s">
        <v>425</v>
      </c>
      <c r="C386">
        <v>22004378</v>
      </c>
      <c r="D386">
        <v>1205</v>
      </c>
      <c r="E386" s="6">
        <v>44774</v>
      </c>
      <c r="F386" t="s">
        <v>451</v>
      </c>
      <c r="G386">
        <v>1.65</v>
      </c>
      <c r="H386">
        <v>1.65</v>
      </c>
      <c r="I386" t="s">
        <v>263</v>
      </c>
      <c r="J386" t="s">
        <v>263</v>
      </c>
      <c r="L386" s="29">
        <v>24000</v>
      </c>
      <c r="N386" s="29">
        <v>24000</v>
      </c>
      <c r="O386" t="s">
        <v>264</v>
      </c>
      <c r="Q386" t="s">
        <v>264</v>
      </c>
      <c r="R386" t="s">
        <v>265</v>
      </c>
      <c r="S386">
        <v>14544</v>
      </c>
      <c r="T386" t="s">
        <v>266</v>
      </c>
      <c r="U386" t="s">
        <v>267</v>
      </c>
      <c r="V386" t="s">
        <v>427</v>
      </c>
      <c r="W386" t="s">
        <v>428</v>
      </c>
      <c r="X386">
        <v>1930205</v>
      </c>
      <c r="Y386" s="6">
        <v>44783</v>
      </c>
      <c r="Z386" t="s">
        <v>264</v>
      </c>
      <c r="AA386">
        <v>1</v>
      </c>
      <c r="AB386" t="s">
        <v>264</v>
      </c>
      <c r="AD386" t="s">
        <v>264</v>
      </c>
      <c r="AE386" t="s">
        <v>264</v>
      </c>
      <c r="AF386" t="s">
        <v>264</v>
      </c>
      <c r="AG386">
        <v>4</v>
      </c>
      <c r="AH386" t="s">
        <v>264</v>
      </c>
      <c r="AI386">
        <v>57330810</v>
      </c>
      <c r="AJ386" t="s">
        <v>451</v>
      </c>
      <c r="AL386" t="s">
        <v>264</v>
      </c>
      <c r="AM386" s="6">
        <v>44774</v>
      </c>
      <c r="AN386" t="s">
        <v>462</v>
      </c>
      <c r="AO386" t="s">
        <v>268</v>
      </c>
      <c r="AP386">
        <v>1205</v>
      </c>
      <c r="AQ386" t="s">
        <v>269</v>
      </c>
      <c r="AR386" t="s">
        <v>465</v>
      </c>
      <c r="AU386" t="s">
        <v>264</v>
      </c>
      <c r="AV386" t="s">
        <v>270</v>
      </c>
      <c r="AX386">
        <v>22001087</v>
      </c>
      <c r="AY386">
        <v>630600</v>
      </c>
      <c r="AZ386">
        <v>1205.6306</v>
      </c>
      <c r="BA386" s="28" t="s">
        <v>125</v>
      </c>
    </row>
    <row r="387" spans="1:53">
      <c r="A387" t="s">
        <v>424</v>
      </c>
      <c r="B387" t="s">
        <v>425</v>
      </c>
      <c r="C387">
        <v>22004381</v>
      </c>
      <c r="D387">
        <v>1205</v>
      </c>
      <c r="E387" s="6">
        <v>44774</v>
      </c>
      <c r="F387" t="s">
        <v>451</v>
      </c>
      <c r="G387">
        <v>1.03</v>
      </c>
      <c r="H387">
        <v>1.03</v>
      </c>
      <c r="I387" t="s">
        <v>263</v>
      </c>
      <c r="J387" t="s">
        <v>263</v>
      </c>
      <c r="L387" s="29">
        <v>15000</v>
      </c>
      <c r="N387" s="29">
        <v>15000</v>
      </c>
      <c r="O387" t="s">
        <v>264</v>
      </c>
      <c r="Q387" t="s">
        <v>264</v>
      </c>
      <c r="R387" t="s">
        <v>265</v>
      </c>
      <c r="S387">
        <v>14544</v>
      </c>
      <c r="T387" t="s">
        <v>266</v>
      </c>
      <c r="U387" t="s">
        <v>267</v>
      </c>
      <c r="V387" t="s">
        <v>427</v>
      </c>
      <c r="W387" t="s">
        <v>428</v>
      </c>
      <c r="X387">
        <v>1930205</v>
      </c>
      <c r="Y387" s="6">
        <v>44783</v>
      </c>
      <c r="Z387" t="s">
        <v>264</v>
      </c>
      <c r="AA387">
        <v>1</v>
      </c>
      <c r="AB387" t="s">
        <v>264</v>
      </c>
      <c r="AD387" t="s">
        <v>264</v>
      </c>
      <c r="AE387" t="s">
        <v>264</v>
      </c>
      <c r="AF387" t="s">
        <v>264</v>
      </c>
      <c r="AG387">
        <v>1</v>
      </c>
      <c r="AH387" t="s">
        <v>264</v>
      </c>
      <c r="AI387">
        <v>57330810</v>
      </c>
      <c r="AJ387" t="s">
        <v>451</v>
      </c>
      <c r="AL387" t="s">
        <v>264</v>
      </c>
      <c r="AM387" s="6">
        <v>44774</v>
      </c>
      <c r="AN387" t="s">
        <v>462</v>
      </c>
      <c r="AO387" t="s">
        <v>268</v>
      </c>
      <c r="AP387">
        <v>1205</v>
      </c>
      <c r="AQ387" t="s">
        <v>269</v>
      </c>
      <c r="AR387" t="s">
        <v>465</v>
      </c>
      <c r="AU387" t="s">
        <v>264</v>
      </c>
      <c r="AV387" t="s">
        <v>270</v>
      </c>
      <c r="AX387">
        <v>22001087</v>
      </c>
      <c r="AY387">
        <v>630600</v>
      </c>
      <c r="AZ387">
        <v>1205.6306</v>
      </c>
      <c r="BA387" s="28" t="s">
        <v>125</v>
      </c>
    </row>
    <row r="388" spans="1:53">
      <c r="A388" t="s">
        <v>424</v>
      </c>
      <c r="B388" t="s">
        <v>425</v>
      </c>
      <c r="C388">
        <v>22004382</v>
      </c>
      <c r="D388">
        <v>1205</v>
      </c>
      <c r="E388" s="6">
        <v>44774</v>
      </c>
      <c r="F388" t="s">
        <v>451</v>
      </c>
      <c r="G388">
        <v>0.41</v>
      </c>
      <c r="H388">
        <v>0.41</v>
      </c>
      <c r="I388" t="s">
        <v>263</v>
      </c>
      <c r="J388" t="s">
        <v>263</v>
      </c>
      <c r="L388" s="29">
        <v>6000</v>
      </c>
      <c r="N388" s="29">
        <v>6000</v>
      </c>
      <c r="O388" t="s">
        <v>264</v>
      </c>
      <c r="Q388" t="s">
        <v>264</v>
      </c>
      <c r="R388" t="s">
        <v>265</v>
      </c>
      <c r="S388">
        <v>14544</v>
      </c>
      <c r="T388" t="s">
        <v>266</v>
      </c>
      <c r="U388" t="s">
        <v>267</v>
      </c>
      <c r="V388" t="s">
        <v>427</v>
      </c>
      <c r="W388" t="s">
        <v>428</v>
      </c>
      <c r="X388">
        <v>1930205</v>
      </c>
      <c r="Y388" s="6">
        <v>44783</v>
      </c>
      <c r="Z388" t="s">
        <v>264</v>
      </c>
      <c r="AA388">
        <v>1</v>
      </c>
      <c r="AB388" t="s">
        <v>264</v>
      </c>
      <c r="AD388" t="s">
        <v>264</v>
      </c>
      <c r="AE388" t="s">
        <v>264</v>
      </c>
      <c r="AF388" t="s">
        <v>264</v>
      </c>
      <c r="AG388">
        <v>1</v>
      </c>
      <c r="AH388" t="s">
        <v>264</v>
      </c>
      <c r="AI388">
        <v>57330810</v>
      </c>
      <c r="AJ388" t="s">
        <v>451</v>
      </c>
      <c r="AL388" t="s">
        <v>264</v>
      </c>
      <c r="AM388" s="6">
        <v>44774</v>
      </c>
      <c r="AN388" t="s">
        <v>462</v>
      </c>
      <c r="AO388" t="s">
        <v>268</v>
      </c>
      <c r="AP388">
        <v>1205</v>
      </c>
      <c r="AQ388" t="s">
        <v>269</v>
      </c>
      <c r="AR388" t="s">
        <v>465</v>
      </c>
      <c r="AU388" t="s">
        <v>264</v>
      </c>
      <c r="AV388" t="s">
        <v>270</v>
      </c>
      <c r="AX388">
        <v>22001087</v>
      </c>
      <c r="AY388">
        <v>630600</v>
      </c>
      <c r="AZ388">
        <v>1205.6306</v>
      </c>
      <c r="BA388" s="28" t="s">
        <v>125</v>
      </c>
    </row>
    <row r="389" spans="1:53">
      <c r="A389" t="s">
        <v>424</v>
      </c>
      <c r="B389" t="s">
        <v>425</v>
      </c>
      <c r="C389">
        <v>22004383</v>
      </c>
      <c r="D389">
        <v>1205</v>
      </c>
      <c r="E389" s="6">
        <v>44774</v>
      </c>
      <c r="F389" t="s">
        <v>451</v>
      </c>
      <c r="G389">
        <v>0.83</v>
      </c>
      <c r="H389">
        <v>0.83</v>
      </c>
      <c r="I389" t="s">
        <v>263</v>
      </c>
      <c r="J389" t="s">
        <v>263</v>
      </c>
      <c r="L389" s="29">
        <v>12000</v>
      </c>
      <c r="N389" s="29">
        <v>12000</v>
      </c>
      <c r="O389" t="s">
        <v>264</v>
      </c>
      <c r="Q389" t="s">
        <v>264</v>
      </c>
      <c r="R389" t="s">
        <v>265</v>
      </c>
      <c r="S389">
        <v>14544</v>
      </c>
      <c r="T389" t="s">
        <v>266</v>
      </c>
      <c r="U389" t="s">
        <v>267</v>
      </c>
      <c r="V389" t="s">
        <v>427</v>
      </c>
      <c r="W389" t="s">
        <v>428</v>
      </c>
      <c r="X389">
        <v>1930205</v>
      </c>
      <c r="Y389" s="6">
        <v>44783</v>
      </c>
      <c r="Z389" t="s">
        <v>264</v>
      </c>
      <c r="AA389">
        <v>1</v>
      </c>
      <c r="AB389" t="s">
        <v>264</v>
      </c>
      <c r="AD389" t="s">
        <v>264</v>
      </c>
      <c r="AE389" t="s">
        <v>264</v>
      </c>
      <c r="AF389" t="s">
        <v>264</v>
      </c>
      <c r="AG389">
        <v>2</v>
      </c>
      <c r="AH389" t="s">
        <v>264</v>
      </c>
      <c r="AI389">
        <v>57330810</v>
      </c>
      <c r="AJ389" t="s">
        <v>451</v>
      </c>
      <c r="AL389" t="s">
        <v>264</v>
      </c>
      <c r="AM389" s="6">
        <v>44774</v>
      </c>
      <c r="AN389" t="s">
        <v>462</v>
      </c>
      <c r="AO389" t="s">
        <v>268</v>
      </c>
      <c r="AP389">
        <v>1205</v>
      </c>
      <c r="AQ389" t="s">
        <v>269</v>
      </c>
      <c r="AR389" t="s">
        <v>465</v>
      </c>
      <c r="AU389" t="s">
        <v>264</v>
      </c>
      <c r="AV389" t="s">
        <v>270</v>
      </c>
      <c r="AX389">
        <v>22001087</v>
      </c>
      <c r="AY389">
        <v>630600</v>
      </c>
      <c r="AZ389">
        <v>1205.6306</v>
      </c>
      <c r="BA389" s="28" t="s">
        <v>125</v>
      </c>
    </row>
    <row r="390" spans="1:53">
      <c r="A390" t="s">
        <v>424</v>
      </c>
      <c r="B390" t="s">
        <v>425</v>
      </c>
      <c r="C390">
        <v>22004388</v>
      </c>
      <c r="D390">
        <v>1205</v>
      </c>
      <c r="E390" s="6">
        <v>44774</v>
      </c>
      <c r="F390" t="s">
        <v>451</v>
      </c>
      <c r="G390">
        <v>7.43</v>
      </c>
      <c r="H390">
        <v>7.43</v>
      </c>
      <c r="I390" t="s">
        <v>263</v>
      </c>
      <c r="J390" t="s">
        <v>263</v>
      </c>
      <c r="L390" s="29">
        <v>108000</v>
      </c>
      <c r="N390" s="29">
        <v>108000</v>
      </c>
      <c r="O390" t="s">
        <v>264</v>
      </c>
      <c r="Q390" t="s">
        <v>264</v>
      </c>
      <c r="R390" t="s">
        <v>265</v>
      </c>
      <c r="S390">
        <v>14544</v>
      </c>
      <c r="T390" t="s">
        <v>266</v>
      </c>
      <c r="U390" t="s">
        <v>267</v>
      </c>
      <c r="V390" t="s">
        <v>427</v>
      </c>
      <c r="W390" t="s">
        <v>428</v>
      </c>
      <c r="X390">
        <v>1930234</v>
      </c>
      <c r="Y390" s="6">
        <v>44783</v>
      </c>
      <c r="Z390" t="s">
        <v>264</v>
      </c>
      <c r="AA390">
        <v>1</v>
      </c>
      <c r="AB390" t="s">
        <v>264</v>
      </c>
      <c r="AD390" t="s">
        <v>264</v>
      </c>
      <c r="AE390" t="s">
        <v>264</v>
      </c>
      <c r="AF390" t="s">
        <v>264</v>
      </c>
      <c r="AG390">
        <v>6</v>
      </c>
      <c r="AH390" t="s">
        <v>264</v>
      </c>
      <c r="AI390">
        <v>57330810</v>
      </c>
      <c r="AJ390" t="s">
        <v>451</v>
      </c>
      <c r="AL390" t="s">
        <v>264</v>
      </c>
      <c r="AM390" s="6">
        <v>44774</v>
      </c>
      <c r="AN390" t="s">
        <v>462</v>
      </c>
      <c r="AO390" t="s">
        <v>268</v>
      </c>
      <c r="AP390">
        <v>1205</v>
      </c>
      <c r="AQ390" t="s">
        <v>269</v>
      </c>
      <c r="AR390" t="s">
        <v>463</v>
      </c>
      <c r="AU390" t="s">
        <v>264</v>
      </c>
      <c r="AV390" t="s">
        <v>270</v>
      </c>
      <c r="AX390">
        <v>22001088</v>
      </c>
      <c r="AY390">
        <v>630600</v>
      </c>
      <c r="AZ390">
        <v>1205.6306</v>
      </c>
      <c r="BA390" s="28" t="s">
        <v>125</v>
      </c>
    </row>
    <row r="391" spans="1:53">
      <c r="A391" t="s">
        <v>424</v>
      </c>
      <c r="B391" t="s">
        <v>425</v>
      </c>
      <c r="C391">
        <v>22004389</v>
      </c>
      <c r="D391">
        <v>1205</v>
      </c>
      <c r="E391" s="6">
        <v>44774</v>
      </c>
      <c r="F391" t="s">
        <v>451</v>
      </c>
      <c r="G391">
        <v>2.89</v>
      </c>
      <c r="H391">
        <v>2.89</v>
      </c>
      <c r="I391" t="s">
        <v>263</v>
      </c>
      <c r="J391" t="s">
        <v>263</v>
      </c>
      <c r="L391" s="29">
        <v>42000</v>
      </c>
      <c r="N391" s="29">
        <v>42000</v>
      </c>
      <c r="O391" t="s">
        <v>264</v>
      </c>
      <c r="Q391" t="s">
        <v>264</v>
      </c>
      <c r="R391" t="s">
        <v>265</v>
      </c>
      <c r="S391">
        <v>14544</v>
      </c>
      <c r="T391" t="s">
        <v>266</v>
      </c>
      <c r="U391" t="s">
        <v>267</v>
      </c>
      <c r="V391" t="s">
        <v>427</v>
      </c>
      <c r="W391" t="s">
        <v>428</v>
      </c>
      <c r="X391">
        <v>1930234</v>
      </c>
      <c r="Y391" s="6">
        <v>44783</v>
      </c>
      <c r="Z391" t="s">
        <v>264</v>
      </c>
      <c r="AA391">
        <v>1</v>
      </c>
      <c r="AB391" t="s">
        <v>264</v>
      </c>
      <c r="AD391" t="s">
        <v>264</v>
      </c>
      <c r="AE391" t="s">
        <v>264</v>
      </c>
      <c r="AF391" t="s">
        <v>264</v>
      </c>
      <c r="AG391">
        <v>6</v>
      </c>
      <c r="AH391" t="s">
        <v>264</v>
      </c>
      <c r="AI391">
        <v>57330810</v>
      </c>
      <c r="AJ391" t="s">
        <v>451</v>
      </c>
      <c r="AL391" t="s">
        <v>264</v>
      </c>
      <c r="AM391" s="6">
        <v>44774</v>
      </c>
      <c r="AN391" t="s">
        <v>462</v>
      </c>
      <c r="AO391" t="s">
        <v>268</v>
      </c>
      <c r="AP391">
        <v>1205</v>
      </c>
      <c r="AQ391" t="s">
        <v>269</v>
      </c>
      <c r="AR391" t="s">
        <v>463</v>
      </c>
      <c r="AU391" t="s">
        <v>264</v>
      </c>
      <c r="AV391" t="s">
        <v>270</v>
      </c>
      <c r="AX391">
        <v>22001088</v>
      </c>
      <c r="AY391">
        <v>630600</v>
      </c>
      <c r="AZ391">
        <v>1205.6306</v>
      </c>
      <c r="BA391" s="28" t="s">
        <v>125</v>
      </c>
    </row>
    <row r="392" spans="1:53">
      <c r="A392" t="s">
        <v>424</v>
      </c>
      <c r="B392" t="s">
        <v>425</v>
      </c>
      <c r="C392">
        <v>22004400</v>
      </c>
      <c r="D392">
        <v>1205</v>
      </c>
      <c r="E392" s="6">
        <v>44774</v>
      </c>
      <c r="F392" t="s">
        <v>451</v>
      </c>
      <c r="G392">
        <v>17.329999999999998</v>
      </c>
      <c r="H392">
        <v>17.329999999999998</v>
      </c>
      <c r="I392" t="s">
        <v>263</v>
      </c>
      <c r="J392" t="s">
        <v>263</v>
      </c>
      <c r="L392" s="29">
        <v>252000</v>
      </c>
      <c r="N392" s="29">
        <v>252000</v>
      </c>
      <c r="O392" t="s">
        <v>264</v>
      </c>
      <c r="Q392" t="s">
        <v>264</v>
      </c>
      <c r="R392" t="s">
        <v>265</v>
      </c>
      <c r="S392">
        <v>14544</v>
      </c>
      <c r="T392" t="s">
        <v>266</v>
      </c>
      <c r="U392" t="s">
        <v>267</v>
      </c>
      <c r="V392" t="s">
        <v>427</v>
      </c>
      <c r="W392" t="s">
        <v>428</v>
      </c>
      <c r="X392">
        <v>1930400</v>
      </c>
      <c r="Y392" s="6">
        <v>44784</v>
      </c>
      <c r="Z392" t="s">
        <v>264</v>
      </c>
      <c r="AA392">
        <v>1</v>
      </c>
      <c r="AB392" t="s">
        <v>264</v>
      </c>
      <c r="AD392" t="s">
        <v>264</v>
      </c>
      <c r="AE392" t="s">
        <v>264</v>
      </c>
      <c r="AF392" t="s">
        <v>264</v>
      </c>
      <c r="AG392">
        <v>14</v>
      </c>
      <c r="AH392" t="s">
        <v>264</v>
      </c>
      <c r="AI392">
        <v>57330810</v>
      </c>
      <c r="AJ392" t="s">
        <v>451</v>
      </c>
      <c r="AL392" t="s">
        <v>264</v>
      </c>
      <c r="AM392" s="6">
        <v>44774</v>
      </c>
      <c r="AN392" t="s">
        <v>462</v>
      </c>
      <c r="AO392" t="s">
        <v>268</v>
      </c>
      <c r="AP392">
        <v>1205</v>
      </c>
      <c r="AQ392" t="s">
        <v>269</v>
      </c>
      <c r="AR392" t="s">
        <v>466</v>
      </c>
      <c r="AU392" t="s">
        <v>264</v>
      </c>
      <c r="AV392" t="s">
        <v>270</v>
      </c>
      <c r="AX392">
        <v>22001089</v>
      </c>
      <c r="AY392">
        <v>630600</v>
      </c>
      <c r="AZ392">
        <v>1205.6306</v>
      </c>
      <c r="BA392" s="28" t="s">
        <v>125</v>
      </c>
    </row>
    <row r="393" spans="1:53">
      <c r="A393" t="s">
        <v>424</v>
      </c>
      <c r="B393" t="s">
        <v>425</v>
      </c>
      <c r="C393">
        <v>22004401</v>
      </c>
      <c r="D393">
        <v>1205</v>
      </c>
      <c r="E393" s="6">
        <v>44774</v>
      </c>
      <c r="F393" t="s">
        <v>451</v>
      </c>
      <c r="G393">
        <v>6.74</v>
      </c>
      <c r="H393">
        <v>6.74</v>
      </c>
      <c r="I393" t="s">
        <v>263</v>
      </c>
      <c r="J393" t="s">
        <v>263</v>
      </c>
      <c r="L393" s="29">
        <v>98000</v>
      </c>
      <c r="N393" s="29">
        <v>98000</v>
      </c>
      <c r="O393" t="s">
        <v>264</v>
      </c>
      <c r="Q393" t="s">
        <v>264</v>
      </c>
      <c r="R393" t="s">
        <v>265</v>
      </c>
      <c r="S393">
        <v>14544</v>
      </c>
      <c r="T393" t="s">
        <v>266</v>
      </c>
      <c r="U393" t="s">
        <v>267</v>
      </c>
      <c r="V393" t="s">
        <v>427</v>
      </c>
      <c r="W393" t="s">
        <v>428</v>
      </c>
      <c r="X393">
        <v>1930400</v>
      </c>
      <c r="Y393" s="6">
        <v>44784</v>
      </c>
      <c r="Z393" t="s">
        <v>264</v>
      </c>
      <c r="AA393">
        <v>1</v>
      </c>
      <c r="AB393" t="s">
        <v>264</v>
      </c>
      <c r="AD393" t="s">
        <v>264</v>
      </c>
      <c r="AE393" t="s">
        <v>264</v>
      </c>
      <c r="AF393" t="s">
        <v>264</v>
      </c>
      <c r="AG393">
        <v>14</v>
      </c>
      <c r="AH393" t="s">
        <v>264</v>
      </c>
      <c r="AI393">
        <v>57330810</v>
      </c>
      <c r="AJ393" t="s">
        <v>451</v>
      </c>
      <c r="AL393" t="s">
        <v>264</v>
      </c>
      <c r="AM393" s="6">
        <v>44774</v>
      </c>
      <c r="AN393" t="s">
        <v>462</v>
      </c>
      <c r="AO393" t="s">
        <v>268</v>
      </c>
      <c r="AP393">
        <v>1205</v>
      </c>
      <c r="AQ393" t="s">
        <v>269</v>
      </c>
      <c r="AR393" t="s">
        <v>466</v>
      </c>
      <c r="AU393" t="s">
        <v>264</v>
      </c>
      <c r="AV393" t="s">
        <v>270</v>
      </c>
      <c r="AX393">
        <v>22001089</v>
      </c>
      <c r="AY393">
        <v>630600</v>
      </c>
      <c r="AZ393">
        <v>1205.6306</v>
      </c>
      <c r="BA393" s="28" t="s">
        <v>125</v>
      </c>
    </row>
    <row r="394" spans="1:53">
      <c r="A394" t="s">
        <v>424</v>
      </c>
      <c r="B394" t="s">
        <v>425</v>
      </c>
      <c r="C394">
        <v>22004449</v>
      </c>
      <c r="D394">
        <v>1205</v>
      </c>
      <c r="E394" s="6">
        <v>44774</v>
      </c>
      <c r="F394" t="s">
        <v>467</v>
      </c>
      <c r="G394">
        <v>92.4</v>
      </c>
      <c r="H394">
        <v>92.4</v>
      </c>
      <c r="I394" t="s">
        <v>263</v>
      </c>
      <c r="J394" t="s">
        <v>263</v>
      </c>
      <c r="L394" s="29">
        <v>1375000</v>
      </c>
      <c r="N394" s="29">
        <v>1375000</v>
      </c>
      <c r="O394" t="s">
        <v>264</v>
      </c>
      <c r="Q394" t="s">
        <v>264</v>
      </c>
      <c r="R394" t="s">
        <v>265</v>
      </c>
      <c r="S394">
        <v>14882</v>
      </c>
      <c r="T394" t="s">
        <v>266</v>
      </c>
      <c r="U394" t="s">
        <v>267</v>
      </c>
      <c r="V394" t="s">
        <v>427</v>
      </c>
      <c r="W394" t="s">
        <v>428</v>
      </c>
      <c r="X394">
        <v>1932215</v>
      </c>
      <c r="Y394" s="6">
        <v>44788</v>
      </c>
      <c r="Z394" t="s">
        <v>264</v>
      </c>
      <c r="AA394">
        <v>1</v>
      </c>
      <c r="AB394" t="s">
        <v>264</v>
      </c>
      <c r="AD394" t="s">
        <v>264</v>
      </c>
      <c r="AE394" t="s">
        <v>264</v>
      </c>
      <c r="AF394" t="s">
        <v>264</v>
      </c>
      <c r="AG394">
        <v>50</v>
      </c>
      <c r="AH394" t="s">
        <v>264</v>
      </c>
      <c r="AI394">
        <v>57316065</v>
      </c>
      <c r="AJ394" t="s">
        <v>467</v>
      </c>
      <c r="AL394" t="s">
        <v>264</v>
      </c>
      <c r="AM394" s="6">
        <v>44774</v>
      </c>
      <c r="AN394" t="s">
        <v>462</v>
      </c>
      <c r="AO394" t="s">
        <v>268</v>
      </c>
      <c r="AP394">
        <v>1205</v>
      </c>
      <c r="AQ394" t="s">
        <v>269</v>
      </c>
      <c r="AR394" t="s">
        <v>468</v>
      </c>
      <c r="AU394" t="s">
        <v>264</v>
      </c>
      <c r="AV394" t="s">
        <v>270</v>
      </c>
      <c r="AX394">
        <v>22001120</v>
      </c>
      <c r="AY394">
        <v>630600</v>
      </c>
      <c r="AZ394">
        <v>1205.6306</v>
      </c>
      <c r="BA394" s="28" t="s">
        <v>125</v>
      </c>
    </row>
    <row r="395" spans="1:53">
      <c r="A395" t="s">
        <v>424</v>
      </c>
      <c r="B395" t="s">
        <v>425</v>
      </c>
      <c r="C395">
        <v>22004504</v>
      </c>
      <c r="D395">
        <v>1205</v>
      </c>
      <c r="E395" s="6">
        <v>44774</v>
      </c>
      <c r="F395" t="s">
        <v>469</v>
      </c>
      <c r="G395">
        <v>423.12</v>
      </c>
      <c r="H395">
        <v>423.12</v>
      </c>
      <c r="I395" t="s">
        <v>263</v>
      </c>
      <c r="J395" t="s">
        <v>263</v>
      </c>
      <c r="L395" s="29">
        <v>6174000</v>
      </c>
      <c r="N395" s="29">
        <v>6174000</v>
      </c>
      <c r="O395" t="s">
        <v>264</v>
      </c>
      <c r="Q395" t="s">
        <v>264</v>
      </c>
      <c r="R395" t="s">
        <v>265</v>
      </c>
      <c r="S395">
        <v>14592</v>
      </c>
      <c r="T395" t="s">
        <v>266</v>
      </c>
      <c r="U395" t="s">
        <v>267</v>
      </c>
      <c r="V395" t="s">
        <v>427</v>
      </c>
      <c r="W395" t="s">
        <v>428</v>
      </c>
      <c r="X395">
        <v>1934590</v>
      </c>
      <c r="Y395" s="6">
        <v>44797</v>
      </c>
      <c r="Z395" t="s">
        <v>264</v>
      </c>
      <c r="AA395">
        <v>1</v>
      </c>
      <c r="AB395" t="s">
        <v>264</v>
      </c>
      <c r="AD395" t="s">
        <v>264</v>
      </c>
      <c r="AE395" t="s">
        <v>264</v>
      </c>
      <c r="AF395" t="s">
        <v>264</v>
      </c>
      <c r="AG395">
        <v>686</v>
      </c>
      <c r="AH395" t="s">
        <v>264</v>
      </c>
      <c r="AI395">
        <v>55745878</v>
      </c>
      <c r="AJ395" t="s">
        <v>469</v>
      </c>
      <c r="AL395" t="s">
        <v>264</v>
      </c>
      <c r="AM395" s="6">
        <v>44774</v>
      </c>
      <c r="AN395" t="s">
        <v>462</v>
      </c>
      <c r="AO395" t="s">
        <v>268</v>
      </c>
      <c r="AP395">
        <v>1205</v>
      </c>
      <c r="AQ395" t="s">
        <v>269</v>
      </c>
      <c r="AR395" t="s">
        <v>470</v>
      </c>
      <c r="AU395" t="s">
        <v>264</v>
      </c>
      <c r="AV395" t="s">
        <v>270</v>
      </c>
      <c r="AX395">
        <v>22001094</v>
      </c>
      <c r="AY395">
        <v>630600</v>
      </c>
      <c r="AZ395">
        <v>1205.6306</v>
      </c>
      <c r="BA395" s="28" t="s">
        <v>125</v>
      </c>
    </row>
    <row r="396" spans="1:53">
      <c r="A396" t="s">
        <v>424</v>
      </c>
      <c r="B396" t="s">
        <v>425</v>
      </c>
      <c r="C396">
        <v>22004505</v>
      </c>
      <c r="D396">
        <v>1205</v>
      </c>
      <c r="E396" s="6">
        <v>44774</v>
      </c>
      <c r="F396" t="s">
        <v>469</v>
      </c>
      <c r="G396">
        <v>249.8</v>
      </c>
      <c r="H396">
        <v>249.8</v>
      </c>
      <c r="I396" t="s">
        <v>263</v>
      </c>
      <c r="J396" t="s">
        <v>263</v>
      </c>
      <c r="L396" s="29">
        <v>3645000</v>
      </c>
      <c r="N396" s="29">
        <v>3645000</v>
      </c>
      <c r="O396" t="s">
        <v>264</v>
      </c>
      <c r="Q396" t="s">
        <v>264</v>
      </c>
      <c r="R396" t="s">
        <v>265</v>
      </c>
      <c r="S396">
        <v>14592</v>
      </c>
      <c r="T396" t="s">
        <v>266</v>
      </c>
      <c r="U396" t="s">
        <v>267</v>
      </c>
      <c r="V396" t="s">
        <v>427</v>
      </c>
      <c r="W396" t="s">
        <v>428</v>
      </c>
      <c r="X396">
        <v>1934590</v>
      </c>
      <c r="Y396" s="6">
        <v>44797</v>
      </c>
      <c r="Z396" t="s">
        <v>264</v>
      </c>
      <c r="AA396">
        <v>1</v>
      </c>
      <c r="AB396" t="s">
        <v>264</v>
      </c>
      <c r="AD396" t="s">
        <v>264</v>
      </c>
      <c r="AE396" t="s">
        <v>264</v>
      </c>
      <c r="AF396" t="s">
        <v>264</v>
      </c>
      <c r="AG396">
        <v>405</v>
      </c>
      <c r="AH396" t="s">
        <v>264</v>
      </c>
      <c r="AI396">
        <v>55745878</v>
      </c>
      <c r="AJ396" t="s">
        <v>469</v>
      </c>
      <c r="AL396" t="s">
        <v>264</v>
      </c>
      <c r="AM396" s="6">
        <v>44774</v>
      </c>
      <c r="AN396" t="s">
        <v>462</v>
      </c>
      <c r="AO396" t="s">
        <v>268</v>
      </c>
      <c r="AP396">
        <v>1205</v>
      </c>
      <c r="AQ396" t="s">
        <v>269</v>
      </c>
      <c r="AR396" t="s">
        <v>470</v>
      </c>
      <c r="AU396" t="s">
        <v>264</v>
      </c>
      <c r="AV396" t="s">
        <v>270</v>
      </c>
      <c r="AX396">
        <v>22001094</v>
      </c>
      <c r="AY396">
        <v>630600</v>
      </c>
      <c r="AZ396">
        <v>1205.6306</v>
      </c>
      <c r="BA396" s="28" t="s">
        <v>125</v>
      </c>
    </row>
    <row r="397" spans="1:53">
      <c r="A397" t="s">
        <v>424</v>
      </c>
      <c r="B397" t="s">
        <v>425</v>
      </c>
      <c r="C397">
        <v>22004508</v>
      </c>
      <c r="D397">
        <v>1205</v>
      </c>
      <c r="E397" s="6">
        <v>44774</v>
      </c>
      <c r="F397" t="s">
        <v>469</v>
      </c>
      <c r="G397">
        <v>233.77</v>
      </c>
      <c r="H397">
        <v>233.77</v>
      </c>
      <c r="I397" t="s">
        <v>263</v>
      </c>
      <c r="J397" t="s">
        <v>263</v>
      </c>
      <c r="L397" s="29">
        <v>3411000</v>
      </c>
      <c r="N397" s="29">
        <v>3411000</v>
      </c>
      <c r="O397" t="s">
        <v>264</v>
      </c>
      <c r="Q397" t="s">
        <v>264</v>
      </c>
      <c r="R397" t="s">
        <v>265</v>
      </c>
      <c r="S397">
        <v>14592</v>
      </c>
      <c r="T397" t="s">
        <v>266</v>
      </c>
      <c r="U397" t="s">
        <v>267</v>
      </c>
      <c r="V397" t="s">
        <v>427</v>
      </c>
      <c r="W397" t="s">
        <v>428</v>
      </c>
      <c r="X397">
        <v>1934590</v>
      </c>
      <c r="Y397" s="6">
        <v>44797</v>
      </c>
      <c r="Z397" t="s">
        <v>264</v>
      </c>
      <c r="AA397">
        <v>1</v>
      </c>
      <c r="AB397" t="s">
        <v>264</v>
      </c>
      <c r="AD397" t="s">
        <v>264</v>
      </c>
      <c r="AE397" t="s">
        <v>264</v>
      </c>
      <c r="AF397" t="s">
        <v>264</v>
      </c>
      <c r="AG397">
        <v>379</v>
      </c>
      <c r="AH397" t="s">
        <v>264</v>
      </c>
      <c r="AI397">
        <v>55745878</v>
      </c>
      <c r="AJ397" t="s">
        <v>469</v>
      </c>
      <c r="AL397" t="s">
        <v>264</v>
      </c>
      <c r="AM397" s="6">
        <v>44774</v>
      </c>
      <c r="AN397" t="s">
        <v>462</v>
      </c>
      <c r="AO397" t="s">
        <v>268</v>
      </c>
      <c r="AP397">
        <v>1205</v>
      </c>
      <c r="AQ397" t="s">
        <v>269</v>
      </c>
      <c r="AR397" t="s">
        <v>470</v>
      </c>
      <c r="AU397" t="s">
        <v>264</v>
      </c>
      <c r="AV397" t="s">
        <v>270</v>
      </c>
      <c r="AX397">
        <v>22001094</v>
      </c>
      <c r="AY397">
        <v>630600</v>
      </c>
      <c r="AZ397">
        <v>1205.6306</v>
      </c>
      <c r="BA397" s="28" t="s">
        <v>125</v>
      </c>
    </row>
    <row r="398" spans="1:53">
      <c r="A398" t="s">
        <v>453</v>
      </c>
      <c r="B398" t="s">
        <v>454</v>
      </c>
      <c r="C398">
        <v>22001024</v>
      </c>
      <c r="D398">
        <v>1205</v>
      </c>
      <c r="E398" s="6">
        <v>44775</v>
      </c>
      <c r="F398" t="s">
        <v>455</v>
      </c>
      <c r="G398">
        <v>-114.36</v>
      </c>
      <c r="I398" t="s">
        <v>263</v>
      </c>
      <c r="J398" t="s">
        <v>263</v>
      </c>
      <c r="K398">
        <v>-114.36</v>
      </c>
      <c r="M398" s="29">
        <v>-1701975</v>
      </c>
      <c r="N398" s="29">
        <v>-1701975</v>
      </c>
      <c r="O398" t="s">
        <v>264</v>
      </c>
      <c r="Q398" t="s">
        <v>264</v>
      </c>
      <c r="R398" t="s">
        <v>265</v>
      </c>
      <c r="S398">
        <v>14882</v>
      </c>
      <c r="T398" t="s">
        <v>266</v>
      </c>
      <c r="U398" t="s">
        <v>267</v>
      </c>
      <c r="V398" t="s">
        <v>273</v>
      </c>
      <c r="W398" t="s">
        <v>274</v>
      </c>
      <c r="X398">
        <v>1926548</v>
      </c>
      <c r="Y398" s="6">
        <v>44775</v>
      </c>
      <c r="Z398" t="s">
        <v>264</v>
      </c>
      <c r="AA398">
        <v>1</v>
      </c>
      <c r="AB398" t="s">
        <v>264</v>
      </c>
      <c r="AD398" t="s">
        <v>264</v>
      </c>
      <c r="AE398" t="s">
        <v>264</v>
      </c>
      <c r="AF398" t="s">
        <v>264</v>
      </c>
      <c r="AH398" t="s">
        <v>264</v>
      </c>
      <c r="AI398">
        <v>55537180</v>
      </c>
      <c r="AJ398" t="s">
        <v>455</v>
      </c>
      <c r="AL398" t="s">
        <v>471</v>
      </c>
      <c r="AM398" s="6">
        <v>44762</v>
      </c>
      <c r="AN398" t="s">
        <v>275</v>
      </c>
      <c r="AO398" t="s">
        <v>268</v>
      </c>
      <c r="AP398">
        <v>1205</v>
      </c>
      <c r="AQ398" t="s">
        <v>269</v>
      </c>
      <c r="AR398" t="s">
        <v>457</v>
      </c>
      <c r="AU398" t="s">
        <v>264</v>
      </c>
      <c r="AV398" t="s">
        <v>270</v>
      </c>
      <c r="AX398" t="s">
        <v>264</v>
      </c>
      <c r="AY398">
        <v>630600</v>
      </c>
      <c r="AZ398">
        <v>1205.6306</v>
      </c>
      <c r="BA398" s="28" t="s">
        <v>125</v>
      </c>
    </row>
    <row r="399" spans="1:53">
      <c r="A399" t="s">
        <v>271</v>
      </c>
      <c r="B399" t="s">
        <v>272</v>
      </c>
      <c r="C399">
        <v>22002912</v>
      </c>
      <c r="D399">
        <v>1205</v>
      </c>
      <c r="E399" s="6">
        <v>44775</v>
      </c>
      <c r="F399" t="s">
        <v>455</v>
      </c>
      <c r="G399">
        <v>114.36</v>
      </c>
      <c r="H399">
        <v>114.36</v>
      </c>
      <c r="I399" t="s">
        <v>263</v>
      </c>
      <c r="J399" t="s">
        <v>263</v>
      </c>
      <c r="L399" s="29">
        <v>1701975</v>
      </c>
      <c r="N399" s="29">
        <v>1701975</v>
      </c>
      <c r="O399" t="s">
        <v>264</v>
      </c>
      <c r="Q399" t="s">
        <v>264</v>
      </c>
      <c r="R399" t="s">
        <v>265</v>
      </c>
      <c r="S399">
        <v>14882</v>
      </c>
      <c r="T399" t="s">
        <v>266</v>
      </c>
      <c r="U399" t="s">
        <v>267</v>
      </c>
      <c r="V399" t="s">
        <v>273</v>
      </c>
      <c r="W399" t="s">
        <v>274</v>
      </c>
      <c r="X399">
        <v>1926553</v>
      </c>
      <c r="Y399" s="6">
        <v>44775</v>
      </c>
      <c r="Z399" t="s">
        <v>264</v>
      </c>
      <c r="AA399">
        <v>1</v>
      </c>
      <c r="AB399" t="s">
        <v>264</v>
      </c>
      <c r="AD399" t="s">
        <v>264</v>
      </c>
      <c r="AE399" t="s">
        <v>264</v>
      </c>
      <c r="AF399" t="s">
        <v>264</v>
      </c>
      <c r="AH399" t="s">
        <v>264</v>
      </c>
      <c r="AI399">
        <v>55537180</v>
      </c>
      <c r="AJ399" t="s">
        <v>455</v>
      </c>
      <c r="AL399" t="s">
        <v>471</v>
      </c>
      <c r="AM399" s="6">
        <v>44762</v>
      </c>
      <c r="AN399" t="s">
        <v>275</v>
      </c>
      <c r="AO399" t="s">
        <v>268</v>
      </c>
      <c r="AP399">
        <v>1205</v>
      </c>
      <c r="AQ399" t="s">
        <v>269</v>
      </c>
      <c r="AR399" t="s">
        <v>459</v>
      </c>
      <c r="AU399" t="s">
        <v>264</v>
      </c>
      <c r="AV399" t="s">
        <v>270</v>
      </c>
      <c r="AX399" t="s">
        <v>264</v>
      </c>
      <c r="AY399">
        <v>630600</v>
      </c>
      <c r="AZ399">
        <v>1205.6306</v>
      </c>
      <c r="BA399" s="28" t="s">
        <v>125</v>
      </c>
    </row>
    <row r="400" spans="1:53">
      <c r="A400" t="s">
        <v>424</v>
      </c>
      <c r="B400" t="s">
        <v>425</v>
      </c>
      <c r="C400">
        <v>22004379</v>
      </c>
      <c r="D400">
        <v>1205</v>
      </c>
      <c r="E400" s="6">
        <v>44776</v>
      </c>
      <c r="F400" t="s">
        <v>451</v>
      </c>
      <c r="G400">
        <v>14.44</v>
      </c>
      <c r="H400">
        <v>14.44</v>
      </c>
      <c r="I400" t="s">
        <v>263</v>
      </c>
      <c r="J400" t="s">
        <v>263</v>
      </c>
      <c r="L400" s="29">
        <v>210000</v>
      </c>
      <c r="N400" s="29">
        <v>210000</v>
      </c>
      <c r="O400" t="s">
        <v>264</v>
      </c>
      <c r="Q400" t="s">
        <v>264</v>
      </c>
      <c r="R400" t="s">
        <v>265</v>
      </c>
      <c r="S400">
        <v>14544</v>
      </c>
      <c r="T400" t="s">
        <v>266</v>
      </c>
      <c r="U400" t="s">
        <v>267</v>
      </c>
      <c r="V400" t="s">
        <v>427</v>
      </c>
      <c r="W400" t="s">
        <v>428</v>
      </c>
      <c r="X400">
        <v>1930205</v>
      </c>
      <c r="Y400" s="6">
        <v>44783</v>
      </c>
      <c r="Z400" t="s">
        <v>264</v>
      </c>
      <c r="AA400">
        <v>1</v>
      </c>
      <c r="AB400" t="s">
        <v>264</v>
      </c>
      <c r="AD400" t="s">
        <v>264</v>
      </c>
      <c r="AE400" t="s">
        <v>264</v>
      </c>
      <c r="AF400" t="s">
        <v>264</v>
      </c>
      <c r="AG400">
        <v>14</v>
      </c>
      <c r="AH400" t="s">
        <v>264</v>
      </c>
      <c r="AI400">
        <v>57330810</v>
      </c>
      <c r="AJ400" t="s">
        <v>451</v>
      </c>
      <c r="AL400" t="s">
        <v>264</v>
      </c>
      <c r="AM400" s="6">
        <v>44776</v>
      </c>
      <c r="AN400" t="s">
        <v>462</v>
      </c>
      <c r="AO400" t="s">
        <v>268</v>
      </c>
      <c r="AP400">
        <v>1205</v>
      </c>
      <c r="AQ400" t="s">
        <v>269</v>
      </c>
      <c r="AR400" t="s">
        <v>465</v>
      </c>
      <c r="AU400" t="s">
        <v>264</v>
      </c>
      <c r="AV400" t="s">
        <v>270</v>
      </c>
      <c r="AX400">
        <v>22001087</v>
      </c>
      <c r="AY400">
        <v>630600</v>
      </c>
      <c r="AZ400">
        <v>1205.6306</v>
      </c>
      <c r="BA400" s="28" t="s">
        <v>125</v>
      </c>
    </row>
    <row r="401" spans="1:53">
      <c r="A401" t="s">
        <v>424</v>
      </c>
      <c r="B401" t="s">
        <v>425</v>
      </c>
      <c r="C401">
        <v>22004380</v>
      </c>
      <c r="D401">
        <v>1205</v>
      </c>
      <c r="E401" s="6">
        <v>44776</v>
      </c>
      <c r="F401" t="s">
        <v>451</v>
      </c>
      <c r="G401">
        <v>5.78</v>
      </c>
      <c r="H401">
        <v>5.78</v>
      </c>
      <c r="I401" t="s">
        <v>263</v>
      </c>
      <c r="J401" t="s">
        <v>263</v>
      </c>
      <c r="L401" s="29">
        <v>84000</v>
      </c>
      <c r="N401" s="29">
        <v>84000</v>
      </c>
      <c r="O401" t="s">
        <v>264</v>
      </c>
      <c r="Q401" t="s">
        <v>264</v>
      </c>
      <c r="R401" t="s">
        <v>265</v>
      </c>
      <c r="S401">
        <v>14544</v>
      </c>
      <c r="T401" t="s">
        <v>266</v>
      </c>
      <c r="U401" t="s">
        <v>267</v>
      </c>
      <c r="V401" t="s">
        <v>427</v>
      </c>
      <c r="W401" t="s">
        <v>428</v>
      </c>
      <c r="X401">
        <v>1930205</v>
      </c>
      <c r="Y401" s="6">
        <v>44783</v>
      </c>
      <c r="Z401" t="s">
        <v>264</v>
      </c>
      <c r="AA401">
        <v>1</v>
      </c>
      <c r="AB401" t="s">
        <v>264</v>
      </c>
      <c r="AD401" t="s">
        <v>264</v>
      </c>
      <c r="AE401" t="s">
        <v>264</v>
      </c>
      <c r="AF401" t="s">
        <v>264</v>
      </c>
      <c r="AG401">
        <v>14</v>
      </c>
      <c r="AH401" t="s">
        <v>264</v>
      </c>
      <c r="AI401">
        <v>57330810</v>
      </c>
      <c r="AJ401" t="s">
        <v>451</v>
      </c>
      <c r="AL401" t="s">
        <v>264</v>
      </c>
      <c r="AM401" s="6">
        <v>44776</v>
      </c>
      <c r="AN401" t="s">
        <v>462</v>
      </c>
      <c r="AO401" t="s">
        <v>268</v>
      </c>
      <c r="AP401">
        <v>1205</v>
      </c>
      <c r="AQ401" t="s">
        <v>269</v>
      </c>
      <c r="AR401" t="s">
        <v>465</v>
      </c>
      <c r="AU401" t="s">
        <v>264</v>
      </c>
      <c r="AV401" t="s">
        <v>270</v>
      </c>
      <c r="AX401">
        <v>22001087</v>
      </c>
      <c r="AY401">
        <v>630600</v>
      </c>
      <c r="AZ401">
        <v>1205.6306</v>
      </c>
      <c r="BA401" s="28" t="s">
        <v>125</v>
      </c>
    </row>
    <row r="402" spans="1:53">
      <c r="A402" t="s">
        <v>424</v>
      </c>
      <c r="B402" t="s">
        <v>425</v>
      </c>
      <c r="C402">
        <v>22004363</v>
      </c>
      <c r="D402">
        <v>1205</v>
      </c>
      <c r="E402" s="6">
        <v>44778</v>
      </c>
      <c r="F402" t="s">
        <v>451</v>
      </c>
      <c r="G402">
        <v>25.99</v>
      </c>
      <c r="H402">
        <v>25.99</v>
      </c>
      <c r="I402" t="s">
        <v>263</v>
      </c>
      <c r="J402" t="s">
        <v>263</v>
      </c>
      <c r="L402" s="29">
        <v>378000</v>
      </c>
      <c r="N402" s="29">
        <v>378000</v>
      </c>
      <c r="O402" t="s">
        <v>264</v>
      </c>
      <c r="Q402" t="s">
        <v>264</v>
      </c>
      <c r="R402" t="s">
        <v>265</v>
      </c>
      <c r="S402">
        <v>14544</v>
      </c>
      <c r="T402" t="s">
        <v>266</v>
      </c>
      <c r="U402" t="s">
        <v>267</v>
      </c>
      <c r="V402" t="s">
        <v>427</v>
      </c>
      <c r="W402" t="s">
        <v>428</v>
      </c>
      <c r="X402">
        <v>1930194</v>
      </c>
      <c r="Y402" s="6">
        <v>44783</v>
      </c>
      <c r="Z402" t="s">
        <v>264</v>
      </c>
      <c r="AA402">
        <v>1</v>
      </c>
      <c r="AB402" t="s">
        <v>264</v>
      </c>
      <c r="AD402" t="s">
        <v>264</v>
      </c>
      <c r="AE402" t="s">
        <v>264</v>
      </c>
      <c r="AF402" t="s">
        <v>264</v>
      </c>
      <c r="AG402">
        <v>21</v>
      </c>
      <c r="AH402" t="s">
        <v>264</v>
      </c>
      <c r="AI402">
        <v>57330810</v>
      </c>
      <c r="AJ402" t="s">
        <v>451</v>
      </c>
      <c r="AL402" t="s">
        <v>264</v>
      </c>
      <c r="AM402" s="6">
        <v>44778</v>
      </c>
      <c r="AN402" t="s">
        <v>462</v>
      </c>
      <c r="AO402" t="s">
        <v>268</v>
      </c>
      <c r="AP402">
        <v>1205</v>
      </c>
      <c r="AQ402" t="s">
        <v>269</v>
      </c>
      <c r="AR402" t="s">
        <v>463</v>
      </c>
      <c r="AU402" t="s">
        <v>264</v>
      </c>
      <c r="AV402" t="s">
        <v>270</v>
      </c>
      <c r="AX402">
        <v>22001088</v>
      </c>
      <c r="AY402">
        <v>630600</v>
      </c>
      <c r="AZ402">
        <v>1205.6306</v>
      </c>
      <c r="BA402" s="28" t="s">
        <v>125</v>
      </c>
    </row>
    <row r="403" spans="1:53">
      <c r="A403" t="s">
        <v>424</v>
      </c>
      <c r="B403" t="s">
        <v>425</v>
      </c>
      <c r="C403">
        <v>22004365</v>
      </c>
      <c r="D403">
        <v>1205</v>
      </c>
      <c r="E403" s="6">
        <v>44781</v>
      </c>
      <c r="F403" t="s">
        <v>451</v>
      </c>
      <c r="G403">
        <v>40.840000000000003</v>
      </c>
      <c r="H403">
        <v>40.840000000000003</v>
      </c>
      <c r="I403" t="s">
        <v>263</v>
      </c>
      <c r="J403" t="s">
        <v>263</v>
      </c>
      <c r="L403" s="29">
        <v>594000</v>
      </c>
      <c r="N403" s="29">
        <v>594000</v>
      </c>
      <c r="O403" t="s">
        <v>264</v>
      </c>
      <c r="Q403" t="s">
        <v>264</v>
      </c>
      <c r="R403" t="s">
        <v>265</v>
      </c>
      <c r="S403">
        <v>14544</v>
      </c>
      <c r="T403" t="s">
        <v>266</v>
      </c>
      <c r="U403" t="s">
        <v>267</v>
      </c>
      <c r="V403" t="s">
        <v>427</v>
      </c>
      <c r="W403" t="s">
        <v>428</v>
      </c>
      <c r="X403">
        <v>1930194</v>
      </c>
      <c r="Y403" s="6">
        <v>44783</v>
      </c>
      <c r="Z403" t="s">
        <v>264</v>
      </c>
      <c r="AA403">
        <v>1</v>
      </c>
      <c r="AB403" t="s">
        <v>264</v>
      </c>
      <c r="AD403" t="s">
        <v>264</v>
      </c>
      <c r="AE403" t="s">
        <v>264</v>
      </c>
      <c r="AF403" t="s">
        <v>264</v>
      </c>
      <c r="AG403">
        <v>33</v>
      </c>
      <c r="AH403" t="s">
        <v>264</v>
      </c>
      <c r="AI403">
        <v>57330810</v>
      </c>
      <c r="AJ403" t="s">
        <v>451</v>
      </c>
      <c r="AL403" t="s">
        <v>264</v>
      </c>
      <c r="AM403" s="6">
        <v>44781</v>
      </c>
      <c r="AN403" t="s">
        <v>462</v>
      </c>
      <c r="AO403" t="s">
        <v>268</v>
      </c>
      <c r="AP403">
        <v>1205</v>
      </c>
      <c r="AQ403" t="s">
        <v>269</v>
      </c>
      <c r="AR403" t="s">
        <v>463</v>
      </c>
      <c r="AU403" t="s">
        <v>264</v>
      </c>
      <c r="AV403" t="s">
        <v>270</v>
      </c>
      <c r="AX403">
        <v>22001088</v>
      </c>
      <c r="AY403">
        <v>630600</v>
      </c>
      <c r="AZ403">
        <v>1205.6306</v>
      </c>
      <c r="BA403" s="28" t="s">
        <v>125</v>
      </c>
    </row>
    <row r="404" spans="1:53">
      <c r="A404" t="s">
        <v>424</v>
      </c>
      <c r="B404" t="s">
        <v>425</v>
      </c>
      <c r="C404">
        <v>22004364</v>
      </c>
      <c r="D404">
        <v>1205</v>
      </c>
      <c r="E404" s="6">
        <v>44782</v>
      </c>
      <c r="F404" t="s">
        <v>451</v>
      </c>
      <c r="G404">
        <v>11.55</v>
      </c>
      <c r="H404">
        <v>11.55</v>
      </c>
      <c r="I404" t="s">
        <v>263</v>
      </c>
      <c r="J404" t="s">
        <v>263</v>
      </c>
      <c r="L404" s="29">
        <v>168000</v>
      </c>
      <c r="N404" s="29">
        <v>168000</v>
      </c>
      <c r="O404" t="s">
        <v>264</v>
      </c>
      <c r="Q404" t="s">
        <v>264</v>
      </c>
      <c r="R404" t="s">
        <v>265</v>
      </c>
      <c r="S404">
        <v>14544</v>
      </c>
      <c r="T404" t="s">
        <v>266</v>
      </c>
      <c r="U404" t="s">
        <v>267</v>
      </c>
      <c r="V404" t="s">
        <v>427</v>
      </c>
      <c r="W404" t="s">
        <v>428</v>
      </c>
      <c r="X404">
        <v>1930194</v>
      </c>
      <c r="Y404" s="6">
        <v>44783</v>
      </c>
      <c r="Z404" t="s">
        <v>264</v>
      </c>
      <c r="AA404">
        <v>1</v>
      </c>
      <c r="AB404" t="s">
        <v>264</v>
      </c>
      <c r="AD404" t="s">
        <v>264</v>
      </c>
      <c r="AE404" t="s">
        <v>264</v>
      </c>
      <c r="AF404" t="s">
        <v>264</v>
      </c>
      <c r="AG404">
        <v>24</v>
      </c>
      <c r="AH404" t="s">
        <v>264</v>
      </c>
      <c r="AI404">
        <v>57330810</v>
      </c>
      <c r="AJ404" t="s">
        <v>451</v>
      </c>
      <c r="AL404" t="s">
        <v>264</v>
      </c>
      <c r="AM404" s="6">
        <v>44782</v>
      </c>
      <c r="AN404" t="s">
        <v>462</v>
      </c>
      <c r="AO404" t="s">
        <v>268</v>
      </c>
      <c r="AP404">
        <v>1205</v>
      </c>
      <c r="AQ404" t="s">
        <v>269</v>
      </c>
      <c r="AR404" t="s">
        <v>463</v>
      </c>
      <c r="AU404" t="s">
        <v>264</v>
      </c>
      <c r="AV404" t="s">
        <v>270</v>
      </c>
      <c r="AX404">
        <v>22001088</v>
      </c>
      <c r="AY404">
        <v>630600</v>
      </c>
      <c r="AZ404">
        <v>1205.6306</v>
      </c>
      <c r="BA404" s="28" t="s">
        <v>125</v>
      </c>
    </row>
    <row r="405" spans="1:53">
      <c r="A405" t="s">
        <v>424</v>
      </c>
      <c r="B405" t="s">
        <v>425</v>
      </c>
      <c r="C405">
        <v>22004447</v>
      </c>
      <c r="D405">
        <v>1205</v>
      </c>
      <c r="E405" s="6">
        <v>44782</v>
      </c>
      <c r="F405" t="s">
        <v>467</v>
      </c>
      <c r="G405" s="29">
        <v>1755.51</v>
      </c>
      <c r="H405" s="29">
        <v>1755.51</v>
      </c>
      <c r="I405" t="s">
        <v>263</v>
      </c>
      <c r="J405" t="s">
        <v>263</v>
      </c>
      <c r="L405" s="29">
        <v>26125000</v>
      </c>
      <c r="N405" s="29">
        <v>26125000</v>
      </c>
      <c r="O405" t="s">
        <v>264</v>
      </c>
      <c r="Q405" t="s">
        <v>264</v>
      </c>
      <c r="R405" t="s">
        <v>265</v>
      </c>
      <c r="S405">
        <v>14882</v>
      </c>
      <c r="T405" t="s">
        <v>266</v>
      </c>
      <c r="U405" t="s">
        <v>267</v>
      </c>
      <c r="V405" t="s">
        <v>427</v>
      </c>
      <c r="W405" t="s">
        <v>428</v>
      </c>
      <c r="X405">
        <v>1932215</v>
      </c>
      <c r="Y405" s="6">
        <v>44788</v>
      </c>
      <c r="Z405" t="s">
        <v>264</v>
      </c>
      <c r="AA405">
        <v>1</v>
      </c>
      <c r="AB405" t="s">
        <v>264</v>
      </c>
      <c r="AD405" t="s">
        <v>264</v>
      </c>
      <c r="AE405" t="s">
        <v>264</v>
      </c>
      <c r="AF405" t="s">
        <v>264</v>
      </c>
      <c r="AG405">
        <v>950</v>
      </c>
      <c r="AH405" t="s">
        <v>264</v>
      </c>
      <c r="AI405">
        <v>57316065</v>
      </c>
      <c r="AJ405" t="s">
        <v>467</v>
      </c>
      <c r="AL405" t="s">
        <v>264</v>
      </c>
      <c r="AM405" s="6">
        <v>44782</v>
      </c>
      <c r="AN405" t="s">
        <v>462</v>
      </c>
      <c r="AO405" t="s">
        <v>268</v>
      </c>
      <c r="AP405">
        <v>1205</v>
      </c>
      <c r="AQ405" t="s">
        <v>269</v>
      </c>
      <c r="AR405" t="s">
        <v>468</v>
      </c>
      <c r="AU405" t="s">
        <v>264</v>
      </c>
      <c r="AV405" t="s">
        <v>270</v>
      </c>
      <c r="AX405">
        <v>22001120</v>
      </c>
      <c r="AY405">
        <v>630600</v>
      </c>
      <c r="AZ405">
        <v>1205.6306</v>
      </c>
      <c r="BA405" s="28" t="s">
        <v>125</v>
      </c>
    </row>
    <row r="406" spans="1:53">
      <c r="A406" t="s">
        <v>424</v>
      </c>
      <c r="B406" t="s">
        <v>425</v>
      </c>
      <c r="C406">
        <v>22004448</v>
      </c>
      <c r="D406">
        <v>1205</v>
      </c>
      <c r="E406" s="6">
        <v>44782</v>
      </c>
      <c r="F406" t="s">
        <v>467</v>
      </c>
      <c r="G406">
        <v>826.01</v>
      </c>
      <c r="H406">
        <v>826.01</v>
      </c>
      <c r="I406" t="s">
        <v>263</v>
      </c>
      <c r="J406" t="s">
        <v>263</v>
      </c>
      <c r="L406" s="29">
        <v>12292500</v>
      </c>
      <c r="N406" s="29">
        <v>12292500</v>
      </c>
      <c r="O406" t="s">
        <v>264</v>
      </c>
      <c r="Q406" t="s">
        <v>264</v>
      </c>
      <c r="R406" t="s">
        <v>265</v>
      </c>
      <c r="S406">
        <v>14882</v>
      </c>
      <c r="T406" t="s">
        <v>266</v>
      </c>
      <c r="U406" t="s">
        <v>267</v>
      </c>
      <c r="V406" t="s">
        <v>427</v>
      </c>
      <c r="W406" t="s">
        <v>428</v>
      </c>
      <c r="X406">
        <v>1932215</v>
      </c>
      <c r="Y406" s="6">
        <v>44788</v>
      </c>
      <c r="Z406" t="s">
        <v>264</v>
      </c>
      <c r="AA406">
        <v>1</v>
      </c>
      <c r="AB406" t="s">
        <v>264</v>
      </c>
      <c r="AD406" t="s">
        <v>264</v>
      </c>
      <c r="AE406" t="s">
        <v>264</v>
      </c>
      <c r="AF406" t="s">
        <v>264</v>
      </c>
      <c r="AG406">
        <v>447</v>
      </c>
      <c r="AH406" t="s">
        <v>264</v>
      </c>
      <c r="AI406">
        <v>57316065</v>
      </c>
      <c r="AJ406" t="s">
        <v>467</v>
      </c>
      <c r="AL406" t="s">
        <v>264</v>
      </c>
      <c r="AM406" s="6">
        <v>44782</v>
      </c>
      <c r="AN406" t="s">
        <v>462</v>
      </c>
      <c r="AO406" t="s">
        <v>268</v>
      </c>
      <c r="AP406">
        <v>1205</v>
      </c>
      <c r="AQ406" t="s">
        <v>269</v>
      </c>
      <c r="AR406" t="s">
        <v>468</v>
      </c>
      <c r="AU406" t="s">
        <v>264</v>
      </c>
      <c r="AV406" t="s">
        <v>270</v>
      </c>
      <c r="AX406">
        <v>22001120</v>
      </c>
      <c r="AY406">
        <v>630600</v>
      </c>
      <c r="AZ406">
        <v>1205.6306</v>
      </c>
      <c r="BA406" s="28" t="s">
        <v>125</v>
      </c>
    </row>
    <row r="407" spans="1:53">
      <c r="A407" t="s">
        <v>424</v>
      </c>
      <c r="B407" t="s">
        <v>425</v>
      </c>
      <c r="C407">
        <v>22004384</v>
      </c>
      <c r="D407">
        <v>1205</v>
      </c>
      <c r="E407" s="6">
        <v>44783</v>
      </c>
      <c r="F407" t="s">
        <v>451</v>
      </c>
      <c r="G407">
        <v>-2.89</v>
      </c>
      <c r="I407" t="s">
        <v>263</v>
      </c>
      <c r="J407" t="s">
        <v>263</v>
      </c>
      <c r="K407">
        <v>-2.89</v>
      </c>
      <c r="M407" s="29">
        <v>-42000</v>
      </c>
      <c r="N407" s="29">
        <v>-42000</v>
      </c>
      <c r="O407" t="s">
        <v>264</v>
      </c>
      <c r="Q407" t="s">
        <v>264</v>
      </c>
      <c r="R407" t="s">
        <v>265</v>
      </c>
      <c r="S407">
        <v>14544</v>
      </c>
      <c r="T407" t="s">
        <v>266</v>
      </c>
      <c r="U407" t="s">
        <v>267</v>
      </c>
      <c r="V407" t="s">
        <v>427</v>
      </c>
      <c r="W407" t="s">
        <v>428</v>
      </c>
      <c r="X407">
        <v>1930214</v>
      </c>
      <c r="Y407" s="6">
        <v>44783</v>
      </c>
      <c r="Z407" t="s">
        <v>264</v>
      </c>
      <c r="AA407">
        <v>1</v>
      </c>
      <c r="AB407" t="s">
        <v>264</v>
      </c>
      <c r="AD407" t="s">
        <v>264</v>
      </c>
      <c r="AE407" t="s">
        <v>264</v>
      </c>
      <c r="AF407" t="s">
        <v>264</v>
      </c>
      <c r="AG407">
        <v>-6</v>
      </c>
      <c r="AH407" t="s">
        <v>264</v>
      </c>
      <c r="AI407">
        <v>57330810</v>
      </c>
      <c r="AJ407" t="s">
        <v>451</v>
      </c>
      <c r="AL407" t="s">
        <v>264</v>
      </c>
      <c r="AM407" s="6">
        <v>44783</v>
      </c>
      <c r="AN407" t="s">
        <v>462</v>
      </c>
      <c r="AO407" t="s">
        <v>268</v>
      </c>
      <c r="AP407">
        <v>1205</v>
      </c>
      <c r="AQ407" t="s">
        <v>269</v>
      </c>
      <c r="AR407" t="s">
        <v>463</v>
      </c>
      <c r="AU407" t="s">
        <v>264</v>
      </c>
      <c r="AV407" t="s">
        <v>270</v>
      </c>
      <c r="AX407">
        <v>22001088</v>
      </c>
      <c r="AY407">
        <v>630600</v>
      </c>
      <c r="AZ407">
        <v>1205.6306</v>
      </c>
      <c r="BA407" s="28" t="s">
        <v>125</v>
      </c>
    </row>
    <row r="408" spans="1:53">
      <c r="A408" t="s">
        <v>424</v>
      </c>
      <c r="B408" t="s">
        <v>425</v>
      </c>
      <c r="C408">
        <v>22004418</v>
      </c>
      <c r="D408">
        <v>1205</v>
      </c>
      <c r="E408" s="6">
        <v>44788</v>
      </c>
      <c r="F408" t="s">
        <v>472</v>
      </c>
      <c r="G408">
        <v>43.75</v>
      </c>
      <c r="H408">
        <v>43.75</v>
      </c>
      <c r="I408" t="s">
        <v>263</v>
      </c>
      <c r="J408" t="s">
        <v>263</v>
      </c>
      <c r="L408" s="29">
        <v>650000</v>
      </c>
      <c r="N408" s="29">
        <v>650000</v>
      </c>
      <c r="O408" t="s">
        <v>264</v>
      </c>
      <c r="Q408" t="s">
        <v>264</v>
      </c>
      <c r="R408" t="s">
        <v>265</v>
      </c>
      <c r="S408">
        <v>14860</v>
      </c>
      <c r="T408" t="s">
        <v>266</v>
      </c>
      <c r="U408" t="s">
        <v>267</v>
      </c>
      <c r="V408" t="s">
        <v>427</v>
      </c>
      <c r="W408" t="s">
        <v>428</v>
      </c>
      <c r="X408">
        <v>1930747</v>
      </c>
      <c r="Y408" s="6">
        <v>44788</v>
      </c>
      <c r="Z408" t="s">
        <v>264</v>
      </c>
      <c r="AA408">
        <v>1</v>
      </c>
      <c r="AB408" t="s">
        <v>264</v>
      </c>
      <c r="AD408" t="s">
        <v>264</v>
      </c>
      <c r="AE408" t="s">
        <v>264</v>
      </c>
      <c r="AF408" t="s">
        <v>264</v>
      </c>
      <c r="AG408">
        <v>500</v>
      </c>
      <c r="AH408" t="s">
        <v>264</v>
      </c>
      <c r="AI408">
        <v>56418043</v>
      </c>
      <c r="AJ408" t="s">
        <v>472</v>
      </c>
      <c r="AL408" t="s">
        <v>264</v>
      </c>
      <c r="AM408" s="6">
        <v>44788</v>
      </c>
      <c r="AN408" t="s">
        <v>473</v>
      </c>
      <c r="AO408" t="s">
        <v>268</v>
      </c>
      <c r="AP408">
        <v>1205</v>
      </c>
      <c r="AQ408" t="s">
        <v>269</v>
      </c>
      <c r="AR408" t="s">
        <v>474</v>
      </c>
      <c r="AU408" t="s">
        <v>264</v>
      </c>
      <c r="AV408" t="s">
        <v>270</v>
      </c>
      <c r="AX408">
        <v>22001356</v>
      </c>
      <c r="AY408">
        <v>630600</v>
      </c>
      <c r="AZ408">
        <v>1205.6306</v>
      </c>
      <c r="BA408" s="28" t="s">
        <v>125</v>
      </c>
    </row>
    <row r="409" spans="1:53">
      <c r="A409" t="s">
        <v>424</v>
      </c>
      <c r="B409" t="s">
        <v>425</v>
      </c>
      <c r="C409">
        <v>22004456</v>
      </c>
      <c r="D409">
        <v>1205</v>
      </c>
      <c r="E409" s="6">
        <v>44788</v>
      </c>
      <c r="F409" t="s">
        <v>451</v>
      </c>
      <c r="G409">
        <v>8.2200000000000006</v>
      </c>
      <c r="H409">
        <v>8.2200000000000006</v>
      </c>
      <c r="I409" t="s">
        <v>263</v>
      </c>
      <c r="J409" t="s">
        <v>263</v>
      </c>
      <c r="L409" s="29">
        <v>120000</v>
      </c>
      <c r="N409" s="29">
        <v>120000</v>
      </c>
      <c r="O409" t="s">
        <v>264</v>
      </c>
      <c r="Q409" t="s">
        <v>264</v>
      </c>
      <c r="R409" t="s">
        <v>265</v>
      </c>
      <c r="S409">
        <v>14592</v>
      </c>
      <c r="T409" t="s">
        <v>266</v>
      </c>
      <c r="U409" t="s">
        <v>267</v>
      </c>
      <c r="V409" t="s">
        <v>427</v>
      </c>
      <c r="W409" t="s">
        <v>428</v>
      </c>
      <c r="X409">
        <v>1933169</v>
      </c>
      <c r="Y409" s="6">
        <v>44789</v>
      </c>
      <c r="Z409" t="s">
        <v>264</v>
      </c>
      <c r="AA409">
        <v>1</v>
      </c>
      <c r="AB409" t="s">
        <v>264</v>
      </c>
      <c r="AD409" t="s">
        <v>264</v>
      </c>
      <c r="AE409" t="s">
        <v>264</v>
      </c>
      <c r="AF409" t="s">
        <v>264</v>
      </c>
      <c r="AG409">
        <v>10</v>
      </c>
      <c r="AH409" t="s">
        <v>264</v>
      </c>
      <c r="AI409">
        <v>57330810</v>
      </c>
      <c r="AJ409" t="s">
        <v>451</v>
      </c>
      <c r="AL409" t="s">
        <v>264</v>
      </c>
      <c r="AM409" s="6">
        <v>44788</v>
      </c>
      <c r="AN409" t="s">
        <v>462</v>
      </c>
      <c r="AO409" t="s">
        <v>268</v>
      </c>
      <c r="AP409">
        <v>1205</v>
      </c>
      <c r="AQ409" t="s">
        <v>269</v>
      </c>
      <c r="AR409" t="s">
        <v>463</v>
      </c>
      <c r="AU409" t="s">
        <v>264</v>
      </c>
      <c r="AV409" t="s">
        <v>270</v>
      </c>
      <c r="AX409">
        <v>22001097</v>
      </c>
      <c r="AY409">
        <v>630600</v>
      </c>
      <c r="AZ409">
        <v>1205.6306</v>
      </c>
      <c r="BA409" s="28" t="s">
        <v>125</v>
      </c>
    </row>
    <row r="410" spans="1:53">
      <c r="A410" t="s">
        <v>424</v>
      </c>
      <c r="B410" t="s">
        <v>425</v>
      </c>
      <c r="C410">
        <v>22004457</v>
      </c>
      <c r="D410">
        <v>1205</v>
      </c>
      <c r="E410" s="6">
        <v>44788</v>
      </c>
      <c r="F410" t="s">
        <v>451</v>
      </c>
      <c r="G410">
        <v>4.8</v>
      </c>
      <c r="H410">
        <v>4.8</v>
      </c>
      <c r="I410" t="s">
        <v>263</v>
      </c>
      <c r="J410" t="s">
        <v>263</v>
      </c>
      <c r="L410" s="29">
        <v>70000</v>
      </c>
      <c r="N410" s="29">
        <v>70000</v>
      </c>
      <c r="O410" t="s">
        <v>264</v>
      </c>
      <c r="Q410" t="s">
        <v>264</v>
      </c>
      <c r="R410" t="s">
        <v>265</v>
      </c>
      <c r="S410">
        <v>14592</v>
      </c>
      <c r="T410" t="s">
        <v>266</v>
      </c>
      <c r="U410" t="s">
        <v>267</v>
      </c>
      <c r="V410" t="s">
        <v>427</v>
      </c>
      <c r="W410" t="s">
        <v>428</v>
      </c>
      <c r="X410">
        <v>1933169</v>
      </c>
      <c r="Y410" s="6">
        <v>44789</v>
      </c>
      <c r="Z410" t="s">
        <v>264</v>
      </c>
      <c r="AA410">
        <v>1</v>
      </c>
      <c r="AB410" t="s">
        <v>264</v>
      </c>
      <c r="AD410" t="s">
        <v>264</v>
      </c>
      <c r="AE410" t="s">
        <v>264</v>
      </c>
      <c r="AF410" t="s">
        <v>264</v>
      </c>
      <c r="AG410">
        <v>10</v>
      </c>
      <c r="AH410" t="s">
        <v>264</v>
      </c>
      <c r="AI410">
        <v>57330810</v>
      </c>
      <c r="AJ410" t="s">
        <v>451</v>
      </c>
      <c r="AL410" t="s">
        <v>264</v>
      </c>
      <c r="AM410" s="6">
        <v>44788</v>
      </c>
      <c r="AN410" t="s">
        <v>462</v>
      </c>
      <c r="AO410" t="s">
        <v>268</v>
      </c>
      <c r="AP410">
        <v>1205</v>
      </c>
      <c r="AQ410" t="s">
        <v>269</v>
      </c>
      <c r="AR410" t="s">
        <v>463</v>
      </c>
      <c r="AU410" t="s">
        <v>264</v>
      </c>
      <c r="AV410" t="s">
        <v>270</v>
      </c>
      <c r="AX410">
        <v>22001097</v>
      </c>
      <c r="AY410">
        <v>630600</v>
      </c>
      <c r="AZ410">
        <v>1205.6306</v>
      </c>
      <c r="BA410" s="28" t="s">
        <v>125</v>
      </c>
    </row>
    <row r="411" spans="1:53">
      <c r="A411" t="s">
        <v>424</v>
      </c>
      <c r="B411" t="s">
        <v>425</v>
      </c>
      <c r="C411">
        <v>22004503</v>
      </c>
      <c r="D411">
        <v>1205</v>
      </c>
      <c r="E411" s="6">
        <v>44791</v>
      </c>
      <c r="F411" t="s">
        <v>469</v>
      </c>
      <c r="G411">
        <v>35.770000000000003</v>
      </c>
      <c r="H411">
        <v>35.770000000000003</v>
      </c>
      <c r="I411" t="s">
        <v>263</v>
      </c>
      <c r="J411" t="s">
        <v>263</v>
      </c>
      <c r="L411" s="29">
        <v>522000</v>
      </c>
      <c r="N411" s="29">
        <v>522000</v>
      </c>
      <c r="O411" t="s">
        <v>264</v>
      </c>
      <c r="Q411" t="s">
        <v>264</v>
      </c>
      <c r="R411" t="s">
        <v>265</v>
      </c>
      <c r="S411">
        <v>14592</v>
      </c>
      <c r="T411" t="s">
        <v>266</v>
      </c>
      <c r="U411" t="s">
        <v>267</v>
      </c>
      <c r="V411" t="s">
        <v>427</v>
      </c>
      <c r="W411" t="s">
        <v>428</v>
      </c>
      <c r="X411">
        <v>1934590</v>
      </c>
      <c r="Y411" s="6">
        <v>44797</v>
      </c>
      <c r="Z411" t="s">
        <v>264</v>
      </c>
      <c r="AA411">
        <v>1</v>
      </c>
      <c r="AB411" t="s">
        <v>264</v>
      </c>
      <c r="AD411" t="s">
        <v>264</v>
      </c>
      <c r="AE411" t="s">
        <v>264</v>
      </c>
      <c r="AF411" t="s">
        <v>264</v>
      </c>
      <c r="AG411">
        <v>58</v>
      </c>
      <c r="AH411" t="s">
        <v>264</v>
      </c>
      <c r="AI411">
        <v>55745878</v>
      </c>
      <c r="AJ411" t="s">
        <v>469</v>
      </c>
      <c r="AL411" t="s">
        <v>264</v>
      </c>
      <c r="AM411" s="6">
        <v>44791</v>
      </c>
      <c r="AN411" t="s">
        <v>462</v>
      </c>
      <c r="AO411" t="s">
        <v>268</v>
      </c>
      <c r="AP411">
        <v>1205</v>
      </c>
      <c r="AQ411" t="s">
        <v>269</v>
      </c>
      <c r="AR411" t="s">
        <v>470</v>
      </c>
      <c r="AU411" t="s">
        <v>264</v>
      </c>
      <c r="AV411" t="s">
        <v>270</v>
      </c>
      <c r="AX411">
        <v>22001094</v>
      </c>
      <c r="AY411">
        <v>630600</v>
      </c>
      <c r="AZ411">
        <v>1205.6306</v>
      </c>
      <c r="BA411" s="28" t="s">
        <v>125</v>
      </c>
    </row>
    <row r="412" spans="1:53">
      <c r="A412" t="s">
        <v>424</v>
      </c>
      <c r="B412" t="s">
        <v>425</v>
      </c>
      <c r="C412">
        <v>22004506</v>
      </c>
      <c r="D412">
        <v>1205</v>
      </c>
      <c r="E412" s="6">
        <v>44791</v>
      </c>
      <c r="F412" t="s">
        <v>469</v>
      </c>
      <c r="G412">
        <v>82.03</v>
      </c>
      <c r="H412">
        <v>82.03</v>
      </c>
      <c r="I412" t="s">
        <v>263</v>
      </c>
      <c r="J412" t="s">
        <v>263</v>
      </c>
      <c r="L412" s="29">
        <v>1197000</v>
      </c>
      <c r="N412" s="29">
        <v>1197000</v>
      </c>
      <c r="O412" t="s">
        <v>264</v>
      </c>
      <c r="Q412" t="s">
        <v>264</v>
      </c>
      <c r="R412" t="s">
        <v>265</v>
      </c>
      <c r="S412">
        <v>14592</v>
      </c>
      <c r="T412" t="s">
        <v>266</v>
      </c>
      <c r="U412" t="s">
        <v>267</v>
      </c>
      <c r="V412" t="s">
        <v>427</v>
      </c>
      <c r="W412" t="s">
        <v>428</v>
      </c>
      <c r="X412">
        <v>1934590</v>
      </c>
      <c r="Y412" s="6">
        <v>44797</v>
      </c>
      <c r="Z412" t="s">
        <v>264</v>
      </c>
      <c r="AA412">
        <v>1</v>
      </c>
      <c r="AB412" t="s">
        <v>264</v>
      </c>
      <c r="AD412" t="s">
        <v>264</v>
      </c>
      <c r="AE412" t="s">
        <v>264</v>
      </c>
      <c r="AF412" t="s">
        <v>264</v>
      </c>
      <c r="AG412">
        <v>133</v>
      </c>
      <c r="AH412" t="s">
        <v>264</v>
      </c>
      <c r="AI412">
        <v>55745878</v>
      </c>
      <c r="AJ412" t="s">
        <v>469</v>
      </c>
      <c r="AL412" t="s">
        <v>264</v>
      </c>
      <c r="AM412" s="6">
        <v>44791</v>
      </c>
      <c r="AN412" t="s">
        <v>462</v>
      </c>
      <c r="AO412" t="s">
        <v>268</v>
      </c>
      <c r="AP412">
        <v>1205</v>
      </c>
      <c r="AQ412" t="s">
        <v>269</v>
      </c>
      <c r="AR412" t="s">
        <v>470</v>
      </c>
      <c r="AU412" t="s">
        <v>264</v>
      </c>
      <c r="AV412" t="s">
        <v>270</v>
      </c>
      <c r="AX412">
        <v>22001094</v>
      </c>
      <c r="AY412">
        <v>630600</v>
      </c>
      <c r="AZ412">
        <v>1205.6306</v>
      </c>
      <c r="BA412" s="28" t="s">
        <v>125</v>
      </c>
    </row>
    <row r="413" spans="1:53">
      <c r="A413" t="s">
        <v>424</v>
      </c>
      <c r="B413" t="s">
        <v>425</v>
      </c>
      <c r="C413">
        <v>22004509</v>
      </c>
      <c r="D413">
        <v>1205</v>
      </c>
      <c r="E413" s="6">
        <v>44791</v>
      </c>
      <c r="F413" t="s">
        <v>469</v>
      </c>
      <c r="G413">
        <v>85.12</v>
      </c>
      <c r="H413">
        <v>85.12</v>
      </c>
      <c r="I413" t="s">
        <v>263</v>
      </c>
      <c r="J413" t="s">
        <v>263</v>
      </c>
      <c r="L413" s="29">
        <v>1242000</v>
      </c>
      <c r="N413" s="29">
        <v>1242000</v>
      </c>
      <c r="O413" t="s">
        <v>264</v>
      </c>
      <c r="Q413" t="s">
        <v>264</v>
      </c>
      <c r="R413" t="s">
        <v>265</v>
      </c>
      <c r="S413">
        <v>14592</v>
      </c>
      <c r="T413" t="s">
        <v>266</v>
      </c>
      <c r="U413" t="s">
        <v>267</v>
      </c>
      <c r="V413" t="s">
        <v>427</v>
      </c>
      <c r="W413" t="s">
        <v>428</v>
      </c>
      <c r="X413">
        <v>1934590</v>
      </c>
      <c r="Y413" s="6">
        <v>44797</v>
      </c>
      <c r="Z413" t="s">
        <v>264</v>
      </c>
      <c r="AA413">
        <v>1</v>
      </c>
      <c r="AB413" t="s">
        <v>264</v>
      </c>
      <c r="AD413" t="s">
        <v>264</v>
      </c>
      <c r="AE413" t="s">
        <v>264</v>
      </c>
      <c r="AF413" t="s">
        <v>264</v>
      </c>
      <c r="AG413">
        <v>138</v>
      </c>
      <c r="AH413" t="s">
        <v>264</v>
      </c>
      <c r="AI413">
        <v>55745878</v>
      </c>
      <c r="AJ413" t="s">
        <v>469</v>
      </c>
      <c r="AL413" t="s">
        <v>264</v>
      </c>
      <c r="AM413" s="6">
        <v>44791</v>
      </c>
      <c r="AN413" t="s">
        <v>462</v>
      </c>
      <c r="AO413" t="s">
        <v>268</v>
      </c>
      <c r="AP413">
        <v>1205</v>
      </c>
      <c r="AQ413" t="s">
        <v>269</v>
      </c>
      <c r="AR413" t="s">
        <v>470</v>
      </c>
      <c r="AU413" t="s">
        <v>264</v>
      </c>
      <c r="AV413" t="s">
        <v>270</v>
      </c>
      <c r="AX413">
        <v>22001094</v>
      </c>
      <c r="AY413">
        <v>630600</v>
      </c>
      <c r="AZ413">
        <v>1205.6306</v>
      </c>
      <c r="BA413" s="28" t="s">
        <v>125</v>
      </c>
    </row>
    <row r="414" spans="1:53">
      <c r="A414" t="s">
        <v>424</v>
      </c>
      <c r="B414" t="s">
        <v>425</v>
      </c>
      <c r="C414">
        <v>22004568</v>
      </c>
      <c r="D414">
        <v>1205</v>
      </c>
      <c r="E414" s="6">
        <v>44791</v>
      </c>
      <c r="F414" t="s">
        <v>469</v>
      </c>
      <c r="G414" s="29">
        <v>2659.44</v>
      </c>
      <c r="H414" s="29">
        <v>2659.44</v>
      </c>
      <c r="I414" t="s">
        <v>263</v>
      </c>
      <c r="J414" t="s">
        <v>263</v>
      </c>
      <c r="L414" s="29">
        <v>38805000</v>
      </c>
      <c r="N414" s="29">
        <v>38805000</v>
      </c>
      <c r="O414" t="s">
        <v>264</v>
      </c>
      <c r="Q414" t="s">
        <v>264</v>
      </c>
      <c r="R414" t="s">
        <v>265</v>
      </c>
      <c r="S414">
        <v>14592</v>
      </c>
      <c r="T414" t="s">
        <v>266</v>
      </c>
      <c r="U414" t="s">
        <v>267</v>
      </c>
      <c r="V414" t="s">
        <v>427</v>
      </c>
      <c r="W414" t="s">
        <v>428</v>
      </c>
      <c r="X414">
        <v>1935942</v>
      </c>
      <c r="Y414" s="6">
        <v>44803</v>
      </c>
      <c r="Z414" t="s">
        <v>264</v>
      </c>
      <c r="AA414">
        <v>1</v>
      </c>
      <c r="AB414" t="s">
        <v>264</v>
      </c>
      <c r="AD414" t="s">
        <v>264</v>
      </c>
      <c r="AE414" t="s">
        <v>264</v>
      </c>
      <c r="AF414" t="s">
        <v>264</v>
      </c>
      <c r="AG414" s="29">
        <v>5174</v>
      </c>
      <c r="AH414" t="s">
        <v>264</v>
      </c>
      <c r="AI414">
        <v>55745878</v>
      </c>
      <c r="AJ414" t="s">
        <v>469</v>
      </c>
      <c r="AL414" t="s">
        <v>264</v>
      </c>
      <c r="AM414" s="6">
        <v>44791</v>
      </c>
      <c r="AN414" t="s">
        <v>462</v>
      </c>
      <c r="AO414" t="s">
        <v>268</v>
      </c>
      <c r="AP414">
        <v>1205</v>
      </c>
      <c r="AQ414" t="s">
        <v>269</v>
      </c>
      <c r="AR414" t="s">
        <v>1109</v>
      </c>
      <c r="AU414" t="s">
        <v>264</v>
      </c>
      <c r="AV414" t="s">
        <v>270</v>
      </c>
      <c r="AX414">
        <v>22001108</v>
      </c>
      <c r="AY414">
        <v>630600</v>
      </c>
      <c r="AZ414">
        <v>1205.6306</v>
      </c>
      <c r="BA414" s="28" t="s">
        <v>125</v>
      </c>
    </row>
    <row r="415" spans="1:53">
      <c r="A415" t="s">
        <v>424</v>
      </c>
      <c r="B415" t="s">
        <v>425</v>
      </c>
      <c r="C415">
        <v>22004569</v>
      </c>
      <c r="D415">
        <v>1205</v>
      </c>
      <c r="E415" s="6">
        <v>44791</v>
      </c>
      <c r="F415" t="s">
        <v>469</v>
      </c>
      <c r="G415" s="29">
        <v>1626.45</v>
      </c>
      <c r="H415" s="29">
        <v>1626.45</v>
      </c>
      <c r="I415" t="s">
        <v>263</v>
      </c>
      <c r="J415" t="s">
        <v>263</v>
      </c>
      <c r="L415" s="29">
        <v>23730000</v>
      </c>
      <c r="N415" s="29">
        <v>23730000</v>
      </c>
      <c r="O415" t="s">
        <v>264</v>
      </c>
      <c r="Q415" t="s">
        <v>264</v>
      </c>
      <c r="R415" t="s">
        <v>265</v>
      </c>
      <c r="S415">
        <v>14592</v>
      </c>
      <c r="T415" t="s">
        <v>266</v>
      </c>
      <c r="U415" t="s">
        <v>267</v>
      </c>
      <c r="V415" t="s">
        <v>427</v>
      </c>
      <c r="W415" t="s">
        <v>428</v>
      </c>
      <c r="X415">
        <v>1935942</v>
      </c>
      <c r="Y415" s="6">
        <v>44803</v>
      </c>
      <c r="Z415" t="s">
        <v>264</v>
      </c>
      <c r="AA415">
        <v>1</v>
      </c>
      <c r="AB415" t="s">
        <v>264</v>
      </c>
      <c r="AD415" t="s">
        <v>264</v>
      </c>
      <c r="AE415" t="s">
        <v>264</v>
      </c>
      <c r="AF415" t="s">
        <v>264</v>
      </c>
      <c r="AG415" s="29">
        <v>4746</v>
      </c>
      <c r="AH415" t="s">
        <v>264</v>
      </c>
      <c r="AI415">
        <v>55745878</v>
      </c>
      <c r="AJ415" t="s">
        <v>469</v>
      </c>
      <c r="AL415" t="s">
        <v>264</v>
      </c>
      <c r="AM415" s="6">
        <v>44791</v>
      </c>
      <c r="AN415" t="s">
        <v>462</v>
      </c>
      <c r="AO415" t="s">
        <v>268</v>
      </c>
      <c r="AP415">
        <v>1205</v>
      </c>
      <c r="AQ415" t="s">
        <v>269</v>
      </c>
      <c r="AR415" t="s">
        <v>1109</v>
      </c>
      <c r="AU415" t="s">
        <v>264</v>
      </c>
      <c r="AV415" t="s">
        <v>270</v>
      </c>
      <c r="AX415">
        <v>22001108</v>
      </c>
      <c r="AY415">
        <v>630600</v>
      </c>
      <c r="AZ415">
        <v>1205.6306</v>
      </c>
      <c r="BA415" s="28" t="s">
        <v>125</v>
      </c>
    </row>
    <row r="416" spans="1:53">
      <c r="A416" t="s">
        <v>424</v>
      </c>
      <c r="B416" t="s">
        <v>425</v>
      </c>
      <c r="C416">
        <v>22004570</v>
      </c>
      <c r="D416">
        <v>1205</v>
      </c>
      <c r="E416" s="6">
        <v>44791</v>
      </c>
      <c r="F416" t="s">
        <v>469</v>
      </c>
      <c r="G416">
        <v>505.78</v>
      </c>
      <c r="H416">
        <v>505.78</v>
      </c>
      <c r="I416" t="s">
        <v>263</v>
      </c>
      <c r="J416" t="s">
        <v>263</v>
      </c>
      <c r="L416" s="29">
        <v>7380000</v>
      </c>
      <c r="N416" s="29">
        <v>7380000</v>
      </c>
      <c r="O416" t="s">
        <v>264</v>
      </c>
      <c r="Q416" t="s">
        <v>264</v>
      </c>
      <c r="R416" t="s">
        <v>265</v>
      </c>
      <c r="S416">
        <v>14592</v>
      </c>
      <c r="T416" t="s">
        <v>266</v>
      </c>
      <c r="U416" t="s">
        <v>267</v>
      </c>
      <c r="V416" t="s">
        <v>427</v>
      </c>
      <c r="W416" t="s">
        <v>428</v>
      </c>
      <c r="X416">
        <v>1935942</v>
      </c>
      <c r="Y416" s="6">
        <v>44803</v>
      </c>
      <c r="Z416" t="s">
        <v>264</v>
      </c>
      <c r="AA416">
        <v>1</v>
      </c>
      <c r="AB416" t="s">
        <v>264</v>
      </c>
      <c r="AD416" t="s">
        <v>264</v>
      </c>
      <c r="AE416" t="s">
        <v>264</v>
      </c>
      <c r="AF416" t="s">
        <v>264</v>
      </c>
      <c r="AG416">
        <v>492</v>
      </c>
      <c r="AH416" t="s">
        <v>264</v>
      </c>
      <c r="AI416">
        <v>55745878</v>
      </c>
      <c r="AJ416" t="s">
        <v>469</v>
      </c>
      <c r="AL416" t="s">
        <v>264</v>
      </c>
      <c r="AM416" s="6">
        <v>44791</v>
      </c>
      <c r="AN416" t="s">
        <v>462</v>
      </c>
      <c r="AO416" t="s">
        <v>268</v>
      </c>
      <c r="AP416">
        <v>1205</v>
      </c>
      <c r="AQ416" t="s">
        <v>269</v>
      </c>
      <c r="AR416" t="s">
        <v>1110</v>
      </c>
      <c r="AU416" t="s">
        <v>264</v>
      </c>
      <c r="AV416" t="s">
        <v>270</v>
      </c>
      <c r="AX416">
        <v>22001108</v>
      </c>
      <c r="AY416">
        <v>630600</v>
      </c>
      <c r="AZ416">
        <v>1205.6306</v>
      </c>
      <c r="BA416" s="28" t="s">
        <v>125</v>
      </c>
    </row>
    <row r="417" spans="1:53">
      <c r="A417" t="s">
        <v>424</v>
      </c>
      <c r="B417" t="s">
        <v>425</v>
      </c>
      <c r="C417">
        <v>22004571</v>
      </c>
      <c r="D417">
        <v>1205</v>
      </c>
      <c r="E417" s="6">
        <v>44791</v>
      </c>
      <c r="F417" t="s">
        <v>469</v>
      </c>
      <c r="G417">
        <v>818.29</v>
      </c>
      <c r="H417">
        <v>818.29</v>
      </c>
      <c r="I417" t="s">
        <v>263</v>
      </c>
      <c r="J417" t="s">
        <v>263</v>
      </c>
      <c r="L417" s="29">
        <v>11940000</v>
      </c>
      <c r="N417" s="29">
        <v>11940000</v>
      </c>
      <c r="O417" t="s">
        <v>264</v>
      </c>
      <c r="Q417" t="s">
        <v>264</v>
      </c>
      <c r="R417" t="s">
        <v>265</v>
      </c>
      <c r="S417">
        <v>14592</v>
      </c>
      <c r="T417" t="s">
        <v>266</v>
      </c>
      <c r="U417" t="s">
        <v>267</v>
      </c>
      <c r="V417" t="s">
        <v>427</v>
      </c>
      <c r="W417" t="s">
        <v>428</v>
      </c>
      <c r="X417">
        <v>1935942</v>
      </c>
      <c r="Y417" s="6">
        <v>44803</v>
      </c>
      <c r="Z417" t="s">
        <v>264</v>
      </c>
      <c r="AA417">
        <v>1</v>
      </c>
      <c r="AB417" t="s">
        <v>264</v>
      </c>
      <c r="AD417" t="s">
        <v>264</v>
      </c>
      <c r="AE417" t="s">
        <v>264</v>
      </c>
      <c r="AF417" t="s">
        <v>264</v>
      </c>
      <c r="AG417">
        <v>796</v>
      </c>
      <c r="AH417" t="s">
        <v>264</v>
      </c>
      <c r="AI417">
        <v>55745878</v>
      </c>
      <c r="AJ417" t="s">
        <v>469</v>
      </c>
      <c r="AL417" t="s">
        <v>264</v>
      </c>
      <c r="AM417" s="6">
        <v>44791</v>
      </c>
      <c r="AN417" t="s">
        <v>462</v>
      </c>
      <c r="AO417" t="s">
        <v>268</v>
      </c>
      <c r="AP417">
        <v>1205</v>
      </c>
      <c r="AQ417" t="s">
        <v>269</v>
      </c>
      <c r="AR417" t="s">
        <v>1110</v>
      </c>
      <c r="AU417" t="s">
        <v>264</v>
      </c>
      <c r="AV417" t="s">
        <v>270</v>
      </c>
      <c r="AX417">
        <v>22001108</v>
      </c>
      <c r="AY417">
        <v>630600</v>
      </c>
      <c r="AZ417">
        <v>1205.6306</v>
      </c>
      <c r="BA417" s="28" t="s">
        <v>125</v>
      </c>
    </row>
    <row r="418" spans="1:53">
      <c r="A418" t="s">
        <v>271</v>
      </c>
      <c r="B418" t="s">
        <v>272</v>
      </c>
      <c r="C418">
        <v>22010917</v>
      </c>
      <c r="D418">
        <v>1201</v>
      </c>
      <c r="E418" s="6">
        <v>44784</v>
      </c>
      <c r="F418" t="s">
        <v>475</v>
      </c>
      <c r="G418" s="29">
        <v>-3802.77</v>
      </c>
      <c r="I418" t="s">
        <v>263</v>
      </c>
      <c r="J418" t="s">
        <v>263</v>
      </c>
      <c r="K418" s="29">
        <v>-3802.77</v>
      </c>
      <c r="M418" s="29">
        <v>-56509091</v>
      </c>
      <c r="N418" s="29">
        <v>-56509091</v>
      </c>
      <c r="O418" t="s">
        <v>264</v>
      </c>
      <c r="Q418" t="s">
        <v>264</v>
      </c>
      <c r="R418" t="s">
        <v>265</v>
      </c>
      <c r="S418">
        <v>14860</v>
      </c>
      <c r="T418" t="s">
        <v>266</v>
      </c>
      <c r="U418" t="s">
        <v>267</v>
      </c>
      <c r="V418" t="s">
        <v>273</v>
      </c>
      <c r="W418" t="s">
        <v>274</v>
      </c>
      <c r="X418">
        <v>1930430</v>
      </c>
      <c r="Y418" s="6">
        <v>44784</v>
      </c>
      <c r="Z418" t="s">
        <v>264</v>
      </c>
      <c r="AA418">
        <v>3</v>
      </c>
      <c r="AB418" t="s">
        <v>264</v>
      </c>
      <c r="AD418" t="s">
        <v>264</v>
      </c>
      <c r="AE418" t="s">
        <v>264</v>
      </c>
      <c r="AF418" t="s">
        <v>264</v>
      </c>
      <c r="AG418">
        <v>-1</v>
      </c>
      <c r="AH418" t="s">
        <v>264</v>
      </c>
      <c r="AI418">
        <v>54000888</v>
      </c>
      <c r="AJ418" t="s">
        <v>475</v>
      </c>
      <c r="AL418">
        <v>535330293037</v>
      </c>
      <c r="AM418" s="6">
        <v>44784</v>
      </c>
      <c r="AN418" t="s">
        <v>275</v>
      </c>
      <c r="AO418" t="s">
        <v>268</v>
      </c>
      <c r="AP418">
        <v>1201</v>
      </c>
      <c r="AQ418" t="s">
        <v>269</v>
      </c>
      <c r="AR418" t="s">
        <v>476</v>
      </c>
      <c r="AT418" s="6">
        <v>44784</v>
      </c>
      <c r="AU418" t="s">
        <v>264</v>
      </c>
      <c r="AV418" t="s">
        <v>270</v>
      </c>
      <c r="AX418">
        <v>22002748</v>
      </c>
      <c r="AY418">
        <v>630400</v>
      </c>
      <c r="AZ418">
        <v>1201.6304</v>
      </c>
      <c r="BA418" s="28" t="s">
        <v>21</v>
      </c>
    </row>
    <row r="419" spans="1:53">
      <c r="A419" t="s">
        <v>271</v>
      </c>
      <c r="B419" t="s">
        <v>272</v>
      </c>
      <c r="C419">
        <v>22010917</v>
      </c>
      <c r="D419">
        <v>1201</v>
      </c>
      <c r="E419" s="6">
        <v>44784</v>
      </c>
      <c r="F419" t="s">
        <v>475</v>
      </c>
      <c r="G419" s="29">
        <v>3802.77</v>
      </c>
      <c r="H419" s="29">
        <v>3802.77</v>
      </c>
      <c r="I419" t="s">
        <v>263</v>
      </c>
      <c r="J419" t="s">
        <v>263</v>
      </c>
      <c r="L419" s="29">
        <v>56509091</v>
      </c>
      <c r="N419" s="29">
        <v>56509091</v>
      </c>
      <c r="O419" t="s">
        <v>264</v>
      </c>
      <c r="Q419" t="s">
        <v>264</v>
      </c>
      <c r="R419" t="s">
        <v>265</v>
      </c>
      <c r="S419">
        <v>14860</v>
      </c>
      <c r="T419" t="s">
        <v>266</v>
      </c>
      <c r="U419" t="s">
        <v>267</v>
      </c>
      <c r="V419" t="s">
        <v>273</v>
      </c>
      <c r="W419" t="s">
        <v>274</v>
      </c>
      <c r="X419">
        <v>1930430</v>
      </c>
      <c r="Y419" s="6">
        <v>44784</v>
      </c>
      <c r="Z419" t="s">
        <v>264</v>
      </c>
      <c r="AA419">
        <v>1</v>
      </c>
      <c r="AB419" t="s">
        <v>264</v>
      </c>
      <c r="AD419" t="s">
        <v>264</v>
      </c>
      <c r="AE419" t="s">
        <v>264</v>
      </c>
      <c r="AF419" t="s">
        <v>264</v>
      </c>
      <c r="AG419">
        <v>1</v>
      </c>
      <c r="AH419" t="s">
        <v>264</v>
      </c>
      <c r="AI419">
        <v>54000888</v>
      </c>
      <c r="AJ419" t="s">
        <v>475</v>
      </c>
      <c r="AL419">
        <v>535330293037</v>
      </c>
      <c r="AM419" s="6">
        <v>44784</v>
      </c>
      <c r="AN419" t="s">
        <v>275</v>
      </c>
      <c r="AO419" t="s">
        <v>268</v>
      </c>
      <c r="AP419">
        <v>1201</v>
      </c>
      <c r="AQ419" t="s">
        <v>269</v>
      </c>
      <c r="AR419" t="s">
        <v>476</v>
      </c>
      <c r="AU419" t="s">
        <v>264</v>
      </c>
      <c r="AV419" t="s">
        <v>270</v>
      </c>
      <c r="AX419">
        <v>22002748</v>
      </c>
      <c r="AY419">
        <v>630400</v>
      </c>
      <c r="AZ419">
        <v>1201.6304</v>
      </c>
      <c r="BA419" s="28" t="s">
        <v>21</v>
      </c>
    </row>
    <row r="420" spans="1:53">
      <c r="A420" t="s">
        <v>271</v>
      </c>
      <c r="B420" t="s">
        <v>272</v>
      </c>
      <c r="C420">
        <v>22010919</v>
      </c>
      <c r="D420">
        <v>1201</v>
      </c>
      <c r="E420" s="6">
        <v>44784</v>
      </c>
      <c r="F420" t="s">
        <v>475</v>
      </c>
      <c r="G420" s="29">
        <v>3803.44</v>
      </c>
      <c r="H420" s="29">
        <v>3803.44</v>
      </c>
      <c r="I420" t="s">
        <v>263</v>
      </c>
      <c r="J420" t="s">
        <v>263</v>
      </c>
      <c r="L420" s="29">
        <v>56519091</v>
      </c>
      <c r="N420" s="29">
        <v>56519091</v>
      </c>
      <c r="O420" t="s">
        <v>264</v>
      </c>
      <c r="Q420" t="s">
        <v>264</v>
      </c>
      <c r="R420" t="s">
        <v>265</v>
      </c>
      <c r="S420">
        <v>14860</v>
      </c>
      <c r="T420" t="s">
        <v>266</v>
      </c>
      <c r="U420" t="s">
        <v>267</v>
      </c>
      <c r="V420" t="s">
        <v>273</v>
      </c>
      <c r="W420" t="s">
        <v>274</v>
      </c>
      <c r="X420">
        <v>1930464</v>
      </c>
      <c r="Y420" s="6">
        <v>44784</v>
      </c>
      <c r="Z420" t="s">
        <v>264</v>
      </c>
      <c r="AA420">
        <v>1</v>
      </c>
      <c r="AB420" t="s">
        <v>264</v>
      </c>
      <c r="AD420" t="s">
        <v>264</v>
      </c>
      <c r="AE420" t="s">
        <v>264</v>
      </c>
      <c r="AF420" t="s">
        <v>264</v>
      </c>
      <c r="AG420">
        <v>1</v>
      </c>
      <c r="AH420" t="s">
        <v>264</v>
      </c>
      <c r="AI420">
        <v>54000888</v>
      </c>
      <c r="AJ420" t="s">
        <v>475</v>
      </c>
      <c r="AL420">
        <v>535330293037</v>
      </c>
      <c r="AM420" s="6">
        <v>44784</v>
      </c>
      <c r="AN420" t="s">
        <v>275</v>
      </c>
      <c r="AO420" t="s">
        <v>268</v>
      </c>
      <c r="AP420">
        <v>1201</v>
      </c>
      <c r="AQ420" t="s">
        <v>269</v>
      </c>
      <c r="AR420" t="s">
        <v>476</v>
      </c>
      <c r="AU420" t="s">
        <v>264</v>
      </c>
      <c r="AV420" t="s">
        <v>270</v>
      </c>
      <c r="AX420">
        <v>22002748</v>
      </c>
      <c r="AY420">
        <v>630400</v>
      </c>
      <c r="AZ420">
        <v>1201.6304</v>
      </c>
      <c r="BA420" s="28" t="s">
        <v>21</v>
      </c>
    </row>
    <row r="421" spans="1:53">
      <c r="A421" t="s">
        <v>271</v>
      </c>
      <c r="B421" t="s">
        <v>272</v>
      </c>
      <c r="C421">
        <v>22002823</v>
      </c>
      <c r="D421">
        <v>1204</v>
      </c>
      <c r="E421" s="6">
        <v>44784</v>
      </c>
      <c r="F421" t="s">
        <v>477</v>
      </c>
      <c r="G421" s="29">
        <v>4186.82</v>
      </c>
      <c r="H421" s="29">
        <v>4186.82</v>
      </c>
      <c r="I421" t="s">
        <v>263</v>
      </c>
      <c r="J421" t="s">
        <v>263</v>
      </c>
      <c r="L421" s="29">
        <v>62216088</v>
      </c>
      <c r="N421" s="29">
        <v>62216088</v>
      </c>
      <c r="O421" t="s">
        <v>264</v>
      </c>
      <c r="Q421" t="s">
        <v>264</v>
      </c>
      <c r="R421" t="s">
        <v>265</v>
      </c>
      <c r="S421">
        <v>14860</v>
      </c>
      <c r="T421" t="s">
        <v>266</v>
      </c>
      <c r="U421" t="s">
        <v>267</v>
      </c>
      <c r="V421" t="s">
        <v>273</v>
      </c>
      <c r="W421" t="s">
        <v>274</v>
      </c>
      <c r="X421">
        <v>1930477</v>
      </c>
      <c r="Y421" s="6">
        <v>44784</v>
      </c>
      <c r="Z421" t="s">
        <v>264</v>
      </c>
      <c r="AA421">
        <v>1</v>
      </c>
      <c r="AB421" t="s">
        <v>264</v>
      </c>
      <c r="AD421" t="s">
        <v>264</v>
      </c>
      <c r="AE421" t="s">
        <v>264</v>
      </c>
      <c r="AF421" t="s">
        <v>264</v>
      </c>
      <c r="AG421">
        <v>1</v>
      </c>
      <c r="AH421" t="s">
        <v>264</v>
      </c>
      <c r="AI421">
        <v>55440089</v>
      </c>
      <c r="AJ421" t="s">
        <v>477</v>
      </c>
      <c r="AL421">
        <v>535212003808</v>
      </c>
      <c r="AM421" s="6">
        <v>44784</v>
      </c>
      <c r="AN421" t="s">
        <v>275</v>
      </c>
      <c r="AO421" t="s">
        <v>268</v>
      </c>
      <c r="AP421">
        <v>1204</v>
      </c>
      <c r="AQ421" t="s">
        <v>269</v>
      </c>
      <c r="AR421" t="s">
        <v>478</v>
      </c>
      <c r="AU421" t="s">
        <v>264</v>
      </c>
      <c r="AV421" t="s">
        <v>270</v>
      </c>
      <c r="AX421">
        <v>22001382</v>
      </c>
      <c r="AY421">
        <v>630400</v>
      </c>
      <c r="AZ421">
        <v>1204.6304</v>
      </c>
      <c r="BA421" s="28" t="s">
        <v>127</v>
      </c>
    </row>
    <row r="422" spans="1:53">
      <c r="A422" t="s">
        <v>271</v>
      </c>
      <c r="B422" t="s">
        <v>272</v>
      </c>
      <c r="C422">
        <v>22002993</v>
      </c>
      <c r="D422">
        <v>1205</v>
      </c>
      <c r="E422" s="6">
        <v>44784</v>
      </c>
      <c r="F422" t="s">
        <v>479</v>
      </c>
      <c r="G422" s="29">
        <v>4728.28</v>
      </c>
      <c r="H422" s="29">
        <v>4728.28</v>
      </c>
      <c r="I422" t="s">
        <v>263</v>
      </c>
      <c r="J422" t="s">
        <v>263</v>
      </c>
      <c r="L422" s="29">
        <v>70262296</v>
      </c>
      <c r="N422" s="29">
        <v>70262296</v>
      </c>
      <c r="O422" t="s">
        <v>264</v>
      </c>
      <c r="Q422" t="s">
        <v>264</v>
      </c>
      <c r="R422" t="s">
        <v>265</v>
      </c>
      <c r="S422">
        <v>14860</v>
      </c>
      <c r="T422" t="s">
        <v>266</v>
      </c>
      <c r="U422" t="s">
        <v>267</v>
      </c>
      <c r="V422" t="s">
        <v>273</v>
      </c>
      <c r="W422" t="s">
        <v>274</v>
      </c>
      <c r="X422">
        <v>1930472</v>
      </c>
      <c r="Y422" s="6">
        <v>44784</v>
      </c>
      <c r="Z422" t="s">
        <v>264</v>
      </c>
      <c r="AA422">
        <v>1</v>
      </c>
      <c r="AB422" t="s">
        <v>264</v>
      </c>
      <c r="AD422" t="s">
        <v>264</v>
      </c>
      <c r="AE422" t="s">
        <v>264</v>
      </c>
      <c r="AF422" t="s">
        <v>264</v>
      </c>
      <c r="AG422">
        <v>1</v>
      </c>
      <c r="AH422" t="s">
        <v>264</v>
      </c>
      <c r="AI422">
        <v>55382974</v>
      </c>
      <c r="AJ422" t="s">
        <v>479</v>
      </c>
      <c r="AL422">
        <v>535211858662</v>
      </c>
      <c r="AM422" s="6">
        <v>44784</v>
      </c>
      <c r="AN422" t="s">
        <v>275</v>
      </c>
      <c r="AO422" t="s">
        <v>268</v>
      </c>
      <c r="AP422">
        <v>1205</v>
      </c>
      <c r="AQ422" t="s">
        <v>269</v>
      </c>
      <c r="AR422" t="s">
        <v>480</v>
      </c>
      <c r="AU422" t="s">
        <v>264</v>
      </c>
      <c r="AV422" t="s">
        <v>270</v>
      </c>
      <c r="AX422">
        <v>22001359</v>
      </c>
      <c r="AY422">
        <v>630400</v>
      </c>
      <c r="AZ422">
        <v>1205.6304</v>
      </c>
      <c r="BA422" s="28" t="s">
        <v>128</v>
      </c>
    </row>
    <row r="423" spans="1:53">
      <c r="A423" t="s">
        <v>271</v>
      </c>
      <c r="B423" t="s">
        <v>272</v>
      </c>
      <c r="C423">
        <v>22001534</v>
      </c>
      <c r="D423">
        <v>1206</v>
      </c>
      <c r="E423" s="6">
        <v>44784</v>
      </c>
      <c r="F423" t="s">
        <v>481</v>
      </c>
      <c r="G423" s="29">
        <v>2722.9</v>
      </c>
      <c r="H423" s="29">
        <v>2722.9</v>
      </c>
      <c r="I423" t="s">
        <v>263</v>
      </c>
      <c r="J423" t="s">
        <v>263</v>
      </c>
      <c r="L423" s="29">
        <v>40462323</v>
      </c>
      <c r="N423" s="29">
        <v>40462323</v>
      </c>
      <c r="O423" t="s">
        <v>264</v>
      </c>
      <c r="Q423" t="s">
        <v>264</v>
      </c>
      <c r="R423" t="s">
        <v>265</v>
      </c>
      <c r="S423">
        <v>14860</v>
      </c>
      <c r="T423" t="s">
        <v>266</v>
      </c>
      <c r="U423" t="s">
        <v>267</v>
      </c>
      <c r="V423" t="s">
        <v>273</v>
      </c>
      <c r="W423" t="s">
        <v>274</v>
      </c>
      <c r="X423">
        <v>1930466</v>
      </c>
      <c r="Y423" s="6">
        <v>44784</v>
      </c>
      <c r="Z423" t="s">
        <v>264</v>
      </c>
      <c r="AA423">
        <v>1</v>
      </c>
      <c r="AB423" t="s">
        <v>264</v>
      </c>
      <c r="AD423" t="s">
        <v>264</v>
      </c>
      <c r="AE423" t="s">
        <v>264</v>
      </c>
      <c r="AF423" t="s">
        <v>264</v>
      </c>
      <c r="AG423">
        <v>1</v>
      </c>
      <c r="AH423" t="s">
        <v>264</v>
      </c>
      <c r="AI423">
        <v>57215969</v>
      </c>
      <c r="AJ423" t="s">
        <v>481</v>
      </c>
      <c r="AL423">
        <v>522042736945</v>
      </c>
      <c r="AM423" s="6">
        <v>44784</v>
      </c>
      <c r="AN423" t="s">
        <v>275</v>
      </c>
      <c r="AO423" t="s">
        <v>268</v>
      </c>
      <c r="AP423">
        <v>1206</v>
      </c>
      <c r="AQ423" t="s">
        <v>269</v>
      </c>
      <c r="AR423" t="s">
        <v>482</v>
      </c>
      <c r="AU423" t="s">
        <v>264</v>
      </c>
      <c r="AV423" t="s">
        <v>270</v>
      </c>
      <c r="AX423">
        <v>22001135</v>
      </c>
      <c r="AY423">
        <v>630400</v>
      </c>
      <c r="AZ423">
        <v>1206.6304</v>
      </c>
      <c r="BA423" s="28" t="s">
        <v>129</v>
      </c>
    </row>
    <row r="424" spans="1:53">
      <c r="A424" t="s">
        <v>271</v>
      </c>
      <c r="B424" t="s">
        <v>272</v>
      </c>
      <c r="C424">
        <v>22001535</v>
      </c>
      <c r="D424">
        <v>1206</v>
      </c>
      <c r="E424" s="6">
        <v>44784</v>
      </c>
      <c r="F424" t="s">
        <v>481</v>
      </c>
      <c r="G424">
        <v>94.11</v>
      </c>
      <c r="H424">
        <v>94.11</v>
      </c>
      <c r="I424" t="s">
        <v>263</v>
      </c>
      <c r="J424" t="s">
        <v>263</v>
      </c>
      <c r="L424" s="29">
        <v>1398470</v>
      </c>
      <c r="N424" s="29">
        <v>1398470</v>
      </c>
      <c r="O424" t="s">
        <v>264</v>
      </c>
      <c r="Q424" t="s">
        <v>264</v>
      </c>
      <c r="R424" t="s">
        <v>265</v>
      </c>
      <c r="S424">
        <v>14860</v>
      </c>
      <c r="T424" t="s">
        <v>266</v>
      </c>
      <c r="U424" t="s">
        <v>267</v>
      </c>
      <c r="V424" t="s">
        <v>273</v>
      </c>
      <c r="W424" t="s">
        <v>274</v>
      </c>
      <c r="X424">
        <v>1930480</v>
      </c>
      <c r="Y424" s="6">
        <v>44784</v>
      </c>
      <c r="Z424" t="s">
        <v>264</v>
      </c>
      <c r="AA424">
        <v>1</v>
      </c>
      <c r="AB424" t="s">
        <v>264</v>
      </c>
      <c r="AD424" t="s">
        <v>264</v>
      </c>
      <c r="AE424" t="s">
        <v>264</v>
      </c>
      <c r="AF424" t="s">
        <v>264</v>
      </c>
      <c r="AG424">
        <v>1</v>
      </c>
      <c r="AH424" t="s">
        <v>264</v>
      </c>
      <c r="AI424">
        <v>57215969</v>
      </c>
      <c r="AJ424" t="s">
        <v>481</v>
      </c>
      <c r="AL424">
        <v>522042951971</v>
      </c>
      <c r="AM424" s="6">
        <v>44784</v>
      </c>
      <c r="AN424" t="s">
        <v>275</v>
      </c>
      <c r="AO424" t="s">
        <v>268</v>
      </c>
      <c r="AP424">
        <v>1206</v>
      </c>
      <c r="AQ424" t="s">
        <v>269</v>
      </c>
      <c r="AR424" t="s">
        <v>483</v>
      </c>
      <c r="AU424" t="s">
        <v>264</v>
      </c>
      <c r="AV424" t="s">
        <v>270</v>
      </c>
      <c r="AX424">
        <v>22001134</v>
      </c>
      <c r="AY424">
        <v>630400</v>
      </c>
      <c r="AZ424">
        <v>1206.6304</v>
      </c>
      <c r="BA424" s="28" t="s">
        <v>129</v>
      </c>
    </row>
    <row r="425" spans="1:53">
      <c r="A425" t="s">
        <v>271</v>
      </c>
      <c r="B425" t="s">
        <v>272</v>
      </c>
      <c r="C425">
        <v>22010663</v>
      </c>
      <c r="D425">
        <v>1201</v>
      </c>
      <c r="E425" s="6">
        <v>44775</v>
      </c>
      <c r="F425" t="s">
        <v>484</v>
      </c>
      <c r="G425" s="29">
        <v>1644.94</v>
      </c>
      <c r="H425" s="29">
        <v>1644.94</v>
      </c>
      <c r="I425" t="s">
        <v>263</v>
      </c>
      <c r="J425" t="s">
        <v>263</v>
      </c>
      <c r="L425" s="29">
        <v>24480000</v>
      </c>
      <c r="N425" s="29">
        <v>24480000</v>
      </c>
      <c r="O425" t="s">
        <v>264</v>
      </c>
      <c r="Q425" t="s">
        <v>264</v>
      </c>
      <c r="R425" t="s">
        <v>265</v>
      </c>
      <c r="S425">
        <v>14882</v>
      </c>
      <c r="T425" t="s">
        <v>266</v>
      </c>
      <c r="U425" t="s">
        <v>267</v>
      </c>
      <c r="V425" t="s">
        <v>273</v>
      </c>
      <c r="W425" t="s">
        <v>274</v>
      </c>
      <c r="X425">
        <v>1925605</v>
      </c>
      <c r="Y425" s="6">
        <v>44775</v>
      </c>
      <c r="Z425" t="s">
        <v>264</v>
      </c>
      <c r="AA425">
        <v>1</v>
      </c>
      <c r="AB425" t="s">
        <v>264</v>
      </c>
      <c r="AD425" t="s">
        <v>264</v>
      </c>
      <c r="AE425" t="s">
        <v>264</v>
      </c>
      <c r="AF425" t="s">
        <v>264</v>
      </c>
      <c r="AG425">
        <v>1</v>
      </c>
      <c r="AH425" t="s">
        <v>264</v>
      </c>
      <c r="AI425">
        <v>56981952</v>
      </c>
      <c r="AJ425" t="s">
        <v>484</v>
      </c>
      <c r="AL425" t="s">
        <v>485</v>
      </c>
      <c r="AM425" s="6">
        <v>44775</v>
      </c>
      <c r="AN425" t="s">
        <v>275</v>
      </c>
      <c r="AO425" t="s">
        <v>268</v>
      </c>
      <c r="AP425">
        <v>1201</v>
      </c>
      <c r="AQ425" t="s">
        <v>269</v>
      </c>
      <c r="AR425" t="s">
        <v>486</v>
      </c>
      <c r="AU425" t="s">
        <v>264</v>
      </c>
      <c r="AV425" t="s">
        <v>270</v>
      </c>
      <c r="AX425">
        <v>22002676</v>
      </c>
      <c r="AY425">
        <v>630710</v>
      </c>
      <c r="AZ425">
        <v>1201.6307099999999</v>
      </c>
      <c r="BA425" s="28" t="s">
        <v>23</v>
      </c>
    </row>
    <row r="426" spans="1:53">
      <c r="A426" t="s">
        <v>271</v>
      </c>
      <c r="B426" t="s">
        <v>272</v>
      </c>
      <c r="C426">
        <v>22010787</v>
      </c>
      <c r="D426">
        <v>1201</v>
      </c>
      <c r="E426" s="6">
        <v>44777</v>
      </c>
      <c r="F426" t="s">
        <v>487</v>
      </c>
      <c r="G426">
        <v>398.96</v>
      </c>
      <c r="H426">
        <v>398.96</v>
      </c>
      <c r="I426" t="s">
        <v>263</v>
      </c>
      <c r="J426" t="s">
        <v>263</v>
      </c>
      <c r="L426" s="29">
        <v>5928500</v>
      </c>
      <c r="N426" s="29">
        <v>5928500</v>
      </c>
      <c r="O426" t="s">
        <v>264</v>
      </c>
      <c r="Q426" t="s">
        <v>264</v>
      </c>
      <c r="R426" t="s">
        <v>265</v>
      </c>
      <c r="S426">
        <v>14860</v>
      </c>
      <c r="T426" t="s">
        <v>266</v>
      </c>
      <c r="U426" t="s">
        <v>267</v>
      </c>
      <c r="V426" t="s">
        <v>273</v>
      </c>
      <c r="W426" t="s">
        <v>274</v>
      </c>
      <c r="X426">
        <v>1927505</v>
      </c>
      <c r="Y426" s="6">
        <v>44777</v>
      </c>
      <c r="Z426" t="s">
        <v>264</v>
      </c>
      <c r="AA426">
        <v>1</v>
      </c>
      <c r="AB426" t="s">
        <v>264</v>
      </c>
      <c r="AD426" t="s">
        <v>264</v>
      </c>
      <c r="AE426" t="s">
        <v>264</v>
      </c>
      <c r="AF426" t="s">
        <v>264</v>
      </c>
      <c r="AG426">
        <v>1</v>
      </c>
      <c r="AH426" t="s">
        <v>264</v>
      </c>
      <c r="AI426">
        <v>55240431</v>
      </c>
      <c r="AJ426" t="s">
        <v>487</v>
      </c>
      <c r="AL426" t="s">
        <v>488</v>
      </c>
      <c r="AM426" s="6">
        <v>44777</v>
      </c>
      <c r="AN426" t="s">
        <v>275</v>
      </c>
      <c r="AO426" t="s">
        <v>268</v>
      </c>
      <c r="AP426">
        <v>1201</v>
      </c>
      <c r="AQ426" t="s">
        <v>269</v>
      </c>
      <c r="AR426" t="s">
        <v>489</v>
      </c>
      <c r="AU426" t="s">
        <v>264</v>
      </c>
      <c r="AV426" t="s">
        <v>270</v>
      </c>
      <c r="AX426">
        <v>22002708</v>
      </c>
      <c r="AY426">
        <v>630710</v>
      </c>
      <c r="AZ426">
        <v>1201.6307099999999</v>
      </c>
      <c r="BA426" s="28" t="s">
        <v>23</v>
      </c>
    </row>
    <row r="427" spans="1:53">
      <c r="A427" t="s">
        <v>271</v>
      </c>
      <c r="B427" t="s">
        <v>272</v>
      </c>
      <c r="C427">
        <v>22010834</v>
      </c>
      <c r="D427">
        <v>1201</v>
      </c>
      <c r="E427" s="6">
        <v>44781</v>
      </c>
      <c r="F427" t="s">
        <v>484</v>
      </c>
      <c r="G427" s="29">
        <v>1129.21</v>
      </c>
      <c r="H427" s="29">
        <v>1129.21</v>
      </c>
      <c r="I427" t="s">
        <v>263</v>
      </c>
      <c r="J427" t="s">
        <v>263</v>
      </c>
      <c r="L427" s="29">
        <v>16780000</v>
      </c>
      <c r="N427" s="29">
        <v>16780000</v>
      </c>
      <c r="O427" t="s">
        <v>264</v>
      </c>
      <c r="Q427" t="s">
        <v>264</v>
      </c>
      <c r="R427" t="s">
        <v>265</v>
      </c>
      <c r="S427">
        <v>14860</v>
      </c>
      <c r="T427" t="s">
        <v>266</v>
      </c>
      <c r="U427" t="s">
        <v>267</v>
      </c>
      <c r="V427" t="s">
        <v>273</v>
      </c>
      <c r="W427" t="s">
        <v>274</v>
      </c>
      <c r="X427">
        <v>1928953</v>
      </c>
      <c r="Y427" s="6">
        <v>44781</v>
      </c>
      <c r="Z427" t="s">
        <v>264</v>
      </c>
      <c r="AA427">
        <v>1</v>
      </c>
      <c r="AB427" t="s">
        <v>264</v>
      </c>
      <c r="AD427" t="s">
        <v>264</v>
      </c>
      <c r="AE427" t="s">
        <v>264</v>
      </c>
      <c r="AF427" t="s">
        <v>264</v>
      </c>
      <c r="AG427">
        <v>1</v>
      </c>
      <c r="AH427" t="s">
        <v>264</v>
      </c>
      <c r="AI427">
        <v>56981952</v>
      </c>
      <c r="AJ427" t="s">
        <v>484</v>
      </c>
      <c r="AL427" t="s">
        <v>485</v>
      </c>
      <c r="AM427" s="6">
        <v>44781</v>
      </c>
      <c r="AN427" t="s">
        <v>275</v>
      </c>
      <c r="AO427" t="s">
        <v>268</v>
      </c>
      <c r="AP427">
        <v>1201</v>
      </c>
      <c r="AQ427" t="s">
        <v>269</v>
      </c>
      <c r="AR427" t="s">
        <v>490</v>
      </c>
      <c r="AU427" t="s">
        <v>264</v>
      </c>
      <c r="AV427" t="s">
        <v>270</v>
      </c>
      <c r="AX427">
        <v>22002726</v>
      </c>
      <c r="AY427">
        <v>630710</v>
      </c>
      <c r="AZ427">
        <v>1201.6307099999999</v>
      </c>
      <c r="BA427" s="28" t="s">
        <v>23</v>
      </c>
    </row>
    <row r="428" spans="1:53">
      <c r="A428" t="s">
        <v>271</v>
      </c>
      <c r="B428" t="s">
        <v>272</v>
      </c>
      <c r="C428">
        <v>22011271</v>
      </c>
      <c r="D428">
        <v>1201</v>
      </c>
      <c r="E428" s="6">
        <v>44789</v>
      </c>
      <c r="F428" t="s">
        <v>484</v>
      </c>
      <c r="G428" s="29">
        <v>1066.76</v>
      </c>
      <c r="H428" s="29">
        <v>1066.76</v>
      </c>
      <c r="I428" t="s">
        <v>263</v>
      </c>
      <c r="J428" t="s">
        <v>263</v>
      </c>
      <c r="L428" s="29">
        <v>15852000</v>
      </c>
      <c r="N428" s="29">
        <v>15852000</v>
      </c>
      <c r="O428" t="s">
        <v>264</v>
      </c>
      <c r="Q428" t="s">
        <v>264</v>
      </c>
      <c r="R428" t="s">
        <v>265</v>
      </c>
      <c r="S428">
        <v>14860</v>
      </c>
      <c r="T428" t="s">
        <v>266</v>
      </c>
      <c r="U428" t="s">
        <v>267</v>
      </c>
      <c r="V428" t="s">
        <v>273</v>
      </c>
      <c r="W428" t="s">
        <v>274</v>
      </c>
      <c r="X428">
        <v>1932971</v>
      </c>
      <c r="Y428" s="6">
        <v>44789</v>
      </c>
      <c r="Z428" t="s">
        <v>264</v>
      </c>
      <c r="AA428">
        <v>1</v>
      </c>
      <c r="AB428" t="s">
        <v>264</v>
      </c>
      <c r="AD428" t="s">
        <v>264</v>
      </c>
      <c r="AE428" t="s">
        <v>264</v>
      </c>
      <c r="AF428" t="s">
        <v>264</v>
      </c>
      <c r="AG428">
        <v>1</v>
      </c>
      <c r="AH428" t="s">
        <v>264</v>
      </c>
      <c r="AI428">
        <v>56981952</v>
      </c>
      <c r="AJ428" t="s">
        <v>484</v>
      </c>
      <c r="AL428" t="s">
        <v>485</v>
      </c>
      <c r="AM428" s="6">
        <v>44789</v>
      </c>
      <c r="AN428" t="s">
        <v>275</v>
      </c>
      <c r="AO428" t="s">
        <v>268</v>
      </c>
      <c r="AP428">
        <v>1201</v>
      </c>
      <c r="AQ428" t="s">
        <v>269</v>
      </c>
      <c r="AR428" t="s">
        <v>491</v>
      </c>
      <c r="AU428" t="s">
        <v>264</v>
      </c>
      <c r="AV428" t="s">
        <v>270</v>
      </c>
      <c r="AX428">
        <v>22002786</v>
      </c>
      <c r="AY428">
        <v>630710</v>
      </c>
      <c r="AZ428">
        <v>1201.6307099999999</v>
      </c>
      <c r="BA428" s="28" t="s">
        <v>23</v>
      </c>
    </row>
    <row r="429" spans="1:53">
      <c r="A429" t="s">
        <v>271</v>
      </c>
      <c r="B429" t="s">
        <v>272</v>
      </c>
      <c r="C429">
        <v>22011497</v>
      </c>
      <c r="D429">
        <v>1201</v>
      </c>
      <c r="E429" s="6">
        <v>44796</v>
      </c>
      <c r="F429" t="s">
        <v>484</v>
      </c>
      <c r="G429">
        <v>972.21</v>
      </c>
      <c r="H429">
        <v>972.21</v>
      </c>
      <c r="I429" t="s">
        <v>263</v>
      </c>
      <c r="J429" t="s">
        <v>263</v>
      </c>
      <c r="L429" s="29">
        <v>14447000</v>
      </c>
      <c r="N429" s="29">
        <v>14447000</v>
      </c>
      <c r="O429" t="s">
        <v>264</v>
      </c>
      <c r="Q429" t="s">
        <v>264</v>
      </c>
      <c r="R429" t="s">
        <v>265</v>
      </c>
      <c r="S429">
        <v>14860</v>
      </c>
      <c r="T429" t="s">
        <v>266</v>
      </c>
      <c r="U429" t="s">
        <v>267</v>
      </c>
      <c r="V429" t="s">
        <v>273</v>
      </c>
      <c r="W429" t="s">
        <v>274</v>
      </c>
      <c r="X429">
        <v>1934395</v>
      </c>
      <c r="Y429" s="6">
        <v>44796</v>
      </c>
      <c r="Z429" t="s">
        <v>264</v>
      </c>
      <c r="AA429">
        <v>1</v>
      </c>
      <c r="AB429" t="s">
        <v>264</v>
      </c>
      <c r="AD429" t="s">
        <v>264</v>
      </c>
      <c r="AE429" t="s">
        <v>264</v>
      </c>
      <c r="AF429" t="s">
        <v>264</v>
      </c>
      <c r="AG429">
        <v>1</v>
      </c>
      <c r="AH429" t="s">
        <v>264</v>
      </c>
      <c r="AI429">
        <v>56981952</v>
      </c>
      <c r="AJ429" t="s">
        <v>484</v>
      </c>
      <c r="AL429" t="s">
        <v>485</v>
      </c>
      <c r="AM429" s="6">
        <v>44796</v>
      </c>
      <c r="AN429" t="s">
        <v>275</v>
      </c>
      <c r="AO429" t="s">
        <v>268</v>
      </c>
      <c r="AP429">
        <v>1201</v>
      </c>
      <c r="AQ429" t="s">
        <v>269</v>
      </c>
      <c r="AR429" t="s">
        <v>492</v>
      </c>
      <c r="AU429" t="s">
        <v>264</v>
      </c>
      <c r="AV429" t="s">
        <v>270</v>
      </c>
      <c r="AX429">
        <v>22002813</v>
      </c>
      <c r="AY429">
        <v>630710</v>
      </c>
      <c r="AZ429">
        <v>1201.6307099999999</v>
      </c>
      <c r="BA429" s="28" t="s">
        <v>23</v>
      </c>
    </row>
    <row r="430" spans="1:53">
      <c r="A430" t="s">
        <v>271</v>
      </c>
      <c r="B430" t="s">
        <v>272</v>
      </c>
      <c r="C430">
        <v>22011593</v>
      </c>
      <c r="D430">
        <v>1201</v>
      </c>
      <c r="E430" s="6">
        <v>44803</v>
      </c>
      <c r="F430" t="s">
        <v>484</v>
      </c>
      <c r="G430" s="29">
        <v>1395.36</v>
      </c>
      <c r="H430" s="29">
        <v>1395.36</v>
      </c>
      <c r="I430" t="s">
        <v>263</v>
      </c>
      <c r="J430" t="s">
        <v>263</v>
      </c>
      <c r="L430" s="29">
        <v>20735000</v>
      </c>
      <c r="N430" s="29">
        <v>20735000</v>
      </c>
      <c r="O430" t="s">
        <v>264</v>
      </c>
      <c r="Q430" t="s">
        <v>264</v>
      </c>
      <c r="R430" t="s">
        <v>265</v>
      </c>
      <c r="S430">
        <v>14860</v>
      </c>
      <c r="T430" t="s">
        <v>266</v>
      </c>
      <c r="U430" t="s">
        <v>267</v>
      </c>
      <c r="V430" t="s">
        <v>273</v>
      </c>
      <c r="W430" t="s">
        <v>274</v>
      </c>
      <c r="X430">
        <v>1935966</v>
      </c>
      <c r="Y430" s="6">
        <v>44803</v>
      </c>
      <c r="Z430" t="s">
        <v>264</v>
      </c>
      <c r="AA430">
        <v>1</v>
      </c>
      <c r="AB430" t="s">
        <v>264</v>
      </c>
      <c r="AD430" t="s">
        <v>264</v>
      </c>
      <c r="AE430" t="s">
        <v>264</v>
      </c>
      <c r="AF430" t="s">
        <v>264</v>
      </c>
      <c r="AG430">
        <v>1</v>
      </c>
      <c r="AH430" t="s">
        <v>264</v>
      </c>
      <c r="AI430">
        <v>56981952</v>
      </c>
      <c r="AJ430" t="s">
        <v>484</v>
      </c>
      <c r="AL430" t="s">
        <v>485</v>
      </c>
      <c r="AM430" s="6">
        <v>44803</v>
      </c>
      <c r="AN430" t="s">
        <v>275</v>
      </c>
      <c r="AO430" t="s">
        <v>268</v>
      </c>
      <c r="AP430">
        <v>1201</v>
      </c>
      <c r="AQ430" t="s">
        <v>269</v>
      </c>
      <c r="AR430" t="s">
        <v>1111</v>
      </c>
      <c r="AU430" t="s">
        <v>264</v>
      </c>
      <c r="AV430" t="s">
        <v>270</v>
      </c>
      <c r="AX430">
        <v>22002862</v>
      </c>
      <c r="AY430">
        <v>630710</v>
      </c>
      <c r="AZ430">
        <v>1201.6307099999999</v>
      </c>
      <c r="BA430" s="28" t="s">
        <v>23</v>
      </c>
    </row>
    <row r="431" spans="1:53">
      <c r="A431" t="s">
        <v>384</v>
      </c>
      <c r="B431" t="s">
        <v>385</v>
      </c>
      <c r="C431">
        <v>22001297</v>
      </c>
      <c r="D431">
        <v>1204</v>
      </c>
      <c r="E431" s="6">
        <v>44795</v>
      </c>
      <c r="F431" t="s">
        <v>493</v>
      </c>
      <c r="G431">
        <v>80.75</v>
      </c>
      <c r="H431">
        <v>80.75</v>
      </c>
      <c r="I431" t="s">
        <v>263</v>
      </c>
      <c r="J431" t="s">
        <v>263</v>
      </c>
      <c r="L431" s="29">
        <v>1200000</v>
      </c>
      <c r="N431" s="29">
        <v>1200000</v>
      </c>
      <c r="O431" t="s">
        <v>264</v>
      </c>
      <c r="Q431" t="s">
        <v>264</v>
      </c>
      <c r="R431" t="s">
        <v>265</v>
      </c>
      <c r="S431">
        <v>14860</v>
      </c>
      <c r="T431" t="s">
        <v>266</v>
      </c>
      <c r="U431" t="s">
        <v>267</v>
      </c>
      <c r="V431" t="s">
        <v>386</v>
      </c>
      <c r="W431" t="s">
        <v>387</v>
      </c>
      <c r="X431">
        <v>1934552</v>
      </c>
      <c r="Y431" s="6">
        <v>44796</v>
      </c>
      <c r="Z431" t="s">
        <v>264</v>
      </c>
      <c r="AA431">
        <v>1</v>
      </c>
      <c r="AB431" t="s">
        <v>264</v>
      </c>
      <c r="AD431" t="s">
        <v>264</v>
      </c>
      <c r="AE431" t="s">
        <v>264</v>
      </c>
      <c r="AF431" t="s">
        <v>264</v>
      </c>
      <c r="AH431" t="s">
        <v>264</v>
      </c>
      <c r="AL431" t="s">
        <v>264</v>
      </c>
      <c r="AM431" s="6">
        <v>44795</v>
      </c>
      <c r="AN431" t="s">
        <v>388</v>
      </c>
      <c r="AO431" t="s">
        <v>268</v>
      </c>
      <c r="AP431">
        <v>1204</v>
      </c>
      <c r="AQ431" t="s">
        <v>269</v>
      </c>
      <c r="AR431" t="s">
        <v>494</v>
      </c>
      <c r="AU431" t="s">
        <v>264</v>
      </c>
      <c r="AV431" t="s">
        <v>270</v>
      </c>
      <c r="AX431" t="s">
        <v>264</v>
      </c>
      <c r="AY431">
        <v>630710</v>
      </c>
      <c r="AZ431">
        <v>1204.6307099999999</v>
      </c>
      <c r="BA431" s="28" t="s">
        <v>130</v>
      </c>
    </row>
    <row r="432" spans="1:53">
      <c r="A432" t="s">
        <v>384</v>
      </c>
      <c r="B432" t="s">
        <v>385</v>
      </c>
      <c r="C432">
        <v>22001306</v>
      </c>
      <c r="D432">
        <v>1204</v>
      </c>
      <c r="E432" s="6">
        <v>44796</v>
      </c>
      <c r="F432" t="s">
        <v>493</v>
      </c>
      <c r="G432">
        <v>90.85</v>
      </c>
      <c r="H432">
        <v>90.85</v>
      </c>
      <c r="I432" t="s">
        <v>263</v>
      </c>
      <c r="J432" t="s">
        <v>263</v>
      </c>
      <c r="L432" s="29">
        <v>1350000</v>
      </c>
      <c r="N432" s="29">
        <v>1350000</v>
      </c>
      <c r="O432" t="s">
        <v>264</v>
      </c>
      <c r="Q432" t="s">
        <v>264</v>
      </c>
      <c r="R432" t="s">
        <v>265</v>
      </c>
      <c r="S432">
        <v>14860</v>
      </c>
      <c r="T432" t="s">
        <v>266</v>
      </c>
      <c r="U432" t="s">
        <v>267</v>
      </c>
      <c r="V432" t="s">
        <v>386</v>
      </c>
      <c r="W432" t="s">
        <v>387</v>
      </c>
      <c r="X432">
        <v>1934660</v>
      </c>
      <c r="Y432" s="6">
        <v>44797</v>
      </c>
      <c r="Z432" t="s">
        <v>264</v>
      </c>
      <c r="AA432">
        <v>1</v>
      </c>
      <c r="AB432" t="s">
        <v>264</v>
      </c>
      <c r="AD432" t="s">
        <v>264</v>
      </c>
      <c r="AE432" t="s">
        <v>264</v>
      </c>
      <c r="AF432" t="s">
        <v>264</v>
      </c>
      <c r="AH432" t="s">
        <v>264</v>
      </c>
      <c r="AL432" t="s">
        <v>264</v>
      </c>
      <c r="AM432" s="6">
        <v>44796</v>
      </c>
      <c r="AN432" t="s">
        <v>388</v>
      </c>
      <c r="AO432" t="s">
        <v>268</v>
      </c>
      <c r="AP432">
        <v>1204</v>
      </c>
      <c r="AQ432" t="s">
        <v>269</v>
      </c>
      <c r="AR432" t="s">
        <v>495</v>
      </c>
      <c r="AU432" t="s">
        <v>264</v>
      </c>
      <c r="AV432" t="s">
        <v>270</v>
      </c>
      <c r="AX432" t="s">
        <v>264</v>
      </c>
      <c r="AY432">
        <v>630710</v>
      </c>
      <c r="AZ432">
        <v>1204.6307099999999</v>
      </c>
      <c r="BA432" s="28" t="s">
        <v>130</v>
      </c>
    </row>
    <row r="433" spans="1:53">
      <c r="A433" t="s">
        <v>424</v>
      </c>
      <c r="B433" t="s">
        <v>425</v>
      </c>
      <c r="C433">
        <v>22004511</v>
      </c>
      <c r="D433">
        <v>1205</v>
      </c>
      <c r="E433" s="6">
        <v>44797</v>
      </c>
      <c r="F433" t="s">
        <v>496</v>
      </c>
      <c r="G433">
        <v>63.59</v>
      </c>
      <c r="H433">
        <v>63.59</v>
      </c>
      <c r="I433" t="s">
        <v>263</v>
      </c>
      <c r="J433" t="s">
        <v>263</v>
      </c>
      <c r="L433" s="29">
        <v>945000</v>
      </c>
      <c r="N433" s="29">
        <v>945000</v>
      </c>
      <c r="O433" t="s">
        <v>264</v>
      </c>
      <c r="Q433" t="s">
        <v>264</v>
      </c>
      <c r="R433" t="s">
        <v>265</v>
      </c>
      <c r="S433">
        <v>14860</v>
      </c>
      <c r="T433" t="s">
        <v>266</v>
      </c>
      <c r="U433" t="s">
        <v>267</v>
      </c>
      <c r="V433" t="s">
        <v>427</v>
      </c>
      <c r="W433" t="s">
        <v>428</v>
      </c>
      <c r="X433">
        <v>1934606</v>
      </c>
      <c r="Y433" s="6">
        <v>44797</v>
      </c>
      <c r="Z433" t="s">
        <v>264</v>
      </c>
      <c r="AA433">
        <v>1</v>
      </c>
      <c r="AB433" t="s">
        <v>264</v>
      </c>
      <c r="AD433" t="s">
        <v>264</v>
      </c>
      <c r="AE433" t="s">
        <v>264</v>
      </c>
      <c r="AF433" t="s">
        <v>264</v>
      </c>
      <c r="AG433">
        <v>1</v>
      </c>
      <c r="AH433" t="s">
        <v>264</v>
      </c>
      <c r="AI433">
        <v>55468129</v>
      </c>
      <c r="AJ433" t="s">
        <v>496</v>
      </c>
      <c r="AL433" t="s">
        <v>264</v>
      </c>
      <c r="AM433" s="6">
        <v>44797</v>
      </c>
      <c r="AN433" t="s">
        <v>497</v>
      </c>
      <c r="AO433" t="s">
        <v>268</v>
      </c>
      <c r="AP433">
        <v>1205</v>
      </c>
      <c r="AQ433" t="s">
        <v>269</v>
      </c>
      <c r="AR433" t="s">
        <v>498</v>
      </c>
      <c r="AU433" t="s">
        <v>264</v>
      </c>
      <c r="AV433" t="s">
        <v>270</v>
      </c>
      <c r="AX433">
        <v>22001385</v>
      </c>
      <c r="AY433">
        <v>630710</v>
      </c>
      <c r="AZ433">
        <v>1205.6307099999999</v>
      </c>
      <c r="BA433" s="28" t="s">
        <v>131</v>
      </c>
    </row>
    <row r="434" spans="1:53">
      <c r="A434" t="s">
        <v>271</v>
      </c>
      <c r="B434" t="s">
        <v>272</v>
      </c>
      <c r="C434">
        <v>22010660</v>
      </c>
      <c r="D434">
        <v>1201</v>
      </c>
      <c r="E434" s="6">
        <v>44774</v>
      </c>
      <c r="F434" t="s">
        <v>499</v>
      </c>
      <c r="G434">
        <v>100.79</v>
      </c>
      <c r="H434">
        <v>100.79</v>
      </c>
      <c r="I434" t="s">
        <v>263</v>
      </c>
      <c r="J434" t="s">
        <v>263</v>
      </c>
      <c r="L434" s="29">
        <v>1500000</v>
      </c>
      <c r="N434" s="29">
        <v>1500000</v>
      </c>
      <c r="O434" t="s">
        <v>264</v>
      </c>
      <c r="Q434" t="s">
        <v>264</v>
      </c>
      <c r="R434" t="s">
        <v>265</v>
      </c>
      <c r="S434">
        <v>14882</v>
      </c>
      <c r="T434" t="s">
        <v>266</v>
      </c>
      <c r="U434" t="s">
        <v>267</v>
      </c>
      <c r="V434" t="s">
        <v>273</v>
      </c>
      <c r="W434" t="s">
        <v>274</v>
      </c>
      <c r="X434">
        <v>1925572</v>
      </c>
      <c r="Y434" s="6">
        <v>44774</v>
      </c>
      <c r="Z434" t="s">
        <v>264</v>
      </c>
      <c r="AA434">
        <v>1</v>
      </c>
      <c r="AB434" t="s">
        <v>264</v>
      </c>
      <c r="AD434" t="s">
        <v>264</v>
      </c>
      <c r="AE434" t="s">
        <v>264</v>
      </c>
      <c r="AF434" t="s">
        <v>264</v>
      </c>
      <c r="AG434">
        <v>1</v>
      </c>
      <c r="AH434" t="s">
        <v>264</v>
      </c>
      <c r="AI434">
        <v>56306480</v>
      </c>
      <c r="AJ434" t="s">
        <v>499</v>
      </c>
      <c r="AL434" t="s">
        <v>500</v>
      </c>
      <c r="AM434" s="6">
        <v>44747</v>
      </c>
      <c r="AN434" t="s">
        <v>275</v>
      </c>
      <c r="AO434" t="s">
        <v>268</v>
      </c>
      <c r="AP434">
        <v>1201</v>
      </c>
      <c r="AQ434" t="s">
        <v>269</v>
      </c>
      <c r="AR434" t="s">
        <v>501</v>
      </c>
      <c r="AU434" t="s">
        <v>264</v>
      </c>
      <c r="AV434" t="s">
        <v>270</v>
      </c>
      <c r="AX434">
        <v>22002451</v>
      </c>
      <c r="AY434">
        <v>630720</v>
      </c>
      <c r="AZ434">
        <v>1201.6307200000001</v>
      </c>
      <c r="BA434" s="28" t="s">
        <v>25</v>
      </c>
    </row>
    <row r="435" spans="1:53">
      <c r="A435" t="s">
        <v>271</v>
      </c>
      <c r="B435" t="s">
        <v>272</v>
      </c>
      <c r="C435">
        <v>22010886</v>
      </c>
      <c r="D435">
        <v>1201</v>
      </c>
      <c r="E435" s="6">
        <v>44782</v>
      </c>
      <c r="F435" t="s">
        <v>502</v>
      </c>
      <c r="G435">
        <v>0.48</v>
      </c>
      <c r="H435">
        <v>0.48</v>
      </c>
      <c r="I435" t="s">
        <v>263</v>
      </c>
      <c r="J435" t="s">
        <v>263</v>
      </c>
      <c r="O435" t="s">
        <v>264</v>
      </c>
      <c r="Q435" t="s">
        <v>264</v>
      </c>
      <c r="R435" t="s">
        <v>265</v>
      </c>
      <c r="S435">
        <v>14860</v>
      </c>
      <c r="T435" t="s">
        <v>266</v>
      </c>
      <c r="U435" t="s">
        <v>267</v>
      </c>
      <c r="V435" t="s">
        <v>273</v>
      </c>
      <c r="W435" t="s">
        <v>274</v>
      </c>
      <c r="X435">
        <v>1929262</v>
      </c>
      <c r="Y435" s="6">
        <v>44782</v>
      </c>
      <c r="Z435" t="s">
        <v>264</v>
      </c>
      <c r="AA435">
        <v>2</v>
      </c>
      <c r="AB435" t="s">
        <v>264</v>
      </c>
      <c r="AD435" t="s">
        <v>264</v>
      </c>
      <c r="AE435" t="s">
        <v>264</v>
      </c>
      <c r="AF435" t="s">
        <v>264</v>
      </c>
      <c r="AH435" t="s">
        <v>264</v>
      </c>
      <c r="AI435">
        <v>55507466</v>
      </c>
      <c r="AJ435" t="s">
        <v>502</v>
      </c>
      <c r="AL435" t="s">
        <v>503</v>
      </c>
      <c r="AM435" s="6">
        <v>44760</v>
      </c>
      <c r="AN435" t="s">
        <v>275</v>
      </c>
      <c r="AO435" t="s">
        <v>268</v>
      </c>
      <c r="AP435">
        <v>1201</v>
      </c>
      <c r="AQ435" t="s">
        <v>269</v>
      </c>
      <c r="AR435" t="s">
        <v>504</v>
      </c>
      <c r="AU435" t="s">
        <v>264</v>
      </c>
      <c r="AV435" t="s">
        <v>270</v>
      </c>
      <c r="AX435">
        <v>22002531</v>
      </c>
      <c r="AY435">
        <v>630720</v>
      </c>
      <c r="AZ435">
        <v>1201.6307200000001</v>
      </c>
      <c r="BA435" s="28" t="s">
        <v>25</v>
      </c>
    </row>
    <row r="436" spans="1:53">
      <c r="A436" t="s">
        <v>271</v>
      </c>
      <c r="B436" t="s">
        <v>272</v>
      </c>
      <c r="C436">
        <v>22002979</v>
      </c>
      <c r="D436">
        <v>1205</v>
      </c>
      <c r="E436" s="6">
        <v>44782</v>
      </c>
      <c r="F436" t="s">
        <v>502</v>
      </c>
      <c r="G436">
        <v>0.27</v>
      </c>
      <c r="H436">
        <v>0.27</v>
      </c>
      <c r="I436" t="s">
        <v>263</v>
      </c>
      <c r="J436" t="s">
        <v>263</v>
      </c>
      <c r="O436" t="s">
        <v>264</v>
      </c>
      <c r="Q436" t="s">
        <v>264</v>
      </c>
      <c r="R436" t="s">
        <v>265</v>
      </c>
      <c r="S436">
        <v>14860</v>
      </c>
      <c r="T436" t="s">
        <v>266</v>
      </c>
      <c r="U436" t="s">
        <v>267</v>
      </c>
      <c r="V436" t="s">
        <v>273</v>
      </c>
      <c r="W436" t="s">
        <v>274</v>
      </c>
      <c r="X436">
        <v>1929266</v>
      </c>
      <c r="Y436" s="6">
        <v>44782</v>
      </c>
      <c r="Z436" t="s">
        <v>264</v>
      </c>
      <c r="AA436">
        <v>2</v>
      </c>
      <c r="AB436" t="s">
        <v>264</v>
      </c>
      <c r="AD436" t="s">
        <v>264</v>
      </c>
      <c r="AE436" t="s">
        <v>264</v>
      </c>
      <c r="AF436" t="s">
        <v>264</v>
      </c>
      <c r="AH436" t="s">
        <v>264</v>
      </c>
      <c r="AI436">
        <v>55507466</v>
      </c>
      <c r="AJ436" t="s">
        <v>502</v>
      </c>
      <c r="AL436" t="s">
        <v>505</v>
      </c>
      <c r="AM436" s="6">
        <v>44768</v>
      </c>
      <c r="AN436" t="s">
        <v>275</v>
      </c>
      <c r="AO436" t="s">
        <v>268</v>
      </c>
      <c r="AP436">
        <v>1205</v>
      </c>
      <c r="AQ436" t="s">
        <v>269</v>
      </c>
      <c r="AR436" t="s">
        <v>506</v>
      </c>
      <c r="AU436" t="s">
        <v>264</v>
      </c>
      <c r="AV436" t="s">
        <v>270</v>
      </c>
      <c r="AX436">
        <v>22001301</v>
      </c>
      <c r="AY436">
        <v>630720</v>
      </c>
      <c r="AZ436">
        <v>1205.6307200000001</v>
      </c>
      <c r="BA436" s="28" t="s">
        <v>134</v>
      </c>
    </row>
    <row r="437" spans="1:53">
      <c r="A437" t="s">
        <v>271</v>
      </c>
      <c r="B437" t="s">
        <v>272</v>
      </c>
      <c r="C437">
        <v>22001512</v>
      </c>
      <c r="D437">
        <v>1206</v>
      </c>
      <c r="E437" s="6">
        <v>44777</v>
      </c>
      <c r="F437" t="s">
        <v>499</v>
      </c>
      <c r="G437">
        <v>0.28999999999999998</v>
      </c>
      <c r="H437">
        <v>0.28999999999999998</v>
      </c>
      <c r="I437" t="s">
        <v>263</v>
      </c>
      <c r="J437" t="s">
        <v>263</v>
      </c>
      <c r="O437" t="s">
        <v>264</v>
      </c>
      <c r="Q437" t="s">
        <v>264</v>
      </c>
      <c r="R437" t="s">
        <v>265</v>
      </c>
      <c r="S437">
        <v>14860</v>
      </c>
      <c r="T437" t="s">
        <v>266</v>
      </c>
      <c r="U437" t="s">
        <v>267</v>
      </c>
      <c r="V437" t="s">
        <v>273</v>
      </c>
      <c r="W437" t="s">
        <v>274</v>
      </c>
      <c r="X437">
        <v>1927477</v>
      </c>
      <c r="Y437" s="6">
        <v>44777</v>
      </c>
      <c r="Z437" t="s">
        <v>264</v>
      </c>
      <c r="AA437">
        <v>2</v>
      </c>
      <c r="AB437" t="s">
        <v>264</v>
      </c>
      <c r="AD437" t="s">
        <v>264</v>
      </c>
      <c r="AE437" t="s">
        <v>264</v>
      </c>
      <c r="AF437" t="s">
        <v>264</v>
      </c>
      <c r="AH437" t="s">
        <v>264</v>
      </c>
      <c r="AI437">
        <v>56306480</v>
      </c>
      <c r="AJ437" t="s">
        <v>499</v>
      </c>
      <c r="AL437" t="s">
        <v>507</v>
      </c>
      <c r="AM437" s="6">
        <v>44756</v>
      </c>
      <c r="AN437" t="s">
        <v>275</v>
      </c>
      <c r="AO437" t="s">
        <v>268</v>
      </c>
      <c r="AP437">
        <v>1206</v>
      </c>
      <c r="AQ437" t="s">
        <v>269</v>
      </c>
      <c r="AR437" t="s">
        <v>508</v>
      </c>
      <c r="AU437" t="s">
        <v>264</v>
      </c>
      <c r="AV437" t="s">
        <v>270</v>
      </c>
      <c r="AX437">
        <v>22001105</v>
      </c>
      <c r="AY437">
        <v>630720</v>
      </c>
      <c r="AZ437">
        <v>1206.6307200000001</v>
      </c>
      <c r="BA437" s="28" t="s">
        <v>135</v>
      </c>
    </row>
    <row r="438" spans="1:53">
      <c r="A438" t="s">
        <v>271</v>
      </c>
      <c r="B438" t="s">
        <v>272</v>
      </c>
      <c r="C438">
        <v>22010788</v>
      </c>
      <c r="D438">
        <v>1201</v>
      </c>
      <c r="E438" s="6">
        <v>44777</v>
      </c>
      <c r="F438" t="s">
        <v>509</v>
      </c>
      <c r="G438">
        <v>259.06</v>
      </c>
      <c r="H438">
        <v>259.06</v>
      </c>
      <c r="I438" t="s">
        <v>263</v>
      </c>
      <c r="J438" t="s">
        <v>263</v>
      </c>
      <c r="L438" s="29">
        <v>3850000</v>
      </c>
      <c r="N438" s="29">
        <v>3850000</v>
      </c>
      <c r="O438" t="s">
        <v>264</v>
      </c>
      <c r="Q438" t="s">
        <v>264</v>
      </c>
      <c r="R438" t="s">
        <v>265</v>
      </c>
      <c r="S438">
        <v>14860</v>
      </c>
      <c r="T438" t="s">
        <v>266</v>
      </c>
      <c r="U438" t="s">
        <v>267</v>
      </c>
      <c r="V438" t="s">
        <v>273</v>
      </c>
      <c r="W438" t="s">
        <v>274</v>
      </c>
      <c r="X438">
        <v>1927530</v>
      </c>
      <c r="Y438" s="6">
        <v>44777</v>
      </c>
      <c r="Z438" t="s">
        <v>264</v>
      </c>
      <c r="AA438">
        <v>1</v>
      </c>
      <c r="AB438" t="s">
        <v>264</v>
      </c>
      <c r="AD438" t="s">
        <v>264</v>
      </c>
      <c r="AE438" t="s">
        <v>264</v>
      </c>
      <c r="AF438" t="s">
        <v>264</v>
      </c>
      <c r="AG438">
        <v>11</v>
      </c>
      <c r="AH438" t="s">
        <v>264</v>
      </c>
      <c r="AI438">
        <v>57365983</v>
      </c>
      <c r="AJ438" t="s">
        <v>509</v>
      </c>
      <c r="AL438" t="s">
        <v>510</v>
      </c>
      <c r="AM438" s="6">
        <v>44746</v>
      </c>
      <c r="AN438" t="s">
        <v>275</v>
      </c>
      <c r="AO438" t="s">
        <v>268</v>
      </c>
      <c r="AP438">
        <v>1201</v>
      </c>
      <c r="AQ438" t="s">
        <v>269</v>
      </c>
      <c r="AR438" t="s">
        <v>511</v>
      </c>
      <c r="AU438" t="s">
        <v>264</v>
      </c>
      <c r="AV438" t="s">
        <v>270</v>
      </c>
      <c r="AX438">
        <v>22002707</v>
      </c>
      <c r="AY438">
        <v>630730</v>
      </c>
      <c r="AZ438">
        <v>1201.6307300000001</v>
      </c>
      <c r="BA438" s="28" t="s">
        <v>27</v>
      </c>
    </row>
    <row r="439" spans="1:53">
      <c r="A439" t="s">
        <v>424</v>
      </c>
      <c r="B439" t="s">
        <v>425</v>
      </c>
      <c r="C439">
        <v>22010624</v>
      </c>
      <c r="D439">
        <v>1201</v>
      </c>
      <c r="E439" s="6">
        <v>44802</v>
      </c>
      <c r="F439" t="s">
        <v>1112</v>
      </c>
      <c r="G439">
        <v>572.01</v>
      </c>
      <c r="H439">
        <v>572.01</v>
      </c>
      <c r="I439" t="s">
        <v>263</v>
      </c>
      <c r="J439" t="s">
        <v>263</v>
      </c>
      <c r="L439" s="29">
        <v>8500000</v>
      </c>
      <c r="N439" s="29">
        <v>8500000</v>
      </c>
      <c r="O439" t="s">
        <v>264</v>
      </c>
      <c r="Q439" t="s">
        <v>264</v>
      </c>
      <c r="R439" t="s">
        <v>265</v>
      </c>
      <c r="S439">
        <v>14860</v>
      </c>
      <c r="T439" t="s">
        <v>266</v>
      </c>
      <c r="U439" t="s">
        <v>267</v>
      </c>
      <c r="V439" t="s">
        <v>427</v>
      </c>
      <c r="W439" t="s">
        <v>428</v>
      </c>
      <c r="X439">
        <v>1935790</v>
      </c>
      <c r="Y439" s="6">
        <v>44802</v>
      </c>
      <c r="Z439" t="s">
        <v>264</v>
      </c>
      <c r="AA439">
        <v>5</v>
      </c>
      <c r="AB439" t="s">
        <v>264</v>
      </c>
      <c r="AD439" t="s">
        <v>264</v>
      </c>
      <c r="AE439" t="s">
        <v>264</v>
      </c>
      <c r="AF439" t="s">
        <v>264</v>
      </c>
      <c r="AG439">
        <v>9</v>
      </c>
      <c r="AH439" t="s">
        <v>264</v>
      </c>
      <c r="AI439">
        <v>55292961</v>
      </c>
      <c r="AJ439" t="s">
        <v>1112</v>
      </c>
      <c r="AL439" t="s">
        <v>264</v>
      </c>
      <c r="AM439" s="6">
        <v>44802</v>
      </c>
      <c r="AN439" t="s">
        <v>1113</v>
      </c>
      <c r="AO439" t="s">
        <v>268</v>
      </c>
      <c r="AP439">
        <v>1201</v>
      </c>
      <c r="AQ439" t="s">
        <v>269</v>
      </c>
      <c r="AR439" t="s">
        <v>1114</v>
      </c>
      <c r="AU439" t="s">
        <v>264</v>
      </c>
      <c r="AV439" t="s">
        <v>270</v>
      </c>
      <c r="AX439">
        <v>22002225</v>
      </c>
      <c r="AY439">
        <v>630730</v>
      </c>
      <c r="AZ439">
        <v>1201.6307300000001</v>
      </c>
      <c r="BA439" s="28" t="s">
        <v>27</v>
      </c>
    </row>
    <row r="440" spans="1:53">
      <c r="A440" t="s">
        <v>424</v>
      </c>
      <c r="B440" t="s">
        <v>425</v>
      </c>
      <c r="C440">
        <v>22001317</v>
      </c>
      <c r="D440">
        <v>1206</v>
      </c>
      <c r="E440" s="6">
        <v>44798</v>
      </c>
      <c r="F440" t="s">
        <v>512</v>
      </c>
      <c r="G440">
        <v>201.88</v>
      </c>
      <c r="H440">
        <v>201.88</v>
      </c>
      <c r="I440" t="s">
        <v>263</v>
      </c>
      <c r="J440" t="s">
        <v>263</v>
      </c>
      <c r="L440" s="29">
        <v>3000000</v>
      </c>
      <c r="N440" s="29">
        <v>3000000</v>
      </c>
      <c r="O440" t="s">
        <v>264</v>
      </c>
      <c r="Q440" t="s">
        <v>264</v>
      </c>
      <c r="R440" t="s">
        <v>265</v>
      </c>
      <c r="S440">
        <v>14860</v>
      </c>
      <c r="T440" t="s">
        <v>266</v>
      </c>
      <c r="U440" t="s">
        <v>267</v>
      </c>
      <c r="V440" t="s">
        <v>427</v>
      </c>
      <c r="W440" t="s">
        <v>428</v>
      </c>
      <c r="X440">
        <v>1935296</v>
      </c>
      <c r="Y440" s="6">
        <v>44798</v>
      </c>
      <c r="Z440" t="s">
        <v>264</v>
      </c>
      <c r="AA440">
        <v>1</v>
      </c>
      <c r="AB440" t="s">
        <v>264</v>
      </c>
      <c r="AD440" t="s">
        <v>264</v>
      </c>
      <c r="AE440" t="s">
        <v>264</v>
      </c>
      <c r="AF440" t="s">
        <v>264</v>
      </c>
      <c r="AG440">
        <v>1</v>
      </c>
      <c r="AH440" t="s">
        <v>264</v>
      </c>
      <c r="AI440">
        <v>55273330</v>
      </c>
      <c r="AJ440" t="s">
        <v>512</v>
      </c>
      <c r="AL440" t="s">
        <v>264</v>
      </c>
      <c r="AM440" s="6">
        <v>44798</v>
      </c>
      <c r="AN440" t="s">
        <v>513</v>
      </c>
      <c r="AO440" t="s">
        <v>268</v>
      </c>
      <c r="AP440">
        <v>1206</v>
      </c>
      <c r="AQ440" t="s">
        <v>269</v>
      </c>
      <c r="AR440" t="s">
        <v>514</v>
      </c>
      <c r="AU440" t="s">
        <v>264</v>
      </c>
      <c r="AV440" t="s">
        <v>270</v>
      </c>
      <c r="AX440">
        <v>22001091</v>
      </c>
      <c r="AY440">
        <v>630750</v>
      </c>
      <c r="AZ440">
        <v>1206.63075</v>
      </c>
      <c r="BA440" s="28" t="s">
        <v>144</v>
      </c>
    </row>
    <row r="441" spans="1:53">
      <c r="A441" t="s">
        <v>424</v>
      </c>
      <c r="B441" t="s">
        <v>425</v>
      </c>
      <c r="C441">
        <v>22010457</v>
      </c>
      <c r="D441">
        <v>1201</v>
      </c>
      <c r="E441" s="6">
        <v>44797</v>
      </c>
      <c r="F441" t="s">
        <v>515</v>
      </c>
      <c r="G441">
        <v>492.6</v>
      </c>
      <c r="H441">
        <v>492.6</v>
      </c>
      <c r="I441" t="s">
        <v>263</v>
      </c>
      <c r="J441" t="s">
        <v>263</v>
      </c>
      <c r="L441" s="29">
        <v>7320000</v>
      </c>
      <c r="N441" s="29">
        <v>7320000</v>
      </c>
      <c r="O441" t="s">
        <v>264</v>
      </c>
      <c r="Q441" t="s">
        <v>264</v>
      </c>
      <c r="R441" t="s">
        <v>265</v>
      </c>
      <c r="S441">
        <v>14860</v>
      </c>
      <c r="T441" t="s">
        <v>266</v>
      </c>
      <c r="U441" t="s">
        <v>267</v>
      </c>
      <c r="V441" t="s">
        <v>427</v>
      </c>
      <c r="W441" t="s">
        <v>428</v>
      </c>
      <c r="X441">
        <v>1934626</v>
      </c>
      <c r="Y441" s="6">
        <v>44797</v>
      </c>
      <c r="Z441" t="s">
        <v>264</v>
      </c>
      <c r="AA441">
        <v>1</v>
      </c>
      <c r="AB441" t="s">
        <v>264</v>
      </c>
      <c r="AD441" t="s">
        <v>264</v>
      </c>
      <c r="AE441" t="s">
        <v>264</v>
      </c>
      <c r="AF441" t="s">
        <v>264</v>
      </c>
      <c r="AG441">
        <v>5</v>
      </c>
      <c r="AH441" t="s">
        <v>264</v>
      </c>
      <c r="AI441">
        <v>56724163</v>
      </c>
      <c r="AJ441" t="s">
        <v>515</v>
      </c>
      <c r="AL441" t="s">
        <v>264</v>
      </c>
      <c r="AM441" s="6">
        <v>44797</v>
      </c>
      <c r="AN441" t="s">
        <v>516</v>
      </c>
      <c r="AO441" t="s">
        <v>268</v>
      </c>
      <c r="AP441">
        <v>1201</v>
      </c>
      <c r="AQ441" t="s">
        <v>269</v>
      </c>
      <c r="AR441" t="s">
        <v>517</v>
      </c>
      <c r="AU441" t="s">
        <v>264</v>
      </c>
      <c r="AV441" t="s">
        <v>270</v>
      </c>
      <c r="AX441">
        <v>22002598</v>
      </c>
      <c r="AY441">
        <v>630760</v>
      </c>
      <c r="AZ441">
        <v>1201.63076</v>
      </c>
      <c r="BA441" s="28" t="s">
        <v>33</v>
      </c>
    </row>
    <row r="442" spans="1:53">
      <c r="A442" t="s">
        <v>1115</v>
      </c>
      <c r="B442" t="s">
        <v>1116</v>
      </c>
      <c r="C442">
        <v>4632258</v>
      </c>
      <c r="D442">
        <v>1201</v>
      </c>
      <c r="E442" s="6">
        <v>44804</v>
      </c>
      <c r="F442" t="s">
        <v>1117</v>
      </c>
      <c r="G442" s="29">
        <v>2536.09</v>
      </c>
      <c r="H442" s="29">
        <v>2536.09</v>
      </c>
      <c r="I442" t="s">
        <v>263</v>
      </c>
      <c r="O442" t="s">
        <v>264</v>
      </c>
      <c r="Q442" t="s">
        <v>264</v>
      </c>
      <c r="R442" t="s">
        <v>524</v>
      </c>
      <c r="T442" t="s">
        <v>266</v>
      </c>
      <c r="U442" t="s">
        <v>267</v>
      </c>
      <c r="V442" t="s">
        <v>386</v>
      </c>
      <c r="W442" t="s">
        <v>387</v>
      </c>
      <c r="X442">
        <v>1935652</v>
      </c>
      <c r="Y442" s="6">
        <v>44802</v>
      </c>
      <c r="Z442" t="s">
        <v>264</v>
      </c>
      <c r="AA442">
        <v>1</v>
      </c>
      <c r="AB442" t="s">
        <v>264</v>
      </c>
      <c r="AD442" t="s">
        <v>264</v>
      </c>
      <c r="AE442" t="s">
        <v>264</v>
      </c>
      <c r="AF442" t="s">
        <v>264</v>
      </c>
      <c r="AH442" t="s">
        <v>264</v>
      </c>
      <c r="AL442" t="s">
        <v>264</v>
      </c>
      <c r="AM442" s="6">
        <v>44804</v>
      </c>
      <c r="AN442" t="s">
        <v>393</v>
      </c>
      <c r="AO442" t="s">
        <v>268</v>
      </c>
      <c r="AP442">
        <v>1201</v>
      </c>
      <c r="AQ442" t="s">
        <v>269</v>
      </c>
      <c r="AR442" t="s">
        <v>264</v>
      </c>
      <c r="AU442" t="s">
        <v>264</v>
      </c>
      <c r="AV442" t="s">
        <v>270</v>
      </c>
      <c r="AX442" t="s">
        <v>264</v>
      </c>
      <c r="AY442">
        <v>630900</v>
      </c>
      <c r="AZ442">
        <v>1201.6309000000001</v>
      </c>
      <c r="BA442" s="28" t="s">
        <v>37</v>
      </c>
    </row>
    <row r="443" spans="1:53">
      <c r="A443" t="s">
        <v>1115</v>
      </c>
      <c r="B443" t="s">
        <v>1116</v>
      </c>
      <c r="C443">
        <v>4632280</v>
      </c>
      <c r="D443">
        <v>1201</v>
      </c>
      <c r="E443" s="6">
        <v>44804</v>
      </c>
      <c r="F443" t="s">
        <v>1118</v>
      </c>
      <c r="G443">
        <v>34.229999999999997</v>
      </c>
      <c r="H443">
        <v>34.229999999999997</v>
      </c>
      <c r="I443" t="s">
        <v>263</v>
      </c>
      <c r="O443" t="s">
        <v>264</v>
      </c>
      <c r="Q443" t="s">
        <v>264</v>
      </c>
      <c r="R443" t="s">
        <v>524</v>
      </c>
      <c r="T443" t="s">
        <v>266</v>
      </c>
      <c r="U443" t="s">
        <v>267</v>
      </c>
      <c r="V443" t="s">
        <v>386</v>
      </c>
      <c r="W443" t="s">
        <v>387</v>
      </c>
      <c r="X443">
        <v>1935680</v>
      </c>
      <c r="Y443" s="6">
        <v>44802</v>
      </c>
      <c r="Z443" t="s">
        <v>264</v>
      </c>
      <c r="AA443">
        <v>1</v>
      </c>
      <c r="AB443" t="s">
        <v>264</v>
      </c>
      <c r="AD443" t="s">
        <v>264</v>
      </c>
      <c r="AE443" t="s">
        <v>264</v>
      </c>
      <c r="AF443" t="s">
        <v>264</v>
      </c>
      <c r="AH443" t="s">
        <v>264</v>
      </c>
      <c r="AL443" t="s">
        <v>264</v>
      </c>
      <c r="AM443" s="6">
        <v>44804</v>
      </c>
      <c r="AN443" t="s">
        <v>393</v>
      </c>
      <c r="AO443" t="s">
        <v>268</v>
      </c>
      <c r="AP443">
        <v>1201</v>
      </c>
      <c r="AQ443" t="s">
        <v>269</v>
      </c>
      <c r="AR443" t="s">
        <v>264</v>
      </c>
      <c r="AU443" t="s">
        <v>264</v>
      </c>
      <c r="AV443" t="s">
        <v>270</v>
      </c>
      <c r="AX443" t="s">
        <v>264</v>
      </c>
      <c r="AY443">
        <v>630900</v>
      </c>
      <c r="AZ443">
        <v>1201.6309000000001</v>
      </c>
      <c r="BA443" s="28" t="s">
        <v>37</v>
      </c>
    </row>
    <row r="444" spans="1:53">
      <c r="A444" t="s">
        <v>1115</v>
      </c>
      <c r="B444" t="s">
        <v>1116</v>
      </c>
      <c r="C444">
        <v>4632258</v>
      </c>
      <c r="D444">
        <v>1201</v>
      </c>
      <c r="E444" s="6">
        <v>44804</v>
      </c>
      <c r="F444" t="s">
        <v>1117</v>
      </c>
      <c r="G444" s="29">
        <v>1427.84</v>
      </c>
      <c r="H444" s="29">
        <v>1427.84</v>
      </c>
      <c r="I444" t="s">
        <v>263</v>
      </c>
      <c r="O444" t="s">
        <v>264</v>
      </c>
      <c r="Q444" t="s">
        <v>264</v>
      </c>
      <c r="R444" t="s">
        <v>524</v>
      </c>
      <c r="T444" t="s">
        <v>266</v>
      </c>
      <c r="U444" t="s">
        <v>267</v>
      </c>
      <c r="V444" t="s">
        <v>386</v>
      </c>
      <c r="W444" t="s">
        <v>387</v>
      </c>
      <c r="X444">
        <v>1935652</v>
      </c>
      <c r="Y444" s="6">
        <v>44802</v>
      </c>
      <c r="Z444" t="s">
        <v>264</v>
      </c>
      <c r="AA444">
        <v>2</v>
      </c>
      <c r="AB444" t="s">
        <v>264</v>
      </c>
      <c r="AD444" t="s">
        <v>264</v>
      </c>
      <c r="AE444" t="s">
        <v>264</v>
      </c>
      <c r="AF444" t="s">
        <v>264</v>
      </c>
      <c r="AH444" t="s">
        <v>264</v>
      </c>
      <c r="AL444" t="s">
        <v>264</v>
      </c>
      <c r="AM444" s="6">
        <v>44804</v>
      </c>
      <c r="AN444" t="s">
        <v>393</v>
      </c>
      <c r="AO444" t="s">
        <v>268</v>
      </c>
      <c r="AP444">
        <v>1204</v>
      </c>
      <c r="AQ444" t="s">
        <v>269</v>
      </c>
      <c r="AR444" t="s">
        <v>264</v>
      </c>
      <c r="AU444" t="s">
        <v>264</v>
      </c>
      <c r="AV444" t="s">
        <v>270</v>
      </c>
      <c r="AX444" t="s">
        <v>264</v>
      </c>
      <c r="AY444">
        <v>630900</v>
      </c>
      <c r="AZ444">
        <v>1204.6309000000001</v>
      </c>
      <c r="BA444" s="28" t="s">
        <v>151</v>
      </c>
    </row>
    <row r="445" spans="1:53">
      <c r="A445" t="s">
        <v>384</v>
      </c>
      <c r="B445" t="s">
        <v>385</v>
      </c>
      <c r="C445">
        <v>22001597</v>
      </c>
      <c r="D445">
        <v>1201</v>
      </c>
      <c r="E445" s="6">
        <v>44802</v>
      </c>
      <c r="F445" t="s">
        <v>42</v>
      </c>
      <c r="G445">
        <v>348.2</v>
      </c>
      <c r="H445">
        <v>348.2</v>
      </c>
      <c r="I445" t="s">
        <v>263</v>
      </c>
      <c r="J445" t="s">
        <v>263</v>
      </c>
      <c r="L445" s="29">
        <v>5174295</v>
      </c>
      <c r="N445" s="29">
        <v>5174295</v>
      </c>
      <c r="O445" t="s">
        <v>264</v>
      </c>
      <c r="Q445" t="s">
        <v>264</v>
      </c>
      <c r="R445" t="s">
        <v>265</v>
      </c>
      <c r="S445">
        <v>14860</v>
      </c>
      <c r="T445" t="s">
        <v>266</v>
      </c>
      <c r="U445" t="s">
        <v>267</v>
      </c>
      <c r="V445" t="s">
        <v>386</v>
      </c>
      <c r="W445" t="s">
        <v>387</v>
      </c>
      <c r="X445">
        <v>1935899</v>
      </c>
      <c r="Y445" s="6">
        <v>44802</v>
      </c>
      <c r="Z445" t="s">
        <v>264</v>
      </c>
      <c r="AA445">
        <v>1</v>
      </c>
      <c r="AB445" t="s">
        <v>264</v>
      </c>
      <c r="AD445" t="s">
        <v>264</v>
      </c>
      <c r="AE445" t="s">
        <v>264</v>
      </c>
      <c r="AF445" t="s">
        <v>264</v>
      </c>
      <c r="AH445" t="s">
        <v>264</v>
      </c>
      <c r="AL445" t="s">
        <v>264</v>
      </c>
      <c r="AM445" s="6">
        <v>44802</v>
      </c>
      <c r="AN445" t="s">
        <v>388</v>
      </c>
      <c r="AO445" t="s">
        <v>268</v>
      </c>
      <c r="AP445">
        <v>1201</v>
      </c>
      <c r="AQ445" t="s">
        <v>269</v>
      </c>
      <c r="AR445" t="s">
        <v>1119</v>
      </c>
      <c r="AU445" t="s">
        <v>264</v>
      </c>
      <c r="AV445" t="s">
        <v>270</v>
      </c>
      <c r="AX445" t="s">
        <v>264</v>
      </c>
      <c r="AY445">
        <v>630450</v>
      </c>
      <c r="AZ445">
        <v>1201.6304500000001</v>
      </c>
      <c r="BA445" s="28" t="s">
        <v>41</v>
      </c>
    </row>
    <row r="446" spans="1:53">
      <c r="A446" t="s">
        <v>384</v>
      </c>
      <c r="B446" t="s">
        <v>385</v>
      </c>
      <c r="C446">
        <v>22001597</v>
      </c>
      <c r="D446">
        <v>1201</v>
      </c>
      <c r="E446" s="6">
        <v>44802</v>
      </c>
      <c r="F446" t="s">
        <v>42</v>
      </c>
      <c r="G446">
        <v>409.6</v>
      </c>
      <c r="H446">
        <v>409.6</v>
      </c>
      <c r="I446" t="s">
        <v>263</v>
      </c>
      <c r="J446" t="s">
        <v>263</v>
      </c>
      <c r="L446" s="29">
        <v>6086631</v>
      </c>
      <c r="N446" s="29">
        <v>6086631</v>
      </c>
      <c r="O446" t="s">
        <v>264</v>
      </c>
      <c r="Q446" t="s">
        <v>264</v>
      </c>
      <c r="R446" t="s">
        <v>265</v>
      </c>
      <c r="S446">
        <v>14860</v>
      </c>
      <c r="T446" t="s">
        <v>266</v>
      </c>
      <c r="U446" t="s">
        <v>267</v>
      </c>
      <c r="V446" t="s">
        <v>386</v>
      </c>
      <c r="W446" t="s">
        <v>387</v>
      </c>
      <c r="X446">
        <v>1935899</v>
      </c>
      <c r="Y446" s="6">
        <v>44802</v>
      </c>
      <c r="Z446" t="s">
        <v>264</v>
      </c>
      <c r="AA446">
        <v>2</v>
      </c>
      <c r="AB446" t="s">
        <v>264</v>
      </c>
      <c r="AD446" t="s">
        <v>264</v>
      </c>
      <c r="AE446" t="s">
        <v>264</v>
      </c>
      <c r="AF446" t="s">
        <v>264</v>
      </c>
      <c r="AH446" t="s">
        <v>264</v>
      </c>
      <c r="AL446" t="s">
        <v>264</v>
      </c>
      <c r="AM446" s="6">
        <v>44802</v>
      </c>
      <c r="AN446" t="s">
        <v>388</v>
      </c>
      <c r="AO446" t="s">
        <v>268</v>
      </c>
      <c r="AP446">
        <v>1201</v>
      </c>
      <c r="AQ446" t="s">
        <v>269</v>
      </c>
      <c r="AR446" t="s">
        <v>1120</v>
      </c>
      <c r="AU446" t="s">
        <v>264</v>
      </c>
      <c r="AV446" t="s">
        <v>270</v>
      </c>
      <c r="AX446" t="s">
        <v>264</v>
      </c>
      <c r="AY446">
        <v>630450</v>
      </c>
      <c r="AZ446">
        <v>1201.6304500000001</v>
      </c>
      <c r="BA446" s="28" t="s">
        <v>41</v>
      </c>
    </row>
    <row r="447" spans="1:53">
      <c r="A447" t="s">
        <v>384</v>
      </c>
      <c r="B447" t="s">
        <v>385</v>
      </c>
      <c r="C447">
        <v>22001303</v>
      </c>
      <c r="D447">
        <v>1204</v>
      </c>
      <c r="E447" s="6">
        <v>44795</v>
      </c>
      <c r="F447" t="s">
        <v>42</v>
      </c>
      <c r="G447">
        <v>67.099999999999994</v>
      </c>
      <c r="H447">
        <v>67.099999999999994</v>
      </c>
      <c r="I447" t="s">
        <v>263</v>
      </c>
      <c r="J447" t="s">
        <v>263</v>
      </c>
      <c r="L447" s="29">
        <v>997065</v>
      </c>
      <c r="N447" s="29">
        <v>997065</v>
      </c>
      <c r="O447" t="s">
        <v>264</v>
      </c>
      <c r="Q447" t="s">
        <v>264</v>
      </c>
      <c r="R447" t="s">
        <v>265</v>
      </c>
      <c r="S447">
        <v>14860</v>
      </c>
      <c r="T447" t="s">
        <v>266</v>
      </c>
      <c r="U447" t="s">
        <v>267</v>
      </c>
      <c r="V447" t="s">
        <v>386</v>
      </c>
      <c r="W447" t="s">
        <v>387</v>
      </c>
      <c r="X447">
        <v>1934552</v>
      </c>
      <c r="Y447" s="6">
        <v>44796</v>
      </c>
      <c r="Z447" t="s">
        <v>264</v>
      </c>
      <c r="AA447">
        <v>1</v>
      </c>
      <c r="AB447" t="s">
        <v>264</v>
      </c>
      <c r="AD447" t="s">
        <v>264</v>
      </c>
      <c r="AE447" t="s">
        <v>264</v>
      </c>
      <c r="AF447" t="s">
        <v>264</v>
      </c>
      <c r="AH447" t="s">
        <v>264</v>
      </c>
      <c r="AL447" t="s">
        <v>264</v>
      </c>
      <c r="AM447" s="6">
        <v>44795</v>
      </c>
      <c r="AN447" t="s">
        <v>388</v>
      </c>
      <c r="AO447" t="s">
        <v>268</v>
      </c>
      <c r="AP447">
        <v>1204</v>
      </c>
      <c r="AQ447" t="s">
        <v>269</v>
      </c>
      <c r="AR447" t="s">
        <v>518</v>
      </c>
      <c r="AU447" t="s">
        <v>264</v>
      </c>
      <c r="AV447" t="s">
        <v>270</v>
      </c>
      <c r="AX447" t="s">
        <v>264</v>
      </c>
      <c r="AY447">
        <v>630450</v>
      </c>
      <c r="AZ447">
        <v>1204.6304500000001</v>
      </c>
      <c r="BA447" s="28" t="s">
        <v>157</v>
      </c>
    </row>
    <row r="448" spans="1:53">
      <c r="A448" t="s">
        <v>384</v>
      </c>
      <c r="B448" t="s">
        <v>385</v>
      </c>
      <c r="C448">
        <v>22001303</v>
      </c>
      <c r="D448">
        <v>1204</v>
      </c>
      <c r="E448" s="6">
        <v>44795</v>
      </c>
      <c r="F448" t="s">
        <v>42</v>
      </c>
      <c r="G448">
        <v>32.76</v>
      </c>
      <c r="H448">
        <v>32.76</v>
      </c>
      <c r="I448" t="s">
        <v>263</v>
      </c>
      <c r="J448" t="s">
        <v>263</v>
      </c>
      <c r="L448" s="29">
        <v>486783</v>
      </c>
      <c r="N448" s="29">
        <v>486783</v>
      </c>
      <c r="O448" t="s">
        <v>264</v>
      </c>
      <c r="Q448" t="s">
        <v>264</v>
      </c>
      <c r="R448" t="s">
        <v>265</v>
      </c>
      <c r="S448">
        <v>14860</v>
      </c>
      <c r="T448" t="s">
        <v>266</v>
      </c>
      <c r="U448" t="s">
        <v>267</v>
      </c>
      <c r="V448" t="s">
        <v>386</v>
      </c>
      <c r="W448" t="s">
        <v>387</v>
      </c>
      <c r="X448">
        <v>1934552</v>
      </c>
      <c r="Y448" s="6">
        <v>44796</v>
      </c>
      <c r="Z448" t="s">
        <v>264</v>
      </c>
      <c r="AA448">
        <v>2</v>
      </c>
      <c r="AB448" t="s">
        <v>264</v>
      </c>
      <c r="AD448" t="s">
        <v>264</v>
      </c>
      <c r="AE448" t="s">
        <v>264</v>
      </c>
      <c r="AF448" t="s">
        <v>264</v>
      </c>
      <c r="AH448" t="s">
        <v>264</v>
      </c>
      <c r="AL448" t="s">
        <v>264</v>
      </c>
      <c r="AM448" s="6">
        <v>44795</v>
      </c>
      <c r="AN448" t="s">
        <v>388</v>
      </c>
      <c r="AO448" t="s">
        <v>268</v>
      </c>
      <c r="AP448">
        <v>1204</v>
      </c>
      <c r="AQ448" t="s">
        <v>269</v>
      </c>
      <c r="AR448" t="s">
        <v>519</v>
      </c>
      <c r="AU448" t="s">
        <v>264</v>
      </c>
      <c r="AV448" t="s">
        <v>270</v>
      </c>
      <c r="AX448" t="s">
        <v>264</v>
      </c>
      <c r="AY448">
        <v>630450</v>
      </c>
      <c r="AZ448">
        <v>1204.6304500000001</v>
      </c>
      <c r="BA448" s="28" t="s">
        <v>157</v>
      </c>
    </row>
    <row r="449" spans="1:53">
      <c r="A449" t="s">
        <v>384</v>
      </c>
      <c r="B449" t="s">
        <v>385</v>
      </c>
      <c r="C449">
        <v>22001303</v>
      </c>
      <c r="D449">
        <v>1204</v>
      </c>
      <c r="E449" s="6">
        <v>44795</v>
      </c>
      <c r="F449" t="s">
        <v>42</v>
      </c>
      <c r="G449">
        <v>52.6</v>
      </c>
      <c r="H449">
        <v>52.6</v>
      </c>
      <c r="I449" t="s">
        <v>263</v>
      </c>
      <c r="J449" t="s">
        <v>263</v>
      </c>
      <c r="L449" s="29">
        <v>781740</v>
      </c>
      <c r="N449" s="29">
        <v>781740</v>
      </c>
      <c r="O449" t="s">
        <v>264</v>
      </c>
      <c r="Q449" t="s">
        <v>264</v>
      </c>
      <c r="R449" t="s">
        <v>265</v>
      </c>
      <c r="S449">
        <v>14860</v>
      </c>
      <c r="T449" t="s">
        <v>266</v>
      </c>
      <c r="U449" t="s">
        <v>267</v>
      </c>
      <c r="V449" t="s">
        <v>386</v>
      </c>
      <c r="W449" t="s">
        <v>387</v>
      </c>
      <c r="X449">
        <v>1934552</v>
      </c>
      <c r="Y449" s="6">
        <v>44796</v>
      </c>
      <c r="Z449" t="s">
        <v>264</v>
      </c>
      <c r="AA449">
        <v>3</v>
      </c>
      <c r="AB449" t="s">
        <v>264</v>
      </c>
      <c r="AD449" t="s">
        <v>264</v>
      </c>
      <c r="AE449" t="s">
        <v>264</v>
      </c>
      <c r="AF449" t="s">
        <v>264</v>
      </c>
      <c r="AH449" t="s">
        <v>264</v>
      </c>
      <c r="AL449" t="s">
        <v>264</v>
      </c>
      <c r="AM449" s="6">
        <v>44795</v>
      </c>
      <c r="AN449" t="s">
        <v>388</v>
      </c>
      <c r="AO449" t="s">
        <v>268</v>
      </c>
      <c r="AP449">
        <v>1204</v>
      </c>
      <c r="AQ449" t="s">
        <v>269</v>
      </c>
      <c r="AR449" t="s">
        <v>520</v>
      </c>
      <c r="AU449" t="s">
        <v>264</v>
      </c>
      <c r="AV449" t="s">
        <v>270</v>
      </c>
      <c r="AX449" t="s">
        <v>264</v>
      </c>
      <c r="AY449">
        <v>630450</v>
      </c>
      <c r="AZ449">
        <v>1204.6304500000001</v>
      </c>
      <c r="BA449" s="28" t="s">
        <v>157</v>
      </c>
    </row>
    <row r="450" spans="1:53">
      <c r="A450" t="s">
        <v>521</v>
      </c>
      <c r="B450" t="s">
        <v>522</v>
      </c>
      <c r="C450">
        <v>22001843</v>
      </c>
      <c r="D450">
        <v>1201</v>
      </c>
      <c r="E450" s="6">
        <v>44774</v>
      </c>
      <c r="F450" t="s">
        <v>523</v>
      </c>
      <c r="G450">
        <v>26.28</v>
      </c>
      <c r="H450">
        <v>26.28</v>
      </c>
      <c r="I450" t="s">
        <v>263</v>
      </c>
      <c r="O450" t="s">
        <v>264</v>
      </c>
      <c r="Q450" t="s">
        <v>264</v>
      </c>
      <c r="R450" t="s">
        <v>524</v>
      </c>
      <c r="T450" t="s">
        <v>266</v>
      </c>
      <c r="U450" t="s">
        <v>267</v>
      </c>
      <c r="V450" t="s">
        <v>525</v>
      </c>
      <c r="W450" t="s">
        <v>526</v>
      </c>
      <c r="X450">
        <v>1927080</v>
      </c>
      <c r="Y450" s="6">
        <v>44777</v>
      </c>
      <c r="Z450" t="s">
        <v>264</v>
      </c>
      <c r="AA450">
        <v>2</v>
      </c>
      <c r="AB450" t="s">
        <v>264</v>
      </c>
      <c r="AD450" t="s">
        <v>264</v>
      </c>
      <c r="AE450" t="s">
        <v>264</v>
      </c>
      <c r="AF450" t="s">
        <v>264</v>
      </c>
      <c r="AG450">
        <v>297</v>
      </c>
      <c r="AH450" t="s">
        <v>264</v>
      </c>
      <c r="AL450" t="s">
        <v>264</v>
      </c>
      <c r="AM450" s="6">
        <v>44774</v>
      </c>
      <c r="AN450" t="s">
        <v>527</v>
      </c>
      <c r="AO450" t="s">
        <v>268</v>
      </c>
      <c r="AP450">
        <v>1201</v>
      </c>
      <c r="AQ450" t="s">
        <v>269</v>
      </c>
      <c r="AR450">
        <v>270466</v>
      </c>
      <c r="AU450" t="s">
        <v>264</v>
      </c>
      <c r="AV450" t="s">
        <v>270</v>
      </c>
      <c r="AX450" t="s">
        <v>264</v>
      </c>
      <c r="AY450">
        <v>631100</v>
      </c>
      <c r="AZ450">
        <v>1201.6311000000001</v>
      </c>
      <c r="BA450" s="28" t="s">
        <v>43</v>
      </c>
    </row>
    <row r="451" spans="1:53">
      <c r="A451" t="s">
        <v>521</v>
      </c>
      <c r="B451" t="s">
        <v>522</v>
      </c>
      <c r="C451">
        <v>22001843</v>
      </c>
      <c r="D451">
        <v>1201</v>
      </c>
      <c r="E451" s="6">
        <v>44774</v>
      </c>
      <c r="F451" t="s">
        <v>523</v>
      </c>
      <c r="G451">
        <v>18.79</v>
      </c>
      <c r="H451">
        <v>18.79</v>
      </c>
      <c r="I451" t="s">
        <v>263</v>
      </c>
      <c r="O451" t="s">
        <v>264</v>
      </c>
      <c r="Q451" t="s">
        <v>264</v>
      </c>
      <c r="R451" t="s">
        <v>524</v>
      </c>
      <c r="T451" t="s">
        <v>266</v>
      </c>
      <c r="U451" t="s">
        <v>267</v>
      </c>
      <c r="V451" t="s">
        <v>525</v>
      </c>
      <c r="W451" t="s">
        <v>526</v>
      </c>
      <c r="X451">
        <v>1927080</v>
      </c>
      <c r="Y451" s="6">
        <v>44777</v>
      </c>
      <c r="Z451" t="s">
        <v>264</v>
      </c>
      <c r="AA451">
        <v>4</v>
      </c>
      <c r="AB451" t="s">
        <v>264</v>
      </c>
      <c r="AD451" t="s">
        <v>264</v>
      </c>
      <c r="AE451" t="s">
        <v>264</v>
      </c>
      <c r="AF451" t="s">
        <v>264</v>
      </c>
      <c r="AG451">
        <v>213</v>
      </c>
      <c r="AH451" t="s">
        <v>264</v>
      </c>
      <c r="AL451" t="s">
        <v>264</v>
      </c>
      <c r="AM451" s="6">
        <v>44774</v>
      </c>
      <c r="AN451" t="s">
        <v>527</v>
      </c>
      <c r="AO451" t="s">
        <v>268</v>
      </c>
      <c r="AP451">
        <v>1201</v>
      </c>
      <c r="AQ451" t="s">
        <v>269</v>
      </c>
      <c r="AR451">
        <v>270466</v>
      </c>
      <c r="AU451" t="s">
        <v>264</v>
      </c>
      <c r="AV451" t="s">
        <v>270</v>
      </c>
      <c r="AX451" t="s">
        <v>264</v>
      </c>
      <c r="AY451">
        <v>631100</v>
      </c>
      <c r="AZ451">
        <v>1201.6311000000001</v>
      </c>
      <c r="BA451" s="28" t="s">
        <v>43</v>
      </c>
    </row>
    <row r="452" spans="1:53">
      <c r="A452" t="s">
        <v>271</v>
      </c>
      <c r="B452" t="s">
        <v>272</v>
      </c>
      <c r="C452">
        <v>22010574</v>
      </c>
      <c r="D452">
        <v>1201</v>
      </c>
      <c r="E452" s="6">
        <v>44774</v>
      </c>
      <c r="F452" t="s">
        <v>528</v>
      </c>
      <c r="G452">
        <v>0.03</v>
      </c>
      <c r="H452">
        <v>0.03</v>
      </c>
      <c r="I452" t="s">
        <v>263</v>
      </c>
      <c r="O452" t="s">
        <v>264</v>
      </c>
      <c r="Q452" t="s">
        <v>264</v>
      </c>
      <c r="R452" t="s">
        <v>524</v>
      </c>
      <c r="T452" t="s">
        <v>266</v>
      </c>
      <c r="U452" t="s">
        <v>267</v>
      </c>
      <c r="V452" t="s">
        <v>273</v>
      </c>
      <c r="W452" t="s">
        <v>274</v>
      </c>
      <c r="X452">
        <v>1924862</v>
      </c>
      <c r="Y452" s="6">
        <v>44770</v>
      </c>
      <c r="Z452" t="s">
        <v>264</v>
      </c>
      <c r="AA452">
        <v>1</v>
      </c>
      <c r="AB452" t="s">
        <v>264</v>
      </c>
      <c r="AD452" t="s">
        <v>264</v>
      </c>
      <c r="AE452" t="s">
        <v>264</v>
      </c>
      <c r="AF452" t="s">
        <v>264</v>
      </c>
      <c r="AH452" t="s">
        <v>264</v>
      </c>
      <c r="AI452">
        <v>57314123</v>
      </c>
      <c r="AJ452" t="s">
        <v>528</v>
      </c>
      <c r="AL452" t="s">
        <v>457</v>
      </c>
      <c r="AM452" s="6">
        <v>44774</v>
      </c>
      <c r="AN452" t="s">
        <v>529</v>
      </c>
      <c r="AO452" t="s">
        <v>268</v>
      </c>
      <c r="AP452">
        <v>1201</v>
      </c>
      <c r="AQ452" t="s">
        <v>269</v>
      </c>
      <c r="AR452" t="s">
        <v>530</v>
      </c>
      <c r="AU452" t="s">
        <v>264</v>
      </c>
      <c r="AV452" t="s">
        <v>270</v>
      </c>
      <c r="AX452" t="s">
        <v>264</v>
      </c>
      <c r="AY452">
        <v>631100</v>
      </c>
      <c r="AZ452">
        <v>1201.6311000000001</v>
      </c>
      <c r="BA452" s="28" t="s">
        <v>43</v>
      </c>
    </row>
    <row r="453" spans="1:53">
      <c r="A453" t="s">
        <v>271</v>
      </c>
      <c r="B453" t="s">
        <v>272</v>
      </c>
      <c r="C453">
        <v>22010619</v>
      </c>
      <c r="D453">
        <v>1201</v>
      </c>
      <c r="E453" s="6">
        <v>44774</v>
      </c>
      <c r="F453" t="s">
        <v>531</v>
      </c>
      <c r="G453">
        <v>63.24</v>
      </c>
      <c r="H453">
        <v>63.24</v>
      </c>
      <c r="I453" t="s">
        <v>263</v>
      </c>
      <c r="J453" t="s">
        <v>263</v>
      </c>
      <c r="L453" s="29">
        <v>941196</v>
      </c>
      <c r="N453" s="29">
        <v>941196</v>
      </c>
      <c r="O453" t="s">
        <v>264</v>
      </c>
      <c r="Q453" t="s">
        <v>264</v>
      </c>
      <c r="R453" t="s">
        <v>265</v>
      </c>
      <c r="S453">
        <v>14882</v>
      </c>
      <c r="T453" t="s">
        <v>266</v>
      </c>
      <c r="U453" t="s">
        <v>267</v>
      </c>
      <c r="V453" t="s">
        <v>273</v>
      </c>
      <c r="W453" t="s">
        <v>274</v>
      </c>
      <c r="X453">
        <v>1925410</v>
      </c>
      <c r="Y453" s="6">
        <v>44774</v>
      </c>
      <c r="Z453" t="s">
        <v>264</v>
      </c>
      <c r="AA453">
        <v>1</v>
      </c>
      <c r="AB453" t="s">
        <v>264</v>
      </c>
      <c r="AD453" t="s">
        <v>264</v>
      </c>
      <c r="AE453" t="s">
        <v>264</v>
      </c>
      <c r="AF453" t="s">
        <v>264</v>
      </c>
      <c r="AG453">
        <v>1</v>
      </c>
      <c r="AH453" t="s">
        <v>264</v>
      </c>
      <c r="AI453">
        <v>54000160</v>
      </c>
      <c r="AJ453" t="s">
        <v>531</v>
      </c>
      <c r="AL453" t="s">
        <v>532</v>
      </c>
      <c r="AM453" s="6">
        <v>44726</v>
      </c>
      <c r="AN453" t="s">
        <v>533</v>
      </c>
      <c r="AO453" t="s">
        <v>268</v>
      </c>
      <c r="AP453">
        <v>1201</v>
      </c>
      <c r="AQ453" t="s">
        <v>269</v>
      </c>
      <c r="AR453" t="s">
        <v>534</v>
      </c>
      <c r="AU453" t="s">
        <v>264</v>
      </c>
      <c r="AV453" t="s">
        <v>270</v>
      </c>
      <c r="AX453">
        <v>22002665</v>
      </c>
      <c r="AY453">
        <v>631100</v>
      </c>
      <c r="AZ453">
        <v>1201.6311000000001</v>
      </c>
      <c r="BA453" s="28" t="s">
        <v>43</v>
      </c>
    </row>
    <row r="454" spans="1:53">
      <c r="A454" t="s">
        <v>271</v>
      </c>
      <c r="B454" t="s">
        <v>272</v>
      </c>
      <c r="C454">
        <v>22010620</v>
      </c>
      <c r="D454">
        <v>1201</v>
      </c>
      <c r="E454" s="6">
        <v>44774</v>
      </c>
      <c r="F454" t="s">
        <v>531</v>
      </c>
      <c r="G454">
        <v>19.489999999999998</v>
      </c>
      <c r="H454">
        <v>19.489999999999998</v>
      </c>
      <c r="I454" t="s">
        <v>263</v>
      </c>
      <c r="J454" t="s">
        <v>263</v>
      </c>
      <c r="L454" s="29">
        <v>290000</v>
      </c>
      <c r="N454" s="29">
        <v>290000</v>
      </c>
      <c r="O454" t="s">
        <v>264</v>
      </c>
      <c r="Q454" t="s">
        <v>264</v>
      </c>
      <c r="R454" t="s">
        <v>265</v>
      </c>
      <c r="S454">
        <v>14882</v>
      </c>
      <c r="T454" t="s">
        <v>266</v>
      </c>
      <c r="U454" t="s">
        <v>267</v>
      </c>
      <c r="V454" t="s">
        <v>273</v>
      </c>
      <c r="W454" t="s">
        <v>274</v>
      </c>
      <c r="X454">
        <v>1925410</v>
      </c>
      <c r="Y454" s="6">
        <v>44774</v>
      </c>
      <c r="Z454" t="s">
        <v>264</v>
      </c>
      <c r="AA454">
        <v>1</v>
      </c>
      <c r="AB454" t="s">
        <v>264</v>
      </c>
      <c r="AD454" t="s">
        <v>264</v>
      </c>
      <c r="AE454" t="s">
        <v>264</v>
      </c>
      <c r="AF454" t="s">
        <v>264</v>
      </c>
      <c r="AG454">
        <v>1</v>
      </c>
      <c r="AH454" t="s">
        <v>264</v>
      </c>
      <c r="AI454">
        <v>54000160</v>
      </c>
      <c r="AJ454" t="s">
        <v>531</v>
      </c>
      <c r="AL454" t="s">
        <v>535</v>
      </c>
      <c r="AM454" s="6">
        <v>44729</v>
      </c>
      <c r="AN454" t="s">
        <v>533</v>
      </c>
      <c r="AO454" t="s">
        <v>268</v>
      </c>
      <c r="AP454">
        <v>1201</v>
      </c>
      <c r="AQ454" t="s">
        <v>269</v>
      </c>
      <c r="AR454" t="s">
        <v>534</v>
      </c>
      <c r="AU454" t="s">
        <v>264</v>
      </c>
      <c r="AV454" t="s">
        <v>270</v>
      </c>
      <c r="AX454">
        <v>22002665</v>
      </c>
      <c r="AY454">
        <v>631100</v>
      </c>
      <c r="AZ454">
        <v>1201.6311000000001</v>
      </c>
      <c r="BA454" s="28" t="s">
        <v>43</v>
      </c>
    </row>
    <row r="455" spans="1:53">
      <c r="A455" t="s">
        <v>271</v>
      </c>
      <c r="B455" t="s">
        <v>272</v>
      </c>
      <c r="C455">
        <v>22010621</v>
      </c>
      <c r="D455">
        <v>1201</v>
      </c>
      <c r="E455" s="6">
        <v>44774</v>
      </c>
      <c r="F455" t="s">
        <v>531</v>
      </c>
      <c r="G455">
        <v>6.11</v>
      </c>
      <c r="H455">
        <v>6.11</v>
      </c>
      <c r="I455" t="s">
        <v>263</v>
      </c>
      <c r="J455" t="s">
        <v>263</v>
      </c>
      <c r="L455" s="29">
        <v>91000</v>
      </c>
      <c r="N455" s="29">
        <v>91000</v>
      </c>
      <c r="O455" t="s">
        <v>264</v>
      </c>
      <c r="Q455" t="s">
        <v>264</v>
      </c>
      <c r="R455" t="s">
        <v>265</v>
      </c>
      <c r="S455">
        <v>14882</v>
      </c>
      <c r="T455" t="s">
        <v>266</v>
      </c>
      <c r="U455" t="s">
        <v>267</v>
      </c>
      <c r="V455" t="s">
        <v>273</v>
      </c>
      <c r="W455" t="s">
        <v>274</v>
      </c>
      <c r="X455">
        <v>1925410</v>
      </c>
      <c r="Y455" s="6">
        <v>44774</v>
      </c>
      <c r="Z455" t="s">
        <v>264</v>
      </c>
      <c r="AA455">
        <v>1</v>
      </c>
      <c r="AB455" t="s">
        <v>264</v>
      </c>
      <c r="AD455" t="s">
        <v>264</v>
      </c>
      <c r="AE455" t="s">
        <v>264</v>
      </c>
      <c r="AF455" t="s">
        <v>264</v>
      </c>
      <c r="AG455">
        <v>1</v>
      </c>
      <c r="AH455" t="s">
        <v>264</v>
      </c>
      <c r="AI455">
        <v>54000160</v>
      </c>
      <c r="AJ455" t="s">
        <v>531</v>
      </c>
      <c r="AL455" t="s">
        <v>535</v>
      </c>
      <c r="AM455" s="6">
        <v>44729</v>
      </c>
      <c r="AN455" t="s">
        <v>533</v>
      </c>
      <c r="AO455" t="s">
        <v>268</v>
      </c>
      <c r="AP455">
        <v>1201</v>
      </c>
      <c r="AQ455" t="s">
        <v>269</v>
      </c>
      <c r="AR455" t="s">
        <v>534</v>
      </c>
      <c r="AU455" t="s">
        <v>264</v>
      </c>
      <c r="AV455" t="s">
        <v>270</v>
      </c>
      <c r="AX455">
        <v>22002665</v>
      </c>
      <c r="AY455">
        <v>631100</v>
      </c>
      <c r="AZ455">
        <v>1201.6311000000001</v>
      </c>
      <c r="BA455" s="28" t="s">
        <v>43</v>
      </c>
    </row>
    <row r="456" spans="1:53">
      <c r="A456" t="s">
        <v>271</v>
      </c>
      <c r="B456" t="s">
        <v>272</v>
      </c>
      <c r="C456">
        <v>22010622</v>
      </c>
      <c r="D456">
        <v>1201</v>
      </c>
      <c r="E456" s="6">
        <v>44774</v>
      </c>
      <c r="F456" t="s">
        <v>536</v>
      </c>
      <c r="G456">
        <v>559.74</v>
      </c>
      <c r="H456">
        <v>559.74</v>
      </c>
      <c r="I456" t="s">
        <v>263</v>
      </c>
      <c r="J456" t="s">
        <v>263</v>
      </c>
      <c r="L456" s="29">
        <v>8330000</v>
      </c>
      <c r="N456" s="29">
        <v>8330000</v>
      </c>
      <c r="O456" t="s">
        <v>264</v>
      </c>
      <c r="Q456" t="s">
        <v>264</v>
      </c>
      <c r="R456" t="s">
        <v>265</v>
      </c>
      <c r="S456">
        <v>14882</v>
      </c>
      <c r="T456" t="s">
        <v>266</v>
      </c>
      <c r="U456" t="s">
        <v>267</v>
      </c>
      <c r="V456" t="s">
        <v>273</v>
      </c>
      <c r="W456" t="s">
        <v>274</v>
      </c>
      <c r="X456">
        <v>1925425</v>
      </c>
      <c r="Y456" s="6">
        <v>44774</v>
      </c>
      <c r="Z456" t="s">
        <v>264</v>
      </c>
      <c r="AA456">
        <v>1</v>
      </c>
      <c r="AB456" t="s">
        <v>264</v>
      </c>
      <c r="AD456" t="s">
        <v>264</v>
      </c>
      <c r="AE456" t="s">
        <v>264</v>
      </c>
      <c r="AF456" t="s">
        <v>264</v>
      </c>
      <c r="AG456">
        <v>4</v>
      </c>
      <c r="AH456" t="s">
        <v>264</v>
      </c>
      <c r="AI456">
        <v>57323901</v>
      </c>
      <c r="AJ456" t="s">
        <v>536</v>
      </c>
      <c r="AL456" t="s">
        <v>537</v>
      </c>
      <c r="AM456" s="6">
        <v>44708</v>
      </c>
      <c r="AN456" t="s">
        <v>533</v>
      </c>
      <c r="AO456" t="s">
        <v>268</v>
      </c>
      <c r="AP456">
        <v>1201</v>
      </c>
      <c r="AQ456" t="s">
        <v>269</v>
      </c>
      <c r="AR456" t="s">
        <v>538</v>
      </c>
      <c r="AU456" t="s">
        <v>264</v>
      </c>
      <c r="AV456" t="s">
        <v>270</v>
      </c>
      <c r="AX456">
        <v>22002394</v>
      </c>
      <c r="AY456">
        <v>631100</v>
      </c>
      <c r="AZ456">
        <v>1201.6311000000001</v>
      </c>
      <c r="BA456" s="28" t="s">
        <v>43</v>
      </c>
    </row>
    <row r="457" spans="1:53">
      <c r="A457" t="s">
        <v>271</v>
      </c>
      <c r="B457" t="s">
        <v>272</v>
      </c>
      <c r="C457">
        <v>22010623</v>
      </c>
      <c r="D457">
        <v>1201</v>
      </c>
      <c r="E457" s="6">
        <v>44774</v>
      </c>
      <c r="F457" t="s">
        <v>539</v>
      </c>
      <c r="G457">
        <v>688.82</v>
      </c>
      <c r="H457">
        <v>688.82</v>
      </c>
      <c r="I457" t="s">
        <v>263</v>
      </c>
      <c r="J457" t="s">
        <v>263</v>
      </c>
      <c r="L457" s="29">
        <v>10251050</v>
      </c>
      <c r="N457" s="29">
        <v>10251050</v>
      </c>
      <c r="O457" t="s">
        <v>264</v>
      </c>
      <c r="Q457" t="s">
        <v>264</v>
      </c>
      <c r="R457" t="s">
        <v>265</v>
      </c>
      <c r="S457">
        <v>14882</v>
      </c>
      <c r="T457" t="s">
        <v>266</v>
      </c>
      <c r="U457" t="s">
        <v>267</v>
      </c>
      <c r="V457" t="s">
        <v>273</v>
      </c>
      <c r="W457" t="s">
        <v>274</v>
      </c>
      <c r="X457">
        <v>1925425</v>
      </c>
      <c r="Y457" s="6">
        <v>44774</v>
      </c>
      <c r="Z457" t="s">
        <v>264</v>
      </c>
      <c r="AA457">
        <v>1</v>
      </c>
      <c r="AB457" t="s">
        <v>264</v>
      </c>
      <c r="AD457" t="s">
        <v>264</v>
      </c>
      <c r="AE457" t="s">
        <v>264</v>
      </c>
      <c r="AF457" t="s">
        <v>264</v>
      </c>
      <c r="AG457">
        <v>3</v>
      </c>
      <c r="AH457" t="s">
        <v>264</v>
      </c>
      <c r="AI457">
        <v>57358193</v>
      </c>
      <c r="AJ457" t="s">
        <v>539</v>
      </c>
      <c r="AL457" t="s">
        <v>537</v>
      </c>
      <c r="AM457" s="6">
        <v>44708</v>
      </c>
      <c r="AN457" t="s">
        <v>533</v>
      </c>
      <c r="AO457" t="s">
        <v>268</v>
      </c>
      <c r="AP457">
        <v>1201</v>
      </c>
      <c r="AQ457" t="s">
        <v>269</v>
      </c>
      <c r="AR457" t="s">
        <v>538</v>
      </c>
      <c r="AU457" t="s">
        <v>264</v>
      </c>
      <c r="AV457" t="s">
        <v>270</v>
      </c>
      <c r="AX457">
        <v>22002395</v>
      </c>
      <c r="AY457">
        <v>631100</v>
      </c>
      <c r="AZ457">
        <v>1201.6311000000001</v>
      </c>
      <c r="BA457" s="28" t="s">
        <v>43</v>
      </c>
    </row>
    <row r="458" spans="1:53">
      <c r="A458" t="s">
        <v>271</v>
      </c>
      <c r="B458" t="s">
        <v>272</v>
      </c>
      <c r="C458">
        <v>22010624</v>
      </c>
      <c r="D458">
        <v>1201</v>
      </c>
      <c r="E458" s="6">
        <v>44774</v>
      </c>
      <c r="F458" t="s">
        <v>540</v>
      </c>
      <c r="G458">
        <v>26.88</v>
      </c>
      <c r="H458">
        <v>26.88</v>
      </c>
      <c r="I458" t="s">
        <v>263</v>
      </c>
      <c r="J458" t="s">
        <v>263</v>
      </c>
      <c r="L458" s="29">
        <v>400000</v>
      </c>
      <c r="N458" s="29">
        <v>400000</v>
      </c>
      <c r="O458" t="s">
        <v>264</v>
      </c>
      <c r="Q458" t="s">
        <v>264</v>
      </c>
      <c r="R458" t="s">
        <v>265</v>
      </c>
      <c r="S458">
        <v>14882</v>
      </c>
      <c r="T458" t="s">
        <v>266</v>
      </c>
      <c r="U458" t="s">
        <v>267</v>
      </c>
      <c r="V458" t="s">
        <v>273</v>
      </c>
      <c r="W458" t="s">
        <v>274</v>
      </c>
      <c r="X458">
        <v>1925425</v>
      </c>
      <c r="Y458" s="6">
        <v>44774</v>
      </c>
      <c r="Z458" t="s">
        <v>264</v>
      </c>
      <c r="AA458">
        <v>1</v>
      </c>
      <c r="AB458" t="s">
        <v>264</v>
      </c>
      <c r="AD458" t="s">
        <v>264</v>
      </c>
      <c r="AE458" t="s">
        <v>264</v>
      </c>
      <c r="AF458" t="s">
        <v>264</v>
      </c>
      <c r="AG458">
        <v>1</v>
      </c>
      <c r="AH458" t="s">
        <v>264</v>
      </c>
      <c r="AI458">
        <v>56013767</v>
      </c>
      <c r="AJ458" t="s">
        <v>540</v>
      </c>
      <c r="AL458" t="s">
        <v>537</v>
      </c>
      <c r="AM458" s="6">
        <v>44708</v>
      </c>
      <c r="AN458" t="s">
        <v>533</v>
      </c>
      <c r="AO458" t="s">
        <v>268</v>
      </c>
      <c r="AP458">
        <v>1201</v>
      </c>
      <c r="AQ458" t="s">
        <v>269</v>
      </c>
      <c r="AR458" t="s">
        <v>538</v>
      </c>
      <c r="AU458" t="s">
        <v>264</v>
      </c>
      <c r="AV458" t="s">
        <v>270</v>
      </c>
      <c r="AX458">
        <v>22002396</v>
      </c>
      <c r="AY458">
        <v>631100</v>
      </c>
      <c r="AZ458">
        <v>1201.6311000000001</v>
      </c>
      <c r="BA458" s="28" t="s">
        <v>43</v>
      </c>
    </row>
    <row r="459" spans="1:53">
      <c r="A459" t="s">
        <v>271</v>
      </c>
      <c r="B459" t="s">
        <v>272</v>
      </c>
      <c r="C459">
        <v>22010625</v>
      </c>
      <c r="D459">
        <v>1201</v>
      </c>
      <c r="E459" s="6">
        <v>44774</v>
      </c>
      <c r="F459" t="s">
        <v>541</v>
      </c>
      <c r="G459">
        <v>82.12</v>
      </c>
      <c r="H459">
        <v>82.12</v>
      </c>
      <c r="I459" t="s">
        <v>263</v>
      </c>
      <c r="J459" t="s">
        <v>263</v>
      </c>
      <c r="L459" s="29">
        <v>1222165</v>
      </c>
      <c r="N459" s="29">
        <v>1222165</v>
      </c>
      <c r="O459" t="s">
        <v>264</v>
      </c>
      <c r="Q459" t="s">
        <v>264</v>
      </c>
      <c r="R459" t="s">
        <v>265</v>
      </c>
      <c r="S459">
        <v>14882</v>
      </c>
      <c r="T459" t="s">
        <v>266</v>
      </c>
      <c r="U459" t="s">
        <v>267</v>
      </c>
      <c r="V459" t="s">
        <v>273</v>
      </c>
      <c r="W459" t="s">
        <v>274</v>
      </c>
      <c r="X459">
        <v>1925425</v>
      </c>
      <c r="Y459" s="6">
        <v>44774</v>
      </c>
      <c r="Z459" t="s">
        <v>264</v>
      </c>
      <c r="AA459">
        <v>1</v>
      </c>
      <c r="AB459" t="s">
        <v>264</v>
      </c>
      <c r="AD459" t="s">
        <v>264</v>
      </c>
      <c r="AE459" t="s">
        <v>264</v>
      </c>
      <c r="AF459" t="s">
        <v>264</v>
      </c>
      <c r="AG459">
        <v>2</v>
      </c>
      <c r="AH459" t="s">
        <v>264</v>
      </c>
      <c r="AI459">
        <v>57054270</v>
      </c>
      <c r="AJ459" t="s">
        <v>541</v>
      </c>
      <c r="AL459" t="s">
        <v>542</v>
      </c>
      <c r="AM459" s="6">
        <v>44708</v>
      </c>
      <c r="AN459" t="s">
        <v>533</v>
      </c>
      <c r="AO459" t="s">
        <v>268</v>
      </c>
      <c r="AP459">
        <v>1201</v>
      </c>
      <c r="AQ459" t="s">
        <v>269</v>
      </c>
      <c r="AR459" t="s">
        <v>538</v>
      </c>
      <c r="AU459" t="s">
        <v>264</v>
      </c>
      <c r="AV459" t="s">
        <v>270</v>
      </c>
      <c r="AX459">
        <v>22002393</v>
      </c>
      <c r="AY459">
        <v>631100</v>
      </c>
      <c r="AZ459">
        <v>1201.6311000000001</v>
      </c>
      <c r="BA459" s="28" t="s">
        <v>43</v>
      </c>
    </row>
    <row r="460" spans="1:53">
      <c r="A460" t="s">
        <v>271</v>
      </c>
      <c r="B460" t="s">
        <v>272</v>
      </c>
      <c r="C460">
        <v>22010626</v>
      </c>
      <c r="D460">
        <v>1201</v>
      </c>
      <c r="E460" s="6">
        <v>44774</v>
      </c>
      <c r="F460" t="s">
        <v>543</v>
      </c>
      <c r="G460">
        <v>707.75</v>
      </c>
      <c r="H460">
        <v>707.75</v>
      </c>
      <c r="I460" t="s">
        <v>263</v>
      </c>
      <c r="J460" t="s">
        <v>263</v>
      </c>
      <c r="L460" s="29">
        <v>10532720</v>
      </c>
      <c r="N460" s="29">
        <v>10532720</v>
      </c>
      <c r="O460" t="s">
        <v>264</v>
      </c>
      <c r="Q460" t="s">
        <v>264</v>
      </c>
      <c r="R460" t="s">
        <v>265</v>
      </c>
      <c r="S460">
        <v>14882</v>
      </c>
      <c r="T460" t="s">
        <v>266</v>
      </c>
      <c r="U460" t="s">
        <v>267</v>
      </c>
      <c r="V460" t="s">
        <v>273</v>
      </c>
      <c r="W460" t="s">
        <v>274</v>
      </c>
      <c r="X460">
        <v>1925425</v>
      </c>
      <c r="Y460" s="6">
        <v>44774</v>
      </c>
      <c r="Z460" t="s">
        <v>264</v>
      </c>
      <c r="AA460">
        <v>1</v>
      </c>
      <c r="AB460" t="s">
        <v>264</v>
      </c>
      <c r="AD460" t="s">
        <v>264</v>
      </c>
      <c r="AE460" t="s">
        <v>264</v>
      </c>
      <c r="AF460" t="s">
        <v>264</v>
      </c>
      <c r="AG460">
        <v>4</v>
      </c>
      <c r="AH460" t="s">
        <v>264</v>
      </c>
      <c r="AI460">
        <v>57338379</v>
      </c>
      <c r="AJ460" t="s">
        <v>543</v>
      </c>
      <c r="AL460" t="s">
        <v>542</v>
      </c>
      <c r="AM460" s="6">
        <v>44708</v>
      </c>
      <c r="AN460" t="s">
        <v>533</v>
      </c>
      <c r="AO460" t="s">
        <v>268</v>
      </c>
      <c r="AP460">
        <v>1201</v>
      </c>
      <c r="AQ460" t="s">
        <v>269</v>
      </c>
      <c r="AR460" t="s">
        <v>538</v>
      </c>
      <c r="AU460" t="s">
        <v>264</v>
      </c>
      <c r="AV460" t="s">
        <v>270</v>
      </c>
      <c r="AX460">
        <v>22002397</v>
      </c>
      <c r="AY460">
        <v>631100</v>
      </c>
      <c r="AZ460">
        <v>1201.6311000000001</v>
      </c>
      <c r="BA460" s="28" t="s">
        <v>43</v>
      </c>
    </row>
    <row r="461" spans="1:53">
      <c r="A461" t="s">
        <v>271</v>
      </c>
      <c r="B461" t="s">
        <v>272</v>
      </c>
      <c r="C461">
        <v>22010627</v>
      </c>
      <c r="D461">
        <v>1201</v>
      </c>
      <c r="E461" s="6">
        <v>44774</v>
      </c>
      <c r="F461" t="s">
        <v>544</v>
      </c>
      <c r="G461">
        <v>379.47</v>
      </c>
      <c r="H461">
        <v>379.47</v>
      </c>
      <c r="I461" t="s">
        <v>263</v>
      </c>
      <c r="J461" t="s">
        <v>263</v>
      </c>
      <c r="L461" s="29">
        <v>5647340</v>
      </c>
      <c r="N461" s="29">
        <v>5647340</v>
      </c>
      <c r="O461" t="s">
        <v>264</v>
      </c>
      <c r="Q461" t="s">
        <v>264</v>
      </c>
      <c r="R461" t="s">
        <v>265</v>
      </c>
      <c r="S461">
        <v>14882</v>
      </c>
      <c r="T461" t="s">
        <v>266</v>
      </c>
      <c r="U461" t="s">
        <v>267</v>
      </c>
      <c r="V461" t="s">
        <v>273</v>
      </c>
      <c r="W461" t="s">
        <v>274</v>
      </c>
      <c r="X461">
        <v>1925425</v>
      </c>
      <c r="Y461" s="6">
        <v>44774</v>
      </c>
      <c r="Z461" t="s">
        <v>264</v>
      </c>
      <c r="AA461">
        <v>1</v>
      </c>
      <c r="AB461" t="s">
        <v>264</v>
      </c>
      <c r="AD461" t="s">
        <v>264</v>
      </c>
      <c r="AE461" t="s">
        <v>264</v>
      </c>
      <c r="AF461" t="s">
        <v>264</v>
      </c>
      <c r="AG461">
        <v>1</v>
      </c>
      <c r="AH461" t="s">
        <v>264</v>
      </c>
      <c r="AI461">
        <v>55325144</v>
      </c>
      <c r="AJ461" t="s">
        <v>544</v>
      </c>
      <c r="AL461" t="s">
        <v>542</v>
      </c>
      <c r="AM461" s="6">
        <v>44708</v>
      </c>
      <c r="AN461" t="s">
        <v>533</v>
      </c>
      <c r="AO461" t="s">
        <v>268</v>
      </c>
      <c r="AP461">
        <v>1201</v>
      </c>
      <c r="AQ461" t="s">
        <v>269</v>
      </c>
      <c r="AR461" t="s">
        <v>538</v>
      </c>
      <c r="AU461" t="s">
        <v>264</v>
      </c>
      <c r="AV461" t="s">
        <v>270</v>
      </c>
      <c r="AX461">
        <v>22002398</v>
      </c>
      <c r="AY461">
        <v>631100</v>
      </c>
      <c r="AZ461">
        <v>1201.6311000000001</v>
      </c>
      <c r="BA461" s="28" t="s">
        <v>43</v>
      </c>
    </row>
    <row r="462" spans="1:53">
      <c r="A462" t="s">
        <v>271</v>
      </c>
      <c r="B462" t="s">
        <v>272</v>
      </c>
      <c r="C462">
        <v>22010627</v>
      </c>
      <c r="D462">
        <v>1201</v>
      </c>
      <c r="E462" s="6">
        <v>44774</v>
      </c>
      <c r="F462" t="s">
        <v>544</v>
      </c>
      <c r="G462">
        <v>0.67</v>
      </c>
      <c r="H462">
        <v>0.67</v>
      </c>
      <c r="I462" t="s">
        <v>263</v>
      </c>
      <c r="J462" t="s">
        <v>263</v>
      </c>
      <c r="L462" s="29">
        <v>10000</v>
      </c>
      <c r="N462" s="29">
        <v>10000</v>
      </c>
      <c r="O462" t="s">
        <v>264</v>
      </c>
      <c r="Q462" t="s">
        <v>264</v>
      </c>
      <c r="R462" t="s">
        <v>265</v>
      </c>
      <c r="S462">
        <v>14882</v>
      </c>
      <c r="T462" t="s">
        <v>266</v>
      </c>
      <c r="U462" t="s">
        <v>267</v>
      </c>
      <c r="V462" t="s">
        <v>273</v>
      </c>
      <c r="W462" t="s">
        <v>274</v>
      </c>
      <c r="X462">
        <v>1925425</v>
      </c>
      <c r="Y462" s="6">
        <v>44774</v>
      </c>
      <c r="Z462" t="s">
        <v>264</v>
      </c>
      <c r="AA462">
        <v>3</v>
      </c>
      <c r="AB462" t="s">
        <v>264</v>
      </c>
      <c r="AD462" t="s">
        <v>264</v>
      </c>
      <c r="AE462" t="s">
        <v>264</v>
      </c>
      <c r="AF462" t="s">
        <v>264</v>
      </c>
      <c r="AG462">
        <v>1</v>
      </c>
      <c r="AH462" t="s">
        <v>264</v>
      </c>
      <c r="AI462">
        <v>55325144</v>
      </c>
      <c r="AJ462" t="s">
        <v>544</v>
      </c>
      <c r="AL462" t="s">
        <v>542</v>
      </c>
      <c r="AM462" s="6">
        <v>44708</v>
      </c>
      <c r="AN462" t="s">
        <v>533</v>
      </c>
      <c r="AO462" t="s">
        <v>268</v>
      </c>
      <c r="AP462">
        <v>1201</v>
      </c>
      <c r="AQ462" t="s">
        <v>269</v>
      </c>
      <c r="AR462" t="s">
        <v>538</v>
      </c>
      <c r="AU462" t="s">
        <v>264</v>
      </c>
      <c r="AV462" t="s">
        <v>270</v>
      </c>
      <c r="AX462">
        <v>22002398</v>
      </c>
      <c r="AY462">
        <v>631100</v>
      </c>
      <c r="AZ462">
        <v>1201.6311000000001</v>
      </c>
      <c r="BA462" s="28" t="s">
        <v>43</v>
      </c>
    </row>
    <row r="463" spans="1:53">
      <c r="A463" t="s">
        <v>271</v>
      </c>
      <c r="B463" t="s">
        <v>272</v>
      </c>
      <c r="C463">
        <v>22010628</v>
      </c>
      <c r="D463">
        <v>1201</v>
      </c>
      <c r="E463" s="6">
        <v>44774</v>
      </c>
      <c r="F463" t="s">
        <v>536</v>
      </c>
      <c r="G463">
        <v>65.58</v>
      </c>
      <c r="H463">
        <v>65.58</v>
      </c>
      <c r="I463" t="s">
        <v>263</v>
      </c>
      <c r="J463" t="s">
        <v>263</v>
      </c>
      <c r="L463" s="29">
        <v>976000</v>
      </c>
      <c r="N463" s="29">
        <v>976000</v>
      </c>
      <c r="O463" t="s">
        <v>264</v>
      </c>
      <c r="Q463" t="s">
        <v>264</v>
      </c>
      <c r="R463" t="s">
        <v>265</v>
      </c>
      <c r="S463">
        <v>14882</v>
      </c>
      <c r="T463" t="s">
        <v>266</v>
      </c>
      <c r="U463" t="s">
        <v>267</v>
      </c>
      <c r="V463" t="s">
        <v>273</v>
      </c>
      <c r="W463" t="s">
        <v>274</v>
      </c>
      <c r="X463">
        <v>1925425</v>
      </c>
      <c r="Y463" s="6">
        <v>44774</v>
      </c>
      <c r="Z463" t="s">
        <v>264</v>
      </c>
      <c r="AA463">
        <v>1</v>
      </c>
      <c r="AB463" t="s">
        <v>264</v>
      </c>
      <c r="AD463" t="s">
        <v>264</v>
      </c>
      <c r="AE463" t="s">
        <v>264</v>
      </c>
      <c r="AF463" t="s">
        <v>264</v>
      </c>
      <c r="AG463">
        <v>2</v>
      </c>
      <c r="AH463" t="s">
        <v>264</v>
      </c>
      <c r="AI463">
        <v>57323901</v>
      </c>
      <c r="AJ463" t="s">
        <v>536</v>
      </c>
      <c r="AL463" t="s">
        <v>545</v>
      </c>
      <c r="AM463" s="6">
        <v>44708</v>
      </c>
      <c r="AN463" t="s">
        <v>533</v>
      </c>
      <c r="AO463" t="s">
        <v>268</v>
      </c>
      <c r="AP463">
        <v>1201</v>
      </c>
      <c r="AQ463" t="s">
        <v>269</v>
      </c>
      <c r="AR463" t="s">
        <v>538</v>
      </c>
      <c r="AU463" t="s">
        <v>264</v>
      </c>
      <c r="AV463" t="s">
        <v>270</v>
      </c>
      <c r="AX463">
        <v>22002394</v>
      </c>
      <c r="AY463">
        <v>631100</v>
      </c>
      <c r="AZ463">
        <v>1201.6311000000001</v>
      </c>
      <c r="BA463" s="28" t="s">
        <v>43</v>
      </c>
    </row>
    <row r="464" spans="1:53">
      <c r="A464" t="s">
        <v>271</v>
      </c>
      <c r="B464" t="s">
        <v>272</v>
      </c>
      <c r="C464">
        <v>22010629</v>
      </c>
      <c r="D464">
        <v>1201</v>
      </c>
      <c r="E464" s="6">
        <v>44774</v>
      </c>
      <c r="F464" t="s">
        <v>539</v>
      </c>
      <c r="G464">
        <v>421.81</v>
      </c>
      <c r="H464">
        <v>421.81</v>
      </c>
      <c r="I464" t="s">
        <v>263</v>
      </c>
      <c r="J464" t="s">
        <v>263</v>
      </c>
      <c r="L464" s="29">
        <v>6277450</v>
      </c>
      <c r="N464" s="29">
        <v>6277450</v>
      </c>
      <c r="O464" t="s">
        <v>264</v>
      </c>
      <c r="Q464" t="s">
        <v>264</v>
      </c>
      <c r="R464" t="s">
        <v>265</v>
      </c>
      <c r="S464">
        <v>14882</v>
      </c>
      <c r="T464" t="s">
        <v>266</v>
      </c>
      <c r="U464" t="s">
        <v>267</v>
      </c>
      <c r="V464" t="s">
        <v>273</v>
      </c>
      <c r="W464" t="s">
        <v>274</v>
      </c>
      <c r="X464">
        <v>1925425</v>
      </c>
      <c r="Y464" s="6">
        <v>44774</v>
      </c>
      <c r="Z464" t="s">
        <v>264</v>
      </c>
      <c r="AA464">
        <v>1</v>
      </c>
      <c r="AB464" t="s">
        <v>264</v>
      </c>
      <c r="AD464" t="s">
        <v>264</v>
      </c>
      <c r="AE464" t="s">
        <v>264</v>
      </c>
      <c r="AF464" t="s">
        <v>264</v>
      </c>
      <c r="AG464">
        <v>2</v>
      </c>
      <c r="AH464" t="s">
        <v>264</v>
      </c>
      <c r="AI464">
        <v>57358193</v>
      </c>
      <c r="AJ464" t="s">
        <v>539</v>
      </c>
      <c r="AL464" t="s">
        <v>545</v>
      </c>
      <c r="AM464" s="6">
        <v>44708</v>
      </c>
      <c r="AN464" t="s">
        <v>533</v>
      </c>
      <c r="AO464" t="s">
        <v>268</v>
      </c>
      <c r="AP464">
        <v>1201</v>
      </c>
      <c r="AQ464" t="s">
        <v>269</v>
      </c>
      <c r="AR464" t="s">
        <v>538</v>
      </c>
      <c r="AU464" t="s">
        <v>264</v>
      </c>
      <c r="AV464" t="s">
        <v>270</v>
      </c>
      <c r="AX464">
        <v>22002395</v>
      </c>
      <c r="AY464">
        <v>631100</v>
      </c>
      <c r="AZ464">
        <v>1201.6311000000001</v>
      </c>
      <c r="BA464" s="28" t="s">
        <v>43</v>
      </c>
    </row>
    <row r="465" spans="1:53">
      <c r="A465" t="s">
        <v>271</v>
      </c>
      <c r="B465" t="s">
        <v>272</v>
      </c>
      <c r="C465">
        <v>22010630</v>
      </c>
      <c r="D465">
        <v>1201</v>
      </c>
      <c r="E465" s="6">
        <v>44774</v>
      </c>
      <c r="F465" t="s">
        <v>540</v>
      </c>
      <c r="G465">
        <v>36.29</v>
      </c>
      <c r="H465">
        <v>36.29</v>
      </c>
      <c r="I465" t="s">
        <v>263</v>
      </c>
      <c r="J465" t="s">
        <v>263</v>
      </c>
      <c r="L465" s="29">
        <v>540000</v>
      </c>
      <c r="N465" s="29">
        <v>540000</v>
      </c>
      <c r="O465" t="s">
        <v>264</v>
      </c>
      <c r="Q465" t="s">
        <v>264</v>
      </c>
      <c r="R465" t="s">
        <v>265</v>
      </c>
      <c r="S465">
        <v>14882</v>
      </c>
      <c r="T465" t="s">
        <v>266</v>
      </c>
      <c r="U465" t="s">
        <v>267</v>
      </c>
      <c r="V465" t="s">
        <v>273</v>
      </c>
      <c r="W465" t="s">
        <v>274</v>
      </c>
      <c r="X465">
        <v>1925425</v>
      </c>
      <c r="Y465" s="6">
        <v>44774</v>
      </c>
      <c r="Z465" t="s">
        <v>264</v>
      </c>
      <c r="AA465">
        <v>1</v>
      </c>
      <c r="AB465" t="s">
        <v>264</v>
      </c>
      <c r="AD465" t="s">
        <v>264</v>
      </c>
      <c r="AE465" t="s">
        <v>264</v>
      </c>
      <c r="AF465" t="s">
        <v>264</v>
      </c>
      <c r="AG465">
        <v>1</v>
      </c>
      <c r="AH465" t="s">
        <v>264</v>
      </c>
      <c r="AI465">
        <v>56013767</v>
      </c>
      <c r="AJ465" t="s">
        <v>540</v>
      </c>
      <c r="AL465" t="s">
        <v>545</v>
      </c>
      <c r="AM465" s="6">
        <v>44708</v>
      </c>
      <c r="AN465" t="s">
        <v>533</v>
      </c>
      <c r="AO465" t="s">
        <v>268</v>
      </c>
      <c r="AP465">
        <v>1201</v>
      </c>
      <c r="AQ465" t="s">
        <v>269</v>
      </c>
      <c r="AR465" t="s">
        <v>538</v>
      </c>
      <c r="AU465" t="s">
        <v>264</v>
      </c>
      <c r="AV465" t="s">
        <v>270</v>
      </c>
      <c r="AX465">
        <v>22002396</v>
      </c>
      <c r="AY465">
        <v>631100</v>
      </c>
      <c r="AZ465">
        <v>1201.6311000000001</v>
      </c>
      <c r="BA465" s="28" t="s">
        <v>43</v>
      </c>
    </row>
    <row r="466" spans="1:53">
      <c r="A466" t="s">
        <v>271</v>
      </c>
      <c r="B466" t="s">
        <v>272</v>
      </c>
      <c r="C466">
        <v>22010631</v>
      </c>
      <c r="D466">
        <v>1201</v>
      </c>
      <c r="E466" s="6">
        <v>44774</v>
      </c>
      <c r="F466" t="s">
        <v>546</v>
      </c>
      <c r="G466" s="29">
        <v>3520.02</v>
      </c>
      <c r="H466" s="29">
        <v>3520.02</v>
      </c>
      <c r="I466" t="s">
        <v>263</v>
      </c>
      <c r="J466" t="s">
        <v>263</v>
      </c>
      <c r="L466" s="29">
        <v>52385000</v>
      </c>
      <c r="N466" s="29">
        <v>52385000</v>
      </c>
      <c r="O466" t="s">
        <v>264</v>
      </c>
      <c r="Q466" t="s">
        <v>264</v>
      </c>
      <c r="R466" t="s">
        <v>265</v>
      </c>
      <c r="S466">
        <v>14882</v>
      </c>
      <c r="T466" t="s">
        <v>266</v>
      </c>
      <c r="U466" t="s">
        <v>267</v>
      </c>
      <c r="V466" t="s">
        <v>273</v>
      </c>
      <c r="W466" t="s">
        <v>274</v>
      </c>
      <c r="X466">
        <v>1925425</v>
      </c>
      <c r="Y466" s="6">
        <v>44774</v>
      </c>
      <c r="Z466" t="s">
        <v>264</v>
      </c>
      <c r="AA466">
        <v>1</v>
      </c>
      <c r="AB466" t="s">
        <v>264</v>
      </c>
      <c r="AD466" t="s">
        <v>264</v>
      </c>
      <c r="AE466" t="s">
        <v>264</v>
      </c>
      <c r="AF466" t="s">
        <v>264</v>
      </c>
      <c r="AG466">
        <v>1</v>
      </c>
      <c r="AH466" t="s">
        <v>264</v>
      </c>
      <c r="AI466">
        <v>55229662</v>
      </c>
      <c r="AJ466" t="s">
        <v>546</v>
      </c>
      <c r="AL466" t="s">
        <v>547</v>
      </c>
      <c r="AM466" s="6">
        <v>44708</v>
      </c>
      <c r="AN466" t="s">
        <v>533</v>
      </c>
      <c r="AO466" t="s">
        <v>268</v>
      </c>
      <c r="AP466">
        <v>1201</v>
      </c>
      <c r="AQ466" t="s">
        <v>269</v>
      </c>
      <c r="AR466" t="s">
        <v>538</v>
      </c>
      <c r="AU466" t="s">
        <v>264</v>
      </c>
      <c r="AV466" t="s">
        <v>270</v>
      </c>
      <c r="AX466">
        <v>22002459</v>
      </c>
      <c r="AY466">
        <v>631100</v>
      </c>
      <c r="AZ466">
        <v>1201.6311000000001</v>
      </c>
      <c r="BA466" s="28" t="s">
        <v>43</v>
      </c>
    </row>
    <row r="467" spans="1:53">
      <c r="A467" t="s">
        <v>271</v>
      </c>
      <c r="B467" t="s">
        <v>272</v>
      </c>
      <c r="C467">
        <v>22010632</v>
      </c>
      <c r="D467">
        <v>1201</v>
      </c>
      <c r="E467" s="6">
        <v>44774</v>
      </c>
      <c r="F467" t="s">
        <v>546</v>
      </c>
      <c r="G467" s="29">
        <v>3563.43</v>
      </c>
      <c r="H467" s="29">
        <v>3563.43</v>
      </c>
      <c r="I467" t="s">
        <v>263</v>
      </c>
      <c r="J467" t="s">
        <v>263</v>
      </c>
      <c r="L467" s="29">
        <v>53031000</v>
      </c>
      <c r="N467" s="29">
        <v>53031000</v>
      </c>
      <c r="O467" t="s">
        <v>264</v>
      </c>
      <c r="Q467" t="s">
        <v>264</v>
      </c>
      <c r="R467" t="s">
        <v>265</v>
      </c>
      <c r="S467">
        <v>14882</v>
      </c>
      <c r="T467" t="s">
        <v>266</v>
      </c>
      <c r="U467" t="s">
        <v>267</v>
      </c>
      <c r="V467" t="s">
        <v>273</v>
      </c>
      <c r="W467" t="s">
        <v>274</v>
      </c>
      <c r="X467">
        <v>1925425</v>
      </c>
      <c r="Y467" s="6">
        <v>44774</v>
      </c>
      <c r="Z467" t="s">
        <v>264</v>
      </c>
      <c r="AA467">
        <v>1</v>
      </c>
      <c r="AB467" t="s">
        <v>264</v>
      </c>
      <c r="AD467" t="s">
        <v>264</v>
      </c>
      <c r="AE467" t="s">
        <v>264</v>
      </c>
      <c r="AF467" t="s">
        <v>264</v>
      </c>
      <c r="AG467">
        <v>1</v>
      </c>
      <c r="AH467" t="s">
        <v>264</v>
      </c>
      <c r="AI467">
        <v>55229662</v>
      </c>
      <c r="AJ467" t="s">
        <v>546</v>
      </c>
      <c r="AL467" t="s">
        <v>548</v>
      </c>
      <c r="AM467" s="6">
        <v>44729</v>
      </c>
      <c r="AN467" t="s">
        <v>533</v>
      </c>
      <c r="AO467" t="s">
        <v>268</v>
      </c>
      <c r="AP467">
        <v>1201</v>
      </c>
      <c r="AQ467" t="s">
        <v>269</v>
      </c>
      <c r="AR467" t="s">
        <v>549</v>
      </c>
      <c r="AU467" t="s">
        <v>264</v>
      </c>
      <c r="AV467" t="s">
        <v>270</v>
      </c>
      <c r="AX467">
        <v>22002544</v>
      </c>
      <c r="AY467">
        <v>631100</v>
      </c>
      <c r="AZ467">
        <v>1201.6311000000001</v>
      </c>
      <c r="BA467" s="28" t="s">
        <v>43</v>
      </c>
    </row>
    <row r="468" spans="1:53">
      <c r="A468" t="s">
        <v>271</v>
      </c>
      <c r="B468" t="s">
        <v>272</v>
      </c>
      <c r="C468">
        <v>22010633</v>
      </c>
      <c r="D468">
        <v>1201</v>
      </c>
      <c r="E468" s="6">
        <v>44774</v>
      </c>
      <c r="F468" t="s">
        <v>546</v>
      </c>
      <c r="G468">
        <v>466.4</v>
      </c>
      <c r="H468">
        <v>466.4</v>
      </c>
      <c r="I468" t="s">
        <v>263</v>
      </c>
      <c r="J468" t="s">
        <v>263</v>
      </c>
      <c r="L468" s="29">
        <v>6940900</v>
      </c>
      <c r="N468" s="29">
        <v>6940900</v>
      </c>
      <c r="O468" t="s">
        <v>264</v>
      </c>
      <c r="Q468" t="s">
        <v>264</v>
      </c>
      <c r="R468" t="s">
        <v>265</v>
      </c>
      <c r="S468">
        <v>14882</v>
      </c>
      <c r="T468" t="s">
        <v>266</v>
      </c>
      <c r="U468" t="s">
        <v>267</v>
      </c>
      <c r="V468" t="s">
        <v>273</v>
      </c>
      <c r="W468" t="s">
        <v>274</v>
      </c>
      <c r="X468">
        <v>1925425</v>
      </c>
      <c r="Y468" s="6">
        <v>44774</v>
      </c>
      <c r="Z468" t="s">
        <v>264</v>
      </c>
      <c r="AA468">
        <v>1</v>
      </c>
      <c r="AB468" t="s">
        <v>264</v>
      </c>
      <c r="AD468" t="s">
        <v>264</v>
      </c>
      <c r="AE468" t="s">
        <v>264</v>
      </c>
      <c r="AF468" t="s">
        <v>264</v>
      </c>
      <c r="AG468">
        <v>1</v>
      </c>
      <c r="AH468" t="s">
        <v>264</v>
      </c>
      <c r="AI468">
        <v>55229662</v>
      </c>
      <c r="AJ468" t="s">
        <v>546</v>
      </c>
      <c r="AL468" t="s">
        <v>550</v>
      </c>
      <c r="AM468" s="6">
        <v>44729</v>
      </c>
      <c r="AN468" t="s">
        <v>533</v>
      </c>
      <c r="AO468" t="s">
        <v>268</v>
      </c>
      <c r="AP468">
        <v>1201</v>
      </c>
      <c r="AQ468" t="s">
        <v>269</v>
      </c>
      <c r="AR468" t="s">
        <v>551</v>
      </c>
      <c r="AU468" t="s">
        <v>264</v>
      </c>
      <c r="AV468" t="s">
        <v>270</v>
      </c>
      <c r="AX468">
        <v>22002544</v>
      </c>
      <c r="AY468">
        <v>631100</v>
      </c>
      <c r="AZ468">
        <v>1201.6311000000001</v>
      </c>
      <c r="BA468" s="28" t="s">
        <v>43</v>
      </c>
    </row>
    <row r="469" spans="1:53">
      <c r="A469" t="s">
        <v>271</v>
      </c>
      <c r="B469" t="s">
        <v>272</v>
      </c>
      <c r="C469">
        <v>22010634</v>
      </c>
      <c r="D469">
        <v>1201</v>
      </c>
      <c r="E469" s="6">
        <v>44774</v>
      </c>
      <c r="F469" t="s">
        <v>546</v>
      </c>
      <c r="G469">
        <v>858.55</v>
      </c>
      <c r="H469">
        <v>858.55</v>
      </c>
      <c r="I469" t="s">
        <v>263</v>
      </c>
      <c r="J469" t="s">
        <v>263</v>
      </c>
      <c r="L469" s="29">
        <v>12777000</v>
      </c>
      <c r="N469" s="29">
        <v>12777000</v>
      </c>
      <c r="O469" t="s">
        <v>264</v>
      </c>
      <c r="Q469" t="s">
        <v>264</v>
      </c>
      <c r="R469" t="s">
        <v>265</v>
      </c>
      <c r="S469">
        <v>14882</v>
      </c>
      <c r="T469" t="s">
        <v>266</v>
      </c>
      <c r="U469" t="s">
        <v>267</v>
      </c>
      <c r="V469" t="s">
        <v>273</v>
      </c>
      <c r="W469" t="s">
        <v>274</v>
      </c>
      <c r="X469">
        <v>1925425</v>
      </c>
      <c r="Y469" s="6">
        <v>44774</v>
      </c>
      <c r="Z469" t="s">
        <v>264</v>
      </c>
      <c r="AA469">
        <v>1</v>
      </c>
      <c r="AB469" t="s">
        <v>264</v>
      </c>
      <c r="AD469" t="s">
        <v>264</v>
      </c>
      <c r="AE469" t="s">
        <v>264</v>
      </c>
      <c r="AF469" t="s">
        <v>264</v>
      </c>
      <c r="AG469">
        <v>1</v>
      </c>
      <c r="AH469" t="s">
        <v>264</v>
      </c>
      <c r="AI469">
        <v>55229662</v>
      </c>
      <c r="AJ469" t="s">
        <v>546</v>
      </c>
      <c r="AL469" t="s">
        <v>552</v>
      </c>
      <c r="AM469" s="6">
        <v>44729</v>
      </c>
      <c r="AN469" t="s">
        <v>533</v>
      </c>
      <c r="AO469" t="s">
        <v>268</v>
      </c>
      <c r="AP469">
        <v>1201</v>
      </c>
      <c r="AQ469" t="s">
        <v>269</v>
      </c>
      <c r="AR469" t="s">
        <v>553</v>
      </c>
      <c r="AU469" t="s">
        <v>264</v>
      </c>
      <c r="AV469" t="s">
        <v>270</v>
      </c>
      <c r="AX469">
        <v>22002544</v>
      </c>
      <c r="AY469">
        <v>631100</v>
      </c>
      <c r="AZ469">
        <v>1201.6311000000001</v>
      </c>
      <c r="BA469" s="28" t="s">
        <v>43</v>
      </c>
    </row>
    <row r="470" spans="1:53">
      <c r="A470" t="s">
        <v>271</v>
      </c>
      <c r="B470" t="s">
        <v>272</v>
      </c>
      <c r="C470">
        <v>22010635</v>
      </c>
      <c r="D470">
        <v>1201</v>
      </c>
      <c r="E470" s="6">
        <v>44774</v>
      </c>
      <c r="F470" t="s">
        <v>546</v>
      </c>
      <c r="G470" s="29">
        <v>3526.47</v>
      </c>
      <c r="H470" s="29">
        <v>3526.47</v>
      </c>
      <c r="I470" t="s">
        <v>263</v>
      </c>
      <c r="J470" t="s">
        <v>263</v>
      </c>
      <c r="L470" s="29">
        <v>52481000</v>
      </c>
      <c r="N470" s="29">
        <v>52481000</v>
      </c>
      <c r="O470" t="s">
        <v>264</v>
      </c>
      <c r="Q470" t="s">
        <v>264</v>
      </c>
      <c r="R470" t="s">
        <v>265</v>
      </c>
      <c r="S470">
        <v>14882</v>
      </c>
      <c r="T470" t="s">
        <v>266</v>
      </c>
      <c r="U470" t="s">
        <v>267</v>
      </c>
      <c r="V470" t="s">
        <v>273</v>
      </c>
      <c r="W470" t="s">
        <v>274</v>
      </c>
      <c r="X470">
        <v>1925425</v>
      </c>
      <c r="Y470" s="6">
        <v>44774</v>
      </c>
      <c r="Z470" t="s">
        <v>264</v>
      </c>
      <c r="AA470">
        <v>1</v>
      </c>
      <c r="AB470" t="s">
        <v>264</v>
      </c>
      <c r="AD470" t="s">
        <v>264</v>
      </c>
      <c r="AE470" t="s">
        <v>264</v>
      </c>
      <c r="AF470" t="s">
        <v>264</v>
      </c>
      <c r="AG470">
        <v>1</v>
      </c>
      <c r="AH470" t="s">
        <v>264</v>
      </c>
      <c r="AI470">
        <v>55229662</v>
      </c>
      <c r="AJ470" t="s">
        <v>546</v>
      </c>
      <c r="AL470" t="s">
        <v>554</v>
      </c>
      <c r="AM470" s="6">
        <v>44732</v>
      </c>
      <c r="AN470" t="s">
        <v>533</v>
      </c>
      <c r="AO470" t="s">
        <v>268</v>
      </c>
      <c r="AP470">
        <v>1201</v>
      </c>
      <c r="AQ470" t="s">
        <v>269</v>
      </c>
      <c r="AR470" t="s">
        <v>549</v>
      </c>
      <c r="AU470" t="s">
        <v>264</v>
      </c>
      <c r="AV470" t="s">
        <v>270</v>
      </c>
      <c r="AX470">
        <v>22002544</v>
      </c>
      <c r="AY470">
        <v>631100</v>
      </c>
      <c r="AZ470">
        <v>1201.6311000000001</v>
      </c>
      <c r="BA470" s="28" t="s">
        <v>43</v>
      </c>
    </row>
    <row r="471" spans="1:53">
      <c r="A471" t="s">
        <v>271</v>
      </c>
      <c r="B471" t="s">
        <v>272</v>
      </c>
      <c r="C471">
        <v>22010636</v>
      </c>
      <c r="D471">
        <v>1201</v>
      </c>
      <c r="E471" s="6">
        <v>44774</v>
      </c>
      <c r="F471" t="s">
        <v>546</v>
      </c>
      <c r="G471">
        <v>759.63</v>
      </c>
      <c r="H471">
        <v>759.63</v>
      </c>
      <c r="I471" t="s">
        <v>263</v>
      </c>
      <c r="J471" t="s">
        <v>263</v>
      </c>
      <c r="L471" s="29">
        <v>11304742</v>
      </c>
      <c r="N471" s="29">
        <v>11304742</v>
      </c>
      <c r="O471" t="s">
        <v>264</v>
      </c>
      <c r="Q471" t="s">
        <v>264</v>
      </c>
      <c r="R471" t="s">
        <v>265</v>
      </c>
      <c r="S471">
        <v>14882</v>
      </c>
      <c r="T471" t="s">
        <v>266</v>
      </c>
      <c r="U471" t="s">
        <v>267</v>
      </c>
      <c r="V471" t="s">
        <v>273</v>
      </c>
      <c r="W471" t="s">
        <v>274</v>
      </c>
      <c r="X471">
        <v>1925425</v>
      </c>
      <c r="Y471" s="6">
        <v>44774</v>
      </c>
      <c r="Z471" t="s">
        <v>264</v>
      </c>
      <c r="AA471">
        <v>1</v>
      </c>
      <c r="AB471" t="s">
        <v>264</v>
      </c>
      <c r="AD471" t="s">
        <v>264</v>
      </c>
      <c r="AE471" t="s">
        <v>264</v>
      </c>
      <c r="AF471" t="s">
        <v>264</v>
      </c>
      <c r="AG471">
        <v>1</v>
      </c>
      <c r="AH471" t="s">
        <v>264</v>
      </c>
      <c r="AI471">
        <v>55229662</v>
      </c>
      <c r="AJ471" t="s">
        <v>546</v>
      </c>
      <c r="AL471" t="s">
        <v>555</v>
      </c>
      <c r="AM471" s="6">
        <v>44715</v>
      </c>
      <c r="AN471" t="s">
        <v>533</v>
      </c>
      <c r="AO471" t="s">
        <v>268</v>
      </c>
      <c r="AP471">
        <v>1201</v>
      </c>
      <c r="AQ471" t="s">
        <v>269</v>
      </c>
      <c r="AR471" t="s">
        <v>549</v>
      </c>
      <c r="AU471" t="s">
        <v>264</v>
      </c>
      <c r="AV471" t="s">
        <v>270</v>
      </c>
      <c r="AX471">
        <v>22002544</v>
      </c>
      <c r="AY471">
        <v>631100</v>
      </c>
      <c r="AZ471">
        <v>1201.6311000000001</v>
      </c>
      <c r="BA471" s="28" t="s">
        <v>43</v>
      </c>
    </row>
    <row r="472" spans="1:53">
      <c r="A472" t="s">
        <v>271</v>
      </c>
      <c r="B472" t="s">
        <v>272</v>
      </c>
      <c r="C472">
        <v>22010637</v>
      </c>
      <c r="D472">
        <v>1201</v>
      </c>
      <c r="E472" s="6">
        <v>44774</v>
      </c>
      <c r="F472" t="s">
        <v>546</v>
      </c>
      <c r="G472">
        <v>423.29</v>
      </c>
      <c r="H472">
        <v>423.29</v>
      </c>
      <c r="I472" t="s">
        <v>263</v>
      </c>
      <c r="J472" t="s">
        <v>263</v>
      </c>
      <c r="L472" s="29">
        <v>6299392</v>
      </c>
      <c r="N472" s="29">
        <v>6299392</v>
      </c>
      <c r="O472" t="s">
        <v>264</v>
      </c>
      <c r="Q472" t="s">
        <v>264</v>
      </c>
      <c r="R472" t="s">
        <v>265</v>
      </c>
      <c r="S472">
        <v>14882</v>
      </c>
      <c r="T472" t="s">
        <v>266</v>
      </c>
      <c r="U472" t="s">
        <v>267</v>
      </c>
      <c r="V472" t="s">
        <v>273</v>
      </c>
      <c r="W472" t="s">
        <v>274</v>
      </c>
      <c r="X472">
        <v>1925425</v>
      </c>
      <c r="Y472" s="6">
        <v>44774</v>
      </c>
      <c r="Z472" t="s">
        <v>264</v>
      </c>
      <c r="AA472">
        <v>1</v>
      </c>
      <c r="AB472" t="s">
        <v>264</v>
      </c>
      <c r="AD472" t="s">
        <v>264</v>
      </c>
      <c r="AE472" t="s">
        <v>264</v>
      </c>
      <c r="AF472" t="s">
        <v>264</v>
      </c>
      <c r="AG472">
        <v>1</v>
      </c>
      <c r="AH472" t="s">
        <v>264</v>
      </c>
      <c r="AI472">
        <v>55229662</v>
      </c>
      <c r="AJ472" t="s">
        <v>546</v>
      </c>
      <c r="AL472" t="s">
        <v>556</v>
      </c>
      <c r="AM472" s="6">
        <v>44715</v>
      </c>
      <c r="AN472" t="s">
        <v>533</v>
      </c>
      <c r="AO472" t="s">
        <v>268</v>
      </c>
      <c r="AP472">
        <v>1201</v>
      </c>
      <c r="AQ472" t="s">
        <v>269</v>
      </c>
      <c r="AR472" t="s">
        <v>549</v>
      </c>
      <c r="AU472" t="s">
        <v>264</v>
      </c>
      <c r="AV472" t="s">
        <v>270</v>
      </c>
      <c r="AX472">
        <v>22002544</v>
      </c>
      <c r="AY472">
        <v>631100</v>
      </c>
      <c r="AZ472">
        <v>1201.6311000000001</v>
      </c>
      <c r="BA472" s="28" t="s">
        <v>43</v>
      </c>
    </row>
    <row r="473" spans="1:53">
      <c r="A473" t="s">
        <v>271</v>
      </c>
      <c r="B473" t="s">
        <v>272</v>
      </c>
      <c r="C473">
        <v>22010638</v>
      </c>
      <c r="D473">
        <v>1201</v>
      </c>
      <c r="E473" s="6">
        <v>44774</v>
      </c>
      <c r="F473" t="s">
        <v>546</v>
      </c>
      <c r="G473" s="29">
        <v>2446.2399999999998</v>
      </c>
      <c r="H473" s="29">
        <v>2446.2399999999998</v>
      </c>
      <c r="I473" t="s">
        <v>263</v>
      </c>
      <c r="J473" t="s">
        <v>263</v>
      </c>
      <c r="L473" s="29">
        <v>36405000</v>
      </c>
      <c r="N473" s="29">
        <v>36405000</v>
      </c>
      <c r="O473" t="s">
        <v>264</v>
      </c>
      <c r="Q473" t="s">
        <v>264</v>
      </c>
      <c r="R473" t="s">
        <v>265</v>
      </c>
      <c r="S473">
        <v>14882</v>
      </c>
      <c r="T473" t="s">
        <v>266</v>
      </c>
      <c r="U473" t="s">
        <v>267</v>
      </c>
      <c r="V473" t="s">
        <v>273</v>
      </c>
      <c r="W473" t="s">
        <v>274</v>
      </c>
      <c r="X473">
        <v>1925425</v>
      </c>
      <c r="Y473" s="6">
        <v>44774</v>
      </c>
      <c r="Z473" t="s">
        <v>264</v>
      </c>
      <c r="AA473">
        <v>1</v>
      </c>
      <c r="AB473" t="s">
        <v>264</v>
      </c>
      <c r="AD473" t="s">
        <v>264</v>
      </c>
      <c r="AE473" t="s">
        <v>264</v>
      </c>
      <c r="AF473" t="s">
        <v>264</v>
      </c>
      <c r="AG473">
        <v>1</v>
      </c>
      <c r="AH473" t="s">
        <v>264</v>
      </c>
      <c r="AI473">
        <v>55229662</v>
      </c>
      <c r="AJ473" t="s">
        <v>546</v>
      </c>
      <c r="AL473" t="s">
        <v>557</v>
      </c>
      <c r="AM473" s="6">
        <v>44715</v>
      </c>
      <c r="AN473" t="s">
        <v>533</v>
      </c>
      <c r="AO473" t="s">
        <v>268</v>
      </c>
      <c r="AP473">
        <v>1201</v>
      </c>
      <c r="AQ473" t="s">
        <v>269</v>
      </c>
      <c r="AR473" t="s">
        <v>549</v>
      </c>
      <c r="AU473" t="s">
        <v>264</v>
      </c>
      <c r="AV473" t="s">
        <v>270</v>
      </c>
      <c r="AX473">
        <v>22002544</v>
      </c>
      <c r="AY473">
        <v>631100</v>
      </c>
      <c r="AZ473">
        <v>1201.6311000000001</v>
      </c>
      <c r="BA473" s="28" t="s">
        <v>43</v>
      </c>
    </row>
    <row r="474" spans="1:53">
      <c r="A474" t="s">
        <v>271</v>
      </c>
      <c r="B474" t="s">
        <v>272</v>
      </c>
      <c r="C474">
        <v>22010639</v>
      </c>
      <c r="D474">
        <v>1201</v>
      </c>
      <c r="E474" s="6">
        <v>44774</v>
      </c>
      <c r="F474" t="s">
        <v>546</v>
      </c>
      <c r="G474" s="29">
        <v>3743.78</v>
      </c>
      <c r="H474" s="29">
        <v>3743.78</v>
      </c>
      <c r="I474" t="s">
        <v>263</v>
      </c>
      <c r="J474" t="s">
        <v>263</v>
      </c>
      <c r="L474" s="29">
        <v>55715000</v>
      </c>
      <c r="N474" s="29">
        <v>55715000</v>
      </c>
      <c r="O474" t="s">
        <v>264</v>
      </c>
      <c r="Q474" t="s">
        <v>264</v>
      </c>
      <c r="R474" t="s">
        <v>265</v>
      </c>
      <c r="S474">
        <v>14882</v>
      </c>
      <c r="T474" t="s">
        <v>266</v>
      </c>
      <c r="U474" t="s">
        <v>267</v>
      </c>
      <c r="V474" t="s">
        <v>273</v>
      </c>
      <c r="W474" t="s">
        <v>274</v>
      </c>
      <c r="X474">
        <v>1925425</v>
      </c>
      <c r="Y474" s="6">
        <v>44774</v>
      </c>
      <c r="Z474" t="s">
        <v>264</v>
      </c>
      <c r="AA474">
        <v>1</v>
      </c>
      <c r="AB474" t="s">
        <v>264</v>
      </c>
      <c r="AD474" t="s">
        <v>264</v>
      </c>
      <c r="AE474" t="s">
        <v>264</v>
      </c>
      <c r="AF474" t="s">
        <v>264</v>
      </c>
      <c r="AG474">
        <v>1</v>
      </c>
      <c r="AH474" t="s">
        <v>264</v>
      </c>
      <c r="AI474">
        <v>55229662</v>
      </c>
      <c r="AJ474" t="s">
        <v>546</v>
      </c>
      <c r="AL474" t="s">
        <v>558</v>
      </c>
      <c r="AM474" s="6">
        <v>44715</v>
      </c>
      <c r="AN474" t="s">
        <v>533</v>
      </c>
      <c r="AO474" t="s">
        <v>268</v>
      </c>
      <c r="AP474">
        <v>1201</v>
      </c>
      <c r="AQ474" t="s">
        <v>269</v>
      </c>
      <c r="AR474" t="s">
        <v>549</v>
      </c>
      <c r="AU474" t="s">
        <v>264</v>
      </c>
      <c r="AV474" t="s">
        <v>270</v>
      </c>
      <c r="AX474">
        <v>22002544</v>
      </c>
      <c r="AY474">
        <v>631100</v>
      </c>
      <c r="AZ474">
        <v>1201.6311000000001</v>
      </c>
      <c r="BA474" s="28" t="s">
        <v>43</v>
      </c>
    </row>
    <row r="475" spans="1:53">
      <c r="A475" t="s">
        <v>271</v>
      </c>
      <c r="B475" t="s">
        <v>272</v>
      </c>
      <c r="C475">
        <v>22010640</v>
      </c>
      <c r="D475">
        <v>1201</v>
      </c>
      <c r="E475" s="6">
        <v>44774</v>
      </c>
      <c r="F475" t="s">
        <v>546</v>
      </c>
      <c r="G475" s="29">
        <v>3526.47</v>
      </c>
      <c r="H475" s="29">
        <v>3526.47</v>
      </c>
      <c r="I475" t="s">
        <v>263</v>
      </c>
      <c r="J475" t="s">
        <v>263</v>
      </c>
      <c r="L475" s="29">
        <v>52481000</v>
      </c>
      <c r="N475" s="29">
        <v>52481000</v>
      </c>
      <c r="O475" t="s">
        <v>264</v>
      </c>
      <c r="Q475" t="s">
        <v>264</v>
      </c>
      <c r="R475" t="s">
        <v>265</v>
      </c>
      <c r="S475">
        <v>14882</v>
      </c>
      <c r="T475" t="s">
        <v>266</v>
      </c>
      <c r="U475" t="s">
        <v>267</v>
      </c>
      <c r="V475" t="s">
        <v>273</v>
      </c>
      <c r="W475" t="s">
        <v>274</v>
      </c>
      <c r="X475">
        <v>1925425</v>
      </c>
      <c r="Y475" s="6">
        <v>44774</v>
      </c>
      <c r="Z475" t="s">
        <v>264</v>
      </c>
      <c r="AA475">
        <v>1</v>
      </c>
      <c r="AB475" t="s">
        <v>264</v>
      </c>
      <c r="AD475" t="s">
        <v>264</v>
      </c>
      <c r="AE475" t="s">
        <v>264</v>
      </c>
      <c r="AF475" t="s">
        <v>264</v>
      </c>
      <c r="AG475">
        <v>1</v>
      </c>
      <c r="AH475" t="s">
        <v>264</v>
      </c>
      <c r="AI475">
        <v>55229662</v>
      </c>
      <c r="AJ475" t="s">
        <v>546</v>
      </c>
      <c r="AL475" t="s">
        <v>559</v>
      </c>
      <c r="AM475" s="6">
        <v>44715</v>
      </c>
      <c r="AN475" t="s">
        <v>533</v>
      </c>
      <c r="AO475" t="s">
        <v>268</v>
      </c>
      <c r="AP475">
        <v>1201</v>
      </c>
      <c r="AQ475" t="s">
        <v>269</v>
      </c>
      <c r="AR475" t="s">
        <v>549</v>
      </c>
      <c r="AU475" t="s">
        <v>264</v>
      </c>
      <c r="AV475" t="s">
        <v>270</v>
      </c>
      <c r="AX475">
        <v>22002544</v>
      </c>
      <c r="AY475">
        <v>631100</v>
      </c>
      <c r="AZ475">
        <v>1201.6311000000001</v>
      </c>
      <c r="BA475" s="28" t="s">
        <v>43</v>
      </c>
    </row>
    <row r="476" spans="1:53">
      <c r="A476" t="s">
        <v>271</v>
      </c>
      <c r="B476" t="s">
        <v>272</v>
      </c>
      <c r="C476">
        <v>22010642</v>
      </c>
      <c r="D476">
        <v>1201</v>
      </c>
      <c r="E476" s="6">
        <v>44774</v>
      </c>
      <c r="F476" t="s">
        <v>560</v>
      </c>
      <c r="G476">
        <v>117.75</v>
      </c>
      <c r="H476">
        <v>117.75</v>
      </c>
      <c r="I476" t="s">
        <v>263</v>
      </c>
      <c r="J476" t="s">
        <v>263</v>
      </c>
      <c r="L476" s="29">
        <v>1752341</v>
      </c>
      <c r="N476" s="29">
        <v>1752341</v>
      </c>
      <c r="O476" t="s">
        <v>264</v>
      </c>
      <c r="Q476" t="s">
        <v>264</v>
      </c>
      <c r="R476" t="s">
        <v>265</v>
      </c>
      <c r="S476">
        <v>14882</v>
      </c>
      <c r="T476" t="s">
        <v>266</v>
      </c>
      <c r="U476" t="s">
        <v>267</v>
      </c>
      <c r="V476" t="s">
        <v>273</v>
      </c>
      <c r="W476" t="s">
        <v>274</v>
      </c>
      <c r="X476">
        <v>1925543</v>
      </c>
      <c r="Y476" s="6">
        <v>44774</v>
      </c>
      <c r="Z476" t="s">
        <v>264</v>
      </c>
      <c r="AA476">
        <v>1</v>
      </c>
      <c r="AB476" t="s">
        <v>264</v>
      </c>
      <c r="AD476" t="s">
        <v>264</v>
      </c>
      <c r="AE476" t="s">
        <v>264</v>
      </c>
      <c r="AF476" t="s">
        <v>264</v>
      </c>
      <c r="AG476">
        <v>1</v>
      </c>
      <c r="AH476" t="s">
        <v>264</v>
      </c>
      <c r="AI476">
        <v>55113299</v>
      </c>
      <c r="AJ476" t="s">
        <v>560</v>
      </c>
      <c r="AL476" t="s">
        <v>561</v>
      </c>
      <c r="AM476" s="6">
        <v>44729</v>
      </c>
      <c r="AN476" t="s">
        <v>533</v>
      </c>
      <c r="AO476" t="s">
        <v>268</v>
      </c>
      <c r="AP476">
        <v>1201</v>
      </c>
      <c r="AQ476" t="s">
        <v>269</v>
      </c>
      <c r="AR476" t="s">
        <v>549</v>
      </c>
      <c r="AU476" t="s">
        <v>264</v>
      </c>
      <c r="AV476" t="s">
        <v>270</v>
      </c>
      <c r="AX476">
        <v>22002546</v>
      </c>
      <c r="AY476">
        <v>631100</v>
      </c>
      <c r="AZ476">
        <v>1201.6311000000001</v>
      </c>
      <c r="BA476" s="28" t="s">
        <v>43</v>
      </c>
    </row>
    <row r="477" spans="1:53">
      <c r="A477" t="s">
        <v>271</v>
      </c>
      <c r="B477" t="s">
        <v>272</v>
      </c>
      <c r="C477">
        <v>22010644</v>
      </c>
      <c r="D477">
        <v>1201</v>
      </c>
      <c r="E477" s="6">
        <v>44774</v>
      </c>
      <c r="F477" t="s">
        <v>540</v>
      </c>
      <c r="G477">
        <v>36.29</v>
      </c>
      <c r="H477">
        <v>36.29</v>
      </c>
      <c r="I477" t="s">
        <v>263</v>
      </c>
      <c r="J477" t="s">
        <v>263</v>
      </c>
      <c r="L477" s="29">
        <v>540000</v>
      </c>
      <c r="N477" s="29">
        <v>540000</v>
      </c>
      <c r="O477" t="s">
        <v>264</v>
      </c>
      <c r="Q477" t="s">
        <v>264</v>
      </c>
      <c r="R477" t="s">
        <v>265</v>
      </c>
      <c r="S477">
        <v>14882</v>
      </c>
      <c r="T477" t="s">
        <v>266</v>
      </c>
      <c r="U477" t="s">
        <v>267</v>
      </c>
      <c r="V477" t="s">
        <v>273</v>
      </c>
      <c r="W477" t="s">
        <v>274</v>
      </c>
      <c r="X477">
        <v>1925543</v>
      </c>
      <c r="Y477" s="6">
        <v>44774</v>
      </c>
      <c r="Z477" t="s">
        <v>264</v>
      </c>
      <c r="AA477">
        <v>1</v>
      </c>
      <c r="AB477" t="s">
        <v>264</v>
      </c>
      <c r="AD477" t="s">
        <v>264</v>
      </c>
      <c r="AE477" t="s">
        <v>264</v>
      </c>
      <c r="AF477" t="s">
        <v>264</v>
      </c>
      <c r="AG477">
        <v>1</v>
      </c>
      <c r="AH477" t="s">
        <v>264</v>
      </c>
      <c r="AI477">
        <v>56013767</v>
      </c>
      <c r="AJ477" t="s">
        <v>540</v>
      </c>
      <c r="AL477" t="s">
        <v>561</v>
      </c>
      <c r="AM477" s="6">
        <v>44729</v>
      </c>
      <c r="AN477" t="s">
        <v>533</v>
      </c>
      <c r="AO477" t="s">
        <v>268</v>
      </c>
      <c r="AP477">
        <v>1201</v>
      </c>
      <c r="AQ477" t="s">
        <v>269</v>
      </c>
      <c r="AR477" t="s">
        <v>549</v>
      </c>
      <c r="AU477" t="s">
        <v>264</v>
      </c>
      <c r="AV477" t="s">
        <v>270</v>
      </c>
      <c r="AX477">
        <v>22002547</v>
      </c>
      <c r="AY477">
        <v>631100</v>
      </c>
      <c r="AZ477">
        <v>1201.6311000000001</v>
      </c>
      <c r="BA477" s="28" t="s">
        <v>43</v>
      </c>
    </row>
    <row r="478" spans="1:53">
      <c r="A478" t="s">
        <v>271</v>
      </c>
      <c r="B478" t="s">
        <v>272</v>
      </c>
      <c r="C478">
        <v>22010645</v>
      </c>
      <c r="D478">
        <v>1201</v>
      </c>
      <c r="E478" s="6">
        <v>44774</v>
      </c>
      <c r="F478" t="s">
        <v>562</v>
      </c>
      <c r="G478">
        <v>30.91</v>
      </c>
      <c r="H478">
        <v>30.91</v>
      </c>
      <c r="I478" t="s">
        <v>263</v>
      </c>
      <c r="J478" t="s">
        <v>263</v>
      </c>
      <c r="L478" s="29">
        <v>460000</v>
      </c>
      <c r="N478" s="29">
        <v>460000</v>
      </c>
      <c r="O478" t="s">
        <v>264</v>
      </c>
      <c r="Q478" t="s">
        <v>264</v>
      </c>
      <c r="R478" t="s">
        <v>265</v>
      </c>
      <c r="S478">
        <v>14882</v>
      </c>
      <c r="T478" t="s">
        <v>266</v>
      </c>
      <c r="U478" t="s">
        <v>267</v>
      </c>
      <c r="V478" t="s">
        <v>273</v>
      </c>
      <c r="W478" t="s">
        <v>274</v>
      </c>
      <c r="X478">
        <v>1925543</v>
      </c>
      <c r="Y478" s="6">
        <v>44774</v>
      </c>
      <c r="Z478" t="s">
        <v>264</v>
      </c>
      <c r="AA478">
        <v>1</v>
      </c>
      <c r="AB478" t="s">
        <v>264</v>
      </c>
      <c r="AD478" t="s">
        <v>264</v>
      </c>
      <c r="AE478" t="s">
        <v>264</v>
      </c>
      <c r="AF478" t="s">
        <v>264</v>
      </c>
      <c r="AG478">
        <v>1</v>
      </c>
      <c r="AH478" t="s">
        <v>264</v>
      </c>
      <c r="AI478">
        <v>55426480</v>
      </c>
      <c r="AJ478" t="s">
        <v>562</v>
      </c>
      <c r="AL478" t="s">
        <v>563</v>
      </c>
      <c r="AM478" s="6">
        <v>44729</v>
      </c>
      <c r="AN478" t="s">
        <v>533</v>
      </c>
      <c r="AO478" t="s">
        <v>268</v>
      </c>
      <c r="AP478">
        <v>1201</v>
      </c>
      <c r="AQ478" t="s">
        <v>269</v>
      </c>
      <c r="AR478" t="s">
        <v>551</v>
      </c>
      <c r="AU478" t="s">
        <v>264</v>
      </c>
      <c r="AV478" t="s">
        <v>270</v>
      </c>
      <c r="AX478">
        <v>22002548</v>
      </c>
      <c r="AY478">
        <v>631100</v>
      </c>
      <c r="AZ478">
        <v>1201.6311000000001</v>
      </c>
      <c r="BA478" s="28" t="s">
        <v>43</v>
      </c>
    </row>
    <row r="479" spans="1:53">
      <c r="A479" t="s">
        <v>271</v>
      </c>
      <c r="B479" t="s">
        <v>272</v>
      </c>
      <c r="C479">
        <v>22010646</v>
      </c>
      <c r="D479">
        <v>1201</v>
      </c>
      <c r="E479" s="6">
        <v>44774</v>
      </c>
      <c r="F479" t="s">
        <v>564</v>
      </c>
      <c r="G479">
        <v>33.6</v>
      </c>
      <c r="H479">
        <v>33.6</v>
      </c>
      <c r="I479" t="s">
        <v>263</v>
      </c>
      <c r="J479" t="s">
        <v>263</v>
      </c>
      <c r="L479" s="29">
        <v>500000</v>
      </c>
      <c r="N479" s="29">
        <v>500000</v>
      </c>
      <c r="O479" t="s">
        <v>264</v>
      </c>
      <c r="Q479" t="s">
        <v>264</v>
      </c>
      <c r="R479" t="s">
        <v>265</v>
      </c>
      <c r="S479">
        <v>14882</v>
      </c>
      <c r="T479" t="s">
        <v>266</v>
      </c>
      <c r="U479" t="s">
        <v>267</v>
      </c>
      <c r="V479" t="s">
        <v>273</v>
      </c>
      <c r="W479" t="s">
        <v>274</v>
      </c>
      <c r="X479">
        <v>1925543</v>
      </c>
      <c r="Y479" s="6">
        <v>44774</v>
      </c>
      <c r="Z479" t="s">
        <v>264</v>
      </c>
      <c r="AA479">
        <v>1</v>
      </c>
      <c r="AB479" t="s">
        <v>264</v>
      </c>
      <c r="AD479" t="s">
        <v>264</v>
      </c>
      <c r="AE479" t="s">
        <v>264</v>
      </c>
      <c r="AF479" t="s">
        <v>264</v>
      </c>
      <c r="AG479">
        <v>1</v>
      </c>
      <c r="AH479" t="s">
        <v>264</v>
      </c>
      <c r="AI479">
        <v>55696463</v>
      </c>
      <c r="AJ479" t="s">
        <v>564</v>
      </c>
      <c r="AL479" t="s">
        <v>565</v>
      </c>
      <c r="AM479" s="6">
        <v>44729</v>
      </c>
      <c r="AN479" t="s">
        <v>533</v>
      </c>
      <c r="AO479" t="s">
        <v>268</v>
      </c>
      <c r="AP479">
        <v>1201</v>
      </c>
      <c r="AQ479" t="s">
        <v>269</v>
      </c>
      <c r="AR479" t="s">
        <v>553</v>
      </c>
      <c r="AU479" t="s">
        <v>264</v>
      </c>
      <c r="AV479" t="s">
        <v>270</v>
      </c>
      <c r="AX479">
        <v>22002549</v>
      </c>
      <c r="AY479">
        <v>631100</v>
      </c>
      <c r="AZ479">
        <v>1201.6311000000001</v>
      </c>
      <c r="BA479" s="28" t="s">
        <v>43</v>
      </c>
    </row>
    <row r="480" spans="1:53">
      <c r="A480" t="s">
        <v>271</v>
      </c>
      <c r="B480" t="s">
        <v>272</v>
      </c>
      <c r="C480">
        <v>22010647</v>
      </c>
      <c r="D480">
        <v>1201</v>
      </c>
      <c r="E480" s="6">
        <v>44774</v>
      </c>
      <c r="F480" t="s">
        <v>560</v>
      </c>
      <c r="G480">
        <v>49.21</v>
      </c>
      <c r="H480">
        <v>49.21</v>
      </c>
      <c r="I480" t="s">
        <v>263</v>
      </c>
      <c r="J480" t="s">
        <v>263</v>
      </c>
      <c r="L480" s="29">
        <v>732341</v>
      </c>
      <c r="N480" s="29">
        <v>732341</v>
      </c>
      <c r="O480" t="s">
        <v>264</v>
      </c>
      <c r="Q480" t="s">
        <v>264</v>
      </c>
      <c r="R480" t="s">
        <v>265</v>
      </c>
      <c r="S480">
        <v>14882</v>
      </c>
      <c r="T480" t="s">
        <v>266</v>
      </c>
      <c r="U480" t="s">
        <v>267</v>
      </c>
      <c r="V480" t="s">
        <v>273</v>
      </c>
      <c r="W480" t="s">
        <v>274</v>
      </c>
      <c r="X480">
        <v>1925543</v>
      </c>
      <c r="Y480" s="6">
        <v>44774</v>
      </c>
      <c r="Z480" t="s">
        <v>264</v>
      </c>
      <c r="AA480">
        <v>1</v>
      </c>
      <c r="AB480" t="s">
        <v>264</v>
      </c>
      <c r="AD480" t="s">
        <v>264</v>
      </c>
      <c r="AE480" t="s">
        <v>264</v>
      </c>
      <c r="AF480" t="s">
        <v>264</v>
      </c>
      <c r="AG480">
        <v>1</v>
      </c>
      <c r="AH480" t="s">
        <v>264</v>
      </c>
      <c r="AI480">
        <v>55113299</v>
      </c>
      <c r="AJ480" t="s">
        <v>560</v>
      </c>
      <c r="AL480" t="s">
        <v>566</v>
      </c>
      <c r="AM480" s="6">
        <v>44732</v>
      </c>
      <c r="AN480" t="s">
        <v>533</v>
      </c>
      <c r="AO480" t="s">
        <v>268</v>
      </c>
      <c r="AP480">
        <v>1201</v>
      </c>
      <c r="AQ480" t="s">
        <v>269</v>
      </c>
      <c r="AR480" t="s">
        <v>549</v>
      </c>
      <c r="AU480" t="s">
        <v>264</v>
      </c>
      <c r="AV480" t="s">
        <v>270</v>
      </c>
      <c r="AX480">
        <v>22002546</v>
      </c>
      <c r="AY480">
        <v>631100</v>
      </c>
      <c r="AZ480">
        <v>1201.6311000000001</v>
      </c>
      <c r="BA480" s="28" t="s">
        <v>43</v>
      </c>
    </row>
    <row r="481" spans="1:53">
      <c r="A481" t="s">
        <v>271</v>
      </c>
      <c r="B481" t="s">
        <v>272</v>
      </c>
      <c r="C481">
        <v>22010648</v>
      </c>
      <c r="D481">
        <v>1201</v>
      </c>
      <c r="E481" s="6">
        <v>44774</v>
      </c>
      <c r="F481" t="s">
        <v>541</v>
      </c>
      <c r="G481">
        <v>38.97</v>
      </c>
      <c r="H481">
        <v>38.97</v>
      </c>
      <c r="I481" t="s">
        <v>263</v>
      </c>
      <c r="J481" t="s">
        <v>263</v>
      </c>
      <c r="L481" s="29">
        <v>580000</v>
      </c>
      <c r="N481" s="29">
        <v>580000</v>
      </c>
      <c r="O481" t="s">
        <v>264</v>
      </c>
      <c r="Q481" t="s">
        <v>264</v>
      </c>
      <c r="R481" t="s">
        <v>265</v>
      </c>
      <c r="S481">
        <v>14882</v>
      </c>
      <c r="T481" t="s">
        <v>266</v>
      </c>
      <c r="U481" t="s">
        <v>267</v>
      </c>
      <c r="V481" t="s">
        <v>273</v>
      </c>
      <c r="W481" t="s">
        <v>274</v>
      </c>
      <c r="X481">
        <v>1925543</v>
      </c>
      <c r="Y481" s="6">
        <v>44774</v>
      </c>
      <c r="Z481" t="s">
        <v>264</v>
      </c>
      <c r="AA481">
        <v>1</v>
      </c>
      <c r="AB481" t="s">
        <v>264</v>
      </c>
      <c r="AD481" t="s">
        <v>264</v>
      </c>
      <c r="AE481" t="s">
        <v>264</v>
      </c>
      <c r="AF481" t="s">
        <v>264</v>
      </c>
      <c r="AG481">
        <v>1</v>
      </c>
      <c r="AH481" t="s">
        <v>264</v>
      </c>
      <c r="AI481">
        <v>57054270</v>
      </c>
      <c r="AJ481" t="s">
        <v>541</v>
      </c>
      <c r="AL481" t="s">
        <v>566</v>
      </c>
      <c r="AM481" s="6">
        <v>44732</v>
      </c>
      <c r="AN481" t="s">
        <v>533</v>
      </c>
      <c r="AO481" t="s">
        <v>268</v>
      </c>
      <c r="AP481">
        <v>1201</v>
      </c>
      <c r="AQ481" t="s">
        <v>269</v>
      </c>
      <c r="AR481" t="s">
        <v>549</v>
      </c>
      <c r="AU481" t="s">
        <v>264</v>
      </c>
      <c r="AV481" t="s">
        <v>270</v>
      </c>
      <c r="AX481">
        <v>22002550</v>
      </c>
      <c r="AY481">
        <v>631100</v>
      </c>
      <c r="AZ481">
        <v>1201.6311000000001</v>
      </c>
      <c r="BA481" s="28" t="s">
        <v>43</v>
      </c>
    </row>
    <row r="482" spans="1:53">
      <c r="A482" t="s">
        <v>271</v>
      </c>
      <c r="B482" t="s">
        <v>272</v>
      </c>
      <c r="C482">
        <v>22010649</v>
      </c>
      <c r="D482">
        <v>1201</v>
      </c>
      <c r="E482" s="6">
        <v>44774</v>
      </c>
      <c r="F482" t="s">
        <v>567</v>
      </c>
      <c r="G482">
        <v>19.82</v>
      </c>
      <c r="H482">
        <v>19.82</v>
      </c>
      <c r="I482" t="s">
        <v>263</v>
      </c>
      <c r="J482" t="s">
        <v>263</v>
      </c>
      <c r="L482" s="29">
        <v>295000</v>
      </c>
      <c r="N482" s="29">
        <v>295000</v>
      </c>
      <c r="O482" t="s">
        <v>264</v>
      </c>
      <c r="Q482" t="s">
        <v>264</v>
      </c>
      <c r="R482" t="s">
        <v>265</v>
      </c>
      <c r="S482">
        <v>14882</v>
      </c>
      <c r="T482" t="s">
        <v>266</v>
      </c>
      <c r="U482" t="s">
        <v>267</v>
      </c>
      <c r="V482" t="s">
        <v>273</v>
      </c>
      <c r="W482" t="s">
        <v>274</v>
      </c>
      <c r="X482">
        <v>1925543</v>
      </c>
      <c r="Y482" s="6">
        <v>44774</v>
      </c>
      <c r="Z482" t="s">
        <v>264</v>
      </c>
      <c r="AA482">
        <v>1</v>
      </c>
      <c r="AB482" t="s">
        <v>264</v>
      </c>
      <c r="AD482" t="s">
        <v>264</v>
      </c>
      <c r="AE482" t="s">
        <v>264</v>
      </c>
      <c r="AF482" t="s">
        <v>264</v>
      </c>
      <c r="AG482">
        <v>1</v>
      </c>
      <c r="AH482" t="s">
        <v>264</v>
      </c>
      <c r="AI482">
        <v>57357545</v>
      </c>
      <c r="AJ482" t="s">
        <v>567</v>
      </c>
      <c r="AL482" t="s">
        <v>568</v>
      </c>
      <c r="AM482" s="6">
        <v>44715</v>
      </c>
      <c r="AN482" t="s">
        <v>533</v>
      </c>
      <c r="AO482" t="s">
        <v>268</v>
      </c>
      <c r="AP482">
        <v>1201</v>
      </c>
      <c r="AQ482" t="s">
        <v>269</v>
      </c>
      <c r="AR482" t="s">
        <v>549</v>
      </c>
      <c r="AU482" t="s">
        <v>264</v>
      </c>
      <c r="AV482" t="s">
        <v>270</v>
      </c>
      <c r="AX482">
        <v>22002551</v>
      </c>
      <c r="AY482">
        <v>631100</v>
      </c>
      <c r="AZ482">
        <v>1201.6311000000001</v>
      </c>
      <c r="BA482" s="28" t="s">
        <v>43</v>
      </c>
    </row>
    <row r="483" spans="1:53">
      <c r="A483" t="s">
        <v>271</v>
      </c>
      <c r="B483" t="s">
        <v>272</v>
      </c>
      <c r="C483">
        <v>22010650</v>
      </c>
      <c r="D483">
        <v>1201</v>
      </c>
      <c r="E483" s="6">
        <v>44774</v>
      </c>
      <c r="F483" t="s">
        <v>567</v>
      </c>
      <c r="G483">
        <v>24.53</v>
      </c>
      <c r="H483">
        <v>24.53</v>
      </c>
      <c r="I483" t="s">
        <v>263</v>
      </c>
      <c r="J483" t="s">
        <v>263</v>
      </c>
      <c r="L483" s="29">
        <v>365000</v>
      </c>
      <c r="N483" s="29">
        <v>365000</v>
      </c>
      <c r="O483" t="s">
        <v>264</v>
      </c>
      <c r="Q483" t="s">
        <v>264</v>
      </c>
      <c r="R483" t="s">
        <v>265</v>
      </c>
      <c r="S483">
        <v>14882</v>
      </c>
      <c r="T483" t="s">
        <v>266</v>
      </c>
      <c r="U483" t="s">
        <v>267</v>
      </c>
      <c r="V483" t="s">
        <v>273</v>
      </c>
      <c r="W483" t="s">
        <v>274</v>
      </c>
      <c r="X483">
        <v>1925543</v>
      </c>
      <c r="Y483" s="6">
        <v>44774</v>
      </c>
      <c r="Z483" t="s">
        <v>264</v>
      </c>
      <c r="AA483">
        <v>1</v>
      </c>
      <c r="AB483" t="s">
        <v>264</v>
      </c>
      <c r="AD483" t="s">
        <v>264</v>
      </c>
      <c r="AE483" t="s">
        <v>264</v>
      </c>
      <c r="AF483" t="s">
        <v>264</v>
      </c>
      <c r="AG483">
        <v>1</v>
      </c>
      <c r="AH483" t="s">
        <v>264</v>
      </c>
      <c r="AI483">
        <v>57357545</v>
      </c>
      <c r="AJ483" t="s">
        <v>567</v>
      </c>
      <c r="AL483" t="s">
        <v>569</v>
      </c>
      <c r="AM483" s="6">
        <v>44715</v>
      </c>
      <c r="AN483" t="s">
        <v>533</v>
      </c>
      <c r="AO483" t="s">
        <v>268</v>
      </c>
      <c r="AP483">
        <v>1201</v>
      </c>
      <c r="AQ483" t="s">
        <v>269</v>
      </c>
      <c r="AR483" t="s">
        <v>549</v>
      </c>
      <c r="AU483" t="s">
        <v>264</v>
      </c>
      <c r="AV483" t="s">
        <v>270</v>
      </c>
      <c r="AX483">
        <v>22002551</v>
      </c>
      <c r="AY483">
        <v>631100</v>
      </c>
      <c r="AZ483">
        <v>1201.6311000000001</v>
      </c>
      <c r="BA483" s="28" t="s">
        <v>43</v>
      </c>
    </row>
    <row r="484" spans="1:53">
      <c r="A484" t="s">
        <v>271</v>
      </c>
      <c r="B484" t="s">
        <v>272</v>
      </c>
      <c r="C484">
        <v>22010651</v>
      </c>
      <c r="D484">
        <v>1201</v>
      </c>
      <c r="E484" s="6">
        <v>44774</v>
      </c>
      <c r="F484" t="s">
        <v>570</v>
      </c>
      <c r="G484">
        <v>65.319999999999993</v>
      </c>
      <c r="H484">
        <v>65.319999999999993</v>
      </c>
      <c r="I484" t="s">
        <v>263</v>
      </c>
      <c r="J484" t="s">
        <v>263</v>
      </c>
      <c r="L484" s="29">
        <v>972090</v>
      </c>
      <c r="N484" s="29">
        <v>972090</v>
      </c>
      <c r="O484" t="s">
        <v>264</v>
      </c>
      <c r="Q484" t="s">
        <v>264</v>
      </c>
      <c r="R484" t="s">
        <v>265</v>
      </c>
      <c r="S484">
        <v>14882</v>
      </c>
      <c r="T484" t="s">
        <v>266</v>
      </c>
      <c r="U484" t="s">
        <v>267</v>
      </c>
      <c r="V484" t="s">
        <v>273</v>
      </c>
      <c r="W484" t="s">
        <v>274</v>
      </c>
      <c r="X484">
        <v>1925543</v>
      </c>
      <c r="Y484" s="6">
        <v>44774</v>
      </c>
      <c r="Z484" t="s">
        <v>264</v>
      </c>
      <c r="AA484">
        <v>1</v>
      </c>
      <c r="AB484" t="s">
        <v>264</v>
      </c>
      <c r="AD484" t="s">
        <v>264</v>
      </c>
      <c r="AE484" t="s">
        <v>264</v>
      </c>
      <c r="AF484" t="s">
        <v>264</v>
      </c>
      <c r="AG484">
        <v>1</v>
      </c>
      <c r="AH484" t="s">
        <v>264</v>
      </c>
      <c r="AI484">
        <v>55101941</v>
      </c>
      <c r="AJ484" t="s">
        <v>570</v>
      </c>
      <c r="AL484" t="s">
        <v>571</v>
      </c>
      <c r="AM484" s="6">
        <v>44715</v>
      </c>
      <c r="AN484" t="s">
        <v>533</v>
      </c>
      <c r="AO484" t="s">
        <v>268</v>
      </c>
      <c r="AP484">
        <v>1201</v>
      </c>
      <c r="AQ484" t="s">
        <v>269</v>
      </c>
      <c r="AR484" t="s">
        <v>549</v>
      </c>
      <c r="AU484" t="s">
        <v>264</v>
      </c>
      <c r="AV484" t="s">
        <v>270</v>
      </c>
      <c r="AX484">
        <v>22002552</v>
      </c>
      <c r="AY484">
        <v>631100</v>
      </c>
      <c r="AZ484">
        <v>1201.6311000000001</v>
      </c>
      <c r="BA484" s="28" t="s">
        <v>43</v>
      </c>
    </row>
    <row r="485" spans="1:53">
      <c r="A485" t="s">
        <v>271</v>
      </c>
      <c r="B485" t="s">
        <v>272</v>
      </c>
      <c r="C485">
        <v>22010652</v>
      </c>
      <c r="D485">
        <v>1201</v>
      </c>
      <c r="E485" s="6">
        <v>44774</v>
      </c>
      <c r="F485" t="s">
        <v>541</v>
      </c>
      <c r="G485">
        <v>40.99</v>
      </c>
      <c r="H485">
        <v>40.99</v>
      </c>
      <c r="I485" t="s">
        <v>263</v>
      </c>
      <c r="J485" t="s">
        <v>263</v>
      </c>
      <c r="L485" s="29">
        <v>610000</v>
      </c>
      <c r="N485" s="29">
        <v>610000</v>
      </c>
      <c r="O485" t="s">
        <v>264</v>
      </c>
      <c r="Q485" t="s">
        <v>264</v>
      </c>
      <c r="R485" t="s">
        <v>265</v>
      </c>
      <c r="S485">
        <v>14882</v>
      </c>
      <c r="T485" t="s">
        <v>266</v>
      </c>
      <c r="U485" t="s">
        <v>267</v>
      </c>
      <c r="V485" t="s">
        <v>273</v>
      </c>
      <c r="W485" t="s">
        <v>274</v>
      </c>
      <c r="X485">
        <v>1925543</v>
      </c>
      <c r="Y485" s="6">
        <v>44774</v>
      </c>
      <c r="Z485" t="s">
        <v>264</v>
      </c>
      <c r="AA485">
        <v>1</v>
      </c>
      <c r="AB485" t="s">
        <v>264</v>
      </c>
      <c r="AD485" t="s">
        <v>264</v>
      </c>
      <c r="AE485" t="s">
        <v>264</v>
      </c>
      <c r="AF485" t="s">
        <v>264</v>
      </c>
      <c r="AG485">
        <v>1</v>
      </c>
      <c r="AH485" t="s">
        <v>264</v>
      </c>
      <c r="AI485">
        <v>57054270</v>
      </c>
      <c r="AJ485" t="s">
        <v>541</v>
      </c>
      <c r="AL485" t="s">
        <v>571</v>
      </c>
      <c r="AM485" s="6">
        <v>44715</v>
      </c>
      <c r="AN485" t="s">
        <v>533</v>
      </c>
      <c r="AO485" t="s">
        <v>268</v>
      </c>
      <c r="AP485">
        <v>1201</v>
      </c>
      <c r="AQ485" t="s">
        <v>269</v>
      </c>
      <c r="AR485" t="s">
        <v>549</v>
      </c>
      <c r="AU485" t="s">
        <v>264</v>
      </c>
      <c r="AV485" t="s">
        <v>270</v>
      </c>
      <c r="AX485">
        <v>22002550</v>
      </c>
      <c r="AY485">
        <v>631100</v>
      </c>
      <c r="AZ485">
        <v>1201.6311000000001</v>
      </c>
      <c r="BA485" s="28" t="s">
        <v>43</v>
      </c>
    </row>
    <row r="486" spans="1:53">
      <c r="A486" t="s">
        <v>271</v>
      </c>
      <c r="B486" t="s">
        <v>272</v>
      </c>
      <c r="C486">
        <v>22010654</v>
      </c>
      <c r="D486">
        <v>1201</v>
      </c>
      <c r="E486" s="6">
        <v>44774</v>
      </c>
      <c r="F486" t="s">
        <v>570</v>
      </c>
      <c r="G486">
        <v>117.75</v>
      </c>
      <c r="H486">
        <v>117.75</v>
      </c>
      <c r="I486" t="s">
        <v>263</v>
      </c>
      <c r="J486" t="s">
        <v>263</v>
      </c>
      <c r="L486" s="29">
        <v>1752340</v>
      </c>
      <c r="N486" s="29">
        <v>1752340</v>
      </c>
      <c r="O486" t="s">
        <v>264</v>
      </c>
      <c r="Q486" t="s">
        <v>264</v>
      </c>
      <c r="R486" t="s">
        <v>265</v>
      </c>
      <c r="S486">
        <v>14882</v>
      </c>
      <c r="T486" t="s">
        <v>266</v>
      </c>
      <c r="U486" t="s">
        <v>267</v>
      </c>
      <c r="V486" t="s">
        <v>273</v>
      </c>
      <c r="W486" t="s">
        <v>274</v>
      </c>
      <c r="X486">
        <v>1925543</v>
      </c>
      <c r="Y486" s="6">
        <v>44774</v>
      </c>
      <c r="Z486" t="s">
        <v>264</v>
      </c>
      <c r="AA486">
        <v>1</v>
      </c>
      <c r="AB486" t="s">
        <v>264</v>
      </c>
      <c r="AD486" t="s">
        <v>264</v>
      </c>
      <c r="AE486" t="s">
        <v>264</v>
      </c>
      <c r="AF486" t="s">
        <v>264</v>
      </c>
      <c r="AG486">
        <v>1</v>
      </c>
      <c r="AH486" t="s">
        <v>264</v>
      </c>
      <c r="AI486">
        <v>55101941</v>
      </c>
      <c r="AJ486" t="s">
        <v>570</v>
      </c>
      <c r="AL486" t="s">
        <v>572</v>
      </c>
      <c r="AM486" s="6">
        <v>44715</v>
      </c>
      <c r="AN486" t="s">
        <v>533</v>
      </c>
      <c r="AO486" t="s">
        <v>268</v>
      </c>
      <c r="AP486">
        <v>1201</v>
      </c>
      <c r="AQ486" t="s">
        <v>269</v>
      </c>
      <c r="AR486" t="s">
        <v>549</v>
      </c>
      <c r="AU486" t="s">
        <v>264</v>
      </c>
      <c r="AV486" t="s">
        <v>270</v>
      </c>
      <c r="AX486">
        <v>22002552</v>
      </c>
      <c r="AY486">
        <v>631100</v>
      </c>
      <c r="AZ486">
        <v>1201.6311000000001</v>
      </c>
      <c r="BA486" s="28" t="s">
        <v>43</v>
      </c>
    </row>
    <row r="487" spans="1:53">
      <c r="A487" t="s">
        <v>271</v>
      </c>
      <c r="B487" t="s">
        <v>272</v>
      </c>
      <c r="C487">
        <v>22010655</v>
      </c>
      <c r="D487">
        <v>1201</v>
      </c>
      <c r="E487" s="6">
        <v>44774</v>
      </c>
      <c r="F487" t="s">
        <v>541</v>
      </c>
      <c r="G487">
        <v>49.72</v>
      </c>
      <c r="H487">
        <v>49.72</v>
      </c>
      <c r="I487" t="s">
        <v>263</v>
      </c>
      <c r="J487" t="s">
        <v>263</v>
      </c>
      <c r="L487" s="29">
        <v>740000</v>
      </c>
      <c r="N487" s="29">
        <v>740000</v>
      </c>
      <c r="O487" t="s">
        <v>264</v>
      </c>
      <c r="Q487" t="s">
        <v>264</v>
      </c>
      <c r="R487" t="s">
        <v>265</v>
      </c>
      <c r="S487">
        <v>14882</v>
      </c>
      <c r="T487" t="s">
        <v>266</v>
      </c>
      <c r="U487" t="s">
        <v>267</v>
      </c>
      <c r="V487" t="s">
        <v>273</v>
      </c>
      <c r="W487" t="s">
        <v>274</v>
      </c>
      <c r="X487">
        <v>1925543</v>
      </c>
      <c r="Y487" s="6">
        <v>44774</v>
      </c>
      <c r="Z487" t="s">
        <v>264</v>
      </c>
      <c r="AA487">
        <v>1</v>
      </c>
      <c r="AB487" t="s">
        <v>264</v>
      </c>
      <c r="AD487" t="s">
        <v>264</v>
      </c>
      <c r="AE487" t="s">
        <v>264</v>
      </c>
      <c r="AF487" t="s">
        <v>264</v>
      </c>
      <c r="AG487">
        <v>1</v>
      </c>
      <c r="AH487" t="s">
        <v>264</v>
      </c>
      <c r="AI487">
        <v>57054270</v>
      </c>
      <c r="AJ487" t="s">
        <v>541</v>
      </c>
      <c r="AL487" t="s">
        <v>572</v>
      </c>
      <c r="AM487" s="6">
        <v>44715</v>
      </c>
      <c r="AN487" t="s">
        <v>533</v>
      </c>
      <c r="AO487" t="s">
        <v>268</v>
      </c>
      <c r="AP487">
        <v>1201</v>
      </c>
      <c r="AQ487" t="s">
        <v>269</v>
      </c>
      <c r="AR487" t="s">
        <v>549</v>
      </c>
      <c r="AU487" t="s">
        <v>264</v>
      </c>
      <c r="AV487" t="s">
        <v>270</v>
      </c>
      <c r="AX487">
        <v>22002550</v>
      </c>
      <c r="AY487">
        <v>631100</v>
      </c>
      <c r="AZ487">
        <v>1201.6311000000001</v>
      </c>
      <c r="BA487" s="28" t="s">
        <v>43</v>
      </c>
    </row>
    <row r="488" spans="1:53">
      <c r="A488" t="s">
        <v>271</v>
      </c>
      <c r="B488" t="s">
        <v>272</v>
      </c>
      <c r="C488">
        <v>22010656</v>
      </c>
      <c r="D488">
        <v>1201</v>
      </c>
      <c r="E488" s="6">
        <v>44774</v>
      </c>
      <c r="F488" t="s">
        <v>540</v>
      </c>
      <c r="G488">
        <v>36.29</v>
      </c>
      <c r="H488">
        <v>36.29</v>
      </c>
      <c r="I488" t="s">
        <v>263</v>
      </c>
      <c r="J488" t="s">
        <v>263</v>
      </c>
      <c r="L488" s="29">
        <v>540000</v>
      </c>
      <c r="N488" s="29">
        <v>540000</v>
      </c>
      <c r="O488" t="s">
        <v>264</v>
      </c>
      <c r="Q488" t="s">
        <v>264</v>
      </c>
      <c r="R488" t="s">
        <v>265</v>
      </c>
      <c r="S488">
        <v>14882</v>
      </c>
      <c r="T488" t="s">
        <v>266</v>
      </c>
      <c r="U488" t="s">
        <v>267</v>
      </c>
      <c r="V488" t="s">
        <v>273</v>
      </c>
      <c r="W488" t="s">
        <v>274</v>
      </c>
      <c r="X488">
        <v>1925543</v>
      </c>
      <c r="Y488" s="6">
        <v>44774</v>
      </c>
      <c r="Z488" t="s">
        <v>264</v>
      </c>
      <c r="AA488">
        <v>1</v>
      </c>
      <c r="AB488" t="s">
        <v>264</v>
      </c>
      <c r="AD488" t="s">
        <v>264</v>
      </c>
      <c r="AE488" t="s">
        <v>264</v>
      </c>
      <c r="AF488" t="s">
        <v>264</v>
      </c>
      <c r="AG488">
        <v>1</v>
      </c>
      <c r="AH488" t="s">
        <v>264</v>
      </c>
      <c r="AI488">
        <v>56013767</v>
      </c>
      <c r="AJ488" t="s">
        <v>540</v>
      </c>
      <c r="AL488" t="s">
        <v>573</v>
      </c>
      <c r="AM488" s="6">
        <v>44715</v>
      </c>
      <c r="AN488" t="s">
        <v>533</v>
      </c>
      <c r="AO488" t="s">
        <v>268</v>
      </c>
      <c r="AP488">
        <v>1201</v>
      </c>
      <c r="AQ488" t="s">
        <v>269</v>
      </c>
      <c r="AR488" t="s">
        <v>549</v>
      </c>
      <c r="AU488" t="s">
        <v>264</v>
      </c>
      <c r="AV488" t="s">
        <v>270</v>
      </c>
      <c r="AX488">
        <v>22002547</v>
      </c>
      <c r="AY488">
        <v>631100</v>
      </c>
      <c r="AZ488">
        <v>1201.6311000000001</v>
      </c>
      <c r="BA488" s="28" t="s">
        <v>43</v>
      </c>
    </row>
    <row r="489" spans="1:53">
      <c r="A489" t="s">
        <v>271</v>
      </c>
      <c r="B489" t="s">
        <v>272</v>
      </c>
      <c r="C489">
        <v>22010658</v>
      </c>
      <c r="D489">
        <v>1201</v>
      </c>
      <c r="E489" s="6">
        <v>44774</v>
      </c>
      <c r="F489" t="s">
        <v>560</v>
      </c>
      <c r="G489">
        <v>83.48</v>
      </c>
      <c r="H489">
        <v>83.48</v>
      </c>
      <c r="I489" t="s">
        <v>263</v>
      </c>
      <c r="J489" t="s">
        <v>263</v>
      </c>
      <c r="L489" s="29">
        <v>1242341</v>
      </c>
      <c r="N489" s="29">
        <v>1242341</v>
      </c>
      <c r="O489" t="s">
        <v>264</v>
      </c>
      <c r="Q489" t="s">
        <v>264</v>
      </c>
      <c r="R489" t="s">
        <v>265</v>
      </c>
      <c r="S489">
        <v>14882</v>
      </c>
      <c r="T489" t="s">
        <v>266</v>
      </c>
      <c r="U489" t="s">
        <v>267</v>
      </c>
      <c r="V489" t="s">
        <v>273</v>
      </c>
      <c r="W489" t="s">
        <v>274</v>
      </c>
      <c r="X489">
        <v>1925543</v>
      </c>
      <c r="Y489" s="6">
        <v>44774</v>
      </c>
      <c r="Z489" t="s">
        <v>264</v>
      </c>
      <c r="AA489">
        <v>1</v>
      </c>
      <c r="AB489" t="s">
        <v>264</v>
      </c>
      <c r="AD489" t="s">
        <v>264</v>
      </c>
      <c r="AE489" t="s">
        <v>264</v>
      </c>
      <c r="AF489" t="s">
        <v>264</v>
      </c>
      <c r="AG489">
        <v>1</v>
      </c>
      <c r="AH489" t="s">
        <v>264</v>
      </c>
      <c r="AI489">
        <v>55113299</v>
      </c>
      <c r="AJ489" t="s">
        <v>560</v>
      </c>
      <c r="AL489" t="s">
        <v>573</v>
      </c>
      <c r="AM489" s="6">
        <v>44715</v>
      </c>
      <c r="AN489" t="s">
        <v>533</v>
      </c>
      <c r="AO489" t="s">
        <v>268</v>
      </c>
      <c r="AP489">
        <v>1201</v>
      </c>
      <c r="AQ489" t="s">
        <v>269</v>
      </c>
      <c r="AR489" t="s">
        <v>549</v>
      </c>
      <c r="AU489" t="s">
        <v>264</v>
      </c>
      <c r="AV489" t="s">
        <v>270</v>
      </c>
      <c r="AX489">
        <v>22002546</v>
      </c>
      <c r="AY489">
        <v>631100</v>
      </c>
      <c r="AZ489">
        <v>1201.6311000000001</v>
      </c>
      <c r="BA489" s="28" t="s">
        <v>43</v>
      </c>
    </row>
    <row r="490" spans="1:53">
      <c r="A490" t="s">
        <v>271</v>
      </c>
      <c r="B490" t="s">
        <v>272</v>
      </c>
      <c r="C490">
        <v>22010681</v>
      </c>
      <c r="D490">
        <v>1201</v>
      </c>
      <c r="E490" s="6">
        <v>44775</v>
      </c>
      <c r="F490" t="s">
        <v>574</v>
      </c>
      <c r="G490">
        <v>109.19</v>
      </c>
      <c r="H490">
        <v>109.19</v>
      </c>
      <c r="I490" t="s">
        <v>263</v>
      </c>
      <c r="J490" t="s">
        <v>263</v>
      </c>
      <c r="L490" s="29">
        <v>1625000</v>
      </c>
      <c r="N490" s="29">
        <v>1625000</v>
      </c>
      <c r="O490" t="s">
        <v>264</v>
      </c>
      <c r="Q490" t="s">
        <v>264</v>
      </c>
      <c r="R490" t="s">
        <v>265</v>
      </c>
      <c r="S490">
        <v>14882</v>
      </c>
      <c r="T490" t="s">
        <v>266</v>
      </c>
      <c r="U490" t="s">
        <v>267</v>
      </c>
      <c r="V490" t="s">
        <v>273</v>
      </c>
      <c r="W490" t="s">
        <v>274</v>
      </c>
      <c r="X490">
        <v>1926289</v>
      </c>
      <c r="Y490" s="6">
        <v>44775</v>
      </c>
      <c r="Z490" t="s">
        <v>264</v>
      </c>
      <c r="AA490">
        <v>1</v>
      </c>
      <c r="AB490" t="s">
        <v>264</v>
      </c>
      <c r="AD490" t="s">
        <v>264</v>
      </c>
      <c r="AE490" t="s">
        <v>264</v>
      </c>
      <c r="AF490" t="s">
        <v>264</v>
      </c>
      <c r="AG490">
        <v>1</v>
      </c>
      <c r="AH490" t="s">
        <v>264</v>
      </c>
      <c r="AI490">
        <v>54001144</v>
      </c>
      <c r="AJ490" t="s">
        <v>574</v>
      </c>
      <c r="AL490" t="s">
        <v>575</v>
      </c>
      <c r="AM490" s="6">
        <v>44762</v>
      </c>
      <c r="AN490" t="s">
        <v>533</v>
      </c>
      <c r="AO490" t="s">
        <v>268</v>
      </c>
      <c r="AP490">
        <v>1201</v>
      </c>
      <c r="AQ490" t="s">
        <v>269</v>
      </c>
      <c r="AR490" t="s">
        <v>576</v>
      </c>
      <c r="AU490" t="s">
        <v>264</v>
      </c>
      <c r="AV490" t="s">
        <v>270</v>
      </c>
      <c r="AX490">
        <v>22002621</v>
      </c>
      <c r="AY490">
        <v>631100</v>
      </c>
      <c r="AZ490">
        <v>1201.6311000000001</v>
      </c>
      <c r="BA490" s="28" t="s">
        <v>43</v>
      </c>
    </row>
    <row r="491" spans="1:53">
      <c r="A491" t="s">
        <v>271</v>
      </c>
      <c r="B491" t="s">
        <v>272</v>
      </c>
      <c r="C491">
        <v>22010682</v>
      </c>
      <c r="D491">
        <v>1201</v>
      </c>
      <c r="E491" s="6">
        <v>44775</v>
      </c>
      <c r="F491" t="s">
        <v>574</v>
      </c>
      <c r="G491">
        <v>87.35</v>
      </c>
      <c r="H491">
        <v>87.35</v>
      </c>
      <c r="I491" t="s">
        <v>263</v>
      </c>
      <c r="J491" t="s">
        <v>263</v>
      </c>
      <c r="L491" s="29">
        <v>1300000</v>
      </c>
      <c r="N491" s="29">
        <v>1300000</v>
      </c>
      <c r="O491" t="s">
        <v>264</v>
      </c>
      <c r="Q491" t="s">
        <v>264</v>
      </c>
      <c r="R491" t="s">
        <v>265</v>
      </c>
      <c r="S491">
        <v>14882</v>
      </c>
      <c r="T491" t="s">
        <v>266</v>
      </c>
      <c r="U491" t="s">
        <v>267</v>
      </c>
      <c r="V491" t="s">
        <v>273</v>
      </c>
      <c r="W491" t="s">
        <v>274</v>
      </c>
      <c r="X491">
        <v>1926289</v>
      </c>
      <c r="Y491" s="6">
        <v>44775</v>
      </c>
      <c r="Z491" t="s">
        <v>264</v>
      </c>
      <c r="AA491">
        <v>1</v>
      </c>
      <c r="AB491" t="s">
        <v>264</v>
      </c>
      <c r="AD491" t="s">
        <v>264</v>
      </c>
      <c r="AE491" t="s">
        <v>264</v>
      </c>
      <c r="AF491" t="s">
        <v>264</v>
      </c>
      <c r="AG491">
        <v>1</v>
      </c>
      <c r="AH491" t="s">
        <v>264</v>
      </c>
      <c r="AI491">
        <v>54001144</v>
      </c>
      <c r="AJ491" t="s">
        <v>574</v>
      </c>
      <c r="AL491" t="s">
        <v>577</v>
      </c>
      <c r="AM491" s="6">
        <v>44762</v>
      </c>
      <c r="AN491" t="s">
        <v>533</v>
      </c>
      <c r="AO491" t="s">
        <v>268</v>
      </c>
      <c r="AP491">
        <v>1201</v>
      </c>
      <c r="AQ491" t="s">
        <v>269</v>
      </c>
      <c r="AR491" t="s">
        <v>576</v>
      </c>
      <c r="AU491" t="s">
        <v>264</v>
      </c>
      <c r="AV491" t="s">
        <v>270</v>
      </c>
      <c r="AX491">
        <v>22002621</v>
      </c>
      <c r="AY491">
        <v>631100</v>
      </c>
      <c r="AZ491">
        <v>1201.6311000000001</v>
      </c>
      <c r="BA491" s="28" t="s">
        <v>43</v>
      </c>
    </row>
    <row r="492" spans="1:53">
      <c r="A492" t="s">
        <v>271</v>
      </c>
      <c r="B492" t="s">
        <v>272</v>
      </c>
      <c r="C492">
        <v>22010683</v>
      </c>
      <c r="D492">
        <v>1201</v>
      </c>
      <c r="E492" s="6">
        <v>44775</v>
      </c>
      <c r="F492" t="s">
        <v>574</v>
      </c>
      <c r="G492">
        <v>208.95</v>
      </c>
      <c r="H492">
        <v>208.95</v>
      </c>
      <c r="I492" t="s">
        <v>263</v>
      </c>
      <c r="J492" t="s">
        <v>263</v>
      </c>
      <c r="L492" s="29">
        <v>3109665</v>
      </c>
      <c r="N492" s="29">
        <v>3109665</v>
      </c>
      <c r="O492" t="s">
        <v>264</v>
      </c>
      <c r="Q492" t="s">
        <v>264</v>
      </c>
      <c r="R492" t="s">
        <v>265</v>
      </c>
      <c r="S492">
        <v>14882</v>
      </c>
      <c r="T492" t="s">
        <v>266</v>
      </c>
      <c r="U492" t="s">
        <v>267</v>
      </c>
      <c r="V492" t="s">
        <v>273</v>
      </c>
      <c r="W492" t="s">
        <v>274</v>
      </c>
      <c r="X492">
        <v>1926289</v>
      </c>
      <c r="Y492" s="6">
        <v>44775</v>
      </c>
      <c r="Z492" t="s">
        <v>264</v>
      </c>
      <c r="AA492">
        <v>1</v>
      </c>
      <c r="AB492" t="s">
        <v>264</v>
      </c>
      <c r="AD492" t="s">
        <v>264</v>
      </c>
      <c r="AE492" t="s">
        <v>264</v>
      </c>
      <c r="AF492" t="s">
        <v>264</v>
      </c>
      <c r="AG492">
        <v>1</v>
      </c>
      <c r="AH492" t="s">
        <v>264</v>
      </c>
      <c r="AI492">
        <v>54001144</v>
      </c>
      <c r="AJ492" t="s">
        <v>574</v>
      </c>
      <c r="AL492" t="s">
        <v>577</v>
      </c>
      <c r="AM492" s="6">
        <v>44762</v>
      </c>
      <c r="AN492" t="s">
        <v>533</v>
      </c>
      <c r="AO492" t="s">
        <v>268</v>
      </c>
      <c r="AP492">
        <v>1201</v>
      </c>
      <c r="AQ492" t="s">
        <v>269</v>
      </c>
      <c r="AR492" t="s">
        <v>576</v>
      </c>
      <c r="AU492" t="s">
        <v>264</v>
      </c>
      <c r="AV492" t="s">
        <v>270</v>
      </c>
      <c r="AX492">
        <v>22002621</v>
      </c>
      <c r="AY492">
        <v>631100</v>
      </c>
      <c r="AZ492">
        <v>1201.6311000000001</v>
      </c>
      <c r="BA492" s="28" t="s">
        <v>43</v>
      </c>
    </row>
    <row r="493" spans="1:53">
      <c r="A493" t="s">
        <v>271</v>
      </c>
      <c r="B493" t="s">
        <v>272</v>
      </c>
      <c r="C493">
        <v>22010722</v>
      </c>
      <c r="D493">
        <v>1201</v>
      </c>
      <c r="E493" s="6">
        <v>44775</v>
      </c>
      <c r="F493" t="s">
        <v>578</v>
      </c>
      <c r="G493">
        <v>104.76</v>
      </c>
      <c r="H493">
        <v>104.76</v>
      </c>
      <c r="I493" t="s">
        <v>263</v>
      </c>
      <c r="J493" t="s">
        <v>263</v>
      </c>
      <c r="L493" s="29">
        <v>1558997</v>
      </c>
      <c r="N493" s="29">
        <v>1558997</v>
      </c>
      <c r="O493" t="s">
        <v>264</v>
      </c>
      <c r="Q493" t="s">
        <v>264</v>
      </c>
      <c r="R493" t="s">
        <v>265</v>
      </c>
      <c r="S493">
        <v>14882</v>
      </c>
      <c r="T493" t="s">
        <v>266</v>
      </c>
      <c r="U493" t="s">
        <v>267</v>
      </c>
      <c r="V493" t="s">
        <v>273</v>
      </c>
      <c r="W493" t="s">
        <v>274</v>
      </c>
      <c r="X493">
        <v>1926602</v>
      </c>
      <c r="Y493" s="6">
        <v>44775</v>
      </c>
      <c r="Z493" t="s">
        <v>264</v>
      </c>
      <c r="AA493">
        <v>1</v>
      </c>
      <c r="AB493" t="s">
        <v>264</v>
      </c>
      <c r="AD493" t="s">
        <v>264</v>
      </c>
      <c r="AE493" t="s">
        <v>264</v>
      </c>
      <c r="AF493" t="s">
        <v>264</v>
      </c>
      <c r="AG493">
        <v>1</v>
      </c>
      <c r="AH493" t="s">
        <v>264</v>
      </c>
      <c r="AI493">
        <v>54000374</v>
      </c>
      <c r="AJ493" t="s">
        <v>578</v>
      </c>
      <c r="AL493">
        <v>887689902</v>
      </c>
      <c r="AM493" s="6">
        <v>44769</v>
      </c>
      <c r="AN493" t="s">
        <v>275</v>
      </c>
      <c r="AO493" t="s">
        <v>268</v>
      </c>
      <c r="AP493">
        <v>1201</v>
      </c>
      <c r="AQ493" t="s">
        <v>269</v>
      </c>
      <c r="AR493" t="s">
        <v>579</v>
      </c>
      <c r="AU493" t="s">
        <v>264</v>
      </c>
      <c r="AV493" t="s">
        <v>270</v>
      </c>
      <c r="AX493">
        <v>22002683</v>
      </c>
      <c r="AY493">
        <v>631100</v>
      </c>
      <c r="AZ493">
        <v>1201.6311000000001</v>
      </c>
      <c r="BA493" s="28" t="s">
        <v>43</v>
      </c>
    </row>
    <row r="494" spans="1:53">
      <c r="A494" t="s">
        <v>271</v>
      </c>
      <c r="B494" t="s">
        <v>272</v>
      </c>
      <c r="C494">
        <v>22010723</v>
      </c>
      <c r="D494">
        <v>1201</v>
      </c>
      <c r="E494" s="6">
        <v>44775</v>
      </c>
      <c r="F494" t="s">
        <v>578</v>
      </c>
      <c r="G494">
        <v>200.41</v>
      </c>
      <c r="H494">
        <v>200.41</v>
      </c>
      <c r="I494" t="s">
        <v>263</v>
      </c>
      <c r="J494" t="s">
        <v>263</v>
      </c>
      <c r="L494" s="29">
        <v>2982541</v>
      </c>
      <c r="N494" s="29">
        <v>2982541</v>
      </c>
      <c r="O494" t="s">
        <v>264</v>
      </c>
      <c r="Q494" t="s">
        <v>264</v>
      </c>
      <c r="R494" t="s">
        <v>265</v>
      </c>
      <c r="S494">
        <v>14882</v>
      </c>
      <c r="T494" t="s">
        <v>266</v>
      </c>
      <c r="U494" t="s">
        <v>267</v>
      </c>
      <c r="V494" t="s">
        <v>273</v>
      </c>
      <c r="W494" t="s">
        <v>274</v>
      </c>
      <c r="X494">
        <v>1926602</v>
      </c>
      <c r="Y494" s="6">
        <v>44775</v>
      </c>
      <c r="Z494" t="s">
        <v>264</v>
      </c>
      <c r="AA494">
        <v>1</v>
      </c>
      <c r="AB494" t="s">
        <v>264</v>
      </c>
      <c r="AD494" t="s">
        <v>264</v>
      </c>
      <c r="AE494" t="s">
        <v>264</v>
      </c>
      <c r="AF494" t="s">
        <v>264</v>
      </c>
      <c r="AG494">
        <v>1</v>
      </c>
      <c r="AH494" t="s">
        <v>264</v>
      </c>
      <c r="AI494">
        <v>54000374</v>
      </c>
      <c r="AJ494" t="s">
        <v>578</v>
      </c>
      <c r="AL494">
        <v>887689903</v>
      </c>
      <c r="AM494" s="6">
        <v>44769</v>
      </c>
      <c r="AN494" t="s">
        <v>275</v>
      </c>
      <c r="AO494" t="s">
        <v>268</v>
      </c>
      <c r="AP494">
        <v>1201</v>
      </c>
      <c r="AQ494" t="s">
        <v>269</v>
      </c>
      <c r="AR494" t="s">
        <v>580</v>
      </c>
      <c r="AU494" t="s">
        <v>264</v>
      </c>
      <c r="AV494" t="s">
        <v>270</v>
      </c>
      <c r="AX494">
        <v>22002683</v>
      </c>
      <c r="AY494">
        <v>631100</v>
      </c>
      <c r="AZ494">
        <v>1201.6311000000001</v>
      </c>
      <c r="BA494" s="28" t="s">
        <v>43</v>
      </c>
    </row>
    <row r="495" spans="1:53">
      <c r="A495" t="s">
        <v>271</v>
      </c>
      <c r="B495" t="s">
        <v>272</v>
      </c>
      <c r="C495">
        <v>22010728</v>
      </c>
      <c r="D495">
        <v>1201</v>
      </c>
      <c r="E495" s="6">
        <v>44775</v>
      </c>
      <c r="F495" t="s">
        <v>578</v>
      </c>
      <c r="G495">
        <v>353.64</v>
      </c>
      <c r="H495">
        <v>353.64</v>
      </c>
      <c r="I495" t="s">
        <v>263</v>
      </c>
      <c r="J495" t="s">
        <v>263</v>
      </c>
      <c r="L495" s="29">
        <v>5262837</v>
      </c>
      <c r="N495" s="29">
        <v>5262837</v>
      </c>
      <c r="O495" t="s">
        <v>264</v>
      </c>
      <c r="Q495" t="s">
        <v>264</v>
      </c>
      <c r="R495" t="s">
        <v>265</v>
      </c>
      <c r="S495">
        <v>14882</v>
      </c>
      <c r="T495" t="s">
        <v>266</v>
      </c>
      <c r="U495" t="s">
        <v>267</v>
      </c>
      <c r="V495" t="s">
        <v>273</v>
      </c>
      <c r="W495" t="s">
        <v>274</v>
      </c>
      <c r="X495">
        <v>1926619</v>
      </c>
      <c r="Y495" s="6">
        <v>44775</v>
      </c>
      <c r="Z495" t="s">
        <v>264</v>
      </c>
      <c r="AA495">
        <v>1</v>
      </c>
      <c r="AB495" t="s">
        <v>264</v>
      </c>
      <c r="AD495" t="s">
        <v>264</v>
      </c>
      <c r="AE495" t="s">
        <v>264</v>
      </c>
      <c r="AF495" t="s">
        <v>264</v>
      </c>
      <c r="AG495">
        <v>1</v>
      </c>
      <c r="AH495" t="s">
        <v>264</v>
      </c>
      <c r="AI495">
        <v>54000374</v>
      </c>
      <c r="AJ495" t="s">
        <v>578</v>
      </c>
      <c r="AL495">
        <v>887466108</v>
      </c>
      <c r="AM495" s="6">
        <v>44678</v>
      </c>
      <c r="AN495" t="s">
        <v>275</v>
      </c>
      <c r="AO495" t="s">
        <v>268</v>
      </c>
      <c r="AP495">
        <v>1201</v>
      </c>
      <c r="AQ495" t="s">
        <v>269</v>
      </c>
      <c r="AR495" t="s">
        <v>581</v>
      </c>
      <c r="AU495" t="s">
        <v>264</v>
      </c>
      <c r="AV495" t="s">
        <v>270</v>
      </c>
      <c r="AX495">
        <v>22002616</v>
      </c>
      <c r="AY495">
        <v>631100</v>
      </c>
      <c r="AZ495">
        <v>1201.6311000000001</v>
      </c>
      <c r="BA495" s="28" t="s">
        <v>43</v>
      </c>
    </row>
    <row r="496" spans="1:53">
      <c r="A496" t="s">
        <v>271</v>
      </c>
      <c r="B496" t="s">
        <v>272</v>
      </c>
      <c r="C496">
        <v>22010730</v>
      </c>
      <c r="D496">
        <v>1201</v>
      </c>
      <c r="E496" s="6">
        <v>44775</v>
      </c>
      <c r="F496" t="s">
        <v>578</v>
      </c>
      <c r="G496">
        <v>419.79</v>
      </c>
      <c r="H496">
        <v>419.79</v>
      </c>
      <c r="I496" t="s">
        <v>263</v>
      </c>
      <c r="J496" t="s">
        <v>263</v>
      </c>
      <c r="L496" s="29">
        <v>6247333</v>
      </c>
      <c r="N496" s="29">
        <v>6247333</v>
      </c>
      <c r="O496" t="s">
        <v>264</v>
      </c>
      <c r="Q496" t="s">
        <v>264</v>
      </c>
      <c r="R496" t="s">
        <v>265</v>
      </c>
      <c r="S496">
        <v>14882</v>
      </c>
      <c r="T496" t="s">
        <v>266</v>
      </c>
      <c r="U496" t="s">
        <v>267</v>
      </c>
      <c r="V496" t="s">
        <v>273</v>
      </c>
      <c r="W496" t="s">
        <v>274</v>
      </c>
      <c r="X496">
        <v>1926619</v>
      </c>
      <c r="Y496" s="6">
        <v>44775</v>
      </c>
      <c r="Z496" t="s">
        <v>264</v>
      </c>
      <c r="AA496">
        <v>1</v>
      </c>
      <c r="AB496" t="s">
        <v>264</v>
      </c>
      <c r="AD496" t="s">
        <v>264</v>
      </c>
      <c r="AE496" t="s">
        <v>264</v>
      </c>
      <c r="AF496" t="s">
        <v>264</v>
      </c>
      <c r="AG496">
        <v>1</v>
      </c>
      <c r="AH496" t="s">
        <v>264</v>
      </c>
      <c r="AI496">
        <v>54000374</v>
      </c>
      <c r="AJ496" t="s">
        <v>578</v>
      </c>
      <c r="AL496">
        <v>887655607</v>
      </c>
      <c r="AM496" s="6">
        <v>44755</v>
      </c>
      <c r="AN496" t="s">
        <v>275</v>
      </c>
      <c r="AO496" t="s">
        <v>268</v>
      </c>
      <c r="AP496">
        <v>1201</v>
      </c>
      <c r="AQ496" t="s">
        <v>269</v>
      </c>
      <c r="AR496" t="s">
        <v>582</v>
      </c>
      <c r="AU496" t="s">
        <v>264</v>
      </c>
      <c r="AV496" t="s">
        <v>270</v>
      </c>
      <c r="AX496">
        <v>22002616</v>
      </c>
      <c r="AY496">
        <v>631100</v>
      </c>
      <c r="AZ496">
        <v>1201.6311000000001</v>
      </c>
      <c r="BA496" s="28" t="s">
        <v>43</v>
      </c>
    </row>
    <row r="497" spans="1:53">
      <c r="A497" t="s">
        <v>271</v>
      </c>
      <c r="B497" t="s">
        <v>272</v>
      </c>
      <c r="C497">
        <v>22010731</v>
      </c>
      <c r="D497">
        <v>1201</v>
      </c>
      <c r="E497" s="6">
        <v>44775</v>
      </c>
      <c r="F497" t="s">
        <v>578</v>
      </c>
      <c r="G497">
        <v>705.55</v>
      </c>
      <c r="H497">
        <v>705.55</v>
      </c>
      <c r="I497" t="s">
        <v>263</v>
      </c>
      <c r="J497" t="s">
        <v>263</v>
      </c>
      <c r="L497" s="29">
        <v>10500000</v>
      </c>
      <c r="N497" s="29">
        <v>10500000</v>
      </c>
      <c r="O497" t="s">
        <v>264</v>
      </c>
      <c r="Q497" t="s">
        <v>264</v>
      </c>
      <c r="R497" t="s">
        <v>265</v>
      </c>
      <c r="S497">
        <v>14882</v>
      </c>
      <c r="T497" t="s">
        <v>266</v>
      </c>
      <c r="U497" t="s">
        <v>267</v>
      </c>
      <c r="V497" t="s">
        <v>273</v>
      </c>
      <c r="W497" t="s">
        <v>274</v>
      </c>
      <c r="X497">
        <v>1926619</v>
      </c>
      <c r="Y497" s="6">
        <v>44775</v>
      </c>
      <c r="Z497" t="s">
        <v>264</v>
      </c>
      <c r="AA497">
        <v>1</v>
      </c>
      <c r="AB497" t="s">
        <v>264</v>
      </c>
      <c r="AD497" t="s">
        <v>264</v>
      </c>
      <c r="AE497" t="s">
        <v>264</v>
      </c>
      <c r="AF497" t="s">
        <v>264</v>
      </c>
      <c r="AG497">
        <v>1</v>
      </c>
      <c r="AH497" t="s">
        <v>264</v>
      </c>
      <c r="AI497">
        <v>54000374</v>
      </c>
      <c r="AJ497" t="s">
        <v>578</v>
      </c>
      <c r="AL497">
        <v>887635599</v>
      </c>
      <c r="AM497" s="6">
        <v>44748</v>
      </c>
      <c r="AN497" t="s">
        <v>275</v>
      </c>
      <c r="AO497" t="s">
        <v>268</v>
      </c>
      <c r="AP497">
        <v>1201</v>
      </c>
      <c r="AQ497" t="s">
        <v>269</v>
      </c>
      <c r="AR497" t="s">
        <v>583</v>
      </c>
      <c r="AU497" t="s">
        <v>264</v>
      </c>
      <c r="AV497" t="s">
        <v>270</v>
      </c>
      <c r="AX497">
        <v>22002666</v>
      </c>
      <c r="AY497">
        <v>631100</v>
      </c>
      <c r="AZ497">
        <v>1201.6311000000001</v>
      </c>
      <c r="BA497" s="28" t="s">
        <v>43</v>
      </c>
    </row>
    <row r="498" spans="1:53">
      <c r="A498" t="s">
        <v>271</v>
      </c>
      <c r="B498" t="s">
        <v>272</v>
      </c>
      <c r="C498">
        <v>22010733</v>
      </c>
      <c r="D498">
        <v>1201</v>
      </c>
      <c r="E498" s="6">
        <v>44775</v>
      </c>
      <c r="F498" t="s">
        <v>578</v>
      </c>
      <c r="G498">
        <v>94.89</v>
      </c>
      <c r="H498">
        <v>94.89</v>
      </c>
      <c r="I498" t="s">
        <v>263</v>
      </c>
      <c r="J498" t="s">
        <v>263</v>
      </c>
      <c r="L498" s="29">
        <v>1412200</v>
      </c>
      <c r="N498" s="29">
        <v>1412200</v>
      </c>
      <c r="O498" t="s">
        <v>264</v>
      </c>
      <c r="Q498" t="s">
        <v>264</v>
      </c>
      <c r="R498" t="s">
        <v>265</v>
      </c>
      <c r="S498">
        <v>14882</v>
      </c>
      <c r="T498" t="s">
        <v>266</v>
      </c>
      <c r="U498" t="s">
        <v>267</v>
      </c>
      <c r="V498" t="s">
        <v>273</v>
      </c>
      <c r="W498" t="s">
        <v>274</v>
      </c>
      <c r="X498">
        <v>1926619</v>
      </c>
      <c r="Y498" s="6">
        <v>44775</v>
      </c>
      <c r="Z498" t="s">
        <v>264</v>
      </c>
      <c r="AA498">
        <v>1</v>
      </c>
      <c r="AB498" t="s">
        <v>264</v>
      </c>
      <c r="AD498" t="s">
        <v>264</v>
      </c>
      <c r="AE498" t="s">
        <v>264</v>
      </c>
      <c r="AF498" t="s">
        <v>264</v>
      </c>
      <c r="AG498">
        <v>1</v>
      </c>
      <c r="AH498" t="s">
        <v>264</v>
      </c>
      <c r="AI498">
        <v>54000374</v>
      </c>
      <c r="AJ498" t="s">
        <v>578</v>
      </c>
      <c r="AL498">
        <v>887655606</v>
      </c>
      <c r="AM498" s="6">
        <v>44755</v>
      </c>
      <c r="AN498" t="s">
        <v>275</v>
      </c>
      <c r="AO498" t="s">
        <v>268</v>
      </c>
      <c r="AP498">
        <v>1201</v>
      </c>
      <c r="AQ498" t="s">
        <v>269</v>
      </c>
      <c r="AR498" t="s">
        <v>584</v>
      </c>
      <c r="AU498" t="s">
        <v>264</v>
      </c>
      <c r="AV498" t="s">
        <v>270</v>
      </c>
      <c r="AX498">
        <v>22002666</v>
      </c>
      <c r="AY498">
        <v>631100</v>
      </c>
      <c r="AZ498">
        <v>1201.6311000000001</v>
      </c>
      <c r="BA498" s="28" t="s">
        <v>43</v>
      </c>
    </row>
    <row r="499" spans="1:53">
      <c r="A499" t="s">
        <v>271</v>
      </c>
      <c r="B499" t="s">
        <v>272</v>
      </c>
      <c r="C499">
        <v>22010734</v>
      </c>
      <c r="D499">
        <v>1201</v>
      </c>
      <c r="E499" s="6">
        <v>44775</v>
      </c>
      <c r="F499" t="s">
        <v>578</v>
      </c>
      <c r="G499">
        <v>479.12</v>
      </c>
      <c r="H499">
        <v>479.12</v>
      </c>
      <c r="I499" t="s">
        <v>263</v>
      </c>
      <c r="J499" t="s">
        <v>263</v>
      </c>
      <c r="L499" s="29">
        <v>7130224</v>
      </c>
      <c r="N499" s="29">
        <v>7130224</v>
      </c>
      <c r="O499" t="s">
        <v>264</v>
      </c>
      <c r="Q499" t="s">
        <v>264</v>
      </c>
      <c r="R499" t="s">
        <v>265</v>
      </c>
      <c r="S499">
        <v>14882</v>
      </c>
      <c r="T499" t="s">
        <v>266</v>
      </c>
      <c r="U499" t="s">
        <v>267</v>
      </c>
      <c r="V499" t="s">
        <v>273</v>
      </c>
      <c r="W499" t="s">
        <v>274</v>
      </c>
      <c r="X499">
        <v>1926619</v>
      </c>
      <c r="Y499" s="6">
        <v>44775</v>
      </c>
      <c r="Z499" t="s">
        <v>264</v>
      </c>
      <c r="AA499">
        <v>1</v>
      </c>
      <c r="AB499" t="s">
        <v>264</v>
      </c>
      <c r="AD499" t="s">
        <v>264</v>
      </c>
      <c r="AE499" t="s">
        <v>264</v>
      </c>
      <c r="AF499" t="s">
        <v>264</v>
      </c>
      <c r="AG499">
        <v>1</v>
      </c>
      <c r="AH499" t="s">
        <v>264</v>
      </c>
      <c r="AI499">
        <v>54000374</v>
      </c>
      <c r="AJ499" t="s">
        <v>578</v>
      </c>
      <c r="AL499">
        <v>887672788</v>
      </c>
      <c r="AM499" s="6">
        <v>44762</v>
      </c>
      <c r="AN499" t="s">
        <v>275</v>
      </c>
      <c r="AO499" t="s">
        <v>268</v>
      </c>
      <c r="AP499">
        <v>1201</v>
      </c>
      <c r="AQ499" t="s">
        <v>269</v>
      </c>
      <c r="AR499" t="s">
        <v>585</v>
      </c>
      <c r="AU499" t="s">
        <v>264</v>
      </c>
      <c r="AV499" t="s">
        <v>270</v>
      </c>
      <c r="AX499">
        <v>22002666</v>
      </c>
      <c r="AY499">
        <v>631100</v>
      </c>
      <c r="AZ499">
        <v>1201.6311000000001</v>
      </c>
      <c r="BA499" s="28" t="s">
        <v>43</v>
      </c>
    </row>
    <row r="500" spans="1:53">
      <c r="A500" t="s">
        <v>271</v>
      </c>
      <c r="B500" t="s">
        <v>272</v>
      </c>
      <c r="C500">
        <v>22010735</v>
      </c>
      <c r="D500">
        <v>1201</v>
      </c>
      <c r="E500" s="6">
        <v>44775</v>
      </c>
      <c r="F500" t="s">
        <v>578</v>
      </c>
      <c r="G500">
        <v>604.73</v>
      </c>
      <c r="H500">
        <v>604.73</v>
      </c>
      <c r="I500" t="s">
        <v>263</v>
      </c>
      <c r="J500" t="s">
        <v>263</v>
      </c>
      <c r="L500" s="29">
        <v>8999523</v>
      </c>
      <c r="N500" s="29">
        <v>8999523</v>
      </c>
      <c r="O500" t="s">
        <v>264</v>
      </c>
      <c r="Q500" t="s">
        <v>264</v>
      </c>
      <c r="R500" t="s">
        <v>265</v>
      </c>
      <c r="S500">
        <v>14882</v>
      </c>
      <c r="T500" t="s">
        <v>266</v>
      </c>
      <c r="U500" t="s">
        <v>267</v>
      </c>
      <c r="V500" t="s">
        <v>273</v>
      </c>
      <c r="W500" t="s">
        <v>274</v>
      </c>
      <c r="X500">
        <v>1926619</v>
      </c>
      <c r="Y500" s="6">
        <v>44775</v>
      </c>
      <c r="Z500" t="s">
        <v>264</v>
      </c>
      <c r="AA500">
        <v>1</v>
      </c>
      <c r="AB500" t="s">
        <v>264</v>
      </c>
      <c r="AD500" t="s">
        <v>264</v>
      </c>
      <c r="AE500" t="s">
        <v>264</v>
      </c>
      <c r="AF500" t="s">
        <v>264</v>
      </c>
      <c r="AG500">
        <v>1</v>
      </c>
      <c r="AH500" t="s">
        <v>264</v>
      </c>
      <c r="AI500">
        <v>54000374</v>
      </c>
      <c r="AJ500" t="s">
        <v>578</v>
      </c>
      <c r="AL500">
        <v>887672787</v>
      </c>
      <c r="AM500" s="6">
        <v>44762</v>
      </c>
      <c r="AN500" t="s">
        <v>275</v>
      </c>
      <c r="AO500" t="s">
        <v>268</v>
      </c>
      <c r="AP500">
        <v>1201</v>
      </c>
      <c r="AQ500" t="s">
        <v>269</v>
      </c>
      <c r="AR500" t="s">
        <v>582</v>
      </c>
      <c r="AU500" t="s">
        <v>264</v>
      </c>
      <c r="AV500" t="s">
        <v>270</v>
      </c>
      <c r="AX500">
        <v>22002687</v>
      </c>
      <c r="AY500">
        <v>631100</v>
      </c>
      <c r="AZ500">
        <v>1201.6311000000001</v>
      </c>
      <c r="BA500" s="28" t="s">
        <v>43</v>
      </c>
    </row>
    <row r="501" spans="1:53">
      <c r="A501" t="s">
        <v>271</v>
      </c>
      <c r="B501" t="s">
        <v>272</v>
      </c>
      <c r="C501">
        <v>22010756</v>
      </c>
      <c r="D501">
        <v>1201</v>
      </c>
      <c r="E501" s="6">
        <v>44776</v>
      </c>
      <c r="F501" t="s">
        <v>586</v>
      </c>
      <c r="G501">
        <v>-0.5</v>
      </c>
      <c r="I501" t="s">
        <v>263</v>
      </c>
      <c r="K501">
        <v>-0.5</v>
      </c>
      <c r="O501" t="s">
        <v>264</v>
      </c>
      <c r="Q501" t="s">
        <v>264</v>
      </c>
      <c r="R501" t="s">
        <v>524</v>
      </c>
      <c r="T501" t="s">
        <v>266</v>
      </c>
      <c r="U501" t="s">
        <v>267</v>
      </c>
      <c r="V501" t="s">
        <v>273</v>
      </c>
      <c r="W501" t="s">
        <v>274</v>
      </c>
      <c r="X501">
        <v>1926952</v>
      </c>
      <c r="Y501" s="6">
        <v>44776</v>
      </c>
      <c r="Z501" t="s">
        <v>264</v>
      </c>
      <c r="AA501">
        <v>2</v>
      </c>
      <c r="AB501" t="s">
        <v>264</v>
      </c>
      <c r="AD501" t="s">
        <v>264</v>
      </c>
      <c r="AE501" t="s">
        <v>264</v>
      </c>
      <c r="AF501" t="s">
        <v>264</v>
      </c>
      <c r="AH501" t="s">
        <v>264</v>
      </c>
      <c r="AI501">
        <v>57027693</v>
      </c>
      <c r="AJ501" t="s">
        <v>586</v>
      </c>
      <c r="AL501" t="s">
        <v>457</v>
      </c>
      <c r="AM501" s="6">
        <v>44776</v>
      </c>
      <c r="AN501" t="s">
        <v>529</v>
      </c>
      <c r="AO501" t="s">
        <v>268</v>
      </c>
      <c r="AP501">
        <v>1201</v>
      </c>
      <c r="AQ501" t="s">
        <v>269</v>
      </c>
      <c r="AR501" t="s">
        <v>530</v>
      </c>
      <c r="AT501" s="6">
        <v>44776</v>
      </c>
      <c r="AU501" t="s">
        <v>264</v>
      </c>
      <c r="AV501" t="s">
        <v>270</v>
      </c>
      <c r="AX501" t="s">
        <v>264</v>
      </c>
      <c r="AY501">
        <v>631100</v>
      </c>
      <c r="AZ501">
        <v>1201.6311000000001</v>
      </c>
      <c r="BA501" s="28" t="s">
        <v>43</v>
      </c>
    </row>
    <row r="502" spans="1:53">
      <c r="A502" t="s">
        <v>271</v>
      </c>
      <c r="B502" t="s">
        <v>272</v>
      </c>
      <c r="C502">
        <v>22010756</v>
      </c>
      <c r="D502">
        <v>1201</v>
      </c>
      <c r="E502" s="6">
        <v>44776</v>
      </c>
      <c r="F502" t="s">
        <v>586</v>
      </c>
      <c r="G502">
        <v>0.5</v>
      </c>
      <c r="H502">
        <v>0.5</v>
      </c>
      <c r="I502" t="s">
        <v>263</v>
      </c>
      <c r="O502" t="s">
        <v>264</v>
      </c>
      <c r="Q502" t="s">
        <v>264</v>
      </c>
      <c r="R502" t="s">
        <v>524</v>
      </c>
      <c r="T502" t="s">
        <v>266</v>
      </c>
      <c r="U502" t="s">
        <v>267</v>
      </c>
      <c r="V502" t="s">
        <v>273</v>
      </c>
      <c r="W502" t="s">
        <v>274</v>
      </c>
      <c r="X502">
        <v>1926952</v>
      </c>
      <c r="Y502" s="6">
        <v>44776</v>
      </c>
      <c r="Z502" t="s">
        <v>264</v>
      </c>
      <c r="AA502">
        <v>1</v>
      </c>
      <c r="AB502" t="s">
        <v>264</v>
      </c>
      <c r="AD502" t="s">
        <v>264</v>
      </c>
      <c r="AE502" t="s">
        <v>264</v>
      </c>
      <c r="AF502" t="s">
        <v>264</v>
      </c>
      <c r="AH502" t="s">
        <v>264</v>
      </c>
      <c r="AI502">
        <v>57027693</v>
      </c>
      <c r="AJ502" t="s">
        <v>586</v>
      </c>
      <c r="AL502" t="s">
        <v>457</v>
      </c>
      <c r="AM502" s="6">
        <v>44776</v>
      </c>
      <c r="AN502" t="s">
        <v>529</v>
      </c>
      <c r="AO502" t="s">
        <v>268</v>
      </c>
      <c r="AP502">
        <v>1201</v>
      </c>
      <c r="AQ502" t="s">
        <v>269</v>
      </c>
      <c r="AR502" t="s">
        <v>530</v>
      </c>
      <c r="AU502" t="s">
        <v>264</v>
      </c>
      <c r="AV502" t="s">
        <v>270</v>
      </c>
      <c r="AX502" t="s">
        <v>264</v>
      </c>
      <c r="AY502">
        <v>631100</v>
      </c>
      <c r="AZ502">
        <v>1201.6311000000001</v>
      </c>
      <c r="BA502" s="28" t="s">
        <v>43</v>
      </c>
    </row>
    <row r="503" spans="1:53">
      <c r="A503" t="s">
        <v>521</v>
      </c>
      <c r="B503" t="s">
        <v>522</v>
      </c>
      <c r="C503">
        <v>22001873</v>
      </c>
      <c r="D503">
        <v>1201</v>
      </c>
      <c r="E503" s="6">
        <v>44778</v>
      </c>
      <c r="F503" t="s">
        <v>587</v>
      </c>
      <c r="G503">
        <v>14.1</v>
      </c>
      <c r="H503">
        <v>14.1</v>
      </c>
      <c r="I503" t="s">
        <v>263</v>
      </c>
      <c r="O503" t="s">
        <v>264</v>
      </c>
      <c r="Q503" t="s">
        <v>264</v>
      </c>
      <c r="R503" t="s">
        <v>524</v>
      </c>
      <c r="T503" t="s">
        <v>266</v>
      </c>
      <c r="U503" t="s">
        <v>267</v>
      </c>
      <c r="V503" t="s">
        <v>525</v>
      </c>
      <c r="W503" t="s">
        <v>526</v>
      </c>
      <c r="X503">
        <v>1930829</v>
      </c>
      <c r="Y503" s="6">
        <v>44788</v>
      </c>
      <c r="Z503" t="s">
        <v>264</v>
      </c>
      <c r="AA503">
        <v>2</v>
      </c>
      <c r="AB503" t="s">
        <v>264</v>
      </c>
      <c r="AD503" t="s">
        <v>264</v>
      </c>
      <c r="AE503" t="s">
        <v>264</v>
      </c>
      <c r="AF503" t="s">
        <v>264</v>
      </c>
      <c r="AG503">
        <v>6.94</v>
      </c>
      <c r="AH503" t="s">
        <v>264</v>
      </c>
      <c r="AL503" t="s">
        <v>264</v>
      </c>
      <c r="AM503" s="6">
        <v>44778</v>
      </c>
      <c r="AN503" t="s">
        <v>527</v>
      </c>
      <c r="AO503" t="s">
        <v>268</v>
      </c>
      <c r="AP503">
        <v>1201</v>
      </c>
      <c r="AQ503" t="s">
        <v>269</v>
      </c>
      <c r="AR503">
        <v>209736</v>
      </c>
      <c r="AU503" t="s">
        <v>264</v>
      </c>
      <c r="AV503" t="s">
        <v>270</v>
      </c>
      <c r="AX503" t="s">
        <v>264</v>
      </c>
      <c r="AY503">
        <v>631100</v>
      </c>
      <c r="AZ503">
        <v>1201.6311000000001</v>
      </c>
      <c r="BA503" s="28" t="s">
        <v>43</v>
      </c>
    </row>
    <row r="504" spans="1:53">
      <c r="A504" t="s">
        <v>424</v>
      </c>
      <c r="B504" t="s">
        <v>425</v>
      </c>
      <c r="C504">
        <v>22009666</v>
      </c>
      <c r="D504">
        <v>1201</v>
      </c>
      <c r="E504" s="6">
        <v>44778</v>
      </c>
      <c r="F504" t="s">
        <v>588</v>
      </c>
      <c r="G504">
        <v>-0.55000000000000004</v>
      </c>
      <c r="I504" t="s">
        <v>263</v>
      </c>
      <c r="J504" t="s">
        <v>263</v>
      </c>
      <c r="K504">
        <v>-0.55000000000000004</v>
      </c>
      <c r="O504" t="s">
        <v>264</v>
      </c>
      <c r="Q504" t="s">
        <v>264</v>
      </c>
      <c r="R504" t="s">
        <v>265</v>
      </c>
      <c r="S504">
        <v>14860</v>
      </c>
      <c r="T504" t="s">
        <v>266</v>
      </c>
      <c r="U504" t="s">
        <v>267</v>
      </c>
      <c r="V504" t="s">
        <v>427</v>
      </c>
      <c r="W504" t="s">
        <v>428</v>
      </c>
      <c r="X504">
        <v>1928774</v>
      </c>
      <c r="Y504" s="6">
        <v>44781</v>
      </c>
      <c r="Z504" t="s">
        <v>264</v>
      </c>
      <c r="AA504">
        <v>8</v>
      </c>
      <c r="AB504" t="s">
        <v>264</v>
      </c>
      <c r="AD504" t="s">
        <v>264</v>
      </c>
      <c r="AE504" t="s">
        <v>264</v>
      </c>
      <c r="AF504" t="s">
        <v>264</v>
      </c>
      <c r="AG504" s="29">
        <v>1800</v>
      </c>
      <c r="AH504" t="s">
        <v>264</v>
      </c>
      <c r="AI504">
        <v>55269517</v>
      </c>
      <c r="AJ504" t="s">
        <v>588</v>
      </c>
      <c r="AL504" t="s">
        <v>264</v>
      </c>
      <c r="AM504" s="6">
        <v>44778</v>
      </c>
      <c r="AN504" t="s">
        <v>516</v>
      </c>
      <c r="AO504" t="s">
        <v>268</v>
      </c>
      <c r="AP504">
        <v>1201</v>
      </c>
      <c r="AQ504" t="s">
        <v>269</v>
      </c>
      <c r="AR504">
        <v>274865</v>
      </c>
      <c r="AU504" t="s">
        <v>264</v>
      </c>
      <c r="AV504" t="s">
        <v>270</v>
      </c>
      <c r="AX504">
        <v>22003247</v>
      </c>
      <c r="AY504">
        <v>631100</v>
      </c>
      <c r="AZ504">
        <v>1201.6311000000001</v>
      </c>
      <c r="BA504" s="28" t="s">
        <v>43</v>
      </c>
    </row>
    <row r="505" spans="1:53">
      <c r="A505" t="s">
        <v>424</v>
      </c>
      <c r="B505" t="s">
        <v>425</v>
      </c>
      <c r="C505">
        <v>22009740</v>
      </c>
      <c r="D505">
        <v>1201</v>
      </c>
      <c r="E505" s="6">
        <v>44778</v>
      </c>
      <c r="F505" t="s">
        <v>588</v>
      </c>
      <c r="G505">
        <v>-0.48</v>
      </c>
      <c r="I505" t="s">
        <v>263</v>
      </c>
      <c r="J505" t="s">
        <v>263</v>
      </c>
      <c r="K505">
        <v>-0.48</v>
      </c>
      <c r="O505" t="s">
        <v>264</v>
      </c>
      <c r="Q505" t="s">
        <v>264</v>
      </c>
      <c r="R505" t="s">
        <v>265</v>
      </c>
      <c r="S505">
        <v>14860</v>
      </c>
      <c r="T505" t="s">
        <v>266</v>
      </c>
      <c r="U505" t="s">
        <v>267</v>
      </c>
      <c r="V505" t="s">
        <v>427</v>
      </c>
      <c r="W505" t="s">
        <v>428</v>
      </c>
      <c r="X505">
        <v>1929147</v>
      </c>
      <c r="Y505" s="6">
        <v>44782</v>
      </c>
      <c r="Z505" t="s">
        <v>264</v>
      </c>
      <c r="AA505">
        <v>4</v>
      </c>
      <c r="AB505" t="s">
        <v>264</v>
      </c>
      <c r="AD505" t="s">
        <v>264</v>
      </c>
      <c r="AE505" t="s">
        <v>264</v>
      </c>
      <c r="AF505" t="s">
        <v>264</v>
      </c>
      <c r="AG505">
        <v>10</v>
      </c>
      <c r="AH505" t="s">
        <v>264</v>
      </c>
      <c r="AI505">
        <v>55269517</v>
      </c>
      <c r="AJ505" t="s">
        <v>588</v>
      </c>
      <c r="AL505" t="s">
        <v>264</v>
      </c>
      <c r="AM505" s="6">
        <v>44778</v>
      </c>
      <c r="AN505" t="s">
        <v>516</v>
      </c>
      <c r="AO505" t="s">
        <v>268</v>
      </c>
      <c r="AP505">
        <v>1201</v>
      </c>
      <c r="AQ505" t="s">
        <v>269</v>
      </c>
      <c r="AR505">
        <v>241339</v>
      </c>
      <c r="AU505" t="s">
        <v>264</v>
      </c>
      <c r="AV505" t="s">
        <v>270</v>
      </c>
      <c r="AX505">
        <v>22003231</v>
      </c>
      <c r="AY505">
        <v>631100</v>
      </c>
      <c r="AZ505">
        <v>1201.6311000000001</v>
      </c>
      <c r="BA505" s="28" t="s">
        <v>43</v>
      </c>
    </row>
    <row r="506" spans="1:53">
      <c r="A506" t="s">
        <v>424</v>
      </c>
      <c r="B506" t="s">
        <v>425</v>
      </c>
      <c r="C506">
        <v>22009753</v>
      </c>
      <c r="D506">
        <v>1201</v>
      </c>
      <c r="E506" s="6">
        <v>44778</v>
      </c>
      <c r="F506" t="s">
        <v>588</v>
      </c>
      <c r="G506">
        <v>-1.43</v>
      </c>
      <c r="I506" t="s">
        <v>263</v>
      </c>
      <c r="J506" t="s">
        <v>263</v>
      </c>
      <c r="K506">
        <v>-1.43</v>
      </c>
      <c r="O506" t="s">
        <v>264</v>
      </c>
      <c r="Q506" t="s">
        <v>264</v>
      </c>
      <c r="R506" t="s">
        <v>265</v>
      </c>
      <c r="S506">
        <v>14860</v>
      </c>
      <c r="T506" t="s">
        <v>266</v>
      </c>
      <c r="U506" t="s">
        <v>267</v>
      </c>
      <c r="V506" t="s">
        <v>427</v>
      </c>
      <c r="W506" t="s">
        <v>428</v>
      </c>
      <c r="X506">
        <v>1929147</v>
      </c>
      <c r="Y506" s="6">
        <v>44782</v>
      </c>
      <c r="Z506" t="s">
        <v>264</v>
      </c>
      <c r="AA506">
        <v>4</v>
      </c>
      <c r="AB506" t="s">
        <v>264</v>
      </c>
      <c r="AD506" t="s">
        <v>264</v>
      </c>
      <c r="AE506" t="s">
        <v>264</v>
      </c>
      <c r="AF506" t="s">
        <v>264</v>
      </c>
      <c r="AG506">
        <v>30</v>
      </c>
      <c r="AH506" t="s">
        <v>264</v>
      </c>
      <c r="AI506">
        <v>55269517</v>
      </c>
      <c r="AJ506" t="s">
        <v>588</v>
      </c>
      <c r="AL506" t="s">
        <v>264</v>
      </c>
      <c r="AM506" s="6">
        <v>44778</v>
      </c>
      <c r="AN506" t="s">
        <v>516</v>
      </c>
      <c r="AO506" t="s">
        <v>268</v>
      </c>
      <c r="AP506">
        <v>1201</v>
      </c>
      <c r="AQ506" t="s">
        <v>269</v>
      </c>
      <c r="AR506">
        <v>238208</v>
      </c>
      <c r="AU506" t="s">
        <v>264</v>
      </c>
      <c r="AV506" t="s">
        <v>270</v>
      </c>
      <c r="AX506">
        <v>22003265</v>
      </c>
      <c r="AY506">
        <v>631100</v>
      </c>
      <c r="AZ506">
        <v>1201.6311000000001</v>
      </c>
      <c r="BA506" s="28" t="s">
        <v>43</v>
      </c>
    </row>
    <row r="507" spans="1:53">
      <c r="A507" t="s">
        <v>384</v>
      </c>
      <c r="B507" t="s">
        <v>385</v>
      </c>
      <c r="C507">
        <v>22001579</v>
      </c>
      <c r="D507">
        <v>1201</v>
      </c>
      <c r="E507" s="6">
        <v>44783</v>
      </c>
      <c r="F507" t="s">
        <v>44</v>
      </c>
      <c r="G507">
        <v>105.99</v>
      </c>
      <c r="H507">
        <v>105.99</v>
      </c>
      <c r="I507" t="s">
        <v>263</v>
      </c>
      <c r="J507" t="s">
        <v>263</v>
      </c>
      <c r="L507" s="29">
        <v>1575000</v>
      </c>
      <c r="N507" s="29">
        <v>1575000</v>
      </c>
      <c r="O507" t="s">
        <v>264</v>
      </c>
      <c r="Q507" t="s">
        <v>264</v>
      </c>
      <c r="R507" t="s">
        <v>265</v>
      </c>
      <c r="S507">
        <v>14860</v>
      </c>
      <c r="T507" t="s">
        <v>266</v>
      </c>
      <c r="U507" t="s">
        <v>267</v>
      </c>
      <c r="V507" t="s">
        <v>386</v>
      </c>
      <c r="W507" t="s">
        <v>387</v>
      </c>
      <c r="X507">
        <v>1930273</v>
      </c>
      <c r="Y507" s="6">
        <v>44783</v>
      </c>
      <c r="Z507" t="s">
        <v>264</v>
      </c>
      <c r="AA507">
        <v>1</v>
      </c>
      <c r="AB507" t="s">
        <v>264</v>
      </c>
      <c r="AD507" t="s">
        <v>264</v>
      </c>
      <c r="AE507" t="s">
        <v>264</v>
      </c>
      <c r="AF507" t="s">
        <v>264</v>
      </c>
      <c r="AH507" t="s">
        <v>264</v>
      </c>
      <c r="AL507" t="s">
        <v>264</v>
      </c>
      <c r="AM507" s="6">
        <v>44783</v>
      </c>
      <c r="AN507" t="s">
        <v>388</v>
      </c>
      <c r="AO507" t="s">
        <v>268</v>
      </c>
      <c r="AP507">
        <v>1201</v>
      </c>
      <c r="AQ507" t="s">
        <v>269</v>
      </c>
      <c r="AR507" t="s">
        <v>589</v>
      </c>
      <c r="AU507" t="s">
        <v>264</v>
      </c>
      <c r="AV507" t="s">
        <v>270</v>
      </c>
      <c r="AX507" t="s">
        <v>264</v>
      </c>
      <c r="AY507">
        <v>631100</v>
      </c>
      <c r="AZ507">
        <v>1201.6311000000001</v>
      </c>
      <c r="BA507" s="28" t="s">
        <v>43</v>
      </c>
    </row>
    <row r="508" spans="1:53">
      <c r="A508" t="s">
        <v>271</v>
      </c>
      <c r="B508" t="s">
        <v>272</v>
      </c>
      <c r="C508">
        <v>22010913</v>
      </c>
      <c r="D508">
        <v>1201</v>
      </c>
      <c r="E508" s="6">
        <v>44784</v>
      </c>
      <c r="F508" t="s">
        <v>590</v>
      </c>
      <c r="G508">
        <v>739.41</v>
      </c>
      <c r="H508">
        <v>739.41</v>
      </c>
      <c r="I508" t="s">
        <v>263</v>
      </c>
      <c r="J508" t="s">
        <v>263</v>
      </c>
      <c r="L508" s="29">
        <v>10987560</v>
      </c>
      <c r="N508" s="29">
        <v>10987560</v>
      </c>
      <c r="O508" t="s">
        <v>264</v>
      </c>
      <c r="Q508" t="s">
        <v>264</v>
      </c>
      <c r="R508" t="s">
        <v>265</v>
      </c>
      <c r="S508">
        <v>14860</v>
      </c>
      <c r="T508" t="s">
        <v>266</v>
      </c>
      <c r="U508" t="s">
        <v>267</v>
      </c>
      <c r="V508" t="s">
        <v>273</v>
      </c>
      <c r="W508" t="s">
        <v>274</v>
      </c>
      <c r="X508">
        <v>1930378</v>
      </c>
      <c r="Y508" s="6">
        <v>44784</v>
      </c>
      <c r="Z508" t="s">
        <v>264</v>
      </c>
      <c r="AA508">
        <v>1</v>
      </c>
      <c r="AB508" t="s">
        <v>264</v>
      </c>
      <c r="AD508" t="s">
        <v>264</v>
      </c>
      <c r="AE508" t="s">
        <v>264</v>
      </c>
      <c r="AF508" t="s">
        <v>264</v>
      </c>
      <c r="AG508">
        <v>1</v>
      </c>
      <c r="AH508" t="s">
        <v>264</v>
      </c>
      <c r="AI508">
        <v>55738803</v>
      </c>
      <c r="AJ508" t="s">
        <v>590</v>
      </c>
      <c r="AL508" t="s">
        <v>591</v>
      </c>
      <c r="AM508" s="6">
        <v>44781</v>
      </c>
      <c r="AN508" t="s">
        <v>275</v>
      </c>
      <c r="AO508" t="s">
        <v>268</v>
      </c>
      <c r="AP508">
        <v>1201</v>
      </c>
      <c r="AQ508" t="s">
        <v>269</v>
      </c>
      <c r="AR508" t="s">
        <v>592</v>
      </c>
      <c r="AU508" t="s">
        <v>264</v>
      </c>
      <c r="AV508" t="s">
        <v>270</v>
      </c>
      <c r="AX508">
        <v>22002749</v>
      </c>
      <c r="AY508">
        <v>631100</v>
      </c>
      <c r="AZ508">
        <v>1201.6311000000001</v>
      </c>
      <c r="BA508" s="28" t="s">
        <v>43</v>
      </c>
    </row>
    <row r="509" spans="1:53">
      <c r="A509" t="s">
        <v>271</v>
      </c>
      <c r="B509" t="s">
        <v>272</v>
      </c>
      <c r="C509">
        <v>22010914</v>
      </c>
      <c r="D509">
        <v>1201</v>
      </c>
      <c r="E509" s="6">
        <v>44784</v>
      </c>
      <c r="F509" t="s">
        <v>590</v>
      </c>
      <c r="G509">
        <v>395.93</v>
      </c>
      <c r="H509">
        <v>395.93</v>
      </c>
      <c r="I509" t="s">
        <v>263</v>
      </c>
      <c r="J509" t="s">
        <v>263</v>
      </c>
      <c r="L509" s="29">
        <v>5883500</v>
      </c>
      <c r="N509" s="29">
        <v>5883500</v>
      </c>
      <c r="O509" t="s">
        <v>264</v>
      </c>
      <c r="Q509" t="s">
        <v>264</v>
      </c>
      <c r="R509" t="s">
        <v>265</v>
      </c>
      <c r="S509">
        <v>14860</v>
      </c>
      <c r="T509" t="s">
        <v>266</v>
      </c>
      <c r="U509" t="s">
        <v>267</v>
      </c>
      <c r="V509" t="s">
        <v>273</v>
      </c>
      <c r="W509" t="s">
        <v>274</v>
      </c>
      <c r="X509">
        <v>1930378</v>
      </c>
      <c r="Y509" s="6">
        <v>44784</v>
      </c>
      <c r="Z509" t="s">
        <v>264</v>
      </c>
      <c r="AA509">
        <v>1</v>
      </c>
      <c r="AB509" t="s">
        <v>264</v>
      </c>
      <c r="AD509" t="s">
        <v>264</v>
      </c>
      <c r="AE509" t="s">
        <v>264</v>
      </c>
      <c r="AF509" t="s">
        <v>264</v>
      </c>
      <c r="AG509">
        <v>1</v>
      </c>
      <c r="AH509" t="s">
        <v>264</v>
      </c>
      <c r="AI509">
        <v>55738803</v>
      </c>
      <c r="AJ509" t="s">
        <v>590</v>
      </c>
      <c r="AL509" t="s">
        <v>593</v>
      </c>
      <c r="AM509" s="6">
        <v>44781</v>
      </c>
      <c r="AN509" t="s">
        <v>275</v>
      </c>
      <c r="AO509" t="s">
        <v>268</v>
      </c>
      <c r="AP509">
        <v>1201</v>
      </c>
      <c r="AQ509" t="s">
        <v>269</v>
      </c>
      <c r="AR509" t="s">
        <v>594</v>
      </c>
      <c r="AU509" t="s">
        <v>264</v>
      </c>
      <c r="AV509" t="s">
        <v>270</v>
      </c>
      <c r="AX509">
        <v>22002749</v>
      </c>
      <c r="AY509">
        <v>631100</v>
      </c>
      <c r="AZ509">
        <v>1201.6311000000001</v>
      </c>
      <c r="BA509" s="28" t="s">
        <v>43</v>
      </c>
    </row>
    <row r="510" spans="1:53">
      <c r="A510" t="s">
        <v>521</v>
      </c>
      <c r="B510" t="s">
        <v>522</v>
      </c>
      <c r="C510">
        <v>22001870</v>
      </c>
      <c r="D510">
        <v>1201</v>
      </c>
      <c r="E510" s="6">
        <v>44785</v>
      </c>
      <c r="F510" t="s">
        <v>595</v>
      </c>
      <c r="I510" t="s">
        <v>263</v>
      </c>
      <c r="O510" t="s">
        <v>264</v>
      </c>
      <c r="Q510" t="s">
        <v>264</v>
      </c>
      <c r="R510" t="s">
        <v>524</v>
      </c>
      <c r="T510" t="s">
        <v>266</v>
      </c>
      <c r="U510" t="s">
        <v>267</v>
      </c>
      <c r="V510" t="s">
        <v>525</v>
      </c>
      <c r="W510" t="s">
        <v>526</v>
      </c>
      <c r="X510">
        <v>1930674</v>
      </c>
      <c r="Y510" s="6">
        <v>44785</v>
      </c>
      <c r="Z510" t="s">
        <v>264</v>
      </c>
      <c r="AA510">
        <v>8</v>
      </c>
      <c r="AB510" t="s">
        <v>264</v>
      </c>
      <c r="AD510" t="s">
        <v>264</v>
      </c>
      <c r="AE510" t="s">
        <v>264</v>
      </c>
      <c r="AF510" t="s">
        <v>264</v>
      </c>
      <c r="AG510">
        <v>2</v>
      </c>
      <c r="AH510" t="s">
        <v>264</v>
      </c>
      <c r="AL510" t="s">
        <v>264</v>
      </c>
      <c r="AM510" s="6">
        <v>44785</v>
      </c>
      <c r="AN510" t="s">
        <v>527</v>
      </c>
      <c r="AO510" t="s">
        <v>268</v>
      </c>
      <c r="AP510">
        <v>1201</v>
      </c>
      <c r="AQ510" t="s">
        <v>269</v>
      </c>
      <c r="AR510">
        <v>284554</v>
      </c>
      <c r="AU510" t="s">
        <v>264</v>
      </c>
      <c r="AV510" t="s">
        <v>270</v>
      </c>
      <c r="AX510" t="s">
        <v>264</v>
      </c>
      <c r="AY510">
        <v>631100</v>
      </c>
      <c r="AZ510">
        <v>1201.6311000000001</v>
      </c>
      <c r="BA510" s="28" t="s">
        <v>43</v>
      </c>
    </row>
    <row r="511" spans="1:53">
      <c r="A511" t="s">
        <v>521</v>
      </c>
      <c r="B511" t="s">
        <v>522</v>
      </c>
      <c r="C511">
        <v>22001870</v>
      </c>
      <c r="D511">
        <v>1201</v>
      </c>
      <c r="E511" s="6">
        <v>44785</v>
      </c>
      <c r="F511" t="s">
        <v>595</v>
      </c>
      <c r="I511" t="s">
        <v>263</v>
      </c>
      <c r="O511" t="s">
        <v>264</v>
      </c>
      <c r="Q511" t="s">
        <v>264</v>
      </c>
      <c r="R511" t="s">
        <v>524</v>
      </c>
      <c r="T511" t="s">
        <v>266</v>
      </c>
      <c r="U511" t="s">
        <v>267</v>
      </c>
      <c r="V511" t="s">
        <v>525</v>
      </c>
      <c r="W511" t="s">
        <v>526</v>
      </c>
      <c r="X511">
        <v>1930674</v>
      </c>
      <c r="Y511" s="6">
        <v>44785</v>
      </c>
      <c r="Z511" t="s">
        <v>264</v>
      </c>
      <c r="AA511">
        <v>10</v>
      </c>
      <c r="AB511" t="s">
        <v>264</v>
      </c>
      <c r="AD511" t="s">
        <v>264</v>
      </c>
      <c r="AE511" t="s">
        <v>264</v>
      </c>
      <c r="AF511" t="s">
        <v>264</v>
      </c>
      <c r="AG511">
        <v>2</v>
      </c>
      <c r="AH511" t="s">
        <v>264</v>
      </c>
      <c r="AL511" t="s">
        <v>264</v>
      </c>
      <c r="AM511" s="6">
        <v>44785</v>
      </c>
      <c r="AN511" t="s">
        <v>527</v>
      </c>
      <c r="AO511" t="s">
        <v>268</v>
      </c>
      <c r="AP511">
        <v>1201</v>
      </c>
      <c r="AQ511" t="s">
        <v>269</v>
      </c>
      <c r="AR511">
        <v>284550</v>
      </c>
      <c r="AU511" t="s">
        <v>264</v>
      </c>
      <c r="AV511" t="s">
        <v>270</v>
      </c>
      <c r="AX511" t="s">
        <v>264</v>
      </c>
      <c r="AY511">
        <v>631100</v>
      </c>
      <c r="AZ511">
        <v>1201.6311000000001</v>
      </c>
      <c r="BA511" s="28" t="s">
        <v>43</v>
      </c>
    </row>
    <row r="512" spans="1:53">
      <c r="A512" t="s">
        <v>521</v>
      </c>
      <c r="B512" t="s">
        <v>522</v>
      </c>
      <c r="C512">
        <v>22001870</v>
      </c>
      <c r="D512">
        <v>1201</v>
      </c>
      <c r="E512" s="6">
        <v>44785</v>
      </c>
      <c r="F512" t="s">
        <v>595</v>
      </c>
      <c r="I512" t="s">
        <v>263</v>
      </c>
      <c r="O512" t="s">
        <v>264</v>
      </c>
      <c r="Q512" t="s">
        <v>264</v>
      </c>
      <c r="R512" t="s">
        <v>524</v>
      </c>
      <c r="T512" t="s">
        <v>266</v>
      </c>
      <c r="U512" t="s">
        <v>267</v>
      </c>
      <c r="V512" t="s">
        <v>525</v>
      </c>
      <c r="W512" t="s">
        <v>526</v>
      </c>
      <c r="X512">
        <v>1930674</v>
      </c>
      <c r="Y512" s="6">
        <v>44785</v>
      </c>
      <c r="Z512" t="s">
        <v>264</v>
      </c>
      <c r="AA512">
        <v>12</v>
      </c>
      <c r="AB512" t="s">
        <v>264</v>
      </c>
      <c r="AD512" t="s">
        <v>264</v>
      </c>
      <c r="AE512" t="s">
        <v>264</v>
      </c>
      <c r="AF512" t="s">
        <v>264</v>
      </c>
      <c r="AG512">
        <v>0.5</v>
      </c>
      <c r="AH512" t="s">
        <v>264</v>
      </c>
      <c r="AL512" t="s">
        <v>264</v>
      </c>
      <c r="AM512" s="6">
        <v>44785</v>
      </c>
      <c r="AN512" t="s">
        <v>527</v>
      </c>
      <c r="AO512" t="s">
        <v>268</v>
      </c>
      <c r="AP512">
        <v>1201</v>
      </c>
      <c r="AQ512" t="s">
        <v>269</v>
      </c>
      <c r="AR512">
        <v>284547</v>
      </c>
      <c r="AU512" t="s">
        <v>264</v>
      </c>
      <c r="AV512" t="s">
        <v>270</v>
      </c>
      <c r="AX512" t="s">
        <v>264</v>
      </c>
      <c r="AY512">
        <v>631100</v>
      </c>
      <c r="AZ512">
        <v>1201.6311000000001</v>
      </c>
      <c r="BA512" s="28" t="s">
        <v>43</v>
      </c>
    </row>
    <row r="513" spans="1:53">
      <c r="A513" t="s">
        <v>521</v>
      </c>
      <c r="B513" t="s">
        <v>522</v>
      </c>
      <c r="C513">
        <v>22001870</v>
      </c>
      <c r="D513">
        <v>1201</v>
      </c>
      <c r="E513" s="6">
        <v>44785</v>
      </c>
      <c r="F513" t="s">
        <v>595</v>
      </c>
      <c r="I513" t="s">
        <v>263</v>
      </c>
      <c r="O513" t="s">
        <v>264</v>
      </c>
      <c r="Q513" t="s">
        <v>264</v>
      </c>
      <c r="R513" t="s">
        <v>524</v>
      </c>
      <c r="T513" t="s">
        <v>266</v>
      </c>
      <c r="U513" t="s">
        <v>267</v>
      </c>
      <c r="V513" t="s">
        <v>525</v>
      </c>
      <c r="W513" t="s">
        <v>526</v>
      </c>
      <c r="X513">
        <v>1930674</v>
      </c>
      <c r="Y513" s="6">
        <v>44785</v>
      </c>
      <c r="Z513" t="s">
        <v>264</v>
      </c>
      <c r="AA513">
        <v>14</v>
      </c>
      <c r="AB513" t="s">
        <v>264</v>
      </c>
      <c r="AD513" t="s">
        <v>264</v>
      </c>
      <c r="AE513" t="s">
        <v>264</v>
      </c>
      <c r="AF513" t="s">
        <v>264</v>
      </c>
      <c r="AG513">
        <v>0.5</v>
      </c>
      <c r="AH513" t="s">
        <v>264</v>
      </c>
      <c r="AL513" t="s">
        <v>264</v>
      </c>
      <c r="AM513" s="6">
        <v>44785</v>
      </c>
      <c r="AN513" t="s">
        <v>527</v>
      </c>
      <c r="AO513" t="s">
        <v>268</v>
      </c>
      <c r="AP513">
        <v>1201</v>
      </c>
      <c r="AQ513" t="s">
        <v>269</v>
      </c>
      <c r="AR513">
        <v>284556</v>
      </c>
      <c r="AU513" t="s">
        <v>264</v>
      </c>
      <c r="AV513" t="s">
        <v>270</v>
      </c>
      <c r="AX513" t="s">
        <v>264</v>
      </c>
      <c r="AY513">
        <v>631100</v>
      </c>
      <c r="AZ513">
        <v>1201.6311000000001</v>
      </c>
      <c r="BA513" s="28" t="s">
        <v>43</v>
      </c>
    </row>
    <row r="514" spans="1:53">
      <c r="A514" t="s">
        <v>521</v>
      </c>
      <c r="B514" t="s">
        <v>522</v>
      </c>
      <c r="C514">
        <v>22001870</v>
      </c>
      <c r="D514">
        <v>1201</v>
      </c>
      <c r="E514" s="6">
        <v>44785</v>
      </c>
      <c r="F514" t="s">
        <v>595</v>
      </c>
      <c r="I514" t="s">
        <v>263</v>
      </c>
      <c r="O514" t="s">
        <v>264</v>
      </c>
      <c r="Q514" t="s">
        <v>264</v>
      </c>
      <c r="R514" t="s">
        <v>524</v>
      </c>
      <c r="T514" t="s">
        <v>266</v>
      </c>
      <c r="U514" t="s">
        <v>267</v>
      </c>
      <c r="V514" t="s">
        <v>525</v>
      </c>
      <c r="W514" t="s">
        <v>526</v>
      </c>
      <c r="X514">
        <v>1930674</v>
      </c>
      <c r="Y514" s="6">
        <v>44785</v>
      </c>
      <c r="Z514" t="s">
        <v>264</v>
      </c>
      <c r="AA514">
        <v>16</v>
      </c>
      <c r="AB514" t="s">
        <v>264</v>
      </c>
      <c r="AD514" t="s">
        <v>264</v>
      </c>
      <c r="AE514" t="s">
        <v>264</v>
      </c>
      <c r="AF514" t="s">
        <v>264</v>
      </c>
      <c r="AG514">
        <v>2</v>
      </c>
      <c r="AH514" t="s">
        <v>264</v>
      </c>
      <c r="AL514" t="s">
        <v>264</v>
      </c>
      <c r="AM514" s="6">
        <v>44785</v>
      </c>
      <c r="AN514" t="s">
        <v>527</v>
      </c>
      <c r="AO514" t="s">
        <v>268</v>
      </c>
      <c r="AP514">
        <v>1201</v>
      </c>
      <c r="AQ514" t="s">
        <v>269</v>
      </c>
      <c r="AR514">
        <v>284566</v>
      </c>
      <c r="AU514" t="s">
        <v>264</v>
      </c>
      <c r="AV514" t="s">
        <v>270</v>
      </c>
      <c r="AX514" t="s">
        <v>264</v>
      </c>
      <c r="AY514">
        <v>631100</v>
      </c>
      <c r="AZ514">
        <v>1201.6311000000001</v>
      </c>
      <c r="BA514" s="28" t="s">
        <v>43</v>
      </c>
    </row>
    <row r="515" spans="1:53">
      <c r="A515" t="s">
        <v>521</v>
      </c>
      <c r="B515" t="s">
        <v>522</v>
      </c>
      <c r="C515">
        <v>22001870</v>
      </c>
      <c r="D515">
        <v>1201</v>
      </c>
      <c r="E515" s="6">
        <v>44785</v>
      </c>
      <c r="F515" t="s">
        <v>595</v>
      </c>
      <c r="I515" t="s">
        <v>263</v>
      </c>
      <c r="O515" t="s">
        <v>264</v>
      </c>
      <c r="Q515" t="s">
        <v>264</v>
      </c>
      <c r="R515" t="s">
        <v>524</v>
      </c>
      <c r="T515" t="s">
        <v>266</v>
      </c>
      <c r="U515" t="s">
        <v>267</v>
      </c>
      <c r="V515" t="s">
        <v>525</v>
      </c>
      <c r="W515" t="s">
        <v>526</v>
      </c>
      <c r="X515">
        <v>1930674</v>
      </c>
      <c r="Y515" s="6">
        <v>44785</v>
      </c>
      <c r="Z515" t="s">
        <v>264</v>
      </c>
      <c r="AA515">
        <v>18</v>
      </c>
      <c r="AB515" t="s">
        <v>264</v>
      </c>
      <c r="AD515" t="s">
        <v>264</v>
      </c>
      <c r="AE515" t="s">
        <v>264</v>
      </c>
      <c r="AF515" t="s">
        <v>264</v>
      </c>
      <c r="AG515">
        <v>2</v>
      </c>
      <c r="AH515" t="s">
        <v>264</v>
      </c>
      <c r="AL515" t="s">
        <v>264</v>
      </c>
      <c r="AM515" s="6">
        <v>44785</v>
      </c>
      <c r="AN515" t="s">
        <v>527</v>
      </c>
      <c r="AO515" t="s">
        <v>268</v>
      </c>
      <c r="AP515">
        <v>1201</v>
      </c>
      <c r="AQ515" t="s">
        <v>269</v>
      </c>
      <c r="AR515">
        <v>284566</v>
      </c>
      <c r="AU515" t="s">
        <v>264</v>
      </c>
      <c r="AV515" t="s">
        <v>270</v>
      </c>
      <c r="AX515" t="s">
        <v>264</v>
      </c>
      <c r="AY515">
        <v>631100</v>
      </c>
      <c r="AZ515">
        <v>1201.6311000000001</v>
      </c>
      <c r="BA515" s="28" t="s">
        <v>43</v>
      </c>
    </row>
    <row r="516" spans="1:53">
      <c r="A516" t="s">
        <v>521</v>
      </c>
      <c r="B516" t="s">
        <v>522</v>
      </c>
      <c r="C516">
        <v>22001870</v>
      </c>
      <c r="D516">
        <v>1201</v>
      </c>
      <c r="E516" s="6">
        <v>44785</v>
      </c>
      <c r="F516" t="s">
        <v>595</v>
      </c>
      <c r="I516" t="s">
        <v>263</v>
      </c>
      <c r="O516" t="s">
        <v>264</v>
      </c>
      <c r="Q516" t="s">
        <v>264</v>
      </c>
      <c r="R516" t="s">
        <v>524</v>
      </c>
      <c r="T516" t="s">
        <v>266</v>
      </c>
      <c r="U516" t="s">
        <v>267</v>
      </c>
      <c r="V516" t="s">
        <v>525</v>
      </c>
      <c r="W516" t="s">
        <v>526</v>
      </c>
      <c r="X516">
        <v>1930674</v>
      </c>
      <c r="Y516" s="6">
        <v>44785</v>
      </c>
      <c r="Z516" t="s">
        <v>264</v>
      </c>
      <c r="AA516">
        <v>20</v>
      </c>
      <c r="AB516" t="s">
        <v>264</v>
      </c>
      <c r="AD516" t="s">
        <v>264</v>
      </c>
      <c r="AE516" t="s">
        <v>264</v>
      </c>
      <c r="AF516" t="s">
        <v>264</v>
      </c>
      <c r="AG516">
        <v>2</v>
      </c>
      <c r="AH516" t="s">
        <v>264</v>
      </c>
      <c r="AL516" t="s">
        <v>264</v>
      </c>
      <c r="AM516" s="6">
        <v>44785</v>
      </c>
      <c r="AN516" t="s">
        <v>527</v>
      </c>
      <c r="AO516" t="s">
        <v>268</v>
      </c>
      <c r="AP516">
        <v>1201</v>
      </c>
      <c r="AQ516" t="s">
        <v>269</v>
      </c>
      <c r="AR516">
        <v>284566</v>
      </c>
      <c r="AU516" t="s">
        <v>264</v>
      </c>
      <c r="AV516" t="s">
        <v>270</v>
      </c>
      <c r="AX516" t="s">
        <v>264</v>
      </c>
      <c r="AY516">
        <v>631100</v>
      </c>
      <c r="AZ516">
        <v>1201.6311000000001</v>
      </c>
      <c r="BA516" s="28" t="s">
        <v>43</v>
      </c>
    </row>
    <row r="517" spans="1:53">
      <c r="A517" t="s">
        <v>521</v>
      </c>
      <c r="B517" t="s">
        <v>522</v>
      </c>
      <c r="C517">
        <v>22001870</v>
      </c>
      <c r="D517">
        <v>1201</v>
      </c>
      <c r="E517" s="6">
        <v>44785</v>
      </c>
      <c r="F517" t="s">
        <v>595</v>
      </c>
      <c r="I517" t="s">
        <v>263</v>
      </c>
      <c r="O517" t="s">
        <v>264</v>
      </c>
      <c r="Q517" t="s">
        <v>264</v>
      </c>
      <c r="R517" t="s">
        <v>524</v>
      </c>
      <c r="T517" t="s">
        <v>266</v>
      </c>
      <c r="U517" t="s">
        <v>267</v>
      </c>
      <c r="V517" t="s">
        <v>525</v>
      </c>
      <c r="W517" t="s">
        <v>526</v>
      </c>
      <c r="X517">
        <v>1930674</v>
      </c>
      <c r="Y517" s="6">
        <v>44785</v>
      </c>
      <c r="Z517" t="s">
        <v>264</v>
      </c>
      <c r="AA517">
        <v>22</v>
      </c>
      <c r="AB517" t="s">
        <v>264</v>
      </c>
      <c r="AD517" t="s">
        <v>264</v>
      </c>
      <c r="AE517" t="s">
        <v>264</v>
      </c>
      <c r="AF517" t="s">
        <v>264</v>
      </c>
      <c r="AG517">
        <v>2</v>
      </c>
      <c r="AH517" t="s">
        <v>264</v>
      </c>
      <c r="AL517" t="s">
        <v>264</v>
      </c>
      <c r="AM517" s="6">
        <v>44785</v>
      </c>
      <c r="AN517" t="s">
        <v>527</v>
      </c>
      <c r="AO517" t="s">
        <v>268</v>
      </c>
      <c r="AP517">
        <v>1201</v>
      </c>
      <c r="AQ517" t="s">
        <v>269</v>
      </c>
      <c r="AR517">
        <v>285245</v>
      </c>
      <c r="AU517" t="s">
        <v>264</v>
      </c>
      <c r="AV517" t="s">
        <v>270</v>
      </c>
      <c r="AX517" t="s">
        <v>264</v>
      </c>
      <c r="AY517">
        <v>631100</v>
      </c>
      <c r="AZ517">
        <v>1201.6311000000001</v>
      </c>
      <c r="BA517" s="28" t="s">
        <v>43</v>
      </c>
    </row>
    <row r="518" spans="1:53">
      <c r="A518" t="s">
        <v>521</v>
      </c>
      <c r="B518" t="s">
        <v>522</v>
      </c>
      <c r="C518">
        <v>22001870</v>
      </c>
      <c r="D518">
        <v>1201</v>
      </c>
      <c r="E518" s="6">
        <v>44785</v>
      </c>
      <c r="F518" t="s">
        <v>595</v>
      </c>
      <c r="I518" t="s">
        <v>263</v>
      </c>
      <c r="O518" t="s">
        <v>264</v>
      </c>
      <c r="Q518" t="s">
        <v>264</v>
      </c>
      <c r="R518" t="s">
        <v>524</v>
      </c>
      <c r="T518" t="s">
        <v>266</v>
      </c>
      <c r="U518" t="s">
        <v>267</v>
      </c>
      <c r="V518" t="s">
        <v>525</v>
      </c>
      <c r="W518" t="s">
        <v>526</v>
      </c>
      <c r="X518">
        <v>1930674</v>
      </c>
      <c r="Y518" s="6">
        <v>44785</v>
      </c>
      <c r="Z518" t="s">
        <v>264</v>
      </c>
      <c r="AA518">
        <v>24</v>
      </c>
      <c r="AB518" t="s">
        <v>264</v>
      </c>
      <c r="AD518" t="s">
        <v>264</v>
      </c>
      <c r="AE518" t="s">
        <v>264</v>
      </c>
      <c r="AF518" t="s">
        <v>264</v>
      </c>
      <c r="AG518">
        <v>2</v>
      </c>
      <c r="AH518" t="s">
        <v>264</v>
      </c>
      <c r="AL518" t="s">
        <v>264</v>
      </c>
      <c r="AM518" s="6">
        <v>44785</v>
      </c>
      <c r="AN518" t="s">
        <v>527</v>
      </c>
      <c r="AO518" t="s">
        <v>268</v>
      </c>
      <c r="AP518">
        <v>1201</v>
      </c>
      <c r="AQ518" t="s">
        <v>269</v>
      </c>
      <c r="AR518">
        <v>284548</v>
      </c>
      <c r="AU518" t="s">
        <v>264</v>
      </c>
      <c r="AV518" t="s">
        <v>270</v>
      </c>
      <c r="AX518" t="s">
        <v>264</v>
      </c>
      <c r="AY518">
        <v>631100</v>
      </c>
      <c r="AZ518">
        <v>1201.6311000000001</v>
      </c>
      <c r="BA518" s="28" t="s">
        <v>43</v>
      </c>
    </row>
    <row r="519" spans="1:53">
      <c r="A519" t="s">
        <v>521</v>
      </c>
      <c r="B519" t="s">
        <v>522</v>
      </c>
      <c r="C519">
        <v>22001870</v>
      </c>
      <c r="D519">
        <v>1201</v>
      </c>
      <c r="E519" s="6">
        <v>44785</v>
      </c>
      <c r="F519" t="s">
        <v>595</v>
      </c>
      <c r="I519" t="s">
        <v>263</v>
      </c>
      <c r="O519" t="s">
        <v>264</v>
      </c>
      <c r="Q519" t="s">
        <v>264</v>
      </c>
      <c r="R519" t="s">
        <v>524</v>
      </c>
      <c r="T519" t="s">
        <v>266</v>
      </c>
      <c r="U519" t="s">
        <v>267</v>
      </c>
      <c r="V519" t="s">
        <v>525</v>
      </c>
      <c r="W519" t="s">
        <v>526</v>
      </c>
      <c r="X519">
        <v>1930674</v>
      </c>
      <c r="Y519" s="6">
        <v>44785</v>
      </c>
      <c r="Z519" t="s">
        <v>264</v>
      </c>
      <c r="AA519">
        <v>26</v>
      </c>
      <c r="AB519" t="s">
        <v>264</v>
      </c>
      <c r="AD519" t="s">
        <v>264</v>
      </c>
      <c r="AE519" t="s">
        <v>264</v>
      </c>
      <c r="AF519" t="s">
        <v>264</v>
      </c>
      <c r="AG519">
        <v>4</v>
      </c>
      <c r="AH519" t="s">
        <v>264</v>
      </c>
      <c r="AL519" t="s">
        <v>264</v>
      </c>
      <c r="AM519" s="6">
        <v>44785</v>
      </c>
      <c r="AN519" t="s">
        <v>527</v>
      </c>
      <c r="AO519" t="s">
        <v>268</v>
      </c>
      <c r="AP519">
        <v>1201</v>
      </c>
      <c r="AQ519" t="s">
        <v>269</v>
      </c>
      <c r="AR519">
        <v>284549</v>
      </c>
      <c r="AU519" t="s">
        <v>264</v>
      </c>
      <c r="AV519" t="s">
        <v>270</v>
      </c>
      <c r="AX519" t="s">
        <v>264</v>
      </c>
      <c r="AY519">
        <v>631100</v>
      </c>
      <c r="AZ519">
        <v>1201.6311000000001</v>
      </c>
      <c r="BA519" s="28" t="s">
        <v>43</v>
      </c>
    </row>
    <row r="520" spans="1:53">
      <c r="A520" t="s">
        <v>521</v>
      </c>
      <c r="B520" t="s">
        <v>522</v>
      </c>
      <c r="C520">
        <v>22001870</v>
      </c>
      <c r="D520">
        <v>1201</v>
      </c>
      <c r="E520" s="6">
        <v>44785</v>
      </c>
      <c r="F520" t="s">
        <v>595</v>
      </c>
      <c r="I520" t="s">
        <v>263</v>
      </c>
      <c r="O520" t="s">
        <v>264</v>
      </c>
      <c r="Q520" t="s">
        <v>264</v>
      </c>
      <c r="R520" t="s">
        <v>524</v>
      </c>
      <c r="T520" t="s">
        <v>266</v>
      </c>
      <c r="U520" t="s">
        <v>267</v>
      </c>
      <c r="V520" t="s">
        <v>525</v>
      </c>
      <c r="W520" t="s">
        <v>526</v>
      </c>
      <c r="X520">
        <v>1930674</v>
      </c>
      <c r="Y520" s="6">
        <v>44785</v>
      </c>
      <c r="Z520" t="s">
        <v>264</v>
      </c>
      <c r="AA520">
        <v>28</v>
      </c>
      <c r="AB520" t="s">
        <v>264</v>
      </c>
      <c r="AD520" t="s">
        <v>264</v>
      </c>
      <c r="AE520" t="s">
        <v>264</v>
      </c>
      <c r="AF520" t="s">
        <v>264</v>
      </c>
      <c r="AG520">
        <v>4</v>
      </c>
      <c r="AH520" t="s">
        <v>264</v>
      </c>
      <c r="AL520" t="s">
        <v>264</v>
      </c>
      <c r="AM520" s="6">
        <v>44785</v>
      </c>
      <c r="AN520" t="s">
        <v>527</v>
      </c>
      <c r="AO520" t="s">
        <v>268</v>
      </c>
      <c r="AP520">
        <v>1201</v>
      </c>
      <c r="AQ520" t="s">
        <v>269</v>
      </c>
      <c r="AR520">
        <v>284567</v>
      </c>
      <c r="AU520" t="s">
        <v>264</v>
      </c>
      <c r="AV520" t="s">
        <v>270</v>
      </c>
      <c r="AX520" t="s">
        <v>264</v>
      </c>
      <c r="AY520">
        <v>631100</v>
      </c>
      <c r="AZ520">
        <v>1201.6311000000001</v>
      </c>
      <c r="BA520" s="28" t="s">
        <v>43</v>
      </c>
    </row>
    <row r="521" spans="1:53">
      <c r="A521" t="s">
        <v>521</v>
      </c>
      <c r="B521" t="s">
        <v>522</v>
      </c>
      <c r="C521">
        <v>22001870</v>
      </c>
      <c r="D521">
        <v>1201</v>
      </c>
      <c r="E521" s="6">
        <v>44785</v>
      </c>
      <c r="F521" t="s">
        <v>595</v>
      </c>
      <c r="I521" t="s">
        <v>263</v>
      </c>
      <c r="O521" t="s">
        <v>264</v>
      </c>
      <c r="Q521" t="s">
        <v>264</v>
      </c>
      <c r="R521" t="s">
        <v>524</v>
      </c>
      <c r="T521" t="s">
        <v>266</v>
      </c>
      <c r="U521" t="s">
        <v>267</v>
      </c>
      <c r="V521" t="s">
        <v>525</v>
      </c>
      <c r="W521" t="s">
        <v>526</v>
      </c>
      <c r="X521">
        <v>1930674</v>
      </c>
      <c r="Y521" s="6">
        <v>44785</v>
      </c>
      <c r="Z521" t="s">
        <v>264</v>
      </c>
      <c r="AA521">
        <v>30</v>
      </c>
      <c r="AB521" t="s">
        <v>264</v>
      </c>
      <c r="AD521" t="s">
        <v>264</v>
      </c>
      <c r="AE521" t="s">
        <v>264</v>
      </c>
      <c r="AF521" t="s">
        <v>264</v>
      </c>
      <c r="AG521">
        <v>2</v>
      </c>
      <c r="AH521" t="s">
        <v>264</v>
      </c>
      <c r="AL521" t="s">
        <v>264</v>
      </c>
      <c r="AM521" s="6">
        <v>44785</v>
      </c>
      <c r="AN521" t="s">
        <v>527</v>
      </c>
      <c r="AO521" t="s">
        <v>268</v>
      </c>
      <c r="AP521">
        <v>1201</v>
      </c>
      <c r="AQ521" t="s">
        <v>269</v>
      </c>
      <c r="AR521">
        <v>284551</v>
      </c>
      <c r="AU521" t="s">
        <v>264</v>
      </c>
      <c r="AV521" t="s">
        <v>270</v>
      </c>
      <c r="AX521" t="s">
        <v>264</v>
      </c>
      <c r="AY521">
        <v>631100</v>
      </c>
      <c r="AZ521">
        <v>1201.6311000000001</v>
      </c>
      <c r="BA521" s="28" t="s">
        <v>43</v>
      </c>
    </row>
    <row r="522" spans="1:53">
      <c r="A522" t="s">
        <v>521</v>
      </c>
      <c r="B522" t="s">
        <v>522</v>
      </c>
      <c r="C522">
        <v>22001870</v>
      </c>
      <c r="D522">
        <v>1201</v>
      </c>
      <c r="E522" s="6">
        <v>44785</v>
      </c>
      <c r="F522" t="s">
        <v>595</v>
      </c>
      <c r="I522" t="s">
        <v>263</v>
      </c>
      <c r="O522" t="s">
        <v>264</v>
      </c>
      <c r="Q522" t="s">
        <v>264</v>
      </c>
      <c r="R522" t="s">
        <v>524</v>
      </c>
      <c r="T522" t="s">
        <v>266</v>
      </c>
      <c r="U522" t="s">
        <v>267</v>
      </c>
      <c r="V522" t="s">
        <v>525</v>
      </c>
      <c r="W522" t="s">
        <v>526</v>
      </c>
      <c r="X522">
        <v>1930674</v>
      </c>
      <c r="Y522" s="6">
        <v>44785</v>
      </c>
      <c r="Z522" t="s">
        <v>264</v>
      </c>
      <c r="AA522">
        <v>32</v>
      </c>
      <c r="AB522" t="s">
        <v>264</v>
      </c>
      <c r="AD522" t="s">
        <v>264</v>
      </c>
      <c r="AE522" t="s">
        <v>264</v>
      </c>
      <c r="AF522" t="s">
        <v>264</v>
      </c>
      <c r="AG522">
        <v>2</v>
      </c>
      <c r="AH522" t="s">
        <v>264</v>
      </c>
      <c r="AL522" t="s">
        <v>264</v>
      </c>
      <c r="AM522" s="6">
        <v>44785</v>
      </c>
      <c r="AN522" t="s">
        <v>527</v>
      </c>
      <c r="AO522" t="s">
        <v>268</v>
      </c>
      <c r="AP522">
        <v>1201</v>
      </c>
      <c r="AQ522" t="s">
        <v>269</v>
      </c>
      <c r="AR522">
        <v>284552</v>
      </c>
      <c r="AU522" t="s">
        <v>264</v>
      </c>
      <c r="AV522" t="s">
        <v>270</v>
      </c>
      <c r="AX522" t="s">
        <v>264</v>
      </c>
      <c r="AY522">
        <v>631100</v>
      </c>
      <c r="AZ522">
        <v>1201.6311000000001</v>
      </c>
      <c r="BA522" s="28" t="s">
        <v>43</v>
      </c>
    </row>
    <row r="523" spans="1:53">
      <c r="A523" t="s">
        <v>521</v>
      </c>
      <c r="B523" t="s">
        <v>522</v>
      </c>
      <c r="C523">
        <v>22001870</v>
      </c>
      <c r="D523">
        <v>1201</v>
      </c>
      <c r="E523" s="6">
        <v>44785</v>
      </c>
      <c r="F523" t="s">
        <v>595</v>
      </c>
      <c r="I523" t="s">
        <v>263</v>
      </c>
      <c r="O523" t="s">
        <v>264</v>
      </c>
      <c r="Q523" t="s">
        <v>264</v>
      </c>
      <c r="R523" t="s">
        <v>524</v>
      </c>
      <c r="T523" t="s">
        <v>266</v>
      </c>
      <c r="U523" t="s">
        <v>267</v>
      </c>
      <c r="V523" t="s">
        <v>525</v>
      </c>
      <c r="W523" t="s">
        <v>526</v>
      </c>
      <c r="X523">
        <v>1930674</v>
      </c>
      <c r="Y523" s="6">
        <v>44785</v>
      </c>
      <c r="Z523" t="s">
        <v>264</v>
      </c>
      <c r="AA523">
        <v>34</v>
      </c>
      <c r="AB523" t="s">
        <v>264</v>
      </c>
      <c r="AD523" t="s">
        <v>264</v>
      </c>
      <c r="AE523" t="s">
        <v>264</v>
      </c>
      <c r="AF523" t="s">
        <v>264</v>
      </c>
      <c r="AG523">
        <v>2</v>
      </c>
      <c r="AH523" t="s">
        <v>264</v>
      </c>
      <c r="AL523" t="s">
        <v>264</v>
      </c>
      <c r="AM523" s="6">
        <v>44785</v>
      </c>
      <c r="AN523" t="s">
        <v>527</v>
      </c>
      <c r="AO523" t="s">
        <v>268</v>
      </c>
      <c r="AP523">
        <v>1201</v>
      </c>
      <c r="AQ523" t="s">
        <v>269</v>
      </c>
      <c r="AR523">
        <v>284947</v>
      </c>
      <c r="AU523" t="s">
        <v>264</v>
      </c>
      <c r="AV523" t="s">
        <v>270</v>
      </c>
      <c r="AX523" t="s">
        <v>264</v>
      </c>
      <c r="AY523">
        <v>631100</v>
      </c>
      <c r="AZ523">
        <v>1201.6311000000001</v>
      </c>
      <c r="BA523" s="28" t="s">
        <v>43</v>
      </c>
    </row>
    <row r="524" spans="1:53">
      <c r="A524" t="s">
        <v>521</v>
      </c>
      <c r="B524" t="s">
        <v>522</v>
      </c>
      <c r="C524">
        <v>22001872</v>
      </c>
      <c r="D524">
        <v>1201</v>
      </c>
      <c r="E524" s="6">
        <v>44785</v>
      </c>
      <c r="F524" t="s">
        <v>596</v>
      </c>
      <c r="G524">
        <v>1.8</v>
      </c>
      <c r="H524">
        <v>1.8</v>
      </c>
      <c r="I524" t="s">
        <v>263</v>
      </c>
      <c r="O524" t="s">
        <v>264</v>
      </c>
      <c r="Q524" t="s">
        <v>264</v>
      </c>
      <c r="R524" t="s">
        <v>524</v>
      </c>
      <c r="T524" t="s">
        <v>266</v>
      </c>
      <c r="U524" t="s">
        <v>267</v>
      </c>
      <c r="V524" t="s">
        <v>525</v>
      </c>
      <c r="W524" t="s">
        <v>526</v>
      </c>
      <c r="X524">
        <v>1930677</v>
      </c>
      <c r="Y524" s="6">
        <v>44785</v>
      </c>
      <c r="Z524" t="s">
        <v>264</v>
      </c>
      <c r="AA524">
        <v>2</v>
      </c>
      <c r="AB524" t="s">
        <v>264</v>
      </c>
      <c r="AD524" t="s">
        <v>264</v>
      </c>
      <c r="AE524" t="s">
        <v>264</v>
      </c>
      <c r="AF524" t="s">
        <v>264</v>
      </c>
      <c r="AG524" s="29">
        <v>9000</v>
      </c>
      <c r="AH524" t="s">
        <v>264</v>
      </c>
      <c r="AL524" t="s">
        <v>264</v>
      </c>
      <c r="AM524" s="6">
        <v>44785</v>
      </c>
      <c r="AN524" t="s">
        <v>527</v>
      </c>
      <c r="AO524" t="s">
        <v>268</v>
      </c>
      <c r="AP524">
        <v>1201</v>
      </c>
      <c r="AQ524" t="s">
        <v>269</v>
      </c>
      <c r="AR524">
        <v>273126</v>
      </c>
      <c r="AU524" t="s">
        <v>264</v>
      </c>
      <c r="AV524" t="s">
        <v>270</v>
      </c>
      <c r="AX524" t="s">
        <v>264</v>
      </c>
      <c r="AY524">
        <v>631100</v>
      </c>
      <c r="AZ524">
        <v>1201.6311000000001</v>
      </c>
      <c r="BA524" s="28" t="s">
        <v>43</v>
      </c>
    </row>
    <row r="525" spans="1:53">
      <c r="A525" t="s">
        <v>521</v>
      </c>
      <c r="B525" t="s">
        <v>522</v>
      </c>
      <c r="C525">
        <v>22001885</v>
      </c>
      <c r="D525">
        <v>1201</v>
      </c>
      <c r="E525" s="6">
        <v>44785</v>
      </c>
      <c r="F525" t="s">
        <v>597</v>
      </c>
      <c r="G525">
        <v>42.3</v>
      </c>
      <c r="H525">
        <v>42.3</v>
      </c>
      <c r="I525" t="s">
        <v>263</v>
      </c>
      <c r="O525" t="s">
        <v>264</v>
      </c>
      <c r="Q525" t="s">
        <v>264</v>
      </c>
      <c r="R525" t="s">
        <v>524</v>
      </c>
      <c r="T525" t="s">
        <v>266</v>
      </c>
      <c r="U525" t="s">
        <v>267</v>
      </c>
      <c r="V525" t="s">
        <v>525</v>
      </c>
      <c r="W525" t="s">
        <v>526</v>
      </c>
      <c r="X525">
        <v>1934031</v>
      </c>
      <c r="Y525" s="6">
        <v>44792</v>
      </c>
      <c r="Z525" t="s">
        <v>264</v>
      </c>
      <c r="AA525">
        <v>2</v>
      </c>
      <c r="AB525" t="s">
        <v>264</v>
      </c>
      <c r="AD525" t="s">
        <v>264</v>
      </c>
      <c r="AE525" t="s">
        <v>264</v>
      </c>
      <c r="AF525" t="s">
        <v>264</v>
      </c>
      <c r="AG525" s="29">
        <v>9000</v>
      </c>
      <c r="AH525" t="s">
        <v>264</v>
      </c>
      <c r="AL525" t="s">
        <v>264</v>
      </c>
      <c r="AM525" s="6">
        <v>44785</v>
      </c>
      <c r="AN525" t="s">
        <v>527</v>
      </c>
      <c r="AO525" t="s">
        <v>268</v>
      </c>
      <c r="AP525">
        <v>1201</v>
      </c>
      <c r="AQ525" t="s">
        <v>269</v>
      </c>
      <c r="AR525">
        <v>273126</v>
      </c>
      <c r="AU525" t="s">
        <v>264</v>
      </c>
      <c r="AV525" t="s">
        <v>270</v>
      </c>
      <c r="AX525" t="s">
        <v>264</v>
      </c>
      <c r="AY525">
        <v>631100</v>
      </c>
      <c r="AZ525">
        <v>1201.6311000000001</v>
      </c>
      <c r="BA525" s="28" t="s">
        <v>43</v>
      </c>
    </row>
    <row r="526" spans="1:53">
      <c r="A526" t="s">
        <v>521</v>
      </c>
      <c r="B526" t="s">
        <v>522</v>
      </c>
      <c r="C526">
        <v>22001885</v>
      </c>
      <c r="D526">
        <v>1201</v>
      </c>
      <c r="E526" s="6">
        <v>44785</v>
      </c>
      <c r="F526" t="s">
        <v>597</v>
      </c>
      <c r="G526">
        <v>1.1100000000000001</v>
      </c>
      <c r="H526">
        <v>1.1100000000000001</v>
      </c>
      <c r="I526" t="s">
        <v>263</v>
      </c>
      <c r="O526" t="s">
        <v>264</v>
      </c>
      <c r="Q526" t="s">
        <v>264</v>
      </c>
      <c r="R526" t="s">
        <v>524</v>
      </c>
      <c r="T526" t="s">
        <v>266</v>
      </c>
      <c r="U526" t="s">
        <v>267</v>
      </c>
      <c r="V526" t="s">
        <v>525</v>
      </c>
      <c r="W526" t="s">
        <v>526</v>
      </c>
      <c r="X526">
        <v>1934031</v>
      </c>
      <c r="Y526" s="6">
        <v>44792</v>
      </c>
      <c r="Z526" t="s">
        <v>264</v>
      </c>
      <c r="AA526">
        <v>4</v>
      </c>
      <c r="AB526" t="s">
        <v>264</v>
      </c>
      <c r="AD526" t="s">
        <v>264</v>
      </c>
      <c r="AE526" t="s">
        <v>264</v>
      </c>
      <c r="AF526" t="s">
        <v>264</v>
      </c>
      <c r="AG526">
        <v>36</v>
      </c>
      <c r="AH526" t="s">
        <v>264</v>
      </c>
      <c r="AL526" t="s">
        <v>264</v>
      </c>
      <c r="AM526" s="6">
        <v>44785</v>
      </c>
      <c r="AN526" t="s">
        <v>527</v>
      </c>
      <c r="AO526" t="s">
        <v>268</v>
      </c>
      <c r="AP526">
        <v>1201</v>
      </c>
      <c r="AQ526" t="s">
        <v>269</v>
      </c>
      <c r="AR526">
        <v>267412</v>
      </c>
      <c r="AU526" t="s">
        <v>264</v>
      </c>
      <c r="AV526" t="s">
        <v>270</v>
      </c>
      <c r="AX526" t="s">
        <v>264</v>
      </c>
      <c r="AY526">
        <v>631100</v>
      </c>
      <c r="AZ526">
        <v>1201.6311000000001</v>
      </c>
      <c r="BA526" s="28" t="s">
        <v>43</v>
      </c>
    </row>
    <row r="527" spans="1:53">
      <c r="A527" t="s">
        <v>271</v>
      </c>
      <c r="B527" t="s">
        <v>272</v>
      </c>
      <c r="C527">
        <v>22010924</v>
      </c>
      <c r="D527">
        <v>1201</v>
      </c>
      <c r="E527" s="6">
        <v>44785</v>
      </c>
      <c r="F527" t="s">
        <v>598</v>
      </c>
      <c r="G527">
        <v>691.63</v>
      </c>
      <c r="H527">
        <v>691.63</v>
      </c>
      <c r="I527" t="s">
        <v>263</v>
      </c>
      <c r="J527" t="s">
        <v>263</v>
      </c>
      <c r="L527" s="29">
        <v>10277567</v>
      </c>
      <c r="N527" s="29">
        <v>10277567</v>
      </c>
      <c r="O527" t="s">
        <v>264</v>
      </c>
      <c r="Q527" t="s">
        <v>264</v>
      </c>
      <c r="R527" t="s">
        <v>265</v>
      </c>
      <c r="S527">
        <v>14860</v>
      </c>
      <c r="T527" t="s">
        <v>266</v>
      </c>
      <c r="U527" t="s">
        <v>267</v>
      </c>
      <c r="V527" t="s">
        <v>273</v>
      </c>
      <c r="W527" t="s">
        <v>274</v>
      </c>
      <c r="X527">
        <v>1930542</v>
      </c>
      <c r="Y527" s="6">
        <v>44785</v>
      </c>
      <c r="Z527" t="s">
        <v>264</v>
      </c>
      <c r="AA527">
        <v>1</v>
      </c>
      <c r="AB527" t="s">
        <v>264</v>
      </c>
      <c r="AD527" t="s">
        <v>264</v>
      </c>
      <c r="AE527" t="s">
        <v>264</v>
      </c>
      <c r="AF527" t="s">
        <v>264</v>
      </c>
      <c r="AG527">
        <v>1</v>
      </c>
      <c r="AH527" t="s">
        <v>264</v>
      </c>
      <c r="AI527">
        <v>55417891</v>
      </c>
      <c r="AJ527" t="s">
        <v>598</v>
      </c>
      <c r="AL527" t="s">
        <v>599</v>
      </c>
      <c r="AM527" s="6">
        <v>44774</v>
      </c>
      <c r="AN527" t="s">
        <v>275</v>
      </c>
      <c r="AO527" t="s">
        <v>268</v>
      </c>
      <c r="AP527">
        <v>1201</v>
      </c>
      <c r="AQ527" t="s">
        <v>269</v>
      </c>
      <c r="AR527" t="s">
        <v>600</v>
      </c>
      <c r="AU527" t="s">
        <v>264</v>
      </c>
      <c r="AV527" t="s">
        <v>270</v>
      </c>
      <c r="AX527">
        <v>22002709</v>
      </c>
      <c r="AY527">
        <v>631100</v>
      </c>
      <c r="AZ527">
        <v>1201.6311000000001</v>
      </c>
      <c r="BA527" s="28" t="s">
        <v>43</v>
      </c>
    </row>
    <row r="528" spans="1:53">
      <c r="A528" t="s">
        <v>271</v>
      </c>
      <c r="B528" t="s">
        <v>272</v>
      </c>
      <c r="C528">
        <v>22010925</v>
      </c>
      <c r="D528">
        <v>1201</v>
      </c>
      <c r="E528" s="6">
        <v>44785</v>
      </c>
      <c r="F528" t="s">
        <v>598</v>
      </c>
      <c r="G528" s="29">
        <v>6916.26</v>
      </c>
      <c r="H528" s="29">
        <v>6916.26</v>
      </c>
      <c r="I528" t="s">
        <v>263</v>
      </c>
      <c r="J528" t="s">
        <v>263</v>
      </c>
      <c r="L528" s="29">
        <v>102775666</v>
      </c>
      <c r="N528" s="29">
        <v>102775666</v>
      </c>
      <c r="O528" t="s">
        <v>264</v>
      </c>
      <c r="Q528" t="s">
        <v>264</v>
      </c>
      <c r="R528" t="s">
        <v>265</v>
      </c>
      <c r="S528">
        <v>14860</v>
      </c>
      <c r="T528" t="s">
        <v>266</v>
      </c>
      <c r="U528" t="s">
        <v>267</v>
      </c>
      <c r="V528" t="s">
        <v>273</v>
      </c>
      <c r="W528" t="s">
        <v>274</v>
      </c>
      <c r="X528">
        <v>1930546</v>
      </c>
      <c r="Y528" s="6">
        <v>44785</v>
      </c>
      <c r="Z528" t="s">
        <v>264</v>
      </c>
      <c r="AA528">
        <v>1</v>
      </c>
      <c r="AB528" t="s">
        <v>264</v>
      </c>
      <c r="AD528" t="s">
        <v>264</v>
      </c>
      <c r="AE528" t="s">
        <v>264</v>
      </c>
      <c r="AF528" t="s">
        <v>264</v>
      </c>
      <c r="AG528">
        <v>1</v>
      </c>
      <c r="AH528" t="s">
        <v>264</v>
      </c>
      <c r="AI528">
        <v>55417891</v>
      </c>
      <c r="AJ528" t="s">
        <v>598</v>
      </c>
      <c r="AL528" t="s">
        <v>599</v>
      </c>
      <c r="AM528" s="6">
        <v>44774</v>
      </c>
      <c r="AN528" t="s">
        <v>275</v>
      </c>
      <c r="AO528" t="s">
        <v>268</v>
      </c>
      <c r="AP528">
        <v>1201</v>
      </c>
      <c r="AQ528" t="s">
        <v>269</v>
      </c>
      <c r="AR528" t="s">
        <v>601</v>
      </c>
      <c r="AU528" t="s">
        <v>264</v>
      </c>
      <c r="AV528" t="s">
        <v>270</v>
      </c>
      <c r="AX528">
        <v>22002709</v>
      </c>
      <c r="AY528">
        <v>631100</v>
      </c>
      <c r="AZ528">
        <v>1201.6311000000001</v>
      </c>
      <c r="BA528" s="28" t="s">
        <v>43</v>
      </c>
    </row>
    <row r="529" spans="1:53">
      <c r="A529" t="s">
        <v>271</v>
      </c>
      <c r="B529" t="s">
        <v>272</v>
      </c>
      <c r="C529">
        <v>22010931</v>
      </c>
      <c r="D529">
        <v>1201</v>
      </c>
      <c r="E529" s="6">
        <v>44785</v>
      </c>
      <c r="F529" t="s">
        <v>531</v>
      </c>
      <c r="G529">
        <v>114.48</v>
      </c>
      <c r="H529">
        <v>114.48</v>
      </c>
      <c r="I529" t="s">
        <v>263</v>
      </c>
      <c r="J529" t="s">
        <v>263</v>
      </c>
      <c r="L529" s="29">
        <v>1701113</v>
      </c>
      <c r="N529" s="29">
        <v>1701113</v>
      </c>
      <c r="O529" t="s">
        <v>264</v>
      </c>
      <c r="Q529" t="s">
        <v>264</v>
      </c>
      <c r="R529" t="s">
        <v>265</v>
      </c>
      <c r="S529">
        <v>14860</v>
      </c>
      <c r="T529" t="s">
        <v>266</v>
      </c>
      <c r="U529" t="s">
        <v>267</v>
      </c>
      <c r="V529" t="s">
        <v>273</v>
      </c>
      <c r="W529" t="s">
        <v>274</v>
      </c>
      <c r="X529">
        <v>1930592</v>
      </c>
      <c r="Y529" s="6">
        <v>44785</v>
      </c>
      <c r="Z529" t="s">
        <v>264</v>
      </c>
      <c r="AA529">
        <v>1</v>
      </c>
      <c r="AB529" t="s">
        <v>264</v>
      </c>
      <c r="AD529" t="s">
        <v>264</v>
      </c>
      <c r="AE529" t="s">
        <v>264</v>
      </c>
      <c r="AF529" t="s">
        <v>264</v>
      </c>
      <c r="AG529">
        <v>1</v>
      </c>
      <c r="AH529" t="s">
        <v>264</v>
      </c>
      <c r="AI529">
        <v>54000160</v>
      </c>
      <c r="AJ529" t="s">
        <v>531</v>
      </c>
      <c r="AL529" t="s">
        <v>602</v>
      </c>
      <c r="AM529" s="6">
        <v>44747</v>
      </c>
      <c r="AN529" t="s">
        <v>533</v>
      </c>
      <c r="AO529" t="s">
        <v>268</v>
      </c>
      <c r="AP529">
        <v>1201</v>
      </c>
      <c r="AQ529" t="s">
        <v>269</v>
      </c>
      <c r="AR529" t="s">
        <v>534</v>
      </c>
      <c r="AU529" t="s">
        <v>264</v>
      </c>
      <c r="AV529" t="s">
        <v>270</v>
      </c>
      <c r="AX529">
        <v>22002751</v>
      </c>
      <c r="AY529">
        <v>631100</v>
      </c>
      <c r="AZ529">
        <v>1201.6311000000001</v>
      </c>
      <c r="BA529" s="28" t="s">
        <v>43</v>
      </c>
    </row>
    <row r="530" spans="1:53">
      <c r="A530" t="s">
        <v>271</v>
      </c>
      <c r="B530" t="s">
        <v>272</v>
      </c>
      <c r="C530">
        <v>22010932</v>
      </c>
      <c r="D530">
        <v>1201</v>
      </c>
      <c r="E530" s="6">
        <v>44785</v>
      </c>
      <c r="F530" t="s">
        <v>531</v>
      </c>
      <c r="G530">
        <v>19.52</v>
      </c>
      <c r="H530">
        <v>19.52</v>
      </c>
      <c r="I530" t="s">
        <v>263</v>
      </c>
      <c r="J530" t="s">
        <v>263</v>
      </c>
      <c r="L530" s="29">
        <v>290000</v>
      </c>
      <c r="N530" s="29">
        <v>290000</v>
      </c>
      <c r="O530" t="s">
        <v>264</v>
      </c>
      <c r="Q530" t="s">
        <v>264</v>
      </c>
      <c r="R530" t="s">
        <v>265</v>
      </c>
      <c r="S530">
        <v>14860</v>
      </c>
      <c r="T530" t="s">
        <v>266</v>
      </c>
      <c r="U530" t="s">
        <v>267</v>
      </c>
      <c r="V530" t="s">
        <v>273</v>
      </c>
      <c r="W530" t="s">
        <v>274</v>
      </c>
      <c r="X530">
        <v>1930592</v>
      </c>
      <c r="Y530" s="6">
        <v>44785</v>
      </c>
      <c r="Z530" t="s">
        <v>264</v>
      </c>
      <c r="AA530">
        <v>1</v>
      </c>
      <c r="AB530" t="s">
        <v>264</v>
      </c>
      <c r="AD530" t="s">
        <v>264</v>
      </c>
      <c r="AE530" t="s">
        <v>264</v>
      </c>
      <c r="AF530" t="s">
        <v>264</v>
      </c>
      <c r="AG530">
        <v>1</v>
      </c>
      <c r="AH530" t="s">
        <v>264</v>
      </c>
      <c r="AI530">
        <v>54000160</v>
      </c>
      <c r="AJ530" t="s">
        <v>531</v>
      </c>
      <c r="AL530" t="s">
        <v>603</v>
      </c>
      <c r="AM530" s="6">
        <v>44750</v>
      </c>
      <c r="AN530" t="s">
        <v>533</v>
      </c>
      <c r="AO530" t="s">
        <v>268</v>
      </c>
      <c r="AP530">
        <v>1201</v>
      </c>
      <c r="AQ530" t="s">
        <v>269</v>
      </c>
      <c r="AR530" t="s">
        <v>534</v>
      </c>
      <c r="AU530" t="s">
        <v>264</v>
      </c>
      <c r="AV530" t="s">
        <v>270</v>
      </c>
      <c r="AX530">
        <v>22002751</v>
      </c>
      <c r="AY530">
        <v>631100</v>
      </c>
      <c r="AZ530">
        <v>1201.6311000000001</v>
      </c>
      <c r="BA530" s="28" t="s">
        <v>43</v>
      </c>
    </row>
    <row r="531" spans="1:53">
      <c r="A531" t="s">
        <v>271</v>
      </c>
      <c r="B531" t="s">
        <v>272</v>
      </c>
      <c r="C531">
        <v>22010933</v>
      </c>
      <c r="D531">
        <v>1201</v>
      </c>
      <c r="E531" s="6">
        <v>44785</v>
      </c>
      <c r="F531" t="s">
        <v>531</v>
      </c>
      <c r="G531">
        <v>0.74</v>
      </c>
      <c r="H531">
        <v>0.74</v>
      </c>
      <c r="I531" t="s">
        <v>263</v>
      </c>
      <c r="J531" t="s">
        <v>263</v>
      </c>
      <c r="L531" s="29">
        <v>10924</v>
      </c>
      <c r="N531" s="29">
        <v>10924</v>
      </c>
      <c r="O531" t="s">
        <v>264</v>
      </c>
      <c r="Q531" t="s">
        <v>264</v>
      </c>
      <c r="R531" t="s">
        <v>265</v>
      </c>
      <c r="S531">
        <v>14860</v>
      </c>
      <c r="T531" t="s">
        <v>266</v>
      </c>
      <c r="U531" t="s">
        <v>267</v>
      </c>
      <c r="V531" t="s">
        <v>273</v>
      </c>
      <c r="W531" t="s">
        <v>274</v>
      </c>
      <c r="X531">
        <v>1930592</v>
      </c>
      <c r="Y531" s="6">
        <v>44785</v>
      </c>
      <c r="Z531" t="s">
        <v>264</v>
      </c>
      <c r="AA531">
        <v>1</v>
      </c>
      <c r="AB531" t="s">
        <v>264</v>
      </c>
      <c r="AD531" t="s">
        <v>264</v>
      </c>
      <c r="AE531" t="s">
        <v>264</v>
      </c>
      <c r="AF531" t="s">
        <v>264</v>
      </c>
      <c r="AG531">
        <v>1</v>
      </c>
      <c r="AH531" t="s">
        <v>264</v>
      </c>
      <c r="AI531">
        <v>54000160</v>
      </c>
      <c r="AJ531" t="s">
        <v>531</v>
      </c>
      <c r="AL531" t="s">
        <v>603</v>
      </c>
      <c r="AM531" s="6">
        <v>44750</v>
      </c>
      <c r="AN531" t="s">
        <v>533</v>
      </c>
      <c r="AO531" t="s">
        <v>268</v>
      </c>
      <c r="AP531">
        <v>1201</v>
      </c>
      <c r="AQ531" t="s">
        <v>269</v>
      </c>
      <c r="AR531" t="s">
        <v>534</v>
      </c>
      <c r="AU531" t="s">
        <v>264</v>
      </c>
      <c r="AV531" t="s">
        <v>270</v>
      </c>
      <c r="AX531">
        <v>22002751</v>
      </c>
      <c r="AY531">
        <v>631100</v>
      </c>
      <c r="AZ531">
        <v>1201.6311000000001</v>
      </c>
      <c r="BA531" s="28" t="s">
        <v>43</v>
      </c>
    </row>
    <row r="532" spans="1:53">
      <c r="A532" t="s">
        <v>271</v>
      </c>
      <c r="B532" t="s">
        <v>272</v>
      </c>
      <c r="C532">
        <v>22010934</v>
      </c>
      <c r="D532">
        <v>1201</v>
      </c>
      <c r="E532" s="6">
        <v>44785</v>
      </c>
      <c r="F532" t="s">
        <v>531</v>
      </c>
      <c r="G532">
        <v>540.83000000000004</v>
      </c>
      <c r="H532">
        <v>540.83000000000004</v>
      </c>
      <c r="I532" t="s">
        <v>263</v>
      </c>
      <c r="J532" t="s">
        <v>263</v>
      </c>
      <c r="L532" s="29">
        <v>8036709</v>
      </c>
      <c r="N532" s="29">
        <v>8036709</v>
      </c>
      <c r="O532" t="s">
        <v>264</v>
      </c>
      <c r="Q532" t="s">
        <v>264</v>
      </c>
      <c r="R532" t="s">
        <v>265</v>
      </c>
      <c r="S532">
        <v>14860</v>
      </c>
      <c r="T532" t="s">
        <v>266</v>
      </c>
      <c r="U532" t="s">
        <v>267</v>
      </c>
      <c r="V532" t="s">
        <v>273</v>
      </c>
      <c r="W532" t="s">
        <v>274</v>
      </c>
      <c r="X532">
        <v>1930592</v>
      </c>
      <c r="Y532" s="6">
        <v>44785</v>
      </c>
      <c r="Z532" t="s">
        <v>264</v>
      </c>
      <c r="AA532">
        <v>1</v>
      </c>
      <c r="AB532" t="s">
        <v>264</v>
      </c>
      <c r="AD532" t="s">
        <v>264</v>
      </c>
      <c r="AE532" t="s">
        <v>264</v>
      </c>
      <c r="AF532" t="s">
        <v>264</v>
      </c>
      <c r="AG532">
        <v>1</v>
      </c>
      <c r="AH532" t="s">
        <v>264</v>
      </c>
      <c r="AI532">
        <v>54000160</v>
      </c>
      <c r="AJ532" t="s">
        <v>531</v>
      </c>
      <c r="AL532" t="s">
        <v>604</v>
      </c>
      <c r="AM532" s="6">
        <v>44754</v>
      </c>
      <c r="AN532" t="s">
        <v>533</v>
      </c>
      <c r="AO532" t="s">
        <v>268</v>
      </c>
      <c r="AP532">
        <v>1201</v>
      </c>
      <c r="AQ532" t="s">
        <v>269</v>
      </c>
      <c r="AR532" t="s">
        <v>534</v>
      </c>
      <c r="AU532" t="s">
        <v>264</v>
      </c>
      <c r="AV532" t="s">
        <v>270</v>
      </c>
      <c r="AX532">
        <v>22002751</v>
      </c>
      <c r="AY532">
        <v>631100</v>
      </c>
      <c r="AZ532">
        <v>1201.6311000000001</v>
      </c>
      <c r="BA532" s="28" t="s">
        <v>43</v>
      </c>
    </row>
    <row r="533" spans="1:53">
      <c r="A533" t="s">
        <v>271</v>
      </c>
      <c r="B533" t="s">
        <v>272</v>
      </c>
      <c r="C533">
        <v>22010935</v>
      </c>
      <c r="D533">
        <v>1201</v>
      </c>
      <c r="E533" s="6">
        <v>44785</v>
      </c>
      <c r="F533" t="s">
        <v>531</v>
      </c>
      <c r="G533">
        <v>177.38</v>
      </c>
      <c r="H533">
        <v>177.38</v>
      </c>
      <c r="I533" t="s">
        <v>263</v>
      </c>
      <c r="J533" t="s">
        <v>263</v>
      </c>
      <c r="L533" s="29">
        <v>2635844</v>
      </c>
      <c r="N533" s="29">
        <v>2635844</v>
      </c>
      <c r="O533" t="s">
        <v>264</v>
      </c>
      <c r="Q533" t="s">
        <v>264</v>
      </c>
      <c r="R533" t="s">
        <v>265</v>
      </c>
      <c r="S533">
        <v>14860</v>
      </c>
      <c r="T533" t="s">
        <v>266</v>
      </c>
      <c r="U533" t="s">
        <v>267</v>
      </c>
      <c r="V533" t="s">
        <v>273</v>
      </c>
      <c r="W533" t="s">
        <v>274</v>
      </c>
      <c r="X533">
        <v>1930592</v>
      </c>
      <c r="Y533" s="6">
        <v>44785</v>
      </c>
      <c r="Z533" t="s">
        <v>264</v>
      </c>
      <c r="AA533">
        <v>1</v>
      </c>
      <c r="AB533" t="s">
        <v>264</v>
      </c>
      <c r="AD533" t="s">
        <v>264</v>
      </c>
      <c r="AE533" t="s">
        <v>264</v>
      </c>
      <c r="AF533" t="s">
        <v>264</v>
      </c>
      <c r="AG533">
        <v>1</v>
      </c>
      <c r="AH533" t="s">
        <v>264</v>
      </c>
      <c r="AI533">
        <v>54000160</v>
      </c>
      <c r="AJ533" t="s">
        <v>531</v>
      </c>
      <c r="AL533" t="s">
        <v>605</v>
      </c>
      <c r="AM533" s="6">
        <v>44761</v>
      </c>
      <c r="AN533" t="s">
        <v>533</v>
      </c>
      <c r="AO533" t="s">
        <v>268</v>
      </c>
      <c r="AP533">
        <v>1201</v>
      </c>
      <c r="AQ533" t="s">
        <v>269</v>
      </c>
      <c r="AR533" t="s">
        <v>534</v>
      </c>
      <c r="AU533" t="s">
        <v>264</v>
      </c>
      <c r="AV533" t="s">
        <v>270</v>
      </c>
      <c r="AX533">
        <v>22002751</v>
      </c>
      <c r="AY533">
        <v>631100</v>
      </c>
      <c r="AZ533">
        <v>1201.6311000000001</v>
      </c>
      <c r="BA533" s="28" t="s">
        <v>43</v>
      </c>
    </row>
    <row r="534" spans="1:53">
      <c r="A534" t="s">
        <v>271</v>
      </c>
      <c r="B534" t="s">
        <v>272</v>
      </c>
      <c r="C534">
        <v>22010936</v>
      </c>
      <c r="D534">
        <v>1201</v>
      </c>
      <c r="E534" s="6">
        <v>44785</v>
      </c>
      <c r="F534" t="s">
        <v>531</v>
      </c>
      <c r="G534">
        <v>104.73</v>
      </c>
      <c r="H534">
        <v>104.73</v>
      </c>
      <c r="I534" t="s">
        <v>263</v>
      </c>
      <c r="J534" t="s">
        <v>263</v>
      </c>
      <c r="L534" s="29">
        <v>1556254</v>
      </c>
      <c r="N534" s="29">
        <v>1556254</v>
      </c>
      <c r="O534" t="s">
        <v>264</v>
      </c>
      <c r="Q534" t="s">
        <v>264</v>
      </c>
      <c r="R534" t="s">
        <v>265</v>
      </c>
      <c r="S534">
        <v>14860</v>
      </c>
      <c r="T534" t="s">
        <v>266</v>
      </c>
      <c r="U534" t="s">
        <v>267</v>
      </c>
      <c r="V534" t="s">
        <v>273</v>
      </c>
      <c r="W534" t="s">
        <v>274</v>
      </c>
      <c r="X534">
        <v>1930592</v>
      </c>
      <c r="Y534" s="6">
        <v>44785</v>
      </c>
      <c r="Z534" t="s">
        <v>264</v>
      </c>
      <c r="AA534">
        <v>1</v>
      </c>
      <c r="AB534" t="s">
        <v>264</v>
      </c>
      <c r="AD534" t="s">
        <v>264</v>
      </c>
      <c r="AE534" t="s">
        <v>264</v>
      </c>
      <c r="AF534" t="s">
        <v>264</v>
      </c>
      <c r="AG534">
        <v>1</v>
      </c>
      <c r="AH534" t="s">
        <v>264</v>
      </c>
      <c r="AI534">
        <v>54000160</v>
      </c>
      <c r="AJ534" t="s">
        <v>531</v>
      </c>
      <c r="AL534" t="s">
        <v>606</v>
      </c>
      <c r="AM534" s="6">
        <v>44768</v>
      </c>
      <c r="AN534" t="s">
        <v>533</v>
      </c>
      <c r="AO534" t="s">
        <v>268</v>
      </c>
      <c r="AP534">
        <v>1201</v>
      </c>
      <c r="AQ534" t="s">
        <v>269</v>
      </c>
      <c r="AR534" t="s">
        <v>534</v>
      </c>
      <c r="AU534" t="s">
        <v>264</v>
      </c>
      <c r="AV534" t="s">
        <v>270</v>
      </c>
      <c r="AX534">
        <v>22002751</v>
      </c>
      <c r="AY534">
        <v>631100</v>
      </c>
      <c r="AZ534">
        <v>1201.6311000000001</v>
      </c>
      <c r="BA534" s="28" t="s">
        <v>43</v>
      </c>
    </row>
    <row r="535" spans="1:53">
      <c r="A535" t="s">
        <v>271</v>
      </c>
      <c r="B535" t="s">
        <v>272</v>
      </c>
      <c r="C535">
        <v>22010942</v>
      </c>
      <c r="D535">
        <v>1201</v>
      </c>
      <c r="E535" s="6">
        <v>44785</v>
      </c>
      <c r="F535" t="s">
        <v>607</v>
      </c>
      <c r="G535">
        <v>141.69999999999999</v>
      </c>
      <c r="H535">
        <v>141.69999999999999</v>
      </c>
      <c r="I535" t="s">
        <v>263</v>
      </c>
      <c r="O535" t="s">
        <v>264</v>
      </c>
      <c r="Q535" t="s">
        <v>264</v>
      </c>
      <c r="R535" t="s">
        <v>524</v>
      </c>
      <c r="T535" t="s">
        <v>266</v>
      </c>
      <c r="U535" t="s">
        <v>267</v>
      </c>
      <c r="V535" t="s">
        <v>273</v>
      </c>
      <c r="W535" t="s">
        <v>274</v>
      </c>
      <c r="X535">
        <v>1930601</v>
      </c>
      <c r="Y535" s="6">
        <v>44785</v>
      </c>
      <c r="Z535" t="s">
        <v>264</v>
      </c>
      <c r="AA535">
        <v>1</v>
      </c>
      <c r="AB535" t="s">
        <v>264</v>
      </c>
      <c r="AD535" t="s">
        <v>264</v>
      </c>
      <c r="AE535" t="s">
        <v>264</v>
      </c>
      <c r="AF535" t="s">
        <v>264</v>
      </c>
      <c r="AG535">
        <v>1</v>
      </c>
      <c r="AH535" t="s">
        <v>264</v>
      </c>
      <c r="AI535">
        <v>55047834</v>
      </c>
      <c r="AJ535" t="s">
        <v>607</v>
      </c>
      <c r="AL535" t="s">
        <v>608</v>
      </c>
      <c r="AM535" s="6">
        <v>44773</v>
      </c>
      <c r="AN535" t="s">
        <v>533</v>
      </c>
      <c r="AO535" t="s">
        <v>268</v>
      </c>
      <c r="AP535">
        <v>1201</v>
      </c>
      <c r="AQ535" t="s">
        <v>269</v>
      </c>
      <c r="AR535" t="s">
        <v>609</v>
      </c>
      <c r="AU535" t="s">
        <v>264</v>
      </c>
      <c r="AV535" t="s">
        <v>270</v>
      </c>
      <c r="AX535">
        <v>22002752</v>
      </c>
      <c r="AY535">
        <v>631100</v>
      </c>
      <c r="AZ535">
        <v>1201.6311000000001</v>
      </c>
      <c r="BA535" s="28" t="s">
        <v>43</v>
      </c>
    </row>
    <row r="536" spans="1:53">
      <c r="A536" t="s">
        <v>521</v>
      </c>
      <c r="B536" t="s">
        <v>522</v>
      </c>
      <c r="C536">
        <v>22001886</v>
      </c>
      <c r="D536">
        <v>1201</v>
      </c>
      <c r="E536" s="6">
        <v>44788</v>
      </c>
      <c r="F536" t="s">
        <v>610</v>
      </c>
      <c r="I536" t="s">
        <v>263</v>
      </c>
      <c r="O536" t="s">
        <v>264</v>
      </c>
      <c r="Q536" t="s">
        <v>264</v>
      </c>
      <c r="R536" t="s">
        <v>524</v>
      </c>
      <c r="T536" t="s">
        <v>266</v>
      </c>
      <c r="U536" t="s">
        <v>267</v>
      </c>
      <c r="V536" t="s">
        <v>525</v>
      </c>
      <c r="W536" t="s">
        <v>526</v>
      </c>
      <c r="X536">
        <v>1934031</v>
      </c>
      <c r="Y536" s="6">
        <v>44792</v>
      </c>
      <c r="Z536" t="s">
        <v>264</v>
      </c>
      <c r="AA536">
        <v>2</v>
      </c>
      <c r="AB536" t="s">
        <v>264</v>
      </c>
      <c r="AD536" t="s">
        <v>264</v>
      </c>
      <c r="AE536" t="s">
        <v>264</v>
      </c>
      <c r="AF536" t="s">
        <v>264</v>
      </c>
      <c r="AG536">
        <v>100</v>
      </c>
      <c r="AH536" t="s">
        <v>264</v>
      </c>
      <c r="AL536" t="s">
        <v>264</v>
      </c>
      <c r="AM536" s="6">
        <v>44788</v>
      </c>
      <c r="AN536" t="s">
        <v>527</v>
      </c>
      <c r="AO536" t="s">
        <v>268</v>
      </c>
      <c r="AP536">
        <v>1201</v>
      </c>
      <c r="AQ536" t="s">
        <v>269</v>
      </c>
      <c r="AR536">
        <v>285511</v>
      </c>
      <c r="AU536" t="s">
        <v>264</v>
      </c>
      <c r="AV536" t="s">
        <v>270</v>
      </c>
      <c r="AX536" t="s">
        <v>264</v>
      </c>
      <c r="AY536">
        <v>631100</v>
      </c>
      <c r="AZ536">
        <v>1201.6311000000001</v>
      </c>
      <c r="BA536" s="28" t="s">
        <v>43</v>
      </c>
    </row>
    <row r="537" spans="1:53">
      <c r="A537" t="s">
        <v>424</v>
      </c>
      <c r="B537" t="s">
        <v>425</v>
      </c>
      <c r="C537">
        <v>22010289</v>
      </c>
      <c r="D537">
        <v>1201</v>
      </c>
      <c r="E537" s="6">
        <v>44792</v>
      </c>
      <c r="F537" t="s">
        <v>611</v>
      </c>
      <c r="G537">
        <v>-7.0000000000000007E-2</v>
      </c>
      <c r="I537" t="s">
        <v>263</v>
      </c>
      <c r="J537" t="s">
        <v>263</v>
      </c>
      <c r="K537">
        <v>-7.0000000000000007E-2</v>
      </c>
      <c r="O537" t="s">
        <v>264</v>
      </c>
      <c r="Q537" t="s">
        <v>264</v>
      </c>
      <c r="R537" t="s">
        <v>265</v>
      </c>
      <c r="S537">
        <v>14860</v>
      </c>
      <c r="T537" t="s">
        <v>266</v>
      </c>
      <c r="U537" t="s">
        <v>267</v>
      </c>
      <c r="V537" t="s">
        <v>427</v>
      </c>
      <c r="W537" t="s">
        <v>428</v>
      </c>
      <c r="X537">
        <v>1934086</v>
      </c>
      <c r="Y537" s="6">
        <v>44795</v>
      </c>
      <c r="Z537" t="s">
        <v>264</v>
      </c>
      <c r="AA537">
        <v>4</v>
      </c>
      <c r="AB537" t="s">
        <v>264</v>
      </c>
      <c r="AD537" t="s">
        <v>264</v>
      </c>
      <c r="AE537" t="s">
        <v>264</v>
      </c>
      <c r="AF537" t="s">
        <v>264</v>
      </c>
      <c r="AG537" s="29">
        <v>2102.4</v>
      </c>
      <c r="AH537" t="s">
        <v>264</v>
      </c>
      <c r="AI537">
        <v>55254841</v>
      </c>
      <c r="AJ537" t="s">
        <v>611</v>
      </c>
      <c r="AL537" t="s">
        <v>264</v>
      </c>
      <c r="AM537" s="6">
        <v>44792</v>
      </c>
      <c r="AN537" t="s">
        <v>516</v>
      </c>
      <c r="AO537" t="s">
        <v>268</v>
      </c>
      <c r="AP537">
        <v>1201</v>
      </c>
      <c r="AQ537" t="s">
        <v>269</v>
      </c>
      <c r="AR537">
        <v>278667</v>
      </c>
      <c r="AU537" t="s">
        <v>264</v>
      </c>
      <c r="AV537" t="s">
        <v>270</v>
      </c>
      <c r="AX537">
        <v>22003656</v>
      </c>
      <c r="AY537">
        <v>631100</v>
      </c>
      <c r="AZ537">
        <v>1201.6311000000001</v>
      </c>
      <c r="BA537" s="28" t="s">
        <v>43</v>
      </c>
    </row>
    <row r="538" spans="1:53">
      <c r="A538" t="s">
        <v>271</v>
      </c>
      <c r="B538" t="s">
        <v>272</v>
      </c>
      <c r="C538">
        <v>22011417</v>
      </c>
      <c r="D538">
        <v>1201</v>
      </c>
      <c r="E538" s="6">
        <v>44795</v>
      </c>
      <c r="F538" t="s">
        <v>578</v>
      </c>
      <c r="G538">
        <v>17.3</v>
      </c>
      <c r="H538">
        <v>17.3</v>
      </c>
      <c r="I538" t="s">
        <v>263</v>
      </c>
      <c r="J538" t="s">
        <v>263</v>
      </c>
      <c r="L538" s="29">
        <v>257065</v>
      </c>
      <c r="N538" s="29">
        <v>257065</v>
      </c>
      <c r="O538" t="s">
        <v>264</v>
      </c>
      <c r="Q538" t="s">
        <v>264</v>
      </c>
      <c r="R538" t="s">
        <v>265</v>
      </c>
      <c r="S538">
        <v>14860</v>
      </c>
      <c r="T538" t="s">
        <v>266</v>
      </c>
      <c r="U538" t="s">
        <v>267</v>
      </c>
      <c r="V538" t="s">
        <v>273</v>
      </c>
      <c r="W538" t="s">
        <v>274</v>
      </c>
      <c r="X538">
        <v>1934113</v>
      </c>
      <c r="Y538" s="6">
        <v>44795</v>
      </c>
      <c r="Z538" t="s">
        <v>264</v>
      </c>
      <c r="AA538">
        <v>1</v>
      </c>
      <c r="AB538" t="s">
        <v>264</v>
      </c>
      <c r="AD538" t="s">
        <v>264</v>
      </c>
      <c r="AE538" t="s">
        <v>264</v>
      </c>
      <c r="AF538" t="s">
        <v>264</v>
      </c>
      <c r="AG538">
        <v>1</v>
      </c>
      <c r="AH538" t="s">
        <v>264</v>
      </c>
      <c r="AI538">
        <v>54000374</v>
      </c>
      <c r="AJ538" t="s">
        <v>578</v>
      </c>
      <c r="AL538">
        <v>887740810</v>
      </c>
      <c r="AM538" s="6">
        <v>44785</v>
      </c>
      <c r="AN538" t="s">
        <v>533</v>
      </c>
      <c r="AO538" t="s">
        <v>268</v>
      </c>
      <c r="AP538">
        <v>1201</v>
      </c>
      <c r="AQ538" t="s">
        <v>269</v>
      </c>
      <c r="AR538" t="s">
        <v>612</v>
      </c>
      <c r="AU538" t="s">
        <v>264</v>
      </c>
      <c r="AV538" t="s">
        <v>270</v>
      </c>
      <c r="AX538">
        <v>22002797</v>
      </c>
      <c r="AY538">
        <v>631100</v>
      </c>
      <c r="AZ538">
        <v>1201.6311000000001</v>
      </c>
      <c r="BA538" s="28" t="s">
        <v>43</v>
      </c>
    </row>
    <row r="539" spans="1:53">
      <c r="A539" t="s">
        <v>271</v>
      </c>
      <c r="B539" t="s">
        <v>272</v>
      </c>
      <c r="C539">
        <v>22011418</v>
      </c>
      <c r="D539">
        <v>1201</v>
      </c>
      <c r="E539" s="6">
        <v>44795</v>
      </c>
      <c r="F539" t="s">
        <v>578</v>
      </c>
      <c r="G539">
        <v>24.76</v>
      </c>
      <c r="H539">
        <v>24.76</v>
      </c>
      <c r="I539" t="s">
        <v>263</v>
      </c>
      <c r="J539" t="s">
        <v>263</v>
      </c>
      <c r="L539" s="29">
        <v>368000</v>
      </c>
      <c r="N539" s="29">
        <v>368000</v>
      </c>
      <c r="O539" t="s">
        <v>264</v>
      </c>
      <c r="Q539" t="s">
        <v>264</v>
      </c>
      <c r="R539" t="s">
        <v>265</v>
      </c>
      <c r="S539">
        <v>14860</v>
      </c>
      <c r="T539" t="s">
        <v>266</v>
      </c>
      <c r="U539" t="s">
        <v>267</v>
      </c>
      <c r="V539" t="s">
        <v>273</v>
      </c>
      <c r="W539" t="s">
        <v>274</v>
      </c>
      <c r="X539">
        <v>1934113</v>
      </c>
      <c r="Y539" s="6">
        <v>44795</v>
      </c>
      <c r="Z539" t="s">
        <v>264</v>
      </c>
      <c r="AA539">
        <v>1</v>
      </c>
      <c r="AB539" t="s">
        <v>264</v>
      </c>
      <c r="AD539" t="s">
        <v>264</v>
      </c>
      <c r="AE539" t="s">
        <v>264</v>
      </c>
      <c r="AF539" t="s">
        <v>264</v>
      </c>
      <c r="AG539">
        <v>2</v>
      </c>
      <c r="AH539" t="s">
        <v>264</v>
      </c>
      <c r="AI539">
        <v>54000374</v>
      </c>
      <c r="AJ539" t="s">
        <v>578</v>
      </c>
      <c r="AL539">
        <v>887740810</v>
      </c>
      <c r="AM539" s="6">
        <v>44785</v>
      </c>
      <c r="AN539" t="s">
        <v>533</v>
      </c>
      <c r="AO539" t="s">
        <v>268</v>
      </c>
      <c r="AP539">
        <v>1201</v>
      </c>
      <c r="AQ539" t="s">
        <v>269</v>
      </c>
      <c r="AR539" t="s">
        <v>612</v>
      </c>
      <c r="AU539" t="s">
        <v>264</v>
      </c>
      <c r="AV539" t="s">
        <v>270</v>
      </c>
      <c r="AX539">
        <v>22002797</v>
      </c>
      <c r="AY539">
        <v>631100</v>
      </c>
      <c r="AZ539">
        <v>1201.6311000000001</v>
      </c>
      <c r="BA539" s="28" t="s">
        <v>43</v>
      </c>
    </row>
    <row r="540" spans="1:53">
      <c r="A540" t="s">
        <v>271</v>
      </c>
      <c r="B540" t="s">
        <v>272</v>
      </c>
      <c r="C540">
        <v>22011419</v>
      </c>
      <c r="D540">
        <v>1201</v>
      </c>
      <c r="E540" s="6">
        <v>44795</v>
      </c>
      <c r="F540" t="s">
        <v>578</v>
      </c>
      <c r="G540">
        <v>4.6500000000000004</v>
      </c>
      <c r="H540">
        <v>4.6500000000000004</v>
      </c>
      <c r="I540" t="s">
        <v>263</v>
      </c>
      <c r="J540" t="s">
        <v>263</v>
      </c>
      <c r="L540" s="29">
        <v>69080</v>
      </c>
      <c r="N540" s="29">
        <v>69080</v>
      </c>
      <c r="O540" t="s">
        <v>264</v>
      </c>
      <c r="Q540" t="s">
        <v>264</v>
      </c>
      <c r="R540" t="s">
        <v>265</v>
      </c>
      <c r="S540">
        <v>14860</v>
      </c>
      <c r="T540" t="s">
        <v>266</v>
      </c>
      <c r="U540" t="s">
        <v>267</v>
      </c>
      <c r="V540" t="s">
        <v>273</v>
      </c>
      <c r="W540" t="s">
        <v>274</v>
      </c>
      <c r="X540">
        <v>1934116</v>
      </c>
      <c r="Y540" s="6">
        <v>44795</v>
      </c>
      <c r="Z540" t="s">
        <v>264</v>
      </c>
      <c r="AA540">
        <v>1</v>
      </c>
      <c r="AB540" t="s">
        <v>264</v>
      </c>
      <c r="AD540" t="s">
        <v>264</v>
      </c>
      <c r="AE540" t="s">
        <v>264</v>
      </c>
      <c r="AF540" t="s">
        <v>264</v>
      </c>
      <c r="AG540">
        <v>1</v>
      </c>
      <c r="AH540" t="s">
        <v>264</v>
      </c>
      <c r="AI540">
        <v>54000374</v>
      </c>
      <c r="AJ540" t="s">
        <v>578</v>
      </c>
      <c r="AL540">
        <v>887721748</v>
      </c>
      <c r="AM540" s="6">
        <v>44782</v>
      </c>
      <c r="AN540" t="s">
        <v>533</v>
      </c>
      <c r="AO540" t="s">
        <v>268</v>
      </c>
      <c r="AP540">
        <v>1201</v>
      </c>
      <c r="AQ540" t="s">
        <v>269</v>
      </c>
      <c r="AR540" t="s">
        <v>613</v>
      </c>
      <c r="AU540" t="s">
        <v>264</v>
      </c>
      <c r="AV540" t="s">
        <v>270</v>
      </c>
      <c r="AX540">
        <v>22002811</v>
      </c>
      <c r="AY540">
        <v>631100</v>
      </c>
      <c r="AZ540">
        <v>1201.6311000000001</v>
      </c>
      <c r="BA540" s="28" t="s">
        <v>43</v>
      </c>
    </row>
    <row r="541" spans="1:53">
      <c r="A541" t="s">
        <v>424</v>
      </c>
      <c r="B541" t="s">
        <v>425</v>
      </c>
      <c r="C541">
        <v>22010653</v>
      </c>
      <c r="D541">
        <v>1201</v>
      </c>
      <c r="E541" s="6">
        <v>44799</v>
      </c>
      <c r="F541" t="s">
        <v>611</v>
      </c>
      <c r="G541">
        <v>-0.02</v>
      </c>
      <c r="I541" t="s">
        <v>263</v>
      </c>
      <c r="J541" t="s">
        <v>263</v>
      </c>
      <c r="K541">
        <v>-0.02</v>
      </c>
      <c r="O541" t="s">
        <v>264</v>
      </c>
      <c r="Q541" t="s">
        <v>264</v>
      </c>
      <c r="R541" t="s">
        <v>265</v>
      </c>
      <c r="S541">
        <v>14860</v>
      </c>
      <c r="T541" t="s">
        <v>266</v>
      </c>
      <c r="U541" t="s">
        <v>267</v>
      </c>
      <c r="V541" t="s">
        <v>427</v>
      </c>
      <c r="W541" t="s">
        <v>428</v>
      </c>
      <c r="X541">
        <v>1935954</v>
      </c>
      <c r="Y541" s="6">
        <v>44803</v>
      </c>
      <c r="Z541" t="s">
        <v>264</v>
      </c>
      <c r="AA541">
        <v>4</v>
      </c>
      <c r="AB541" t="s">
        <v>264</v>
      </c>
      <c r="AD541" t="s">
        <v>264</v>
      </c>
      <c r="AE541" t="s">
        <v>264</v>
      </c>
      <c r="AF541" t="s">
        <v>264</v>
      </c>
      <c r="AG541">
        <v>648</v>
      </c>
      <c r="AH541" t="s">
        <v>264</v>
      </c>
      <c r="AI541">
        <v>55254841</v>
      </c>
      <c r="AJ541" t="s">
        <v>611</v>
      </c>
      <c r="AL541" t="s">
        <v>264</v>
      </c>
      <c r="AM541" s="6">
        <v>44799</v>
      </c>
      <c r="AN541" t="s">
        <v>516</v>
      </c>
      <c r="AO541" t="s">
        <v>268</v>
      </c>
      <c r="AP541">
        <v>1201</v>
      </c>
      <c r="AQ541" t="s">
        <v>269</v>
      </c>
      <c r="AR541">
        <v>274318</v>
      </c>
      <c r="AU541" t="s">
        <v>264</v>
      </c>
      <c r="AV541" t="s">
        <v>270</v>
      </c>
      <c r="AX541">
        <v>22003654</v>
      </c>
      <c r="AY541">
        <v>631100</v>
      </c>
      <c r="AZ541">
        <v>1201.6311000000001</v>
      </c>
      <c r="BA541" s="28" t="s">
        <v>43</v>
      </c>
    </row>
    <row r="542" spans="1:53">
      <c r="A542" t="s">
        <v>424</v>
      </c>
      <c r="B542" t="s">
        <v>425</v>
      </c>
      <c r="C542">
        <v>22010655</v>
      </c>
      <c r="D542">
        <v>1201</v>
      </c>
      <c r="E542" s="6">
        <v>44799</v>
      </c>
      <c r="F542" t="s">
        <v>611</v>
      </c>
      <c r="G542">
        <v>-0.18</v>
      </c>
      <c r="I542" t="s">
        <v>263</v>
      </c>
      <c r="J542" t="s">
        <v>263</v>
      </c>
      <c r="K542">
        <v>-0.18</v>
      </c>
      <c r="O542" t="s">
        <v>264</v>
      </c>
      <c r="Q542" t="s">
        <v>264</v>
      </c>
      <c r="R542" t="s">
        <v>265</v>
      </c>
      <c r="S542">
        <v>14860</v>
      </c>
      <c r="T542" t="s">
        <v>266</v>
      </c>
      <c r="U542" t="s">
        <v>267</v>
      </c>
      <c r="V542" t="s">
        <v>427</v>
      </c>
      <c r="W542" t="s">
        <v>428</v>
      </c>
      <c r="X542">
        <v>1935954</v>
      </c>
      <c r="Y542" s="6">
        <v>44803</v>
      </c>
      <c r="Z542" t="s">
        <v>264</v>
      </c>
      <c r="AA542">
        <v>6</v>
      </c>
      <c r="AB542" t="s">
        <v>264</v>
      </c>
      <c r="AD542" t="s">
        <v>264</v>
      </c>
      <c r="AE542" t="s">
        <v>264</v>
      </c>
      <c r="AF542" t="s">
        <v>264</v>
      </c>
      <c r="AG542">
        <v>5</v>
      </c>
      <c r="AH542" t="s">
        <v>264</v>
      </c>
      <c r="AI542">
        <v>55254841</v>
      </c>
      <c r="AJ542" t="s">
        <v>611</v>
      </c>
      <c r="AL542" t="s">
        <v>264</v>
      </c>
      <c r="AM542" s="6">
        <v>44799</v>
      </c>
      <c r="AN542" t="s">
        <v>516</v>
      </c>
      <c r="AO542" t="s">
        <v>268</v>
      </c>
      <c r="AP542">
        <v>1201</v>
      </c>
      <c r="AQ542" t="s">
        <v>269</v>
      </c>
      <c r="AR542">
        <v>266557</v>
      </c>
      <c r="AU542" t="s">
        <v>264</v>
      </c>
      <c r="AV542" t="s">
        <v>270</v>
      </c>
      <c r="AX542">
        <v>22003241</v>
      </c>
      <c r="AY542">
        <v>631100</v>
      </c>
      <c r="AZ542">
        <v>1201.6311000000001</v>
      </c>
      <c r="BA542" s="28" t="s">
        <v>43</v>
      </c>
    </row>
    <row r="543" spans="1:53">
      <c r="A543" t="s">
        <v>424</v>
      </c>
      <c r="B543" t="s">
        <v>425</v>
      </c>
      <c r="C543">
        <v>22010657</v>
      </c>
      <c r="D543">
        <v>1201</v>
      </c>
      <c r="E543" s="6">
        <v>44799</v>
      </c>
      <c r="F543" t="s">
        <v>611</v>
      </c>
      <c r="G543">
        <v>1.49</v>
      </c>
      <c r="H543">
        <v>1.49</v>
      </c>
      <c r="I543" t="s">
        <v>263</v>
      </c>
      <c r="J543" t="s">
        <v>263</v>
      </c>
      <c r="O543" t="s">
        <v>264</v>
      </c>
      <c r="Q543" t="s">
        <v>264</v>
      </c>
      <c r="R543" t="s">
        <v>265</v>
      </c>
      <c r="S543">
        <v>14860</v>
      </c>
      <c r="T543" t="s">
        <v>266</v>
      </c>
      <c r="U543" t="s">
        <v>267</v>
      </c>
      <c r="V543" t="s">
        <v>427</v>
      </c>
      <c r="W543" t="s">
        <v>428</v>
      </c>
      <c r="X543">
        <v>1935954</v>
      </c>
      <c r="Y543" s="6">
        <v>44803</v>
      </c>
      <c r="Z543" t="s">
        <v>264</v>
      </c>
      <c r="AA543">
        <v>4</v>
      </c>
      <c r="AB543" t="s">
        <v>264</v>
      </c>
      <c r="AD543" t="s">
        <v>264</v>
      </c>
      <c r="AE543" t="s">
        <v>264</v>
      </c>
      <c r="AF543" t="s">
        <v>264</v>
      </c>
      <c r="AG543">
        <v>2.4</v>
      </c>
      <c r="AH543" t="s">
        <v>264</v>
      </c>
      <c r="AI543">
        <v>55254841</v>
      </c>
      <c r="AJ543" t="s">
        <v>611</v>
      </c>
      <c r="AL543" t="s">
        <v>264</v>
      </c>
      <c r="AM543" s="6">
        <v>44799</v>
      </c>
      <c r="AN543" t="s">
        <v>516</v>
      </c>
      <c r="AO543" t="s">
        <v>268</v>
      </c>
      <c r="AP543">
        <v>1201</v>
      </c>
      <c r="AQ543" t="s">
        <v>269</v>
      </c>
      <c r="AR543">
        <v>261853</v>
      </c>
      <c r="AU543" t="s">
        <v>264</v>
      </c>
      <c r="AV543" t="s">
        <v>270</v>
      </c>
      <c r="AX543">
        <v>22002793</v>
      </c>
      <c r="AY543">
        <v>631100</v>
      </c>
      <c r="AZ543">
        <v>1201.6311000000001</v>
      </c>
      <c r="BA543" s="28" t="s">
        <v>43</v>
      </c>
    </row>
    <row r="544" spans="1:53">
      <c r="A544" t="s">
        <v>424</v>
      </c>
      <c r="B544" t="s">
        <v>425</v>
      </c>
      <c r="C544">
        <v>22010669</v>
      </c>
      <c r="D544">
        <v>1201</v>
      </c>
      <c r="E544" s="6">
        <v>44799</v>
      </c>
      <c r="F544" t="s">
        <v>611</v>
      </c>
      <c r="G544">
        <v>-0.37</v>
      </c>
      <c r="I544" t="s">
        <v>263</v>
      </c>
      <c r="J544" t="s">
        <v>263</v>
      </c>
      <c r="K544">
        <v>-0.37</v>
      </c>
      <c r="O544" t="s">
        <v>264</v>
      </c>
      <c r="Q544" t="s">
        <v>264</v>
      </c>
      <c r="R544" t="s">
        <v>265</v>
      </c>
      <c r="S544">
        <v>14860</v>
      </c>
      <c r="T544" t="s">
        <v>266</v>
      </c>
      <c r="U544" t="s">
        <v>267</v>
      </c>
      <c r="V544" t="s">
        <v>427</v>
      </c>
      <c r="W544" t="s">
        <v>428</v>
      </c>
      <c r="X544">
        <v>1936185</v>
      </c>
      <c r="Y544" s="6">
        <v>44803</v>
      </c>
      <c r="Z544" t="s">
        <v>264</v>
      </c>
      <c r="AA544">
        <v>4</v>
      </c>
      <c r="AB544" t="s">
        <v>264</v>
      </c>
      <c r="AD544" t="s">
        <v>264</v>
      </c>
      <c r="AE544" t="s">
        <v>264</v>
      </c>
      <c r="AF544" t="s">
        <v>264</v>
      </c>
      <c r="AG544">
        <v>10.7</v>
      </c>
      <c r="AH544" t="s">
        <v>264</v>
      </c>
      <c r="AI544">
        <v>55254841</v>
      </c>
      <c r="AJ544" t="s">
        <v>611</v>
      </c>
      <c r="AL544" t="s">
        <v>264</v>
      </c>
      <c r="AM544" s="6">
        <v>44799</v>
      </c>
      <c r="AN544" t="s">
        <v>516</v>
      </c>
      <c r="AO544" t="s">
        <v>268</v>
      </c>
      <c r="AP544">
        <v>1201</v>
      </c>
      <c r="AQ544" t="s">
        <v>269</v>
      </c>
      <c r="AR544">
        <v>266557</v>
      </c>
      <c r="AU544" t="s">
        <v>264</v>
      </c>
      <c r="AV544" t="s">
        <v>270</v>
      </c>
      <c r="AX544">
        <v>22003241</v>
      </c>
      <c r="AY544">
        <v>631100</v>
      </c>
      <c r="AZ544">
        <v>1201.6311000000001</v>
      </c>
      <c r="BA544" s="28" t="s">
        <v>43</v>
      </c>
    </row>
    <row r="545" spans="1:53">
      <c r="A545" t="s">
        <v>424</v>
      </c>
      <c r="B545" t="s">
        <v>425</v>
      </c>
      <c r="C545">
        <v>22010670</v>
      </c>
      <c r="D545">
        <v>1201</v>
      </c>
      <c r="E545" s="6">
        <v>44799</v>
      </c>
      <c r="F545" t="s">
        <v>611</v>
      </c>
      <c r="G545">
        <v>-0.19</v>
      </c>
      <c r="I545" t="s">
        <v>263</v>
      </c>
      <c r="J545" t="s">
        <v>263</v>
      </c>
      <c r="K545">
        <v>-0.19</v>
      </c>
      <c r="O545" t="s">
        <v>264</v>
      </c>
      <c r="Q545" t="s">
        <v>264</v>
      </c>
      <c r="R545" t="s">
        <v>265</v>
      </c>
      <c r="S545">
        <v>14860</v>
      </c>
      <c r="T545" t="s">
        <v>266</v>
      </c>
      <c r="U545" t="s">
        <v>267</v>
      </c>
      <c r="V545" t="s">
        <v>427</v>
      </c>
      <c r="W545" t="s">
        <v>428</v>
      </c>
      <c r="X545">
        <v>1936185</v>
      </c>
      <c r="Y545" s="6">
        <v>44803</v>
      </c>
      <c r="Z545" t="s">
        <v>264</v>
      </c>
      <c r="AA545">
        <v>4</v>
      </c>
      <c r="AB545" t="s">
        <v>264</v>
      </c>
      <c r="AD545" t="s">
        <v>264</v>
      </c>
      <c r="AE545" t="s">
        <v>264</v>
      </c>
      <c r="AF545" t="s">
        <v>264</v>
      </c>
      <c r="AG545">
        <v>806.4</v>
      </c>
      <c r="AH545" t="s">
        <v>264</v>
      </c>
      <c r="AI545">
        <v>55254841</v>
      </c>
      <c r="AJ545" t="s">
        <v>611</v>
      </c>
      <c r="AL545" t="s">
        <v>264</v>
      </c>
      <c r="AM545" s="6">
        <v>44799</v>
      </c>
      <c r="AN545" t="s">
        <v>516</v>
      </c>
      <c r="AO545" t="s">
        <v>268</v>
      </c>
      <c r="AP545">
        <v>1201</v>
      </c>
      <c r="AQ545" t="s">
        <v>269</v>
      </c>
      <c r="AR545">
        <v>278246</v>
      </c>
      <c r="AU545" t="s">
        <v>264</v>
      </c>
      <c r="AV545" t="s">
        <v>270</v>
      </c>
      <c r="AX545">
        <v>22002374</v>
      </c>
      <c r="AY545">
        <v>631100</v>
      </c>
      <c r="AZ545">
        <v>1201.6311000000001</v>
      </c>
      <c r="BA545" s="28" t="s">
        <v>43</v>
      </c>
    </row>
    <row r="546" spans="1:53">
      <c r="A546" t="s">
        <v>384</v>
      </c>
      <c r="B546" t="s">
        <v>385</v>
      </c>
      <c r="C546">
        <v>22001603</v>
      </c>
      <c r="D546">
        <v>1201</v>
      </c>
      <c r="E546" s="6">
        <v>44802</v>
      </c>
      <c r="F546" t="s">
        <v>44</v>
      </c>
      <c r="G546">
        <v>67.290000000000006</v>
      </c>
      <c r="H546">
        <v>67.290000000000006</v>
      </c>
      <c r="I546" t="s">
        <v>263</v>
      </c>
      <c r="J546" t="s">
        <v>263</v>
      </c>
      <c r="L546" s="29">
        <v>1000000</v>
      </c>
      <c r="N546" s="29">
        <v>1000000</v>
      </c>
      <c r="O546" t="s">
        <v>264</v>
      </c>
      <c r="Q546" t="s">
        <v>264</v>
      </c>
      <c r="R546" t="s">
        <v>265</v>
      </c>
      <c r="S546">
        <v>14860</v>
      </c>
      <c r="T546" t="s">
        <v>266</v>
      </c>
      <c r="U546" t="s">
        <v>267</v>
      </c>
      <c r="V546" t="s">
        <v>386</v>
      </c>
      <c r="W546" t="s">
        <v>387</v>
      </c>
      <c r="X546">
        <v>1935899</v>
      </c>
      <c r="Y546" s="6">
        <v>44802</v>
      </c>
      <c r="Z546" t="s">
        <v>264</v>
      </c>
      <c r="AA546">
        <v>1</v>
      </c>
      <c r="AB546" t="s">
        <v>264</v>
      </c>
      <c r="AD546" t="s">
        <v>264</v>
      </c>
      <c r="AE546" t="s">
        <v>264</v>
      </c>
      <c r="AF546" t="s">
        <v>264</v>
      </c>
      <c r="AH546" t="s">
        <v>264</v>
      </c>
      <c r="AL546" t="s">
        <v>264</v>
      </c>
      <c r="AM546" s="6">
        <v>44802</v>
      </c>
      <c r="AN546" t="s">
        <v>388</v>
      </c>
      <c r="AO546" t="s">
        <v>268</v>
      </c>
      <c r="AP546">
        <v>1201</v>
      </c>
      <c r="AQ546" t="s">
        <v>269</v>
      </c>
      <c r="AR546" t="s">
        <v>1121</v>
      </c>
      <c r="AU546" t="s">
        <v>264</v>
      </c>
      <c r="AV546" t="s">
        <v>270</v>
      </c>
      <c r="AX546" t="s">
        <v>264</v>
      </c>
      <c r="AY546">
        <v>631100</v>
      </c>
      <c r="AZ546">
        <v>1201.6311000000001</v>
      </c>
      <c r="BA546" s="28" t="s">
        <v>43</v>
      </c>
    </row>
    <row r="547" spans="1:53">
      <c r="A547" t="s">
        <v>384</v>
      </c>
      <c r="B547" t="s">
        <v>385</v>
      </c>
      <c r="C547">
        <v>22001289</v>
      </c>
      <c r="D547">
        <v>1204</v>
      </c>
      <c r="E547" s="6">
        <v>44782</v>
      </c>
      <c r="F547" t="s">
        <v>44</v>
      </c>
      <c r="G547">
        <v>6.56</v>
      </c>
      <c r="H547">
        <v>6.56</v>
      </c>
      <c r="I547" t="s">
        <v>263</v>
      </c>
      <c r="J547" t="s">
        <v>263</v>
      </c>
      <c r="L547" s="29">
        <v>97500</v>
      </c>
      <c r="N547" s="29">
        <v>97500</v>
      </c>
      <c r="O547" t="s">
        <v>264</v>
      </c>
      <c r="Q547" t="s">
        <v>264</v>
      </c>
      <c r="R547" t="s">
        <v>265</v>
      </c>
      <c r="S547">
        <v>14860</v>
      </c>
      <c r="T547" t="s">
        <v>266</v>
      </c>
      <c r="U547" t="s">
        <v>267</v>
      </c>
      <c r="V547" t="s">
        <v>386</v>
      </c>
      <c r="W547" t="s">
        <v>387</v>
      </c>
      <c r="X547">
        <v>1929267</v>
      </c>
      <c r="Y547" s="6">
        <v>44782</v>
      </c>
      <c r="Z547" t="s">
        <v>264</v>
      </c>
      <c r="AA547">
        <v>1</v>
      </c>
      <c r="AB547" t="s">
        <v>264</v>
      </c>
      <c r="AD547" t="s">
        <v>264</v>
      </c>
      <c r="AE547" t="s">
        <v>264</v>
      </c>
      <c r="AF547" t="s">
        <v>264</v>
      </c>
      <c r="AH547" t="s">
        <v>264</v>
      </c>
      <c r="AL547" t="s">
        <v>264</v>
      </c>
      <c r="AM547" s="6">
        <v>44782</v>
      </c>
      <c r="AN547" t="s">
        <v>614</v>
      </c>
      <c r="AO547" t="s">
        <v>268</v>
      </c>
      <c r="AP547">
        <v>1204</v>
      </c>
      <c r="AQ547" t="s">
        <v>269</v>
      </c>
      <c r="AR547" t="s">
        <v>615</v>
      </c>
      <c r="AU547" t="s">
        <v>264</v>
      </c>
      <c r="AV547" t="s">
        <v>270</v>
      </c>
      <c r="AX547" t="s">
        <v>264</v>
      </c>
      <c r="AY547">
        <v>631100</v>
      </c>
      <c r="AZ547">
        <v>1204.6311000000001</v>
      </c>
      <c r="BA547" s="28" t="s">
        <v>160</v>
      </c>
    </row>
    <row r="548" spans="1:53">
      <c r="A548" t="s">
        <v>271</v>
      </c>
      <c r="B548" t="s">
        <v>272</v>
      </c>
      <c r="C548">
        <v>22002818</v>
      </c>
      <c r="D548">
        <v>1204</v>
      </c>
      <c r="E548" s="6">
        <v>44784</v>
      </c>
      <c r="F548" t="s">
        <v>590</v>
      </c>
      <c r="G548">
        <v>863.6</v>
      </c>
      <c r="H548">
        <v>863.6</v>
      </c>
      <c r="I548" t="s">
        <v>263</v>
      </c>
      <c r="J548" t="s">
        <v>263</v>
      </c>
      <c r="L548" s="29">
        <v>12833100</v>
      </c>
      <c r="N548" s="29">
        <v>12833100</v>
      </c>
      <c r="O548" t="s">
        <v>264</v>
      </c>
      <c r="Q548" t="s">
        <v>264</v>
      </c>
      <c r="R548" t="s">
        <v>265</v>
      </c>
      <c r="S548">
        <v>14860</v>
      </c>
      <c r="T548" t="s">
        <v>266</v>
      </c>
      <c r="U548" t="s">
        <v>267</v>
      </c>
      <c r="V548" t="s">
        <v>273</v>
      </c>
      <c r="W548" t="s">
        <v>274</v>
      </c>
      <c r="X548">
        <v>1930380</v>
      </c>
      <c r="Y548" s="6">
        <v>44784</v>
      </c>
      <c r="Z548" t="s">
        <v>264</v>
      </c>
      <c r="AA548">
        <v>1</v>
      </c>
      <c r="AB548" t="s">
        <v>264</v>
      </c>
      <c r="AD548" t="s">
        <v>264</v>
      </c>
      <c r="AE548" t="s">
        <v>264</v>
      </c>
      <c r="AF548" t="s">
        <v>264</v>
      </c>
      <c r="AG548">
        <v>1</v>
      </c>
      <c r="AH548" t="s">
        <v>264</v>
      </c>
      <c r="AI548">
        <v>55738803</v>
      </c>
      <c r="AJ548" t="s">
        <v>590</v>
      </c>
      <c r="AL548" t="s">
        <v>616</v>
      </c>
      <c r="AM548" s="6">
        <v>44781</v>
      </c>
      <c r="AN548" t="s">
        <v>275</v>
      </c>
      <c r="AO548" t="s">
        <v>268</v>
      </c>
      <c r="AP548">
        <v>1204</v>
      </c>
      <c r="AQ548" t="s">
        <v>269</v>
      </c>
      <c r="AR548" t="s">
        <v>617</v>
      </c>
      <c r="AU548" t="s">
        <v>264</v>
      </c>
      <c r="AV548" t="s">
        <v>270</v>
      </c>
      <c r="AX548">
        <v>22001383</v>
      </c>
      <c r="AY548">
        <v>631100</v>
      </c>
      <c r="AZ548">
        <v>1204.6311000000001</v>
      </c>
      <c r="BA548" s="28" t="s">
        <v>160</v>
      </c>
    </row>
    <row r="549" spans="1:53">
      <c r="A549" t="s">
        <v>271</v>
      </c>
      <c r="B549" t="s">
        <v>272</v>
      </c>
      <c r="C549">
        <v>22002819</v>
      </c>
      <c r="D549">
        <v>1204</v>
      </c>
      <c r="E549" s="6">
        <v>44784</v>
      </c>
      <c r="F549" t="s">
        <v>590</v>
      </c>
      <c r="G549">
        <v>337.28</v>
      </c>
      <c r="H549">
        <v>337.28</v>
      </c>
      <c r="I549" t="s">
        <v>263</v>
      </c>
      <c r="J549" t="s">
        <v>263</v>
      </c>
      <c r="L549" s="29">
        <v>5012000</v>
      </c>
      <c r="N549" s="29">
        <v>5012000</v>
      </c>
      <c r="O549" t="s">
        <v>264</v>
      </c>
      <c r="Q549" t="s">
        <v>264</v>
      </c>
      <c r="R549" t="s">
        <v>265</v>
      </c>
      <c r="S549">
        <v>14860</v>
      </c>
      <c r="T549" t="s">
        <v>266</v>
      </c>
      <c r="U549" t="s">
        <v>267</v>
      </c>
      <c r="V549" t="s">
        <v>273</v>
      </c>
      <c r="W549" t="s">
        <v>274</v>
      </c>
      <c r="X549">
        <v>1930380</v>
      </c>
      <c r="Y549" s="6">
        <v>44784</v>
      </c>
      <c r="Z549" t="s">
        <v>264</v>
      </c>
      <c r="AA549">
        <v>1</v>
      </c>
      <c r="AB549" t="s">
        <v>264</v>
      </c>
      <c r="AD549" t="s">
        <v>264</v>
      </c>
      <c r="AE549" t="s">
        <v>264</v>
      </c>
      <c r="AF549" t="s">
        <v>264</v>
      </c>
      <c r="AG549">
        <v>1</v>
      </c>
      <c r="AH549" t="s">
        <v>264</v>
      </c>
      <c r="AI549">
        <v>55738803</v>
      </c>
      <c r="AJ549" t="s">
        <v>590</v>
      </c>
      <c r="AL549" t="s">
        <v>618</v>
      </c>
      <c r="AM549" s="6">
        <v>44781</v>
      </c>
      <c r="AN549" t="s">
        <v>275</v>
      </c>
      <c r="AO549" t="s">
        <v>268</v>
      </c>
      <c r="AP549">
        <v>1204</v>
      </c>
      <c r="AQ549" t="s">
        <v>269</v>
      </c>
      <c r="AR549" t="s">
        <v>619</v>
      </c>
      <c r="AU549" t="s">
        <v>264</v>
      </c>
      <c r="AV549" t="s">
        <v>270</v>
      </c>
      <c r="AX549">
        <v>22001383</v>
      </c>
      <c r="AY549">
        <v>631100</v>
      </c>
      <c r="AZ549">
        <v>1204.6311000000001</v>
      </c>
      <c r="BA549" s="28" t="s">
        <v>160</v>
      </c>
    </row>
    <row r="550" spans="1:53">
      <c r="A550" t="s">
        <v>271</v>
      </c>
      <c r="B550" t="s">
        <v>272</v>
      </c>
      <c r="C550">
        <v>22002821</v>
      </c>
      <c r="D550">
        <v>1204</v>
      </c>
      <c r="E550" s="6">
        <v>44784</v>
      </c>
      <c r="F550" t="s">
        <v>531</v>
      </c>
      <c r="G550">
        <v>11.44</v>
      </c>
      <c r="H550">
        <v>11.44</v>
      </c>
      <c r="I550" t="s">
        <v>263</v>
      </c>
      <c r="J550" t="s">
        <v>263</v>
      </c>
      <c r="L550" s="29">
        <v>170000</v>
      </c>
      <c r="N550" s="29">
        <v>170000</v>
      </c>
      <c r="O550" t="s">
        <v>264</v>
      </c>
      <c r="Q550" t="s">
        <v>264</v>
      </c>
      <c r="R550" t="s">
        <v>265</v>
      </c>
      <c r="S550">
        <v>14860</v>
      </c>
      <c r="T550" t="s">
        <v>266</v>
      </c>
      <c r="U550" t="s">
        <v>267</v>
      </c>
      <c r="V550" t="s">
        <v>273</v>
      </c>
      <c r="W550" t="s">
        <v>274</v>
      </c>
      <c r="X550">
        <v>1930467</v>
      </c>
      <c r="Y550" s="6">
        <v>44784</v>
      </c>
      <c r="Z550" t="s">
        <v>264</v>
      </c>
      <c r="AA550">
        <v>1</v>
      </c>
      <c r="AB550" t="s">
        <v>264</v>
      </c>
      <c r="AD550" t="s">
        <v>264</v>
      </c>
      <c r="AE550" t="s">
        <v>264</v>
      </c>
      <c r="AF550" t="s">
        <v>264</v>
      </c>
      <c r="AG550">
        <v>1</v>
      </c>
      <c r="AH550" t="s">
        <v>264</v>
      </c>
      <c r="AI550">
        <v>54000160</v>
      </c>
      <c r="AJ550" t="s">
        <v>531</v>
      </c>
      <c r="AL550" t="s">
        <v>620</v>
      </c>
      <c r="AM550" s="6">
        <v>44774</v>
      </c>
      <c r="AN550" t="s">
        <v>533</v>
      </c>
      <c r="AO550" t="s">
        <v>268</v>
      </c>
      <c r="AP550">
        <v>1204</v>
      </c>
      <c r="AQ550" t="s">
        <v>269</v>
      </c>
      <c r="AR550" t="s">
        <v>621</v>
      </c>
      <c r="AU550" t="s">
        <v>264</v>
      </c>
      <c r="AV550" t="s">
        <v>270</v>
      </c>
      <c r="AX550">
        <v>22001389</v>
      </c>
      <c r="AY550">
        <v>631100</v>
      </c>
      <c r="AZ550">
        <v>1204.6311000000001</v>
      </c>
      <c r="BA550" s="28" t="s">
        <v>160</v>
      </c>
    </row>
    <row r="551" spans="1:53">
      <c r="A551" t="s">
        <v>271</v>
      </c>
      <c r="B551" t="s">
        <v>272</v>
      </c>
      <c r="C551">
        <v>22002822</v>
      </c>
      <c r="D551">
        <v>1204</v>
      </c>
      <c r="E551" s="6">
        <v>44784</v>
      </c>
      <c r="F551" t="s">
        <v>531</v>
      </c>
      <c r="G551">
        <v>16.489999999999998</v>
      </c>
      <c r="H551">
        <v>16.489999999999998</v>
      </c>
      <c r="I551" t="s">
        <v>263</v>
      </c>
      <c r="J551" t="s">
        <v>263</v>
      </c>
      <c r="L551" s="29">
        <v>245000</v>
      </c>
      <c r="N551" s="29">
        <v>245000</v>
      </c>
      <c r="O551" t="s">
        <v>264</v>
      </c>
      <c r="Q551" t="s">
        <v>264</v>
      </c>
      <c r="R551" t="s">
        <v>265</v>
      </c>
      <c r="S551">
        <v>14860</v>
      </c>
      <c r="T551" t="s">
        <v>266</v>
      </c>
      <c r="U551" t="s">
        <v>267</v>
      </c>
      <c r="V551" t="s">
        <v>273</v>
      </c>
      <c r="W551" t="s">
        <v>274</v>
      </c>
      <c r="X551">
        <v>1930468</v>
      </c>
      <c r="Y551" s="6">
        <v>44784</v>
      </c>
      <c r="Z551" t="s">
        <v>264</v>
      </c>
      <c r="AA551">
        <v>1</v>
      </c>
      <c r="AB551" t="s">
        <v>264</v>
      </c>
      <c r="AD551" t="s">
        <v>264</v>
      </c>
      <c r="AE551" t="s">
        <v>264</v>
      </c>
      <c r="AF551" t="s">
        <v>264</v>
      </c>
      <c r="AG551">
        <v>1</v>
      </c>
      <c r="AH551" t="s">
        <v>264</v>
      </c>
      <c r="AI551">
        <v>54000160</v>
      </c>
      <c r="AJ551" t="s">
        <v>531</v>
      </c>
      <c r="AL551" t="s">
        <v>620</v>
      </c>
      <c r="AM551" s="6">
        <v>44774</v>
      </c>
      <c r="AN551" t="s">
        <v>533</v>
      </c>
      <c r="AO551" t="s">
        <v>268</v>
      </c>
      <c r="AP551">
        <v>1204</v>
      </c>
      <c r="AQ551" t="s">
        <v>269</v>
      </c>
      <c r="AR551" t="s">
        <v>621</v>
      </c>
      <c r="AU551" t="s">
        <v>264</v>
      </c>
      <c r="AV551" t="s">
        <v>270</v>
      </c>
      <c r="AX551">
        <v>22001389</v>
      </c>
      <c r="AY551">
        <v>631100</v>
      </c>
      <c r="AZ551">
        <v>1204.6311000000001</v>
      </c>
      <c r="BA551" s="28" t="s">
        <v>160</v>
      </c>
    </row>
    <row r="552" spans="1:53">
      <c r="A552" t="s">
        <v>271</v>
      </c>
      <c r="B552" t="s">
        <v>272</v>
      </c>
      <c r="C552">
        <v>22002826</v>
      </c>
      <c r="D552">
        <v>1204</v>
      </c>
      <c r="E552" s="6">
        <v>44785</v>
      </c>
      <c r="F552" t="s">
        <v>598</v>
      </c>
      <c r="G552">
        <v>493.86</v>
      </c>
      <c r="H552">
        <v>493.86</v>
      </c>
      <c r="I552" t="s">
        <v>263</v>
      </c>
      <c r="J552" t="s">
        <v>263</v>
      </c>
      <c r="L552" s="29">
        <v>7338767</v>
      </c>
      <c r="N552" s="29">
        <v>7338767</v>
      </c>
      <c r="O552" t="s">
        <v>264</v>
      </c>
      <c r="Q552" t="s">
        <v>264</v>
      </c>
      <c r="R552" t="s">
        <v>265</v>
      </c>
      <c r="S552">
        <v>14860</v>
      </c>
      <c r="T552" t="s">
        <v>266</v>
      </c>
      <c r="U552" t="s">
        <v>267</v>
      </c>
      <c r="V552" t="s">
        <v>273</v>
      </c>
      <c r="W552" t="s">
        <v>274</v>
      </c>
      <c r="X552">
        <v>1930551</v>
      </c>
      <c r="Y552" s="6">
        <v>44785</v>
      </c>
      <c r="Z552" t="s">
        <v>264</v>
      </c>
      <c r="AA552">
        <v>1</v>
      </c>
      <c r="AB552" t="s">
        <v>264</v>
      </c>
      <c r="AD552" t="s">
        <v>264</v>
      </c>
      <c r="AE552" t="s">
        <v>264</v>
      </c>
      <c r="AF552" t="s">
        <v>264</v>
      </c>
      <c r="AG552">
        <v>1</v>
      </c>
      <c r="AH552" t="s">
        <v>264</v>
      </c>
      <c r="AI552">
        <v>55417891</v>
      </c>
      <c r="AJ552" t="s">
        <v>598</v>
      </c>
      <c r="AL552" t="s">
        <v>622</v>
      </c>
      <c r="AM552" s="6">
        <v>44774</v>
      </c>
      <c r="AN552" t="s">
        <v>275</v>
      </c>
      <c r="AO552" t="s">
        <v>268</v>
      </c>
      <c r="AP552">
        <v>1204</v>
      </c>
      <c r="AQ552" t="s">
        <v>269</v>
      </c>
      <c r="AR552" t="s">
        <v>600</v>
      </c>
      <c r="AU552" t="s">
        <v>264</v>
      </c>
      <c r="AV552" t="s">
        <v>270</v>
      </c>
      <c r="AX552">
        <v>22001370</v>
      </c>
      <c r="AY552">
        <v>631100</v>
      </c>
      <c r="AZ552">
        <v>1204.6311000000001</v>
      </c>
      <c r="BA552" s="28" t="s">
        <v>160</v>
      </c>
    </row>
    <row r="553" spans="1:53">
      <c r="A553" t="s">
        <v>271</v>
      </c>
      <c r="B553" t="s">
        <v>272</v>
      </c>
      <c r="C553">
        <v>22002827</v>
      </c>
      <c r="D553">
        <v>1204</v>
      </c>
      <c r="E553" s="6">
        <v>44785</v>
      </c>
      <c r="F553" t="s">
        <v>598</v>
      </c>
      <c r="G553" s="29">
        <v>4938.6000000000004</v>
      </c>
      <c r="H553" s="29">
        <v>4938.6000000000004</v>
      </c>
      <c r="I553" t="s">
        <v>263</v>
      </c>
      <c r="J553" t="s">
        <v>263</v>
      </c>
      <c r="L553" s="29">
        <v>73387669</v>
      </c>
      <c r="N553" s="29">
        <v>73387669</v>
      </c>
      <c r="O553" t="s">
        <v>264</v>
      </c>
      <c r="Q553" t="s">
        <v>264</v>
      </c>
      <c r="R553" t="s">
        <v>265</v>
      </c>
      <c r="S553">
        <v>14860</v>
      </c>
      <c r="T553" t="s">
        <v>266</v>
      </c>
      <c r="U553" t="s">
        <v>267</v>
      </c>
      <c r="V553" t="s">
        <v>273</v>
      </c>
      <c r="W553" t="s">
        <v>274</v>
      </c>
      <c r="X553">
        <v>1930556</v>
      </c>
      <c r="Y553" s="6">
        <v>44785</v>
      </c>
      <c r="Z553" t="s">
        <v>264</v>
      </c>
      <c r="AA553">
        <v>1</v>
      </c>
      <c r="AB553" t="s">
        <v>264</v>
      </c>
      <c r="AD553" t="s">
        <v>264</v>
      </c>
      <c r="AE553" t="s">
        <v>264</v>
      </c>
      <c r="AF553" t="s">
        <v>264</v>
      </c>
      <c r="AG553">
        <v>1</v>
      </c>
      <c r="AH553" t="s">
        <v>264</v>
      </c>
      <c r="AI553">
        <v>55417891</v>
      </c>
      <c r="AJ553" t="s">
        <v>598</v>
      </c>
      <c r="AL553">
        <v>55417891</v>
      </c>
      <c r="AM553" s="6">
        <v>44774</v>
      </c>
      <c r="AN553" t="s">
        <v>275</v>
      </c>
      <c r="AO553" t="s">
        <v>268</v>
      </c>
      <c r="AP553">
        <v>1204</v>
      </c>
      <c r="AQ553" t="s">
        <v>269</v>
      </c>
      <c r="AR553" t="s">
        <v>601</v>
      </c>
      <c r="AU553" t="s">
        <v>264</v>
      </c>
      <c r="AV553" t="s">
        <v>270</v>
      </c>
      <c r="AX553">
        <v>22001370</v>
      </c>
      <c r="AY553">
        <v>631100</v>
      </c>
      <c r="AZ553">
        <v>1204.6311000000001</v>
      </c>
      <c r="BA553" s="28" t="s">
        <v>160</v>
      </c>
    </row>
    <row r="554" spans="1:53">
      <c r="A554" t="s">
        <v>384</v>
      </c>
      <c r="B554" t="s">
        <v>385</v>
      </c>
      <c r="C554">
        <v>22001299</v>
      </c>
      <c r="D554">
        <v>1204</v>
      </c>
      <c r="E554" s="6">
        <v>44795</v>
      </c>
      <c r="F554" t="s">
        <v>44</v>
      </c>
      <c r="G554">
        <v>0.81</v>
      </c>
      <c r="H554">
        <v>0.81</v>
      </c>
      <c r="I554" t="s">
        <v>263</v>
      </c>
      <c r="J554" t="s">
        <v>263</v>
      </c>
      <c r="L554" s="29">
        <v>12000</v>
      </c>
      <c r="N554" s="29">
        <v>12000</v>
      </c>
      <c r="O554" t="s">
        <v>264</v>
      </c>
      <c r="Q554" t="s">
        <v>264</v>
      </c>
      <c r="R554" t="s">
        <v>265</v>
      </c>
      <c r="S554">
        <v>14860</v>
      </c>
      <c r="T554" t="s">
        <v>266</v>
      </c>
      <c r="U554" t="s">
        <v>267</v>
      </c>
      <c r="V554" t="s">
        <v>386</v>
      </c>
      <c r="W554" t="s">
        <v>387</v>
      </c>
      <c r="X554">
        <v>1934552</v>
      </c>
      <c r="Y554" s="6">
        <v>44796</v>
      </c>
      <c r="Z554" t="s">
        <v>264</v>
      </c>
      <c r="AA554">
        <v>1</v>
      </c>
      <c r="AB554" t="s">
        <v>264</v>
      </c>
      <c r="AD554" t="s">
        <v>264</v>
      </c>
      <c r="AE554" t="s">
        <v>264</v>
      </c>
      <c r="AF554" t="s">
        <v>264</v>
      </c>
      <c r="AH554" t="s">
        <v>264</v>
      </c>
      <c r="AL554" t="s">
        <v>264</v>
      </c>
      <c r="AM554" s="6">
        <v>44795</v>
      </c>
      <c r="AN554" t="s">
        <v>388</v>
      </c>
      <c r="AO554" t="s">
        <v>268</v>
      </c>
      <c r="AP554">
        <v>1204</v>
      </c>
      <c r="AQ554" t="s">
        <v>269</v>
      </c>
      <c r="AR554" t="s">
        <v>623</v>
      </c>
      <c r="AU554" t="s">
        <v>264</v>
      </c>
      <c r="AV554" t="s">
        <v>270</v>
      </c>
      <c r="AX554" t="s">
        <v>264</v>
      </c>
      <c r="AY554">
        <v>631100</v>
      </c>
      <c r="AZ554">
        <v>1204.6311000000001</v>
      </c>
      <c r="BA554" s="28" t="s">
        <v>160</v>
      </c>
    </row>
    <row r="555" spans="1:53">
      <c r="A555" t="s">
        <v>384</v>
      </c>
      <c r="B555" t="s">
        <v>385</v>
      </c>
      <c r="C555">
        <v>22001310</v>
      </c>
      <c r="D555">
        <v>1204</v>
      </c>
      <c r="E555" s="6">
        <v>44796</v>
      </c>
      <c r="F555" t="s">
        <v>44</v>
      </c>
      <c r="G555">
        <v>194.95</v>
      </c>
      <c r="H555">
        <v>194.95</v>
      </c>
      <c r="I555" t="s">
        <v>263</v>
      </c>
      <c r="J555" t="s">
        <v>263</v>
      </c>
      <c r="L555" s="29">
        <v>2897000</v>
      </c>
      <c r="N555" s="29">
        <v>2897000</v>
      </c>
      <c r="O555" t="s">
        <v>264</v>
      </c>
      <c r="Q555" t="s">
        <v>264</v>
      </c>
      <c r="R555" t="s">
        <v>265</v>
      </c>
      <c r="S555">
        <v>14860</v>
      </c>
      <c r="T555" t="s">
        <v>266</v>
      </c>
      <c r="U555" t="s">
        <v>267</v>
      </c>
      <c r="V555" t="s">
        <v>386</v>
      </c>
      <c r="W555" t="s">
        <v>387</v>
      </c>
      <c r="X555">
        <v>1934660</v>
      </c>
      <c r="Y555" s="6">
        <v>44797</v>
      </c>
      <c r="Z555" t="s">
        <v>264</v>
      </c>
      <c r="AA555">
        <v>1</v>
      </c>
      <c r="AB555" t="s">
        <v>264</v>
      </c>
      <c r="AD555" t="s">
        <v>264</v>
      </c>
      <c r="AE555" t="s">
        <v>264</v>
      </c>
      <c r="AF555" t="s">
        <v>264</v>
      </c>
      <c r="AH555" t="s">
        <v>264</v>
      </c>
      <c r="AL555" t="s">
        <v>264</v>
      </c>
      <c r="AM555" s="6">
        <v>44796</v>
      </c>
      <c r="AN555" t="s">
        <v>388</v>
      </c>
      <c r="AO555" t="s">
        <v>268</v>
      </c>
      <c r="AP555">
        <v>1204</v>
      </c>
      <c r="AQ555" t="s">
        <v>269</v>
      </c>
      <c r="AR555" t="s">
        <v>624</v>
      </c>
      <c r="AU555" t="s">
        <v>264</v>
      </c>
      <c r="AV555" t="s">
        <v>270</v>
      </c>
      <c r="AX555" t="s">
        <v>264</v>
      </c>
      <c r="AY555">
        <v>631100</v>
      </c>
      <c r="AZ555">
        <v>1204.6311000000001</v>
      </c>
      <c r="BA555" s="28" t="s">
        <v>160</v>
      </c>
    </row>
    <row r="556" spans="1:53">
      <c r="A556" t="s">
        <v>271</v>
      </c>
      <c r="B556" t="s">
        <v>272</v>
      </c>
      <c r="C556">
        <v>22002891</v>
      </c>
      <c r="D556">
        <v>1204</v>
      </c>
      <c r="E556" s="6">
        <v>44796</v>
      </c>
      <c r="F556" t="s">
        <v>625</v>
      </c>
      <c r="G556" s="29">
        <v>1076.72</v>
      </c>
      <c r="H556" s="29">
        <v>1076.72</v>
      </c>
      <c r="I556" t="s">
        <v>263</v>
      </c>
      <c r="J556" t="s">
        <v>263</v>
      </c>
      <c r="L556" s="29">
        <v>16000000</v>
      </c>
      <c r="N556" s="29">
        <v>16000000</v>
      </c>
      <c r="O556" t="s">
        <v>264</v>
      </c>
      <c r="Q556" t="s">
        <v>264</v>
      </c>
      <c r="R556" t="s">
        <v>265</v>
      </c>
      <c r="S556">
        <v>14860</v>
      </c>
      <c r="T556" t="s">
        <v>266</v>
      </c>
      <c r="U556" t="s">
        <v>267</v>
      </c>
      <c r="V556" t="s">
        <v>273</v>
      </c>
      <c r="W556" t="s">
        <v>274</v>
      </c>
      <c r="X556">
        <v>1934478</v>
      </c>
      <c r="Y556" s="6">
        <v>44796</v>
      </c>
      <c r="Z556" t="s">
        <v>264</v>
      </c>
      <c r="AA556">
        <v>1</v>
      </c>
      <c r="AB556" t="s">
        <v>264</v>
      </c>
      <c r="AD556" t="s">
        <v>264</v>
      </c>
      <c r="AE556" t="s">
        <v>264</v>
      </c>
      <c r="AF556" t="s">
        <v>264</v>
      </c>
      <c r="AG556">
        <v>1</v>
      </c>
      <c r="AH556" t="s">
        <v>264</v>
      </c>
      <c r="AI556">
        <v>55698776</v>
      </c>
      <c r="AJ556" t="s">
        <v>625</v>
      </c>
      <c r="AL556" t="s">
        <v>626</v>
      </c>
      <c r="AM556" s="6">
        <v>44789</v>
      </c>
      <c r="AN556" t="s">
        <v>275</v>
      </c>
      <c r="AO556" t="s">
        <v>268</v>
      </c>
      <c r="AP556">
        <v>1204</v>
      </c>
      <c r="AQ556" t="s">
        <v>269</v>
      </c>
      <c r="AR556" t="s">
        <v>627</v>
      </c>
      <c r="AU556" t="s">
        <v>264</v>
      </c>
      <c r="AV556" t="s">
        <v>270</v>
      </c>
      <c r="AX556">
        <v>22001403</v>
      </c>
      <c r="AY556">
        <v>631100</v>
      </c>
      <c r="AZ556">
        <v>1204.6311000000001</v>
      </c>
      <c r="BA556" s="28" t="s">
        <v>160</v>
      </c>
    </row>
    <row r="557" spans="1:53">
      <c r="A557" t="s">
        <v>271</v>
      </c>
      <c r="B557" t="s">
        <v>272</v>
      </c>
      <c r="C557">
        <v>22002946</v>
      </c>
      <c r="D557">
        <v>1205</v>
      </c>
      <c r="E557" s="6">
        <v>44781</v>
      </c>
      <c r="F557" t="s">
        <v>628</v>
      </c>
      <c r="G557">
        <v>10.09</v>
      </c>
      <c r="H557">
        <v>10.09</v>
      </c>
      <c r="I557" t="s">
        <v>263</v>
      </c>
      <c r="J557" t="s">
        <v>263</v>
      </c>
      <c r="L557" s="29">
        <v>150000</v>
      </c>
      <c r="N557" s="29">
        <v>150000</v>
      </c>
      <c r="O557" t="s">
        <v>264</v>
      </c>
      <c r="Q557" t="s">
        <v>264</v>
      </c>
      <c r="R557" t="s">
        <v>265</v>
      </c>
      <c r="S557">
        <v>14860</v>
      </c>
      <c r="T557" t="s">
        <v>266</v>
      </c>
      <c r="U557" t="s">
        <v>267</v>
      </c>
      <c r="V557" t="s">
        <v>273</v>
      </c>
      <c r="W557" t="s">
        <v>274</v>
      </c>
      <c r="X557">
        <v>1928775</v>
      </c>
      <c r="Y557" s="6">
        <v>44781</v>
      </c>
      <c r="Z557" t="s">
        <v>264</v>
      </c>
      <c r="AA557">
        <v>1</v>
      </c>
      <c r="AB557" t="s">
        <v>264</v>
      </c>
      <c r="AD557" t="s">
        <v>264</v>
      </c>
      <c r="AE557" t="s">
        <v>264</v>
      </c>
      <c r="AF557" t="s">
        <v>264</v>
      </c>
      <c r="AG557">
        <v>1</v>
      </c>
      <c r="AH557" t="s">
        <v>264</v>
      </c>
      <c r="AI557">
        <v>56001310</v>
      </c>
      <c r="AJ557" t="s">
        <v>628</v>
      </c>
      <c r="AL557" t="s">
        <v>629</v>
      </c>
      <c r="AM557" s="6">
        <v>44736</v>
      </c>
      <c r="AN557" t="s">
        <v>529</v>
      </c>
      <c r="AO557" t="s">
        <v>268</v>
      </c>
      <c r="AP557">
        <v>1205</v>
      </c>
      <c r="AQ557" t="s">
        <v>269</v>
      </c>
      <c r="AR557" t="s">
        <v>630</v>
      </c>
      <c r="AU557" t="s">
        <v>264</v>
      </c>
      <c r="AV557" t="s">
        <v>270</v>
      </c>
      <c r="AX557">
        <v>22001349</v>
      </c>
      <c r="AY557">
        <v>631100</v>
      </c>
      <c r="AZ557">
        <v>1205.6311000000001</v>
      </c>
      <c r="BA557" s="28" t="s">
        <v>161</v>
      </c>
    </row>
    <row r="558" spans="1:53">
      <c r="A558" t="s">
        <v>271</v>
      </c>
      <c r="B558" t="s">
        <v>272</v>
      </c>
      <c r="C558">
        <v>22002989</v>
      </c>
      <c r="D558">
        <v>1205</v>
      </c>
      <c r="E558" s="6">
        <v>44784</v>
      </c>
      <c r="F558" t="s">
        <v>590</v>
      </c>
      <c r="G558">
        <v>337.28</v>
      </c>
      <c r="H558">
        <v>337.28</v>
      </c>
      <c r="I558" t="s">
        <v>263</v>
      </c>
      <c r="J558" t="s">
        <v>263</v>
      </c>
      <c r="L558" s="29">
        <v>5012000</v>
      </c>
      <c r="N558" s="29">
        <v>5012000</v>
      </c>
      <c r="O558" t="s">
        <v>264</v>
      </c>
      <c r="Q558" t="s">
        <v>264</v>
      </c>
      <c r="R558" t="s">
        <v>265</v>
      </c>
      <c r="S558">
        <v>14860</v>
      </c>
      <c r="T558" t="s">
        <v>266</v>
      </c>
      <c r="U558" t="s">
        <v>267</v>
      </c>
      <c r="V558" t="s">
        <v>273</v>
      </c>
      <c r="W558" t="s">
        <v>274</v>
      </c>
      <c r="X558">
        <v>1930381</v>
      </c>
      <c r="Y558" s="6">
        <v>44784</v>
      </c>
      <c r="Z558" t="s">
        <v>264</v>
      </c>
      <c r="AA558">
        <v>1</v>
      </c>
      <c r="AB558" t="s">
        <v>264</v>
      </c>
      <c r="AD558" t="s">
        <v>264</v>
      </c>
      <c r="AE558" t="s">
        <v>264</v>
      </c>
      <c r="AF558" t="s">
        <v>264</v>
      </c>
      <c r="AG558">
        <v>1</v>
      </c>
      <c r="AH558" t="s">
        <v>264</v>
      </c>
      <c r="AI558">
        <v>55738803</v>
      </c>
      <c r="AJ558" t="s">
        <v>590</v>
      </c>
      <c r="AL558" t="s">
        <v>631</v>
      </c>
      <c r="AM558" s="6">
        <v>44781</v>
      </c>
      <c r="AN558" t="s">
        <v>275</v>
      </c>
      <c r="AO558" t="s">
        <v>268</v>
      </c>
      <c r="AP558">
        <v>1205</v>
      </c>
      <c r="AQ558" t="s">
        <v>269</v>
      </c>
      <c r="AR558" t="s">
        <v>632</v>
      </c>
      <c r="AU558" t="s">
        <v>264</v>
      </c>
      <c r="AV558" t="s">
        <v>270</v>
      </c>
      <c r="AX558">
        <v>22001360</v>
      </c>
      <c r="AY558">
        <v>631100</v>
      </c>
      <c r="AZ558">
        <v>1205.6311000000001</v>
      </c>
      <c r="BA558" s="28" t="s">
        <v>161</v>
      </c>
    </row>
    <row r="559" spans="1:53">
      <c r="A559" t="s">
        <v>271</v>
      </c>
      <c r="B559" t="s">
        <v>272</v>
      </c>
      <c r="C559">
        <v>22002995</v>
      </c>
      <c r="D559">
        <v>1205</v>
      </c>
      <c r="E559" s="6">
        <v>44785</v>
      </c>
      <c r="F559" t="s">
        <v>598</v>
      </c>
      <c r="G559">
        <v>470.13</v>
      </c>
      <c r="H559">
        <v>470.13</v>
      </c>
      <c r="I559" t="s">
        <v>263</v>
      </c>
      <c r="J559" t="s">
        <v>263</v>
      </c>
      <c r="L559" s="29">
        <v>6986059</v>
      </c>
      <c r="N559" s="29">
        <v>6986059</v>
      </c>
      <c r="O559" t="s">
        <v>264</v>
      </c>
      <c r="Q559" t="s">
        <v>264</v>
      </c>
      <c r="R559" t="s">
        <v>265</v>
      </c>
      <c r="S559">
        <v>14860</v>
      </c>
      <c r="T559" t="s">
        <v>266</v>
      </c>
      <c r="U559" t="s">
        <v>267</v>
      </c>
      <c r="V559" t="s">
        <v>273</v>
      </c>
      <c r="W559" t="s">
        <v>274</v>
      </c>
      <c r="X559">
        <v>1930559</v>
      </c>
      <c r="Y559" s="6">
        <v>44785</v>
      </c>
      <c r="Z559" t="s">
        <v>264</v>
      </c>
      <c r="AA559">
        <v>1</v>
      </c>
      <c r="AB559" t="s">
        <v>264</v>
      </c>
      <c r="AD559" t="s">
        <v>264</v>
      </c>
      <c r="AE559" t="s">
        <v>264</v>
      </c>
      <c r="AF559" t="s">
        <v>264</v>
      </c>
      <c r="AG559">
        <v>1</v>
      </c>
      <c r="AH559" t="s">
        <v>264</v>
      </c>
      <c r="AI559">
        <v>55417891</v>
      </c>
      <c r="AJ559" t="s">
        <v>598</v>
      </c>
      <c r="AL559" t="s">
        <v>633</v>
      </c>
      <c r="AM559" s="6">
        <v>44774</v>
      </c>
      <c r="AN559" t="s">
        <v>275</v>
      </c>
      <c r="AO559" t="s">
        <v>268</v>
      </c>
      <c r="AP559">
        <v>1205</v>
      </c>
      <c r="AQ559" t="s">
        <v>269</v>
      </c>
      <c r="AR559" t="s">
        <v>600</v>
      </c>
      <c r="AU559" t="s">
        <v>264</v>
      </c>
      <c r="AV559" t="s">
        <v>270</v>
      </c>
      <c r="AX559">
        <v>22001348</v>
      </c>
      <c r="AY559">
        <v>631100</v>
      </c>
      <c r="AZ559">
        <v>1205.6311000000001</v>
      </c>
      <c r="BA559" s="28" t="s">
        <v>161</v>
      </c>
    </row>
    <row r="560" spans="1:53">
      <c r="A560" t="s">
        <v>271</v>
      </c>
      <c r="B560" t="s">
        <v>272</v>
      </c>
      <c r="C560">
        <v>22002996</v>
      </c>
      <c r="D560">
        <v>1205</v>
      </c>
      <c r="E560" s="6">
        <v>44785</v>
      </c>
      <c r="F560" t="s">
        <v>598</v>
      </c>
      <c r="G560" s="29">
        <v>4701.25</v>
      </c>
      <c r="H560" s="29">
        <v>4701.25</v>
      </c>
      <c r="I560" t="s">
        <v>263</v>
      </c>
      <c r="J560" t="s">
        <v>263</v>
      </c>
      <c r="L560" s="29">
        <v>69860588</v>
      </c>
      <c r="N560" s="29">
        <v>69860588</v>
      </c>
      <c r="O560" t="s">
        <v>264</v>
      </c>
      <c r="Q560" t="s">
        <v>264</v>
      </c>
      <c r="R560" t="s">
        <v>265</v>
      </c>
      <c r="S560">
        <v>14860</v>
      </c>
      <c r="T560" t="s">
        <v>266</v>
      </c>
      <c r="U560" t="s">
        <v>267</v>
      </c>
      <c r="V560" t="s">
        <v>273</v>
      </c>
      <c r="W560" t="s">
        <v>274</v>
      </c>
      <c r="X560">
        <v>1930561</v>
      </c>
      <c r="Y560" s="6">
        <v>44785</v>
      </c>
      <c r="Z560" t="s">
        <v>264</v>
      </c>
      <c r="AA560">
        <v>1</v>
      </c>
      <c r="AB560" t="s">
        <v>264</v>
      </c>
      <c r="AD560" t="s">
        <v>264</v>
      </c>
      <c r="AE560" t="s">
        <v>264</v>
      </c>
      <c r="AF560" t="s">
        <v>264</v>
      </c>
      <c r="AG560">
        <v>1</v>
      </c>
      <c r="AH560" t="s">
        <v>264</v>
      </c>
      <c r="AI560">
        <v>55417891</v>
      </c>
      <c r="AJ560" t="s">
        <v>598</v>
      </c>
      <c r="AL560" t="s">
        <v>633</v>
      </c>
      <c r="AM560" s="6">
        <v>44774</v>
      </c>
      <c r="AN560" t="s">
        <v>275</v>
      </c>
      <c r="AO560" t="s">
        <v>268</v>
      </c>
      <c r="AP560">
        <v>1205</v>
      </c>
      <c r="AQ560" t="s">
        <v>269</v>
      </c>
      <c r="AR560" t="s">
        <v>601</v>
      </c>
      <c r="AU560" t="s">
        <v>264</v>
      </c>
      <c r="AV560" t="s">
        <v>270</v>
      </c>
      <c r="AX560">
        <v>22001348</v>
      </c>
      <c r="AY560">
        <v>631100</v>
      </c>
      <c r="AZ560">
        <v>1205.6311000000001</v>
      </c>
      <c r="BA560" s="28" t="s">
        <v>161</v>
      </c>
    </row>
    <row r="561" spans="1:53">
      <c r="A561" t="s">
        <v>271</v>
      </c>
      <c r="B561" t="s">
        <v>272</v>
      </c>
      <c r="C561">
        <v>22003080</v>
      </c>
      <c r="D561">
        <v>1205</v>
      </c>
      <c r="E561" s="6">
        <v>44791</v>
      </c>
      <c r="F561" t="s">
        <v>634</v>
      </c>
      <c r="G561">
        <v>1.21</v>
      </c>
      <c r="H561">
        <v>1.21</v>
      </c>
      <c r="I561" t="s">
        <v>263</v>
      </c>
      <c r="J561" t="s">
        <v>263</v>
      </c>
      <c r="L561" s="29">
        <v>18001.95</v>
      </c>
      <c r="N561" s="29">
        <v>18001.95</v>
      </c>
      <c r="O561" t="s">
        <v>264</v>
      </c>
      <c r="Q561" t="s">
        <v>264</v>
      </c>
      <c r="R561" t="s">
        <v>265</v>
      </c>
      <c r="S561">
        <v>14860</v>
      </c>
      <c r="T561" t="s">
        <v>266</v>
      </c>
      <c r="U561" t="s">
        <v>267</v>
      </c>
      <c r="V561" t="s">
        <v>273</v>
      </c>
      <c r="W561" t="s">
        <v>274</v>
      </c>
      <c r="X561">
        <v>1933469</v>
      </c>
      <c r="Y561" s="6">
        <v>44791</v>
      </c>
      <c r="Z561" t="s">
        <v>264</v>
      </c>
      <c r="AA561">
        <v>1</v>
      </c>
      <c r="AB561" t="s">
        <v>264</v>
      </c>
      <c r="AD561" t="s">
        <v>264</v>
      </c>
      <c r="AE561" t="s">
        <v>264</v>
      </c>
      <c r="AF561" t="s">
        <v>264</v>
      </c>
      <c r="AH561" t="s">
        <v>264</v>
      </c>
      <c r="AI561">
        <v>57027714</v>
      </c>
      <c r="AJ561" t="s">
        <v>634</v>
      </c>
      <c r="AL561" t="s">
        <v>457</v>
      </c>
      <c r="AM561" s="6">
        <v>44791</v>
      </c>
      <c r="AN561" t="s">
        <v>529</v>
      </c>
      <c r="AO561" t="s">
        <v>268</v>
      </c>
      <c r="AP561">
        <v>1205</v>
      </c>
      <c r="AQ561" t="s">
        <v>269</v>
      </c>
      <c r="AR561" t="s">
        <v>457</v>
      </c>
      <c r="AU561" t="s">
        <v>264</v>
      </c>
      <c r="AV561" t="s">
        <v>270</v>
      </c>
      <c r="AX561" t="s">
        <v>264</v>
      </c>
      <c r="AY561">
        <v>631100</v>
      </c>
      <c r="AZ561">
        <v>1205.6311000000001</v>
      </c>
      <c r="BA561" s="28" t="s">
        <v>161</v>
      </c>
    </row>
    <row r="562" spans="1:53">
      <c r="A562" t="s">
        <v>271</v>
      </c>
      <c r="B562" t="s">
        <v>272</v>
      </c>
      <c r="C562">
        <v>22003081</v>
      </c>
      <c r="D562">
        <v>1205</v>
      </c>
      <c r="E562" s="6">
        <v>44791</v>
      </c>
      <c r="F562" t="s">
        <v>634</v>
      </c>
      <c r="G562">
        <v>0.18</v>
      </c>
      <c r="H562">
        <v>0.18</v>
      </c>
      <c r="I562" t="s">
        <v>263</v>
      </c>
      <c r="J562" t="s">
        <v>263</v>
      </c>
      <c r="L562" s="29">
        <v>2735.13</v>
      </c>
      <c r="N562" s="29">
        <v>2735.13</v>
      </c>
      <c r="O562" t="s">
        <v>264</v>
      </c>
      <c r="Q562" t="s">
        <v>264</v>
      </c>
      <c r="R562" t="s">
        <v>265</v>
      </c>
      <c r="S562">
        <v>14860</v>
      </c>
      <c r="T562" t="s">
        <v>266</v>
      </c>
      <c r="U562" t="s">
        <v>267</v>
      </c>
      <c r="V562" t="s">
        <v>273</v>
      </c>
      <c r="W562" t="s">
        <v>274</v>
      </c>
      <c r="X562">
        <v>1933469</v>
      </c>
      <c r="Y562" s="6">
        <v>44791</v>
      </c>
      <c r="Z562" t="s">
        <v>264</v>
      </c>
      <c r="AA562">
        <v>1</v>
      </c>
      <c r="AB562" t="s">
        <v>264</v>
      </c>
      <c r="AD562" t="s">
        <v>264</v>
      </c>
      <c r="AE562" t="s">
        <v>264</v>
      </c>
      <c r="AF562" t="s">
        <v>264</v>
      </c>
      <c r="AH562" t="s">
        <v>264</v>
      </c>
      <c r="AI562">
        <v>57027714</v>
      </c>
      <c r="AJ562" t="s">
        <v>634</v>
      </c>
      <c r="AL562" t="s">
        <v>457</v>
      </c>
      <c r="AM562" s="6">
        <v>44791</v>
      </c>
      <c r="AN562" t="s">
        <v>529</v>
      </c>
      <c r="AO562" t="s">
        <v>268</v>
      </c>
      <c r="AP562">
        <v>1205</v>
      </c>
      <c r="AQ562" t="s">
        <v>269</v>
      </c>
      <c r="AR562" t="s">
        <v>457</v>
      </c>
      <c r="AU562" t="s">
        <v>264</v>
      </c>
      <c r="AV562" t="s">
        <v>270</v>
      </c>
      <c r="AX562" t="s">
        <v>264</v>
      </c>
      <c r="AY562">
        <v>631100</v>
      </c>
      <c r="AZ562">
        <v>1205.6311000000001</v>
      </c>
      <c r="BA562" s="28" t="s">
        <v>161</v>
      </c>
    </row>
    <row r="563" spans="1:53">
      <c r="A563" t="s">
        <v>271</v>
      </c>
      <c r="B563" t="s">
        <v>272</v>
      </c>
      <c r="C563">
        <v>22003082</v>
      </c>
      <c r="D563">
        <v>1205</v>
      </c>
      <c r="E563" s="6">
        <v>44791</v>
      </c>
      <c r="F563" t="s">
        <v>634</v>
      </c>
      <c r="G563">
        <v>0.04</v>
      </c>
      <c r="H563">
        <v>0.04</v>
      </c>
      <c r="I563" t="s">
        <v>263</v>
      </c>
      <c r="J563" t="s">
        <v>263</v>
      </c>
      <c r="L563">
        <v>538.16</v>
      </c>
      <c r="N563">
        <v>538.16</v>
      </c>
      <c r="O563" t="s">
        <v>264</v>
      </c>
      <c r="Q563" t="s">
        <v>264</v>
      </c>
      <c r="R563" t="s">
        <v>265</v>
      </c>
      <c r="S563">
        <v>14860</v>
      </c>
      <c r="T563" t="s">
        <v>266</v>
      </c>
      <c r="U563" t="s">
        <v>267</v>
      </c>
      <c r="V563" t="s">
        <v>273</v>
      </c>
      <c r="W563" t="s">
        <v>274</v>
      </c>
      <c r="X563">
        <v>1933469</v>
      </c>
      <c r="Y563" s="6">
        <v>44791</v>
      </c>
      <c r="Z563" t="s">
        <v>264</v>
      </c>
      <c r="AA563">
        <v>1</v>
      </c>
      <c r="AB563" t="s">
        <v>264</v>
      </c>
      <c r="AD563" t="s">
        <v>264</v>
      </c>
      <c r="AE563" t="s">
        <v>264</v>
      </c>
      <c r="AF563" t="s">
        <v>264</v>
      </c>
      <c r="AH563" t="s">
        <v>264</v>
      </c>
      <c r="AI563">
        <v>57027714</v>
      </c>
      <c r="AJ563" t="s">
        <v>634</v>
      </c>
      <c r="AL563" t="s">
        <v>457</v>
      </c>
      <c r="AM563" s="6">
        <v>44791</v>
      </c>
      <c r="AN563" t="s">
        <v>529</v>
      </c>
      <c r="AO563" t="s">
        <v>268</v>
      </c>
      <c r="AP563">
        <v>1205</v>
      </c>
      <c r="AQ563" t="s">
        <v>269</v>
      </c>
      <c r="AR563" t="s">
        <v>457</v>
      </c>
      <c r="AU563" t="s">
        <v>264</v>
      </c>
      <c r="AV563" t="s">
        <v>270</v>
      </c>
      <c r="AX563" t="s">
        <v>264</v>
      </c>
      <c r="AY563">
        <v>631100</v>
      </c>
      <c r="AZ563">
        <v>1205.6311000000001</v>
      </c>
      <c r="BA563" s="28" t="s">
        <v>161</v>
      </c>
    </row>
    <row r="564" spans="1:53">
      <c r="A564" t="s">
        <v>271</v>
      </c>
      <c r="B564" t="s">
        <v>272</v>
      </c>
      <c r="C564">
        <v>22003133</v>
      </c>
      <c r="D564">
        <v>1205</v>
      </c>
      <c r="E564" s="6">
        <v>44797</v>
      </c>
      <c r="F564" t="s">
        <v>635</v>
      </c>
      <c r="G564">
        <v>113.39</v>
      </c>
      <c r="H564">
        <v>113.39</v>
      </c>
      <c r="I564" t="s">
        <v>263</v>
      </c>
      <c r="J564" t="s">
        <v>263</v>
      </c>
      <c r="L564" s="29">
        <v>1685000</v>
      </c>
      <c r="N564" s="29">
        <v>1685000</v>
      </c>
      <c r="O564" t="s">
        <v>264</v>
      </c>
      <c r="Q564" t="s">
        <v>264</v>
      </c>
      <c r="R564" t="s">
        <v>265</v>
      </c>
      <c r="S564">
        <v>14860</v>
      </c>
      <c r="T564" t="s">
        <v>266</v>
      </c>
      <c r="U564" t="s">
        <v>267</v>
      </c>
      <c r="V564" t="s">
        <v>273</v>
      </c>
      <c r="W564" t="s">
        <v>274</v>
      </c>
      <c r="X564">
        <v>1934618</v>
      </c>
      <c r="Y564" s="6">
        <v>44797</v>
      </c>
      <c r="Z564" t="s">
        <v>264</v>
      </c>
      <c r="AA564">
        <v>1</v>
      </c>
      <c r="AB564" t="s">
        <v>264</v>
      </c>
      <c r="AD564" t="s">
        <v>264</v>
      </c>
      <c r="AE564" t="s">
        <v>264</v>
      </c>
      <c r="AF564" t="s">
        <v>264</v>
      </c>
      <c r="AG564">
        <v>2</v>
      </c>
      <c r="AH564" t="s">
        <v>264</v>
      </c>
      <c r="AI564">
        <v>57341519</v>
      </c>
      <c r="AJ564" t="s">
        <v>635</v>
      </c>
      <c r="AL564" t="s">
        <v>636</v>
      </c>
      <c r="AM564" s="6">
        <v>44797</v>
      </c>
      <c r="AN564" t="s">
        <v>275</v>
      </c>
      <c r="AO564" t="s">
        <v>268</v>
      </c>
      <c r="AP564">
        <v>1205</v>
      </c>
      <c r="AQ564" t="s">
        <v>269</v>
      </c>
      <c r="AR564" t="s">
        <v>637</v>
      </c>
      <c r="AU564" t="s">
        <v>264</v>
      </c>
      <c r="AV564" t="s">
        <v>270</v>
      </c>
      <c r="AX564">
        <v>22001366</v>
      </c>
      <c r="AY564">
        <v>631100</v>
      </c>
      <c r="AZ564">
        <v>1205.6311000000001</v>
      </c>
      <c r="BA564" s="28" t="s">
        <v>161</v>
      </c>
    </row>
    <row r="565" spans="1:53">
      <c r="A565" t="s">
        <v>271</v>
      </c>
      <c r="B565" t="s">
        <v>272</v>
      </c>
      <c r="C565">
        <v>22001536</v>
      </c>
      <c r="D565">
        <v>1206</v>
      </c>
      <c r="E565" s="6">
        <v>44785</v>
      </c>
      <c r="F565" t="s">
        <v>598</v>
      </c>
      <c r="G565">
        <v>198.6</v>
      </c>
      <c r="H565">
        <v>198.6</v>
      </c>
      <c r="I565" t="s">
        <v>263</v>
      </c>
      <c r="J565" t="s">
        <v>263</v>
      </c>
      <c r="L565" s="29">
        <v>2951257</v>
      </c>
      <c r="N565" s="29">
        <v>2951257</v>
      </c>
      <c r="O565" t="s">
        <v>264</v>
      </c>
      <c r="Q565" t="s">
        <v>264</v>
      </c>
      <c r="R565" t="s">
        <v>265</v>
      </c>
      <c r="S565">
        <v>14860</v>
      </c>
      <c r="T565" t="s">
        <v>266</v>
      </c>
      <c r="U565" t="s">
        <v>267</v>
      </c>
      <c r="V565" t="s">
        <v>273</v>
      </c>
      <c r="W565" t="s">
        <v>274</v>
      </c>
      <c r="X565">
        <v>1930563</v>
      </c>
      <c r="Y565" s="6">
        <v>44785</v>
      </c>
      <c r="Z565" t="s">
        <v>264</v>
      </c>
      <c r="AA565">
        <v>1</v>
      </c>
      <c r="AB565" t="s">
        <v>264</v>
      </c>
      <c r="AD565" t="s">
        <v>264</v>
      </c>
      <c r="AE565" t="s">
        <v>264</v>
      </c>
      <c r="AF565" t="s">
        <v>264</v>
      </c>
      <c r="AG565">
        <v>1</v>
      </c>
      <c r="AH565" t="s">
        <v>264</v>
      </c>
      <c r="AI565">
        <v>55417891</v>
      </c>
      <c r="AJ565" t="s">
        <v>598</v>
      </c>
      <c r="AL565" t="s">
        <v>638</v>
      </c>
      <c r="AM565" s="6">
        <v>44774</v>
      </c>
      <c r="AN565" t="s">
        <v>275</v>
      </c>
      <c r="AO565" t="s">
        <v>268</v>
      </c>
      <c r="AP565">
        <v>1206</v>
      </c>
      <c r="AQ565" t="s">
        <v>269</v>
      </c>
      <c r="AR565" t="s">
        <v>600</v>
      </c>
      <c r="AU565" t="s">
        <v>264</v>
      </c>
      <c r="AV565" t="s">
        <v>270</v>
      </c>
      <c r="AX565">
        <v>22001129</v>
      </c>
      <c r="AY565">
        <v>631100</v>
      </c>
      <c r="AZ565">
        <v>1206.6311000000001</v>
      </c>
      <c r="BA565" s="28" t="s">
        <v>162</v>
      </c>
    </row>
    <row r="566" spans="1:53">
      <c r="A566" t="s">
        <v>271</v>
      </c>
      <c r="B566" t="s">
        <v>272</v>
      </c>
      <c r="C566">
        <v>22001537</v>
      </c>
      <c r="D566">
        <v>1206</v>
      </c>
      <c r="E566" s="6">
        <v>44785</v>
      </c>
      <c r="F566" t="s">
        <v>598</v>
      </c>
      <c r="G566" s="29">
        <v>1986.04</v>
      </c>
      <c r="H566" s="29">
        <v>1986.04</v>
      </c>
      <c r="I566" t="s">
        <v>263</v>
      </c>
      <c r="J566" t="s">
        <v>263</v>
      </c>
      <c r="L566" s="29">
        <v>29512571</v>
      </c>
      <c r="N566" s="29">
        <v>29512571</v>
      </c>
      <c r="O566" t="s">
        <v>264</v>
      </c>
      <c r="Q566" t="s">
        <v>264</v>
      </c>
      <c r="R566" t="s">
        <v>265</v>
      </c>
      <c r="S566">
        <v>14860</v>
      </c>
      <c r="T566" t="s">
        <v>266</v>
      </c>
      <c r="U566" t="s">
        <v>267</v>
      </c>
      <c r="V566" t="s">
        <v>273</v>
      </c>
      <c r="W566" t="s">
        <v>274</v>
      </c>
      <c r="X566">
        <v>1930564</v>
      </c>
      <c r="Y566" s="6">
        <v>44785</v>
      </c>
      <c r="Z566" t="s">
        <v>264</v>
      </c>
      <c r="AA566">
        <v>1</v>
      </c>
      <c r="AB566" t="s">
        <v>264</v>
      </c>
      <c r="AD566" t="s">
        <v>264</v>
      </c>
      <c r="AE566" t="s">
        <v>264</v>
      </c>
      <c r="AF566" t="s">
        <v>264</v>
      </c>
      <c r="AG566">
        <v>1</v>
      </c>
      <c r="AH566" t="s">
        <v>264</v>
      </c>
      <c r="AI566">
        <v>55417891</v>
      </c>
      <c r="AJ566" t="s">
        <v>598</v>
      </c>
      <c r="AL566" t="s">
        <v>638</v>
      </c>
      <c r="AM566" s="6">
        <v>44774</v>
      </c>
      <c r="AN566" t="s">
        <v>275</v>
      </c>
      <c r="AO566" t="s">
        <v>268</v>
      </c>
      <c r="AP566">
        <v>1206</v>
      </c>
      <c r="AQ566" t="s">
        <v>269</v>
      </c>
      <c r="AR566" t="s">
        <v>601</v>
      </c>
      <c r="AU566" t="s">
        <v>264</v>
      </c>
      <c r="AV566" t="s">
        <v>270</v>
      </c>
      <c r="AX566">
        <v>22001129</v>
      </c>
      <c r="AY566">
        <v>631100</v>
      </c>
      <c r="AZ566">
        <v>1206.6311000000001</v>
      </c>
      <c r="BA566" s="28" t="s">
        <v>162</v>
      </c>
    </row>
    <row r="567" spans="1:53">
      <c r="A567" t="s">
        <v>271</v>
      </c>
      <c r="B567" t="s">
        <v>272</v>
      </c>
      <c r="C567">
        <v>22001545</v>
      </c>
      <c r="D567">
        <v>1206</v>
      </c>
      <c r="E567" s="6">
        <v>44802</v>
      </c>
      <c r="F567" t="s">
        <v>1122</v>
      </c>
      <c r="G567">
        <v>477.79</v>
      </c>
      <c r="H567">
        <v>477.79</v>
      </c>
      <c r="I567" t="s">
        <v>263</v>
      </c>
      <c r="J567" t="s">
        <v>263</v>
      </c>
      <c r="L567" s="29">
        <v>7100000</v>
      </c>
      <c r="N567" s="29">
        <v>7100000</v>
      </c>
      <c r="O567" t="s">
        <v>264</v>
      </c>
      <c r="Q567" t="s">
        <v>264</v>
      </c>
      <c r="R567" t="s">
        <v>265</v>
      </c>
      <c r="S567">
        <v>14860</v>
      </c>
      <c r="T567" t="s">
        <v>266</v>
      </c>
      <c r="U567" t="s">
        <v>267</v>
      </c>
      <c r="V567" t="s">
        <v>273</v>
      </c>
      <c r="W567" t="s">
        <v>274</v>
      </c>
      <c r="X567">
        <v>1935616</v>
      </c>
      <c r="Y567" s="6">
        <v>44802</v>
      </c>
      <c r="Z567" t="s">
        <v>264</v>
      </c>
      <c r="AA567">
        <v>1</v>
      </c>
      <c r="AB567" t="s">
        <v>264</v>
      </c>
      <c r="AD567" t="s">
        <v>264</v>
      </c>
      <c r="AE567" t="s">
        <v>264</v>
      </c>
      <c r="AF567" t="s">
        <v>264</v>
      </c>
      <c r="AG567">
        <v>1</v>
      </c>
      <c r="AH567" t="s">
        <v>264</v>
      </c>
      <c r="AI567">
        <v>57369271</v>
      </c>
      <c r="AJ567" t="s">
        <v>1122</v>
      </c>
      <c r="AL567" t="s">
        <v>1123</v>
      </c>
      <c r="AM567" s="6">
        <v>44789</v>
      </c>
      <c r="AN567" t="s">
        <v>275</v>
      </c>
      <c r="AO567" t="s">
        <v>268</v>
      </c>
      <c r="AP567">
        <v>1206</v>
      </c>
      <c r="AQ567" t="s">
        <v>269</v>
      </c>
      <c r="AR567" t="s">
        <v>1124</v>
      </c>
      <c r="AU567" t="s">
        <v>264</v>
      </c>
      <c r="AV567" t="s">
        <v>270</v>
      </c>
      <c r="AX567">
        <v>22001141</v>
      </c>
      <c r="AY567">
        <v>631100</v>
      </c>
      <c r="AZ567">
        <v>1206.6311000000001</v>
      </c>
      <c r="BA567" s="28" t="s">
        <v>162</v>
      </c>
    </row>
    <row r="568" spans="1:53">
      <c r="A568" t="s">
        <v>639</v>
      </c>
      <c r="B568" t="s">
        <v>640</v>
      </c>
      <c r="C568">
        <v>14370685</v>
      </c>
      <c r="D568">
        <v>1201</v>
      </c>
      <c r="E568" s="6">
        <v>44774</v>
      </c>
      <c r="F568" t="s">
        <v>641</v>
      </c>
      <c r="G568">
        <v>0.12</v>
      </c>
      <c r="H568">
        <v>0.12</v>
      </c>
      <c r="I568" t="s">
        <v>263</v>
      </c>
      <c r="O568" t="s">
        <v>264</v>
      </c>
      <c r="Q568" t="s">
        <v>264</v>
      </c>
      <c r="R568" t="s">
        <v>524</v>
      </c>
      <c r="T568" t="s">
        <v>266</v>
      </c>
      <c r="U568" t="s">
        <v>267</v>
      </c>
      <c r="V568" t="s">
        <v>525</v>
      </c>
      <c r="W568" t="s">
        <v>526</v>
      </c>
      <c r="X568">
        <v>1934538</v>
      </c>
      <c r="Y568" s="6">
        <v>44796</v>
      </c>
      <c r="Z568" t="s">
        <v>264</v>
      </c>
      <c r="AA568">
        <v>2</v>
      </c>
      <c r="AB568" t="s">
        <v>264</v>
      </c>
      <c r="AD568" t="s">
        <v>264</v>
      </c>
      <c r="AE568" t="s">
        <v>264</v>
      </c>
      <c r="AF568" t="s">
        <v>264</v>
      </c>
      <c r="AG568">
        <v>0.02</v>
      </c>
      <c r="AH568" t="s">
        <v>264</v>
      </c>
      <c r="AL568" t="s">
        <v>264</v>
      </c>
      <c r="AM568" s="6">
        <v>44774</v>
      </c>
      <c r="AN568" t="s">
        <v>642</v>
      </c>
      <c r="AO568" t="s">
        <v>268</v>
      </c>
      <c r="AP568">
        <v>1201</v>
      </c>
      <c r="AQ568" t="s">
        <v>269</v>
      </c>
      <c r="AR568">
        <v>242228</v>
      </c>
      <c r="AU568" t="s">
        <v>264</v>
      </c>
      <c r="AV568" t="s">
        <v>270</v>
      </c>
      <c r="AX568" t="s">
        <v>264</v>
      </c>
      <c r="AY568">
        <v>710200</v>
      </c>
      <c r="AZ568">
        <v>1201.7102</v>
      </c>
      <c r="BA568" s="28" t="s">
        <v>45</v>
      </c>
    </row>
    <row r="569" spans="1:53">
      <c r="A569" t="s">
        <v>271</v>
      </c>
      <c r="B569" t="s">
        <v>272</v>
      </c>
      <c r="C569">
        <v>22010659</v>
      </c>
      <c r="D569">
        <v>1201</v>
      </c>
      <c r="E569" s="6">
        <v>44774</v>
      </c>
      <c r="F569" t="s">
        <v>499</v>
      </c>
      <c r="G569">
        <v>147.83000000000001</v>
      </c>
      <c r="H569">
        <v>147.83000000000001</v>
      </c>
      <c r="I569" t="s">
        <v>263</v>
      </c>
      <c r="J569" t="s">
        <v>263</v>
      </c>
      <c r="L569" s="29">
        <v>2200000</v>
      </c>
      <c r="N569" s="29">
        <v>2200000</v>
      </c>
      <c r="O569" t="s">
        <v>264</v>
      </c>
      <c r="Q569" t="s">
        <v>264</v>
      </c>
      <c r="R569" t="s">
        <v>265</v>
      </c>
      <c r="S569">
        <v>14882</v>
      </c>
      <c r="T569" t="s">
        <v>266</v>
      </c>
      <c r="U569" t="s">
        <v>267</v>
      </c>
      <c r="V569" t="s">
        <v>273</v>
      </c>
      <c r="W569" t="s">
        <v>274</v>
      </c>
      <c r="X569">
        <v>1925572</v>
      </c>
      <c r="Y569" s="6">
        <v>44774</v>
      </c>
      <c r="Z569" t="s">
        <v>264</v>
      </c>
      <c r="AA569">
        <v>1</v>
      </c>
      <c r="AB569" t="s">
        <v>264</v>
      </c>
      <c r="AD569" t="s">
        <v>264</v>
      </c>
      <c r="AE569" t="s">
        <v>264</v>
      </c>
      <c r="AF569" t="s">
        <v>264</v>
      </c>
      <c r="AG569">
        <v>10</v>
      </c>
      <c r="AH569" t="s">
        <v>264</v>
      </c>
      <c r="AI569">
        <v>56306480</v>
      </c>
      <c r="AJ569" t="s">
        <v>499</v>
      </c>
      <c r="AL569" t="s">
        <v>643</v>
      </c>
      <c r="AM569" s="6">
        <v>44746</v>
      </c>
      <c r="AN569" t="s">
        <v>275</v>
      </c>
      <c r="AO569" t="s">
        <v>268</v>
      </c>
      <c r="AP569">
        <v>1201</v>
      </c>
      <c r="AQ569" t="s">
        <v>269</v>
      </c>
      <c r="AR569" t="s">
        <v>644</v>
      </c>
      <c r="AU569" t="s">
        <v>264</v>
      </c>
      <c r="AV569" t="s">
        <v>270</v>
      </c>
      <c r="AX569">
        <v>22002442</v>
      </c>
      <c r="AY569">
        <v>710200</v>
      </c>
      <c r="AZ569">
        <v>1201.7102</v>
      </c>
      <c r="BA569" s="28" t="s">
        <v>45</v>
      </c>
    </row>
    <row r="570" spans="1:53">
      <c r="A570" t="s">
        <v>639</v>
      </c>
      <c r="B570" t="s">
        <v>640</v>
      </c>
      <c r="C570">
        <v>14370688</v>
      </c>
      <c r="D570">
        <v>1201</v>
      </c>
      <c r="E570" s="6">
        <v>44775</v>
      </c>
      <c r="F570" t="s">
        <v>645</v>
      </c>
      <c r="G570">
        <v>-0.01</v>
      </c>
      <c r="I570" t="s">
        <v>263</v>
      </c>
      <c r="K570">
        <v>-0.01</v>
      </c>
      <c r="O570" t="s">
        <v>264</v>
      </c>
      <c r="Q570" t="s">
        <v>264</v>
      </c>
      <c r="R570" t="s">
        <v>524</v>
      </c>
      <c r="T570" t="s">
        <v>266</v>
      </c>
      <c r="U570" t="s">
        <v>267</v>
      </c>
      <c r="V570" t="s">
        <v>525</v>
      </c>
      <c r="W570" t="s">
        <v>526</v>
      </c>
      <c r="X570">
        <v>1934742</v>
      </c>
      <c r="Y570" s="6">
        <v>44797</v>
      </c>
      <c r="Z570" t="s">
        <v>264</v>
      </c>
      <c r="AA570">
        <v>2</v>
      </c>
      <c r="AB570" t="s">
        <v>264</v>
      </c>
      <c r="AD570" t="s">
        <v>264</v>
      </c>
      <c r="AE570" t="s">
        <v>264</v>
      </c>
      <c r="AF570" t="s">
        <v>264</v>
      </c>
      <c r="AG570">
        <v>0.02</v>
      </c>
      <c r="AH570" t="s">
        <v>264</v>
      </c>
      <c r="AL570" t="s">
        <v>264</v>
      </c>
      <c r="AM570" s="6">
        <v>44775</v>
      </c>
      <c r="AN570" t="s">
        <v>642</v>
      </c>
      <c r="AO570" t="s">
        <v>268</v>
      </c>
      <c r="AP570">
        <v>1201</v>
      </c>
      <c r="AQ570" t="s">
        <v>269</v>
      </c>
      <c r="AR570">
        <v>168500</v>
      </c>
      <c r="AU570" t="s">
        <v>264</v>
      </c>
      <c r="AV570" t="s">
        <v>270</v>
      </c>
      <c r="AX570" t="s">
        <v>264</v>
      </c>
      <c r="AY570">
        <v>710200</v>
      </c>
      <c r="AZ570">
        <v>1201.7102</v>
      </c>
      <c r="BA570" s="28" t="s">
        <v>45</v>
      </c>
    </row>
    <row r="571" spans="1:53">
      <c r="A571" t="s">
        <v>639</v>
      </c>
      <c r="B571" t="s">
        <v>640</v>
      </c>
      <c r="C571">
        <v>14370649</v>
      </c>
      <c r="D571">
        <v>1201</v>
      </c>
      <c r="E571" s="6">
        <v>44776</v>
      </c>
      <c r="F571" t="s">
        <v>646</v>
      </c>
      <c r="G571">
        <v>3.52</v>
      </c>
      <c r="H571">
        <v>3.52</v>
      </c>
      <c r="I571" t="s">
        <v>263</v>
      </c>
      <c r="O571" t="s">
        <v>264</v>
      </c>
      <c r="Q571" t="s">
        <v>264</v>
      </c>
      <c r="R571" t="s">
        <v>524</v>
      </c>
      <c r="T571" t="s">
        <v>266</v>
      </c>
      <c r="U571" t="s">
        <v>267</v>
      </c>
      <c r="V571" t="s">
        <v>525</v>
      </c>
      <c r="W571" t="s">
        <v>526</v>
      </c>
      <c r="X571">
        <v>1926986</v>
      </c>
      <c r="Y571" s="6">
        <v>44776</v>
      </c>
      <c r="Z571" t="s">
        <v>264</v>
      </c>
      <c r="AA571">
        <v>2</v>
      </c>
      <c r="AB571" t="s">
        <v>264</v>
      </c>
      <c r="AD571" t="s">
        <v>264</v>
      </c>
      <c r="AE571" t="s">
        <v>264</v>
      </c>
      <c r="AF571" t="s">
        <v>264</v>
      </c>
      <c r="AG571">
        <v>11</v>
      </c>
      <c r="AH571" t="s">
        <v>264</v>
      </c>
      <c r="AL571" t="s">
        <v>264</v>
      </c>
      <c r="AM571" s="6">
        <v>44776</v>
      </c>
      <c r="AN571" t="s">
        <v>647</v>
      </c>
      <c r="AO571" t="s">
        <v>268</v>
      </c>
      <c r="AP571">
        <v>1201</v>
      </c>
      <c r="AQ571" t="s">
        <v>269</v>
      </c>
      <c r="AR571">
        <v>159673</v>
      </c>
      <c r="AU571" t="s">
        <v>264</v>
      </c>
      <c r="AV571" t="s">
        <v>270</v>
      </c>
      <c r="AX571" t="s">
        <v>264</v>
      </c>
      <c r="AY571">
        <v>710200</v>
      </c>
      <c r="AZ571">
        <v>1201.7102</v>
      </c>
      <c r="BA571" s="28" t="s">
        <v>45</v>
      </c>
    </row>
    <row r="572" spans="1:53">
      <c r="A572" t="s">
        <v>639</v>
      </c>
      <c r="B572" t="s">
        <v>640</v>
      </c>
      <c r="C572">
        <v>14370649</v>
      </c>
      <c r="D572">
        <v>1201</v>
      </c>
      <c r="E572" s="6">
        <v>44776</v>
      </c>
      <c r="F572" t="s">
        <v>646</v>
      </c>
      <c r="G572">
        <v>0.7</v>
      </c>
      <c r="H572">
        <v>0.7</v>
      </c>
      <c r="I572" t="s">
        <v>263</v>
      </c>
      <c r="O572" t="s">
        <v>264</v>
      </c>
      <c r="Q572" t="s">
        <v>264</v>
      </c>
      <c r="R572" t="s">
        <v>524</v>
      </c>
      <c r="T572" t="s">
        <v>266</v>
      </c>
      <c r="U572" t="s">
        <v>267</v>
      </c>
      <c r="V572" t="s">
        <v>525</v>
      </c>
      <c r="W572" t="s">
        <v>526</v>
      </c>
      <c r="X572">
        <v>1926986</v>
      </c>
      <c r="Y572" s="6">
        <v>44776</v>
      </c>
      <c r="Z572" t="s">
        <v>264</v>
      </c>
      <c r="AA572">
        <v>4</v>
      </c>
      <c r="AB572" t="s">
        <v>264</v>
      </c>
      <c r="AD572" t="s">
        <v>264</v>
      </c>
      <c r="AE572" t="s">
        <v>264</v>
      </c>
      <c r="AF572" t="s">
        <v>264</v>
      </c>
      <c r="AG572">
        <v>2</v>
      </c>
      <c r="AH572" t="s">
        <v>264</v>
      </c>
      <c r="AL572" t="s">
        <v>264</v>
      </c>
      <c r="AM572" s="6">
        <v>44776</v>
      </c>
      <c r="AN572" t="s">
        <v>647</v>
      </c>
      <c r="AO572" t="s">
        <v>268</v>
      </c>
      <c r="AP572">
        <v>1201</v>
      </c>
      <c r="AQ572" t="s">
        <v>269</v>
      </c>
      <c r="AR572">
        <v>250455</v>
      </c>
      <c r="AU572" t="s">
        <v>264</v>
      </c>
      <c r="AV572" t="s">
        <v>270</v>
      </c>
      <c r="AX572" t="s">
        <v>264</v>
      </c>
      <c r="AY572">
        <v>710200</v>
      </c>
      <c r="AZ572">
        <v>1201.7102</v>
      </c>
      <c r="BA572" s="28" t="s">
        <v>45</v>
      </c>
    </row>
    <row r="573" spans="1:53">
      <c r="A573" t="s">
        <v>639</v>
      </c>
      <c r="B573" t="s">
        <v>640</v>
      </c>
      <c r="C573">
        <v>14370689</v>
      </c>
      <c r="D573">
        <v>1201</v>
      </c>
      <c r="E573" s="6">
        <v>44777</v>
      </c>
      <c r="F573" t="s">
        <v>648</v>
      </c>
      <c r="G573">
        <v>16.13</v>
      </c>
      <c r="H573">
        <v>16.13</v>
      </c>
      <c r="I573" t="s">
        <v>263</v>
      </c>
      <c r="O573" t="s">
        <v>264</v>
      </c>
      <c r="Q573" t="s">
        <v>264</v>
      </c>
      <c r="R573" t="s">
        <v>524</v>
      </c>
      <c r="T573" t="s">
        <v>266</v>
      </c>
      <c r="U573" t="s">
        <v>267</v>
      </c>
      <c r="V573" t="s">
        <v>525</v>
      </c>
      <c r="W573" t="s">
        <v>526</v>
      </c>
      <c r="X573">
        <v>1934756</v>
      </c>
      <c r="Y573" s="6">
        <v>44797</v>
      </c>
      <c r="Z573" t="s">
        <v>264</v>
      </c>
      <c r="AA573">
        <v>2</v>
      </c>
      <c r="AB573" t="s">
        <v>264</v>
      </c>
      <c r="AD573" t="s">
        <v>264</v>
      </c>
      <c r="AE573" t="s">
        <v>264</v>
      </c>
      <c r="AF573" t="s">
        <v>264</v>
      </c>
      <c r="AG573">
        <v>15</v>
      </c>
      <c r="AH573" t="s">
        <v>264</v>
      </c>
      <c r="AL573" t="s">
        <v>264</v>
      </c>
      <c r="AM573" s="6">
        <v>44777</v>
      </c>
      <c r="AN573" t="s">
        <v>642</v>
      </c>
      <c r="AO573" t="s">
        <v>268</v>
      </c>
      <c r="AP573">
        <v>1201</v>
      </c>
      <c r="AQ573" t="s">
        <v>269</v>
      </c>
      <c r="AR573">
        <v>266450</v>
      </c>
      <c r="AU573" t="s">
        <v>264</v>
      </c>
      <c r="AV573" t="s">
        <v>270</v>
      </c>
      <c r="AX573" t="s">
        <v>264</v>
      </c>
      <c r="AY573">
        <v>710200</v>
      </c>
      <c r="AZ573">
        <v>1201.7102</v>
      </c>
      <c r="BA573" s="28" t="s">
        <v>45</v>
      </c>
    </row>
    <row r="574" spans="1:53">
      <c r="A574" t="s">
        <v>271</v>
      </c>
      <c r="B574" t="s">
        <v>272</v>
      </c>
      <c r="C574">
        <v>22010774</v>
      </c>
      <c r="D574">
        <v>1201</v>
      </c>
      <c r="E574" s="6">
        <v>44777</v>
      </c>
      <c r="F574" t="s">
        <v>649</v>
      </c>
      <c r="G574">
        <v>0.03</v>
      </c>
      <c r="H574">
        <v>0.03</v>
      </c>
      <c r="I574" t="s">
        <v>263</v>
      </c>
      <c r="J574" t="s">
        <v>263</v>
      </c>
      <c r="O574" t="s">
        <v>264</v>
      </c>
      <c r="Q574" t="s">
        <v>264</v>
      </c>
      <c r="R574" t="s">
        <v>265</v>
      </c>
      <c r="S574">
        <v>14860</v>
      </c>
      <c r="T574" t="s">
        <v>266</v>
      </c>
      <c r="U574" t="s">
        <v>267</v>
      </c>
      <c r="V574" t="s">
        <v>273</v>
      </c>
      <c r="W574" t="s">
        <v>274</v>
      </c>
      <c r="X574">
        <v>1927229</v>
      </c>
      <c r="Y574" s="6">
        <v>44777</v>
      </c>
      <c r="Z574" t="s">
        <v>264</v>
      </c>
      <c r="AA574">
        <v>2</v>
      </c>
      <c r="AB574" t="s">
        <v>264</v>
      </c>
      <c r="AD574" t="s">
        <v>264</v>
      </c>
      <c r="AE574" t="s">
        <v>264</v>
      </c>
      <c r="AF574" t="s">
        <v>264</v>
      </c>
      <c r="AH574" t="s">
        <v>264</v>
      </c>
      <c r="AI574">
        <v>54000628</v>
      </c>
      <c r="AJ574" t="s">
        <v>649</v>
      </c>
      <c r="AL574" s="6">
        <v>44568</v>
      </c>
      <c r="AM574" s="6">
        <v>44743</v>
      </c>
      <c r="AN574" t="s">
        <v>275</v>
      </c>
      <c r="AO574" t="s">
        <v>268</v>
      </c>
      <c r="AP574">
        <v>1201</v>
      </c>
      <c r="AQ574" t="s">
        <v>269</v>
      </c>
      <c r="AR574" t="s">
        <v>650</v>
      </c>
      <c r="AU574" t="s">
        <v>264</v>
      </c>
      <c r="AV574" t="s">
        <v>270</v>
      </c>
      <c r="AX574">
        <v>22002441</v>
      </c>
      <c r="AY574">
        <v>710200</v>
      </c>
      <c r="AZ574">
        <v>1201.7102</v>
      </c>
      <c r="BA574" s="28" t="s">
        <v>45</v>
      </c>
    </row>
    <row r="575" spans="1:53">
      <c r="A575" t="s">
        <v>639</v>
      </c>
      <c r="B575" t="s">
        <v>640</v>
      </c>
      <c r="C575">
        <v>14370668</v>
      </c>
      <c r="D575">
        <v>1201</v>
      </c>
      <c r="E575" s="6">
        <v>44778</v>
      </c>
      <c r="F575" t="s">
        <v>651</v>
      </c>
      <c r="G575">
        <v>1.33</v>
      </c>
      <c r="H575">
        <v>1.33</v>
      </c>
      <c r="I575" t="s">
        <v>263</v>
      </c>
      <c r="O575" t="s">
        <v>264</v>
      </c>
      <c r="Q575" t="s">
        <v>264</v>
      </c>
      <c r="R575" t="s">
        <v>524</v>
      </c>
      <c r="T575" t="s">
        <v>266</v>
      </c>
      <c r="U575" t="s">
        <v>267</v>
      </c>
      <c r="V575" t="s">
        <v>525</v>
      </c>
      <c r="W575" t="s">
        <v>526</v>
      </c>
      <c r="X575">
        <v>1934020</v>
      </c>
      <c r="Y575" s="6">
        <v>44792</v>
      </c>
      <c r="Z575" t="s">
        <v>264</v>
      </c>
      <c r="AA575">
        <v>4</v>
      </c>
      <c r="AB575" t="s">
        <v>264</v>
      </c>
      <c r="AD575" t="s">
        <v>264</v>
      </c>
      <c r="AE575" t="s">
        <v>264</v>
      </c>
      <c r="AF575" t="s">
        <v>264</v>
      </c>
      <c r="AG575">
        <v>1</v>
      </c>
      <c r="AH575" t="s">
        <v>264</v>
      </c>
      <c r="AL575" t="s">
        <v>264</v>
      </c>
      <c r="AM575" s="6">
        <v>44778</v>
      </c>
      <c r="AN575" t="s">
        <v>527</v>
      </c>
      <c r="AO575" t="s">
        <v>268</v>
      </c>
      <c r="AP575">
        <v>1201</v>
      </c>
      <c r="AQ575" t="s">
        <v>269</v>
      </c>
      <c r="AR575">
        <v>270846</v>
      </c>
      <c r="AU575" t="s">
        <v>264</v>
      </c>
      <c r="AV575" t="s">
        <v>270</v>
      </c>
      <c r="AX575" t="s">
        <v>264</v>
      </c>
      <c r="AY575">
        <v>710200</v>
      </c>
      <c r="AZ575">
        <v>1201.7102</v>
      </c>
      <c r="BA575" s="28" t="s">
        <v>45</v>
      </c>
    </row>
    <row r="576" spans="1:53">
      <c r="A576" t="s">
        <v>639</v>
      </c>
      <c r="B576" t="s">
        <v>640</v>
      </c>
      <c r="C576">
        <v>14370668</v>
      </c>
      <c r="D576">
        <v>1201</v>
      </c>
      <c r="E576" s="6">
        <v>44778</v>
      </c>
      <c r="F576" t="s">
        <v>651</v>
      </c>
      <c r="G576">
        <v>1.28</v>
      </c>
      <c r="H576">
        <v>1.28</v>
      </c>
      <c r="I576" t="s">
        <v>263</v>
      </c>
      <c r="O576" t="s">
        <v>264</v>
      </c>
      <c r="Q576" t="s">
        <v>264</v>
      </c>
      <c r="R576" t="s">
        <v>524</v>
      </c>
      <c r="T576" t="s">
        <v>266</v>
      </c>
      <c r="U576" t="s">
        <v>267</v>
      </c>
      <c r="V576" t="s">
        <v>525</v>
      </c>
      <c r="W576" t="s">
        <v>526</v>
      </c>
      <c r="X576">
        <v>1934020</v>
      </c>
      <c r="Y576" s="6">
        <v>44792</v>
      </c>
      <c r="Z576" t="s">
        <v>264</v>
      </c>
      <c r="AA576">
        <v>2</v>
      </c>
      <c r="AB576" t="s">
        <v>264</v>
      </c>
      <c r="AD576" t="s">
        <v>264</v>
      </c>
      <c r="AE576" t="s">
        <v>264</v>
      </c>
      <c r="AF576" t="s">
        <v>264</v>
      </c>
      <c r="AG576">
        <v>1</v>
      </c>
      <c r="AH576" t="s">
        <v>264</v>
      </c>
      <c r="AL576" t="s">
        <v>264</v>
      </c>
      <c r="AM576" s="6">
        <v>44778</v>
      </c>
      <c r="AN576" t="s">
        <v>527</v>
      </c>
      <c r="AO576" t="s">
        <v>268</v>
      </c>
      <c r="AP576">
        <v>1201</v>
      </c>
      <c r="AQ576" t="s">
        <v>269</v>
      </c>
      <c r="AR576">
        <v>270846</v>
      </c>
      <c r="AU576" t="s">
        <v>264</v>
      </c>
      <c r="AV576" t="s">
        <v>270</v>
      </c>
      <c r="AX576" t="s">
        <v>264</v>
      </c>
      <c r="AY576">
        <v>710200</v>
      </c>
      <c r="AZ576">
        <v>1201.7102</v>
      </c>
      <c r="BA576" s="28" t="s">
        <v>45</v>
      </c>
    </row>
    <row r="577" spans="1:53">
      <c r="A577" t="s">
        <v>639</v>
      </c>
      <c r="B577" t="s">
        <v>640</v>
      </c>
      <c r="C577">
        <v>14370669</v>
      </c>
      <c r="D577">
        <v>1201</v>
      </c>
      <c r="E577" s="6">
        <v>44778</v>
      </c>
      <c r="F577" t="s">
        <v>652</v>
      </c>
      <c r="G577">
        <v>5.99</v>
      </c>
      <c r="H577">
        <v>5.99</v>
      </c>
      <c r="I577" t="s">
        <v>263</v>
      </c>
      <c r="O577" t="s">
        <v>264</v>
      </c>
      <c r="Q577" t="s">
        <v>264</v>
      </c>
      <c r="R577" t="s">
        <v>524</v>
      </c>
      <c r="T577" t="s">
        <v>266</v>
      </c>
      <c r="U577" t="s">
        <v>267</v>
      </c>
      <c r="V577" t="s">
        <v>525</v>
      </c>
      <c r="W577" t="s">
        <v>526</v>
      </c>
      <c r="X577">
        <v>1934020</v>
      </c>
      <c r="Y577" s="6">
        <v>44792</v>
      </c>
      <c r="Z577" t="s">
        <v>264</v>
      </c>
      <c r="AA577">
        <v>2</v>
      </c>
      <c r="AB577" t="s">
        <v>264</v>
      </c>
      <c r="AD577" t="s">
        <v>264</v>
      </c>
      <c r="AE577" t="s">
        <v>264</v>
      </c>
      <c r="AF577" t="s">
        <v>264</v>
      </c>
      <c r="AG577">
        <v>6</v>
      </c>
      <c r="AH577" t="s">
        <v>264</v>
      </c>
      <c r="AL577" t="s">
        <v>264</v>
      </c>
      <c r="AM577" s="6">
        <v>44778</v>
      </c>
      <c r="AN577" t="s">
        <v>527</v>
      </c>
      <c r="AO577" t="s">
        <v>268</v>
      </c>
      <c r="AP577">
        <v>1201</v>
      </c>
      <c r="AQ577" t="s">
        <v>269</v>
      </c>
      <c r="AR577">
        <v>270846</v>
      </c>
      <c r="AU577" t="s">
        <v>264</v>
      </c>
      <c r="AV577" t="s">
        <v>270</v>
      </c>
      <c r="AX577" t="s">
        <v>264</v>
      </c>
      <c r="AY577">
        <v>710200</v>
      </c>
      <c r="AZ577">
        <v>1201.7102</v>
      </c>
      <c r="BA577" s="28" t="s">
        <v>45</v>
      </c>
    </row>
    <row r="578" spans="1:53">
      <c r="A578" t="s">
        <v>639</v>
      </c>
      <c r="B578" t="s">
        <v>640</v>
      </c>
      <c r="C578">
        <v>14370670</v>
      </c>
      <c r="D578">
        <v>1201</v>
      </c>
      <c r="E578" s="6">
        <v>44778</v>
      </c>
      <c r="F578" t="s">
        <v>653</v>
      </c>
      <c r="G578">
        <v>0.5</v>
      </c>
      <c r="H578">
        <v>0.5</v>
      </c>
      <c r="I578" t="s">
        <v>263</v>
      </c>
      <c r="O578" t="s">
        <v>264</v>
      </c>
      <c r="Q578" t="s">
        <v>264</v>
      </c>
      <c r="R578" t="s">
        <v>524</v>
      </c>
      <c r="T578" t="s">
        <v>266</v>
      </c>
      <c r="U578" t="s">
        <v>267</v>
      </c>
      <c r="V578" t="s">
        <v>525</v>
      </c>
      <c r="W578" t="s">
        <v>526</v>
      </c>
      <c r="X578">
        <v>1934021</v>
      </c>
      <c r="Y578" s="6">
        <v>44792</v>
      </c>
      <c r="Z578" t="s">
        <v>264</v>
      </c>
      <c r="AA578">
        <v>2</v>
      </c>
      <c r="AB578" t="s">
        <v>264</v>
      </c>
      <c r="AD578" t="s">
        <v>264</v>
      </c>
      <c r="AE578" t="s">
        <v>264</v>
      </c>
      <c r="AF578" t="s">
        <v>264</v>
      </c>
      <c r="AG578">
        <v>0.08</v>
      </c>
      <c r="AH578" t="s">
        <v>264</v>
      </c>
      <c r="AL578" t="s">
        <v>264</v>
      </c>
      <c r="AM578" s="6">
        <v>44778</v>
      </c>
      <c r="AN578" t="s">
        <v>527</v>
      </c>
      <c r="AO578" t="s">
        <v>268</v>
      </c>
      <c r="AP578">
        <v>1201</v>
      </c>
      <c r="AQ578" t="s">
        <v>269</v>
      </c>
      <c r="AR578">
        <v>284575</v>
      </c>
      <c r="AU578" t="s">
        <v>264</v>
      </c>
      <c r="AV578" t="s">
        <v>270</v>
      </c>
      <c r="AX578" t="s">
        <v>264</v>
      </c>
      <c r="AY578">
        <v>710200</v>
      </c>
      <c r="AZ578">
        <v>1201.7102</v>
      </c>
      <c r="BA578" s="28" t="s">
        <v>45</v>
      </c>
    </row>
    <row r="579" spans="1:53">
      <c r="A579" t="s">
        <v>639</v>
      </c>
      <c r="B579" t="s">
        <v>640</v>
      </c>
      <c r="C579">
        <v>14370670</v>
      </c>
      <c r="D579">
        <v>1201</v>
      </c>
      <c r="E579" s="6">
        <v>44778</v>
      </c>
      <c r="F579" t="s">
        <v>653</v>
      </c>
      <c r="G579">
        <v>-0.5</v>
      </c>
      <c r="I579" t="s">
        <v>263</v>
      </c>
      <c r="K579">
        <v>-0.5</v>
      </c>
      <c r="O579" t="s">
        <v>264</v>
      </c>
      <c r="Q579" t="s">
        <v>264</v>
      </c>
      <c r="R579" t="s">
        <v>524</v>
      </c>
      <c r="T579" t="s">
        <v>266</v>
      </c>
      <c r="U579" t="s">
        <v>267</v>
      </c>
      <c r="V579" t="s">
        <v>525</v>
      </c>
      <c r="W579" t="s">
        <v>526</v>
      </c>
      <c r="X579">
        <v>1934021</v>
      </c>
      <c r="Y579" s="6">
        <v>44792</v>
      </c>
      <c r="Z579" t="s">
        <v>264</v>
      </c>
      <c r="AA579">
        <v>4</v>
      </c>
      <c r="AB579" t="s">
        <v>264</v>
      </c>
      <c r="AD579" t="s">
        <v>264</v>
      </c>
      <c r="AE579" t="s">
        <v>264</v>
      </c>
      <c r="AF579" t="s">
        <v>264</v>
      </c>
      <c r="AG579">
        <v>-0.08</v>
      </c>
      <c r="AH579" t="s">
        <v>264</v>
      </c>
      <c r="AL579" t="s">
        <v>264</v>
      </c>
      <c r="AM579" s="6">
        <v>44778</v>
      </c>
      <c r="AN579" t="s">
        <v>527</v>
      </c>
      <c r="AO579" t="s">
        <v>268</v>
      </c>
      <c r="AP579">
        <v>1201</v>
      </c>
      <c r="AQ579" t="s">
        <v>269</v>
      </c>
      <c r="AR579">
        <v>284575</v>
      </c>
      <c r="AU579" t="s">
        <v>264</v>
      </c>
      <c r="AV579" t="s">
        <v>270</v>
      </c>
      <c r="AX579" t="s">
        <v>264</v>
      </c>
      <c r="AY579">
        <v>710200</v>
      </c>
      <c r="AZ579">
        <v>1201.7102</v>
      </c>
      <c r="BA579" s="28" t="s">
        <v>45</v>
      </c>
    </row>
    <row r="580" spans="1:53">
      <c r="A580" t="s">
        <v>639</v>
      </c>
      <c r="B580" t="s">
        <v>640</v>
      </c>
      <c r="C580">
        <v>14370670</v>
      </c>
      <c r="D580">
        <v>1201</v>
      </c>
      <c r="E580" s="6">
        <v>44778</v>
      </c>
      <c r="F580" t="s">
        <v>653</v>
      </c>
      <c r="G580">
        <v>6.06</v>
      </c>
      <c r="H580">
        <v>6.06</v>
      </c>
      <c r="I580" t="s">
        <v>263</v>
      </c>
      <c r="O580" t="s">
        <v>264</v>
      </c>
      <c r="Q580" t="s">
        <v>264</v>
      </c>
      <c r="R580" t="s">
        <v>524</v>
      </c>
      <c r="T580" t="s">
        <v>266</v>
      </c>
      <c r="U580" t="s">
        <v>267</v>
      </c>
      <c r="V580" t="s">
        <v>525</v>
      </c>
      <c r="W580" t="s">
        <v>526</v>
      </c>
      <c r="X580">
        <v>1934021</v>
      </c>
      <c r="Y580" s="6">
        <v>44792</v>
      </c>
      <c r="Z580" t="s">
        <v>264</v>
      </c>
      <c r="AA580">
        <v>6</v>
      </c>
      <c r="AB580" t="s">
        <v>264</v>
      </c>
      <c r="AD580" t="s">
        <v>264</v>
      </c>
      <c r="AE580" t="s">
        <v>264</v>
      </c>
      <c r="AF580" t="s">
        <v>264</v>
      </c>
      <c r="AG580">
        <v>1</v>
      </c>
      <c r="AH580" t="s">
        <v>264</v>
      </c>
      <c r="AL580" t="s">
        <v>264</v>
      </c>
      <c r="AM580" s="6">
        <v>44778</v>
      </c>
      <c r="AN580" t="s">
        <v>527</v>
      </c>
      <c r="AO580" t="s">
        <v>268</v>
      </c>
      <c r="AP580">
        <v>1201</v>
      </c>
      <c r="AQ580" t="s">
        <v>269</v>
      </c>
      <c r="AR580">
        <v>284575</v>
      </c>
      <c r="AU580" t="s">
        <v>264</v>
      </c>
      <c r="AV580" t="s">
        <v>270</v>
      </c>
      <c r="AX580" t="s">
        <v>264</v>
      </c>
      <c r="AY580">
        <v>710200</v>
      </c>
      <c r="AZ580">
        <v>1201.7102</v>
      </c>
      <c r="BA580" s="28" t="s">
        <v>45</v>
      </c>
    </row>
    <row r="581" spans="1:53">
      <c r="A581" t="s">
        <v>639</v>
      </c>
      <c r="B581" t="s">
        <v>640</v>
      </c>
      <c r="C581">
        <v>14370671</v>
      </c>
      <c r="D581">
        <v>1201</v>
      </c>
      <c r="E581" s="6">
        <v>44778</v>
      </c>
      <c r="F581" t="s">
        <v>654</v>
      </c>
      <c r="G581">
        <v>6.06</v>
      </c>
      <c r="H581">
        <v>6.06</v>
      </c>
      <c r="I581" t="s">
        <v>263</v>
      </c>
      <c r="O581" t="s">
        <v>264</v>
      </c>
      <c r="Q581" t="s">
        <v>264</v>
      </c>
      <c r="R581" t="s">
        <v>524</v>
      </c>
      <c r="T581" t="s">
        <v>266</v>
      </c>
      <c r="U581" t="s">
        <v>267</v>
      </c>
      <c r="V581" t="s">
        <v>525</v>
      </c>
      <c r="W581" t="s">
        <v>526</v>
      </c>
      <c r="X581">
        <v>1934028</v>
      </c>
      <c r="Y581" s="6">
        <v>44792</v>
      </c>
      <c r="Z581" t="s">
        <v>264</v>
      </c>
      <c r="AA581">
        <v>2</v>
      </c>
      <c r="AB581" t="s">
        <v>264</v>
      </c>
      <c r="AD581" t="s">
        <v>264</v>
      </c>
      <c r="AE581" t="s">
        <v>264</v>
      </c>
      <c r="AF581" t="s">
        <v>264</v>
      </c>
      <c r="AG581">
        <v>1</v>
      </c>
      <c r="AH581" t="s">
        <v>264</v>
      </c>
      <c r="AL581" t="s">
        <v>264</v>
      </c>
      <c r="AM581" s="6">
        <v>44778</v>
      </c>
      <c r="AN581" t="s">
        <v>527</v>
      </c>
      <c r="AO581" t="s">
        <v>268</v>
      </c>
      <c r="AP581">
        <v>1201</v>
      </c>
      <c r="AQ581" t="s">
        <v>269</v>
      </c>
      <c r="AR581">
        <v>278581</v>
      </c>
      <c r="AU581" t="s">
        <v>264</v>
      </c>
      <c r="AV581" t="s">
        <v>270</v>
      </c>
      <c r="AX581" t="s">
        <v>264</v>
      </c>
      <c r="AY581">
        <v>710200</v>
      </c>
      <c r="AZ581">
        <v>1201.7102</v>
      </c>
      <c r="BA581" s="28" t="s">
        <v>45</v>
      </c>
    </row>
    <row r="582" spans="1:53">
      <c r="A582" t="s">
        <v>639</v>
      </c>
      <c r="B582" t="s">
        <v>640</v>
      </c>
      <c r="C582">
        <v>14370672</v>
      </c>
      <c r="D582">
        <v>1201</v>
      </c>
      <c r="E582" s="6">
        <v>44778</v>
      </c>
      <c r="F582" t="s">
        <v>655</v>
      </c>
      <c r="I582" t="s">
        <v>263</v>
      </c>
      <c r="O582" t="s">
        <v>264</v>
      </c>
      <c r="Q582" t="s">
        <v>264</v>
      </c>
      <c r="R582" t="s">
        <v>524</v>
      </c>
      <c r="T582" t="s">
        <v>266</v>
      </c>
      <c r="U582" t="s">
        <v>267</v>
      </c>
      <c r="V582" t="s">
        <v>525</v>
      </c>
      <c r="W582" t="s">
        <v>526</v>
      </c>
      <c r="X582">
        <v>1934028</v>
      </c>
      <c r="Y582" s="6">
        <v>44792</v>
      </c>
      <c r="Z582" t="s">
        <v>264</v>
      </c>
      <c r="AA582">
        <v>2</v>
      </c>
      <c r="AB582" t="s">
        <v>264</v>
      </c>
      <c r="AD582" t="s">
        <v>264</v>
      </c>
      <c r="AE582" t="s">
        <v>264</v>
      </c>
      <c r="AF582" t="s">
        <v>264</v>
      </c>
      <c r="AG582">
        <v>1</v>
      </c>
      <c r="AH582" t="s">
        <v>264</v>
      </c>
      <c r="AL582" t="s">
        <v>264</v>
      </c>
      <c r="AM582" s="6">
        <v>44778</v>
      </c>
      <c r="AN582" t="s">
        <v>527</v>
      </c>
      <c r="AO582" t="s">
        <v>268</v>
      </c>
      <c r="AP582">
        <v>1201</v>
      </c>
      <c r="AQ582" t="s">
        <v>269</v>
      </c>
      <c r="AR582">
        <v>261475</v>
      </c>
      <c r="AU582" t="s">
        <v>264</v>
      </c>
      <c r="AV582" t="s">
        <v>270</v>
      </c>
      <c r="AX582" t="s">
        <v>264</v>
      </c>
      <c r="AY582">
        <v>710200</v>
      </c>
      <c r="AZ582">
        <v>1201.7102</v>
      </c>
      <c r="BA582" s="28" t="s">
        <v>45</v>
      </c>
    </row>
    <row r="583" spans="1:53">
      <c r="A583" t="s">
        <v>639</v>
      </c>
      <c r="B583" t="s">
        <v>640</v>
      </c>
      <c r="C583">
        <v>14370673</v>
      </c>
      <c r="D583">
        <v>1201</v>
      </c>
      <c r="E583" s="6">
        <v>44778</v>
      </c>
      <c r="F583" t="s">
        <v>656</v>
      </c>
      <c r="G583">
        <v>7</v>
      </c>
      <c r="H583">
        <v>7</v>
      </c>
      <c r="I583" t="s">
        <v>263</v>
      </c>
      <c r="O583" t="s">
        <v>264</v>
      </c>
      <c r="Q583" t="s">
        <v>264</v>
      </c>
      <c r="R583" t="s">
        <v>524</v>
      </c>
      <c r="T583" t="s">
        <v>266</v>
      </c>
      <c r="U583" t="s">
        <v>267</v>
      </c>
      <c r="V583" t="s">
        <v>525</v>
      </c>
      <c r="W583" t="s">
        <v>526</v>
      </c>
      <c r="X583">
        <v>1934029</v>
      </c>
      <c r="Y583" s="6">
        <v>44792</v>
      </c>
      <c r="Z583" t="s">
        <v>264</v>
      </c>
      <c r="AA583">
        <v>2</v>
      </c>
      <c r="AB583" t="s">
        <v>264</v>
      </c>
      <c r="AD583" t="s">
        <v>264</v>
      </c>
      <c r="AE583" t="s">
        <v>264</v>
      </c>
      <c r="AF583" t="s">
        <v>264</v>
      </c>
      <c r="AG583">
        <v>100</v>
      </c>
      <c r="AH583" t="s">
        <v>264</v>
      </c>
      <c r="AL583" t="s">
        <v>264</v>
      </c>
      <c r="AM583" s="6">
        <v>44778</v>
      </c>
      <c r="AN583" t="s">
        <v>527</v>
      </c>
      <c r="AO583" t="s">
        <v>268</v>
      </c>
      <c r="AP583">
        <v>1201</v>
      </c>
      <c r="AQ583" t="s">
        <v>269</v>
      </c>
      <c r="AR583">
        <v>260281</v>
      </c>
      <c r="AU583" t="s">
        <v>264</v>
      </c>
      <c r="AV583" t="s">
        <v>270</v>
      </c>
      <c r="AX583" t="s">
        <v>264</v>
      </c>
      <c r="AY583">
        <v>710200</v>
      </c>
      <c r="AZ583">
        <v>1201.7102</v>
      </c>
      <c r="BA583" s="28" t="s">
        <v>45</v>
      </c>
    </row>
    <row r="584" spans="1:53">
      <c r="A584" t="s">
        <v>639</v>
      </c>
      <c r="B584" t="s">
        <v>640</v>
      </c>
      <c r="C584">
        <v>14370674</v>
      </c>
      <c r="D584">
        <v>1201</v>
      </c>
      <c r="E584" s="6">
        <v>44778</v>
      </c>
      <c r="F584" t="s">
        <v>657</v>
      </c>
      <c r="G584">
        <v>42</v>
      </c>
      <c r="H584">
        <v>42</v>
      </c>
      <c r="I584" t="s">
        <v>263</v>
      </c>
      <c r="O584" t="s">
        <v>264</v>
      </c>
      <c r="Q584" t="s">
        <v>264</v>
      </c>
      <c r="R584" t="s">
        <v>524</v>
      </c>
      <c r="T584" t="s">
        <v>266</v>
      </c>
      <c r="U584" t="s">
        <v>267</v>
      </c>
      <c r="V584" t="s">
        <v>525</v>
      </c>
      <c r="W584" t="s">
        <v>526</v>
      </c>
      <c r="X584">
        <v>1934028</v>
      </c>
      <c r="Y584" s="6">
        <v>44792</v>
      </c>
      <c r="Z584" t="s">
        <v>264</v>
      </c>
      <c r="AA584">
        <v>2</v>
      </c>
      <c r="AB584" t="s">
        <v>264</v>
      </c>
      <c r="AD584" t="s">
        <v>264</v>
      </c>
      <c r="AE584" t="s">
        <v>264</v>
      </c>
      <c r="AF584" t="s">
        <v>264</v>
      </c>
      <c r="AG584">
        <v>700</v>
      </c>
      <c r="AH584" t="s">
        <v>264</v>
      </c>
      <c r="AL584" t="s">
        <v>264</v>
      </c>
      <c r="AM584" s="6">
        <v>44778</v>
      </c>
      <c r="AN584" t="s">
        <v>527</v>
      </c>
      <c r="AO584" t="s">
        <v>268</v>
      </c>
      <c r="AP584">
        <v>1201</v>
      </c>
      <c r="AQ584" t="s">
        <v>269</v>
      </c>
      <c r="AR584">
        <v>263272</v>
      </c>
      <c r="AU584" t="s">
        <v>264</v>
      </c>
      <c r="AV584" t="s">
        <v>270</v>
      </c>
      <c r="AX584" t="s">
        <v>264</v>
      </c>
      <c r="AY584">
        <v>710200</v>
      </c>
      <c r="AZ584">
        <v>1201.7102</v>
      </c>
      <c r="BA584" s="28" t="s">
        <v>45</v>
      </c>
    </row>
    <row r="585" spans="1:53">
      <c r="A585" t="s">
        <v>639</v>
      </c>
      <c r="B585" t="s">
        <v>640</v>
      </c>
      <c r="C585">
        <v>14370674</v>
      </c>
      <c r="D585">
        <v>1201</v>
      </c>
      <c r="E585" s="6">
        <v>44778</v>
      </c>
      <c r="F585" t="s">
        <v>657</v>
      </c>
      <c r="I585" t="s">
        <v>263</v>
      </c>
      <c r="O585" t="s">
        <v>264</v>
      </c>
      <c r="Q585" t="s">
        <v>264</v>
      </c>
      <c r="R585" t="s">
        <v>524</v>
      </c>
      <c r="T585" t="s">
        <v>266</v>
      </c>
      <c r="U585" t="s">
        <v>267</v>
      </c>
      <c r="V585" t="s">
        <v>525</v>
      </c>
      <c r="W585" t="s">
        <v>526</v>
      </c>
      <c r="X585">
        <v>1934028</v>
      </c>
      <c r="Y585" s="6">
        <v>44792</v>
      </c>
      <c r="Z585" t="s">
        <v>264</v>
      </c>
      <c r="AA585">
        <v>4</v>
      </c>
      <c r="AB585" t="s">
        <v>264</v>
      </c>
      <c r="AD585" t="s">
        <v>264</v>
      </c>
      <c r="AE585" t="s">
        <v>264</v>
      </c>
      <c r="AF585" t="s">
        <v>264</v>
      </c>
      <c r="AG585">
        <v>50</v>
      </c>
      <c r="AH585" t="s">
        <v>264</v>
      </c>
      <c r="AL585" t="s">
        <v>264</v>
      </c>
      <c r="AM585" s="6">
        <v>44778</v>
      </c>
      <c r="AN585" t="s">
        <v>527</v>
      </c>
      <c r="AO585" t="s">
        <v>268</v>
      </c>
      <c r="AP585">
        <v>1201</v>
      </c>
      <c r="AQ585" t="s">
        <v>269</v>
      </c>
      <c r="AR585">
        <v>260281</v>
      </c>
      <c r="AU585" t="s">
        <v>264</v>
      </c>
      <c r="AV585" t="s">
        <v>270</v>
      </c>
      <c r="AX585" t="s">
        <v>264</v>
      </c>
      <c r="AY585">
        <v>710200</v>
      </c>
      <c r="AZ585">
        <v>1201.7102</v>
      </c>
      <c r="BA585" s="28" t="s">
        <v>45</v>
      </c>
    </row>
    <row r="586" spans="1:53">
      <c r="A586" t="s">
        <v>639</v>
      </c>
      <c r="B586" t="s">
        <v>640</v>
      </c>
      <c r="C586">
        <v>14370674</v>
      </c>
      <c r="D586">
        <v>1201</v>
      </c>
      <c r="E586" s="6">
        <v>44778</v>
      </c>
      <c r="F586" t="s">
        <v>657</v>
      </c>
      <c r="I586" t="s">
        <v>263</v>
      </c>
      <c r="O586" t="s">
        <v>264</v>
      </c>
      <c r="Q586" t="s">
        <v>264</v>
      </c>
      <c r="R586" t="s">
        <v>524</v>
      </c>
      <c r="T586" t="s">
        <v>266</v>
      </c>
      <c r="U586" t="s">
        <v>267</v>
      </c>
      <c r="V586" t="s">
        <v>525</v>
      </c>
      <c r="W586" t="s">
        <v>526</v>
      </c>
      <c r="X586">
        <v>1934028</v>
      </c>
      <c r="Y586" s="6">
        <v>44792</v>
      </c>
      <c r="Z586" t="s">
        <v>264</v>
      </c>
      <c r="AA586">
        <v>6</v>
      </c>
      <c r="AB586" t="s">
        <v>264</v>
      </c>
      <c r="AD586" t="s">
        <v>264</v>
      </c>
      <c r="AE586" t="s">
        <v>264</v>
      </c>
      <c r="AF586" t="s">
        <v>264</v>
      </c>
      <c r="AG586">
        <v>6</v>
      </c>
      <c r="AH586" t="s">
        <v>264</v>
      </c>
      <c r="AL586" t="s">
        <v>264</v>
      </c>
      <c r="AM586" s="6">
        <v>44778</v>
      </c>
      <c r="AN586" t="s">
        <v>527</v>
      </c>
      <c r="AO586" t="s">
        <v>268</v>
      </c>
      <c r="AP586">
        <v>1201</v>
      </c>
      <c r="AQ586" t="s">
        <v>269</v>
      </c>
      <c r="AR586">
        <v>263480</v>
      </c>
      <c r="AU586" t="s">
        <v>264</v>
      </c>
      <c r="AV586" t="s">
        <v>270</v>
      </c>
      <c r="AX586" t="s">
        <v>264</v>
      </c>
      <c r="AY586">
        <v>710200</v>
      </c>
      <c r="AZ586">
        <v>1201.7102</v>
      </c>
      <c r="BA586" s="28" t="s">
        <v>45</v>
      </c>
    </row>
    <row r="587" spans="1:53">
      <c r="A587" t="s">
        <v>639</v>
      </c>
      <c r="B587" t="s">
        <v>640</v>
      </c>
      <c r="C587">
        <v>14370674</v>
      </c>
      <c r="D587">
        <v>1201</v>
      </c>
      <c r="E587" s="6">
        <v>44778</v>
      </c>
      <c r="F587" t="s">
        <v>657</v>
      </c>
      <c r="I587" t="s">
        <v>263</v>
      </c>
      <c r="O587" t="s">
        <v>264</v>
      </c>
      <c r="Q587" t="s">
        <v>264</v>
      </c>
      <c r="R587" t="s">
        <v>524</v>
      </c>
      <c r="T587" t="s">
        <v>266</v>
      </c>
      <c r="U587" t="s">
        <v>267</v>
      </c>
      <c r="V587" t="s">
        <v>525</v>
      </c>
      <c r="W587" t="s">
        <v>526</v>
      </c>
      <c r="X587">
        <v>1934028</v>
      </c>
      <c r="Y587" s="6">
        <v>44792</v>
      </c>
      <c r="Z587" t="s">
        <v>264</v>
      </c>
      <c r="AA587">
        <v>8</v>
      </c>
      <c r="AB587" t="s">
        <v>264</v>
      </c>
      <c r="AD587" t="s">
        <v>264</v>
      </c>
      <c r="AE587" t="s">
        <v>264</v>
      </c>
      <c r="AF587" t="s">
        <v>264</v>
      </c>
      <c r="AG587">
        <v>8</v>
      </c>
      <c r="AH587" t="s">
        <v>264</v>
      </c>
      <c r="AL587" t="s">
        <v>264</v>
      </c>
      <c r="AM587" s="6">
        <v>44778</v>
      </c>
      <c r="AN587" t="s">
        <v>527</v>
      </c>
      <c r="AO587" t="s">
        <v>268</v>
      </c>
      <c r="AP587">
        <v>1201</v>
      </c>
      <c r="AQ587" t="s">
        <v>269</v>
      </c>
      <c r="AR587">
        <v>261176</v>
      </c>
      <c r="AU587" t="s">
        <v>264</v>
      </c>
      <c r="AV587" t="s">
        <v>270</v>
      </c>
      <c r="AX587" t="s">
        <v>264</v>
      </c>
      <c r="AY587">
        <v>710200</v>
      </c>
      <c r="AZ587">
        <v>1201.7102</v>
      </c>
      <c r="BA587" s="28" t="s">
        <v>45</v>
      </c>
    </row>
    <row r="588" spans="1:53">
      <c r="A588" t="s">
        <v>639</v>
      </c>
      <c r="B588" t="s">
        <v>640</v>
      </c>
      <c r="C588">
        <v>14370674</v>
      </c>
      <c r="D588">
        <v>1201</v>
      </c>
      <c r="E588" s="6">
        <v>44778</v>
      </c>
      <c r="F588" t="s">
        <v>657</v>
      </c>
      <c r="I588" t="s">
        <v>263</v>
      </c>
      <c r="O588" t="s">
        <v>264</v>
      </c>
      <c r="Q588" t="s">
        <v>264</v>
      </c>
      <c r="R588" t="s">
        <v>524</v>
      </c>
      <c r="T588" t="s">
        <v>266</v>
      </c>
      <c r="U588" t="s">
        <v>267</v>
      </c>
      <c r="V588" t="s">
        <v>525</v>
      </c>
      <c r="W588" t="s">
        <v>526</v>
      </c>
      <c r="X588">
        <v>1934028</v>
      </c>
      <c r="Y588" s="6">
        <v>44792</v>
      </c>
      <c r="Z588" t="s">
        <v>264</v>
      </c>
      <c r="AA588">
        <v>10</v>
      </c>
      <c r="AB588" t="s">
        <v>264</v>
      </c>
      <c r="AD588" t="s">
        <v>264</v>
      </c>
      <c r="AE588" t="s">
        <v>264</v>
      </c>
      <c r="AF588" t="s">
        <v>264</v>
      </c>
      <c r="AG588">
        <v>8</v>
      </c>
      <c r="AH588" t="s">
        <v>264</v>
      </c>
      <c r="AL588" t="s">
        <v>264</v>
      </c>
      <c r="AM588" s="6">
        <v>44778</v>
      </c>
      <c r="AN588" t="s">
        <v>527</v>
      </c>
      <c r="AO588" t="s">
        <v>268</v>
      </c>
      <c r="AP588">
        <v>1201</v>
      </c>
      <c r="AQ588" t="s">
        <v>269</v>
      </c>
      <c r="AR588">
        <v>268195</v>
      </c>
      <c r="AU588" t="s">
        <v>264</v>
      </c>
      <c r="AV588" t="s">
        <v>270</v>
      </c>
      <c r="AX588" t="s">
        <v>264</v>
      </c>
      <c r="AY588">
        <v>710200</v>
      </c>
      <c r="AZ588">
        <v>1201.7102</v>
      </c>
      <c r="BA588" s="28" t="s">
        <v>45</v>
      </c>
    </row>
    <row r="589" spans="1:53">
      <c r="A589" t="s">
        <v>639</v>
      </c>
      <c r="B589" t="s">
        <v>640</v>
      </c>
      <c r="C589">
        <v>14370674</v>
      </c>
      <c r="D589">
        <v>1201</v>
      </c>
      <c r="E589" s="6">
        <v>44778</v>
      </c>
      <c r="F589" t="s">
        <v>657</v>
      </c>
      <c r="I589" t="s">
        <v>263</v>
      </c>
      <c r="O589" t="s">
        <v>264</v>
      </c>
      <c r="Q589" t="s">
        <v>264</v>
      </c>
      <c r="R589" t="s">
        <v>524</v>
      </c>
      <c r="T589" t="s">
        <v>266</v>
      </c>
      <c r="U589" t="s">
        <v>267</v>
      </c>
      <c r="V589" t="s">
        <v>525</v>
      </c>
      <c r="W589" t="s">
        <v>526</v>
      </c>
      <c r="X589">
        <v>1934028</v>
      </c>
      <c r="Y589" s="6">
        <v>44792</v>
      </c>
      <c r="Z589" t="s">
        <v>264</v>
      </c>
      <c r="AA589">
        <v>12</v>
      </c>
      <c r="AB589" t="s">
        <v>264</v>
      </c>
      <c r="AD589" t="s">
        <v>264</v>
      </c>
      <c r="AE589" t="s">
        <v>264</v>
      </c>
      <c r="AF589" t="s">
        <v>264</v>
      </c>
      <c r="AG589">
        <v>30</v>
      </c>
      <c r="AH589" t="s">
        <v>264</v>
      </c>
      <c r="AL589" t="s">
        <v>264</v>
      </c>
      <c r="AM589" s="6">
        <v>44778</v>
      </c>
      <c r="AN589" t="s">
        <v>527</v>
      </c>
      <c r="AO589" t="s">
        <v>268</v>
      </c>
      <c r="AP589">
        <v>1201</v>
      </c>
      <c r="AQ589" t="s">
        <v>269</v>
      </c>
      <c r="AR589">
        <v>276083</v>
      </c>
      <c r="AU589" t="s">
        <v>264</v>
      </c>
      <c r="AV589" t="s">
        <v>270</v>
      </c>
      <c r="AX589" t="s">
        <v>264</v>
      </c>
      <c r="AY589">
        <v>710200</v>
      </c>
      <c r="AZ589">
        <v>1201.7102</v>
      </c>
      <c r="BA589" s="28" t="s">
        <v>45</v>
      </c>
    </row>
    <row r="590" spans="1:53">
      <c r="A590" t="s">
        <v>639</v>
      </c>
      <c r="B590" t="s">
        <v>640</v>
      </c>
      <c r="C590">
        <v>14370674</v>
      </c>
      <c r="D590">
        <v>1201</v>
      </c>
      <c r="E590" s="6">
        <v>44778</v>
      </c>
      <c r="F590" t="s">
        <v>657</v>
      </c>
      <c r="I590" t="s">
        <v>263</v>
      </c>
      <c r="O590" t="s">
        <v>264</v>
      </c>
      <c r="Q590" t="s">
        <v>264</v>
      </c>
      <c r="R590" t="s">
        <v>524</v>
      </c>
      <c r="T590" t="s">
        <v>266</v>
      </c>
      <c r="U590" t="s">
        <v>267</v>
      </c>
      <c r="V590" t="s">
        <v>525</v>
      </c>
      <c r="W590" t="s">
        <v>526</v>
      </c>
      <c r="X590">
        <v>1934028</v>
      </c>
      <c r="Y590" s="6">
        <v>44792</v>
      </c>
      <c r="Z590" t="s">
        <v>264</v>
      </c>
      <c r="AA590">
        <v>14</v>
      </c>
      <c r="AB590" t="s">
        <v>264</v>
      </c>
      <c r="AD590" t="s">
        <v>264</v>
      </c>
      <c r="AE590" t="s">
        <v>264</v>
      </c>
      <c r="AF590" t="s">
        <v>264</v>
      </c>
      <c r="AG590">
        <v>8</v>
      </c>
      <c r="AH590" t="s">
        <v>264</v>
      </c>
      <c r="AL590" t="s">
        <v>264</v>
      </c>
      <c r="AM590" s="6">
        <v>44778</v>
      </c>
      <c r="AN590" t="s">
        <v>527</v>
      </c>
      <c r="AO590" t="s">
        <v>268</v>
      </c>
      <c r="AP590">
        <v>1201</v>
      </c>
      <c r="AQ590" t="s">
        <v>269</v>
      </c>
      <c r="AR590">
        <v>283438</v>
      </c>
      <c r="AU590" t="s">
        <v>264</v>
      </c>
      <c r="AV590" t="s">
        <v>270</v>
      </c>
      <c r="AX590" t="s">
        <v>264</v>
      </c>
      <c r="AY590">
        <v>710200</v>
      </c>
      <c r="AZ590">
        <v>1201.7102</v>
      </c>
      <c r="BA590" s="28" t="s">
        <v>45</v>
      </c>
    </row>
    <row r="591" spans="1:53">
      <c r="A591" t="s">
        <v>639</v>
      </c>
      <c r="B591" t="s">
        <v>640</v>
      </c>
      <c r="C591">
        <v>14370674</v>
      </c>
      <c r="D591">
        <v>1201</v>
      </c>
      <c r="E591" s="6">
        <v>44778</v>
      </c>
      <c r="F591" t="s">
        <v>657</v>
      </c>
      <c r="I591" t="s">
        <v>263</v>
      </c>
      <c r="O591" t="s">
        <v>264</v>
      </c>
      <c r="Q591" t="s">
        <v>264</v>
      </c>
      <c r="R591" t="s">
        <v>524</v>
      </c>
      <c r="T591" t="s">
        <v>266</v>
      </c>
      <c r="U591" t="s">
        <v>267</v>
      </c>
      <c r="V591" t="s">
        <v>525</v>
      </c>
      <c r="W591" t="s">
        <v>526</v>
      </c>
      <c r="X591">
        <v>1934028</v>
      </c>
      <c r="Y591" s="6">
        <v>44792</v>
      </c>
      <c r="Z591" t="s">
        <v>264</v>
      </c>
      <c r="AA591">
        <v>16</v>
      </c>
      <c r="AB591" t="s">
        <v>264</v>
      </c>
      <c r="AD591" t="s">
        <v>264</v>
      </c>
      <c r="AE591" t="s">
        <v>264</v>
      </c>
      <c r="AF591" t="s">
        <v>264</v>
      </c>
      <c r="AG591">
        <v>2</v>
      </c>
      <c r="AH591" t="s">
        <v>264</v>
      </c>
      <c r="AL591" t="s">
        <v>264</v>
      </c>
      <c r="AM591" s="6">
        <v>44778</v>
      </c>
      <c r="AN591" t="s">
        <v>527</v>
      </c>
      <c r="AO591" t="s">
        <v>268</v>
      </c>
      <c r="AP591">
        <v>1201</v>
      </c>
      <c r="AQ591" t="s">
        <v>269</v>
      </c>
      <c r="AR591">
        <v>283439</v>
      </c>
      <c r="AU591" t="s">
        <v>264</v>
      </c>
      <c r="AV591" t="s">
        <v>270</v>
      </c>
      <c r="AX591" t="s">
        <v>264</v>
      </c>
      <c r="AY591">
        <v>710200</v>
      </c>
      <c r="AZ591">
        <v>1201.7102</v>
      </c>
      <c r="BA591" s="28" t="s">
        <v>45</v>
      </c>
    </row>
    <row r="592" spans="1:53">
      <c r="A592" t="s">
        <v>639</v>
      </c>
      <c r="B592" t="s">
        <v>640</v>
      </c>
      <c r="C592">
        <v>14370691</v>
      </c>
      <c r="D592">
        <v>1201</v>
      </c>
      <c r="E592" s="6">
        <v>44778</v>
      </c>
      <c r="F592" t="s">
        <v>658</v>
      </c>
      <c r="I592" t="s">
        <v>263</v>
      </c>
      <c r="O592" t="s">
        <v>264</v>
      </c>
      <c r="Q592" t="s">
        <v>264</v>
      </c>
      <c r="R592" t="s">
        <v>524</v>
      </c>
      <c r="T592" t="s">
        <v>266</v>
      </c>
      <c r="U592" t="s">
        <v>267</v>
      </c>
      <c r="V592" t="s">
        <v>525</v>
      </c>
      <c r="W592" t="s">
        <v>526</v>
      </c>
      <c r="X592">
        <v>1935209</v>
      </c>
      <c r="Y592" s="6">
        <v>44798</v>
      </c>
      <c r="Z592" t="s">
        <v>264</v>
      </c>
      <c r="AA592">
        <v>2</v>
      </c>
      <c r="AB592" t="s">
        <v>264</v>
      </c>
      <c r="AD592" t="s">
        <v>264</v>
      </c>
      <c r="AE592" t="s">
        <v>264</v>
      </c>
      <c r="AF592" t="s">
        <v>264</v>
      </c>
      <c r="AG592">
        <v>11</v>
      </c>
      <c r="AH592" t="s">
        <v>264</v>
      </c>
      <c r="AL592" t="s">
        <v>264</v>
      </c>
      <c r="AM592" s="6">
        <v>44778</v>
      </c>
      <c r="AN592" t="s">
        <v>642</v>
      </c>
      <c r="AO592" t="s">
        <v>268</v>
      </c>
      <c r="AP592">
        <v>1201</v>
      </c>
      <c r="AQ592" t="s">
        <v>269</v>
      </c>
      <c r="AR592">
        <v>282105</v>
      </c>
      <c r="AU592" t="s">
        <v>264</v>
      </c>
      <c r="AV592" t="s">
        <v>270</v>
      </c>
      <c r="AX592" t="s">
        <v>264</v>
      </c>
      <c r="AY592">
        <v>710200</v>
      </c>
      <c r="AZ592">
        <v>1201.7102</v>
      </c>
      <c r="BA592" s="28" t="s">
        <v>45</v>
      </c>
    </row>
    <row r="593" spans="1:53">
      <c r="A593" t="s">
        <v>639</v>
      </c>
      <c r="B593" t="s">
        <v>640</v>
      </c>
      <c r="C593">
        <v>14370659</v>
      </c>
      <c r="D593">
        <v>1201</v>
      </c>
      <c r="E593" s="6">
        <v>44781</v>
      </c>
      <c r="F593" t="s">
        <v>659</v>
      </c>
      <c r="G593">
        <v>1.61</v>
      </c>
      <c r="H593">
        <v>1.61</v>
      </c>
      <c r="I593" t="s">
        <v>263</v>
      </c>
      <c r="O593" t="s">
        <v>264</v>
      </c>
      <c r="Q593" t="s">
        <v>264</v>
      </c>
      <c r="R593" t="s">
        <v>524</v>
      </c>
      <c r="T593" t="s">
        <v>266</v>
      </c>
      <c r="U593" t="s">
        <v>267</v>
      </c>
      <c r="V593" t="s">
        <v>525</v>
      </c>
      <c r="W593" t="s">
        <v>526</v>
      </c>
      <c r="X593">
        <v>1930830</v>
      </c>
      <c r="Y593" s="6">
        <v>44788</v>
      </c>
      <c r="Z593" t="s">
        <v>264</v>
      </c>
      <c r="AA593">
        <v>2</v>
      </c>
      <c r="AB593" t="s">
        <v>264</v>
      </c>
      <c r="AD593" t="s">
        <v>264</v>
      </c>
      <c r="AE593" t="s">
        <v>264</v>
      </c>
      <c r="AF593" t="s">
        <v>264</v>
      </c>
      <c r="AG593">
        <v>8</v>
      </c>
      <c r="AH593" t="s">
        <v>264</v>
      </c>
      <c r="AL593" t="s">
        <v>264</v>
      </c>
      <c r="AM593" s="6">
        <v>44781</v>
      </c>
      <c r="AN593" t="s">
        <v>527</v>
      </c>
      <c r="AO593" t="s">
        <v>268</v>
      </c>
      <c r="AP593">
        <v>1201</v>
      </c>
      <c r="AQ593" t="s">
        <v>269</v>
      </c>
      <c r="AR593">
        <v>284427</v>
      </c>
      <c r="AU593" t="s">
        <v>264</v>
      </c>
      <c r="AV593" t="s">
        <v>270</v>
      </c>
      <c r="AX593" t="s">
        <v>264</v>
      </c>
      <c r="AY593">
        <v>710200</v>
      </c>
      <c r="AZ593">
        <v>1201.7102</v>
      </c>
      <c r="BA593" s="28" t="s">
        <v>45</v>
      </c>
    </row>
    <row r="594" spans="1:53">
      <c r="A594" t="s">
        <v>639</v>
      </c>
      <c r="B594" t="s">
        <v>640</v>
      </c>
      <c r="C594">
        <v>14370657</v>
      </c>
      <c r="D594">
        <v>1201</v>
      </c>
      <c r="E594" s="6">
        <v>44785</v>
      </c>
      <c r="F594" t="s">
        <v>660</v>
      </c>
      <c r="I594" t="s">
        <v>263</v>
      </c>
      <c r="O594" t="s">
        <v>264</v>
      </c>
      <c r="Q594" t="s">
        <v>264</v>
      </c>
      <c r="R594" t="s">
        <v>524</v>
      </c>
      <c r="T594" t="s">
        <v>266</v>
      </c>
      <c r="U594" t="s">
        <v>267</v>
      </c>
      <c r="V594" t="s">
        <v>525</v>
      </c>
      <c r="W594" t="s">
        <v>526</v>
      </c>
      <c r="X594">
        <v>1930570</v>
      </c>
      <c r="Y594" s="6">
        <v>44785</v>
      </c>
      <c r="Z594" t="s">
        <v>264</v>
      </c>
      <c r="AA594">
        <v>2</v>
      </c>
      <c r="AB594" t="s">
        <v>264</v>
      </c>
      <c r="AD594" t="s">
        <v>264</v>
      </c>
      <c r="AE594" t="s">
        <v>264</v>
      </c>
      <c r="AF594" t="s">
        <v>264</v>
      </c>
      <c r="AG594">
        <v>1</v>
      </c>
      <c r="AH594" t="s">
        <v>264</v>
      </c>
      <c r="AL594" t="s">
        <v>264</v>
      </c>
      <c r="AM594" s="6">
        <v>44785</v>
      </c>
      <c r="AN594" t="s">
        <v>642</v>
      </c>
      <c r="AO594" t="s">
        <v>268</v>
      </c>
      <c r="AP594">
        <v>1201</v>
      </c>
      <c r="AQ594" t="s">
        <v>269</v>
      </c>
      <c r="AR594">
        <v>242524</v>
      </c>
      <c r="AU594" t="s">
        <v>264</v>
      </c>
      <c r="AV594" t="s">
        <v>270</v>
      </c>
      <c r="AX594" t="s">
        <v>264</v>
      </c>
      <c r="AY594">
        <v>710200</v>
      </c>
      <c r="AZ594">
        <v>1201.7102</v>
      </c>
      <c r="BA594" s="28" t="s">
        <v>45</v>
      </c>
    </row>
    <row r="595" spans="1:53">
      <c r="A595" t="s">
        <v>639</v>
      </c>
      <c r="B595" t="s">
        <v>640</v>
      </c>
      <c r="C595">
        <v>14370676</v>
      </c>
      <c r="D595">
        <v>1201</v>
      </c>
      <c r="E595" s="6">
        <v>44789</v>
      </c>
      <c r="F595" t="s">
        <v>661</v>
      </c>
      <c r="G595">
        <v>0.84</v>
      </c>
      <c r="H595">
        <v>0.84</v>
      </c>
      <c r="I595" t="s">
        <v>263</v>
      </c>
      <c r="O595" t="s">
        <v>264</v>
      </c>
      <c r="Q595" t="s">
        <v>264</v>
      </c>
      <c r="R595" t="s">
        <v>524</v>
      </c>
      <c r="T595" t="s">
        <v>266</v>
      </c>
      <c r="U595" t="s">
        <v>267</v>
      </c>
      <c r="V595" t="s">
        <v>525</v>
      </c>
      <c r="W595" t="s">
        <v>526</v>
      </c>
      <c r="X595">
        <v>1934037</v>
      </c>
      <c r="Y595" s="6">
        <v>44792</v>
      </c>
      <c r="Z595" t="s">
        <v>264</v>
      </c>
      <c r="AA595">
        <v>2</v>
      </c>
      <c r="AB595" t="s">
        <v>264</v>
      </c>
      <c r="AD595" t="s">
        <v>264</v>
      </c>
      <c r="AE595" t="s">
        <v>264</v>
      </c>
      <c r="AF595" t="s">
        <v>264</v>
      </c>
      <c r="AG595">
        <v>1</v>
      </c>
      <c r="AH595" t="s">
        <v>264</v>
      </c>
      <c r="AL595" t="s">
        <v>264</v>
      </c>
      <c r="AM595" s="6">
        <v>44789</v>
      </c>
      <c r="AN595" t="s">
        <v>527</v>
      </c>
      <c r="AO595" t="s">
        <v>268</v>
      </c>
      <c r="AP595">
        <v>1201</v>
      </c>
      <c r="AQ595" t="s">
        <v>269</v>
      </c>
      <c r="AR595">
        <v>272912</v>
      </c>
      <c r="AU595" t="s">
        <v>264</v>
      </c>
      <c r="AV595" t="s">
        <v>270</v>
      </c>
      <c r="AX595" t="s">
        <v>264</v>
      </c>
      <c r="AY595">
        <v>710200</v>
      </c>
      <c r="AZ595">
        <v>1201.7102</v>
      </c>
      <c r="BA595" s="28" t="s">
        <v>45</v>
      </c>
    </row>
    <row r="596" spans="1:53">
      <c r="A596" t="s">
        <v>639</v>
      </c>
      <c r="B596" t="s">
        <v>640</v>
      </c>
      <c r="C596">
        <v>14370676</v>
      </c>
      <c r="D596">
        <v>1201</v>
      </c>
      <c r="E596" s="6">
        <v>44789</v>
      </c>
      <c r="F596" t="s">
        <v>661</v>
      </c>
      <c r="G596">
        <v>8.08</v>
      </c>
      <c r="H596">
        <v>8.08</v>
      </c>
      <c r="I596" t="s">
        <v>263</v>
      </c>
      <c r="O596" t="s">
        <v>264</v>
      </c>
      <c r="Q596" t="s">
        <v>264</v>
      </c>
      <c r="R596" t="s">
        <v>524</v>
      </c>
      <c r="T596" t="s">
        <v>266</v>
      </c>
      <c r="U596" t="s">
        <v>267</v>
      </c>
      <c r="V596" t="s">
        <v>525</v>
      </c>
      <c r="W596" t="s">
        <v>526</v>
      </c>
      <c r="X596">
        <v>1934037</v>
      </c>
      <c r="Y596" s="6">
        <v>44792</v>
      </c>
      <c r="Z596" t="s">
        <v>264</v>
      </c>
      <c r="AA596">
        <v>4</v>
      </c>
      <c r="AB596" t="s">
        <v>264</v>
      </c>
      <c r="AD596" t="s">
        <v>264</v>
      </c>
      <c r="AE596" t="s">
        <v>264</v>
      </c>
      <c r="AF596" t="s">
        <v>264</v>
      </c>
      <c r="AG596">
        <v>1</v>
      </c>
      <c r="AH596" t="s">
        <v>264</v>
      </c>
      <c r="AL596" t="s">
        <v>264</v>
      </c>
      <c r="AM596" s="6">
        <v>44789</v>
      </c>
      <c r="AN596" t="s">
        <v>527</v>
      </c>
      <c r="AO596" t="s">
        <v>268</v>
      </c>
      <c r="AP596">
        <v>1201</v>
      </c>
      <c r="AQ596" t="s">
        <v>269</v>
      </c>
      <c r="AR596">
        <v>231554</v>
      </c>
      <c r="AU596" t="s">
        <v>264</v>
      </c>
      <c r="AV596" t="s">
        <v>270</v>
      </c>
      <c r="AX596" t="s">
        <v>264</v>
      </c>
      <c r="AY596">
        <v>710200</v>
      </c>
      <c r="AZ596">
        <v>1201.7102</v>
      </c>
      <c r="BA596" s="28" t="s">
        <v>45</v>
      </c>
    </row>
    <row r="597" spans="1:53">
      <c r="A597" t="s">
        <v>639</v>
      </c>
      <c r="B597" t="s">
        <v>640</v>
      </c>
      <c r="C597">
        <v>14370676</v>
      </c>
      <c r="D597">
        <v>1201</v>
      </c>
      <c r="E597" s="6">
        <v>44789</v>
      </c>
      <c r="F597" t="s">
        <v>661</v>
      </c>
      <c r="G597">
        <v>9.89</v>
      </c>
      <c r="H597">
        <v>9.89</v>
      </c>
      <c r="I597" t="s">
        <v>263</v>
      </c>
      <c r="O597" t="s">
        <v>264</v>
      </c>
      <c r="Q597" t="s">
        <v>264</v>
      </c>
      <c r="R597" t="s">
        <v>524</v>
      </c>
      <c r="T597" t="s">
        <v>266</v>
      </c>
      <c r="U597" t="s">
        <v>267</v>
      </c>
      <c r="V597" t="s">
        <v>525</v>
      </c>
      <c r="W597" t="s">
        <v>526</v>
      </c>
      <c r="X597">
        <v>1934037</v>
      </c>
      <c r="Y597" s="6">
        <v>44792</v>
      </c>
      <c r="Z597" t="s">
        <v>264</v>
      </c>
      <c r="AA597">
        <v>6</v>
      </c>
      <c r="AB597" t="s">
        <v>264</v>
      </c>
      <c r="AD597" t="s">
        <v>264</v>
      </c>
      <c r="AE597" t="s">
        <v>264</v>
      </c>
      <c r="AF597" t="s">
        <v>264</v>
      </c>
      <c r="AG597">
        <v>2</v>
      </c>
      <c r="AH597" t="s">
        <v>264</v>
      </c>
      <c r="AL597" t="s">
        <v>264</v>
      </c>
      <c r="AM597" s="6">
        <v>44789</v>
      </c>
      <c r="AN597" t="s">
        <v>527</v>
      </c>
      <c r="AO597" t="s">
        <v>268</v>
      </c>
      <c r="AP597">
        <v>1201</v>
      </c>
      <c r="AQ597" t="s">
        <v>269</v>
      </c>
      <c r="AR597">
        <v>280576</v>
      </c>
      <c r="AU597" t="s">
        <v>264</v>
      </c>
      <c r="AV597" t="s">
        <v>270</v>
      </c>
      <c r="AX597" t="s">
        <v>264</v>
      </c>
      <c r="AY597">
        <v>710200</v>
      </c>
      <c r="AZ597">
        <v>1201.7102</v>
      </c>
      <c r="BA597" s="28" t="s">
        <v>45</v>
      </c>
    </row>
    <row r="598" spans="1:53">
      <c r="A598" t="s">
        <v>639</v>
      </c>
      <c r="B598" t="s">
        <v>640</v>
      </c>
      <c r="C598">
        <v>14370677</v>
      </c>
      <c r="D598">
        <v>1201</v>
      </c>
      <c r="E598" s="6">
        <v>44792</v>
      </c>
      <c r="F598" t="s">
        <v>662</v>
      </c>
      <c r="G598">
        <v>0.28000000000000003</v>
      </c>
      <c r="H598">
        <v>0.28000000000000003</v>
      </c>
      <c r="I598" t="s">
        <v>263</v>
      </c>
      <c r="O598" t="s">
        <v>264</v>
      </c>
      <c r="Q598" t="s">
        <v>264</v>
      </c>
      <c r="R598" t="s">
        <v>524</v>
      </c>
      <c r="T598" t="s">
        <v>266</v>
      </c>
      <c r="U598" t="s">
        <v>267</v>
      </c>
      <c r="V598" t="s">
        <v>525</v>
      </c>
      <c r="W598" t="s">
        <v>526</v>
      </c>
      <c r="X598">
        <v>1934046</v>
      </c>
      <c r="Y598" s="6">
        <v>44792</v>
      </c>
      <c r="Z598" t="s">
        <v>264</v>
      </c>
      <c r="AA598">
        <v>2</v>
      </c>
      <c r="AB598" t="s">
        <v>264</v>
      </c>
      <c r="AD598" t="s">
        <v>264</v>
      </c>
      <c r="AE598" t="s">
        <v>264</v>
      </c>
      <c r="AF598" t="s">
        <v>264</v>
      </c>
      <c r="AG598">
        <v>5</v>
      </c>
      <c r="AH598" t="s">
        <v>264</v>
      </c>
      <c r="AL598" t="s">
        <v>264</v>
      </c>
      <c r="AM598" s="6">
        <v>44792</v>
      </c>
      <c r="AN598" t="s">
        <v>527</v>
      </c>
      <c r="AO598" t="s">
        <v>268</v>
      </c>
      <c r="AP598">
        <v>1201</v>
      </c>
      <c r="AQ598" t="s">
        <v>269</v>
      </c>
      <c r="AR598">
        <v>279525</v>
      </c>
      <c r="AU598" t="s">
        <v>264</v>
      </c>
      <c r="AV598" t="s">
        <v>270</v>
      </c>
      <c r="AX598" t="s">
        <v>264</v>
      </c>
      <c r="AY598">
        <v>710200</v>
      </c>
      <c r="AZ598">
        <v>1201.7102</v>
      </c>
      <c r="BA598" s="28" t="s">
        <v>45</v>
      </c>
    </row>
    <row r="599" spans="1:53">
      <c r="A599" t="s">
        <v>639</v>
      </c>
      <c r="B599" t="s">
        <v>640</v>
      </c>
      <c r="C599">
        <v>14370680</v>
      </c>
      <c r="D599">
        <v>1201</v>
      </c>
      <c r="E599" s="6">
        <v>44795</v>
      </c>
      <c r="F599" t="s">
        <v>663</v>
      </c>
      <c r="G599">
        <v>3.44</v>
      </c>
      <c r="H599">
        <v>3.44</v>
      </c>
      <c r="I599" t="s">
        <v>263</v>
      </c>
      <c r="O599" t="s">
        <v>264</v>
      </c>
      <c r="Q599" t="s">
        <v>264</v>
      </c>
      <c r="R599" t="s">
        <v>524</v>
      </c>
      <c r="T599" t="s">
        <v>266</v>
      </c>
      <c r="U599" t="s">
        <v>267</v>
      </c>
      <c r="V599" t="s">
        <v>525</v>
      </c>
      <c r="W599" t="s">
        <v>526</v>
      </c>
      <c r="X599">
        <v>1934230</v>
      </c>
      <c r="Y599" s="6">
        <v>44795</v>
      </c>
      <c r="Z599" t="s">
        <v>264</v>
      </c>
      <c r="AA599">
        <v>2</v>
      </c>
      <c r="AB599" t="s">
        <v>264</v>
      </c>
      <c r="AD599" t="s">
        <v>264</v>
      </c>
      <c r="AE599" t="s">
        <v>264</v>
      </c>
      <c r="AF599" t="s">
        <v>264</v>
      </c>
      <c r="AG599">
        <v>2</v>
      </c>
      <c r="AH599" t="s">
        <v>264</v>
      </c>
      <c r="AL599" t="s">
        <v>264</v>
      </c>
      <c r="AM599" s="6">
        <v>44795</v>
      </c>
      <c r="AN599" t="s">
        <v>647</v>
      </c>
      <c r="AO599" t="s">
        <v>268</v>
      </c>
      <c r="AP599">
        <v>1201</v>
      </c>
      <c r="AQ599" t="s">
        <v>269</v>
      </c>
      <c r="AR599">
        <v>284628</v>
      </c>
      <c r="AU599" t="s">
        <v>264</v>
      </c>
      <c r="AV599" t="s">
        <v>270</v>
      </c>
      <c r="AX599" t="s">
        <v>264</v>
      </c>
      <c r="AY599">
        <v>710200</v>
      </c>
      <c r="AZ599">
        <v>1201.7102</v>
      </c>
      <c r="BA599" s="28" t="s">
        <v>45</v>
      </c>
    </row>
    <row r="600" spans="1:53">
      <c r="A600" t="s">
        <v>639</v>
      </c>
      <c r="B600" t="s">
        <v>640</v>
      </c>
      <c r="C600">
        <v>14370680</v>
      </c>
      <c r="D600">
        <v>1201</v>
      </c>
      <c r="E600" s="6">
        <v>44795</v>
      </c>
      <c r="F600" t="s">
        <v>663</v>
      </c>
      <c r="G600">
        <v>3.44</v>
      </c>
      <c r="H600">
        <v>3.44</v>
      </c>
      <c r="I600" t="s">
        <v>263</v>
      </c>
      <c r="O600" t="s">
        <v>264</v>
      </c>
      <c r="Q600" t="s">
        <v>264</v>
      </c>
      <c r="R600" t="s">
        <v>524</v>
      </c>
      <c r="T600" t="s">
        <v>266</v>
      </c>
      <c r="U600" t="s">
        <v>267</v>
      </c>
      <c r="V600" t="s">
        <v>525</v>
      </c>
      <c r="W600" t="s">
        <v>526</v>
      </c>
      <c r="X600">
        <v>1934230</v>
      </c>
      <c r="Y600" s="6">
        <v>44795</v>
      </c>
      <c r="Z600" t="s">
        <v>264</v>
      </c>
      <c r="AA600">
        <v>4</v>
      </c>
      <c r="AB600" t="s">
        <v>264</v>
      </c>
      <c r="AD600" t="s">
        <v>264</v>
      </c>
      <c r="AE600" t="s">
        <v>264</v>
      </c>
      <c r="AF600" t="s">
        <v>264</v>
      </c>
      <c r="AG600">
        <v>2</v>
      </c>
      <c r="AH600" t="s">
        <v>264</v>
      </c>
      <c r="AL600" t="s">
        <v>264</v>
      </c>
      <c r="AM600" s="6">
        <v>44795</v>
      </c>
      <c r="AN600" t="s">
        <v>647</v>
      </c>
      <c r="AO600" t="s">
        <v>268</v>
      </c>
      <c r="AP600">
        <v>1201</v>
      </c>
      <c r="AQ600" t="s">
        <v>269</v>
      </c>
      <c r="AR600">
        <v>284626</v>
      </c>
      <c r="AU600" t="s">
        <v>264</v>
      </c>
      <c r="AV600" t="s">
        <v>270</v>
      </c>
      <c r="AX600" t="s">
        <v>264</v>
      </c>
      <c r="AY600">
        <v>710200</v>
      </c>
      <c r="AZ600">
        <v>1201.7102</v>
      </c>
      <c r="BA600" s="28" t="s">
        <v>45</v>
      </c>
    </row>
    <row r="601" spans="1:53">
      <c r="A601" t="s">
        <v>639</v>
      </c>
      <c r="B601" t="s">
        <v>640</v>
      </c>
      <c r="C601">
        <v>14370680</v>
      </c>
      <c r="D601">
        <v>1201</v>
      </c>
      <c r="E601" s="6">
        <v>44795</v>
      </c>
      <c r="F601" t="s">
        <v>663</v>
      </c>
      <c r="G601">
        <v>3.44</v>
      </c>
      <c r="H601">
        <v>3.44</v>
      </c>
      <c r="I601" t="s">
        <v>263</v>
      </c>
      <c r="O601" t="s">
        <v>264</v>
      </c>
      <c r="Q601" t="s">
        <v>264</v>
      </c>
      <c r="R601" t="s">
        <v>524</v>
      </c>
      <c r="T601" t="s">
        <v>266</v>
      </c>
      <c r="U601" t="s">
        <v>267</v>
      </c>
      <c r="V601" t="s">
        <v>525</v>
      </c>
      <c r="W601" t="s">
        <v>526</v>
      </c>
      <c r="X601">
        <v>1934230</v>
      </c>
      <c r="Y601" s="6">
        <v>44795</v>
      </c>
      <c r="Z601" t="s">
        <v>264</v>
      </c>
      <c r="AA601">
        <v>6</v>
      </c>
      <c r="AB601" t="s">
        <v>264</v>
      </c>
      <c r="AD601" t="s">
        <v>264</v>
      </c>
      <c r="AE601" t="s">
        <v>264</v>
      </c>
      <c r="AF601" t="s">
        <v>264</v>
      </c>
      <c r="AG601">
        <v>2</v>
      </c>
      <c r="AH601" t="s">
        <v>264</v>
      </c>
      <c r="AL601" t="s">
        <v>264</v>
      </c>
      <c r="AM601" s="6">
        <v>44795</v>
      </c>
      <c r="AN601" t="s">
        <v>647</v>
      </c>
      <c r="AO601" t="s">
        <v>268</v>
      </c>
      <c r="AP601">
        <v>1201</v>
      </c>
      <c r="AQ601" t="s">
        <v>269</v>
      </c>
      <c r="AR601">
        <v>284627</v>
      </c>
      <c r="AU601" t="s">
        <v>264</v>
      </c>
      <c r="AV601" t="s">
        <v>270</v>
      </c>
      <c r="AX601" t="s">
        <v>264</v>
      </c>
      <c r="AY601">
        <v>710200</v>
      </c>
      <c r="AZ601">
        <v>1201.7102</v>
      </c>
      <c r="BA601" s="28" t="s">
        <v>45</v>
      </c>
    </row>
    <row r="602" spans="1:53">
      <c r="A602" t="s">
        <v>639</v>
      </c>
      <c r="B602" t="s">
        <v>640</v>
      </c>
      <c r="C602">
        <v>14370680</v>
      </c>
      <c r="D602">
        <v>1201</v>
      </c>
      <c r="E602" s="6">
        <v>44795</v>
      </c>
      <c r="F602" t="s">
        <v>663</v>
      </c>
      <c r="G602">
        <v>3.44</v>
      </c>
      <c r="H602">
        <v>3.44</v>
      </c>
      <c r="I602" t="s">
        <v>263</v>
      </c>
      <c r="O602" t="s">
        <v>264</v>
      </c>
      <c r="Q602" t="s">
        <v>264</v>
      </c>
      <c r="R602" t="s">
        <v>524</v>
      </c>
      <c r="T602" t="s">
        <v>266</v>
      </c>
      <c r="U602" t="s">
        <v>267</v>
      </c>
      <c r="V602" t="s">
        <v>525</v>
      </c>
      <c r="W602" t="s">
        <v>526</v>
      </c>
      <c r="X602">
        <v>1934230</v>
      </c>
      <c r="Y602" s="6">
        <v>44795</v>
      </c>
      <c r="Z602" t="s">
        <v>264</v>
      </c>
      <c r="AA602">
        <v>8</v>
      </c>
      <c r="AB602" t="s">
        <v>264</v>
      </c>
      <c r="AD602" t="s">
        <v>264</v>
      </c>
      <c r="AE602" t="s">
        <v>264</v>
      </c>
      <c r="AF602" t="s">
        <v>264</v>
      </c>
      <c r="AG602">
        <v>2</v>
      </c>
      <c r="AH602" t="s">
        <v>264</v>
      </c>
      <c r="AL602" t="s">
        <v>264</v>
      </c>
      <c r="AM602" s="6">
        <v>44795</v>
      </c>
      <c r="AN602" t="s">
        <v>647</v>
      </c>
      <c r="AO602" t="s">
        <v>268</v>
      </c>
      <c r="AP602">
        <v>1201</v>
      </c>
      <c r="AQ602" t="s">
        <v>269</v>
      </c>
      <c r="AR602">
        <v>284625</v>
      </c>
      <c r="AU602" t="s">
        <v>264</v>
      </c>
      <c r="AV602" t="s">
        <v>270</v>
      </c>
      <c r="AX602" t="s">
        <v>264</v>
      </c>
      <c r="AY602">
        <v>710200</v>
      </c>
      <c r="AZ602">
        <v>1201.7102</v>
      </c>
      <c r="BA602" s="28" t="s">
        <v>45</v>
      </c>
    </row>
    <row r="603" spans="1:53">
      <c r="A603" t="s">
        <v>639</v>
      </c>
      <c r="B603" t="s">
        <v>640</v>
      </c>
      <c r="C603">
        <v>14370681</v>
      </c>
      <c r="D603">
        <v>1201</v>
      </c>
      <c r="E603" s="6">
        <v>44795</v>
      </c>
      <c r="F603" t="s">
        <v>664</v>
      </c>
      <c r="I603" t="s">
        <v>263</v>
      </c>
      <c r="O603" t="s">
        <v>264</v>
      </c>
      <c r="Q603" t="s">
        <v>264</v>
      </c>
      <c r="R603" t="s">
        <v>524</v>
      </c>
      <c r="T603" t="s">
        <v>266</v>
      </c>
      <c r="U603" t="s">
        <v>267</v>
      </c>
      <c r="V603" t="s">
        <v>525</v>
      </c>
      <c r="W603" t="s">
        <v>526</v>
      </c>
      <c r="X603">
        <v>1934237</v>
      </c>
      <c r="Y603" s="6">
        <v>44795</v>
      </c>
      <c r="Z603" t="s">
        <v>264</v>
      </c>
      <c r="AA603">
        <v>2</v>
      </c>
      <c r="AB603" t="s">
        <v>264</v>
      </c>
      <c r="AD603" t="s">
        <v>264</v>
      </c>
      <c r="AE603" t="s">
        <v>264</v>
      </c>
      <c r="AF603" t="s">
        <v>264</v>
      </c>
      <c r="AG603">
        <v>4</v>
      </c>
      <c r="AH603" t="s">
        <v>264</v>
      </c>
      <c r="AL603" t="s">
        <v>264</v>
      </c>
      <c r="AM603" s="6">
        <v>44795</v>
      </c>
      <c r="AN603" t="s">
        <v>647</v>
      </c>
      <c r="AO603" t="s">
        <v>268</v>
      </c>
      <c r="AP603">
        <v>1201</v>
      </c>
      <c r="AQ603" t="s">
        <v>269</v>
      </c>
      <c r="AR603">
        <v>281571</v>
      </c>
      <c r="AU603" t="s">
        <v>264</v>
      </c>
      <c r="AV603" t="s">
        <v>270</v>
      </c>
      <c r="AX603" t="s">
        <v>264</v>
      </c>
      <c r="AY603">
        <v>710200</v>
      </c>
      <c r="AZ603">
        <v>1201.7102</v>
      </c>
      <c r="BA603" s="28" t="s">
        <v>45</v>
      </c>
    </row>
    <row r="604" spans="1:53">
      <c r="A604" t="s">
        <v>639</v>
      </c>
      <c r="B604" t="s">
        <v>640</v>
      </c>
      <c r="C604">
        <v>14370684</v>
      </c>
      <c r="D604">
        <v>1201</v>
      </c>
      <c r="E604" s="6">
        <v>44796</v>
      </c>
      <c r="F604" t="s">
        <v>664</v>
      </c>
      <c r="I604" t="s">
        <v>263</v>
      </c>
      <c r="O604" t="s">
        <v>264</v>
      </c>
      <c r="Q604" t="s">
        <v>264</v>
      </c>
      <c r="R604" t="s">
        <v>524</v>
      </c>
      <c r="T604" t="s">
        <v>266</v>
      </c>
      <c r="U604" t="s">
        <v>267</v>
      </c>
      <c r="V604" t="s">
        <v>525</v>
      </c>
      <c r="W604" t="s">
        <v>526</v>
      </c>
      <c r="X604">
        <v>1934483</v>
      </c>
      <c r="Y604" s="6">
        <v>44796</v>
      </c>
      <c r="Z604" t="s">
        <v>264</v>
      </c>
      <c r="AA604">
        <v>2</v>
      </c>
      <c r="AB604" t="s">
        <v>264</v>
      </c>
      <c r="AD604" t="s">
        <v>264</v>
      </c>
      <c r="AE604" t="s">
        <v>264</v>
      </c>
      <c r="AF604" t="s">
        <v>264</v>
      </c>
      <c r="AG604">
        <v>4</v>
      </c>
      <c r="AH604" t="s">
        <v>264</v>
      </c>
      <c r="AL604" t="s">
        <v>264</v>
      </c>
      <c r="AM604" s="6">
        <v>44796</v>
      </c>
      <c r="AN604" t="s">
        <v>647</v>
      </c>
      <c r="AO604" t="s">
        <v>268</v>
      </c>
      <c r="AP604">
        <v>1201</v>
      </c>
      <c r="AQ604" t="s">
        <v>269</v>
      </c>
      <c r="AR604">
        <v>281571</v>
      </c>
      <c r="AU604" t="s">
        <v>264</v>
      </c>
      <c r="AV604" t="s">
        <v>270</v>
      </c>
      <c r="AX604" t="s">
        <v>264</v>
      </c>
      <c r="AY604">
        <v>710200</v>
      </c>
      <c r="AZ604">
        <v>1201.7102</v>
      </c>
      <c r="BA604" s="28" t="s">
        <v>45</v>
      </c>
    </row>
    <row r="605" spans="1:53">
      <c r="A605" t="s">
        <v>424</v>
      </c>
      <c r="B605" t="s">
        <v>425</v>
      </c>
      <c r="C605">
        <v>22010371</v>
      </c>
      <c r="D605">
        <v>1201</v>
      </c>
      <c r="E605" s="6">
        <v>44796</v>
      </c>
      <c r="F605" t="s">
        <v>499</v>
      </c>
      <c r="G605">
        <v>296.10000000000002</v>
      </c>
      <c r="H605">
        <v>296.10000000000002</v>
      </c>
      <c r="I605" t="s">
        <v>263</v>
      </c>
      <c r="J605" t="s">
        <v>263</v>
      </c>
      <c r="L605" s="29">
        <v>4400000</v>
      </c>
      <c r="N605" s="29">
        <v>4400000</v>
      </c>
      <c r="O605" t="s">
        <v>264</v>
      </c>
      <c r="Q605" t="s">
        <v>264</v>
      </c>
      <c r="R605" t="s">
        <v>265</v>
      </c>
      <c r="S605">
        <v>14860</v>
      </c>
      <c r="T605" t="s">
        <v>266</v>
      </c>
      <c r="U605" t="s">
        <v>267</v>
      </c>
      <c r="V605" t="s">
        <v>427</v>
      </c>
      <c r="W605" t="s">
        <v>428</v>
      </c>
      <c r="X605">
        <v>1934439</v>
      </c>
      <c r="Y605" s="6">
        <v>44796</v>
      </c>
      <c r="Z605" t="s">
        <v>264</v>
      </c>
      <c r="AA605">
        <v>1</v>
      </c>
      <c r="AB605" t="s">
        <v>264</v>
      </c>
      <c r="AD605" t="s">
        <v>264</v>
      </c>
      <c r="AE605" t="s">
        <v>264</v>
      </c>
      <c r="AF605" t="s">
        <v>264</v>
      </c>
      <c r="AG605">
        <v>2</v>
      </c>
      <c r="AH605" t="s">
        <v>264</v>
      </c>
      <c r="AI605">
        <v>56306480</v>
      </c>
      <c r="AJ605" t="s">
        <v>499</v>
      </c>
      <c r="AL605" t="s">
        <v>264</v>
      </c>
      <c r="AM605" s="6">
        <v>44796</v>
      </c>
      <c r="AN605" t="s">
        <v>665</v>
      </c>
      <c r="AO605" t="s">
        <v>268</v>
      </c>
      <c r="AP605">
        <v>1201</v>
      </c>
      <c r="AQ605" t="s">
        <v>269</v>
      </c>
      <c r="AR605" t="s">
        <v>666</v>
      </c>
      <c r="AU605" t="s">
        <v>264</v>
      </c>
      <c r="AV605" t="s">
        <v>270</v>
      </c>
      <c r="AX605">
        <v>22002790</v>
      </c>
      <c r="AY605">
        <v>710200</v>
      </c>
      <c r="AZ605">
        <v>1201.7102</v>
      </c>
      <c r="BA605" s="28" t="s">
        <v>45</v>
      </c>
    </row>
    <row r="606" spans="1:53">
      <c r="A606" t="s">
        <v>639</v>
      </c>
      <c r="B606" t="s">
        <v>640</v>
      </c>
      <c r="C606">
        <v>14370690</v>
      </c>
      <c r="D606">
        <v>1201</v>
      </c>
      <c r="E606" s="6">
        <v>44797</v>
      </c>
      <c r="F606" t="s">
        <v>667</v>
      </c>
      <c r="G606">
        <v>4.18</v>
      </c>
      <c r="H606">
        <v>4.18</v>
      </c>
      <c r="I606" t="s">
        <v>263</v>
      </c>
      <c r="O606" t="s">
        <v>264</v>
      </c>
      <c r="Q606" t="s">
        <v>264</v>
      </c>
      <c r="R606" t="s">
        <v>524</v>
      </c>
      <c r="T606" t="s">
        <v>266</v>
      </c>
      <c r="U606" t="s">
        <v>267</v>
      </c>
      <c r="V606" t="s">
        <v>525</v>
      </c>
      <c r="W606" t="s">
        <v>526</v>
      </c>
      <c r="X606">
        <v>1934856</v>
      </c>
      <c r="Y606" s="6">
        <v>44797</v>
      </c>
      <c r="Z606" t="s">
        <v>264</v>
      </c>
      <c r="AA606">
        <v>2</v>
      </c>
      <c r="AB606" t="s">
        <v>264</v>
      </c>
      <c r="AD606" t="s">
        <v>264</v>
      </c>
      <c r="AE606" t="s">
        <v>264</v>
      </c>
      <c r="AF606" t="s">
        <v>264</v>
      </c>
      <c r="AG606">
        <v>1</v>
      </c>
      <c r="AH606" t="s">
        <v>264</v>
      </c>
      <c r="AL606" t="s">
        <v>264</v>
      </c>
      <c r="AM606" s="6">
        <v>44797</v>
      </c>
      <c r="AN606" t="s">
        <v>642</v>
      </c>
      <c r="AO606" t="s">
        <v>268</v>
      </c>
      <c r="AP606">
        <v>1201</v>
      </c>
      <c r="AQ606" t="s">
        <v>269</v>
      </c>
      <c r="AR606">
        <v>263217</v>
      </c>
      <c r="AU606" t="s">
        <v>264</v>
      </c>
      <c r="AV606" t="s">
        <v>270</v>
      </c>
      <c r="AX606" t="s">
        <v>264</v>
      </c>
      <c r="AY606">
        <v>710200</v>
      </c>
      <c r="AZ606">
        <v>1201.7102</v>
      </c>
      <c r="BA606" s="28" t="s">
        <v>45</v>
      </c>
    </row>
    <row r="607" spans="1:53">
      <c r="A607" t="s">
        <v>639</v>
      </c>
      <c r="B607" t="s">
        <v>640</v>
      </c>
      <c r="C607">
        <v>14370644</v>
      </c>
      <c r="D607">
        <v>1205</v>
      </c>
      <c r="E607" s="6">
        <v>44774</v>
      </c>
      <c r="F607" t="s">
        <v>668</v>
      </c>
      <c r="G607">
        <v>11.18</v>
      </c>
      <c r="H607">
        <v>11.18</v>
      </c>
      <c r="I607" t="s">
        <v>263</v>
      </c>
      <c r="O607" t="s">
        <v>264</v>
      </c>
      <c r="Q607" t="s">
        <v>264</v>
      </c>
      <c r="R607" t="s">
        <v>524</v>
      </c>
      <c r="T607" t="s">
        <v>266</v>
      </c>
      <c r="U607" t="s">
        <v>267</v>
      </c>
      <c r="V607" t="s">
        <v>525</v>
      </c>
      <c r="W607" t="s">
        <v>526</v>
      </c>
      <c r="X607">
        <v>1925389</v>
      </c>
      <c r="Y607" s="6">
        <v>44774</v>
      </c>
      <c r="Z607" t="s">
        <v>264</v>
      </c>
      <c r="AA607">
        <v>2</v>
      </c>
      <c r="AB607" t="s">
        <v>264</v>
      </c>
      <c r="AD607" t="s">
        <v>264</v>
      </c>
      <c r="AE607" t="s">
        <v>264</v>
      </c>
      <c r="AF607" t="s">
        <v>264</v>
      </c>
      <c r="AG607">
        <v>0.99</v>
      </c>
      <c r="AH607" t="s">
        <v>264</v>
      </c>
      <c r="AL607" t="s">
        <v>264</v>
      </c>
      <c r="AM607" s="6">
        <v>44774</v>
      </c>
      <c r="AN607" t="s">
        <v>497</v>
      </c>
      <c r="AO607" t="s">
        <v>268</v>
      </c>
      <c r="AP607">
        <v>1205</v>
      </c>
      <c r="AQ607" t="s">
        <v>269</v>
      </c>
      <c r="AR607">
        <v>282922</v>
      </c>
      <c r="AU607" t="s">
        <v>264</v>
      </c>
      <c r="AV607" t="s">
        <v>270</v>
      </c>
      <c r="AX607" t="s">
        <v>264</v>
      </c>
      <c r="AY607">
        <v>710200</v>
      </c>
      <c r="AZ607">
        <v>1205.7102</v>
      </c>
      <c r="BA607" s="28" t="s">
        <v>164</v>
      </c>
    </row>
    <row r="608" spans="1:53">
      <c r="A608" t="s">
        <v>639</v>
      </c>
      <c r="B608" t="s">
        <v>640</v>
      </c>
      <c r="C608">
        <v>14370647</v>
      </c>
      <c r="D608">
        <v>1205</v>
      </c>
      <c r="E608" s="6">
        <v>44774</v>
      </c>
      <c r="F608" t="s">
        <v>669</v>
      </c>
      <c r="G608">
        <v>0.01</v>
      </c>
      <c r="H608">
        <v>0.01</v>
      </c>
      <c r="I608" t="s">
        <v>263</v>
      </c>
      <c r="O608" t="s">
        <v>264</v>
      </c>
      <c r="Q608" t="s">
        <v>264</v>
      </c>
      <c r="R608" t="s">
        <v>524</v>
      </c>
      <c r="T608" t="s">
        <v>266</v>
      </c>
      <c r="U608" t="s">
        <v>267</v>
      </c>
      <c r="V608" t="s">
        <v>525</v>
      </c>
      <c r="W608" t="s">
        <v>526</v>
      </c>
      <c r="X608">
        <v>1925422</v>
      </c>
      <c r="Y608" s="6">
        <v>44774</v>
      </c>
      <c r="Z608" t="s">
        <v>264</v>
      </c>
      <c r="AA608">
        <v>66</v>
      </c>
      <c r="AB608" t="s">
        <v>264</v>
      </c>
      <c r="AD608" t="s">
        <v>264</v>
      </c>
      <c r="AE608" t="s">
        <v>264</v>
      </c>
      <c r="AF608" t="s">
        <v>264</v>
      </c>
      <c r="AG608">
        <v>2</v>
      </c>
      <c r="AH608" t="s">
        <v>264</v>
      </c>
      <c r="AL608" t="s">
        <v>264</v>
      </c>
      <c r="AM608" s="6">
        <v>44774</v>
      </c>
      <c r="AN608" t="s">
        <v>670</v>
      </c>
      <c r="AO608" t="s">
        <v>268</v>
      </c>
      <c r="AP608">
        <v>1205</v>
      </c>
      <c r="AQ608" t="s">
        <v>269</v>
      </c>
      <c r="AR608">
        <v>283392</v>
      </c>
      <c r="AU608" t="s">
        <v>264</v>
      </c>
      <c r="AV608" t="s">
        <v>270</v>
      </c>
      <c r="AX608" t="s">
        <v>264</v>
      </c>
      <c r="AY608">
        <v>710200</v>
      </c>
      <c r="AZ608">
        <v>1205.7102</v>
      </c>
      <c r="BA608" s="28" t="s">
        <v>164</v>
      </c>
    </row>
    <row r="609" spans="1:53">
      <c r="A609" t="s">
        <v>639</v>
      </c>
      <c r="B609" t="s">
        <v>640</v>
      </c>
      <c r="C609">
        <v>14370647</v>
      </c>
      <c r="D609">
        <v>1205</v>
      </c>
      <c r="E609" s="6">
        <v>44774</v>
      </c>
      <c r="F609" t="s">
        <v>669</v>
      </c>
      <c r="G609">
        <v>0.01</v>
      </c>
      <c r="H609">
        <v>0.01</v>
      </c>
      <c r="I609" t="s">
        <v>263</v>
      </c>
      <c r="O609" t="s">
        <v>264</v>
      </c>
      <c r="Q609" t="s">
        <v>264</v>
      </c>
      <c r="R609" t="s">
        <v>524</v>
      </c>
      <c r="T609" t="s">
        <v>266</v>
      </c>
      <c r="U609" t="s">
        <v>267</v>
      </c>
      <c r="V609" t="s">
        <v>525</v>
      </c>
      <c r="W609" t="s">
        <v>526</v>
      </c>
      <c r="X609">
        <v>1925422</v>
      </c>
      <c r="Y609" s="6">
        <v>44774</v>
      </c>
      <c r="Z609" t="s">
        <v>264</v>
      </c>
      <c r="AA609">
        <v>68</v>
      </c>
      <c r="AB609" t="s">
        <v>264</v>
      </c>
      <c r="AD609" t="s">
        <v>264</v>
      </c>
      <c r="AE609" t="s">
        <v>264</v>
      </c>
      <c r="AF609" t="s">
        <v>264</v>
      </c>
      <c r="AG609">
        <v>2</v>
      </c>
      <c r="AH609" t="s">
        <v>264</v>
      </c>
      <c r="AL609" t="s">
        <v>264</v>
      </c>
      <c r="AM609" s="6">
        <v>44774</v>
      </c>
      <c r="AN609" t="s">
        <v>670</v>
      </c>
      <c r="AO609" t="s">
        <v>268</v>
      </c>
      <c r="AP609">
        <v>1205</v>
      </c>
      <c r="AQ609" t="s">
        <v>269</v>
      </c>
      <c r="AR609">
        <v>283393</v>
      </c>
      <c r="AU609" t="s">
        <v>264</v>
      </c>
      <c r="AV609" t="s">
        <v>270</v>
      </c>
      <c r="AX609" t="s">
        <v>264</v>
      </c>
      <c r="AY609">
        <v>710200</v>
      </c>
      <c r="AZ609">
        <v>1205.7102</v>
      </c>
      <c r="BA609" s="28" t="s">
        <v>164</v>
      </c>
    </row>
    <row r="610" spans="1:53">
      <c r="A610" t="s">
        <v>639</v>
      </c>
      <c r="B610" t="s">
        <v>640</v>
      </c>
      <c r="C610">
        <v>14370647</v>
      </c>
      <c r="D610">
        <v>1205</v>
      </c>
      <c r="E610" s="6">
        <v>44774</v>
      </c>
      <c r="F610" t="s">
        <v>669</v>
      </c>
      <c r="G610">
        <v>0.01</v>
      </c>
      <c r="H610">
        <v>0.01</v>
      </c>
      <c r="I610" t="s">
        <v>263</v>
      </c>
      <c r="O610" t="s">
        <v>264</v>
      </c>
      <c r="Q610" t="s">
        <v>264</v>
      </c>
      <c r="R610" t="s">
        <v>524</v>
      </c>
      <c r="T610" t="s">
        <v>266</v>
      </c>
      <c r="U610" t="s">
        <v>267</v>
      </c>
      <c r="V610" t="s">
        <v>525</v>
      </c>
      <c r="W610" t="s">
        <v>526</v>
      </c>
      <c r="X610">
        <v>1925422</v>
      </c>
      <c r="Y610" s="6">
        <v>44774</v>
      </c>
      <c r="Z610" t="s">
        <v>264</v>
      </c>
      <c r="AA610">
        <v>70</v>
      </c>
      <c r="AB610" t="s">
        <v>264</v>
      </c>
      <c r="AD610" t="s">
        <v>264</v>
      </c>
      <c r="AE610" t="s">
        <v>264</v>
      </c>
      <c r="AF610" t="s">
        <v>264</v>
      </c>
      <c r="AG610">
        <v>2</v>
      </c>
      <c r="AH610" t="s">
        <v>264</v>
      </c>
      <c r="AL610" t="s">
        <v>264</v>
      </c>
      <c r="AM610" s="6">
        <v>44774</v>
      </c>
      <c r="AN610" t="s">
        <v>670</v>
      </c>
      <c r="AO610" t="s">
        <v>268</v>
      </c>
      <c r="AP610">
        <v>1205</v>
      </c>
      <c r="AQ610" t="s">
        <v>269</v>
      </c>
      <c r="AR610">
        <v>283395</v>
      </c>
      <c r="AU610" t="s">
        <v>264</v>
      </c>
      <c r="AV610" t="s">
        <v>270</v>
      </c>
      <c r="AX610" t="s">
        <v>264</v>
      </c>
      <c r="AY610">
        <v>710200</v>
      </c>
      <c r="AZ610">
        <v>1205.7102</v>
      </c>
      <c r="BA610" s="28" t="s">
        <v>164</v>
      </c>
    </row>
    <row r="611" spans="1:53">
      <c r="A611" t="s">
        <v>639</v>
      </c>
      <c r="B611" t="s">
        <v>640</v>
      </c>
      <c r="C611">
        <v>14370647</v>
      </c>
      <c r="D611">
        <v>1205</v>
      </c>
      <c r="E611" s="6">
        <v>44774</v>
      </c>
      <c r="F611" t="s">
        <v>669</v>
      </c>
      <c r="G611">
        <v>0.01</v>
      </c>
      <c r="H611">
        <v>0.01</v>
      </c>
      <c r="I611" t="s">
        <v>263</v>
      </c>
      <c r="O611" t="s">
        <v>264</v>
      </c>
      <c r="Q611" t="s">
        <v>264</v>
      </c>
      <c r="R611" t="s">
        <v>524</v>
      </c>
      <c r="T611" t="s">
        <v>266</v>
      </c>
      <c r="U611" t="s">
        <v>267</v>
      </c>
      <c r="V611" t="s">
        <v>525</v>
      </c>
      <c r="W611" t="s">
        <v>526</v>
      </c>
      <c r="X611">
        <v>1925422</v>
      </c>
      <c r="Y611" s="6">
        <v>44774</v>
      </c>
      <c r="Z611" t="s">
        <v>264</v>
      </c>
      <c r="AA611">
        <v>72</v>
      </c>
      <c r="AB611" t="s">
        <v>264</v>
      </c>
      <c r="AD611" t="s">
        <v>264</v>
      </c>
      <c r="AE611" t="s">
        <v>264</v>
      </c>
      <c r="AF611" t="s">
        <v>264</v>
      </c>
      <c r="AG611">
        <v>2</v>
      </c>
      <c r="AH611" t="s">
        <v>264</v>
      </c>
      <c r="AL611" t="s">
        <v>264</v>
      </c>
      <c r="AM611" s="6">
        <v>44774</v>
      </c>
      <c r="AN611" t="s">
        <v>670</v>
      </c>
      <c r="AO611" t="s">
        <v>268</v>
      </c>
      <c r="AP611">
        <v>1205</v>
      </c>
      <c r="AQ611" t="s">
        <v>269</v>
      </c>
      <c r="AR611">
        <v>283390</v>
      </c>
      <c r="AU611" t="s">
        <v>264</v>
      </c>
      <c r="AV611" t="s">
        <v>270</v>
      </c>
      <c r="AX611" t="s">
        <v>264</v>
      </c>
      <c r="AY611">
        <v>710200</v>
      </c>
      <c r="AZ611">
        <v>1205.7102</v>
      </c>
      <c r="BA611" s="28" t="s">
        <v>164</v>
      </c>
    </row>
    <row r="612" spans="1:53">
      <c r="A612" t="s">
        <v>639</v>
      </c>
      <c r="B612" t="s">
        <v>640</v>
      </c>
      <c r="C612">
        <v>14370647</v>
      </c>
      <c r="D612">
        <v>1205</v>
      </c>
      <c r="E612" s="6">
        <v>44774</v>
      </c>
      <c r="F612" t="s">
        <v>669</v>
      </c>
      <c r="G612">
        <v>0.01</v>
      </c>
      <c r="H612">
        <v>0.01</v>
      </c>
      <c r="I612" t="s">
        <v>263</v>
      </c>
      <c r="O612" t="s">
        <v>264</v>
      </c>
      <c r="Q612" t="s">
        <v>264</v>
      </c>
      <c r="R612" t="s">
        <v>524</v>
      </c>
      <c r="T612" t="s">
        <v>266</v>
      </c>
      <c r="U612" t="s">
        <v>267</v>
      </c>
      <c r="V612" t="s">
        <v>525</v>
      </c>
      <c r="W612" t="s">
        <v>526</v>
      </c>
      <c r="X612">
        <v>1925422</v>
      </c>
      <c r="Y612" s="6">
        <v>44774</v>
      </c>
      <c r="Z612" t="s">
        <v>264</v>
      </c>
      <c r="AA612">
        <v>74</v>
      </c>
      <c r="AB612" t="s">
        <v>264</v>
      </c>
      <c r="AD612" t="s">
        <v>264</v>
      </c>
      <c r="AE612" t="s">
        <v>264</v>
      </c>
      <c r="AF612" t="s">
        <v>264</v>
      </c>
      <c r="AG612">
        <v>2</v>
      </c>
      <c r="AH612" t="s">
        <v>264</v>
      </c>
      <c r="AL612" t="s">
        <v>264</v>
      </c>
      <c r="AM612" s="6">
        <v>44774</v>
      </c>
      <c r="AN612" t="s">
        <v>670</v>
      </c>
      <c r="AO612" t="s">
        <v>268</v>
      </c>
      <c r="AP612">
        <v>1205</v>
      </c>
      <c r="AQ612" t="s">
        <v>269</v>
      </c>
      <c r="AR612">
        <v>283391</v>
      </c>
      <c r="AU612" t="s">
        <v>264</v>
      </c>
      <c r="AV612" t="s">
        <v>270</v>
      </c>
      <c r="AX612" t="s">
        <v>264</v>
      </c>
      <c r="AY612">
        <v>710200</v>
      </c>
      <c r="AZ612">
        <v>1205.7102</v>
      </c>
      <c r="BA612" s="28" t="s">
        <v>164</v>
      </c>
    </row>
    <row r="613" spans="1:53">
      <c r="A613" t="s">
        <v>639</v>
      </c>
      <c r="B613" t="s">
        <v>640</v>
      </c>
      <c r="C613">
        <v>14370647</v>
      </c>
      <c r="D613">
        <v>1205</v>
      </c>
      <c r="E613" s="6">
        <v>44774</v>
      </c>
      <c r="F613" t="s">
        <v>669</v>
      </c>
      <c r="G613">
        <v>0.01</v>
      </c>
      <c r="H613">
        <v>0.01</v>
      </c>
      <c r="I613" t="s">
        <v>263</v>
      </c>
      <c r="O613" t="s">
        <v>264</v>
      </c>
      <c r="Q613" t="s">
        <v>264</v>
      </c>
      <c r="R613" t="s">
        <v>524</v>
      </c>
      <c r="T613" t="s">
        <v>266</v>
      </c>
      <c r="U613" t="s">
        <v>267</v>
      </c>
      <c r="V613" t="s">
        <v>525</v>
      </c>
      <c r="W613" t="s">
        <v>526</v>
      </c>
      <c r="X613">
        <v>1925422</v>
      </c>
      <c r="Y613" s="6">
        <v>44774</v>
      </c>
      <c r="Z613" t="s">
        <v>264</v>
      </c>
      <c r="AA613">
        <v>76</v>
      </c>
      <c r="AB613" t="s">
        <v>264</v>
      </c>
      <c r="AD613" t="s">
        <v>264</v>
      </c>
      <c r="AE613" t="s">
        <v>264</v>
      </c>
      <c r="AF613" t="s">
        <v>264</v>
      </c>
      <c r="AG613">
        <v>2</v>
      </c>
      <c r="AH613" t="s">
        <v>264</v>
      </c>
      <c r="AL613" t="s">
        <v>264</v>
      </c>
      <c r="AM613" s="6">
        <v>44774</v>
      </c>
      <c r="AN613" t="s">
        <v>670</v>
      </c>
      <c r="AO613" t="s">
        <v>268</v>
      </c>
      <c r="AP613">
        <v>1205</v>
      </c>
      <c r="AQ613" t="s">
        <v>269</v>
      </c>
      <c r="AR613">
        <v>283394</v>
      </c>
      <c r="AU613" t="s">
        <v>264</v>
      </c>
      <c r="AV613" t="s">
        <v>270</v>
      </c>
      <c r="AX613" t="s">
        <v>264</v>
      </c>
      <c r="AY613">
        <v>710200</v>
      </c>
      <c r="AZ613">
        <v>1205.7102</v>
      </c>
      <c r="BA613" s="28" t="s">
        <v>164</v>
      </c>
    </row>
    <row r="614" spans="1:53">
      <c r="A614" t="s">
        <v>639</v>
      </c>
      <c r="B614" t="s">
        <v>640</v>
      </c>
      <c r="C614">
        <v>14370647</v>
      </c>
      <c r="D614">
        <v>1205</v>
      </c>
      <c r="E614" s="6">
        <v>44774</v>
      </c>
      <c r="F614" t="s">
        <v>669</v>
      </c>
      <c r="G614">
        <v>0.01</v>
      </c>
      <c r="H614">
        <v>0.01</v>
      </c>
      <c r="I614" t="s">
        <v>263</v>
      </c>
      <c r="O614" t="s">
        <v>264</v>
      </c>
      <c r="Q614" t="s">
        <v>264</v>
      </c>
      <c r="R614" t="s">
        <v>524</v>
      </c>
      <c r="T614" t="s">
        <v>266</v>
      </c>
      <c r="U614" t="s">
        <v>267</v>
      </c>
      <c r="V614" t="s">
        <v>525</v>
      </c>
      <c r="W614" t="s">
        <v>526</v>
      </c>
      <c r="X614">
        <v>1925422</v>
      </c>
      <c r="Y614" s="6">
        <v>44774</v>
      </c>
      <c r="Z614" t="s">
        <v>264</v>
      </c>
      <c r="AA614">
        <v>78</v>
      </c>
      <c r="AB614" t="s">
        <v>264</v>
      </c>
      <c r="AD614" t="s">
        <v>264</v>
      </c>
      <c r="AE614" t="s">
        <v>264</v>
      </c>
      <c r="AF614" t="s">
        <v>264</v>
      </c>
      <c r="AG614">
        <v>2</v>
      </c>
      <c r="AH614" t="s">
        <v>264</v>
      </c>
      <c r="AL614" t="s">
        <v>264</v>
      </c>
      <c r="AM614" s="6">
        <v>44774</v>
      </c>
      <c r="AN614" t="s">
        <v>670</v>
      </c>
      <c r="AO614" t="s">
        <v>268</v>
      </c>
      <c r="AP614">
        <v>1205</v>
      </c>
      <c r="AQ614" t="s">
        <v>269</v>
      </c>
      <c r="AR614">
        <v>283398</v>
      </c>
      <c r="AU614" t="s">
        <v>264</v>
      </c>
      <c r="AV614" t="s">
        <v>270</v>
      </c>
      <c r="AX614" t="s">
        <v>264</v>
      </c>
      <c r="AY614">
        <v>710200</v>
      </c>
      <c r="AZ614">
        <v>1205.7102</v>
      </c>
      <c r="BA614" s="28" t="s">
        <v>164</v>
      </c>
    </row>
    <row r="615" spans="1:53">
      <c r="A615" t="s">
        <v>639</v>
      </c>
      <c r="B615" t="s">
        <v>640</v>
      </c>
      <c r="C615">
        <v>14370647</v>
      </c>
      <c r="D615">
        <v>1205</v>
      </c>
      <c r="E615" s="6">
        <v>44774</v>
      </c>
      <c r="F615" t="s">
        <v>669</v>
      </c>
      <c r="G615">
        <v>0.24</v>
      </c>
      <c r="H615">
        <v>0.24</v>
      </c>
      <c r="I615" t="s">
        <v>263</v>
      </c>
      <c r="O615" t="s">
        <v>264</v>
      </c>
      <c r="Q615" t="s">
        <v>264</v>
      </c>
      <c r="R615" t="s">
        <v>524</v>
      </c>
      <c r="T615" t="s">
        <v>266</v>
      </c>
      <c r="U615" t="s">
        <v>267</v>
      </c>
      <c r="V615" t="s">
        <v>525</v>
      </c>
      <c r="W615" t="s">
        <v>526</v>
      </c>
      <c r="X615">
        <v>1925422</v>
      </c>
      <c r="Y615" s="6">
        <v>44774</v>
      </c>
      <c r="Z615" t="s">
        <v>264</v>
      </c>
      <c r="AA615">
        <v>2</v>
      </c>
      <c r="AB615" t="s">
        <v>264</v>
      </c>
      <c r="AD615" t="s">
        <v>264</v>
      </c>
      <c r="AE615" t="s">
        <v>264</v>
      </c>
      <c r="AF615" t="s">
        <v>264</v>
      </c>
      <c r="AG615">
        <v>3</v>
      </c>
      <c r="AH615" t="s">
        <v>264</v>
      </c>
      <c r="AL615" t="s">
        <v>264</v>
      </c>
      <c r="AM615" s="6">
        <v>44774</v>
      </c>
      <c r="AN615" t="s">
        <v>670</v>
      </c>
      <c r="AO615" t="s">
        <v>268</v>
      </c>
      <c r="AP615">
        <v>1205</v>
      </c>
      <c r="AQ615" t="s">
        <v>269</v>
      </c>
      <c r="AR615">
        <v>283722</v>
      </c>
      <c r="AU615" t="s">
        <v>264</v>
      </c>
      <c r="AV615" t="s">
        <v>270</v>
      </c>
      <c r="AX615" t="s">
        <v>264</v>
      </c>
      <c r="AY615">
        <v>710200</v>
      </c>
      <c r="AZ615">
        <v>1205.7102</v>
      </c>
      <c r="BA615" s="28" t="s">
        <v>164</v>
      </c>
    </row>
    <row r="616" spans="1:53">
      <c r="A616" t="s">
        <v>639</v>
      </c>
      <c r="B616" t="s">
        <v>640</v>
      </c>
      <c r="C616">
        <v>14370647</v>
      </c>
      <c r="D616">
        <v>1205</v>
      </c>
      <c r="E616" s="6">
        <v>44774</v>
      </c>
      <c r="F616" t="s">
        <v>669</v>
      </c>
      <c r="G616">
        <v>0.21</v>
      </c>
      <c r="H616">
        <v>0.21</v>
      </c>
      <c r="I616" t="s">
        <v>263</v>
      </c>
      <c r="O616" t="s">
        <v>264</v>
      </c>
      <c r="Q616" t="s">
        <v>264</v>
      </c>
      <c r="R616" t="s">
        <v>524</v>
      </c>
      <c r="T616" t="s">
        <v>266</v>
      </c>
      <c r="U616" t="s">
        <v>267</v>
      </c>
      <c r="V616" t="s">
        <v>525</v>
      </c>
      <c r="W616" t="s">
        <v>526</v>
      </c>
      <c r="X616">
        <v>1925422</v>
      </c>
      <c r="Y616" s="6">
        <v>44774</v>
      </c>
      <c r="Z616" t="s">
        <v>264</v>
      </c>
      <c r="AA616">
        <v>4</v>
      </c>
      <c r="AB616" t="s">
        <v>264</v>
      </c>
      <c r="AD616" t="s">
        <v>264</v>
      </c>
      <c r="AE616" t="s">
        <v>264</v>
      </c>
      <c r="AF616" t="s">
        <v>264</v>
      </c>
      <c r="AG616">
        <v>3</v>
      </c>
      <c r="AH616" t="s">
        <v>264</v>
      </c>
      <c r="AL616" t="s">
        <v>264</v>
      </c>
      <c r="AM616" s="6">
        <v>44774</v>
      </c>
      <c r="AN616" t="s">
        <v>670</v>
      </c>
      <c r="AO616" t="s">
        <v>268</v>
      </c>
      <c r="AP616">
        <v>1205</v>
      </c>
      <c r="AQ616" t="s">
        <v>269</v>
      </c>
      <c r="AR616">
        <v>283723</v>
      </c>
      <c r="AU616" t="s">
        <v>264</v>
      </c>
      <c r="AV616" t="s">
        <v>270</v>
      </c>
      <c r="AX616" t="s">
        <v>264</v>
      </c>
      <c r="AY616">
        <v>710200</v>
      </c>
      <c r="AZ616">
        <v>1205.7102</v>
      </c>
      <c r="BA616" s="28" t="s">
        <v>164</v>
      </c>
    </row>
    <row r="617" spans="1:53">
      <c r="A617" t="s">
        <v>639</v>
      </c>
      <c r="B617" t="s">
        <v>640</v>
      </c>
      <c r="C617">
        <v>14370647</v>
      </c>
      <c r="D617">
        <v>1205</v>
      </c>
      <c r="E617" s="6">
        <v>44774</v>
      </c>
      <c r="F617" t="s">
        <v>669</v>
      </c>
      <c r="G617">
        <v>0.02</v>
      </c>
      <c r="H617">
        <v>0.02</v>
      </c>
      <c r="I617" t="s">
        <v>263</v>
      </c>
      <c r="O617" t="s">
        <v>264</v>
      </c>
      <c r="Q617" t="s">
        <v>264</v>
      </c>
      <c r="R617" t="s">
        <v>524</v>
      </c>
      <c r="T617" t="s">
        <v>266</v>
      </c>
      <c r="U617" t="s">
        <v>267</v>
      </c>
      <c r="V617" t="s">
        <v>525</v>
      </c>
      <c r="W617" t="s">
        <v>526</v>
      </c>
      <c r="X617">
        <v>1925422</v>
      </c>
      <c r="Y617" s="6">
        <v>44774</v>
      </c>
      <c r="Z617" t="s">
        <v>264</v>
      </c>
      <c r="AA617">
        <v>80</v>
      </c>
      <c r="AB617" t="s">
        <v>264</v>
      </c>
      <c r="AD617" t="s">
        <v>264</v>
      </c>
      <c r="AE617" t="s">
        <v>264</v>
      </c>
      <c r="AF617" t="s">
        <v>264</v>
      </c>
      <c r="AG617">
        <v>2</v>
      </c>
      <c r="AH617" t="s">
        <v>264</v>
      </c>
      <c r="AL617" t="s">
        <v>264</v>
      </c>
      <c r="AM617" s="6">
        <v>44774</v>
      </c>
      <c r="AN617" t="s">
        <v>670</v>
      </c>
      <c r="AO617" t="s">
        <v>268</v>
      </c>
      <c r="AP617">
        <v>1205</v>
      </c>
      <c r="AQ617" t="s">
        <v>269</v>
      </c>
      <c r="AR617">
        <v>284064</v>
      </c>
      <c r="AU617" t="s">
        <v>264</v>
      </c>
      <c r="AV617" t="s">
        <v>270</v>
      </c>
      <c r="AX617" t="s">
        <v>264</v>
      </c>
      <c r="AY617">
        <v>710200</v>
      </c>
      <c r="AZ617">
        <v>1205.7102</v>
      </c>
      <c r="BA617" s="28" t="s">
        <v>164</v>
      </c>
    </row>
    <row r="618" spans="1:53">
      <c r="A618" t="s">
        <v>639</v>
      </c>
      <c r="B618" t="s">
        <v>640</v>
      </c>
      <c r="C618">
        <v>14370647</v>
      </c>
      <c r="D618">
        <v>1205</v>
      </c>
      <c r="E618" s="6">
        <v>44774</v>
      </c>
      <c r="F618" t="s">
        <v>669</v>
      </c>
      <c r="G618">
        <v>0.02</v>
      </c>
      <c r="H618">
        <v>0.02</v>
      </c>
      <c r="I618" t="s">
        <v>263</v>
      </c>
      <c r="O618" t="s">
        <v>264</v>
      </c>
      <c r="Q618" t="s">
        <v>264</v>
      </c>
      <c r="R618" t="s">
        <v>524</v>
      </c>
      <c r="T618" t="s">
        <v>266</v>
      </c>
      <c r="U618" t="s">
        <v>267</v>
      </c>
      <c r="V618" t="s">
        <v>525</v>
      </c>
      <c r="W618" t="s">
        <v>526</v>
      </c>
      <c r="X618">
        <v>1925422</v>
      </c>
      <c r="Y618" s="6">
        <v>44774</v>
      </c>
      <c r="Z618" t="s">
        <v>264</v>
      </c>
      <c r="AA618">
        <v>82</v>
      </c>
      <c r="AB618" t="s">
        <v>264</v>
      </c>
      <c r="AD618" t="s">
        <v>264</v>
      </c>
      <c r="AE618" t="s">
        <v>264</v>
      </c>
      <c r="AF618" t="s">
        <v>264</v>
      </c>
      <c r="AG618">
        <v>2</v>
      </c>
      <c r="AH618" t="s">
        <v>264</v>
      </c>
      <c r="AL618" t="s">
        <v>264</v>
      </c>
      <c r="AM618" s="6">
        <v>44774</v>
      </c>
      <c r="AN618" t="s">
        <v>670</v>
      </c>
      <c r="AO618" t="s">
        <v>268</v>
      </c>
      <c r="AP618">
        <v>1205</v>
      </c>
      <c r="AQ618" t="s">
        <v>269</v>
      </c>
      <c r="AR618">
        <v>284065</v>
      </c>
      <c r="AU618" t="s">
        <v>264</v>
      </c>
      <c r="AV618" t="s">
        <v>270</v>
      </c>
      <c r="AX618" t="s">
        <v>264</v>
      </c>
      <c r="AY618">
        <v>710200</v>
      </c>
      <c r="AZ618">
        <v>1205.7102</v>
      </c>
      <c r="BA618" s="28" t="s">
        <v>164</v>
      </c>
    </row>
    <row r="619" spans="1:53">
      <c r="A619" t="s">
        <v>639</v>
      </c>
      <c r="B619" t="s">
        <v>640</v>
      </c>
      <c r="C619">
        <v>14370647</v>
      </c>
      <c r="D619">
        <v>1205</v>
      </c>
      <c r="E619" s="6">
        <v>44774</v>
      </c>
      <c r="F619" t="s">
        <v>669</v>
      </c>
      <c r="G619">
        <v>0.24</v>
      </c>
      <c r="H619">
        <v>0.24</v>
      </c>
      <c r="I619" t="s">
        <v>263</v>
      </c>
      <c r="O619" t="s">
        <v>264</v>
      </c>
      <c r="Q619" t="s">
        <v>264</v>
      </c>
      <c r="R619" t="s">
        <v>524</v>
      </c>
      <c r="T619" t="s">
        <v>266</v>
      </c>
      <c r="U619" t="s">
        <v>267</v>
      </c>
      <c r="V619" t="s">
        <v>525</v>
      </c>
      <c r="W619" t="s">
        <v>526</v>
      </c>
      <c r="X619">
        <v>1925422</v>
      </c>
      <c r="Y619" s="6">
        <v>44774</v>
      </c>
      <c r="Z619" t="s">
        <v>264</v>
      </c>
      <c r="AA619">
        <v>6</v>
      </c>
      <c r="AB619" t="s">
        <v>264</v>
      </c>
      <c r="AD619" t="s">
        <v>264</v>
      </c>
      <c r="AE619" t="s">
        <v>264</v>
      </c>
      <c r="AF619" t="s">
        <v>264</v>
      </c>
      <c r="AG619">
        <v>3</v>
      </c>
      <c r="AH619" t="s">
        <v>264</v>
      </c>
      <c r="AL619" t="s">
        <v>264</v>
      </c>
      <c r="AM619" s="6">
        <v>44774</v>
      </c>
      <c r="AN619" t="s">
        <v>670</v>
      </c>
      <c r="AO619" t="s">
        <v>268</v>
      </c>
      <c r="AP619">
        <v>1205</v>
      </c>
      <c r="AQ619" t="s">
        <v>269</v>
      </c>
      <c r="AR619">
        <v>283724</v>
      </c>
      <c r="AU619" t="s">
        <v>264</v>
      </c>
      <c r="AV619" t="s">
        <v>270</v>
      </c>
      <c r="AX619" t="s">
        <v>264</v>
      </c>
      <c r="AY619">
        <v>710200</v>
      </c>
      <c r="AZ619">
        <v>1205.7102</v>
      </c>
      <c r="BA619" s="28" t="s">
        <v>164</v>
      </c>
    </row>
    <row r="620" spans="1:53">
      <c r="A620" t="s">
        <v>639</v>
      </c>
      <c r="B620" t="s">
        <v>640</v>
      </c>
      <c r="C620">
        <v>14370647</v>
      </c>
      <c r="D620">
        <v>1205</v>
      </c>
      <c r="E620" s="6">
        <v>44774</v>
      </c>
      <c r="F620" t="s">
        <v>669</v>
      </c>
      <c r="G620">
        <v>0.26</v>
      </c>
      <c r="H620">
        <v>0.26</v>
      </c>
      <c r="I620" t="s">
        <v>263</v>
      </c>
      <c r="O620" t="s">
        <v>264</v>
      </c>
      <c r="Q620" t="s">
        <v>264</v>
      </c>
      <c r="R620" t="s">
        <v>524</v>
      </c>
      <c r="T620" t="s">
        <v>266</v>
      </c>
      <c r="U620" t="s">
        <v>267</v>
      </c>
      <c r="V620" t="s">
        <v>525</v>
      </c>
      <c r="W620" t="s">
        <v>526</v>
      </c>
      <c r="X620">
        <v>1925422</v>
      </c>
      <c r="Y620" s="6">
        <v>44774</v>
      </c>
      <c r="Z620" t="s">
        <v>264</v>
      </c>
      <c r="AA620">
        <v>8</v>
      </c>
      <c r="AB620" t="s">
        <v>264</v>
      </c>
      <c r="AD620" t="s">
        <v>264</v>
      </c>
      <c r="AE620" t="s">
        <v>264</v>
      </c>
      <c r="AF620" t="s">
        <v>264</v>
      </c>
      <c r="AG620">
        <v>3</v>
      </c>
      <c r="AH620" t="s">
        <v>264</v>
      </c>
      <c r="AL620" t="s">
        <v>264</v>
      </c>
      <c r="AM620" s="6">
        <v>44774</v>
      </c>
      <c r="AN620" t="s">
        <v>670</v>
      </c>
      <c r="AO620" t="s">
        <v>268</v>
      </c>
      <c r="AP620">
        <v>1205</v>
      </c>
      <c r="AQ620" t="s">
        <v>269</v>
      </c>
      <c r="AR620">
        <v>283586</v>
      </c>
      <c r="AU620" t="s">
        <v>264</v>
      </c>
      <c r="AV620" t="s">
        <v>270</v>
      </c>
      <c r="AX620" t="s">
        <v>264</v>
      </c>
      <c r="AY620">
        <v>710200</v>
      </c>
      <c r="AZ620">
        <v>1205.7102</v>
      </c>
      <c r="BA620" s="28" t="s">
        <v>164</v>
      </c>
    </row>
    <row r="621" spans="1:53">
      <c r="A621" t="s">
        <v>639</v>
      </c>
      <c r="B621" t="s">
        <v>640</v>
      </c>
      <c r="C621">
        <v>14370647</v>
      </c>
      <c r="D621">
        <v>1205</v>
      </c>
      <c r="E621" s="6">
        <v>44774</v>
      </c>
      <c r="F621" t="s">
        <v>669</v>
      </c>
      <c r="G621">
        <v>0.26</v>
      </c>
      <c r="H621">
        <v>0.26</v>
      </c>
      <c r="I621" t="s">
        <v>263</v>
      </c>
      <c r="O621" t="s">
        <v>264</v>
      </c>
      <c r="Q621" t="s">
        <v>264</v>
      </c>
      <c r="R621" t="s">
        <v>524</v>
      </c>
      <c r="T621" t="s">
        <v>266</v>
      </c>
      <c r="U621" t="s">
        <v>267</v>
      </c>
      <c r="V621" t="s">
        <v>525</v>
      </c>
      <c r="W621" t="s">
        <v>526</v>
      </c>
      <c r="X621">
        <v>1925422</v>
      </c>
      <c r="Y621" s="6">
        <v>44774</v>
      </c>
      <c r="Z621" t="s">
        <v>264</v>
      </c>
      <c r="AA621">
        <v>10</v>
      </c>
      <c r="AB621" t="s">
        <v>264</v>
      </c>
      <c r="AD621" t="s">
        <v>264</v>
      </c>
      <c r="AE621" t="s">
        <v>264</v>
      </c>
      <c r="AF621" t="s">
        <v>264</v>
      </c>
      <c r="AG621">
        <v>3</v>
      </c>
      <c r="AH621" t="s">
        <v>264</v>
      </c>
      <c r="AL621" t="s">
        <v>264</v>
      </c>
      <c r="AM621" s="6">
        <v>44774</v>
      </c>
      <c r="AN621" t="s">
        <v>670</v>
      </c>
      <c r="AO621" t="s">
        <v>268</v>
      </c>
      <c r="AP621">
        <v>1205</v>
      </c>
      <c r="AQ621" t="s">
        <v>269</v>
      </c>
      <c r="AR621">
        <v>283587</v>
      </c>
      <c r="AU621" t="s">
        <v>264</v>
      </c>
      <c r="AV621" t="s">
        <v>270</v>
      </c>
      <c r="AX621" t="s">
        <v>264</v>
      </c>
      <c r="AY621">
        <v>710200</v>
      </c>
      <c r="AZ621">
        <v>1205.7102</v>
      </c>
      <c r="BA621" s="28" t="s">
        <v>164</v>
      </c>
    </row>
    <row r="622" spans="1:53">
      <c r="A622" t="s">
        <v>639</v>
      </c>
      <c r="B622" t="s">
        <v>640</v>
      </c>
      <c r="C622">
        <v>14370647</v>
      </c>
      <c r="D622">
        <v>1205</v>
      </c>
      <c r="E622" s="6">
        <v>44774</v>
      </c>
      <c r="F622" t="s">
        <v>669</v>
      </c>
      <c r="G622">
        <v>0.5</v>
      </c>
      <c r="H622">
        <v>0.5</v>
      </c>
      <c r="I622" t="s">
        <v>263</v>
      </c>
      <c r="O622" t="s">
        <v>264</v>
      </c>
      <c r="Q622" t="s">
        <v>264</v>
      </c>
      <c r="R622" t="s">
        <v>524</v>
      </c>
      <c r="T622" t="s">
        <v>266</v>
      </c>
      <c r="U622" t="s">
        <v>267</v>
      </c>
      <c r="V622" t="s">
        <v>525</v>
      </c>
      <c r="W622" t="s">
        <v>526</v>
      </c>
      <c r="X622">
        <v>1925422</v>
      </c>
      <c r="Y622" s="6">
        <v>44774</v>
      </c>
      <c r="Z622" t="s">
        <v>264</v>
      </c>
      <c r="AA622">
        <v>12</v>
      </c>
      <c r="AB622" t="s">
        <v>264</v>
      </c>
      <c r="AD622" t="s">
        <v>264</v>
      </c>
      <c r="AE622" t="s">
        <v>264</v>
      </c>
      <c r="AF622" t="s">
        <v>264</v>
      </c>
      <c r="AG622" s="29">
        <v>5000</v>
      </c>
      <c r="AH622" t="s">
        <v>264</v>
      </c>
      <c r="AL622" t="s">
        <v>264</v>
      </c>
      <c r="AM622" s="6">
        <v>44774</v>
      </c>
      <c r="AN622" t="s">
        <v>670</v>
      </c>
      <c r="AO622" t="s">
        <v>268</v>
      </c>
      <c r="AP622">
        <v>1205</v>
      </c>
      <c r="AQ622" t="s">
        <v>269</v>
      </c>
      <c r="AR622">
        <v>283718</v>
      </c>
      <c r="AU622" t="s">
        <v>264</v>
      </c>
      <c r="AV622" t="s">
        <v>270</v>
      </c>
      <c r="AX622" t="s">
        <v>264</v>
      </c>
      <c r="AY622">
        <v>710200</v>
      </c>
      <c r="AZ622">
        <v>1205.7102</v>
      </c>
      <c r="BA622" s="28" t="s">
        <v>164</v>
      </c>
    </row>
    <row r="623" spans="1:53">
      <c r="A623" t="s">
        <v>639</v>
      </c>
      <c r="B623" t="s">
        <v>640</v>
      </c>
      <c r="C623">
        <v>14370647</v>
      </c>
      <c r="D623">
        <v>1205</v>
      </c>
      <c r="E623" s="6">
        <v>44774</v>
      </c>
      <c r="F623" t="s">
        <v>669</v>
      </c>
      <c r="G623">
        <v>1</v>
      </c>
      <c r="H623">
        <v>1</v>
      </c>
      <c r="I623" t="s">
        <v>263</v>
      </c>
      <c r="O623" t="s">
        <v>264</v>
      </c>
      <c r="Q623" t="s">
        <v>264</v>
      </c>
      <c r="R623" t="s">
        <v>524</v>
      </c>
      <c r="T623" t="s">
        <v>266</v>
      </c>
      <c r="U623" t="s">
        <v>267</v>
      </c>
      <c r="V623" t="s">
        <v>525</v>
      </c>
      <c r="W623" t="s">
        <v>526</v>
      </c>
      <c r="X623">
        <v>1925422</v>
      </c>
      <c r="Y623" s="6">
        <v>44774</v>
      </c>
      <c r="Z623" t="s">
        <v>264</v>
      </c>
      <c r="AA623">
        <v>14</v>
      </c>
      <c r="AB623" t="s">
        <v>264</v>
      </c>
      <c r="AD623" t="s">
        <v>264</v>
      </c>
      <c r="AE623" t="s">
        <v>264</v>
      </c>
      <c r="AF623" t="s">
        <v>264</v>
      </c>
      <c r="AG623" s="29">
        <v>5000</v>
      </c>
      <c r="AH623" t="s">
        <v>264</v>
      </c>
      <c r="AL623" t="s">
        <v>264</v>
      </c>
      <c r="AM623" s="6">
        <v>44774</v>
      </c>
      <c r="AN623" t="s">
        <v>670</v>
      </c>
      <c r="AO623" t="s">
        <v>268</v>
      </c>
      <c r="AP623">
        <v>1205</v>
      </c>
      <c r="AQ623" t="s">
        <v>269</v>
      </c>
      <c r="AR623">
        <v>283725</v>
      </c>
      <c r="AU623" t="s">
        <v>264</v>
      </c>
      <c r="AV623" t="s">
        <v>270</v>
      </c>
      <c r="AX623" t="s">
        <v>264</v>
      </c>
      <c r="AY623">
        <v>710200</v>
      </c>
      <c r="AZ623">
        <v>1205.7102</v>
      </c>
      <c r="BA623" s="28" t="s">
        <v>164</v>
      </c>
    </row>
    <row r="624" spans="1:53">
      <c r="A624" t="s">
        <v>639</v>
      </c>
      <c r="B624" t="s">
        <v>640</v>
      </c>
      <c r="C624">
        <v>14370647</v>
      </c>
      <c r="D624">
        <v>1205</v>
      </c>
      <c r="E624" s="6">
        <v>44774</v>
      </c>
      <c r="F624" t="s">
        <v>669</v>
      </c>
      <c r="G624">
        <v>0.5</v>
      </c>
      <c r="H624">
        <v>0.5</v>
      </c>
      <c r="I624" t="s">
        <v>263</v>
      </c>
      <c r="O624" t="s">
        <v>264</v>
      </c>
      <c r="Q624" t="s">
        <v>264</v>
      </c>
      <c r="R624" t="s">
        <v>524</v>
      </c>
      <c r="T624" t="s">
        <v>266</v>
      </c>
      <c r="U624" t="s">
        <v>267</v>
      </c>
      <c r="V624" t="s">
        <v>525</v>
      </c>
      <c r="W624" t="s">
        <v>526</v>
      </c>
      <c r="X624">
        <v>1925422</v>
      </c>
      <c r="Y624" s="6">
        <v>44774</v>
      </c>
      <c r="Z624" t="s">
        <v>264</v>
      </c>
      <c r="AA624">
        <v>16</v>
      </c>
      <c r="AB624" t="s">
        <v>264</v>
      </c>
      <c r="AD624" t="s">
        <v>264</v>
      </c>
      <c r="AE624" t="s">
        <v>264</v>
      </c>
      <c r="AF624" t="s">
        <v>264</v>
      </c>
      <c r="AG624" s="29">
        <v>5000</v>
      </c>
      <c r="AH624" t="s">
        <v>264</v>
      </c>
      <c r="AL624" t="s">
        <v>264</v>
      </c>
      <c r="AM624" s="6">
        <v>44774</v>
      </c>
      <c r="AN624" t="s">
        <v>670</v>
      </c>
      <c r="AO624" t="s">
        <v>268</v>
      </c>
      <c r="AP624">
        <v>1205</v>
      </c>
      <c r="AQ624" t="s">
        <v>269</v>
      </c>
      <c r="AR624">
        <v>283719</v>
      </c>
      <c r="AU624" t="s">
        <v>264</v>
      </c>
      <c r="AV624" t="s">
        <v>270</v>
      </c>
      <c r="AX624" t="s">
        <v>264</v>
      </c>
      <c r="AY624">
        <v>710200</v>
      </c>
      <c r="AZ624">
        <v>1205.7102</v>
      </c>
      <c r="BA624" s="28" t="s">
        <v>164</v>
      </c>
    </row>
    <row r="625" spans="1:53">
      <c r="A625" t="s">
        <v>639</v>
      </c>
      <c r="B625" t="s">
        <v>640</v>
      </c>
      <c r="C625">
        <v>14370647</v>
      </c>
      <c r="D625">
        <v>1205</v>
      </c>
      <c r="E625" s="6">
        <v>44774</v>
      </c>
      <c r="F625" t="s">
        <v>669</v>
      </c>
      <c r="G625">
        <v>1</v>
      </c>
      <c r="H625">
        <v>1</v>
      </c>
      <c r="I625" t="s">
        <v>263</v>
      </c>
      <c r="O625" t="s">
        <v>264</v>
      </c>
      <c r="Q625" t="s">
        <v>264</v>
      </c>
      <c r="R625" t="s">
        <v>524</v>
      </c>
      <c r="T625" t="s">
        <v>266</v>
      </c>
      <c r="U625" t="s">
        <v>267</v>
      </c>
      <c r="V625" t="s">
        <v>525</v>
      </c>
      <c r="W625" t="s">
        <v>526</v>
      </c>
      <c r="X625">
        <v>1925422</v>
      </c>
      <c r="Y625" s="6">
        <v>44774</v>
      </c>
      <c r="Z625" t="s">
        <v>264</v>
      </c>
      <c r="AA625">
        <v>18</v>
      </c>
      <c r="AB625" t="s">
        <v>264</v>
      </c>
      <c r="AD625" t="s">
        <v>264</v>
      </c>
      <c r="AE625" t="s">
        <v>264</v>
      </c>
      <c r="AF625" t="s">
        <v>264</v>
      </c>
      <c r="AG625" s="29">
        <v>5000</v>
      </c>
      <c r="AH625" t="s">
        <v>264</v>
      </c>
      <c r="AL625" t="s">
        <v>264</v>
      </c>
      <c r="AM625" s="6">
        <v>44774</v>
      </c>
      <c r="AN625" t="s">
        <v>670</v>
      </c>
      <c r="AO625" t="s">
        <v>268</v>
      </c>
      <c r="AP625">
        <v>1205</v>
      </c>
      <c r="AQ625" t="s">
        <v>269</v>
      </c>
      <c r="AR625">
        <v>283720</v>
      </c>
      <c r="AU625" t="s">
        <v>264</v>
      </c>
      <c r="AV625" t="s">
        <v>270</v>
      </c>
      <c r="AX625" t="s">
        <v>264</v>
      </c>
      <c r="AY625">
        <v>710200</v>
      </c>
      <c r="AZ625">
        <v>1205.7102</v>
      </c>
      <c r="BA625" s="28" t="s">
        <v>164</v>
      </c>
    </row>
    <row r="626" spans="1:53">
      <c r="A626" t="s">
        <v>639</v>
      </c>
      <c r="B626" t="s">
        <v>640</v>
      </c>
      <c r="C626">
        <v>14370647</v>
      </c>
      <c r="D626">
        <v>1205</v>
      </c>
      <c r="E626" s="6">
        <v>44774</v>
      </c>
      <c r="F626" t="s">
        <v>669</v>
      </c>
      <c r="G626">
        <v>0.5</v>
      </c>
      <c r="H626">
        <v>0.5</v>
      </c>
      <c r="I626" t="s">
        <v>263</v>
      </c>
      <c r="O626" t="s">
        <v>264</v>
      </c>
      <c r="Q626" t="s">
        <v>264</v>
      </c>
      <c r="R626" t="s">
        <v>524</v>
      </c>
      <c r="T626" t="s">
        <v>266</v>
      </c>
      <c r="U626" t="s">
        <v>267</v>
      </c>
      <c r="V626" t="s">
        <v>525</v>
      </c>
      <c r="W626" t="s">
        <v>526</v>
      </c>
      <c r="X626">
        <v>1925422</v>
      </c>
      <c r="Y626" s="6">
        <v>44774</v>
      </c>
      <c r="Z626" t="s">
        <v>264</v>
      </c>
      <c r="AA626">
        <v>20</v>
      </c>
      <c r="AB626" t="s">
        <v>264</v>
      </c>
      <c r="AD626" t="s">
        <v>264</v>
      </c>
      <c r="AE626" t="s">
        <v>264</v>
      </c>
      <c r="AF626" t="s">
        <v>264</v>
      </c>
      <c r="AG626" s="29">
        <v>5000</v>
      </c>
      <c r="AH626" t="s">
        <v>264</v>
      </c>
      <c r="AL626" t="s">
        <v>264</v>
      </c>
      <c r="AM626" s="6">
        <v>44774</v>
      </c>
      <c r="AN626" t="s">
        <v>670</v>
      </c>
      <c r="AO626" t="s">
        <v>268</v>
      </c>
      <c r="AP626">
        <v>1205</v>
      </c>
      <c r="AQ626" t="s">
        <v>269</v>
      </c>
      <c r="AR626">
        <v>284080</v>
      </c>
      <c r="AU626" t="s">
        <v>264</v>
      </c>
      <c r="AV626" t="s">
        <v>270</v>
      </c>
      <c r="AX626" t="s">
        <v>264</v>
      </c>
      <c r="AY626">
        <v>710200</v>
      </c>
      <c r="AZ626">
        <v>1205.7102</v>
      </c>
      <c r="BA626" s="28" t="s">
        <v>164</v>
      </c>
    </row>
    <row r="627" spans="1:53">
      <c r="A627" t="s">
        <v>639</v>
      </c>
      <c r="B627" t="s">
        <v>640</v>
      </c>
      <c r="C627">
        <v>14370647</v>
      </c>
      <c r="D627">
        <v>1205</v>
      </c>
      <c r="E627" s="6">
        <v>44774</v>
      </c>
      <c r="F627" t="s">
        <v>669</v>
      </c>
      <c r="G627">
        <v>0.5</v>
      </c>
      <c r="H627">
        <v>0.5</v>
      </c>
      <c r="I627" t="s">
        <v>263</v>
      </c>
      <c r="O627" t="s">
        <v>264</v>
      </c>
      <c r="Q627" t="s">
        <v>264</v>
      </c>
      <c r="R627" t="s">
        <v>524</v>
      </c>
      <c r="T627" t="s">
        <v>266</v>
      </c>
      <c r="U627" t="s">
        <v>267</v>
      </c>
      <c r="V627" t="s">
        <v>525</v>
      </c>
      <c r="W627" t="s">
        <v>526</v>
      </c>
      <c r="X627">
        <v>1925422</v>
      </c>
      <c r="Y627" s="6">
        <v>44774</v>
      </c>
      <c r="Z627" t="s">
        <v>264</v>
      </c>
      <c r="AA627">
        <v>22</v>
      </c>
      <c r="AB627" t="s">
        <v>264</v>
      </c>
      <c r="AD627" t="s">
        <v>264</v>
      </c>
      <c r="AE627" t="s">
        <v>264</v>
      </c>
      <c r="AF627" t="s">
        <v>264</v>
      </c>
      <c r="AG627" s="29">
        <v>5000</v>
      </c>
      <c r="AH627" t="s">
        <v>264</v>
      </c>
      <c r="AL627" t="s">
        <v>264</v>
      </c>
      <c r="AM627" s="6">
        <v>44774</v>
      </c>
      <c r="AN627" t="s">
        <v>670</v>
      </c>
      <c r="AO627" t="s">
        <v>268</v>
      </c>
      <c r="AP627">
        <v>1205</v>
      </c>
      <c r="AQ627" t="s">
        <v>269</v>
      </c>
      <c r="AR627">
        <v>284077</v>
      </c>
      <c r="AU627" t="s">
        <v>264</v>
      </c>
      <c r="AV627" t="s">
        <v>270</v>
      </c>
      <c r="AX627" t="s">
        <v>264</v>
      </c>
      <c r="AY627">
        <v>710200</v>
      </c>
      <c r="AZ627">
        <v>1205.7102</v>
      </c>
      <c r="BA627" s="28" t="s">
        <v>164</v>
      </c>
    </row>
    <row r="628" spans="1:53">
      <c r="A628" t="s">
        <v>639</v>
      </c>
      <c r="B628" t="s">
        <v>640</v>
      </c>
      <c r="C628">
        <v>14370647</v>
      </c>
      <c r="D628">
        <v>1205</v>
      </c>
      <c r="E628" s="6">
        <v>44774</v>
      </c>
      <c r="F628" t="s">
        <v>669</v>
      </c>
      <c r="G628">
        <v>0.5</v>
      </c>
      <c r="H628">
        <v>0.5</v>
      </c>
      <c r="I628" t="s">
        <v>263</v>
      </c>
      <c r="O628" t="s">
        <v>264</v>
      </c>
      <c r="Q628" t="s">
        <v>264</v>
      </c>
      <c r="R628" t="s">
        <v>524</v>
      </c>
      <c r="T628" t="s">
        <v>266</v>
      </c>
      <c r="U628" t="s">
        <v>267</v>
      </c>
      <c r="V628" t="s">
        <v>525</v>
      </c>
      <c r="W628" t="s">
        <v>526</v>
      </c>
      <c r="X628">
        <v>1925422</v>
      </c>
      <c r="Y628" s="6">
        <v>44774</v>
      </c>
      <c r="Z628" t="s">
        <v>264</v>
      </c>
      <c r="AA628">
        <v>24</v>
      </c>
      <c r="AB628" t="s">
        <v>264</v>
      </c>
      <c r="AD628" t="s">
        <v>264</v>
      </c>
      <c r="AE628" t="s">
        <v>264</v>
      </c>
      <c r="AF628" t="s">
        <v>264</v>
      </c>
      <c r="AG628" s="29">
        <v>5000</v>
      </c>
      <c r="AH628" t="s">
        <v>264</v>
      </c>
      <c r="AL628" t="s">
        <v>264</v>
      </c>
      <c r="AM628" s="6">
        <v>44774</v>
      </c>
      <c r="AN628" t="s">
        <v>670</v>
      </c>
      <c r="AO628" t="s">
        <v>268</v>
      </c>
      <c r="AP628">
        <v>1205</v>
      </c>
      <c r="AQ628" t="s">
        <v>269</v>
      </c>
      <c r="AR628">
        <v>284078</v>
      </c>
      <c r="AU628" t="s">
        <v>264</v>
      </c>
      <c r="AV628" t="s">
        <v>270</v>
      </c>
      <c r="AX628" t="s">
        <v>264</v>
      </c>
      <c r="AY628">
        <v>710200</v>
      </c>
      <c r="AZ628">
        <v>1205.7102</v>
      </c>
      <c r="BA628" s="28" t="s">
        <v>164</v>
      </c>
    </row>
    <row r="629" spans="1:53">
      <c r="A629" t="s">
        <v>639</v>
      </c>
      <c r="B629" t="s">
        <v>640</v>
      </c>
      <c r="C629">
        <v>14370647</v>
      </c>
      <c r="D629">
        <v>1205</v>
      </c>
      <c r="E629" s="6">
        <v>44774</v>
      </c>
      <c r="F629" t="s">
        <v>669</v>
      </c>
      <c r="G629">
        <v>0.5</v>
      </c>
      <c r="H629">
        <v>0.5</v>
      </c>
      <c r="I629" t="s">
        <v>263</v>
      </c>
      <c r="O629" t="s">
        <v>264</v>
      </c>
      <c r="Q629" t="s">
        <v>264</v>
      </c>
      <c r="R629" t="s">
        <v>524</v>
      </c>
      <c r="T629" t="s">
        <v>266</v>
      </c>
      <c r="U629" t="s">
        <v>267</v>
      </c>
      <c r="V629" t="s">
        <v>525</v>
      </c>
      <c r="W629" t="s">
        <v>526</v>
      </c>
      <c r="X629">
        <v>1925422</v>
      </c>
      <c r="Y629" s="6">
        <v>44774</v>
      </c>
      <c r="Z629" t="s">
        <v>264</v>
      </c>
      <c r="AA629">
        <v>26</v>
      </c>
      <c r="AB629" t="s">
        <v>264</v>
      </c>
      <c r="AD629" t="s">
        <v>264</v>
      </c>
      <c r="AE629" t="s">
        <v>264</v>
      </c>
      <c r="AF629" t="s">
        <v>264</v>
      </c>
      <c r="AG629" s="29">
        <v>5000</v>
      </c>
      <c r="AH629" t="s">
        <v>264</v>
      </c>
      <c r="AL629" t="s">
        <v>264</v>
      </c>
      <c r="AM629" s="6">
        <v>44774</v>
      </c>
      <c r="AN629" t="s">
        <v>670</v>
      </c>
      <c r="AO629" t="s">
        <v>268</v>
      </c>
      <c r="AP629">
        <v>1205</v>
      </c>
      <c r="AQ629" t="s">
        <v>269</v>
      </c>
      <c r="AR629">
        <v>284079</v>
      </c>
      <c r="AU629" t="s">
        <v>264</v>
      </c>
      <c r="AV629" t="s">
        <v>270</v>
      </c>
      <c r="AX629" t="s">
        <v>264</v>
      </c>
      <c r="AY629">
        <v>710200</v>
      </c>
      <c r="AZ629">
        <v>1205.7102</v>
      </c>
      <c r="BA629" s="28" t="s">
        <v>164</v>
      </c>
    </row>
    <row r="630" spans="1:53">
      <c r="A630" t="s">
        <v>639</v>
      </c>
      <c r="B630" t="s">
        <v>640</v>
      </c>
      <c r="C630">
        <v>14370647</v>
      </c>
      <c r="D630">
        <v>1205</v>
      </c>
      <c r="E630" s="6">
        <v>44774</v>
      </c>
      <c r="F630" t="s">
        <v>669</v>
      </c>
      <c r="G630">
        <v>1</v>
      </c>
      <c r="H630">
        <v>1</v>
      </c>
      <c r="I630" t="s">
        <v>263</v>
      </c>
      <c r="O630" t="s">
        <v>264</v>
      </c>
      <c r="Q630" t="s">
        <v>264</v>
      </c>
      <c r="R630" t="s">
        <v>524</v>
      </c>
      <c r="T630" t="s">
        <v>266</v>
      </c>
      <c r="U630" t="s">
        <v>267</v>
      </c>
      <c r="V630" t="s">
        <v>525</v>
      </c>
      <c r="W630" t="s">
        <v>526</v>
      </c>
      <c r="X630">
        <v>1925422</v>
      </c>
      <c r="Y630" s="6">
        <v>44774</v>
      </c>
      <c r="Z630" t="s">
        <v>264</v>
      </c>
      <c r="AA630">
        <v>28</v>
      </c>
      <c r="AB630" t="s">
        <v>264</v>
      </c>
      <c r="AD630" t="s">
        <v>264</v>
      </c>
      <c r="AE630" t="s">
        <v>264</v>
      </c>
      <c r="AF630" t="s">
        <v>264</v>
      </c>
      <c r="AG630" s="29">
        <v>5000</v>
      </c>
      <c r="AH630" t="s">
        <v>264</v>
      </c>
      <c r="AL630" t="s">
        <v>264</v>
      </c>
      <c r="AM630" s="6">
        <v>44774</v>
      </c>
      <c r="AN630" t="s">
        <v>670</v>
      </c>
      <c r="AO630" t="s">
        <v>268</v>
      </c>
      <c r="AP630">
        <v>1205</v>
      </c>
      <c r="AQ630" t="s">
        <v>269</v>
      </c>
      <c r="AR630">
        <v>284081</v>
      </c>
      <c r="AU630" t="s">
        <v>264</v>
      </c>
      <c r="AV630" t="s">
        <v>270</v>
      </c>
      <c r="AX630" t="s">
        <v>264</v>
      </c>
      <c r="AY630">
        <v>710200</v>
      </c>
      <c r="AZ630">
        <v>1205.7102</v>
      </c>
      <c r="BA630" s="28" t="s">
        <v>164</v>
      </c>
    </row>
    <row r="631" spans="1:53">
      <c r="A631" t="s">
        <v>639</v>
      </c>
      <c r="B631" t="s">
        <v>640</v>
      </c>
      <c r="C631">
        <v>14370647</v>
      </c>
      <c r="D631">
        <v>1205</v>
      </c>
      <c r="E631" s="6">
        <v>44774</v>
      </c>
      <c r="F631" t="s">
        <v>669</v>
      </c>
      <c r="G631">
        <v>0.5</v>
      </c>
      <c r="H631">
        <v>0.5</v>
      </c>
      <c r="I631" t="s">
        <v>263</v>
      </c>
      <c r="O631" t="s">
        <v>264</v>
      </c>
      <c r="Q631" t="s">
        <v>264</v>
      </c>
      <c r="R631" t="s">
        <v>524</v>
      </c>
      <c r="T631" t="s">
        <v>266</v>
      </c>
      <c r="U631" t="s">
        <v>267</v>
      </c>
      <c r="V631" t="s">
        <v>525</v>
      </c>
      <c r="W631" t="s">
        <v>526</v>
      </c>
      <c r="X631">
        <v>1925422</v>
      </c>
      <c r="Y631" s="6">
        <v>44774</v>
      </c>
      <c r="Z631" t="s">
        <v>264</v>
      </c>
      <c r="AA631">
        <v>30</v>
      </c>
      <c r="AB631" t="s">
        <v>264</v>
      </c>
      <c r="AD631" t="s">
        <v>264</v>
      </c>
      <c r="AE631" t="s">
        <v>264</v>
      </c>
      <c r="AF631" t="s">
        <v>264</v>
      </c>
      <c r="AG631" s="29">
        <v>5000</v>
      </c>
      <c r="AH631" t="s">
        <v>264</v>
      </c>
      <c r="AL631" t="s">
        <v>264</v>
      </c>
      <c r="AM631" s="6">
        <v>44774</v>
      </c>
      <c r="AN631" t="s">
        <v>670</v>
      </c>
      <c r="AO631" t="s">
        <v>268</v>
      </c>
      <c r="AP631">
        <v>1205</v>
      </c>
      <c r="AQ631" t="s">
        <v>269</v>
      </c>
      <c r="AR631">
        <v>284734</v>
      </c>
      <c r="AU631" t="s">
        <v>264</v>
      </c>
      <c r="AV631" t="s">
        <v>270</v>
      </c>
      <c r="AX631" t="s">
        <v>264</v>
      </c>
      <c r="AY631">
        <v>710200</v>
      </c>
      <c r="AZ631">
        <v>1205.7102</v>
      </c>
      <c r="BA631" s="28" t="s">
        <v>164</v>
      </c>
    </row>
    <row r="632" spans="1:53">
      <c r="A632" t="s">
        <v>639</v>
      </c>
      <c r="B632" t="s">
        <v>640</v>
      </c>
      <c r="C632">
        <v>14370647</v>
      </c>
      <c r="D632">
        <v>1205</v>
      </c>
      <c r="E632" s="6">
        <v>44774</v>
      </c>
      <c r="F632" t="s">
        <v>669</v>
      </c>
      <c r="G632">
        <v>0.5</v>
      </c>
      <c r="H632">
        <v>0.5</v>
      </c>
      <c r="I632" t="s">
        <v>263</v>
      </c>
      <c r="O632" t="s">
        <v>264</v>
      </c>
      <c r="Q632" t="s">
        <v>264</v>
      </c>
      <c r="R632" t="s">
        <v>524</v>
      </c>
      <c r="T632" t="s">
        <v>266</v>
      </c>
      <c r="U632" t="s">
        <v>267</v>
      </c>
      <c r="V632" t="s">
        <v>525</v>
      </c>
      <c r="W632" t="s">
        <v>526</v>
      </c>
      <c r="X632">
        <v>1925422</v>
      </c>
      <c r="Y632" s="6">
        <v>44774</v>
      </c>
      <c r="Z632" t="s">
        <v>264</v>
      </c>
      <c r="AA632">
        <v>32</v>
      </c>
      <c r="AB632" t="s">
        <v>264</v>
      </c>
      <c r="AD632" t="s">
        <v>264</v>
      </c>
      <c r="AE632" t="s">
        <v>264</v>
      </c>
      <c r="AF632" t="s">
        <v>264</v>
      </c>
      <c r="AG632" s="29">
        <v>5000</v>
      </c>
      <c r="AH632" t="s">
        <v>264</v>
      </c>
      <c r="AL632" t="s">
        <v>264</v>
      </c>
      <c r="AM632" s="6">
        <v>44774</v>
      </c>
      <c r="AN632" t="s">
        <v>670</v>
      </c>
      <c r="AO632" t="s">
        <v>268</v>
      </c>
      <c r="AP632">
        <v>1205</v>
      </c>
      <c r="AQ632" t="s">
        <v>269</v>
      </c>
      <c r="AR632">
        <v>284735</v>
      </c>
      <c r="AU632" t="s">
        <v>264</v>
      </c>
      <c r="AV632" t="s">
        <v>270</v>
      </c>
      <c r="AX632" t="s">
        <v>264</v>
      </c>
      <c r="AY632">
        <v>710200</v>
      </c>
      <c r="AZ632">
        <v>1205.7102</v>
      </c>
      <c r="BA632" s="28" t="s">
        <v>164</v>
      </c>
    </row>
    <row r="633" spans="1:53">
      <c r="A633" t="s">
        <v>639</v>
      </c>
      <c r="B633" t="s">
        <v>640</v>
      </c>
      <c r="C633">
        <v>14370647</v>
      </c>
      <c r="D633">
        <v>1205</v>
      </c>
      <c r="E633" s="6">
        <v>44774</v>
      </c>
      <c r="F633" t="s">
        <v>669</v>
      </c>
      <c r="G633">
        <v>0.5</v>
      </c>
      <c r="H633">
        <v>0.5</v>
      </c>
      <c r="I633" t="s">
        <v>263</v>
      </c>
      <c r="O633" t="s">
        <v>264</v>
      </c>
      <c r="Q633" t="s">
        <v>264</v>
      </c>
      <c r="R633" t="s">
        <v>524</v>
      </c>
      <c r="T633" t="s">
        <v>266</v>
      </c>
      <c r="U633" t="s">
        <v>267</v>
      </c>
      <c r="V633" t="s">
        <v>525</v>
      </c>
      <c r="W633" t="s">
        <v>526</v>
      </c>
      <c r="X633">
        <v>1925422</v>
      </c>
      <c r="Y633" s="6">
        <v>44774</v>
      </c>
      <c r="Z633" t="s">
        <v>264</v>
      </c>
      <c r="AA633">
        <v>34</v>
      </c>
      <c r="AB633" t="s">
        <v>264</v>
      </c>
      <c r="AD633" t="s">
        <v>264</v>
      </c>
      <c r="AE633" t="s">
        <v>264</v>
      </c>
      <c r="AF633" t="s">
        <v>264</v>
      </c>
      <c r="AG633" s="29">
        <v>5000</v>
      </c>
      <c r="AH633" t="s">
        <v>264</v>
      </c>
      <c r="AL633" t="s">
        <v>264</v>
      </c>
      <c r="AM633" s="6">
        <v>44774</v>
      </c>
      <c r="AN633" t="s">
        <v>670</v>
      </c>
      <c r="AO633" t="s">
        <v>268</v>
      </c>
      <c r="AP633">
        <v>1205</v>
      </c>
      <c r="AQ633" t="s">
        <v>269</v>
      </c>
      <c r="AR633">
        <v>284660</v>
      </c>
      <c r="AU633" t="s">
        <v>264</v>
      </c>
      <c r="AV633" t="s">
        <v>270</v>
      </c>
      <c r="AX633" t="s">
        <v>264</v>
      </c>
      <c r="AY633">
        <v>710200</v>
      </c>
      <c r="AZ633">
        <v>1205.7102</v>
      </c>
      <c r="BA633" s="28" t="s">
        <v>164</v>
      </c>
    </row>
    <row r="634" spans="1:53">
      <c r="A634" t="s">
        <v>639</v>
      </c>
      <c r="B634" t="s">
        <v>640</v>
      </c>
      <c r="C634">
        <v>14370647</v>
      </c>
      <c r="D634">
        <v>1205</v>
      </c>
      <c r="E634" s="6">
        <v>44774</v>
      </c>
      <c r="F634" t="s">
        <v>669</v>
      </c>
      <c r="G634">
        <v>0.5</v>
      </c>
      <c r="H634">
        <v>0.5</v>
      </c>
      <c r="I634" t="s">
        <v>263</v>
      </c>
      <c r="O634" t="s">
        <v>264</v>
      </c>
      <c r="Q634" t="s">
        <v>264</v>
      </c>
      <c r="R634" t="s">
        <v>524</v>
      </c>
      <c r="T634" t="s">
        <v>266</v>
      </c>
      <c r="U634" t="s">
        <v>267</v>
      </c>
      <c r="V634" t="s">
        <v>525</v>
      </c>
      <c r="W634" t="s">
        <v>526</v>
      </c>
      <c r="X634">
        <v>1925422</v>
      </c>
      <c r="Y634" s="6">
        <v>44774</v>
      </c>
      <c r="Z634" t="s">
        <v>264</v>
      </c>
      <c r="AA634">
        <v>36</v>
      </c>
      <c r="AB634" t="s">
        <v>264</v>
      </c>
      <c r="AD634" t="s">
        <v>264</v>
      </c>
      <c r="AE634" t="s">
        <v>264</v>
      </c>
      <c r="AF634" t="s">
        <v>264</v>
      </c>
      <c r="AG634" s="29">
        <v>5000</v>
      </c>
      <c r="AH634" t="s">
        <v>264</v>
      </c>
      <c r="AL634" t="s">
        <v>264</v>
      </c>
      <c r="AM634" s="6">
        <v>44774</v>
      </c>
      <c r="AN634" t="s">
        <v>670</v>
      </c>
      <c r="AO634" t="s">
        <v>268</v>
      </c>
      <c r="AP634">
        <v>1205</v>
      </c>
      <c r="AQ634" t="s">
        <v>269</v>
      </c>
      <c r="AR634">
        <v>284737</v>
      </c>
      <c r="AU634" t="s">
        <v>264</v>
      </c>
      <c r="AV634" t="s">
        <v>270</v>
      </c>
      <c r="AX634" t="s">
        <v>264</v>
      </c>
      <c r="AY634">
        <v>710200</v>
      </c>
      <c r="AZ634">
        <v>1205.7102</v>
      </c>
      <c r="BA634" s="28" t="s">
        <v>164</v>
      </c>
    </row>
    <row r="635" spans="1:53">
      <c r="A635" t="s">
        <v>639</v>
      </c>
      <c r="B635" t="s">
        <v>640</v>
      </c>
      <c r="C635">
        <v>14370647</v>
      </c>
      <c r="D635">
        <v>1205</v>
      </c>
      <c r="E635" s="6">
        <v>44774</v>
      </c>
      <c r="F635" t="s">
        <v>669</v>
      </c>
      <c r="G635">
        <v>7.0000000000000007E-2</v>
      </c>
      <c r="H635">
        <v>7.0000000000000007E-2</v>
      </c>
      <c r="I635" t="s">
        <v>263</v>
      </c>
      <c r="O635" t="s">
        <v>264</v>
      </c>
      <c r="Q635" t="s">
        <v>264</v>
      </c>
      <c r="R635" t="s">
        <v>524</v>
      </c>
      <c r="T635" t="s">
        <v>266</v>
      </c>
      <c r="U635" t="s">
        <v>267</v>
      </c>
      <c r="V635" t="s">
        <v>525</v>
      </c>
      <c r="W635" t="s">
        <v>526</v>
      </c>
      <c r="X635">
        <v>1925422</v>
      </c>
      <c r="Y635" s="6">
        <v>44774</v>
      </c>
      <c r="Z635" t="s">
        <v>264</v>
      </c>
      <c r="AA635">
        <v>38</v>
      </c>
      <c r="AB635" t="s">
        <v>264</v>
      </c>
      <c r="AD635" t="s">
        <v>264</v>
      </c>
      <c r="AE635" t="s">
        <v>264</v>
      </c>
      <c r="AF635" t="s">
        <v>264</v>
      </c>
      <c r="AG635">
        <v>5</v>
      </c>
      <c r="AH635" t="s">
        <v>264</v>
      </c>
      <c r="AL635" t="s">
        <v>264</v>
      </c>
      <c r="AM635" s="6">
        <v>44774</v>
      </c>
      <c r="AN635" t="s">
        <v>670</v>
      </c>
      <c r="AO635" t="s">
        <v>268</v>
      </c>
      <c r="AP635">
        <v>1205</v>
      </c>
      <c r="AQ635" t="s">
        <v>269</v>
      </c>
      <c r="AR635">
        <v>283521</v>
      </c>
      <c r="AU635" t="s">
        <v>264</v>
      </c>
      <c r="AV635" t="s">
        <v>270</v>
      </c>
      <c r="AX635" t="s">
        <v>264</v>
      </c>
      <c r="AY635">
        <v>710200</v>
      </c>
      <c r="AZ635">
        <v>1205.7102</v>
      </c>
      <c r="BA635" s="28" t="s">
        <v>164</v>
      </c>
    </row>
    <row r="636" spans="1:53">
      <c r="A636" t="s">
        <v>639</v>
      </c>
      <c r="B636" t="s">
        <v>640</v>
      </c>
      <c r="C636">
        <v>14370647</v>
      </c>
      <c r="D636">
        <v>1205</v>
      </c>
      <c r="E636" s="6">
        <v>44774</v>
      </c>
      <c r="F636" t="s">
        <v>669</v>
      </c>
      <c r="G636">
        <v>7.0000000000000007E-2</v>
      </c>
      <c r="H636">
        <v>7.0000000000000007E-2</v>
      </c>
      <c r="I636" t="s">
        <v>263</v>
      </c>
      <c r="O636" t="s">
        <v>264</v>
      </c>
      <c r="Q636" t="s">
        <v>264</v>
      </c>
      <c r="R636" t="s">
        <v>524</v>
      </c>
      <c r="T636" t="s">
        <v>266</v>
      </c>
      <c r="U636" t="s">
        <v>267</v>
      </c>
      <c r="V636" t="s">
        <v>525</v>
      </c>
      <c r="W636" t="s">
        <v>526</v>
      </c>
      <c r="X636">
        <v>1925422</v>
      </c>
      <c r="Y636" s="6">
        <v>44774</v>
      </c>
      <c r="Z636" t="s">
        <v>264</v>
      </c>
      <c r="AA636">
        <v>40</v>
      </c>
      <c r="AB636" t="s">
        <v>264</v>
      </c>
      <c r="AD636" t="s">
        <v>264</v>
      </c>
      <c r="AE636" t="s">
        <v>264</v>
      </c>
      <c r="AF636" t="s">
        <v>264</v>
      </c>
      <c r="AG636">
        <v>5</v>
      </c>
      <c r="AH636" t="s">
        <v>264</v>
      </c>
      <c r="AL636" t="s">
        <v>264</v>
      </c>
      <c r="AM636" s="6">
        <v>44774</v>
      </c>
      <c r="AN636" t="s">
        <v>670</v>
      </c>
      <c r="AO636" t="s">
        <v>268</v>
      </c>
      <c r="AP636">
        <v>1205</v>
      </c>
      <c r="AQ636" t="s">
        <v>269</v>
      </c>
      <c r="AR636">
        <v>284258</v>
      </c>
      <c r="AU636" t="s">
        <v>264</v>
      </c>
      <c r="AV636" t="s">
        <v>270</v>
      </c>
      <c r="AX636" t="s">
        <v>264</v>
      </c>
      <c r="AY636">
        <v>710200</v>
      </c>
      <c r="AZ636">
        <v>1205.7102</v>
      </c>
      <c r="BA636" s="28" t="s">
        <v>164</v>
      </c>
    </row>
    <row r="637" spans="1:53">
      <c r="A637" t="s">
        <v>639</v>
      </c>
      <c r="B637" t="s">
        <v>640</v>
      </c>
      <c r="C637">
        <v>14370647</v>
      </c>
      <c r="D637">
        <v>1205</v>
      </c>
      <c r="E637" s="6">
        <v>44774</v>
      </c>
      <c r="F637" t="s">
        <v>669</v>
      </c>
      <c r="G637">
        <v>7.0000000000000007E-2</v>
      </c>
      <c r="H637">
        <v>7.0000000000000007E-2</v>
      </c>
      <c r="I637" t="s">
        <v>263</v>
      </c>
      <c r="O637" t="s">
        <v>264</v>
      </c>
      <c r="Q637" t="s">
        <v>264</v>
      </c>
      <c r="R637" t="s">
        <v>524</v>
      </c>
      <c r="T637" t="s">
        <v>266</v>
      </c>
      <c r="U637" t="s">
        <v>267</v>
      </c>
      <c r="V637" t="s">
        <v>525</v>
      </c>
      <c r="W637" t="s">
        <v>526</v>
      </c>
      <c r="X637">
        <v>1925422</v>
      </c>
      <c r="Y637" s="6">
        <v>44774</v>
      </c>
      <c r="Z637" t="s">
        <v>264</v>
      </c>
      <c r="AA637">
        <v>42</v>
      </c>
      <c r="AB637" t="s">
        <v>264</v>
      </c>
      <c r="AD637" t="s">
        <v>264</v>
      </c>
      <c r="AE637" t="s">
        <v>264</v>
      </c>
      <c r="AF637" t="s">
        <v>264</v>
      </c>
      <c r="AG637">
        <v>5</v>
      </c>
      <c r="AH637" t="s">
        <v>264</v>
      </c>
      <c r="AL637" t="s">
        <v>264</v>
      </c>
      <c r="AM637" s="6">
        <v>44774</v>
      </c>
      <c r="AN637" t="s">
        <v>670</v>
      </c>
      <c r="AO637" t="s">
        <v>268</v>
      </c>
      <c r="AP637">
        <v>1205</v>
      </c>
      <c r="AQ637" t="s">
        <v>269</v>
      </c>
      <c r="AR637">
        <v>283308</v>
      </c>
      <c r="AU637" t="s">
        <v>264</v>
      </c>
      <c r="AV637" t="s">
        <v>270</v>
      </c>
      <c r="AX637" t="s">
        <v>264</v>
      </c>
      <c r="AY637">
        <v>710200</v>
      </c>
      <c r="AZ637">
        <v>1205.7102</v>
      </c>
      <c r="BA637" s="28" t="s">
        <v>164</v>
      </c>
    </row>
    <row r="638" spans="1:53">
      <c r="A638" t="s">
        <v>639</v>
      </c>
      <c r="B638" t="s">
        <v>640</v>
      </c>
      <c r="C638">
        <v>14370647</v>
      </c>
      <c r="D638">
        <v>1205</v>
      </c>
      <c r="E638" s="6">
        <v>44774</v>
      </c>
      <c r="F638" t="s">
        <v>669</v>
      </c>
      <c r="G638">
        <v>7.0000000000000007E-2</v>
      </c>
      <c r="H638">
        <v>7.0000000000000007E-2</v>
      </c>
      <c r="I638" t="s">
        <v>263</v>
      </c>
      <c r="O638" t="s">
        <v>264</v>
      </c>
      <c r="Q638" t="s">
        <v>264</v>
      </c>
      <c r="R638" t="s">
        <v>524</v>
      </c>
      <c r="T638" t="s">
        <v>266</v>
      </c>
      <c r="U638" t="s">
        <v>267</v>
      </c>
      <c r="V638" t="s">
        <v>525</v>
      </c>
      <c r="W638" t="s">
        <v>526</v>
      </c>
      <c r="X638">
        <v>1925422</v>
      </c>
      <c r="Y638" s="6">
        <v>44774</v>
      </c>
      <c r="Z638" t="s">
        <v>264</v>
      </c>
      <c r="AA638">
        <v>44</v>
      </c>
      <c r="AB638" t="s">
        <v>264</v>
      </c>
      <c r="AD638" t="s">
        <v>264</v>
      </c>
      <c r="AE638" t="s">
        <v>264</v>
      </c>
      <c r="AF638" t="s">
        <v>264</v>
      </c>
      <c r="AG638">
        <v>5</v>
      </c>
      <c r="AH638" t="s">
        <v>264</v>
      </c>
      <c r="AL638" t="s">
        <v>264</v>
      </c>
      <c r="AM638" s="6">
        <v>44774</v>
      </c>
      <c r="AN638" t="s">
        <v>670</v>
      </c>
      <c r="AO638" t="s">
        <v>268</v>
      </c>
      <c r="AP638">
        <v>1205</v>
      </c>
      <c r="AQ638" t="s">
        <v>269</v>
      </c>
      <c r="AR638">
        <v>283309</v>
      </c>
      <c r="AU638" t="s">
        <v>264</v>
      </c>
      <c r="AV638" t="s">
        <v>270</v>
      </c>
      <c r="AX638" t="s">
        <v>264</v>
      </c>
      <c r="AY638">
        <v>710200</v>
      </c>
      <c r="AZ638">
        <v>1205.7102</v>
      </c>
      <c r="BA638" s="28" t="s">
        <v>164</v>
      </c>
    </row>
    <row r="639" spans="1:53">
      <c r="A639" t="s">
        <v>639</v>
      </c>
      <c r="B639" t="s">
        <v>640</v>
      </c>
      <c r="C639">
        <v>14370647</v>
      </c>
      <c r="D639">
        <v>1205</v>
      </c>
      <c r="E639" s="6">
        <v>44774</v>
      </c>
      <c r="F639" t="s">
        <v>669</v>
      </c>
      <c r="G639">
        <v>7.0000000000000007E-2</v>
      </c>
      <c r="H639">
        <v>7.0000000000000007E-2</v>
      </c>
      <c r="I639" t="s">
        <v>263</v>
      </c>
      <c r="O639" t="s">
        <v>264</v>
      </c>
      <c r="Q639" t="s">
        <v>264</v>
      </c>
      <c r="R639" t="s">
        <v>524</v>
      </c>
      <c r="T639" t="s">
        <v>266</v>
      </c>
      <c r="U639" t="s">
        <v>267</v>
      </c>
      <c r="V639" t="s">
        <v>525</v>
      </c>
      <c r="W639" t="s">
        <v>526</v>
      </c>
      <c r="X639">
        <v>1925422</v>
      </c>
      <c r="Y639" s="6">
        <v>44774</v>
      </c>
      <c r="Z639" t="s">
        <v>264</v>
      </c>
      <c r="AA639">
        <v>46</v>
      </c>
      <c r="AB639" t="s">
        <v>264</v>
      </c>
      <c r="AD639" t="s">
        <v>264</v>
      </c>
      <c r="AE639" t="s">
        <v>264</v>
      </c>
      <c r="AF639" t="s">
        <v>264</v>
      </c>
      <c r="AG639">
        <v>5</v>
      </c>
      <c r="AH639" t="s">
        <v>264</v>
      </c>
      <c r="AL639" t="s">
        <v>264</v>
      </c>
      <c r="AM639" s="6">
        <v>44774</v>
      </c>
      <c r="AN639" t="s">
        <v>670</v>
      </c>
      <c r="AO639" t="s">
        <v>268</v>
      </c>
      <c r="AP639">
        <v>1205</v>
      </c>
      <c r="AQ639" t="s">
        <v>269</v>
      </c>
      <c r="AR639">
        <v>283387</v>
      </c>
      <c r="AU639" t="s">
        <v>264</v>
      </c>
      <c r="AV639" t="s">
        <v>270</v>
      </c>
      <c r="AX639" t="s">
        <v>264</v>
      </c>
      <c r="AY639">
        <v>710200</v>
      </c>
      <c r="AZ639">
        <v>1205.7102</v>
      </c>
      <c r="BA639" s="28" t="s">
        <v>164</v>
      </c>
    </row>
    <row r="640" spans="1:53">
      <c r="A640" t="s">
        <v>639</v>
      </c>
      <c r="B640" t="s">
        <v>640</v>
      </c>
      <c r="C640">
        <v>14370647</v>
      </c>
      <c r="D640">
        <v>1205</v>
      </c>
      <c r="E640" s="6">
        <v>44774</v>
      </c>
      <c r="F640" t="s">
        <v>669</v>
      </c>
      <c r="G640">
        <v>7.0000000000000007E-2</v>
      </c>
      <c r="H640">
        <v>7.0000000000000007E-2</v>
      </c>
      <c r="I640" t="s">
        <v>263</v>
      </c>
      <c r="O640" t="s">
        <v>264</v>
      </c>
      <c r="Q640" t="s">
        <v>264</v>
      </c>
      <c r="R640" t="s">
        <v>524</v>
      </c>
      <c r="T640" t="s">
        <v>266</v>
      </c>
      <c r="U640" t="s">
        <v>267</v>
      </c>
      <c r="V640" t="s">
        <v>525</v>
      </c>
      <c r="W640" t="s">
        <v>526</v>
      </c>
      <c r="X640">
        <v>1925422</v>
      </c>
      <c r="Y640" s="6">
        <v>44774</v>
      </c>
      <c r="Z640" t="s">
        <v>264</v>
      </c>
      <c r="AA640">
        <v>48</v>
      </c>
      <c r="AB640" t="s">
        <v>264</v>
      </c>
      <c r="AD640" t="s">
        <v>264</v>
      </c>
      <c r="AE640" t="s">
        <v>264</v>
      </c>
      <c r="AF640" t="s">
        <v>264</v>
      </c>
      <c r="AG640">
        <v>5</v>
      </c>
      <c r="AH640" t="s">
        <v>264</v>
      </c>
      <c r="AL640" t="s">
        <v>264</v>
      </c>
      <c r="AM640" s="6">
        <v>44774</v>
      </c>
      <c r="AN640" t="s">
        <v>670</v>
      </c>
      <c r="AO640" t="s">
        <v>268</v>
      </c>
      <c r="AP640">
        <v>1205</v>
      </c>
      <c r="AQ640" t="s">
        <v>269</v>
      </c>
      <c r="AR640">
        <v>283388</v>
      </c>
      <c r="AU640" t="s">
        <v>264</v>
      </c>
      <c r="AV640" t="s">
        <v>270</v>
      </c>
      <c r="AX640" t="s">
        <v>264</v>
      </c>
      <c r="AY640">
        <v>710200</v>
      </c>
      <c r="AZ640">
        <v>1205.7102</v>
      </c>
      <c r="BA640" s="28" t="s">
        <v>164</v>
      </c>
    </row>
    <row r="641" spans="1:53">
      <c r="A641" t="s">
        <v>639</v>
      </c>
      <c r="B641" t="s">
        <v>640</v>
      </c>
      <c r="C641">
        <v>14370647</v>
      </c>
      <c r="D641">
        <v>1205</v>
      </c>
      <c r="E641" s="6">
        <v>44774</v>
      </c>
      <c r="F641" t="s">
        <v>669</v>
      </c>
      <c r="G641">
        <v>7.0000000000000007E-2</v>
      </c>
      <c r="H641">
        <v>7.0000000000000007E-2</v>
      </c>
      <c r="I641" t="s">
        <v>263</v>
      </c>
      <c r="O641" t="s">
        <v>264</v>
      </c>
      <c r="Q641" t="s">
        <v>264</v>
      </c>
      <c r="R641" t="s">
        <v>524</v>
      </c>
      <c r="T641" t="s">
        <v>266</v>
      </c>
      <c r="U641" t="s">
        <v>267</v>
      </c>
      <c r="V641" t="s">
        <v>525</v>
      </c>
      <c r="W641" t="s">
        <v>526</v>
      </c>
      <c r="X641">
        <v>1925422</v>
      </c>
      <c r="Y641" s="6">
        <v>44774</v>
      </c>
      <c r="Z641" t="s">
        <v>264</v>
      </c>
      <c r="AA641">
        <v>50</v>
      </c>
      <c r="AB641" t="s">
        <v>264</v>
      </c>
      <c r="AD641" t="s">
        <v>264</v>
      </c>
      <c r="AE641" t="s">
        <v>264</v>
      </c>
      <c r="AF641" t="s">
        <v>264</v>
      </c>
      <c r="AG641">
        <v>5</v>
      </c>
      <c r="AH641" t="s">
        <v>264</v>
      </c>
      <c r="AL641" t="s">
        <v>264</v>
      </c>
      <c r="AM641" s="6">
        <v>44774</v>
      </c>
      <c r="AN641" t="s">
        <v>670</v>
      </c>
      <c r="AO641" t="s">
        <v>268</v>
      </c>
      <c r="AP641">
        <v>1205</v>
      </c>
      <c r="AQ641" t="s">
        <v>269</v>
      </c>
      <c r="AR641">
        <v>284259</v>
      </c>
      <c r="AU641" t="s">
        <v>264</v>
      </c>
      <c r="AV641" t="s">
        <v>270</v>
      </c>
      <c r="AX641" t="s">
        <v>264</v>
      </c>
      <c r="AY641">
        <v>710200</v>
      </c>
      <c r="AZ641">
        <v>1205.7102</v>
      </c>
      <c r="BA641" s="28" t="s">
        <v>164</v>
      </c>
    </row>
    <row r="642" spans="1:53">
      <c r="A642" t="s">
        <v>639</v>
      </c>
      <c r="B642" t="s">
        <v>640</v>
      </c>
      <c r="C642">
        <v>14370647</v>
      </c>
      <c r="D642">
        <v>1205</v>
      </c>
      <c r="E642" s="6">
        <v>44774</v>
      </c>
      <c r="F642" t="s">
        <v>669</v>
      </c>
      <c r="G642">
        <v>7.0000000000000007E-2</v>
      </c>
      <c r="H642">
        <v>7.0000000000000007E-2</v>
      </c>
      <c r="I642" t="s">
        <v>263</v>
      </c>
      <c r="O642" t="s">
        <v>264</v>
      </c>
      <c r="Q642" t="s">
        <v>264</v>
      </c>
      <c r="R642" t="s">
        <v>524</v>
      </c>
      <c r="T642" t="s">
        <v>266</v>
      </c>
      <c r="U642" t="s">
        <v>267</v>
      </c>
      <c r="V642" t="s">
        <v>525</v>
      </c>
      <c r="W642" t="s">
        <v>526</v>
      </c>
      <c r="X642">
        <v>1925422</v>
      </c>
      <c r="Y642" s="6">
        <v>44774</v>
      </c>
      <c r="Z642" t="s">
        <v>264</v>
      </c>
      <c r="AA642">
        <v>52</v>
      </c>
      <c r="AB642" t="s">
        <v>264</v>
      </c>
      <c r="AD642" t="s">
        <v>264</v>
      </c>
      <c r="AE642" t="s">
        <v>264</v>
      </c>
      <c r="AF642" t="s">
        <v>264</v>
      </c>
      <c r="AG642">
        <v>5</v>
      </c>
      <c r="AH642" t="s">
        <v>264</v>
      </c>
      <c r="AL642" t="s">
        <v>264</v>
      </c>
      <c r="AM642" s="6">
        <v>44774</v>
      </c>
      <c r="AN642" t="s">
        <v>670</v>
      </c>
      <c r="AO642" t="s">
        <v>268</v>
      </c>
      <c r="AP642">
        <v>1205</v>
      </c>
      <c r="AQ642" t="s">
        <v>269</v>
      </c>
      <c r="AR642">
        <v>284260</v>
      </c>
      <c r="AU642" t="s">
        <v>264</v>
      </c>
      <c r="AV642" t="s">
        <v>270</v>
      </c>
      <c r="AX642" t="s">
        <v>264</v>
      </c>
      <c r="AY642">
        <v>710200</v>
      </c>
      <c r="AZ642">
        <v>1205.7102</v>
      </c>
      <c r="BA642" s="28" t="s">
        <v>164</v>
      </c>
    </row>
    <row r="643" spans="1:53">
      <c r="A643" t="s">
        <v>639</v>
      </c>
      <c r="B643" t="s">
        <v>640</v>
      </c>
      <c r="C643">
        <v>14370647</v>
      </c>
      <c r="D643">
        <v>1205</v>
      </c>
      <c r="E643" s="6">
        <v>44774</v>
      </c>
      <c r="F643" t="s">
        <v>669</v>
      </c>
      <c r="G643">
        <v>0.02</v>
      </c>
      <c r="H643">
        <v>0.02</v>
      </c>
      <c r="I643" t="s">
        <v>263</v>
      </c>
      <c r="O643" t="s">
        <v>264</v>
      </c>
      <c r="Q643" t="s">
        <v>264</v>
      </c>
      <c r="R643" t="s">
        <v>524</v>
      </c>
      <c r="T643" t="s">
        <v>266</v>
      </c>
      <c r="U643" t="s">
        <v>267</v>
      </c>
      <c r="V643" t="s">
        <v>525</v>
      </c>
      <c r="W643" t="s">
        <v>526</v>
      </c>
      <c r="X643">
        <v>1925422</v>
      </c>
      <c r="Y643" s="6">
        <v>44774</v>
      </c>
      <c r="Z643" t="s">
        <v>264</v>
      </c>
      <c r="AA643">
        <v>54</v>
      </c>
      <c r="AB643" t="s">
        <v>264</v>
      </c>
      <c r="AD643" t="s">
        <v>264</v>
      </c>
      <c r="AE643" t="s">
        <v>264</v>
      </c>
      <c r="AF643" t="s">
        <v>264</v>
      </c>
      <c r="AG643">
        <v>2</v>
      </c>
      <c r="AH643" t="s">
        <v>264</v>
      </c>
      <c r="AL643" t="s">
        <v>264</v>
      </c>
      <c r="AM643" s="6">
        <v>44774</v>
      </c>
      <c r="AN643" t="s">
        <v>670</v>
      </c>
      <c r="AO643" t="s">
        <v>268</v>
      </c>
      <c r="AP643">
        <v>1205</v>
      </c>
      <c r="AQ643" t="s">
        <v>269</v>
      </c>
      <c r="AR643">
        <v>284008</v>
      </c>
      <c r="AU643" t="s">
        <v>264</v>
      </c>
      <c r="AV643" t="s">
        <v>270</v>
      </c>
      <c r="AX643" t="s">
        <v>264</v>
      </c>
      <c r="AY643">
        <v>710200</v>
      </c>
      <c r="AZ643">
        <v>1205.7102</v>
      </c>
      <c r="BA643" s="28" t="s">
        <v>164</v>
      </c>
    </row>
    <row r="644" spans="1:53">
      <c r="A644" t="s">
        <v>639</v>
      </c>
      <c r="B644" t="s">
        <v>640</v>
      </c>
      <c r="C644">
        <v>14370647</v>
      </c>
      <c r="D644">
        <v>1205</v>
      </c>
      <c r="E644" s="6">
        <v>44774</v>
      </c>
      <c r="F644" t="s">
        <v>669</v>
      </c>
      <c r="G644">
        <v>0.02</v>
      </c>
      <c r="H644">
        <v>0.02</v>
      </c>
      <c r="I644" t="s">
        <v>263</v>
      </c>
      <c r="O644" t="s">
        <v>264</v>
      </c>
      <c r="Q644" t="s">
        <v>264</v>
      </c>
      <c r="R644" t="s">
        <v>524</v>
      </c>
      <c r="T644" t="s">
        <v>266</v>
      </c>
      <c r="U644" t="s">
        <v>267</v>
      </c>
      <c r="V644" t="s">
        <v>525</v>
      </c>
      <c r="W644" t="s">
        <v>526</v>
      </c>
      <c r="X644">
        <v>1925422</v>
      </c>
      <c r="Y644" s="6">
        <v>44774</v>
      </c>
      <c r="Z644" t="s">
        <v>264</v>
      </c>
      <c r="AA644">
        <v>56</v>
      </c>
      <c r="AB644" t="s">
        <v>264</v>
      </c>
      <c r="AD644" t="s">
        <v>264</v>
      </c>
      <c r="AE644" t="s">
        <v>264</v>
      </c>
      <c r="AF644" t="s">
        <v>264</v>
      </c>
      <c r="AG644">
        <v>2</v>
      </c>
      <c r="AH644" t="s">
        <v>264</v>
      </c>
      <c r="AL644" t="s">
        <v>264</v>
      </c>
      <c r="AM644" s="6">
        <v>44774</v>
      </c>
      <c r="AN644" t="s">
        <v>670</v>
      </c>
      <c r="AO644" t="s">
        <v>268</v>
      </c>
      <c r="AP644">
        <v>1205</v>
      </c>
      <c r="AQ644" t="s">
        <v>269</v>
      </c>
      <c r="AR644">
        <v>284060</v>
      </c>
      <c r="AU644" t="s">
        <v>264</v>
      </c>
      <c r="AV644" t="s">
        <v>270</v>
      </c>
      <c r="AX644" t="s">
        <v>264</v>
      </c>
      <c r="AY644">
        <v>710200</v>
      </c>
      <c r="AZ644">
        <v>1205.7102</v>
      </c>
      <c r="BA644" s="28" t="s">
        <v>164</v>
      </c>
    </row>
    <row r="645" spans="1:53">
      <c r="A645" t="s">
        <v>639</v>
      </c>
      <c r="B645" t="s">
        <v>640</v>
      </c>
      <c r="C645">
        <v>14370647</v>
      </c>
      <c r="D645">
        <v>1205</v>
      </c>
      <c r="E645" s="6">
        <v>44774</v>
      </c>
      <c r="F645" t="s">
        <v>669</v>
      </c>
      <c r="G645">
        <v>0.02</v>
      </c>
      <c r="H645">
        <v>0.02</v>
      </c>
      <c r="I645" t="s">
        <v>263</v>
      </c>
      <c r="O645" t="s">
        <v>264</v>
      </c>
      <c r="Q645" t="s">
        <v>264</v>
      </c>
      <c r="R645" t="s">
        <v>524</v>
      </c>
      <c r="T645" t="s">
        <v>266</v>
      </c>
      <c r="U645" t="s">
        <v>267</v>
      </c>
      <c r="V645" t="s">
        <v>525</v>
      </c>
      <c r="W645" t="s">
        <v>526</v>
      </c>
      <c r="X645">
        <v>1925422</v>
      </c>
      <c r="Y645" s="6">
        <v>44774</v>
      </c>
      <c r="Z645" t="s">
        <v>264</v>
      </c>
      <c r="AA645">
        <v>58</v>
      </c>
      <c r="AB645" t="s">
        <v>264</v>
      </c>
      <c r="AD645" t="s">
        <v>264</v>
      </c>
      <c r="AE645" t="s">
        <v>264</v>
      </c>
      <c r="AF645" t="s">
        <v>264</v>
      </c>
      <c r="AG645">
        <v>2</v>
      </c>
      <c r="AH645" t="s">
        <v>264</v>
      </c>
      <c r="AL645" t="s">
        <v>264</v>
      </c>
      <c r="AM645" s="6">
        <v>44774</v>
      </c>
      <c r="AN645" t="s">
        <v>670</v>
      </c>
      <c r="AO645" t="s">
        <v>268</v>
      </c>
      <c r="AP645">
        <v>1205</v>
      </c>
      <c r="AQ645" t="s">
        <v>269</v>
      </c>
      <c r="AR645">
        <v>284061</v>
      </c>
      <c r="AU645" t="s">
        <v>264</v>
      </c>
      <c r="AV645" t="s">
        <v>270</v>
      </c>
      <c r="AX645" t="s">
        <v>264</v>
      </c>
      <c r="AY645">
        <v>710200</v>
      </c>
      <c r="AZ645">
        <v>1205.7102</v>
      </c>
      <c r="BA645" s="28" t="s">
        <v>164</v>
      </c>
    </row>
    <row r="646" spans="1:53">
      <c r="A646" t="s">
        <v>639</v>
      </c>
      <c r="B646" t="s">
        <v>640</v>
      </c>
      <c r="C646">
        <v>14370647</v>
      </c>
      <c r="D646">
        <v>1205</v>
      </c>
      <c r="E646" s="6">
        <v>44774</v>
      </c>
      <c r="F646" t="s">
        <v>669</v>
      </c>
      <c r="G646">
        <v>0.02</v>
      </c>
      <c r="H646">
        <v>0.02</v>
      </c>
      <c r="I646" t="s">
        <v>263</v>
      </c>
      <c r="O646" t="s">
        <v>264</v>
      </c>
      <c r="Q646" t="s">
        <v>264</v>
      </c>
      <c r="R646" t="s">
        <v>524</v>
      </c>
      <c r="T646" t="s">
        <v>266</v>
      </c>
      <c r="U646" t="s">
        <v>267</v>
      </c>
      <c r="V646" t="s">
        <v>525</v>
      </c>
      <c r="W646" t="s">
        <v>526</v>
      </c>
      <c r="X646">
        <v>1925422</v>
      </c>
      <c r="Y646" s="6">
        <v>44774</v>
      </c>
      <c r="Z646" t="s">
        <v>264</v>
      </c>
      <c r="AA646">
        <v>60</v>
      </c>
      <c r="AB646" t="s">
        <v>264</v>
      </c>
      <c r="AD646" t="s">
        <v>264</v>
      </c>
      <c r="AE646" t="s">
        <v>264</v>
      </c>
      <c r="AF646" t="s">
        <v>264</v>
      </c>
      <c r="AG646">
        <v>2</v>
      </c>
      <c r="AH646" t="s">
        <v>264</v>
      </c>
      <c r="AL646" t="s">
        <v>264</v>
      </c>
      <c r="AM646" s="6">
        <v>44774</v>
      </c>
      <c r="AN646" t="s">
        <v>670</v>
      </c>
      <c r="AO646" t="s">
        <v>268</v>
      </c>
      <c r="AP646">
        <v>1205</v>
      </c>
      <c r="AQ646" t="s">
        <v>269</v>
      </c>
      <c r="AR646">
        <v>284011</v>
      </c>
      <c r="AU646" t="s">
        <v>264</v>
      </c>
      <c r="AV646" t="s">
        <v>270</v>
      </c>
      <c r="AX646" t="s">
        <v>264</v>
      </c>
      <c r="AY646">
        <v>710200</v>
      </c>
      <c r="AZ646">
        <v>1205.7102</v>
      </c>
      <c r="BA646" s="28" t="s">
        <v>164</v>
      </c>
    </row>
    <row r="647" spans="1:53">
      <c r="A647" t="s">
        <v>639</v>
      </c>
      <c r="B647" t="s">
        <v>640</v>
      </c>
      <c r="C647">
        <v>14370647</v>
      </c>
      <c r="D647">
        <v>1205</v>
      </c>
      <c r="E647" s="6">
        <v>44774</v>
      </c>
      <c r="F647" t="s">
        <v>669</v>
      </c>
      <c r="G647">
        <v>0.02</v>
      </c>
      <c r="H647">
        <v>0.02</v>
      </c>
      <c r="I647" t="s">
        <v>263</v>
      </c>
      <c r="O647" t="s">
        <v>264</v>
      </c>
      <c r="Q647" t="s">
        <v>264</v>
      </c>
      <c r="R647" t="s">
        <v>524</v>
      </c>
      <c r="T647" t="s">
        <v>266</v>
      </c>
      <c r="U647" t="s">
        <v>267</v>
      </c>
      <c r="V647" t="s">
        <v>525</v>
      </c>
      <c r="W647" t="s">
        <v>526</v>
      </c>
      <c r="X647">
        <v>1925422</v>
      </c>
      <c r="Y647" s="6">
        <v>44774</v>
      </c>
      <c r="Z647" t="s">
        <v>264</v>
      </c>
      <c r="AA647">
        <v>62</v>
      </c>
      <c r="AB647" t="s">
        <v>264</v>
      </c>
      <c r="AD647" t="s">
        <v>264</v>
      </c>
      <c r="AE647" t="s">
        <v>264</v>
      </c>
      <c r="AF647" t="s">
        <v>264</v>
      </c>
      <c r="AG647">
        <v>2</v>
      </c>
      <c r="AH647" t="s">
        <v>264</v>
      </c>
      <c r="AL647" t="s">
        <v>264</v>
      </c>
      <c r="AM647" s="6">
        <v>44774</v>
      </c>
      <c r="AN647" t="s">
        <v>670</v>
      </c>
      <c r="AO647" t="s">
        <v>268</v>
      </c>
      <c r="AP647">
        <v>1205</v>
      </c>
      <c r="AQ647" t="s">
        <v>269</v>
      </c>
      <c r="AR647">
        <v>284009</v>
      </c>
      <c r="AU647" t="s">
        <v>264</v>
      </c>
      <c r="AV647" t="s">
        <v>270</v>
      </c>
      <c r="AX647" t="s">
        <v>264</v>
      </c>
      <c r="AY647">
        <v>710200</v>
      </c>
      <c r="AZ647">
        <v>1205.7102</v>
      </c>
      <c r="BA647" s="28" t="s">
        <v>164</v>
      </c>
    </row>
    <row r="648" spans="1:53">
      <c r="A648" t="s">
        <v>639</v>
      </c>
      <c r="B648" t="s">
        <v>640</v>
      </c>
      <c r="C648">
        <v>14370647</v>
      </c>
      <c r="D648">
        <v>1205</v>
      </c>
      <c r="E648" s="6">
        <v>44774</v>
      </c>
      <c r="F648" t="s">
        <v>669</v>
      </c>
      <c r="G648">
        <v>0.02</v>
      </c>
      <c r="H648">
        <v>0.02</v>
      </c>
      <c r="I648" t="s">
        <v>263</v>
      </c>
      <c r="O648" t="s">
        <v>264</v>
      </c>
      <c r="Q648" t="s">
        <v>264</v>
      </c>
      <c r="R648" t="s">
        <v>524</v>
      </c>
      <c r="T648" t="s">
        <v>266</v>
      </c>
      <c r="U648" t="s">
        <v>267</v>
      </c>
      <c r="V648" t="s">
        <v>525</v>
      </c>
      <c r="W648" t="s">
        <v>526</v>
      </c>
      <c r="X648">
        <v>1925422</v>
      </c>
      <c r="Y648" s="6">
        <v>44774</v>
      </c>
      <c r="Z648" t="s">
        <v>264</v>
      </c>
      <c r="AA648">
        <v>64</v>
      </c>
      <c r="AB648" t="s">
        <v>264</v>
      </c>
      <c r="AD648" t="s">
        <v>264</v>
      </c>
      <c r="AE648" t="s">
        <v>264</v>
      </c>
      <c r="AF648" t="s">
        <v>264</v>
      </c>
      <c r="AG648">
        <v>2</v>
      </c>
      <c r="AH648" t="s">
        <v>264</v>
      </c>
      <c r="AL648" t="s">
        <v>264</v>
      </c>
      <c r="AM648" s="6">
        <v>44774</v>
      </c>
      <c r="AN648" t="s">
        <v>670</v>
      </c>
      <c r="AO648" t="s">
        <v>268</v>
      </c>
      <c r="AP648">
        <v>1205</v>
      </c>
      <c r="AQ648" t="s">
        <v>269</v>
      </c>
      <c r="AR648">
        <v>284010</v>
      </c>
      <c r="AU648" t="s">
        <v>264</v>
      </c>
      <c r="AV648" t="s">
        <v>270</v>
      </c>
      <c r="AX648" t="s">
        <v>264</v>
      </c>
      <c r="AY648">
        <v>710200</v>
      </c>
      <c r="AZ648">
        <v>1205.7102</v>
      </c>
      <c r="BA648" s="28" t="s">
        <v>164</v>
      </c>
    </row>
    <row r="649" spans="1:53">
      <c r="A649" t="s">
        <v>639</v>
      </c>
      <c r="B649" t="s">
        <v>640</v>
      </c>
      <c r="C649">
        <v>14370648</v>
      </c>
      <c r="D649">
        <v>1205</v>
      </c>
      <c r="E649" s="6">
        <v>44776</v>
      </c>
      <c r="F649" t="s">
        <v>671</v>
      </c>
      <c r="G649">
        <v>10.08</v>
      </c>
      <c r="H649">
        <v>10.08</v>
      </c>
      <c r="I649" t="s">
        <v>263</v>
      </c>
      <c r="O649" t="s">
        <v>264</v>
      </c>
      <c r="Q649" t="s">
        <v>264</v>
      </c>
      <c r="R649" t="s">
        <v>524</v>
      </c>
      <c r="T649" t="s">
        <v>266</v>
      </c>
      <c r="U649" t="s">
        <v>267</v>
      </c>
      <c r="V649" t="s">
        <v>525</v>
      </c>
      <c r="W649" t="s">
        <v>526</v>
      </c>
      <c r="X649">
        <v>1926751</v>
      </c>
      <c r="Y649" s="6">
        <v>44776</v>
      </c>
      <c r="Z649" t="s">
        <v>264</v>
      </c>
      <c r="AA649">
        <v>2</v>
      </c>
      <c r="AB649" t="s">
        <v>264</v>
      </c>
      <c r="AD649" t="s">
        <v>264</v>
      </c>
      <c r="AE649" t="s">
        <v>264</v>
      </c>
      <c r="AF649" t="s">
        <v>264</v>
      </c>
      <c r="AG649">
        <v>10</v>
      </c>
      <c r="AH649" t="s">
        <v>264</v>
      </c>
      <c r="AL649" t="s">
        <v>264</v>
      </c>
      <c r="AM649" s="6">
        <v>44776</v>
      </c>
      <c r="AN649" t="s">
        <v>497</v>
      </c>
      <c r="AO649" t="s">
        <v>268</v>
      </c>
      <c r="AP649">
        <v>1205</v>
      </c>
      <c r="AQ649" t="s">
        <v>269</v>
      </c>
      <c r="AR649">
        <v>278720</v>
      </c>
      <c r="AU649" t="s">
        <v>264</v>
      </c>
      <c r="AV649" t="s">
        <v>270</v>
      </c>
      <c r="AX649" t="s">
        <v>264</v>
      </c>
      <c r="AY649">
        <v>710200</v>
      </c>
      <c r="AZ649">
        <v>1205.7102</v>
      </c>
      <c r="BA649" s="28" t="s">
        <v>164</v>
      </c>
    </row>
    <row r="650" spans="1:53">
      <c r="A650" t="s">
        <v>639</v>
      </c>
      <c r="B650" t="s">
        <v>640</v>
      </c>
      <c r="C650">
        <v>14370650</v>
      </c>
      <c r="D650">
        <v>1205</v>
      </c>
      <c r="E650" s="6">
        <v>44778</v>
      </c>
      <c r="F650" t="s">
        <v>672</v>
      </c>
      <c r="G650">
        <v>0.05</v>
      </c>
      <c r="H650">
        <v>0.05</v>
      </c>
      <c r="I650" t="s">
        <v>263</v>
      </c>
      <c r="O650" t="s">
        <v>264</v>
      </c>
      <c r="Q650" t="s">
        <v>264</v>
      </c>
      <c r="R650" t="s">
        <v>524</v>
      </c>
      <c r="T650" t="s">
        <v>266</v>
      </c>
      <c r="U650" t="s">
        <v>267</v>
      </c>
      <c r="V650" t="s">
        <v>525</v>
      </c>
      <c r="W650" t="s">
        <v>526</v>
      </c>
      <c r="X650">
        <v>1928583</v>
      </c>
      <c r="Y650" s="6">
        <v>44778</v>
      </c>
      <c r="Z650" t="s">
        <v>264</v>
      </c>
      <c r="AA650">
        <v>2</v>
      </c>
      <c r="AB650" t="s">
        <v>264</v>
      </c>
      <c r="AD650" t="s">
        <v>264</v>
      </c>
      <c r="AE650" t="s">
        <v>264</v>
      </c>
      <c r="AF650" t="s">
        <v>264</v>
      </c>
      <c r="AG650">
        <v>2</v>
      </c>
      <c r="AH650" t="s">
        <v>264</v>
      </c>
      <c r="AL650" t="s">
        <v>264</v>
      </c>
      <c r="AM650" s="6">
        <v>44778</v>
      </c>
      <c r="AN650" t="s">
        <v>673</v>
      </c>
      <c r="AO650" t="s">
        <v>268</v>
      </c>
      <c r="AP650">
        <v>1205</v>
      </c>
      <c r="AQ650" t="s">
        <v>269</v>
      </c>
      <c r="AR650">
        <v>284062</v>
      </c>
      <c r="AU650" t="s">
        <v>264</v>
      </c>
      <c r="AV650" t="s">
        <v>270</v>
      </c>
      <c r="AX650" t="s">
        <v>264</v>
      </c>
      <c r="AY650">
        <v>710200</v>
      </c>
      <c r="AZ650">
        <v>1205.7102</v>
      </c>
      <c r="BA650" s="28" t="s">
        <v>164</v>
      </c>
    </row>
    <row r="651" spans="1:53">
      <c r="A651" t="s">
        <v>639</v>
      </c>
      <c r="B651" t="s">
        <v>640</v>
      </c>
      <c r="C651">
        <v>14370650</v>
      </c>
      <c r="D651">
        <v>1205</v>
      </c>
      <c r="E651" s="6">
        <v>44778</v>
      </c>
      <c r="F651" t="s">
        <v>672</v>
      </c>
      <c r="G651">
        <v>0.05</v>
      </c>
      <c r="H651">
        <v>0.05</v>
      </c>
      <c r="I651" t="s">
        <v>263</v>
      </c>
      <c r="O651" t="s">
        <v>264</v>
      </c>
      <c r="Q651" t="s">
        <v>264</v>
      </c>
      <c r="R651" t="s">
        <v>524</v>
      </c>
      <c r="T651" t="s">
        <v>266</v>
      </c>
      <c r="U651" t="s">
        <v>267</v>
      </c>
      <c r="V651" t="s">
        <v>525</v>
      </c>
      <c r="W651" t="s">
        <v>526</v>
      </c>
      <c r="X651">
        <v>1928583</v>
      </c>
      <c r="Y651" s="6">
        <v>44778</v>
      </c>
      <c r="Z651" t="s">
        <v>264</v>
      </c>
      <c r="AA651">
        <v>4</v>
      </c>
      <c r="AB651" t="s">
        <v>264</v>
      </c>
      <c r="AD651" t="s">
        <v>264</v>
      </c>
      <c r="AE651" t="s">
        <v>264</v>
      </c>
      <c r="AF651" t="s">
        <v>264</v>
      </c>
      <c r="AG651">
        <v>2</v>
      </c>
      <c r="AH651" t="s">
        <v>264</v>
      </c>
      <c r="AL651" t="s">
        <v>264</v>
      </c>
      <c r="AM651" s="6">
        <v>44778</v>
      </c>
      <c r="AN651" t="s">
        <v>673</v>
      </c>
      <c r="AO651" t="s">
        <v>268</v>
      </c>
      <c r="AP651">
        <v>1205</v>
      </c>
      <c r="AQ651" t="s">
        <v>269</v>
      </c>
      <c r="AR651">
        <v>283318</v>
      </c>
      <c r="AU651" t="s">
        <v>264</v>
      </c>
      <c r="AV651" t="s">
        <v>270</v>
      </c>
      <c r="AX651" t="s">
        <v>264</v>
      </c>
      <c r="AY651">
        <v>710200</v>
      </c>
      <c r="AZ651">
        <v>1205.7102</v>
      </c>
      <c r="BA651" s="28" t="s">
        <v>164</v>
      </c>
    </row>
    <row r="652" spans="1:53">
      <c r="A652" t="s">
        <v>639</v>
      </c>
      <c r="B652" t="s">
        <v>640</v>
      </c>
      <c r="C652">
        <v>14370650</v>
      </c>
      <c r="D652">
        <v>1205</v>
      </c>
      <c r="E652" s="6">
        <v>44778</v>
      </c>
      <c r="F652" t="s">
        <v>672</v>
      </c>
      <c r="G652">
        <v>0.05</v>
      </c>
      <c r="H652">
        <v>0.05</v>
      </c>
      <c r="I652" t="s">
        <v>263</v>
      </c>
      <c r="O652" t="s">
        <v>264</v>
      </c>
      <c r="Q652" t="s">
        <v>264</v>
      </c>
      <c r="R652" t="s">
        <v>524</v>
      </c>
      <c r="T652" t="s">
        <v>266</v>
      </c>
      <c r="U652" t="s">
        <v>267</v>
      </c>
      <c r="V652" t="s">
        <v>525</v>
      </c>
      <c r="W652" t="s">
        <v>526</v>
      </c>
      <c r="X652">
        <v>1928583</v>
      </c>
      <c r="Y652" s="6">
        <v>44778</v>
      </c>
      <c r="Z652" t="s">
        <v>264</v>
      </c>
      <c r="AA652">
        <v>6</v>
      </c>
      <c r="AB652" t="s">
        <v>264</v>
      </c>
      <c r="AD652" t="s">
        <v>264</v>
      </c>
      <c r="AE652" t="s">
        <v>264</v>
      </c>
      <c r="AF652" t="s">
        <v>264</v>
      </c>
      <c r="AG652">
        <v>2</v>
      </c>
      <c r="AH652" t="s">
        <v>264</v>
      </c>
      <c r="AL652" t="s">
        <v>264</v>
      </c>
      <c r="AM652" s="6">
        <v>44778</v>
      </c>
      <c r="AN652" t="s">
        <v>673</v>
      </c>
      <c r="AO652" t="s">
        <v>268</v>
      </c>
      <c r="AP652">
        <v>1205</v>
      </c>
      <c r="AQ652" t="s">
        <v>269</v>
      </c>
      <c r="AR652">
        <v>283406</v>
      </c>
      <c r="AU652" t="s">
        <v>264</v>
      </c>
      <c r="AV652" t="s">
        <v>270</v>
      </c>
      <c r="AX652" t="s">
        <v>264</v>
      </c>
      <c r="AY652">
        <v>710200</v>
      </c>
      <c r="AZ652">
        <v>1205.7102</v>
      </c>
      <c r="BA652" s="28" t="s">
        <v>164</v>
      </c>
    </row>
    <row r="653" spans="1:53">
      <c r="A653" t="s">
        <v>639</v>
      </c>
      <c r="B653" t="s">
        <v>640</v>
      </c>
      <c r="C653">
        <v>14370652</v>
      </c>
      <c r="D653">
        <v>1205</v>
      </c>
      <c r="E653" s="6">
        <v>44782</v>
      </c>
      <c r="F653" t="s">
        <v>674</v>
      </c>
      <c r="G653">
        <v>16.670000000000002</v>
      </c>
      <c r="H653">
        <v>16.670000000000002</v>
      </c>
      <c r="I653" t="s">
        <v>263</v>
      </c>
      <c r="O653" t="s">
        <v>264</v>
      </c>
      <c r="Q653" t="s">
        <v>264</v>
      </c>
      <c r="R653" t="s">
        <v>524</v>
      </c>
      <c r="T653" t="s">
        <v>266</v>
      </c>
      <c r="U653" t="s">
        <v>267</v>
      </c>
      <c r="V653" t="s">
        <v>525</v>
      </c>
      <c r="W653" t="s">
        <v>526</v>
      </c>
      <c r="X653">
        <v>1929072</v>
      </c>
      <c r="Y653" s="6">
        <v>44782</v>
      </c>
      <c r="Z653" t="s">
        <v>264</v>
      </c>
      <c r="AA653">
        <v>2</v>
      </c>
      <c r="AB653" t="s">
        <v>264</v>
      </c>
      <c r="AD653" t="s">
        <v>264</v>
      </c>
      <c r="AE653" t="s">
        <v>264</v>
      </c>
      <c r="AF653" t="s">
        <v>264</v>
      </c>
      <c r="AG653">
        <v>1.74</v>
      </c>
      <c r="AH653" t="s">
        <v>264</v>
      </c>
      <c r="AL653" t="s">
        <v>264</v>
      </c>
      <c r="AM653" s="6">
        <v>44782</v>
      </c>
      <c r="AN653" t="s">
        <v>497</v>
      </c>
      <c r="AO653" t="s">
        <v>268</v>
      </c>
      <c r="AP653">
        <v>1205</v>
      </c>
      <c r="AQ653" t="s">
        <v>269</v>
      </c>
      <c r="AR653">
        <v>283170</v>
      </c>
      <c r="AU653" t="s">
        <v>264</v>
      </c>
      <c r="AV653" t="s">
        <v>270</v>
      </c>
      <c r="AX653" t="s">
        <v>264</v>
      </c>
      <c r="AY653">
        <v>710200</v>
      </c>
      <c r="AZ653">
        <v>1205.7102</v>
      </c>
      <c r="BA653" s="28" t="s">
        <v>164</v>
      </c>
    </row>
    <row r="654" spans="1:53">
      <c r="A654" t="s">
        <v>639</v>
      </c>
      <c r="B654" t="s">
        <v>640</v>
      </c>
      <c r="C654">
        <v>14370652</v>
      </c>
      <c r="D654">
        <v>1205</v>
      </c>
      <c r="E654" s="6">
        <v>44782</v>
      </c>
      <c r="F654" t="s">
        <v>674</v>
      </c>
      <c r="G654">
        <v>16.670000000000002</v>
      </c>
      <c r="H654">
        <v>16.670000000000002</v>
      </c>
      <c r="I654" t="s">
        <v>263</v>
      </c>
      <c r="O654" t="s">
        <v>264</v>
      </c>
      <c r="Q654" t="s">
        <v>264</v>
      </c>
      <c r="R654" t="s">
        <v>524</v>
      </c>
      <c r="T654" t="s">
        <v>266</v>
      </c>
      <c r="U654" t="s">
        <v>267</v>
      </c>
      <c r="V654" t="s">
        <v>525</v>
      </c>
      <c r="W654" t="s">
        <v>526</v>
      </c>
      <c r="X654">
        <v>1929072</v>
      </c>
      <c r="Y654" s="6">
        <v>44782</v>
      </c>
      <c r="Z654" t="s">
        <v>264</v>
      </c>
      <c r="AA654">
        <v>4</v>
      </c>
      <c r="AB654" t="s">
        <v>264</v>
      </c>
      <c r="AD654" t="s">
        <v>264</v>
      </c>
      <c r="AE654" t="s">
        <v>264</v>
      </c>
      <c r="AF654" t="s">
        <v>264</v>
      </c>
      <c r="AG654">
        <v>1.74</v>
      </c>
      <c r="AH654" t="s">
        <v>264</v>
      </c>
      <c r="AL654" t="s">
        <v>264</v>
      </c>
      <c r="AM654" s="6">
        <v>44782</v>
      </c>
      <c r="AN654" t="s">
        <v>497</v>
      </c>
      <c r="AO654" t="s">
        <v>268</v>
      </c>
      <c r="AP654">
        <v>1205</v>
      </c>
      <c r="AQ654" t="s">
        <v>269</v>
      </c>
      <c r="AR654">
        <v>283168</v>
      </c>
      <c r="AU654" t="s">
        <v>264</v>
      </c>
      <c r="AV654" t="s">
        <v>270</v>
      </c>
      <c r="AX654" t="s">
        <v>264</v>
      </c>
      <c r="AY654">
        <v>710200</v>
      </c>
      <c r="AZ654">
        <v>1205.7102</v>
      </c>
      <c r="BA654" s="28" t="s">
        <v>164</v>
      </c>
    </row>
    <row r="655" spans="1:53">
      <c r="A655" t="s">
        <v>639</v>
      </c>
      <c r="B655" t="s">
        <v>640</v>
      </c>
      <c r="C655">
        <v>14370652</v>
      </c>
      <c r="D655">
        <v>1205</v>
      </c>
      <c r="E655" s="6">
        <v>44782</v>
      </c>
      <c r="F655" t="s">
        <v>674</v>
      </c>
      <c r="G655">
        <v>16.670000000000002</v>
      </c>
      <c r="H655">
        <v>16.670000000000002</v>
      </c>
      <c r="I655" t="s">
        <v>263</v>
      </c>
      <c r="O655" t="s">
        <v>264</v>
      </c>
      <c r="Q655" t="s">
        <v>264</v>
      </c>
      <c r="R655" t="s">
        <v>524</v>
      </c>
      <c r="T655" t="s">
        <v>266</v>
      </c>
      <c r="U655" t="s">
        <v>267</v>
      </c>
      <c r="V655" t="s">
        <v>525</v>
      </c>
      <c r="W655" t="s">
        <v>526</v>
      </c>
      <c r="X655">
        <v>1929072</v>
      </c>
      <c r="Y655" s="6">
        <v>44782</v>
      </c>
      <c r="Z655" t="s">
        <v>264</v>
      </c>
      <c r="AA655">
        <v>6</v>
      </c>
      <c r="AB655" t="s">
        <v>264</v>
      </c>
      <c r="AD655" t="s">
        <v>264</v>
      </c>
      <c r="AE655" t="s">
        <v>264</v>
      </c>
      <c r="AF655" t="s">
        <v>264</v>
      </c>
      <c r="AG655">
        <v>1.74</v>
      </c>
      <c r="AH655" t="s">
        <v>264</v>
      </c>
      <c r="AL655" t="s">
        <v>264</v>
      </c>
      <c r="AM655" s="6">
        <v>44782</v>
      </c>
      <c r="AN655" t="s">
        <v>497</v>
      </c>
      <c r="AO655" t="s">
        <v>268</v>
      </c>
      <c r="AP655">
        <v>1205</v>
      </c>
      <c r="AQ655" t="s">
        <v>269</v>
      </c>
      <c r="AR655">
        <v>283171</v>
      </c>
      <c r="AU655" t="s">
        <v>264</v>
      </c>
      <c r="AV655" t="s">
        <v>270</v>
      </c>
      <c r="AX655" t="s">
        <v>264</v>
      </c>
      <c r="AY655">
        <v>710200</v>
      </c>
      <c r="AZ655">
        <v>1205.7102</v>
      </c>
      <c r="BA655" s="28" t="s">
        <v>164</v>
      </c>
    </row>
    <row r="656" spans="1:53">
      <c r="A656" t="s">
        <v>639</v>
      </c>
      <c r="B656" t="s">
        <v>640</v>
      </c>
      <c r="C656">
        <v>14370652</v>
      </c>
      <c r="D656">
        <v>1205</v>
      </c>
      <c r="E656" s="6">
        <v>44782</v>
      </c>
      <c r="F656" t="s">
        <v>674</v>
      </c>
      <c r="G656">
        <v>16.670000000000002</v>
      </c>
      <c r="H656">
        <v>16.670000000000002</v>
      </c>
      <c r="I656" t="s">
        <v>263</v>
      </c>
      <c r="O656" t="s">
        <v>264</v>
      </c>
      <c r="Q656" t="s">
        <v>264</v>
      </c>
      <c r="R656" t="s">
        <v>524</v>
      </c>
      <c r="T656" t="s">
        <v>266</v>
      </c>
      <c r="U656" t="s">
        <v>267</v>
      </c>
      <c r="V656" t="s">
        <v>525</v>
      </c>
      <c r="W656" t="s">
        <v>526</v>
      </c>
      <c r="X656">
        <v>1929072</v>
      </c>
      <c r="Y656" s="6">
        <v>44782</v>
      </c>
      <c r="Z656" t="s">
        <v>264</v>
      </c>
      <c r="AA656">
        <v>8</v>
      </c>
      <c r="AB656" t="s">
        <v>264</v>
      </c>
      <c r="AD656" t="s">
        <v>264</v>
      </c>
      <c r="AE656" t="s">
        <v>264</v>
      </c>
      <c r="AF656" t="s">
        <v>264</v>
      </c>
      <c r="AG656">
        <v>1.74</v>
      </c>
      <c r="AH656" t="s">
        <v>264</v>
      </c>
      <c r="AL656" t="s">
        <v>264</v>
      </c>
      <c r="AM656" s="6">
        <v>44782</v>
      </c>
      <c r="AN656" t="s">
        <v>497</v>
      </c>
      <c r="AO656" t="s">
        <v>268</v>
      </c>
      <c r="AP656">
        <v>1205</v>
      </c>
      <c r="AQ656" t="s">
        <v>269</v>
      </c>
      <c r="AR656">
        <v>283169</v>
      </c>
      <c r="AU656" t="s">
        <v>264</v>
      </c>
      <c r="AV656" t="s">
        <v>270</v>
      </c>
      <c r="AX656" t="s">
        <v>264</v>
      </c>
      <c r="AY656">
        <v>710200</v>
      </c>
      <c r="AZ656">
        <v>1205.7102</v>
      </c>
      <c r="BA656" s="28" t="s">
        <v>164</v>
      </c>
    </row>
    <row r="657" spans="1:53">
      <c r="A657" t="s">
        <v>639</v>
      </c>
      <c r="B657" t="s">
        <v>640</v>
      </c>
      <c r="C657">
        <v>14370652</v>
      </c>
      <c r="D657">
        <v>1205</v>
      </c>
      <c r="E657" s="6">
        <v>44782</v>
      </c>
      <c r="F657" t="s">
        <v>674</v>
      </c>
      <c r="G657">
        <v>0.76</v>
      </c>
      <c r="H657">
        <v>0.76</v>
      </c>
      <c r="I657" t="s">
        <v>263</v>
      </c>
      <c r="O657" t="s">
        <v>264</v>
      </c>
      <c r="Q657" t="s">
        <v>264</v>
      </c>
      <c r="R657" t="s">
        <v>524</v>
      </c>
      <c r="T657" t="s">
        <v>266</v>
      </c>
      <c r="U657" t="s">
        <v>267</v>
      </c>
      <c r="V657" t="s">
        <v>525</v>
      </c>
      <c r="W657" t="s">
        <v>526</v>
      </c>
      <c r="X657">
        <v>1929072</v>
      </c>
      <c r="Y657" s="6">
        <v>44782</v>
      </c>
      <c r="Z657" t="s">
        <v>264</v>
      </c>
      <c r="AA657">
        <v>10</v>
      </c>
      <c r="AB657" t="s">
        <v>264</v>
      </c>
      <c r="AD657" t="s">
        <v>264</v>
      </c>
      <c r="AE657" t="s">
        <v>264</v>
      </c>
      <c r="AF657" t="s">
        <v>264</v>
      </c>
      <c r="AG657">
        <v>7.0000000000000007E-2</v>
      </c>
      <c r="AH657" t="s">
        <v>264</v>
      </c>
      <c r="AL657" t="s">
        <v>264</v>
      </c>
      <c r="AM657" s="6">
        <v>44782</v>
      </c>
      <c r="AN657" t="s">
        <v>497</v>
      </c>
      <c r="AO657" t="s">
        <v>268</v>
      </c>
      <c r="AP657">
        <v>1205</v>
      </c>
      <c r="AQ657" t="s">
        <v>269</v>
      </c>
      <c r="AR657">
        <v>283503</v>
      </c>
      <c r="AU657" t="s">
        <v>264</v>
      </c>
      <c r="AV657" t="s">
        <v>270</v>
      </c>
      <c r="AX657" t="s">
        <v>264</v>
      </c>
      <c r="AY657">
        <v>710200</v>
      </c>
      <c r="AZ657">
        <v>1205.7102</v>
      </c>
      <c r="BA657" s="28" t="s">
        <v>164</v>
      </c>
    </row>
    <row r="658" spans="1:53">
      <c r="A658" t="s">
        <v>639</v>
      </c>
      <c r="B658" t="s">
        <v>640</v>
      </c>
      <c r="C658">
        <v>14370652</v>
      </c>
      <c r="D658">
        <v>1205</v>
      </c>
      <c r="E658" s="6">
        <v>44782</v>
      </c>
      <c r="F658" t="s">
        <v>674</v>
      </c>
      <c r="G658">
        <v>0.76</v>
      </c>
      <c r="H658">
        <v>0.76</v>
      </c>
      <c r="I658" t="s">
        <v>263</v>
      </c>
      <c r="O658" t="s">
        <v>264</v>
      </c>
      <c r="Q658" t="s">
        <v>264</v>
      </c>
      <c r="R658" t="s">
        <v>524</v>
      </c>
      <c r="T658" t="s">
        <v>266</v>
      </c>
      <c r="U658" t="s">
        <v>267</v>
      </c>
      <c r="V658" t="s">
        <v>525</v>
      </c>
      <c r="W658" t="s">
        <v>526</v>
      </c>
      <c r="X658">
        <v>1929072</v>
      </c>
      <c r="Y658" s="6">
        <v>44782</v>
      </c>
      <c r="Z658" t="s">
        <v>264</v>
      </c>
      <c r="AA658">
        <v>12</v>
      </c>
      <c r="AB658" t="s">
        <v>264</v>
      </c>
      <c r="AD658" t="s">
        <v>264</v>
      </c>
      <c r="AE658" t="s">
        <v>264</v>
      </c>
      <c r="AF658" t="s">
        <v>264</v>
      </c>
      <c r="AG658">
        <v>7.0000000000000007E-2</v>
      </c>
      <c r="AH658" t="s">
        <v>264</v>
      </c>
      <c r="AL658" t="s">
        <v>264</v>
      </c>
      <c r="AM658" s="6">
        <v>44782</v>
      </c>
      <c r="AN658" t="s">
        <v>497</v>
      </c>
      <c r="AO658" t="s">
        <v>268</v>
      </c>
      <c r="AP658">
        <v>1205</v>
      </c>
      <c r="AQ658" t="s">
        <v>269</v>
      </c>
      <c r="AR658">
        <v>283269</v>
      </c>
      <c r="AU658" t="s">
        <v>264</v>
      </c>
      <c r="AV658" t="s">
        <v>270</v>
      </c>
      <c r="AX658" t="s">
        <v>264</v>
      </c>
      <c r="AY658">
        <v>710200</v>
      </c>
      <c r="AZ658">
        <v>1205.7102</v>
      </c>
      <c r="BA658" s="28" t="s">
        <v>164</v>
      </c>
    </row>
    <row r="659" spans="1:53">
      <c r="A659" t="s">
        <v>639</v>
      </c>
      <c r="B659" t="s">
        <v>640</v>
      </c>
      <c r="C659">
        <v>14370652</v>
      </c>
      <c r="D659">
        <v>1205</v>
      </c>
      <c r="E659" s="6">
        <v>44782</v>
      </c>
      <c r="F659" t="s">
        <v>674</v>
      </c>
      <c r="G659">
        <v>0.76</v>
      </c>
      <c r="H659">
        <v>0.76</v>
      </c>
      <c r="I659" t="s">
        <v>263</v>
      </c>
      <c r="O659" t="s">
        <v>264</v>
      </c>
      <c r="Q659" t="s">
        <v>264</v>
      </c>
      <c r="R659" t="s">
        <v>524</v>
      </c>
      <c r="T659" t="s">
        <v>266</v>
      </c>
      <c r="U659" t="s">
        <v>267</v>
      </c>
      <c r="V659" t="s">
        <v>525</v>
      </c>
      <c r="W659" t="s">
        <v>526</v>
      </c>
      <c r="X659">
        <v>1929072</v>
      </c>
      <c r="Y659" s="6">
        <v>44782</v>
      </c>
      <c r="Z659" t="s">
        <v>264</v>
      </c>
      <c r="AA659">
        <v>14</v>
      </c>
      <c r="AB659" t="s">
        <v>264</v>
      </c>
      <c r="AD659" t="s">
        <v>264</v>
      </c>
      <c r="AE659" t="s">
        <v>264</v>
      </c>
      <c r="AF659" t="s">
        <v>264</v>
      </c>
      <c r="AG659">
        <v>7.0000000000000007E-2</v>
      </c>
      <c r="AH659" t="s">
        <v>264</v>
      </c>
      <c r="AL659" t="s">
        <v>264</v>
      </c>
      <c r="AM659" s="6">
        <v>44782</v>
      </c>
      <c r="AN659" t="s">
        <v>497</v>
      </c>
      <c r="AO659" t="s">
        <v>268</v>
      </c>
      <c r="AP659">
        <v>1205</v>
      </c>
      <c r="AQ659" t="s">
        <v>269</v>
      </c>
      <c r="AR659">
        <v>283272</v>
      </c>
      <c r="AU659" t="s">
        <v>264</v>
      </c>
      <c r="AV659" t="s">
        <v>270</v>
      </c>
      <c r="AX659" t="s">
        <v>264</v>
      </c>
      <c r="AY659">
        <v>710200</v>
      </c>
      <c r="AZ659">
        <v>1205.7102</v>
      </c>
      <c r="BA659" s="28" t="s">
        <v>164</v>
      </c>
    </row>
    <row r="660" spans="1:53">
      <c r="A660" t="s">
        <v>639</v>
      </c>
      <c r="B660" t="s">
        <v>640</v>
      </c>
      <c r="C660">
        <v>14370652</v>
      </c>
      <c r="D660">
        <v>1205</v>
      </c>
      <c r="E660" s="6">
        <v>44782</v>
      </c>
      <c r="F660" t="s">
        <v>674</v>
      </c>
      <c r="G660">
        <v>0.76</v>
      </c>
      <c r="H660">
        <v>0.76</v>
      </c>
      <c r="I660" t="s">
        <v>263</v>
      </c>
      <c r="O660" t="s">
        <v>264</v>
      </c>
      <c r="Q660" t="s">
        <v>264</v>
      </c>
      <c r="R660" t="s">
        <v>524</v>
      </c>
      <c r="T660" t="s">
        <v>266</v>
      </c>
      <c r="U660" t="s">
        <v>267</v>
      </c>
      <c r="V660" t="s">
        <v>525</v>
      </c>
      <c r="W660" t="s">
        <v>526</v>
      </c>
      <c r="X660">
        <v>1929072</v>
      </c>
      <c r="Y660" s="6">
        <v>44782</v>
      </c>
      <c r="Z660" t="s">
        <v>264</v>
      </c>
      <c r="AA660">
        <v>16</v>
      </c>
      <c r="AB660" t="s">
        <v>264</v>
      </c>
      <c r="AD660" t="s">
        <v>264</v>
      </c>
      <c r="AE660" t="s">
        <v>264</v>
      </c>
      <c r="AF660" t="s">
        <v>264</v>
      </c>
      <c r="AG660">
        <v>7.0000000000000007E-2</v>
      </c>
      <c r="AH660" t="s">
        <v>264</v>
      </c>
      <c r="AL660" t="s">
        <v>264</v>
      </c>
      <c r="AM660" s="6">
        <v>44782</v>
      </c>
      <c r="AN660" t="s">
        <v>497</v>
      </c>
      <c r="AO660" t="s">
        <v>268</v>
      </c>
      <c r="AP660">
        <v>1205</v>
      </c>
      <c r="AQ660" t="s">
        <v>269</v>
      </c>
      <c r="AR660">
        <v>283506</v>
      </c>
      <c r="AU660" t="s">
        <v>264</v>
      </c>
      <c r="AV660" t="s">
        <v>270</v>
      </c>
      <c r="AX660" t="s">
        <v>264</v>
      </c>
      <c r="AY660">
        <v>710200</v>
      </c>
      <c r="AZ660">
        <v>1205.7102</v>
      </c>
      <c r="BA660" s="28" t="s">
        <v>164</v>
      </c>
    </row>
    <row r="661" spans="1:53">
      <c r="A661" t="s">
        <v>639</v>
      </c>
      <c r="B661" t="s">
        <v>640</v>
      </c>
      <c r="C661">
        <v>14370653</v>
      </c>
      <c r="D661">
        <v>1205</v>
      </c>
      <c r="E661" s="6">
        <v>44782</v>
      </c>
      <c r="F661" t="s">
        <v>675</v>
      </c>
      <c r="G661">
        <v>0.17</v>
      </c>
      <c r="H661">
        <v>0.17</v>
      </c>
      <c r="I661" t="s">
        <v>263</v>
      </c>
      <c r="O661" t="s">
        <v>264</v>
      </c>
      <c r="Q661" t="s">
        <v>264</v>
      </c>
      <c r="R661" t="s">
        <v>524</v>
      </c>
      <c r="T661" t="s">
        <v>266</v>
      </c>
      <c r="U661" t="s">
        <v>267</v>
      </c>
      <c r="V661" t="s">
        <v>525</v>
      </c>
      <c r="W661" t="s">
        <v>526</v>
      </c>
      <c r="X661">
        <v>1929249</v>
      </c>
      <c r="Y661" s="6">
        <v>44782</v>
      </c>
      <c r="Z661" t="s">
        <v>264</v>
      </c>
      <c r="AA661">
        <v>2</v>
      </c>
      <c r="AB661" t="s">
        <v>264</v>
      </c>
      <c r="AD661" t="s">
        <v>264</v>
      </c>
      <c r="AE661" t="s">
        <v>264</v>
      </c>
      <c r="AF661" t="s">
        <v>264</v>
      </c>
      <c r="AG661">
        <v>45</v>
      </c>
      <c r="AH661" t="s">
        <v>264</v>
      </c>
      <c r="AL661" t="s">
        <v>264</v>
      </c>
      <c r="AM661" s="6">
        <v>44782</v>
      </c>
      <c r="AN661" t="s">
        <v>673</v>
      </c>
      <c r="AO661" t="s">
        <v>268</v>
      </c>
      <c r="AP661">
        <v>1205</v>
      </c>
      <c r="AQ661" t="s">
        <v>269</v>
      </c>
      <c r="AR661">
        <v>283409</v>
      </c>
      <c r="AU661" t="s">
        <v>264</v>
      </c>
      <c r="AV661" t="s">
        <v>270</v>
      </c>
      <c r="AX661" t="s">
        <v>264</v>
      </c>
      <c r="AY661">
        <v>710200</v>
      </c>
      <c r="AZ661">
        <v>1205.7102</v>
      </c>
      <c r="BA661" s="28" t="s">
        <v>164</v>
      </c>
    </row>
    <row r="662" spans="1:53">
      <c r="A662" t="s">
        <v>639</v>
      </c>
      <c r="B662" t="s">
        <v>640</v>
      </c>
      <c r="C662">
        <v>14370653</v>
      </c>
      <c r="D662">
        <v>1205</v>
      </c>
      <c r="E662" s="6">
        <v>44782</v>
      </c>
      <c r="F662" t="s">
        <v>675</v>
      </c>
      <c r="G662">
        <v>0.35</v>
      </c>
      <c r="H662">
        <v>0.35</v>
      </c>
      <c r="I662" t="s">
        <v>263</v>
      </c>
      <c r="O662" t="s">
        <v>264</v>
      </c>
      <c r="Q662" t="s">
        <v>264</v>
      </c>
      <c r="R662" t="s">
        <v>524</v>
      </c>
      <c r="T662" t="s">
        <v>266</v>
      </c>
      <c r="U662" t="s">
        <v>267</v>
      </c>
      <c r="V662" t="s">
        <v>525</v>
      </c>
      <c r="W662" t="s">
        <v>526</v>
      </c>
      <c r="X662">
        <v>1929249</v>
      </c>
      <c r="Y662" s="6">
        <v>44782</v>
      </c>
      <c r="Z662" t="s">
        <v>264</v>
      </c>
      <c r="AA662">
        <v>4</v>
      </c>
      <c r="AB662" t="s">
        <v>264</v>
      </c>
      <c r="AD662" t="s">
        <v>264</v>
      </c>
      <c r="AE662" t="s">
        <v>264</v>
      </c>
      <c r="AF662" t="s">
        <v>264</v>
      </c>
      <c r="AG662">
        <v>15</v>
      </c>
      <c r="AH662" t="s">
        <v>264</v>
      </c>
      <c r="AL662" t="s">
        <v>264</v>
      </c>
      <c r="AM662" s="6">
        <v>44782</v>
      </c>
      <c r="AN662" t="s">
        <v>673</v>
      </c>
      <c r="AO662" t="s">
        <v>268</v>
      </c>
      <c r="AP662">
        <v>1205</v>
      </c>
      <c r="AQ662" t="s">
        <v>269</v>
      </c>
      <c r="AR662">
        <v>283318</v>
      </c>
      <c r="AU662" t="s">
        <v>264</v>
      </c>
      <c r="AV662" t="s">
        <v>270</v>
      </c>
      <c r="AX662" t="s">
        <v>264</v>
      </c>
      <c r="AY662">
        <v>710200</v>
      </c>
      <c r="AZ662">
        <v>1205.7102</v>
      </c>
      <c r="BA662" s="28" t="s">
        <v>164</v>
      </c>
    </row>
    <row r="663" spans="1:53">
      <c r="A663" t="s">
        <v>639</v>
      </c>
      <c r="B663" t="s">
        <v>640</v>
      </c>
      <c r="C663">
        <v>14370653</v>
      </c>
      <c r="D663">
        <v>1205</v>
      </c>
      <c r="E663" s="6">
        <v>44782</v>
      </c>
      <c r="F663" t="s">
        <v>675</v>
      </c>
      <c r="G663">
        <v>0.24</v>
      </c>
      <c r="H663">
        <v>0.24</v>
      </c>
      <c r="I663" t="s">
        <v>263</v>
      </c>
      <c r="O663" t="s">
        <v>264</v>
      </c>
      <c r="Q663" t="s">
        <v>264</v>
      </c>
      <c r="R663" t="s">
        <v>524</v>
      </c>
      <c r="T663" t="s">
        <v>266</v>
      </c>
      <c r="U663" t="s">
        <v>267</v>
      </c>
      <c r="V663" t="s">
        <v>525</v>
      </c>
      <c r="W663" t="s">
        <v>526</v>
      </c>
      <c r="X663">
        <v>1929249</v>
      </c>
      <c r="Y663" s="6">
        <v>44782</v>
      </c>
      <c r="Z663" t="s">
        <v>264</v>
      </c>
      <c r="AA663">
        <v>6</v>
      </c>
      <c r="AB663" t="s">
        <v>264</v>
      </c>
      <c r="AD663" t="s">
        <v>264</v>
      </c>
      <c r="AE663" t="s">
        <v>264</v>
      </c>
      <c r="AF663" t="s">
        <v>264</v>
      </c>
      <c r="AG663">
        <v>10</v>
      </c>
      <c r="AH663" t="s">
        <v>264</v>
      </c>
      <c r="AL663" t="s">
        <v>264</v>
      </c>
      <c r="AM663" s="6">
        <v>44782</v>
      </c>
      <c r="AN663" t="s">
        <v>673</v>
      </c>
      <c r="AO663" t="s">
        <v>268</v>
      </c>
      <c r="AP663">
        <v>1205</v>
      </c>
      <c r="AQ663" t="s">
        <v>269</v>
      </c>
      <c r="AR663">
        <v>284062</v>
      </c>
      <c r="AU663" t="s">
        <v>264</v>
      </c>
      <c r="AV663" t="s">
        <v>270</v>
      </c>
      <c r="AX663" t="s">
        <v>264</v>
      </c>
      <c r="AY663">
        <v>710200</v>
      </c>
      <c r="AZ663">
        <v>1205.7102</v>
      </c>
      <c r="BA663" s="28" t="s">
        <v>164</v>
      </c>
    </row>
    <row r="664" spans="1:53">
      <c r="A664" t="s">
        <v>639</v>
      </c>
      <c r="B664" t="s">
        <v>640</v>
      </c>
      <c r="C664">
        <v>14370653</v>
      </c>
      <c r="D664">
        <v>1205</v>
      </c>
      <c r="E664" s="6">
        <v>44782</v>
      </c>
      <c r="F664" t="s">
        <v>675</v>
      </c>
      <c r="G664">
        <v>0.24</v>
      </c>
      <c r="H664">
        <v>0.24</v>
      </c>
      <c r="I664" t="s">
        <v>263</v>
      </c>
      <c r="O664" t="s">
        <v>264</v>
      </c>
      <c r="Q664" t="s">
        <v>264</v>
      </c>
      <c r="R664" t="s">
        <v>524</v>
      </c>
      <c r="T664" t="s">
        <v>266</v>
      </c>
      <c r="U664" t="s">
        <v>267</v>
      </c>
      <c r="V664" t="s">
        <v>525</v>
      </c>
      <c r="W664" t="s">
        <v>526</v>
      </c>
      <c r="X664">
        <v>1929249</v>
      </c>
      <c r="Y664" s="6">
        <v>44782</v>
      </c>
      <c r="Z664" t="s">
        <v>264</v>
      </c>
      <c r="AA664">
        <v>8</v>
      </c>
      <c r="AB664" t="s">
        <v>264</v>
      </c>
      <c r="AD664" t="s">
        <v>264</v>
      </c>
      <c r="AE664" t="s">
        <v>264</v>
      </c>
      <c r="AF664" t="s">
        <v>264</v>
      </c>
      <c r="AG664">
        <v>10</v>
      </c>
      <c r="AH664" t="s">
        <v>264</v>
      </c>
      <c r="AL664" t="s">
        <v>264</v>
      </c>
      <c r="AM664" s="6">
        <v>44782</v>
      </c>
      <c r="AN664" t="s">
        <v>673</v>
      </c>
      <c r="AO664" t="s">
        <v>268</v>
      </c>
      <c r="AP664">
        <v>1205</v>
      </c>
      <c r="AQ664" t="s">
        <v>269</v>
      </c>
      <c r="AR664">
        <v>283406</v>
      </c>
      <c r="AU664" t="s">
        <v>264</v>
      </c>
      <c r="AV664" t="s">
        <v>270</v>
      </c>
      <c r="AX664" t="s">
        <v>264</v>
      </c>
      <c r="AY664">
        <v>710200</v>
      </c>
      <c r="AZ664">
        <v>1205.7102</v>
      </c>
      <c r="BA664" s="28" t="s">
        <v>164</v>
      </c>
    </row>
    <row r="665" spans="1:53">
      <c r="A665" t="s">
        <v>639</v>
      </c>
      <c r="B665" t="s">
        <v>640</v>
      </c>
      <c r="C665">
        <v>14370653</v>
      </c>
      <c r="D665">
        <v>1205</v>
      </c>
      <c r="E665" s="6">
        <v>44782</v>
      </c>
      <c r="F665" t="s">
        <v>675</v>
      </c>
      <c r="G665">
        <v>0.85</v>
      </c>
      <c r="H665">
        <v>0.85</v>
      </c>
      <c r="I665" t="s">
        <v>263</v>
      </c>
      <c r="O665" t="s">
        <v>264</v>
      </c>
      <c r="Q665" t="s">
        <v>264</v>
      </c>
      <c r="R665" t="s">
        <v>524</v>
      </c>
      <c r="T665" t="s">
        <v>266</v>
      </c>
      <c r="U665" t="s">
        <v>267</v>
      </c>
      <c r="V665" t="s">
        <v>525</v>
      </c>
      <c r="W665" t="s">
        <v>526</v>
      </c>
      <c r="X665">
        <v>1929249</v>
      </c>
      <c r="Y665" s="6">
        <v>44782</v>
      </c>
      <c r="Z665" t="s">
        <v>264</v>
      </c>
      <c r="AA665">
        <v>10</v>
      </c>
      <c r="AB665" t="s">
        <v>264</v>
      </c>
      <c r="AD665" t="s">
        <v>264</v>
      </c>
      <c r="AE665" t="s">
        <v>264</v>
      </c>
      <c r="AF665" t="s">
        <v>264</v>
      </c>
      <c r="AG665">
        <v>45</v>
      </c>
      <c r="AH665" t="s">
        <v>264</v>
      </c>
      <c r="AL665" t="s">
        <v>264</v>
      </c>
      <c r="AM665" s="6">
        <v>44782</v>
      </c>
      <c r="AN665" t="s">
        <v>673</v>
      </c>
      <c r="AO665" t="s">
        <v>268</v>
      </c>
      <c r="AP665">
        <v>1205</v>
      </c>
      <c r="AQ665" t="s">
        <v>269</v>
      </c>
      <c r="AR665">
        <v>283320</v>
      </c>
      <c r="AU665" t="s">
        <v>264</v>
      </c>
      <c r="AV665" t="s">
        <v>270</v>
      </c>
      <c r="AX665" t="s">
        <v>264</v>
      </c>
      <c r="AY665">
        <v>710200</v>
      </c>
      <c r="AZ665">
        <v>1205.7102</v>
      </c>
      <c r="BA665" s="28" t="s">
        <v>164</v>
      </c>
    </row>
    <row r="666" spans="1:53">
      <c r="A666" t="s">
        <v>639</v>
      </c>
      <c r="B666" t="s">
        <v>640</v>
      </c>
      <c r="C666">
        <v>14370654</v>
      </c>
      <c r="D666">
        <v>1205</v>
      </c>
      <c r="E666" s="6">
        <v>44783</v>
      </c>
      <c r="F666" t="s">
        <v>676</v>
      </c>
      <c r="G666">
        <v>8.65</v>
      </c>
      <c r="H666">
        <v>8.65</v>
      </c>
      <c r="I666" t="s">
        <v>263</v>
      </c>
      <c r="O666" t="s">
        <v>264</v>
      </c>
      <c r="Q666" t="s">
        <v>264</v>
      </c>
      <c r="R666" t="s">
        <v>524</v>
      </c>
      <c r="T666" t="s">
        <v>266</v>
      </c>
      <c r="U666" t="s">
        <v>267</v>
      </c>
      <c r="V666" t="s">
        <v>525</v>
      </c>
      <c r="W666" t="s">
        <v>526</v>
      </c>
      <c r="X666">
        <v>1930212</v>
      </c>
      <c r="Y666" s="6">
        <v>44783</v>
      </c>
      <c r="Z666" t="s">
        <v>264</v>
      </c>
      <c r="AA666">
        <v>2</v>
      </c>
      <c r="AB666" t="s">
        <v>264</v>
      </c>
      <c r="AD666" t="s">
        <v>264</v>
      </c>
      <c r="AE666" t="s">
        <v>264</v>
      </c>
      <c r="AF666" t="s">
        <v>264</v>
      </c>
      <c r="AG666">
        <v>1</v>
      </c>
      <c r="AH666" t="s">
        <v>264</v>
      </c>
      <c r="AL666" t="s">
        <v>264</v>
      </c>
      <c r="AM666" s="6">
        <v>44783</v>
      </c>
      <c r="AN666" t="s">
        <v>497</v>
      </c>
      <c r="AO666" t="s">
        <v>268</v>
      </c>
      <c r="AP666">
        <v>1205</v>
      </c>
      <c r="AQ666" t="s">
        <v>269</v>
      </c>
      <c r="AR666">
        <v>275740</v>
      </c>
      <c r="AU666" t="s">
        <v>264</v>
      </c>
      <c r="AV666" t="s">
        <v>270</v>
      </c>
      <c r="AX666" t="s">
        <v>264</v>
      </c>
      <c r="AY666">
        <v>710200</v>
      </c>
      <c r="AZ666">
        <v>1205.7102</v>
      </c>
      <c r="BA666" s="28" t="s">
        <v>164</v>
      </c>
    </row>
    <row r="667" spans="1:53">
      <c r="A667" t="s">
        <v>639</v>
      </c>
      <c r="B667" t="s">
        <v>640</v>
      </c>
      <c r="C667">
        <v>14370654</v>
      </c>
      <c r="D667">
        <v>1205</v>
      </c>
      <c r="E667" s="6">
        <v>44783</v>
      </c>
      <c r="F667" t="s">
        <v>676</v>
      </c>
      <c r="G667">
        <v>8.65</v>
      </c>
      <c r="H667">
        <v>8.65</v>
      </c>
      <c r="I667" t="s">
        <v>263</v>
      </c>
      <c r="O667" t="s">
        <v>264</v>
      </c>
      <c r="Q667" t="s">
        <v>264</v>
      </c>
      <c r="R667" t="s">
        <v>524</v>
      </c>
      <c r="T667" t="s">
        <v>266</v>
      </c>
      <c r="U667" t="s">
        <v>267</v>
      </c>
      <c r="V667" t="s">
        <v>525</v>
      </c>
      <c r="W667" t="s">
        <v>526</v>
      </c>
      <c r="X667">
        <v>1930212</v>
      </c>
      <c r="Y667" s="6">
        <v>44783</v>
      </c>
      <c r="Z667" t="s">
        <v>264</v>
      </c>
      <c r="AA667">
        <v>4</v>
      </c>
      <c r="AB667" t="s">
        <v>264</v>
      </c>
      <c r="AD667" t="s">
        <v>264</v>
      </c>
      <c r="AE667" t="s">
        <v>264</v>
      </c>
      <c r="AF667" t="s">
        <v>264</v>
      </c>
      <c r="AG667">
        <v>1</v>
      </c>
      <c r="AH667" t="s">
        <v>264</v>
      </c>
      <c r="AL667" t="s">
        <v>264</v>
      </c>
      <c r="AM667" s="6">
        <v>44783</v>
      </c>
      <c r="AN667" t="s">
        <v>497</v>
      </c>
      <c r="AO667" t="s">
        <v>268</v>
      </c>
      <c r="AP667">
        <v>1205</v>
      </c>
      <c r="AQ667" t="s">
        <v>269</v>
      </c>
      <c r="AR667">
        <v>275740</v>
      </c>
      <c r="AU667" t="s">
        <v>264</v>
      </c>
      <c r="AV667" t="s">
        <v>270</v>
      </c>
      <c r="AX667" t="s">
        <v>264</v>
      </c>
      <c r="AY667">
        <v>710200</v>
      </c>
      <c r="AZ667">
        <v>1205.7102</v>
      </c>
      <c r="BA667" s="28" t="s">
        <v>164</v>
      </c>
    </row>
    <row r="668" spans="1:53">
      <c r="A668" t="s">
        <v>639</v>
      </c>
      <c r="B668" t="s">
        <v>640</v>
      </c>
      <c r="C668">
        <v>14370655</v>
      </c>
      <c r="D668">
        <v>1205</v>
      </c>
      <c r="E668" s="6">
        <v>44784</v>
      </c>
      <c r="F668" t="s">
        <v>677</v>
      </c>
      <c r="G668">
        <v>1.2</v>
      </c>
      <c r="H668">
        <v>1.2</v>
      </c>
      <c r="I668" t="s">
        <v>263</v>
      </c>
      <c r="O668" t="s">
        <v>264</v>
      </c>
      <c r="Q668" t="s">
        <v>264</v>
      </c>
      <c r="R668" t="s">
        <v>524</v>
      </c>
      <c r="T668" t="s">
        <v>266</v>
      </c>
      <c r="U668" t="s">
        <v>267</v>
      </c>
      <c r="V668" t="s">
        <v>525</v>
      </c>
      <c r="W668" t="s">
        <v>526</v>
      </c>
      <c r="X668">
        <v>1930397</v>
      </c>
      <c r="Y668" s="6">
        <v>44784</v>
      </c>
      <c r="Z668" t="s">
        <v>264</v>
      </c>
      <c r="AA668">
        <v>2</v>
      </c>
      <c r="AB668" t="s">
        <v>264</v>
      </c>
      <c r="AD668" t="s">
        <v>264</v>
      </c>
      <c r="AE668" t="s">
        <v>264</v>
      </c>
      <c r="AF668" t="s">
        <v>264</v>
      </c>
      <c r="AG668">
        <v>20</v>
      </c>
      <c r="AH668" t="s">
        <v>264</v>
      </c>
      <c r="AL668" t="s">
        <v>264</v>
      </c>
      <c r="AM668" s="6">
        <v>44784</v>
      </c>
      <c r="AN668" t="s">
        <v>670</v>
      </c>
      <c r="AO668" t="s">
        <v>268</v>
      </c>
      <c r="AP668">
        <v>1205</v>
      </c>
      <c r="AQ668" t="s">
        <v>269</v>
      </c>
      <c r="AR668">
        <v>285087</v>
      </c>
      <c r="AU668" t="s">
        <v>264</v>
      </c>
      <c r="AV668" t="s">
        <v>270</v>
      </c>
      <c r="AX668" t="s">
        <v>264</v>
      </c>
      <c r="AY668">
        <v>710200</v>
      </c>
      <c r="AZ668">
        <v>1205.7102</v>
      </c>
      <c r="BA668" s="28" t="s">
        <v>164</v>
      </c>
    </row>
    <row r="669" spans="1:53">
      <c r="A669" t="s">
        <v>639</v>
      </c>
      <c r="B669" t="s">
        <v>640</v>
      </c>
      <c r="C669">
        <v>14370655</v>
      </c>
      <c r="D669">
        <v>1205</v>
      </c>
      <c r="E669" s="6">
        <v>44784</v>
      </c>
      <c r="F669" t="s">
        <v>677</v>
      </c>
      <c r="G669">
        <v>1.53</v>
      </c>
      <c r="H669">
        <v>1.53</v>
      </c>
      <c r="I669" t="s">
        <v>263</v>
      </c>
      <c r="O669" t="s">
        <v>264</v>
      </c>
      <c r="Q669" t="s">
        <v>264</v>
      </c>
      <c r="R669" t="s">
        <v>524</v>
      </c>
      <c r="T669" t="s">
        <v>266</v>
      </c>
      <c r="U669" t="s">
        <v>267</v>
      </c>
      <c r="V669" t="s">
        <v>525</v>
      </c>
      <c r="W669" t="s">
        <v>526</v>
      </c>
      <c r="X669">
        <v>1930397</v>
      </c>
      <c r="Y669" s="6">
        <v>44784</v>
      </c>
      <c r="Z669" t="s">
        <v>264</v>
      </c>
      <c r="AA669">
        <v>4</v>
      </c>
      <c r="AB669" t="s">
        <v>264</v>
      </c>
      <c r="AD669" t="s">
        <v>264</v>
      </c>
      <c r="AE669" t="s">
        <v>264</v>
      </c>
      <c r="AF669" t="s">
        <v>264</v>
      </c>
      <c r="AG669">
        <v>20</v>
      </c>
      <c r="AH669" t="s">
        <v>264</v>
      </c>
      <c r="AL669" t="s">
        <v>264</v>
      </c>
      <c r="AM669" s="6">
        <v>44784</v>
      </c>
      <c r="AN669" t="s">
        <v>670</v>
      </c>
      <c r="AO669" t="s">
        <v>268</v>
      </c>
      <c r="AP669">
        <v>1205</v>
      </c>
      <c r="AQ669" t="s">
        <v>269</v>
      </c>
      <c r="AR669">
        <v>275958</v>
      </c>
      <c r="AU669" t="s">
        <v>264</v>
      </c>
      <c r="AV669" t="s">
        <v>270</v>
      </c>
      <c r="AX669" t="s">
        <v>264</v>
      </c>
      <c r="AY669">
        <v>710200</v>
      </c>
      <c r="AZ669">
        <v>1205.7102</v>
      </c>
      <c r="BA669" s="28" t="s">
        <v>164</v>
      </c>
    </row>
    <row r="670" spans="1:53">
      <c r="A670" t="s">
        <v>639</v>
      </c>
      <c r="B670" t="s">
        <v>640</v>
      </c>
      <c r="C670">
        <v>14370655</v>
      </c>
      <c r="D670">
        <v>1205</v>
      </c>
      <c r="E670" s="6">
        <v>44784</v>
      </c>
      <c r="F670" t="s">
        <v>677</v>
      </c>
      <c r="G670">
        <v>1.53</v>
      </c>
      <c r="H670">
        <v>1.53</v>
      </c>
      <c r="I670" t="s">
        <v>263</v>
      </c>
      <c r="O670" t="s">
        <v>264</v>
      </c>
      <c r="Q670" t="s">
        <v>264</v>
      </c>
      <c r="R670" t="s">
        <v>524</v>
      </c>
      <c r="T670" t="s">
        <v>266</v>
      </c>
      <c r="U670" t="s">
        <v>267</v>
      </c>
      <c r="V670" t="s">
        <v>525</v>
      </c>
      <c r="W670" t="s">
        <v>526</v>
      </c>
      <c r="X670">
        <v>1930397</v>
      </c>
      <c r="Y670" s="6">
        <v>44784</v>
      </c>
      <c r="Z670" t="s">
        <v>264</v>
      </c>
      <c r="AA670">
        <v>6</v>
      </c>
      <c r="AB670" t="s">
        <v>264</v>
      </c>
      <c r="AD670" t="s">
        <v>264</v>
      </c>
      <c r="AE670" t="s">
        <v>264</v>
      </c>
      <c r="AF670" t="s">
        <v>264</v>
      </c>
      <c r="AG670">
        <v>20</v>
      </c>
      <c r="AH670" t="s">
        <v>264</v>
      </c>
      <c r="AL670" t="s">
        <v>264</v>
      </c>
      <c r="AM670" s="6">
        <v>44784</v>
      </c>
      <c r="AN670" t="s">
        <v>670</v>
      </c>
      <c r="AO670" t="s">
        <v>268</v>
      </c>
      <c r="AP670">
        <v>1205</v>
      </c>
      <c r="AQ670" t="s">
        <v>269</v>
      </c>
      <c r="AR670">
        <v>275959</v>
      </c>
      <c r="AU670" t="s">
        <v>264</v>
      </c>
      <c r="AV670" t="s">
        <v>270</v>
      </c>
      <c r="AX670" t="s">
        <v>264</v>
      </c>
      <c r="AY670">
        <v>710200</v>
      </c>
      <c r="AZ670">
        <v>1205.7102</v>
      </c>
      <c r="BA670" s="28" t="s">
        <v>164</v>
      </c>
    </row>
    <row r="671" spans="1:53">
      <c r="A671" t="s">
        <v>639</v>
      </c>
      <c r="B671" t="s">
        <v>640</v>
      </c>
      <c r="C671">
        <v>14370656</v>
      </c>
      <c r="D671">
        <v>1205</v>
      </c>
      <c r="E671" s="6">
        <v>44784</v>
      </c>
      <c r="F671" t="s">
        <v>678</v>
      </c>
      <c r="G671">
        <v>0.91</v>
      </c>
      <c r="H671">
        <v>0.91</v>
      </c>
      <c r="I671" t="s">
        <v>263</v>
      </c>
      <c r="O671" t="s">
        <v>264</v>
      </c>
      <c r="Q671" t="s">
        <v>264</v>
      </c>
      <c r="R671" t="s">
        <v>524</v>
      </c>
      <c r="T671" t="s">
        <v>266</v>
      </c>
      <c r="U671" t="s">
        <v>267</v>
      </c>
      <c r="V671" t="s">
        <v>525</v>
      </c>
      <c r="W671" t="s">
        <v>526</v>
      </c>
      <c r="X671">
        <v>1930416</v>
      </c>
      <c r="Y671" s="6">
        <v>44784</v>
      </c>
      <c r="Z671" t="s">
        <v>264</v>
      </c>
      <c r="AA671">
        <v>2</v>
      </c>
      <c r="AB671" t="s">
        <v>264</v>
      </c>
      <c r="AD671" t="s">
        <v>264</v>
      </c>
      <c r="AE671" t="s">
        <v>264</v>
      </c>
      <c r="AF671" t="s">
        <v>264</v>
      </c>
      <c r="AG671">
        <v>5</v>
      </c>
      <c r="AH671" t="s">
        <v>264</v>
      </c>
      <c r="AL671" t="s">
        <v>264</v>
      </c>
      <c r="AM671" s="6">
        <v>44784</v>
      </c>
      <c r="AN671" t="s">
        <v>673</v>
      </c>
      <c r="AO671" t="s">
        <v>268</v>
      </c>
      <c r="AP671">
        <v>1205</v>
      </c>
      <c r="AQ671" t="s">
        <v>269</v>
      </c>
      <c r="AR671">
        <v>283707</v>
      </c>
      <c r="AU671" t="s">
        <v>264</v>
      </c>
      <c r="AV671" t="s">
        <v>270</v>
      </c>
      <c r="AX671" t="s">
        <v>264</v>
      </c>
      <c r="AY671">
        <v>710200</v>
      </c>
      <c r="AZ671">
        <v>1205.7102</v>
      </c>
      <c r="BA671" s="28" t="s">
        <v>164</v>
      </c>
    </row>
    <row r="672" spans="1:53">
      <c r="A672" t="s">
        <v>639</v>
      </c>
      <c r="B672" t="s">
        <v>640</v>
      </c>
      <c r="C672">
        <v>14370658</v>
      </c>
      <c r="D672">
        <v>1205</v>
      </c>
      <c r="E672" s="6">
        <v>44785</v>
      </c>
      <c r="F672" t="s">
        <v>679</v>
      </c>
      <c r="G672">
        <v>0.22</v>
      </c>
      <c r="H672">
        <v>0.22</v>
      </c>
      <c r="I672" t="s">
        <v>263</v>
      </c>
      <c r="O672" t="s">
        <v>264</v>
      </c>
      <c r="Q672" t="s">
        <v>264</v>
      </c>
      <c r="R672" t="s">
        <v>524</v>
      </c>
      <c r="T672" t="s">
        <v>266</v>
      </c>
      <c r="U672" t="s">
        <v>267</v>
      </c>
      <c r="V672" t="s">
        <v>525</v>
      </c>
      <c r="W672" t="s">
        <v>526</v>
      </c>
      <c r="X672">
        <v>1930608</v>
      </c>
      <c r="Y672" s="6">
        <v>44785</v>
      </c>
      <c r="Z672" t="s">
        <v>264</v>
      </c>
      <c r="AA672">
        <v>2</v>
      </c>
      <c r="AB672" t="s">
        <v>264</v>
      </c>
      <c r="AD672" t="s">
        <v>264</v>
      </c>
      <c r="AE672" t="s">
        <v>264</v>
      </c>
      <c r="AF672" t="s">
        <v>264</v>
      </c>
      <c r="AG672">
        <v>15</v>
      </c>
      <c r="AH672" t="s">
        <v>264</v>
      </c>
      <c r="AL672" t="s">
        <v>264</v>
      </c>
      <c r="AM672" s="6">
        <v>44785</v>
      </c>
      <c r="AN672" t="s">
        <v>670</v>
      </c>
      <c r="AO672" t="s">
        <v>268</v>
      </c>
      <c r="AP672">
        <v>1205</v>
      </c>
      <c r="AQ672" t="s">
        <v>269</v>
      </c>
      <c r="AR672">
        <v>283308</v>
      </c>
      <c r="AU672" t="s">
        <v>264</v>
      </c>
      <c r="AV672" t="s">
        <v>270</v>
      </c>
      <c r="AX672" t="s">
        <v>264</v>
      </c>
      <c r="AY672">
        <v>710200</v>
      </c>
      <c r="AZ672">
        <v>1205.7102</v>
      </c>
      <c r="BA672" s="28" t="s">
        <v>164</v>
      </c>
    </row>
    <row r="673" spans="1:53">
      <c r="A673" t="s">
        <v>639</v>
      </c>
      <c r="B673" t="s">
        <v>640</v>
      </c>
      <c r="C673">
        <v>14370658</v>
      </c>
      <c r="D673">
        <v>1205</v>
      </c>
      <c r="E673" s="6">
        <v>44785</v>
      </c>
      <c r="F673" t="s">
        <v>679</v>
      </c>
      <c r="G673">
        <v>0.22</v>
      </c>
      <c r="H673">
        <v>0.22</v>
      </c>
      <c r="I673" t="s">
        <v>263</v>
      </c>
      <c r="O673" t="s">
        <v>264</v>
      </c>
      <c r="Q673" t="s">
        <v>264</v>
      </c>
      <c r="R673" t="s">
        <v>524</v>
      </c>
      <c r="T673" t="s">
        <v>266</v>
      </c>
      <c r="U673" t="s">
        <v>267</v>
      </c>
      <c r="V673" t="s">
        <v>525</v>
      </c>
      <c r="W673" t="s">
        <v>526</v>
      </c>
      <c r="X673">
        <v>1930608</v>
      </c>
      <c r="Y673" s="6">
        <v>44785</v>
      </c>
      <c r="Z673" t="s">
        <v>264</v>
      </c>
      <c r="AA673">
        <v>4</v>
      </c>
      <c r="AB673" t="s">
        <v>264</v>
      </c>
      <c r="AD673" t="s">
        <v>264</v>
      </c>
      <c r="AE673" t="s">
        <v>264</v>
      </c>
      <c r="AF673" t="s">
        <v>264</v>
      </c>
      <c r="AG673">
        <v>15</v>
      </c>
      <c r="AH673" t="s">
        <v>264</v>
      </c>
      <c r="AL673" t="s">
        <v>264</v>
      </c>
      <c r="AM673" s="6">
        <v>44785</v>
      </c>
      <c r="AN673" t="s">
        <v>670</v>
      </c>
      <c r="AO673" t="s">
        <v>268</v>
      </c>
      <c r="AP673">
        <v>1205</v>
      </c>
      <c r="AQ673" t="s">
        <v>269</v>
      </c>
      <c r="AR673">
        <v>283309</v>
      </c>
      <c r="AU673" t="s">
        <v>264</v>
      </c>
      <c r="AV673" t="s">
        <v>270</v>
      </c>
      <c r="AX673" t="s">
        <v>264</v>
      </c>
      <c r="AY673">
        <v>710200</v>
      </c>
      <c r="AZ673">
        <v>1205.7102</v>
      </c>
      <c r="BA673" s="28" t="s">
        <v>164</v>
      </c>
    </row>
    <row r="674" spans="1:53">
      <c r="A674" t="s">
        <v>639</v>
      </c>
      <c r="B674" t="s">
        <v>640</v>
      </c>
      <c r="C674">
        <v>14370658</v>
      </c>
      <c r="D674">
        <v>1205</v>
      </c>
      <c r="E674" s="6">
        <v>44785</v>
      </c>
      <c r="F674" t="s">
        <v>679</v>
      </c>
      <c r="G674">
        <v>0.75</v>
      </c>
      <c r="H674">
        <v>0.75</v>
      </c>
      <c r="I674" t="s">
        <v>263</v>
      </c>
      <c r="O674" t="s">
        <v>264</v>
      </c>
      <c r="Q674" t="s">
        <v>264</v>
      </c>
      <c r="R674" t="s">
        <v>524</v>
      </c>
      <c r="T674" t="s">
        <v>266</v>
      </c>
      <c r="U674" t="s">
        <v>267</v>
      </c>
      <c r="V674" t="s">
        <v>525</v>
      </c>
      <c r="W674" t="s">
        <v>526</v>
      </c>
      <c r="X674">
        <v>1930608</v>
      </c>
      <c r="Y674" s="6">
        <v>44785</v>
      </c>
      <c r="Z674" t="s">
        <v>264</v>
      </c>
      <c r="AA674">
        <v>6</v>
      </c>
      <c r="AB674" t="s">
        <v>264</v>
      </c>
      <c r="AD674" t="s">
        <v>264</v>
      </c>
      <c r="AE674" t="s">
        <v>264</v>
      </c>
      <c r="AF674" t="s">
        <v>264</v>
      </c>
      <c r="AG674">
        <v>35</v>
      </c>
      <c r="AH674" t="s">
        <v>264</v>
      </c>
      <c r="AL674" t="s">
        <v>264</v>
      </c>
      <c r="AM674" s="6">
        <v>44785</v>
      </c>
      <c r="AN674" t="s">
        <v>670</v>
      </c>
      <c r="AO674" t="s">
        <v>268</v>
      </c>
      <c r="AP674">
        <v>1205</v>
      </c>
      <c r="AQ674" t="s">
        <v>269</v>
      </c>
      <c r="AR674">
        <v>283313</v>
      </c>
      <c r="AU674" t="s">
        <v>264</v>
      </c>
      <c r="AV674" t="s">
        <v>270</v>
      </c>
      <c r="AX674" t="s">
        <v>264</v>
      </c>
      <c r="AY674">
        <v>710200</v>
      </c>
      <c r="AZ674">
        <v>1205.7102</v>
      </c>
      <c r="BA674" s="28" t="s">
        <v>164</v>
      </c>
    </row>
    <row r="675" spans="1:53">
      <c r="A675" t="s">
        <v>639</v>
      </c>
      <c r="B675" t="s">
        <v>640</v>
      </c>
      <c r="C675">
        <v>14370658</v>
      </c>
      <c r="D675">
        <v>1205</v>
      </c>
      <c r="E675" s="6">
        <v>44785</v>
      </c>
      <c r="F675" t="s">
        <v>679</v>
      </c>
      <c r="G675">
        <v>0.32</v>
      </c>
      <c r="H675">
        <v>0.32</v>
      </c>
      <c r="I675" t="s">
        <v>263</v>
      </c>
      <c r="O675" t="s">
        <v>264</v>
      </c>
      <c r="Q675" t="s">
        <v>264</v>
      </c>
      <c r="R675" t="s">
        <v>524</v>
      </c>
      <c r="T675" t="s">
        <v>266</v>
      </c>
      <c r="U675" t="s">
        <v>267</v>
      </c>
      <c r="V675" t="s">
        <v>525</v>
      </c>
      <c r="W675" t="s">
        <v>526</v>
      </c>
      <c r="X675">
        <v>1930608</v>
      </c>
      <c r="Y675" s="6">
        <v>44785</v>
      </c>
      <c r="Z675" t="s">
        <v>264</v>
      </c>
      <c r="AA675">
        <v>8</v>
      </c>
      <c r="AB675" t="s">
        <v>264</v>
      </c>
      <c r="AD675" t="s">
        <v>264</v>
      </c>
      <c r="AE675" t="s">
        <v>264</v>
      </c>
      <c r="AF675" t="s">
        <v>264</v>
      </c>
      <c r="AG675">
        <v>30</v>
      </c>
      <c r="AH675" t="s">
        <v>264</v>
      </c>
      <c r="AL675" t="s">
        <v>264</v>
      </c>
      <c r="AM675" s="6">
        <v>44785</v>
      </c>
      <c r="AN675" t="s">
        <v>670</v>
      </c>
      <c r="AO675" t="s">
        <v>268</v>
      </c>
      <c r="AP675">
        <v>1205</v>
      </c>
      <c r="AQ675" t="s">
        <v>269</v>
      </c>
      <c r="AR675">
        <v>284064</v>
      </c>
      <c r="AU675" t="s">
        <v>264</v>
      </c>
      <c r="AV675" t="s">
        <v>270</v>
      </c>
      <c r="AX675" t="s">
        <v>264</v>
      </c>
      <c r="AY675">
        <v>710200</v>
      </c>
      <c r="AZ675">
        <v>1205.7102</v>
      </c>
      <c r="BA675" s="28" t="s">
        <v>164</v>
      </c>
    </row>
    <row r="676" spans="1:53">
      <c r="A676" t="s">
        <v>639</v>
      </c>
      <c r="B676" t="s">
        <v>640</v>
      </c>
      <c r="C676">
        <v>14370658</v>
      </c>
      <c r="D676">
        <v>1205</v>
      </c>
      <c r="E676" s="6">
        <v>44785</v>
      </c>
      <c r="F676" t="s">
        <v>679</v>
      </c>
      <c r="G676">
        <v>0.32</v>
      </c>
      <c r="H676">
        <v>0.32</v>
      </c>
      <c r="I676" t="s">
        <v>263</v>
      </c>
      <c r="O676" t="s">
        <v>264</v>
      </c>
      <c r="Q676" t="s">
        <v>264</v>
      </c>
      <c r="R676" t="s">
        <v>524</v>
      </c>
      <c r="T676" t="s">
        <v>266</v>
      </c>
      <c r="U676" t="s">
        <v>267</v>
      </c>
      <c r="V676" t="s">
        <v>525</v>
      </c>
      <c r="W676" t="s">
        <v>526</v>
      </c>
      <c r="X676">
        <v>1930608</v>
      </c>
      <c r="Y676" s="6">
        <v>44785</v>
      </c>
      <c r="Z676" t="s">
        <v>264</v>
      </c>
      <c r="AA676">
        <v>10</v>
      </c>
      <c r="AB676" t="s">
        <v>264</v>
      </c>
      <c r="AD676" t="s">
        <v>264</v>
      </c>
      <c r="AE676" t="s">
        <v>264</v>
      </c>
      <c r="AF676" t="s">
        <v>264</v>
      </c>
      <c r="AG676">
        <v>30</v>
      </c>
      <c r="AH676" t="s">
        <v>264</v>
      </c>
      <c r="AL676" t="s">
        <v>264</v>
      </c>
      <c r="AM676" s="6">
        <v>44785</v>
      </c>
      <c r="AN676" t="s">
        <v>670</v>
      </c>
      <c r="AO676" t="s">
        <v>268</v>
      </c>
      <c r="AP676">
        <v>1205</v>
      </c>
      <c r="AQ676" t="s">
        <v>269</v>
      </c>
      <c r="AR676">
        <v>284070</v>
      </c>
      <c r="AU676" t="s">
        <v>264</v>
      </c>
      <c r="AV676" t="s">
        <v>270</v>
      </c>
      <c r="AX676" t="s">
        <v>264</v>
      </c>
      <c r="AY676">
        <v>710200</v>
      </c>
      <c r="AZ676">
        <v>1205.7102</v>
      </c>
      <c r="BA676" s="28" t="s">
        <v>164</v>
      </c>
    </row>
    <row r="677" spans="1:53">
      <c r="A677" t="s">
        <v>639</v>
      </c>
      <c r="B677" t="s">
        <v>640</v>
      </c>
      <c r="C677">
        <v>14370658</v>
      </c>
      <c r="D677">
        <v>1205</v>
      </c>
      <c r="E677" s="6">
        <v>44785</v>
      </c>
      <c r="F677" t="s">
        <v>679</v>
      </c>
      <c r="G677">
        <v>0.32</v>
      </c>
      <c r="H677">
        <v>0.32</v>
      </c>
      <c r="I677" t="s">
        <v>263</v>
      </c>
      <c r="O677" t="s">
        <v>264</v>
      </c>
      <c r="Q677" t="s">
        <v>264</v>
      </c>
      <c r="R677" t="s">
        <v>524</v>
      </c>
      <c r="T677" t="s">
        <v>266</v>
      </c>
      <c r="U677" t="s">
        <v>267</v>
      </c>
      <c r="V677" t="s">
        <v>525</v>
      </c>
      <c r="W677" t="s">
        <v>526</v>
      </c>
      <c r="X677">
        <v>1930608</v>
      </c>
      <c r="Y677" s="6">
        <v>44785</v>
      </c>
      <c r="Z677" t="s">
        <v>264</v>
      </c>
      <c r="AA677">
        <v>12</v>
      </c>
      <c r="AB677" t="s">
        <v>264</v>
      </c>
      <c r="AD677" t="s">
        <v>264</v>
      </c>
      <c r="AE677" t="s">
        <v>264</v>
      </c>
      <c r="AF677" t="s">
        <v>264</v>
      </c>
      <c r="AG677">
        <v>30</v>
      </c>
      <c r="AH677" t="s">
        <v>264</v>
      </c>
      <c r="AL677" t="s">
        <v>264</v>
      </c>
      <c r="AM677" s="6">
        <v>44785</v>
      </c>
      <c r="AN677" t="s">
        <v>670</v>
      </c>
      <c r="AO677" t="s">
        <v>268</v>
      </c>
      <c r="AP677">
        <v>1205</v>
      </c>
      <c r="AQ677" t="s">
        <v>269</v>
      </c>
      <c r="AR677">
        <v>284066</v>
      </c>
      <c r="AU677" t="s">
        <v>264</v>
      </c>
      <c r="AV677" t="s">
        <v>270</v>
      </c>
      <c r="AX677" t="s">
        <v>264</v>
      </c>
      <c r="AY677">
        <v>710200</v>
      </c>
      <c r="AZ677">
        <v>1205.7102</v>
      </c>
      <c r="BA677" s="28" t="s">
        <v>164</v>
      </c>
    </row>
    <row r="678" spans="1:53">
      <c r="A678" t="s">
        <v>639</v>
      </c>
      <c r="B678" t="s">
        <v>640</v>
      </c>
      <c r="C678">
        <v>14370658</v>
      </c>
      <c r="D678">
        <v>1205</v>
      </c>
      <c r="E678" s="6">
        <v>44785</v>
      </c>
      <c r="F678" t="s">
        <v>679</v>
      </c>
      <c r="G678">
        <v>0.32</v>
      </c>
      <c r="H678">
        <v>0.32</v>
      </c>
      <c r="I678" t="s">
        <v>263</v>
      </c>
      <c r="O678" t="s">
        <v>264</v>
      </c>
      <c r="Q678" t="s">
        <v>264</v>
      </c>
      <c r="R678" t="s">
        <v>524</v>
      </c>
      <c r="T678" t="s">
        <v>266</v>
      </c>
      <c r="U678" t="s">
        <v>267</v>
      </c>
      <c r="V678" t="s">
        <v>525</v>
      </c>
      <c r="W678" t="s">
        <v>526</v>
      </c>
      <c r="X678">
        <v>1930608</v>
      </c>
      <c r="Y678" s="6">
        <v>44785</v>
      </c>
      <c r="Z678" t="s">
        <v>264</v>
      </c>
      <c r="AA678">
        <v>14</v>
      </c>
      <c r="AB678" t="s">
        <v>264</v>
      </c>
      <c r="AD678" t="s">
        <v>264</v>
      </c>
      <c r="AE678" t="s">
        <v>264</v>
      </c>
      <c r="AF678" t="s">
        <v>264</v>
      </c>
      <c r="AG678">
        <v>30</v>
      </c>
      <c r="AH678" t="s">
        <v>264</v>
      </c>
      <c r="AL678" t="s">
        <v>264</v>
      </c>
      <c r="AM678" s="6">
        <v>44785</v>
      </c>
      <c r="AN678" t="s">
        <v>670</v>
      </c>
      <c r="AO678" t="s">
        <v>268</v>
      </c>
      <c r="AP678">
        <v>1205</v>
      </c>
      <c r="AQ678" t="s">
        <v>269</v>
      </c>
      <c r="AR678">
        <v>284069</v>
      </c>
      <c r="AU678" t="s">
        <v>264</v>
      </c>
      <c r="AV678" t="s">
        <v>270</v>
      </c>
      <c r="AX678" t="s">
        <v>264</v>
      </c>
      <c r="AY678">
        <v>710200</v>
      </c>
      <c r="AZ678">
        <v>1205.7102</v>
      </c>
      <c r="BA678" s="28" t="s">
        <v>164</v>
      </c>
    </row>
    <row r="679" spans="1:53">
      <c r="A679" t="s">
        <v>639</v>
      </c>
      <c r="B679" t="s">
        <v>640</v>
      </c>
      <c r="C679">
        <v>14370658</v>
      </c>
      <c r="D679">
        <v>1205</v>
      </c>
      <c r="E679" s="6">
        <v>44785</v>
      </c>
      <c r="F679" t="s">
        <v>679</v>
      </c>
      <c r="G679">
        <v>0.32</v>
      </c>
      <c r="H679">
        <v>0.32</v>
      </c>
      <c r="I679" t="s">
        <v>263</v>
      </c>
      <c r="O679" t="s">
        <v>264</v>
      </c>
      <c r="Q679" t="s">
        <v>264</v>
      </c>
      <c r="R679" t="s">
        <v>524</v>
      </c>
      <c r="T679" t="s">
        <v>266</v>
      </c>
      <c r="U679" t="s">
        <v>267</v>
      </c>
      <c r="V679" t="s">
        <v>525</v>
      </c>
      <c r="W679" t="s">
        <v>526</v>
      </c>
      <c r="X679">
        <v>1930608</v>
      </c>
      <c r="Y679" s="6">
        <v>44785</v>
      </c>
      <c r="Z679" t="s">
        <v>264</v>
      </c>
      <c r="AA679">
        <v>16</v>
      </c>
      <c r="AB679" t="s">
        <v>264</v>
      </c>
      <c r="AD679" t="s">
        <v>264</v>
      </c>
      <c r="AE679" t="s">
        <v>264</v>
      </c>
      <c r="AF679" t="s">
        <v>264</v>
      </c>
      <c r="AG679">
        <v>30</v>
      </c>
      <c r="AH679" t="s">
        <v>264</v>
      </c>
      <c r="AL679" t="s">
        <v>264</v>
      </c>
      <c r="AM679" s="6">
        <v>44785</v>
      </c>
      <c r="AN679" t="s">
        <v>670</v>
      </c>
      <c r="AO679" t="s">
        <v>268</v>
      </c>
      <c r="AP679">
        <v>1205</v>
      </c>
      <c r="AQ679" t="s">
        <v>269</v>
      </c>
      <c r="AR679">
        <v>284065</v>
      </c>
      <c r="AU679" t="s">
        <v>264</v>
      </c>
      <c r="AV679" t="s">
        <v>270</v>
      </c>
      <c r="AX679" t="s">
        <v>264</v>
      </c>
      <c r="AY679">
        <v>710200</v>
      </c>
      <c r="AZ679">
        <v>1205.7102</v>
      </c>
      <c r="BA679" s="28" t="s">
        <v>164</v>
      </c>
    </row>
    <row r="680" spans="1:53">
      <c r="A680" t="s">
        <v>639</v>
      </c>
      <c r="B680" t="s">
        <v>640</v>
      </c>
      <c r="C680">
        <v>14370658</v>
      </c>
      <c r="D680">
        <v>1205</v>
      </c>
      <c r="E680" s="6">
        <v>44785</v>
      </c>
      <c r="F680" t="s">
        <v>679</v>
      </c>
      <c r="G680">
        <v>0.15</v>
      </c>
      <c r="H680">
        <v>0.15</v>
      </c>
      <c r="I680" t="s">
        <v>263</v>
      </c>
      <c r="O680" t="s">
        <v>264</v>
      </c>
      <c r="Q680" t="s">
        <v>264</v>
      </c>
      <c r="R680" t="s">
        <v>524</v>
      </c>
      <c r="T680" t="s">
        <v>266</v>
      </c>
      <c r="U680" t="s">
        <v>267</v>
      </c>
      <c r="V680" t="s">
        <v>525</v>
      </c>
      <c r="W680" t="s">
        <v>526</v>
      </c>
      <c r="X680">
        <v>1930608</v>
      </c>
      <c r="Y680" s="6">
        <v>44785</v>
      </c>
      <c r="Z680" t="s">
        <v>264</v>
      </c>
      <c r="AA680">
        <v>18</v>
      </c>
      <c r="AB680" t="s">
        <v>264</v>
      </c>
      <c r="AD680" t="s">
        <v>264</v>
      </c>
      <c r="AE680" t="s">
        <v>264</v>
      </c>
      <c r="AF680" t="s">
        <v>264</v>
      </c>
      <c r="AG680">
        <v>10</v>
      </c>
      <c r="AH680" t="s">
        <v>264</v>
      </c>
      <c r="AL680" t="s">
        <v>264</v>
      </c>
      <c r="AM680" s="6">
        <v>44785</v>
      </c>
      <c r="AN680" t="s">
        <v>670</v>
      </c>
      <c r="AO680" t="s">
        <v>268</v>
      </c>
      <c r="AP680">
        <v>1205</v>
      </c>
      <c r="AQ680" t="s">
        <v>269</v>
      </c>
      <c r="AR680">
        <v>284259</v>
      </c>
      <c r="AU680" t="s">
        <v>264</v>
      </c>
      <c r="AV680" t="s">
        <v>270</v>
      </c>
      <c r="AX680" t="s">
        <v>264</v>
      </c>
      <c r="AY680">
        <v>710200</v>
      </c>
      <c r="AZ680">
        <v>1205.7102</v>
      </c>
      <c r="BA680" s="28" t="s">
        <v>164</v>
      </c>
    </row>
    <row r="681" spans="1:53">
      <c r="A681" t="s">
        <v>639</v>
      </c>
      <c r="B681" t="s">
        <v>640</v>
      </c>
      <c r="C681">
        <v>14370658</v>
      </c>
      <c r="D681">
        <v>1205</v>
      </c>
      <c r="E681" s="6">
        <v>44785</v>
      </c>
      <c r="F681" t="s">
        <v>679</v>
      </c>
      <c r="G681">
        <v>0.15</v>
      </c>
      <c r="H681">
        <v>0.15</v>
      </c>
      <c r="I681" t="s">
        <v>263</v>
      </c>
      <c r="O681" t="s">
        <v>264</v>
      </c>
      <c r="Q681" t="s">
        <v>264</v>
      </c>
      <c r="R681" t="s">
        <v>524</v>
      </c>
      <c r="T681" t="s">
        <v>266</v>
      </c>
      <c r="U681" t="s">
        <v>267</v>
      </c>
      <c r="V681" t="s">
        <v>525</v>
      </c>
      <c r="W681" t="s">
        <v>526</v>
      </c>
      <c r="X681">
        <v>1930608</v>
      </c>
      <c r="Y681" s="6">
        <v>44785</v>
      </c>
      <c r="Z681" t="s">
        <v>264</v>
      </c>
      <c r="AA681">
        <v>20</v>
      </c>
      <c r="AB681" t="s">
        <v>264</v>
      </c>
      <c r="AD681" t="s">
        <v>264</v>
      </c>
      <c r="AE681" t="s">
        <v>264</v>
      </c>
      <c r="AF681" t="s">
        <v>264</v>
      </c>
      <c r="AG681">
        <v>10</v>
      </c>
      <c r="AH681" t="s">
        <v>264</v>
      </c>
      <c r="AL681" t="s">
        <v>264</v>
      </c>
      <c r="AM681" s="6">
        <v>44785</v>
      </c>
      <c r="AN681" t="s">
        <v>670</v>
      </c>
      <c r="AO681" t="s">
        <v>268</v>
      </c>
      <c r="AP681">
        <v>1205</v>
      </c>
      <c r="AQ681" t="s">
        <v>269</v>
      </c>
      <c r="AR681">
        <v>284260</v>
      </c>
      <c r="AU681" t="s">
        <v>264</v>
      </c>
      <c r="AV681" t="s">
        <v>270</v>
      </c>
      <c r="AX681" t="s">
        <v>264</v>
      </c>
      <c r="AY681">
        <v>710200</v>
      </c>
      <c r="AZ681">
        <v>1205.7102</v>
      </c>
      <c r="BA681" s="28" t="s">
        <v>164</v>
      </c>
    </row>
    <row r="682" spans="1:53">
      <c r="A682" t="s">
        <v>639</v>
      </c>
      <c r="B682" t="s">
        <v>640</v>
      </c>
      <c r="C682">
        <v>14370658</v>
      </c>
      <c r="D682">
        <v>1205</v>
      </c>
      <c r="E682" s="6">
        <v>44785</v>
      </c>
      <c r="F682" t="s">
        <v>679</v>
      </c>
      <c r="G682">
        <v>0.11</v>
      </c>
      <c r="H682">
        <v>0.11</v>
      </c>
      <c r="I682" t="s">
        <v>263</v>
      </c>
      <c r="O682" t="s">
        <v>264</v>
      </c>
      <c r="Q682" t="s">
        <v>264</v>
      </c>
      <c r="R682" t="s">
        <v>524</v>
      </c>
      <c r="T682" t="s">
        <v>266</v>
      </c>
      <c r="U682" t="s">
        <v>267</v>
      </c>
      <c r="V682" t="s">
        <v>525</v>
      </c>
      <c r="W682" t="s">
        <v>526</v>
      </c>
      <c r="X682">
        <v>1930608</v>
      </c>
      <c r="Y682" s="6">
        <v>44785</v>
      </c>
      <c r="Z682" t="s">
        <v>264</v>
      </c>
      <c r="AA682">
        <v>22</v>
      </c>
      <c r="AB682" t="s">
        <v>264</v>
      </c>
      <c r="AD682" t="s">
        <v>264</v>
      </c>
      <c r="AE682" t="s">
        <v>264</v>
      </c>
      <c r="AF682" t="s">
        <v>264</v>
      </c>
      <c r="AG682">
        <v>10</v>
      </c>
      <c r="AH682" t="s">
        <v>264</v>
      </c>
      <c r="AL682" t="s">
        <v>264</v>
      </c>
      <c r="AM682" s="6">
        <v>44785</v>
      </c>
      <c r="AN682" t="s">
        <v>670</v>
      </c>
      <c r="AO682" t="s">
        <v>268</v>
      </c>
      <c r="AP682">
        <v>1205</v>
      </c>
      <c r="AQ682" t="s">
        <v>269</v>
      </c>
      <c r="AR682">
        <v>283317</v>
      </c>
      <c r="AU682" t="s">
        <v>264</v>
      </c>
      <c r="AV682" t="s">
        <v>270</v>
      </c>
      <c r="AX682" t="s">
        <v>264</v>
      </c>
      <c r="AY682">
        <v>710200</v>
      </c>
      <c r="AZ682">
        <v>1205.7102</v>
      </c>
      <c r="BA682" s="28" t="s">
        <v>164</v>
      </c>
    </row>
    <row r="683" spans="1:53">
      <c r="A683" t="s">
        <v>639</v>
      </c>
      <c r="B683" t="s">
        <v>640</v>
      </c>
      <c r="C683">
        <v>14370658</v>
      </c>
      <c r="D683">
        <v>1205</v>
      </c>
      <c r="E683" s="6">
        <v>44785</v>
      </c>
      <c r="F683" t="s">
        <v>679</v>
      </c>
      <c r="G683">
        <v>0.64</v>
      </c>
      <c r="H683">
        <v>0.64</v>
      </c>
      <c r="I683" t="s">
        <v>263</v>
      </c>
      <c r="O683" t="s">
        <v>264</v>
      </c>
      <c r="Q683" t="s">
        <v>264</v>
      </c>
      <c r="R683" t="s">
        <v>524</v>
      </c>
      <c r="T683" t="s">
        <v>266</v>
      </c>
      <c r="U683" t="s">
        <v>267</v>
      </c>
      <c r="V683" t="s">
        <v>525</v>
      </c>
      <c r="W683" t="s">
        <v>526</v>
      </c>
      <c r="X683">
        <v>1930608</v>
      </c>
      <c r="Y683" s="6">
        <v>44785</v>
      </c>
      <c r="Z683" t="s">
        <v>264</v>
      </c>
      <c r="AA683">
        <v>24</v>
      </c>
      <c r="AB683" t="s">
        <v>264</v>
      </c>
      <c r="AD683" t="s">
        <v>264</v>
      </c>
      <c r="AE683" t="s">
        <v>264</v>
      </c>
      <c r="AF683" t="s">
        <v>264</v>
      </c>
      <c r="AG683">
        <v>30</v>
      </c>
      <c r="AH683" t="s">
        <v>264</v>
      </c>
      <c r="AL683" t="s">
        <v>264</v>
      </c>
      <c r="AM683" s="6">
        <v>44785</v>
      </c>
      <c r="AN683" t="s">
        <v>670</v>
      </c>
      <c r="AO683" t="s">
        <v>268</v>
      </c>
      <c r="AP683">
        <v>1205</v>
      </c>
      <c r="AQ683" t="s">
        <v>269</v>
      </c>
      <c r="AR683">
        <v>283312</v>
      </c>
      <c r="AU683" t="s">
        <v>264</v>
      </c>
      <c r="AV683" t="s">
        <v>270</v>
      </c>
      <c r="AX683" t="s">
        <v>264</v>
      </c>
      <c r="AY683">
        <v>710200</v>
      </c>
      <c r="AZ683">
        <v>1205.7102</v>
      </c>
      <c r="BA683" s="28" t="s">
        <v>164</v>
      </c>
    </row>
    <row r="684" spans="1:53">
      <c r="A684" t="s">
        <v>639</v>
      </c>
      <c r="B684" t="s">
        <v>640</v>
      </c>
      <c r="C684">
        <v>14370666</v>
      </c>
      <c r="D684">
        <v>1205</v>
      </c>
      <c r="E684" s="6">
        <v>44792</v>
      </c>
      <c r="F684" t="s">
        <v>674</v>
      </c>
      <c r="G684">
        <v>15.13</v>
      </c>
      <c r="H684">
        <v>15.13</v>
      </c>
      <c r="I684" t="s">
        <v>263</v>
      </c>
      <c r="O684" t="s">
        <v>264</v>
      </c>
      <c r="Q684" t="s">
        <v>264</v>
      </c>
      <c r="R684" t="s">
        <v>524</v>
      </c>
      <c r="T684" t="s">
        <v>266</v>
      </c>
      <c r="U684" t="s">
        <v>267</v>
      </c>
      <c r="V684" t="s">
        <v>525</v>
      </c>
      <c r="W684" t="s">
        <v>526</v>
      </c>
      <c r="X684">
        <v>1933588</v>
      </c>
      <c r="Y684" s="6">
        <v>44792</v>
      </c>
      <c r="Z684" t="s">
        <v>264</v>
      </c>
      <c r="AA684">
        <v>2</v>
      </c>
      <c r="AB684" t="s">
        <v>264</v>
      </c>
      <c r="AD684" t="s">
        <v>264</v>
      </c>
      <c r="AE684" t="s">
        <v>264</v>
      </c>
      <c r="AF684" t="s">
        <v>264</v>
      </c>
      <c r="AG684">
        <v>1.58</v>
      </c>
      <c r="AH684" t="s">
        <v>264</v>
      </c>
      <c r="AL684" t="s">
        <v>264</v>
      </c>
      <c r="AM684" s="6">
        <v>44792</v>
      </c>
      <c r="AN684" t="s">
        <v>497</v>
      </c>
      <c r="AO684" t="s">
        <v>268</v>
      </c>
      <c r="AP684">
        <v>1205</v>
      </c>
      <c r="AQ684" t="s">
        <v>269</v>
      </c>
      <c r="AR684">
        <v>283168</v>
      </c>
      <c r="AU684" t="s">
        <v>264</v>
      </c>
      <c r="AV684" t="s">
        <v>270</v>
      </c>
      <c r="AX684" t="s">
        <v>264</v>
      </c>
      <c r="AY684">
        <v>710200</v>
      </c>
      <c r="AZ684">
        <v>1205.7102</v>
      </c>
      <c r="BA684" s="28" t="s">
        <v>164</v>
      </c>
    </row>
    <row r="685" spans="1:53">
      <c r="A685" t="s">
        <v>639</v>
      </c>
      <c r="B685" t="s">
        <v>640</v>
      </c>
      <c r="C685">
        <v>14370666</v>
      </c>
      <c r="D685">
        <v>1205</v>
      </c>
      <c r="E685" s="6">
        <v>44792</v>
      </c>
      <c r="F685" t="s">
        <v>674</v>
      </c>
      <c r="G685">
        <v>15.13</v>
      </c>
      <c r="H685">
        <v>15.13</v>
      </c>
      <c r="I685" t="s">
        <v>263</v>
      </c>
      <c r="O685" t="s">
        <v>264</v>
      </c>
      <c r="Q685" t="s">
        <v>264</v>
      </c>
      <c r="R685" t="s">
        <v>524</v>
      </c>
      <c r="T685" t="s">
        <v>266</v>
      </c>
      <c r="U685" t="s">
        <v>267</v>
      </c>
      <c r="V685" t="s">
        <v>525</v>
      </c>
      <c r="W685" t="s">
        <v>526</v>
      </c>
      <c r="X685">
        <v>1933588</v>
      </c>
      <c r="Y685" s="6">
        <v>44792</v>
      </c>
      <c r="Z685" t="s">
        <v>264</v>
      </c>
      <c r="AA685">
        <v>8</v>
      </c>
      <c r="AB685" t="s">
        <v>264</v>
      </c>
      <c r="AD685" t="s">
        <v>264</v>
      </c>
      <c r="AE685" t="s">
        <v>264</v>
      </c>
      <c r="AF685" t="s">
        <v>264</v>
      </c>
      <c r="AG685">
        <v>1.58</v>
      </c>
      <c r="AH685" t="s">
        <v>264</v>
      </c>
      <c r="AL685" t="s">
        <v>264</v>
      </c>
      <c r="AM685" s="6">
        <v>44792</v>
      </c>
      <c r="AN685" t="s">
        <v>497</v>
      </c>
      <c r="AO685" t="s">
        <v>268</v>
      </c>
      <c r="AP685">
        <v>1205</v>
      </c>
      <c r="AQ685" t="s">
        <v>269</v>
      </c>
      <c r="AR685">
        <v>283169</v>
      </c>
      <c r="AU685" t="s">
        <v>264</v>
      </c>
      <c r="AV685" t="s">
        <v>270</v>
      </c>
      <c r="AX685" t="s">
        <v>264</v>
      </c>
      <c r="AY685">
        <v>710200</v>
      </c>
      <c r="AZ685">
        <v>1205.7102</v>
      </c>
      <c r="BA685" s="28" t="s">
        <v>164</v>
      </c>
    </row>
    <row r="686" spans="1:53">
      <c r="A686" t="s">
        <v>639</v>
      </c>
      <c r="B686" t="s">
        <v>640</v>
      </c>
      <c r="C686">
        <v>14370666</v>
      </c>
      <c r="D686">
        <v>1205</v>
      </c>
      <c r="E686" s="6">
        <v>44792</v>
      </c>
      <c r="F686" t="s">
        <v>674</v>
      </c>
      <c r="G686">
        <v>1.51</v>
      </c>
      <c r="H686">
        <v>1.51</v>
      </c>
      <c r="I686" t="s">
        <v>263</v>
      </c>
      <c r="O686" t="s">
        <v>264</v>
      </c>
      <c r="Q686" t="s">
        <v>264</v>
      </c>
      <c r="R686" t="s">
        <v>524</v>
      </c>
      <c r="T686" t="s">
        <v>266</v>
      </c>
      <c r="U686" t="s">
        <v>267</v>
      </c>
      <c r="V686" t="s">
        <v>525</v>
      </c>
      <c r="W686" t="s">
        <v>526</v>
      </c>
      <c r="X686">
        <v>1933588</v>
      </c>
      <c r="Y686" s="6">
        <v>44792</v>
      </c>
      <c r="Z686" t="s">
        <v>264</v>
      </c>
      <c r="AA686">
        <v>10</v>
      </c>
      <c r="AB686" t="s">
        <v>264</v>
      </c>
      <c r="AD686" t="s">
        <v>264</v>
      </c>
      <c r="AE686" t="s">
        <v>264</v>
      </c>
      <c r="AF686" t="s">
        <v>264</v>
      </c>
      <c r="AG686">
        <v>0.14000000000000001</v>
      </c>
      <c r="AH686" t="s">
        <v>264</v>
      </c>
      <c r="AL686" t="s">
        <v>264</v>
      </c>
      <c r="AM686" s="6">
        <v>44792</v>
      </c>
      <c r="AN686" t="s">
        <v>497</v>
      </c>
      <c r="AO686" t="s">
        <v>268</v>
      </c>
      <c r="AP686">
        <v>1205</v>
      </c>
      <c r="AQ686" t="s">
        <v>269</v>
      </c>
      <c r="AR686">
        <v>283145</v>
      </c>
      <c r="AU686" t="s">
        <v>264</v>
      </c>
      <c r="AV686" t="s">
        <v>270</v>
      </c>
      <c r="AX686" t="s">
        <v>264</v>
      </c>
      <c r="AY686">
        <v>710200</v>
      </c>
      <c r="AZ686">
        <v>1205.7102</v>
      </c>
      <c r="BA686" s="28" t="s">
        <v>164</v>
      </c>
    </row>
    <row r="687" spans="1:53">
      <c r="A687" t="s">
        <v>639</v>
      </c>
      <c r="B687" t="s">
        <v>640</v>
      </c>
      <c r="C687">
        <v>14370666</v>
      </c>
      <c r="D687">
        <v>1205</v>
      </c>
      <c r="E687" s="6">
        <v>44792</v>
      </c>
      <c r="F687" t="s">
        <v>674</v>
      </c>
      <c r="G687">
        <v>1.51</v>
      </c>
      <c r="H687">
        <v>1.51</v>
      </c>
      <c r="I687" t="s">
        <v>263</v>
      </c>
      <c r="O687" t="s">
        <v>264</v>
      </c>
      <c r="Q687" t="s">
        <v>264</v>
      </c>
      <c r="R687" t="s">
        <v>524</v>
      </c>
      <c r="T687" t="s">
        <v>266</v>
      </c>
      <c r="U687" t="s">
        <v>267</v>
      </c>
      <c r="V687" t="s">
        <v>525</v>
      </c>
      <c r="W687" t="s">
        <v>526</v>
      </c>
      <c r="X687">
        <v>1933588</v>
      </c>
      <c r="Y687" s="6">
        <v>44792</v>
      </c>
      <c r="Z687" t="s">
        <v>264</v>
      </c>
      <c r="AA687">
        <v>12</v>
      </c>
      <c r="AB687" t="s">
        <v>264</v>
      </c>
      <c r="AD687" t="s">
        <v>264</v>
      </c>
      <c r="AE687" t="s">
        <v>264</v>
      </c>
      <c r="AF687" t="s">
        <v>264</v>
      </c>
      <c r="AG687">
        <v>0.14000000000000001</v>
      </c>
      <c r="AH687" t="s">
        <v>264</v>
      </c>
      <c r="AL687" t="s">
        <v>264</v>
      </c>
      <c r="AM687" s="6">
        <v>44792</v>
      </c>
      <c r="AN687" t="s">
        <v>497</v>
      </c>
      <c r="AO687" t="s">
        <v>268</v>
      </c>
      <c r="AP687">
        <v>1205</v>
      </c>
      <c r="AQ687" t="s">
        <v>269</v>
      </c>
      <c r="AR687">
        <v>283146</v>
      </c>
      <c r="AU687" t="s">
        <v>264</v>
      </c>
      <c r="AV687" t="s">
        <v>270</v>
      </c>
      <c r="AX687" t="s">
        <v>264</v>
      </c>
      <c r="AY687">
        <v>710200</v>
      </c>
      <c r="AZ687">
        <v>1205.7102</v>
      </c>
      <c r="BA687" s="28" t="s">
        <v>164</v>
      </c>
    </row>
    <row r="688" spans="1:53">
      <c r="A688" t="s">
        <v>639</v>
      </c>
      <c r="B688" t="s">
        <v>640</v>
      </c>
      <c r="C688">
        <v>14370666</v>
      </c>
      <c r="D688">
        <v>1205</v>
      </c>
      <c r="E688" s="6">
        <v>44792</v>
      </c>
      <c r="F688" t="s">
        <v>674</v>
      </c>
      <c r="G688">
        <v>15.13</v>
      </c>
      <c r="H688">
        <v>15.13</v>
      </c>
      <c r="I688" t="s">
        <v>263</v>
      </c>
      <c r="O688" t="s">
        <v>264</v>
      </c>
      <c r="Q688" t="s">
        <v>264</v>
      </c>
      <c r="R688" t="s">
        <v>524</v>
      </c>
      <c r="T688" t="s">
        <v>266</v>
      </c>
      <c r="U688" t="s">
        <v>267</v>
      </c>
      <c r="V688" t="s">
        <v>525</v>
      </c>
      <c r="W688" t="s">
        <v>526</v>
      </c>
      <c r="X688">
        <v>1933588</v>
      </c>
      <c r="Y688" s="6">
        <v>44792</v>
      </c>
      <c r="Z688" t="s">
        <v>264</v>
      </c>
      <c r="AA688">
        <v>4</v>
      </c>
      <c r="AB688" t="s">
        <v>264</v>
      </c>
      <c r="AD688" t="s">
        <v>264</v>
      </c>
      <c r="AE688" t="s">
        <v>264</v>
      </c>
      <c r="AF688" t="s">
        <v>264</v>
      </c>
      <c r="AG688">
        <v>1.58</v>
      </c>
      <c r="AH688" t="s">
        <v>264</v>
      </c>
      <c r="AL688" t="s">
        <v>264</v>
      </c>
      <c r="AM688" s="6">
        <v>44792</v>
      </c>
      <c r="AN688" t="s">
        <v>497</v>
      </c>
      <c r="AO688" t="s">
        <v>268</v>
      </c>
      <c r="AP688">
        <v>1205</v>
      </c>
      <c r="AQ688" t="s">
        <v>269</v>
      </c>
      <c r="AR688">
        <v>283170</v>
      </c>
      <c r="AU688" t="s">
        <v>264</v>
      </c>
      <c r="AV688" t="s">
        <v>270</v>
      </c>
      <c r="AX688" t="s">
        <v>264</v>
      </c>
      <c r="AY688">
        <v>710200</v>
      </c>
      <c r="AZ688">
        <v>1205.7102</v>
      </c>
      <c r="BA688" s="28" t="s">
        <v>164</v>
      </c>
    </row>
    <row r="689" spans="1:53">
      <c r="A689" t="s">
        <v>639</v>
      </c>
      <c r="B689" t="s">
        <v>640</v>
      </c>
      <c r="C689">
        <v>14370666</v>
      </c>
      <c r="D689">
        <v>1205</v>
      </c>
      <c r="E689" s="6">
        <v>44792</v>
      </c>
      <c r="F689" t="s">
        <v>674</v>
      </c>
      <c r="G689">
        <v>15.13</v>
      </c>
      <c r="H689">
        <v>15.13</v>
      </c>
      <c r="I689" t="s">
        <v>263</v>
      </c>
      <c r="O689" t="s">
        <v>264</v>
      </c>
      <c r="Q689" t="s">
        <v>264</v>
      </c>
      <c r="R689" t="s">
        <v>524</v>
      </c>
      <c r="T689" t="s">
        <v>266</v>
      </c>
      <c r="U689" t="s">
        <v>267</v>
      </c>
      <c r="V689" t="s">
        <v>525</v>
      </c>
      <c r="W689" t="s">
        <v>526</v>
      </c>
      <c r="X689">
        <v>1933588</v>
      </c>
      <c r="Y689" s="6">
        <v>44792</v>
      </c>
      <c r="Z689" t="s">
        <v>264</v>
      </c>
      <c r="AA689">
        <v>6</v>
      </c>
      <c r="AB689" t="s">
        <v>264</v>
      </c>
      <c r="AD689" t="s">
        <v>264</v>
      </c>
      <c r="AE689" t="s">
        <v>264</v>
      </c>
      <c r="AF689" t="s">
        <v>264</v>
      </c>
      <c r="AG689">
        <v>1.58</v>
      </c>
      <c r="AH689" t="s">
        <v>264</v>
      </c>
      <c r="AL689" t="s">
        <v>264</v>
      </c>
      <c r="AM689" s="6">
        <v>44792</v>
      </c>
      <c r="AN689" t="s">
        <v>497</v>
      </c>
      <c r="AO689" t="s">
        <v>268</v>
      </c>
      <c r="AP689">
        <v>1205</v>
      </c>
      <c r="AQ689" t="s">
        <v>269</v>
      </c>
      <c r="AR689">
        <v>283171</v>
      </c>
      <c r="AU689" t="s">
        <v>264</v>
      </c>
      <c r="AV689" t="s">
        <v>270</v>
      </c>
      <c r="AX689" t="s">
        <v>264</v>
      </c>
      <c r="AY689">
        <v>710200</v>
      </c>
      <c r="AZ689">
        <v>1205.7102</v>
      </c>
      <c r="BA689" s="28" t="s">
        <v>164</v>
      </c>
    </row>
    <row r="690" spans="1:53">
      <c r="A690" t="s">
        <v>639</v>
      </c>
      <c r="B690" t="s">
        <v>640</v>
      </c>
      <c r="C690">
        <v>14370666</v>
      </c>
      <c r="D690">
        <v>1205</v>
      </c>
      <c r="E690" s="6">
        <v>44792</v>
      </c>
      <c r="F690" t="s">
        <v>674</v>
      </c>
      <c r="G690">
        <v>1.51</v>
      </c>
      <c r="H690">
        <v>1.51</v>
      </c>
      <c r="I690" t="s">
        <v>263</v>
      </c>
      <c r="O690" t="s">
        <v>264</v>
      </c>
      <c r="Q690" t="s">
        <v>264</v>
      </c>
      <c r="R690" t="s">
        <v>524</v>
      </c>
      <c r="T690" t="s">
        <v>266</v>
      </c>
      <c r="U690" t="s">
        <v>267</v>
      </c>
      <c r="V690" t="s">
        <v>525</v>
      </c>
      <c r="W690" t="s">
        <v>526</v>
      </c>
      <c r="X690">
        <v>1933588</v>
      </c>
      <c r="Y690" s="6">
        <v>44792</v>
      </c>
      <c r="Z690" t="s">
        <v>264</v>
      </c>
      <c r="AA690">
        <v>14</v>
      </c>
      <c r="AB690" t="s">
        <v>264</v>
      </c>
      <c r="AD690" t="s">
        <v>264</v>
      </c>
      <c r="AE690" t="s">
        <v>264</v>
      </c>
      <c r="AF690" t="s">
        <v>264</v>
      </c>
      <c r="AG690">
        <v>0.14000000000000001</v>
      </c>
      <c r="AH690" t="s">
        <v>264</v>
      </c>
      <c r="AL690" t="s">
        <v>264</v>
      </c>
      <c r="AM690" s="6">
        <v>44792</v>
      </c>
      <c r="AN690" t="s">
        <v>497</v>
      </c>
      <c r="AO690" t="s">
        <v>268</v>
      </c>
      <c r="AP690">
        <v>1205</v>
      </c>
      <c r="AQ690" t="s">
        <v>269</v>
      </c>
      <c r="AR690">
        <v>283174</v>
      </c>
      <c r="AU690" t="s">
        <v>264</v>
      </c>
      <c r="AV690" t="s">
        <v>270</v>
      </c>
      <c r="AX690" t="s">
        <v>264</v>
      </c>
      <c r="AY690">
        <v>710200</v>
      </c>
      <c r="AZ690">
        <v>1205.7102</v>
      </c>
      <c r="BA690" s="28" t="s">
        <v>164</v>
      </c>
    </row>
    <row r="691" spans="1:53">
      <c r="A691" t="s">
        <v>639</v>
      </c>
      <c r="B691" t="s">
        <v>640</v>
      </c>
      <c r="C691">
        <v>14370666</v>
      </c>
      <c r="D691">
        <v>1205</v>
      </c>
      <c r="E691" s="6">
        <v>44792</v>
      </c>
      <c r="F691" t="s">
        <v>674</v>
      </c>
      <c r="G691">
        <v>1.51</v>
      </c>
      <c r="H691">
        <v>1.51</v>
      </c>
      <c r="I691" t="s">
        <v>263</v>
      </c>
      <c r="O691" t="s">
        <v>264</v>
      </c>
      <c r="Q691" t="s">
        <v>264</v>
      </c>
      <c r="R691" t="s">
        <v>524</v>
      </c>
      <c r="T691" t="s">
        <v>266</v>
      </c>
      <c r="U691" t="s">
        <v>267</v>
      </c>
      <c r="V691" t="s">
        <v>525</v>
      </c>
      <c r="W691" t="s">
        <v>526</v>
      </c>
      <c r="X691">
        <v>1933588</v>
      </c>
      <c r="Y691" s="6">
        <v>44792</v>
      </c>
      <c r="Z691" t="s">
        <v>264</v>
      </c>
      <c r="AA691">
        <v>16</v>
      </c>
      <c r="AB691" t="s">
        <v>264</v>
      </c>
      <c r="AD691" t="s">
        <v>264</v>
      </c>
      <c r="AE691" t="s">
        <v>264</v>
      </c>
      <c r="AF691" t="s">
        <v>264</v>
      </c>
      <c r="AG691">
        <v>0.14000000000000001</v>
      </c>
      <c r="AH691" t="s">
        <v>264</v>
      </c>
      <c r="AL691" t="s">
        <v>264</v>
      </c>
      <c r="AM691" s="6">
        <v>44792</v>
      </c>
      <c r="AN691" t="s">
        <v>497</v>
      </c>
      <c r="AO691" t="s">
        <v>268</v>
      </c>
      <c r="AP691">
        <v>1205</v>
      </c>
      <c r="AQ691" t="s">
        <v>269</v>
      </c>
      <c r="AR691">
        <v>283175</v>
      </c>
      <c r="AU691" t="s">
        <v>264</v>
      </c>
      <c r="AV691" t="s">
        <v>270</v>
      </c>
      <c r="AX691" t="s">
        <v>264</v>
      </c>
      <c r="AY691">
        <v>710200</v>
      </c>
      <c r="AZ691">
        <v>1205.7102</v>
      </c>
      <c r="BA691" s="28" t="s">
        <v>164</v>
      </c>
    </row>
    <row r="692" spans="1:53">
      <c r="A692" t="s">
        <v>639</v>
      </c>
      <c r="B692" t="s">
        <v>640</v>
      </c>
      <c r="C692">
        <v>14370667</v>
      </c>
      <c r="D692">
        <v>1205</v>
      </c>
      <c r="E692" s="6">
        <v>44792</v>
      </c>
      <c r="F692" t="s">
        <v>680</v>
      </c>
      <c r="G692">
        <v>0.43</v>
      </c>
      <c r="H692">
        <v>0.43</v>
      </c>
      <c r="I692" t="s">
        <v>263</v>
      </c>
      <c r="O692" t="s">
        <v>264</v>
      </c>
      <c r="Q692" t="s">
        <v>264</v>
      </c>
      <c r="R692" t="s">
        <v>524</v>
      </c>
      <c r="T692" t="s">
        <v>266</v>
      </c>
      <c r="U692" t="s">
        <v>267</v>
      </c>
      <c r="V692" t="s">
        <v>525</v>
      </c>
      <c r="W692" t="s">
        <v>526</v>
      </c>
      <c r="X692">
        <v>1933921</v>
      </c>
      <c r="Y692" s="6">
        <v>44792</v>
      </c>
      <c r="Z692" t="s">
        <v>264</v>
      </c>
      <c r="AA692">
        <v>2</v>
      </c>
      <c r="AB692" t="s">
        <v>264</v>
      </c>
      <c r="AD692" t="s">
        <v>264</v>
      </c>
      <c r="AE692" t="s">
        <v>264</v>
      </c>
      <c r="AF692" t="s">
        <v>264</v>
      </c>
      <c r="AG692">
        <v>0.04</v>
      </c>
      <c r="AH692" t="s">
        <v>264</v>
      </c>
      <c r="AL692" t="s">
        <v>264</v>
      </c>
      <c r="AM692" s="6">
        <v>44792</v>
      </c>
      <c r="AN692" t="s">
        <v>497</v>
      </c>
      <c r="AO692" t="s">
        <v>268</v>
      </c>
      <c r="AP692">
        <v>1205</v>
      </c>
      <c r="AQ692" t="s">
        <v>269</v>
      </c>
      <c r="AR692">
        <v>283503</v>
      </c>
      <c r="AU692" t="s">
        <v>264</v>
      </c>
      <c r="AV692" t="s">
        <v>270</v>
      </c>
      <c r="AX692" t="s">
        <v>264</v>
      </c>
      <c r="AY692">
        <v>710200</v>
      </c>
      <c r="AZ692">
        <v>1205.7102</v>
      </c>
      <c r="BA692" s="28" t="s">
        <v>164</v>
      </c>
    </row>
    <row r="693" spans="1:53">
      <c r="A693" t="s">
        <v>639</v>
      </c>
      <c r="B693" t="s">
        <v>640</v>
      </c>
      <c r="C693">
        <v>14370667</v>
      </c>
      <c r="D693">
        <v>1205</v>
      </c>
      <c r="E693" s="6">
        <v>44792</v>
      </c>
      <c r="F693" t="s">
        <v>680</v>
      </c>
      <c r="G693">
        <v>0.43</v>
      </c>
      <c r="H693">
        <v>0.43</v>
      </c>
      <c r="I693" t="s">
        <v>263</v>
      </c>
      <c r="O693" t="s">
        <v>264</v>
      </c>
      <c r="Q693" t="s">
        <v>264</v>
      </c>
      <c r="R693" t="s">
        <v>524</v>
      </c>
      <c r="T693" t="s">
        <v>266</v>
      </c>
      <c r="U693" t="s">
        <v>267</v>
      </c>
      <c r="V693" t="s">
        <v>525</v>
      </c>
      <c r="W693" t="s">
        <v>526</v>
      </c>
      <c r="X693">
        <v>1933921</v>
      </c>
      <c r="Y693" s="6">
        <v>44792</v>
      </c>
      <c r="Z693" t="s">
        <v>264</v>
      </c>
      <c r="AA693">
        <v>4</v>
      </c>
      <c r="AB693" t="s">
        <v>264</v>
      </c>
      <c r="AD693" t="s">
        <v>264</v>
      </c>
      <c r="AE693" t="s">
        <v>264</v>
      </c>
      <c r="AF693" t="s">
        <v>264</v>
      </c>
      <c r="AG693">
        <v>0.04</v>
      </c>
      <c r="AH693" t="s">
        <v>264</v>
      </c>
      <c r="AL693" t="s">
        <v>264</v>
      </c>
      <c r="AM693" s="6">
        <v>44792</v>
      </c>
      <c r="AN693" t="s">
        <v>497</v>
      </c>
      <c r="AO693" t="s">
        <v>268</v>
      </c>
      <c r="AP693">
        <v>1205</v>
      </c>
      <c r="AQ693" t="s">
        <v>269</v>
      </c>
      <c r="AR693">
        <v>283504</v>
      </c>
      <c r="AU693" t="s">
        <v>264</v>
      </c>
      <c r="AV693" t="s">
        <v>270</v>
      </c>
      <c r="AX693" t="s">
        <v>264</v>
      </c>
      <c r="AY693">
        <v>710200</v>
      </c>
      <c r="AZ693">
        <v>1205.7102</v>
      </c>
      <c r="BA693" s="28" t="s">
        <v>164</v>
      </c>
    </row>
    <row r="694" spans="1:53">
      <c r="A694" t="s">
        <v>639</v>
      </c>
      <c r="B694" t="s">
        <v>640</v>
      </c>
      <c r="C694">
        <v>14370667</v>
      </c>
      <c r="D694">
        <v>1205</v>
      </c>
      <c r="E694" s="6">
        <v>44792</v>
      </c>
      <c r="F694" t="s">
        <v>680</v>
      </c>
      <c r="G694">
        <v>0.43</v>
      </c>
      <c r="H694">
        <v>0.43</v>
      </c>
      <c r="I694" t="s">
        <v>263</v>
      </c>
      <c r="O694" t="s">
        <v>264</v>
      </c>
      <c r="Q694" t="s">
        <v>264</v>
      </c>
      <c r="R694" t="s">
        <v>524</v>
      </c>
      <c r="T694" t="s">
        <v>266</v>
      </c>
      <c r="U694" t="s">
        <v>267</v>
      </c>
      <c r="V694" t="s">
        <v>525</v>
      </c>
      <c r="W694" t="s">
        <v>526</v>
      </c>
      <c r="X694">
        <v>1933921</v>
      </c>
      <c r="Y694" s="6">
        <v>44792</v>
      </c>
      <c r="Z694" t="s">
        <v>264</v>
      </c>
      <c r="AA694">
        <v>12</v>
      </c>
      <c r="AB694" t="s">
        <v>264</v>
      </c>
      <c r="AD694" t="s">
        <v>264</v>
      </c>
      <c r="AE694" t="s">
        <v>264</v>
      </c>
      <c r="AF694" t="s">
        <v>264</v>
      </c>
      <c r="AG694">
        <v>0.04</v>
      </c>
      <c r="AH694" t="s">
        <v>264</v>
      </c>
      <c r="AL694" t="s">
        <v>264</v>
      </c>
      <c r="AM694" s="6">
        <v>44792</v>
      </c>
      <c r="AN694" t="s">
        <v>497</v>
      </c>
      <c r="AO694" t="s">
        <v>268</v>
      </c>
      <c r="AP694">
        <v>1205</v>
      </c>
      <c r="AQ694" t="s">
        <v>269</v>
      </c>
      <c r="AR694">
        <v>283507</v>
      </c>
      <c r="AU694" t="s">
        <v>264</v>
      </c>
      <c r="AV694" t="s">
        <v>270</v>
      </c>
      <c r="AX694" t="s">
        <v>264</v>
      </c>
      <c r="AY694">
        <v>710200</v>
      </c>
      <c r="AZ694">
        <v>1205.7102</v>
      </c>
      <c r="BA694" s="28" t="s">
        <v>164</v>
      </c>
    </row>
    <row r="695" spans="1:53">
      <c r="A695" t="s">
        <v>639</v>
      </c>
      <c r="B695" t="s">
        <v>640</v>
      </c>
      <c r="C695">
        <v>14370667</v>
      </c>
      <c r="D695">
        <v>1205</v>
      </c>
      <c r="E695" s="6">
        <v>44792</v>
      </c>
      <c r="F695" t="s">
        <v>680</v>
      </c>
      <c r="G695">
        <v>0.43</v>
      </c>
      <c r="H695">
        <v>0.43</v>
      </c>
      <c r="I695" t="s">
        <v>263</v>
      </c>
      <c r="O695" t="s">
        <v>264</v>
      </c>
      <c r="Q695" t="s">
        <v>264</v>
      </c>
      <c r="R695" t="s">
        <v>524</v>
      </c>
      <c r="T695" t="s">
        <v>266</v>
      </c>
      <c r="U695" t="s">
        <v>267</v>
      </c>
      <c r="V695" t="s">
        <v>525</v>
      </c>
      <c r="W695" t="s">
        <v>526</v>
      </c>
      <c r="X695">
        <v>1933921</v>
      </c>
      <c r="Y695" s="6">
        <v>44792</v>
      </c>
      <c r="Z695" t="s">
        <v>264</v>
      </c>
      <c r="AA695">
        <v>6</v>
      </c>
      <c r="AB695" t="s">
        <v>264</v>
      </c>
      <c r="AD695" t="s">
        <v>264</v>
      </c>
      <c r="AE695" t="s">
        <v>264</v>
      </c>
      <c r="AF695" t="s">
        <v>264</v>
      </c>
      <c r="AG695">
        <v>0.04</v>
      </c>
      <c r="AH695" t="s">
        <v>264</v>
      </c>
      <c r="AL695" t="s">
        <v>264</v>
      </c>
      <c r="AM695" s="6">
        <v>44792</v>
      </c>
      <c r="AN695" t="s">
        <v>497</v>
      </c>
      <c r="AO695" t="s">
        <v>268</v>
      </c>
      <c r="AP695">
        <v>1205</v>
      </c>
      <c r="AQ695" t="s">
        <v>269</v>
      </c>
      <c r="AR695">
        <v>283269</v>
      </c>
      <c r="AU695" t="s">
        <v>264</v>
      </c>
      <c r="AV695" t="s">
        <v>270</v>
      </c>
      <c r="AX695" t="s">
        <v>264</v>
      </c>
      <c r="AY695">
        <v>710200</v>
      </c>
      <c r="AZ695">
        <v>1205.7102</v>
      </c>
      <c r="BA695" s="28" t="s">
        <v>164</v>
      </c>
    </row>
    <row r="696" spans="1:53">
      <c r="A696" t="s">
        <v>639</v>
      </c>
      <c r="B696" t="s">
        <v>640</v>
      </c>
      <c r="C696">
        <v>14370667</v>
      </c>
      <c r="D696">
        <v>1205</v>
      </c>
      <c r="E696" s="6">
        <v>44792</v>
      </c>
      <c r="F696" t="s">
        <v>680</v>
      </c>
      <c r="G696">
        <v>0.43</v>
      </c>
      <c r="H696">
        <v>0.43</v>
      </c>
      <c r="I696" t="s">
        <v>263</v>
      </c>
      <c r="O696" t="s">
        <v>264</v>
      </c>
      <c r="Q696" t="s">
        <v>264</v>
      </c>
      <c r="R696" t="s">
        <v>524</v>
      </c>
      <c r="T696" t="s">
        <v>266</v>
      </c>
      <c r="U696" t="s">
        <v>267</v>
      </c>
      <c r="V696" t="s">
        <v>525</v>
      </c>
      <c r="W696" t="s">
        <v>526</v>
      </c>
      <c r="X696">
        <v>1933921</v>
      </c>
      <c r="Y696" s="6">
        <v>44792</v>
      </c>
      <c r="Z696" t="s">
        <v>264</v>
      </c>
      <c r="AA696">
        <v>8</v>
      </c>
      <c r="AB696" t="s">
        <v>264</v>
      </c>
      <c r="AD696" t="s">
        <v>264</v>
      </c>
      <c r="AE696" t="s">
        <v>264</v>
      </c>
      <c r="AF696" t="s">
        <v>264</v>
      </c>
      <c r="AG696">
        <v>0.04</v>
      </c>
      <c r="AH696" t="s">
        <v>264</v>
      </c>
      <c r="AL696" t="s">
        <v>264</v>
      </c>
      <c r="AM696" s="6">
        <v>44792</v>
      </c>
      <c r="AN696" t="s">
        <v>497</v>
      </c>
      <c r="AO696" t="s">
        <v>268</v>
      </c>
      <c r="AP696">
        <v>1205</v>
      </c>
      <c r="AQ696" t="s">
        <v>269</v>
      </c>
      <c r="AR696">
        <v>283270</v>
      </c>
      <c r="AU696" t="s">
        <v>264</v>
      </c>
      <c r="AV696" t="s">
        <v>270</v>
      </c>
      <c r="AX696" t="s">
        <v>264</v>
      </c>
      <c r="AY696">
        <v>710200</v>
      </c>
      <c r="AZ696">
        <v>1205.7102</v>
      </c>
      <c r="BA696" s="28" t="s">
        <v>164</v>
      </c>
    </row>
    <row r="697" spans="1:53">
      <c r="A697" t="s">
        <v>639</v>
      </c>
      <c r="B697" t="s">
        <v>640</v>
      </c>
      <c r="C697">
        <v>14370667</v>
      </c>
      <c r="D697">
        <v>1205</v>
      </c>
      <c r="E697" s="6">
        <v>44792</v>
      </c>
      <c r="F697" t="s">
        <v>680</v>
      </c>
      <c r="G697">
        <v>0.43</v>
      </c>
      <c r="H697">
        <v>0.43</v>
      </c>
      <c r="I697" t="s">
        <v>263</v>
      </c>
      <c r="O697" t="s">
        <v>264</v>
      </c>
      <c r="Q697" t="s">
        <v>264</v>
      </c>
      <c r="R697" t="s">
        <v>524</v>
      </c>
      <c r="T697" t="s">
        <v>266</v>
      </c>
      <c r="U697" t="s">
        <v>267</v>
      </c>
      <c r="V697" t="s">
        <v>525</v>
      </c>
      <c r="W697" t="s">
        <v>526</v>
      </c>
      <c r="X697">
        <v>1933921</v>
      </c>
      <c r="Y697" s="6">
        <v>44792</v>
      </c>
      <c r="Z697" t="s">
        <v>264</v>
      </c>
      <c r="AA697">
        <v>10</v>
      </c>
      <c r="AB697" t="s">
        <v>264</v>
      </c>
      <c r="AD697" t="s">
        <v>264</v>
      </c>
      <c r="AE697" t="s">
        <v>264</v>
      </c>
      <c r="AF697" t="s">
        <v>264</v>
      </c>
      <c r="AG697">
        <v>0.04</v>
      </c>
      <c r="AH697" t="s">
        <v>264</v>
      </c>
      <c r="AL697" t="s">
        <v>264</v>
      </c>
      <c r="AM697" s="6">
        <v>44792</v>
      </c>
      <c r="AN697" t="s">
        <v>497</v>
      </c>
      <c r="AO697" t="s">
        <v>268</v>
      </c>
      <c r="AP697">
        <v>1205</v>
      </c>
      <c r="AQ697" t="s">
        <v>269</v>
      </c>
      <c r="AR697">
        <v>283506</v>
      </c>
      <c r="AU697" t="s">
        <v>264</v>
      </c>
      <c r="AV697" t="s">
        <v>270</v>
      </c>
      <c r="AX697" t="s">
        <v>264</v>
      </c>
      <c r="AY697">
        <v>710200</v>
      </c>
      <c r="AZ697">
        <v>1205.7102</v>
      </c>
      <c r="BA697" s="28" t="s">
        <v>164</v>
      </c>
    </row>
    <row r="698" spans="1:53">
      <c r="A698" t="s">
        <v>639</v>
      </c>
      <c r="B698" t="s">
        <v>640</v>
      </c>
      <c r="C698">
        <v>14370667</v>
      </c>
      <c r="D698">
        <v>1205</v>
      </c>
      <c r="E698" s="6">
        <v>44792</v>
      </c>
      <c r="F698" t="s">
        <v>680</v>
      </c>
      <c r="G698">
        <v>0.43</v>
      </c>
      <c r="H698">
        <v>0.43</v>
      </c>
      <c r="I698" t="s">
        <v>263</v>
      </c>
      <c r="O698" t="s">
        <v>264</v>
      </c>
      <c r="Q698" t="s">
        <v>264</v>
      </c>
      <c r="R698" t="s">
        <v>524</v>
      </c>
      <c r="T698" t="s">
        <v>266</v>
      </c>
      <c r="U698" t="s">
        <v>267</v>
      </c>
      <c r="V698" t="s">
        <v>525</v>
      </c>
      <c r="W698" t="s">
        <v>526</v>
      </c>
      <c r="X698">
        <v>1933921</v>
      </c>
      <c r="Y698" s="6">
        <v>44792</v>
      </c>
      <c r="Z698" t="s">
        <v>264</v>
      </c>
      <c r="AA698">
        <v>14</v>
      </c>
      <c r="AB698" t="s">
        <v>264</v>
      </c>
      <c r="AD698" t="s">
        <v>264</v>
      </c>
      <c r="AE698" t="s">
        <v>264</v>
      </c>
      <c r="AF698" t="s">
        <v>264</v>
      </c>
      <c r="AG698">
        <v>0.04</v>
      </c>
      <c r="AH698" t="s">
        <v>264</v>
      </c>
      <c r="AL698" t="s">
        <v>264</v>
      </c>
      <c r="AM698" s="6">
        <v>44792</v>
      </c>
      <c r="AN698" t="s">
        <v>497</v>
      </c>
      <c r="AO698" t="s">
        <v>268</v>
      </c>
      <c r="AP698">
        <v>1205</v>
      </c>
      <c r="AQ698" t="s">
        <v>269</v>
      </c>
      <c r="AR698">
        <v>283272</v>
      </c>
      <c r="AU698" t="s">
        <v>264</v>
      </c>
      <c r="AV698" t="s">
        <v>270</v>
      </c>
      <c r="AX698" t="s">
        <v>264</v>
      </c>
      <c r="AY698">
        <v>710200</v>
      </c>
      <c r="AZ698">
        <v>1205.7102</v>
      </c>
      <c r="BA698" s="28" t="s">
        <v>164</v>
      </c>
    </row>
    <row r="699" spans="1:53">
      <c r="A699" t="s">
        <v>639</v>
      </c>
      <c r="B699" t="s">
        <v>640</v>
      </c>
      <c r="C699">
        <v>14370667</v>
      </c>
      <c r="D699">
        <v>1205</v>
      </c>
      <c r="E699" s="6">
        <v>44792</v>
      </c>
      <c r="F699" t="s">
        <v>680</v>
      </c>
      <c r="G699">
        <v>0.43</v>
      </c>
      <c r="H699">
        <v>0.43</v>
      </c>
      <c r="I699" t="s">
        <v>263</v>
      </c>
      <c r="O699" t="s">
        <v>264</v>
      </c>
      <c r="Q699" t="s">
        <v>264</v>
      </c>
      <c r="R699" t="s">
        <v>524</v>
      </c>
      <c r="T699" t="s">
        <v>266</v>
      </c>
      <c r="U699" t="s">
        <v>267</v>
      </c>
      <c r="V699" t="s">
        <v>525</v>
      </c>
      <c r="W699" t="s">
        <v>526</v>
      </c>
      <c r="X699">
        <v>1933921</v>
      </c>
      <c r="Y699" s="6">
        <v>44792</v>
      </c>
      <c r="Z699" t="s">
        <v>264</v>
      </c>
      <c r="AA699">
        <v>16</v>
      </c>
      <c r="AB699" t="s">
        <v>264</v>
      </c>
      <c r="AD699" t="s">
        <v>264</v>
      </c>
      <c r="AE699" t="s">
        <v>264</v>
      </c>
      <c r="AF699" t="s">
        <v>264</v>
      </c>
      <c r="AG699">
        <v>0.04</v>
      </c>
      <c r="AH699" t="s">
        <v>264</v>
      </c>
      <c r="AL699" t="s">
        <v>264</v>
      </c>
      <c r="AM699" s="6">
        <v>44792</v>
      </c>
      <c r="AN699" t="s">
        <v>497</v>
      </c>
      <c r="AO699" t="s">
        <v>268</v>
      </c>
      <c r="AP699">
        <v>1205</v>
      </c>
      <c r="AQ699" t="s">
        <v>269</v>
      </c>
      <c r="AR699">
        <v>283273</v>
      </c>
      <c r="AU699" t="s">
        <v>264</v>
      </c>
      <c r="AV699" t="s">
        <v>270</v>
      </c>
      <c r="AX699" t="s">
        <v>264</v>
      </c>
      <c r="AY699">
        <v>710200</v>
      </c>
      <c r="AZ699">
        <v>1205.7102</v>
      </c>
      <c r="BA699" s="28" t="s">
        <v>164</v>
      </c>
    </row>
    <row r="700" spans="1:53">
      <c r="A700" t="s">
        <v>639</v>
      </c>
      <c r="B700" t="s">
        <v>640</v>
      </c>
      <c r="C700">
        <v>14370675</v>
      </c>
      <c r="D700">
        <v>1205</v>
      </c>
      <c r="E700" s="6">
        <v>44792</v>
      </c>
      <c r="F700" t="s">
        <v>681</v>
      </c>
      <c r="G700">
        <v>0.56999999999999995</v>
      </c>
      <c r="H700">
        <v>0.56999999999999995</v>
      </c>
      <c r="I700" t="s">
        <v>263</v>
      </c>
      <c r="O700" t="s">
        <v>264</v>
      </c>
      <c r="Q700" t="s">
        <v>264</v>
      </c>
      <c r="R700" t="s">
        <v>524</v>
      </c>
      <c r="T700" t="s">
        <v>266</v>
      </c>
      <c r="U700" t="s">
        <v>267</v>
      </c>
      <c r="V700" t="s">
        <v>525</v>
      </c>
      <c r="W700" t="s">
        <v>526</v>
      </c>
      <c r="X700">
        <v>1934034</v>
      </c>
      <c r="Y700" s="6">
        <v>44792</v>
      </c>
      <c r="Z700" t="s">
        <v>264</v>
      </c>
      <c r="AA700">
        <v>2</v>
      </c>
      <c r="AB700" t="s">
        <v>264</v>
      </c>
      <c r="AD700" t="s">
        <v>264</v>
      </c>
      <c r="AE700" t="s">
        <v>264</v>
      </c>
      <c r="AF700" t="s">
        <v>264</v>
      </c>
      <c r="AG700">
        <v>5</v>
      </c>
      <c r="AH700" t="s">
        <v>264</v>
      </c>
      <c r="AL700" t="s">
        <v>264</v>
      </c>
      <c r="AM700" s="6">
        <v>44792</v>
      </c>
      <c r="AN700" t="s">
        <v>670</v>
      </c>
      <c r="AO700" t="s">
        <v>268</v>
      </c>
      <c r="AP700">
        <v>1205</v>
      </c>
      <c r="AQ700" t="s">
        <v>269</v>
      </c>
      <c r="AR700">
        <v>263571</v>
      </c>
      <c r="AU700" t="s">
        <v>264</v>
      </c>
      <c r="AV700" t="s">
        <v>270</v>
      </c>
      <c r="AX700" t="s">
        <v>264</v>
      </c>
      <c r="AY700">
        <v>710200</v>
      </c>
      <c r="AZ700">
        <v>1205.7102</v>
      </c>
      <c r="BA700" s="28" t="s">
        <v>164</v>
      </c>
    </row>
    <row r="701" spans="1:53">
      <c r="A701" t="s">
        <v>639</v>
      </c>
      <c r="B701" t="s">
        <v>640</v>
      </c>
      <c r="C701">
        <v>14370678</v>
      </c>
      <c r="D701">
        <v>1205</v>
      </c>
      <c r="E701" s="6">
        <v>44792</v>
      </c>
      <c r="F701" t="s">
        <v>682</v>
      </c>
      <c r="G701">
        <v>0.18</v>
      </c>
      <c r="H701">
        <v>0.18</v>
      </c>
      <c r="I701" t="s">
        <v>263</v>
      </c>
      <c r="O701" t="s">
        <v>264</v>
      </c>
      <c r="Q701" t="s">
        <v>264</v>
      </c>
      <c r="R701" t="s">
        <v>524</v>
      </c>
      <c r="T701" t="s">
        <v>266</v>
      </c>
      <c r="U701" t="s">
        <v>267</v>
      </c>
      <c r="V701" t="s">
        <v>525</v>
      </c>
      <c r="W701" t="s">
        <v>526</v>
      </c>
      <c r="X701">
        <v>1934048</v>
      </c>
      <c r="Y701" s="6">
        <v>44792</v>
      </c>
      <c r="Z701" t="s">
        <v>264</v>
      </c>
      <c r="AA701">
        <v>2</v>
      </c>
      <c r="AB701" t="s">
        <v>264</v>
      </c>
      <c r="AD701" t="s">
        <v>264</v>
      </c>
      <c r="AE701" t="s">
        <v>264</v>
      </c>
      <c r="AF701" t="s">
        <v>264</v>
      </c>
      <c r="AG701">
        <v>5</v>
      </c>
      <c r="AH701" t="s">
        <v>264</v>
      </c>
      <c r="AL701" t="s">
        <v>264</v>
      </c>
      <c r="AM701" s="6">
        <v>44792</v>
      </c>
      <c r="AN701" t="s">
        <v>673</v>
      </c>
      <c r="AO701" t="s">
        <v>268</v>
      </c>
      <c r="AP701">
        <v>1205</v>
      </c>
      <c r="AQ701" t="s">
        <v>269</v>
      </c>
      <c r="AR701">
        <v>254787</v>
      </c>
      <c r="AU701" t="s">
        <v>264</v>
      </c>
      <c r="AV701" t="s">
        <v>270</v>
      </c>
      <c r="AX701" t="s">
        <v>264</v>
      </c>
      <c r="AY701">
        <v>710200</v>
      </c>
      <c r="AZ701">
        <v>1205.7102</v>
      </c>
      <c r="BA701" s="28" t="s">
        <v>164</v>
      </c>
    </row>
    <row r="702" spans="1:53">
      <c r="A702" t="s">
        <v>639</v>
      </c>
      <c r="B702" t="s">
        <v>640</v>
      </c>
      <c r="C702">
        <v>14370682</v>
      </c>
      <c r="D702">
        <v>1205</v>
      </c>
      <c r="E702" s="6">
        <v>44795</v>
      </c>
      <c r="F702" t="s">
        <v>674</v>
      </c>
      <c r="G702">
        <v>34.29</v>
      </c>
      <c r="H702">
        <v>34.29</v>
      </c>
      <c r="I702" t="s">
        <v>263</v>
      </c>
      <c r="O702" t="s">
        <v>264</v>
      </c>
      <c r="Q702" t="s">
        <v>264</v>
      </c>
      <c r="R702" t="s">
        <v>524</v>
      </c>
      <c r="T702" t="s">
        <v>266</v>
      </c>
      <c r="U702" t="s">
        <v>267</v>
      </c>
      <c r="V702" t="s">
        <v>525</v>
      </c>
      <c r="W702" t="s">
        <v>526</v>
      </c>
      <c r="X702">
        <v>1934294</v>
      </c>
      <c r="Y702" s="6">
        <v>44795</v>
      </c>
      <c r="Z702" t="s">
        <v>264</v>
      </c>
      <c r="AA702">
        <v>2</v>
      </c>
      <c r="AB702" t="s">
        <v>264</v>
      </c>
      <c r="AD702" t="s">
        <v>264</v>
      </c>
      <c r="AE702" t="s">
        <v>264</v>
      </c>
      <c r="AF702" t="s">
        <v>264</v>
      </c>
      <c r="AG702">
        <v>3.58</v>
      </c>
      <c r="AH702" t="s">
        <v>264</v>
      </c>
      <c r="AL702" t="s">
        <v>264</v>
      </c>
      <c r="AM702" s="6">
        <v>44795</v>
      </c>
      <c r="AN702" t="s">
        <v>497</v>
      </c>
      <c r="AO702" t="s">
        <v>268</v>
      </c>
      <c r="AP702">
        <v>1205</v>
      </c>
      <c r="AQ702" t="s">
        <v>269</v>
      </c>
      <c r="AR702">
        <v>283164</v>
      </c>
      <c r="AU702" t="s">
        <v>264</v>
      </c>
      <c r="AV702" t="s">
        <v>270</v>
      </c>
      <c r="AX702" t="s">
        <v>264</v>
      </c>
      <c r="AY702">
        <v>710200</v>
      </c>
      <c r="AZ702">
        <v>1205.7102</v>
      </c>
      <c r="BA702" s="28" t="s">
        <v>164</v>
      </c>
    </row>
    <row r="703" spans="1:53">
      <c r="A703" t="s">
        <v>639</v>
      </c>
      <c r="B703" t="s">
        <v>640</v>
      </c>
      <c r="C703">
        <v>14370682</v>
      </c>
      <c r="D703">
        <v>1205</v>
      </c>
      <c r="E703" s="6">
        <v>44795</v>
      </c>
      <c r="F703" t="s">
        <v>674</v>
      </c>
      <c r="G703">
        <v>1.19</v>
      </c>
      <c r="H703">
        <v>1.19</v>
      </c>
      <c r="I703" t="s">
        <v>263</v>
      </c>
      <c r="O703" t="s">
        <v>264</v>
      </c>
      <c r="Q703" t="s">
        <v>264</v>
      </c>
      <c r="R703" t="s">
        <v>524</v>
      </c>
      <c r="T703" t="s">
        <v>266</v>
      </c>
      <c r="U703" t="s">
        <v>267</v>
      </c>
      <c r="V703" t="s">
        <v>525</v>
      </c>
      <c r="W703" t="s">
        <v>526</v>
      </c>
      <c r="X703">
        <v>1934294</v>
      </c>
      <c r="Y703" s="6">
        <v>44795</v>
      </c>
      <c r="Z703" t="s">
        <v>264</v>
      </c>
      <c r="AA703">
        <v>4</v>
      </c>
      <c r="AB703" t="s">
        <v>264</v>
      </c>
      <c r="AD703" t="s">
        <v>264</v>
      </c>
      <c r="AE703" t="s">
        <v>264</v>
      </c>
      <c r="AF703" t="s">
        <v>264</v>
      </c>
      <c r="AG703">
        <v>0.11</v>
      </c>
      <c r="AH703" t="s">
        <v>264</v>
      </c>
      <c r="AL703" t="s">
        <v>264</v>
      </c>
      <c r="AM703" s="6">
        <v>44795</v>
      </c>
      <c r="AN703" t="s">
        <v>497</v>
      </c>
      <c r="AO703" t="s">
        <v>268</v>
      </c>
      <c r="AP703">
        <v>1205</v>
      </c>
      <c r="AQ703" t="s">
        <v>269</v>
      </c>
      <c r="AR703">
        <v>283140</v>
      </c>
      <c r="AU703" t="s">
        <v>264</v>
      </c>
      <c r="AV703" t="s">
        <v>270</v>
      </c>
      <c r="AX703" t="s">
        <v>264</v>
      </c>
      <c r="AY703">
        <v>710200</v>
      </c>
      <c r="AZ703">
        <v>1205.7102</v>
      </c>
      <c r="BA703" s="28" t="s">
        <v>164</v>
      </c>
    </row>
    <row r="704" spans="1:53">
      <c r="A704" t="s">
        <v>639</v>
      </c>
      <c r="B704" t="s">
        <v>640</v>
      </c>
      <c r="C704">
        <v>14370682</v>
      </c>
      <c r="D704">
        <v>1205</v>
      </c>
      <c r="E704" s="6">
        <v>44795</v>
      </c>
      <c r="F704" t="s">
        <v>674</v>
      </c>
      <c r="G704">
        <v>0.76</v>
      </c>
      <c r="H704">
        <v>0.76</v>
      </c>
      <c r="I704" t="s">
        <v>263</v>
      </c>
      <c r="O704" t="s">
        <v>264</v>
      </c>
      <c r="Q704" t="s">
        <v>264</v>
      </c>
      <c r="R704" t="s">
        <v>524</v>
      </c>
      <c r="T704" t="s">
        <v>266</v>
      </c>
      <c r="U704" t="s">
        <v>267</v>
      </c>
      <c r="V704" t="s">
        <v>525</v>
      </c>
      <c r="W704" t="s">
        <v>526</v>
      </c>
      <c r="X704">
        <v>1934294</v>
      </c>
      <c r="Y704" s="6">
        <v>44795</v>
      </c>
      <c r="Z704" t="s">
        <v>264</v>
      </c>
      <c r="AA704">
        <v>6</v>
      </c>
      <c r="AB704" t="s">
        <v>264</v>
      </c>
      <c r="AD704" t="s">
        <v>264</v>
      </c>
      <c r="AE704" t="s">
        <v>264</v>
      </c>
      <c r="AF704" t="s">
        <v>264</v>
      </c>
      <c r="AG704">
        <v>7.0000000000000007E-2</v>
      </c>
      <c r="AH704" t="s">
        <v>264</v>
      </c>
      <c r="AL704" t="s">
        <v>264</v>
      </c>
      <c r="AM704" s="6">
        <v>44795</v>
      </c>
      <c r="AN704" t="s">
        <v>497</v>
      </c>
      <c r="AO704" t="s">
        <v>268</v>
      </c>
      <c r="AP704">
        <v>1205</v>
      </c>
      <c r="AQ704" t="s">
        <v>269</v>
      </c>
      <c r="AR704">
        <v>283254</v>
      </c>
      <c r="AU704" t="s">
        <v>264</v>
      </c>
      <c r="AV704" t="s">
        <v>270</v>
      </c>
      <c r="AX704" t="s">
        <v>264</v>
      </c>
      <c r="AY704">
        <v>710200</v>
      </c>
      <c r="AZ704">
        <v>1205.7102</v>
      </c>
      <c r="BA704" s="28" t="s">
        <v>164</v>
      </c>
    </row>
    <row r="705" spans="1:53">
      <c r="A705" t="s">
        <v>639</v>
      </c>
      <c r="B705" t="s">
        <v>640</v>
      </c>
      <c r="C705">
        <v>14370686</v>
      </c>
      <c r="D705">
        <v>1205</v>
      </c>
      <c r="E705" s="6">
        <v>44797</v>
      </c>
      <c r="F705" t="s">
        <v>677</v>
      </c>
      <c r="G705">
        <v>0.25</v>
      </c>
      <c r="H705">
        <v>0.25</v>
      </c>
      <c r="I705" t="s">
        <v>263</v>
      </c>
      <c r="O705" t="s">
        <v>264</v>
      </c>
      <c r="Q705" t="s">
        <v>264</v>
      </c>
      <c r="R705" t="s">
        <v>524</v>
      </c>
      <c r="T705" t="s">
        <v>266</v>
      </c>
      <c r="U705" t="s">
        <v>267</v>
      </c>
      <c r="V705" t="s">
        <v>525</v>
      </c>
      <c r="W705" t="s">
        <v>526</v>
      </c>
      <c r="X705">
        <v>1934579</v>
      </c>
      <c r="Y705" s="6">
        <v>44797</v>
      </c>
      <c r="Z705" t="s">
        <v>264</v>
      </c>
      <c r="AA705">
        <v>2</v>
      </c>
      <c r="AB705" t="s">
        <v>264</v>
      </c>
      <c r="AD705" t="s">
        <v>264</v>
      </c>
      <c r="AE705" t="s">
        <v>264</v>
      </c>
      <c r="AF705" t="s">
        <v>264</v>
      </c>
      <c r="AG705">
        <v>24</v>
      </c>
      <c r="AH705" t="s">
        <v>264</v>
      </c>
      <c r="AL705" t="s">
        <v>264</v>
      </c>
      <c r="AM705" s="6">
        <v>44797</v>
      </c>
      <c r="AN705" t="s">
        <v>670</v>
      </c>
      <c r="AO705" t="s">
        <v>268</v>
      </c>
      <c r="AP705">
        <v>1205</v>
      </c>
      <c r="AQ705" t="s">
        <v>269</v>
      </c>
      <c r="AR705">
        <v>274619</v>
      </c>
      <c r="AU705" t="s">
        <v>264</v>
      </c>
      <c r="AV705" t="s">
        <v>270</v>
      </c>
      <c r="AX705" t="s">
        <v>264</v>
      </c>
      <c r="AY705">
        <v>710200</v>
      </c>
      <c r="AZ705">
        <v>1205.7102</v>
      </c>
      <c r="BA705" s="28" t="s">
        <v>164</v>
      </c>
    </row>
    <row r="706" spans="1:53">
      <c r="A706" t="s">
        <v>639</v>
      </c>
      <c r="B706" t="s">
        <v>640</v>
      </c>
      <c r="C706">
        <v>14370687</v>
      </c>
      <c r="D706">
        <v>1205</v>
      </c>
      <c r="E706" s="6">
        <v>44797</v>
      </c>
      <c r="F706" t="s">
        <v>677</v>
      </c>
      <c r="G706">
        <v>7.0000000000000007E-2</v>
      </c>
      <c r="H706">
        <v>7.0000000000000007E-2</v>
      </c>
      <c r="I706" t="s">
        <v>263</v>
      </c>
      <c r="O706" t="s">
        <v>264</v>
      </c>
      <c r="Q706" t="s">
        <v>264</v>
      </c>
      <c r="R706" t="s">
        <v>524</v>
      </c>
      <c r="T706" t="s">
        <v>266</v>
      </c>
      <c r="U706" t="s">
        <v>267</v>
      </c>
      <c r="V706" t="s">
        <v>525</v>
      </c>
      <c r="W706" t="s">
        <v>526</v>
      </c>
      <c r="X706">
        <v>1934705</v>
      </c>
      <c r="Y706" s="6">
        <v>44797</v>
      </c>
      <c r="Z706" t="s">
        <v>264</v>
      </c>
      <c r="AA706">
        <v>2</v>
      </c>
      <c r="AB706" t="s">
        <v>264</v>
      </c>
      <c r="AD706" t="s">
        <v>264</v>
      </c>
      <c r="AE706" t="s">
        <v>264</v>
      </c>
      <c r="AF706" t="s">
        <v>264</v>
      </c>
      <c r="AG706">
        <v>5</v>
      </c>
      <c r="AH706" t="s">
        <v>264</v>
      </c>
      <c r="AL706" t="s">
        <v>264</v>
      </c>
      <c r="AM706" s="6">
        <v>44797</v>
      </c>
      <c r="AN706" t="s">
        <v>670</v>
      </c>
      <c r="AO706" t="s">
        <v>268</v>
      </c>
      <c r="AP706">
        <v>1205</v>
      </c>
      <c r="AQ706" t="s">
        <v>269</v>
      </c>
      <c r="AR706">
        <v>281623</v>
      </c>
      <c r="AU706" t="s">
        <v>264</v>
      </c>
      <c r="AV706" t="s">
        <v>270</v>
      </c>
      <c r="AX706" t="s">
        <v>264</v>
      </c>
      <c r="AY706">
        <v>710200</v>
      </c>
      <c r="AZ706">
        <v>1205.7102</v>
      </c>
      <c r="BA706" s="28" t="s">
        <v>164</v>
      </c>
    </row>
    <row r="707" spans="1:53">
      <c r="A707" t="s">
        <v>639</v>
      </c>
      <c r="B707" t="s">
        <v>640</v>
      </c>
      <c r="C707">
        <v>14370692</v>
      </c>
      <c r="D707">
        <v>1205</v>
      </c>
      <c r="E707" s="6">
        <v>44799</v>
      </c>
      <c r="F707" t="s">
        <v>1125</v>
      </c>
      <c r="G707">
        <v>14.11</v>
      </c>
      <c r="H707">
        <v>14.11</v>
      </c>
      <c r="I707" t="s">
        <v>263</v>
      </c>
      <c r="O707" t="s">
        <v>264</v>
      </c>
      <c r="Q707" t="s">
        <v>264</v>
      </c>
      <c r="R707" t="s">
        <v>524</v>
      </c>
      <c r="T707" t="s">
        <v>266</v>
      </c>
      <c r="U707" t="s">
        <v>267</v>
      </c>
      <c r="V707" t="s">
        <v>525</v>
      </c>
      <c r="W707" t="s">
        <v>526</v>
      </c>
      <c r="X707">
        <v>1935488</v>
      </c>
      <c r="Y707" s="6">
        <v>44799</v>
      </c>
      <c r="Z707" t="s">
        <v>264</v>
      </c>
      <c r="AA707">
        <v>2</v>
      </c>
      <c r="AB707" t="s">
        <v>264</v>
      </c>
      <c r="AD707" t="s">
        <v>264</v>
      </c>
      <c r="AE707" t="s">
        <v>264</v>
      </c>
      <c r="AF707" t="s">
        <v>264</v>
      </c>
      <c r="AG707">
        <v>5</v>
      </c>
      <c r="AH707" t="s">
        <v>264</v>
      </c>
      <c r="AL707" t="s">
        <v>264</v>
      </c>
      <c r="AM707" s="6">
        <v>44799</v>
      </c>
      <c r="AN707" t="s">
        <v>1126</v>
      </c>
      <c r="AO707" t="s">
        <v>268</v>
      </c>
      <c r="AP707">
        <v>1205</v>
      </c>
      <c r="AQ707" t="s">
        <v>269</v>
      </c>
      <c r="AR707">
        <v>269662</v>
      </c>
      <c r="AU707" t="s">
        <v>264</v>
      </c>
      <c r="AV707" t="s">
        <v>270</v>
      </c>
      <c r="AX707" t="s">
        <v>264</v>
      </c>
      <c r="AY707">
        <v>710200</v>
      </c>
      <c r="AZ707">
        <v>1205.7102</v>
      </c>
      <c r="BA707" s="28" t="s">
        <v>164</v>
      </c>
    </row>
    <row r="708" spans="1:53">
      <c r="A708" t="s">
        <v>639</v>
      </c>
      <c r="B708" t="s">
        <v>640</v>
      </c>
      <c r="C708">
        <v>14370693</v>
      </c>
      <c r="D708">
        <v>1205</v>
      </c>
      <c r="E708" s="6">
        <v>44802</v>
      </c>
      <c r="F708" t="s">
        <v>679</v>
      </c>
      <c r="G708">
        <v>0.28999999999999998</v>
      </c>
      <c r="H708">
        <v>0.28999999999999998</v>
      </c>
      <c r="I708" t="s">
        <v>263</v>
      </c>
      <c r="O708" t="s">
        <v>264</v>
      </c>
      <c r="Q708" t="s">
        <v>264</v>
      </c>
      <c r="R708" t="s">
        <v>524</v>
      </c>
      <c r="T708" t="s">
        <v>266</v>
      </c>
      <c r="U708" t="s">
        <v>267</v>
      </c>
      <c r="V708" t="s">
        <v>525</v>
      </c>
      <c r="W708" t="s">
        <v>526</v>
      </c>
      <c r="X708">
        <v>1935581</v>
      </c>
      <c r="Y708" s="6">
        <v>44802</v>
      </c>
      <c r="Z708" t="s">
        <v>264</v>
      </c>
      <c r="AA708">
        <v>8</v>
      </c>
      <c r="AB708" t="s">
        <v>264</v>
      </c>
      <c r="AD708" t="s">
        <v>264</v>
      </c>
      <c r="AE708" t="s">
        <v>264</v>
      </c>
      <c r="AF708" t="s">
        <v>264</v>
      </c>
      <c r="AG708">
        <v>20</v>
      </c>
      <c r="AH708" t="s">
        <v>264</v>
      </c>
      <c r="AL708" t="s">
        <v>264</v>
      </c>
      <c r="AM708" s="6">
        <v>44802</v>
      </c>
      <c r="AN708" t="s">
        <v>670</v>
      </c>
      <c r="AO708" t="s">
        <v>268</v>
      </c>
      <c r="AP708">
        <v>1205</v>
      </c>
      <c r="AQ708" t="s">
        <v>269</v>
      </c>
      <c r="AR708">
        <v>283388</v>
      </c>
      <c r="AU708" t="s">
        <v>264</v>
      </c>
      <c r="AV708" t="s">
        <v>270</v>
      </c>
      <c r="AX708" t="s">
        <v>264</v>
      </c>
      <c r="AY708">
        <v>710200</v>
      </c>
      <c r="AZ708">
        <v>1205.7102</v>
      </c>
      <c r="BA708" s="28" t="s">
        <v>164</v>
      </c>
    </row>
    <row r="709" spans="1:53">
      <c r="A709" t="s">
        <v>639</v>
      </c>
      <c r="B709" t="s">
        <v>640</v>
      </c>
      <c r="C709">
        <v>14370693</v>
      </c>
      <c r="D709">
        <v>1205</v>
      </c>
      <c r="E709" s="6">
        <v>44802</v>
      </c>
      <c r="F709" t="s">
        <v>679</v>
      </c>
      <c r="G709">
        <v>0.85</v>
      </c>
      <c r="H709">
        <v>0.85</v>
      </c>
      <c r="I709" t="s">
        <v>263</v>
      </c>
      <c r="O709" t="s">
        <v>264</v>
      </c>
      <c r="Q709" t="s">
        <v>264</v>
      </c>
      <c r="R709" t="s">
        <v>524</v>
      </c>
      <c r="T709" t="s">
        <v>266</v>
      </c>
      <c r="U709" t="s">
        <v>267</v>
      </c>
      <c r="V709" t="s">
        <v>525</v>
      </c>
      <c r="W709" t="s">
        <v>526</v>
      </c>
      <c r="X709">
        <v>1935581</v>
      </c>
      <c r="Y709" s="6">
        <v>44802</v>
      </c>
      <c r="Z709" t="s">
        <v>264</v>
      </c>
      <c r="AA709">
        <v>2</v>
      </c>
      <c r="AB709" t="s">
        <v>264</v>
      </c>
      <c r="AD709" t="s">
        <v>264</v>
      </c>
      <c r="AE709" t="s">
        <v>264</v>
      </c>
      <c r="AF709" t="s">
        <v>264</v>
      </c>
      <c r="AG709">
        <v>20</v>
      </c>
      <c r="AH709" t="s">
        <v>264</v>
      </c>
      <c r="AL709" t="s">
        <v>264</v>
      </c>
      <c r="AM709" s="6">
        <v>44802</v>
      </c>
      <c r="AN709" t="s">
        <v>670</v>
      </c>
      <c r="AO709" t="s">
        <v>268</v>
      </c>
      <c r="AP709">
        <v>1205</v>
      </c>
      <c r="AQ709" t="s">
        <v>269</v>
      </c>
      <c r="AR709">
        <v>283522</v>
      </c>
      <c r="AU709" t="s">
        <v>264</v>
      </c>
      <c r="AV709" t="s">
        <v>270</v>
      </c>
      <c r="AX709" t="s">
        <v>264</v>
      </c>
      <c r="AY709">
        <v>710200</v>
      </c>
      <c r="AZ709">
        <v>1205.7102</v>
      </c>
      <c r="BA709" s="28" t="s">
        <v>164</v>
      </c>
    </row>
    <row r="710" spans="1:53">
      <c r="A710" t="s">
        <v>639</v>
      </c>
      <c r="B710" t="s">
        <v>640</v>
      </c>
      <c r="C710">
        <v>14370693</v>
      </c>
      <c r="D710">
        <v>1205</v>
      </c>
      <c r="E710" s="6">
        <v>44802</v>
      </c>
      <c r="F710" t="s">
        <v>679</v>
      </c>
      <c r="G710">
        <v>0.43</v>
      </c>
      <c r="H710">
        <v>0.43</v>
      </c>
      <c r="I710" t="s">
        <v>263</v>
      </c>
      <c r="O710" t="s">
        <v>264</v>
      </c>
      <c r="Q710" t="s">
        <v>264</v>
      </c>
      <c r="R710" t="s">
        <v>524</v>
      </c>
      <c r="T710" t="s">
        <v>266</v>
      </c>
      <c r="U710" t="s">
        <v>267</v>
      </c>
      <c r="V710" t="s">
        <v>525</v>
      </c>
      <c r="W710" t="s">
        <v>526</v>
      </c>
      <c r="X710">
        <v>1935581</v>
      </c>
      <c r="Y710" s="6">
        <v>44802</v>
      </c>
      <c r="Z710" t="s">
        <v>264</v>
      </c>
      <c r="AA710">
        <v>4</v>
      </c>
      <c r="AB710" t="s">
        <v>264</v>
      </c>
      <c r="AD710" t="s">
        <v>264</v>
      </c>
      <c r="AE710" t="s">
        <v>264</v>
      </c>
      <c r="AF710" t="s">
        <v>264</v>
      </c>
      <c r="AG710">
        <v>20</v>
      </c>
      <c r="AH710" t="s">
        <v>264</v>
      </c>
      <c r="AL710" t="s">
        <v>264</v>
      </c>
      <c r="AM710" s="6">
        <v>44802</v>
      </c>
      <c r="AN710" t="s">
        <v>670</v>
      </c>
      <c r="AO710" t="s">
        <v>268</v>
      </c>
      <c r="AP710">
        <v>1205</v>
      </c>
      <c r="AQ710" t="s">
        <v>269</v>
      </c>
      <c r="AR710">
        <v>283312</v>
      </c>
      <c r="AU710" t="s">
        <v>264</v>
      </c>
      <c r="AV710" t="s">
        <v>270</v>
      </c>
      <c r="AX710" t="s">
        <v>264</v>
      </c>
      <c r="AY710">
        <v>710200</v>
      </c>
      <c r="AZ710">
        <v>1205.7102</v>
      </c>
      <c r="BA710" s="28" t="s">
        <v>164</v>
      </c>
    </row>
    <row r="711" spans="1:53">
      <c r="A711" t="s">
        <v>639</v>
      </c>
      <c r="B711" t="s">
        <v>640</v>
      </c>
      <c r="C711">
        <v>14370693</v>
      </c>
      <c r="D711">
        <v>1205</v>
      </c>
      <c r="E711" s="6">
        <v>44802</v>
      </c>
      <c r="F711" t="s">
        <v>679</v>
      </c>
      <c r="G711">
        <v>0.28999999999999998</v>
      </c>
      <c r="H711">
        <v>0.28999999999999998</v>
      </c>
      <c r="I711" t="s">
        <v>263</v>
      </c>
      <c r="O711" t="s">
        <v>264</v>
      </c>
      <c r="Q711" t="s">
        <v>264</v>
      </c>
      <c r="R711" t="s">
        <v>524</v>
      </c>
      <c r="T711" t="s">
        <v>266</v>
      </c>
      <c r="U711" t="s">
        <v>267</v>
      </c>
      <c r="V711" t="s">
        <v>525</v>
      </c>
      <c r="W711" t="s">
        <v>526</v>
      </c>
      <c r="X711">
        <v>1935581</v>
      </c>
      <c r="Y711" s="6">
        <v>44802</v>
      </c>
      <c r="Z711" t="s">
        <v>264</v>
      </c>
      <c r="AA711">
        <v>6</v>
      </c>
      <c r="AB711" t="s">
        <v>264</v>
      </c>
      <c r="AD711" t="s">
        <v>264</v>
      </c>
      <c r="AE711" t="s">
        <v>264</v>
      </c>
      <c r="AF711" t="s">
        <v>264</v>
      </c>
      <c r="AG711">
        <v>20</v>
      </c>
      <c r="AH711" t="s">
        <v>264</v>
      </c>
      <c r="AL711" t="s">
        <v>264</v>
      </c>
      <c r="AM711" s="6">
        <v>44802</v>
      </c>
      <c r="AN711" t="s">
        <v>670</v>
      </c>
      <c r="AO711" t="s">
        <v>268</v>
      </c>
      <c r="AP711">
        <v>1205</v>
      </c>
      <c r="AQ711" t="s">
        <v>269</v>
      </c>
      <c r="AR711">
        <v>283521</v>
      </c>
      <c r="AU711" t="s">
        <v>264</v>
      </c>
      <c r="AV711" t="s">
        <v>270</v>
      </c>
      <c r="AX711" t="s">
        <v>264</v>
      </c>
      <c r="AY711">
        <v>710200</v>
      </c>
      <c r="AZ711">
        <v>1205.7102</v>
      </c>
      <c r="BA711" s="28" t="s">
        <v>164</v>
      </c>
    </row>
    <row r="712" spans="1:53">
      <c r="A712" t="s">
        <v>639</v>
      </c>
      <c r="B712" t="s">
        <v>640</v>
      </c>
      <c r="C712">
        <v>14370694</v>
      </c>
      <c r="D712">
        <v>1205</v>
      </c>
      <c r="E712" s="6">
        <v>44802</v>
      </c>
      <c r="F712" t="s">
        <v>1127</v>
      </c>
      <c r="G712">
        <v>1.68</v>
      </c>
      <c r="H712">
        <v>1.68</v>
      </c>
      <c r="I712" t="s">
        <v>263</v>
      </c>
      <c r="O712" t="s">
        <v>264</v>
      </c>
      <c r="Q712" t="s">
        <v>264</v>
      </c>
      <c r="R712" t="s">
        <v>524</v>
      </c>
      <c r="T712" t="s">
        <v>266</v>
      </c>
      <c r="U712" t="s">
        <v>267</v>
      </c>
      <c r="V712" t="s">
        <v>525</v>
      </c>
      <c r="W712" t="s">
        <v>526</v>
      </c>
      <c r="X712">
        <v>1935870</v>
      </c>
      <c r="Y712" s="6">
        <v>44802</v>
      </c>
      <c r="Z712" t="s">
        <v>264</v>
      </c>
      <c r="AA712">
        <v>2</v>
      </c>
      <c r="AB712" t="s">
        <v>264</v>
      </c>
      <c r="AD712" t="s">
        <v>264</v>
      </c>
      <c r="AE712" t="s">
        <v>264</v>
      </c>
      <c r="AF712" t="s">
        <v>264</v>
      </c>
      <c r="AG712">
        <v>20</v>
      </c>
      <c r="AH712" t="s">
        <v>264</v>
      </c>
      <c r="AL712" t="s">
        <v>264</v>
      </c>
      <c r="AM712" s="6">
        <v>44802</v>
      </c>
      <c r="AN712" t="s">
        <v>673</v>
      </c>
      <c r="AO712" t="s">
        <v>268</v>
      </c>
      <c r="AP712">
        <v>1205</v>
      </c>
      <c r="AQ712" t="s">
        <v>269</v>
      </c>
      <c r="AR712">
        <v>283316</v>
      </c>
      <c r="AU712" t="s">
        <v>264</v>
      </c>
      <c r="AV712" t="s">
        <v>270</v>
      </c>
      <c r="AX712" t="s">
        <v>264</v>
      </c>
      <c r="AY712">
        <v>710200</v>
      </c>
      <c r="AZ712">
        <v>1205.7102</v>
      </c>
      <c r="BA712" s="28" t="s">
        <v>164</v>
      </c>
    </row>
    <row r="713" spans="1:53">
      <c r="A713" t="s">
        <v>639</v>
      </c>
      <c r="B713" t="s">
        <v>640</v>
      </c>
      <c r="C713">
        <v>14370694</v>
      </c>
      <c r="D713">
        <v>1205</v>
      </c>
      <c r="E713" s="6">
        <v>44802</v>
      </c>
      <c r="F713" t="s">
        <v>1127</v>
      </c>
      <c r="G713">
        <v>0.47</v>
      </c>
      <c r="H713">
        <v>0.47</v>
      </c>
      <c r="I713" t="s">
        <v>263</v>
      </c>
      <c r="O713" t="s">
        <v>264</v>
      </c>
      <c r="Q713" t="s">
        <v>264</v>
      </c>
      <c r="R713" t="s">
        <v>524</v>
      </c>
      <c r="T713" t="s">
        <v>266</v>
      </c>
      <c r="U713" t="s">
        <v>267</v>
      </c>
      <c r="V713" t="s">
        <v>525</v>
      </c>
      <c r="W713" t="s">
        <v>526</v>
      </c>
      <c r="X713">
        <v>1935870</v>
      </c>
      <c r="Y713" s="6">
        <v>44802</v>
      </c>
      <c r="Z713" t="s">
        <v>264</v>
      </c>
      <c r="AA713">
        <v>4</v>
      </c>
      <c r="AB713" t="s">
        <v>264</v>
      </c>
      <c r="AD713" t="s">
        <v>264</v>
      </c>
      <c r="AE713" t="s">
        <v>264</v>
      </c>
      <c r="AF713" t="s">
        <v>264</v>
      </c>
      <c r="AG713">
        <v>20</v>
      </c>
      <c r="AH713" t="s">
        <v>264</v>
      </c>
      <c r="AL713" t="s">
        <v>264</v>
      </c>
      <c r="AM713" s="6">
        <v>44802</v>
      </c>
      <c r="AN713" t="s">
        <v>673</v>
      </c>
      <c r="AO713" t="s">
        <v>268</v>
      </c>
      <c r="AP713">
        <v>1205</v>
      </c>
      <c r="AQ713" t="s">
        <v>269</v>
      </c>
      <c r="AR713">
        <v>283523</v>
      </c>
      <c r="AU713" t="s">
        <v>264</v>
      </c>
      <c r="AV713" t="s">
        <v>270</v>
      </c>
      <c r="AX713" t="s">
        <v>264</v>
      </c>
      <c r="AY713">
        <v>710200</v>
      </c>
      <c r="AZ713">
        <v>1205.7102</v>
      </c>
      <c r="BA713" s="28" t="s">
        <v>164</v>
      </c>
    </row>
    <row r="714" spans="1:53">
      <c r="A714" t="s">
        <v>639</v>
      </c>
      <c r="B714" t="s">
        <v>640</v>
      </c>
      <c r="C714">
        <v>14370695</v>
      </c>
      <c r="D714">
        <v>1205</v>
      </c>
      <c r="E714" s="6">
        <v>44803</v>
      </c>
      <c r="F714" t="s">
        <v>674</v>
      </c>
      <c r="G714">
        <v>10.31</v>
      </c>
      <c r="H714">
        <v>10.31</v>
      </c>
      <c r="I714" t="s">
        <v>263</v>
      </c>
      <c r="O714" t="s">
        <v>264</v>
      </c>
      <c r="Q714" t="s">
        <v>264</v>
      </c>
      <c r="R714" t="s">
        <v>524</v>
      </c>
      <c r="T714" t="s">
        <v>266</v>
      </c>
      <c r="U714" t="s">
        <v>267</v>
      </c>
      <c r="V714" t="s">
        <v>525</v>
      </c>
      <c r="W714" t="s">
        <v>526</v>
      </c>
      <c r="X714">
        <v>1936135</v>
      </c>
      <c r="Y714" s="6">
        <v>44803</v>
      </c>
      <c r="Z714" t="s">
        <v>264</v>
      </c>
      <c r="AA714">
        <v>2</v>
      </c>
      <c r="AB714" t="s">
        <v>264</v>
      </c>
      <c r="AD714" t="s">
        <v>264</v>
      </c>
      <c r="AE714" t="s">
        <v>264</v>
      </c>
      <c r="AF714" t="s">
        <v>264</v>
      </c>
      <c r="AG714">
        <v>1</v>
      </c>
      <c r="AH714" t="s">
        <v>264</v>
      </c>
      <c r="AL714" t="s">
        <v>264</v>
      </c>
      <c r="AM714" s="6">
        <v>44803</v>
      </c>
      <c r="AN714" t="s">
        <v>1126</v>
      </c>
      <c r="AO714" t="s">
        <v>268</v>
      </c>
      <c r="AP714">
        <v>1205</v>
      </c>
      <c r="AQ714" t="s">
        <v>269</v>
      </c>
      <c r="AR714">
        <v>283138</v>
      </c>
      <c r="AU714" t="s">
        <v>264</v>
      </c>
      <c r="AV714" t="s">
        <v>270</v>
      </c>
      <c r="AX714" t="s">
        <v>264</v>
      </c>
      <c r="AY714">
        <v>710200</v>
      </c>
      <c r="AZ714">
        <v>1205.7102</v>
      </c>
      <c r="BA714" s="28" t="s">
        <v>164</v>
      </c>
    </row>
    <row r="715" spans="1:53">
      <c r="A715" t="s">
        <v>639</v>
      </c>
      <c r="B715" t="s">
        <v>640</v>
      </c>
      <c r="C715">
        <v>14370695</v>
      </c>
      <c r="D715">
        <v>1205</v>
      </c>
      <c r="E715" s="6">
        <v>44803</v>
      </c>
      <c r="F715" t="s">
        <v>674</v>
      </c>
      <c r="G715">
        <v>10.73</v>
      </c>
      <c r="H715">
        <v>10.73</v>
      </c>
      <c r="I715" t="s">
        <v>263</v>
      </c>
      <c r="O715" t="s">
        <v>264</v>
      </c>
      <c r="Q715" t="s">
        <v>264</v>
      </c>
      <c r="R715" t="s">
        <v>524</v>
      </c>
      <c r="T715" t="s">
        <v>266</v>
      </c>
      <c r="U715" t="s">
        <v>267</v>
      </c>
      <c r="V715" t="s">
        <v>525</v>
      </c>
      <c r="W715" t="s">
        <v>526</v>
      </c>
      <c r="X715">
        <v>1936135</v>
      </c>
      <c r="Y715" s="6">
        <v>44803</v>
      </c>
      <c r="Z715" t="s">
        <v>264</v>
      </c>
      <c r="AA715">
        <v>4</v>
      </c>
      <c r="AB715" t="s">
        <v>264</v>
      </c>
      <c r="AD715" t="s">
        <v>264</v>
      </c>
      <c r="AE715" t="s">
        <v>264</v>
      </c>
      <c r="AF715" t="s">
        <v>264</v>
      </c>
      <c r="AG715">
        <v>1</v>
      </c>
      <c r="AH715" t="s">
        <v>264</v>
      </c>
      <c r="AL715" t="s">
        <v>264</v>
      </c>
      <c r="AM715" s="6">
        <v>44803</v>
      </c>
      <c r="AN715" t="s">
        <v>1126</v>
      </c>
      <c r="AO715" t="s">
        <v>268</v>
      </c>
      <c r="AP715">
        <v>1205</v>
      </c>
      <c r="AQ715" t="s">
        <v>269</v>
      </c>
      <c r="AR715">
        <v>283139</v>
      </c>
      <c r="AU715" t="s">
        <v>264</v>
      </c>
      <c r="AV715" t="s">
        <v>270</v>
      </c>
      <c r="AX715" t="s">
        <v>264</v>
      </c>
      <c r="AY715">
        <v>710200</v>
      </c>
      <c r="AZ715">
        <v>1205.7102</v>
      </c>
      <c r="BA715" s="28" t="s">
        <v>164</v>
      </c>
    </row>
    <row r="716" spans="1:53">
      <c r="A716" t="s">
        <v>639</v>
      </c>
      <c r="B716" t="s">
        <v>640</v>
      </c>
      <c r="C716">
        <v>14370696</v>
      </c>
      <c r="D716">
        <v>1205</v>
      </c>
      <c r="E716" s="6">
        <v>44803</v>
      </c>
      <c r="F716" t="s">
        <v>1128</v>
      </c>
      <c r="G716">
        <v>0.15</v>
      </c>
      <c r="H716">
        <v>0.15</v>
      </c>
      <c r="I716" t="s">
        <v>263</v>
      </c>
      <c r="O716" t="s">
        <v>264</v>
      </c>
      <c r="Q716" t="s">
        <v>264</v>
      </c>
      <c r="R716" t="s">
        <v>524</v>
      </c>
      <c r="T716" t="s">
        <v>266</v>
      </c>
      <c r="U716" t="s">
        <v>267</v>
      </c>
      <c r="V716" t="s">
        <v>525</v>
      </c>
      <c r="W716" t="s">
        <v>526</v>
      </c>
      <c r="X716">
        <v>1936158</v>
      </c>
      <c r="Y716" s="6">
        <v>44803</v>
      </c>
      <c r="Z716" t="s">
        <v>264</v>
      </c>
      <c r="AA716">
        <v>2</v>
      </c>
      <c r="AB716" t="s">
        <v>264</v>
      </c>
      <c r="AD716" t="s">
        <v>264</v>
      </c>
      <c r="AE716" t="s">
        <v>264</v>
      </c>
      <c r="AF716" t="s">
        <v>264</v>
      </c>
      <c r="AG716">
        <v>2</v>
      </c>
      <c r="AH716" t="s">
        <v>264</v>
      </c>
      <c r="AL716" t="s">
        <v>264</v>
      </c>
      <c r="AM716" s="6">
        <v>44803</v>
      </c>
      <c r="AN716" t="s">
        <v>670</v>
      </c>
      <c r="AO716" t="s">
        <v>268</v>
      </c>
      <c r="AP716">
        <v>1205</v>
      </c>
      <c r="AQ716" t="s">
        <v>269</v>
      </c>
      <c r="AR716">
        <v>275960</v>
      </c>
      <c r="AU716" t="s">
        <v>264</v>
      </c>
      <c r="AV716" t="s">
        <v>270</v>
      </c>
      <c r="AX716" t="s">
        <v>264</v>
      </c>
      <c r="AY716">
        <v>710200</v>
      </c>
      <c r="AZ716">
        <v>1205.7102</v>
      </c>
      <c r="BA716" s="28" t="s">
        <v>164</v>
      </c>
    </row>
    <row r="717" spans="1:53">
      <c r="A717" t="s">
        <v>639</v>
      </c>
      <c r="B717" t="s">
        <v>640</v>
      </c>
      <c r="C717">
        <v>14370696</v>
      </c>
      <c r="D717">
        <v>1205</v>
      </c>
      <c r="E717" s="6">
        <v>44803</v>
      </c>
      <c r="F717" t="s">
        <v>1128</v>
      </c>
      <c r="G717">
        <v>7.0000000000000007E-2</v>
      </c>
      <c r="H717">
        <v>7.0000000000000007E-2</v>
      </c>
      <c r="I717" t="s">
        <v>263</v>
      </c>
      <c r="O717" t="s">
        <v>264</v>
      </c>
      <c r="Q717" t="s">
        <v>264</v>
      </c>
      <c r="R717" t="s">
        <v>524</v>
      </c>
      <c r="T717" t="s">
        <v>266</v>
      </c>
      <c r="U717" t="s">
        <v>267</v>
      </c>
      <c r="V717" t="s">
        <v>525</v>
      </c>
      <c r="W717" t="s">
        <v>526</v>
      </c>
      <c r="X717">
        <v>1936158</v>
      </c>
      <c r="Y717" s="6">
        <v>44803</v>
      </c>
      <c r="Z717" t="s">
        <v>264</v>
      </c>
      <c r="AA717">
        <v>4</v>
      </c>
      <c r="AB717" t="s">
        <v>264</v>
      </c>
      <c r="AD717" t="s">
        <v>264</v>
      </c>
      <c r="AE717" t="s">
        <v>264</v>
      </c>
      <c r="AF717" t="s">
        <v>264</v>
      </c>
      <c r="AG717">
        <v>1</v>
      </c>
      <c r="AH717" t="s">
        <v>264</v>
      </c>
      <c r="AL717" t="s">
        <v>264</v>
      </c>
      <c r="AM717" s="6">
        <v>44803</v>
      </c>
      <c r="AN717" t="s">
        <v>670</v>
      </c>
      <c r="AO717" t="s">
        <v>268</v>
      </c>
      <c r="AP717">
        <v>1205</v>
      </c>
      <c r="AQ717" t="s">
        <v>269</v>
      </c>
      <c r="AR717">
        <v>275958</v>
      </c>
      <c r="AU717" t="s">
        <v>264</v>
      </c>
      <c r="AV717" t="s">
        <v>270</v>
      </c>
      <c r="AX717" t="s">
        <v>264</v>
      </c>
      <c r="AY717">
        <v>710200</v>
      </c>
      <c r="AZ717">
        <v>1205.7102</v>
      </c>
      <c r="BA717" s="28" t="s">
        <v>164</v>
      </c>
    </row>
    <row r="718" spans="1:53">
      <c r="A718" t="s">
        <v>639</v>
      </c>
      <c r="B718" t="s">
        <v>640</v>
      </c>
      <c r="C718">
        <v>14370696</v>
      </c>
      <c r="D718">
        <v>1205</v>
      </c>
      <c r="E718" s="6">
        <v>44803</v>
      </c>
      <c r="F718" t="s">
        <v>1128</v>
      </c>
      <c r="G718">
        <v>0.08</v>
      </c>
      <c r="H718">
        <v>0.08</v>
      </c>
      <c r="I718" t="s">
        <v>263</v>
      </c>
      <c r="O718" t="s">
        <v>264</v>
      </c>
      <c r="Q718" t="s">
        <v>264</v>
      </c>
      <c r="R718" t="s">
        <v>524</v>
      </c>
      <c r="T718" t="s">
        <v>266</v>
      </c>
      <c r="U718" t="s">
        <v>267</v>
      </c>
      <c r="V718" t="s">
        <v>525</v>
      </c>
      <c r="W718" t="s">
        <v>526</v>
      </c>
      <c r="X718">
        <v>1936158</v>
      </c>
      <c r="Y718" s="6">
        <v>44803</v>
      </c>
      <c r="Z718" t="s">
        <v>264</v>
      </c>
      <c r="AA718">
        <v>6</v>
      </c>
      <c r="AB718" t="s">
        <v>264</v>
      </c>
      <c r="AD718" t="s">
        <v>264</v>
      </c>
      <c r="AE718" t="s">
        <v>264</v>
      </c>
      <c r="AF718" t="s">
        <v>264</v>
      </c>
      <c r="AG718">
        <v>1</v>
      </c>
      <c r="AH718" t="s">
        <v>264</v>
      </c>
      <c r="AL718" t="s">
        <v>264</v>
      </c>
      <c r="AM718" s="6">
        <v>44803</v>
      </c>
      <c r="AN718" t="s">
        <v>670</v>
      </c>
      <c r="AO718" t="s">
        <v>268</v>
      </c>
      <c r="AP718">
        <v>1205</v>
      </c>
      <c r="AQ718" t="s">
        <v>269</v>
      </c>
      <c r="AR718">
        <v>275959</v>
      </c>
      <c r="AU718" t="s">
        <v>264</v>
      </c>
      <c r="AV718" t="s">
        <v>270</v>
      </c>
      <c r="AX718" t="s">
        <v>264</v>
      </c>
      <c r="AY718">
        <v>710200</v>
      </c>
      <c r="AZ718">
        <v>1205.7102</v>
      </c>
      <c r="BA718" s="28" t="s">
        <v>164</v>
      </c>
    </row>
    <row r="719" spans="1:53">
      <c r="A719" t="s">
        <v>639</v>
      </c>
      <c r="B719" t="s">
        <v>640</v>
      </c>
      <c r="C719">
        <v>14370696</v>
      </c>
      <c r="D719">
        <v>1205</v>
      </c>
      <c r="E719" s="6">
        <v>44803</v>
      </c>
      <c r="F719" t="s">
        <v>1128</v>
      </c>
      <c r="G719">
        <v>7.0000000000000007E-2</v>
      </c>
      <c r="H719">
        <v>7.0000000000000007E-2</v>
      </c>
      <c r="I719" t="s">
        <v>263</v>
      </c>
      <c r="O719" t="s">
        <v>264</v>
      </c>
      <c r="Q719" t="s">
        <v>264</v>
      </c>
      <c r="R719" t="s">
        <v>524</v>
      </c>
      <c r="T719" t="s">
        <v>266</v>
      </c>
      <c r="U719" t="s">
        <v>267</v>
      </c>
      <c r="V719" t="s">
        <v>525</v>
      </c>
      <c r="W719" t="s">
        <v>526</v>
      </c>
      <c r="X719">
        <v>1936158</v>
      </c>
      <c r="Y719" s="6">
        <v>44803</v>
      </c>
      <c r="Z719" t="s">
        <v>264</v>
      </c>
      <c r="AA719">
        <v>8</v>
      </c>
      <c r="AB719" t="s">
        <v>264</v>
      </c>
      <c r="AD719" t="s">
        <v>264</v>
      </c>
      <c r="AE719" t="s">
        <v>264</v>
      </c>
      <c r="AF719" t="s">
        <v>264</v>
      </c>
      <c r="AG719">
        <v>1</v>
      </c>
      <c r="AH719" t="s">
        <v>264</v>
      </c>
      <c r="AL719" t="s">
        <v>264</v>
      </c>
      <c r="AM719" s="6">
        <v>44803</v>
      </c>
      <c r="AN719" t="s">
        <v>670</v>
      </c>
      <c r="AO719" t="s">
        <v>268</v>
      </c>
      <c r="AP719">
        <v>1205</v>
      </c>
      <c r="AQ719" t="s">
        <v>269</v>
      </c>
      <c r="AR719">
        <v>275962</v>
      </c>
      <c r="AU719" t="s">
        <v>264</v>
      </c>
      <c r="AV719" t="s">
        <v>270</v>
      </c>
      <c r="AX719" t="s">
        <v>264</v>
      </c>
      <c r="AY719">
        <v>710200</v>
      </c>
      <c r="AZ719">
        <v>1205.7102</v>
      </c>
      <c r="BA719" s="28" t="s">
        <v>164</v>
      </c>
    </row>
    <row r="720" spans="1:53">
      <c r="A720" t="s">
        <v>639</v>
      </c>
      <c r="B720" t="s">
        <v>640</v>
      </c>
      <c r="C720">
        <v>14370696</v>
      </c>
      <c r="D720">
        <v>1205</v>
      </c>
      <c r="E720" s="6">
        <v>44803</v>
      </c>
      <c r="F720" t="s">
        <v>1128</v>
      </c>
      <c r="G720">
        <v>0.3</v>
      </c>
      <c r="H720">
        <v>0.3</v>
      </c>
      <c r="I720" t="s">
        <v>263</v>
      </c>
      <c r="O720" t="s">
        <v>264</v>
      </c>
      <c r="Q720" t="s">
        <v>264</v>
      </c>
      <c r="R720" t="s">
        <v>524</v>
      </c>
      <c r="T720" t="s">
        <v>266</v>
      </c>
      <c r="U720" t="s">
        <v>267</v>
      </c>
      <c r="V720" t="s">
        <v>525</v>
      </c>
      <c r="W720" t="s">
        <v>526</v>
      </c>
      <c r="X720">
        <v>1936158</v>
      </c>
      <c r="Y720" s="6">
        <v>44803</v>
      </c>
      <c r="Z720" t="s">
        <v>264</v>
      </c>
      <c r="AA720">
        <v>10</v>
      </c>
      <c r="AB720" t="s">
        <v>264</v>
      </c>
      <c r="AD720" t="s">
        <v>264</v>
      </c>
      <c r="AE720" t="s">
        <v>264</v>
      </c>
      <c r="AF720" t="s">
        <v>264</v>
      </c>
      <c r="AG720">
        <v>5</v>
      </c>
      <c r="AH720" t="s">
        <v>264</v>
      </c>
      <c r="AL720" t="s">
        <v>264</v>
      </c>
      <c r="AM720" s="6">
        <v>44803</v>
      </c>
      <c r="AN720" t="s">
        <v>670</v>
      </c>
      <c r="AO720" t="s">
        <v>268</v>
      </c>
      <c r="AP720">
        <v>1205</v>
      </c>
      <c r="AQ720" t="s">
        <v>269</v>
      </c>
      <c r="AR720">
        <v>285087</v>
      </c>
      <c r="AU720" t="s">
        <v>264</v>
      </c>
      <c r="AV720" t="s">
        <v>270</v>
      </c>
      <c r="AX720" t="s">
        <v>264</v>
      </c>
      <c r="AY720">
        <v>710200</v>
      </c>
      <c r="AZ720">
        <v>1205.7102</v>
      </c>
      <c r="BA720" s="28" t="s">
        <v>164</v>
      </c>
    </row>
    <row r="721" spans="1:53">
      <c r="A721" t="s">
        <v>271</v>
      </c>
      <c r="B721" t="s">
        <v>272</v>
      </c>
      <c r="C721">
        <v>22010876</v>
      </c>
      <c r="D721">
        <v>1201</v>
      </c>
      <c r="E721" s="6">
        <v>44782</v>
      </c>
      <c r="F721" t="s">
        <v>683</v>
      </c>
      <c r="G721">
        <v>511.44</v>
      </c>
      <c r="H721">
        <v>511.44</v>
      </c>
      <c r="I721" t="s">
        <v>263</v>
      </c>
      <c r="J721" t="s">
        <v>263</v>
      </c>
      <c r="L721" s="29">
        <v>7600000</v>
      </c>
      <c r="N721" s="29">
        <v>7600000</v>
      </c>
      <c r="O721" t="s">
        <v>264</v>
      </c>
      <c r="Q721" t="s">
        <v>264</v>
      </c>
      <c r="R721" t="s">
        <v>265</v>
      </c>
      <c r="S721">
        <v>14860</v>
      </c>
      <c r="T721" t="s">
        <v>266</v>
      </c>
      <c r="U721" t="s">
        <v>267</v>
      </c>
      <c r="V721" t="s">
        <v>273</v>
      </c>
      <c r="W721" t="s">
        <v>274</v>
      </c>
      <c r="X721">
        <v>1929185</v>
      </c>
      <c r="Y721" s="6">
        <v>44782</v>
      </c>
      <c r="Z721" t="s">
        <v>264</v>
      </c>
      <c r="AA721">
        <v>1</v>
      </c>
      <c r="AB721" t="s">
        <v>264</v>
      </c>
      <c r="AD721" t="s">
        <v>264</v>
      </c>
      <c r="AE721" t="s">
        <v>264</v>
      </c>
      <c r="AF721" t="s">
        <v>264</v>
      </c>
      <c r="AG721">
        <v>1</v>
      </c>
      <c r="AH721" t="s">
        <v>264</v>
      </c>
      <c r="AI721">
        <v>55290287</v>
      </c>
      <c r="AJ721" t="s">
        <v>683</v>
      </c>
      <c r="AL721" t="s">
        <v>684</v>
      </c>
      <c r="AM721" s="6">
        <v>44773</v>
      </c>
      <c r="AN721" t="s">
        <v>275</v>
      </c>
      <c r="AO721" t="s">
        <v>268</v>
      </c>
      <c r="AP721">
        <v>1201</v>
      </c>
      <c r="AQ721" t="s">
        <v>269</v>
      </c>
      <c r="AR721" t="s">
        <v>683</v>
      </c>
      <c r="AU721" t="s">
        <v>264</v>
      </c>
      <c r="AV721" t="s">
        <v>270</v>
      </c>
      <c r="AX721">
        <v>22002706</v>
      </c>
      <c r="AY721">
        <v>720100</v>
      </c>
      <c r="AZ721">
        <v>1201.7201</v>
      </c>
      <c r="BA721" s="28" t="s">
        <v>47</v>
      </c>
    </row>
    <row r="722" spans="1:53">
      <c r="A722" t="s">
        <v>271</v>
      </c>
      <c r="B722" t="s">
        <v>272</v>
      </c>
      <c r="C722">
        <v>22010879</v>
      </c>
      <c r="D722">
        <v>1201</v>
      </c>
      <c r="E722" s="6">
        <v>44782</v>
      </c>
      <c r="F722" t="s">
        <v>685</v>
      </c>
      <c r="G722">
        <v>207.27</v>
      </c>
      <c r="H722">
        <v>207.27</v>
      </c>
      <c r="I722" t="s">
        <v>263</v>
      </c>
      <c r="J722" t="s">
        <v>263</v>
      </c>
      <c r="L722" s="29">
        <v>3080000</v>
      </c>
      <c r="N722" s="29">
        <v>3080000</v>
      </c>
      <c r="O722" t="s">
        <v>264</v>
      </c>
      <c r="Q722" t="s">
        <v>264</v>
      </c>
      <c r="R722" t="s">
        <v>265</v>
      </c>
      <c r="S722">
        <v>14860</v>
      </c>
      <c r="T722" t="s">
        <v>266</v>
      </c>
      <c r="U722" t="s">
        <v>267</v>
      </c>
      <c r="V722" t="s">
        <v>273</v>
      </c>
      <c r="W722" t="s">
        <v>274</v>
      </c>
      <c r="X722">
        <v>1929211</v>
      </c>
      <c r="Y722" s="6">
        <v>44782</v>
      </c>
      <c r="Z722" t="s">
        <v>264</v>
      </c>
      <c r="AA722">
        <v>1</v>
      </c>
      <c r="AB722" t="s">
        <v>264</v>
      </c>
      <c r="AD722" t="s">
        <v>264</v>
      </c>
      <c r="AE722" t="s">
        <v>264</v>
      </c>
      <c r="AF722" t="s">
        <v>264</v>
      </c>
      <c r="AG722">
        <v>1</v>
      </c>
      <c r="AH722" t="s">
        <v>264</v>
      </c>
      <c r="AI722">
        <v>57334600</v>
      </c>
      <c r="AJ722" t="s">
        <v>685</v>
      </c>
      <c r="AL722" t="s">
        <v>686</v>
      </c>
      <c r="AM722" s="6">
        <v>44760</v>
      </c>
      <c r="AN722" t="s">
        <v>275</v>
      </c>
      <c r="AO722" t="s">
        <v>268</v>
      </c>
      <c r="AP722">
        <v>1201</v>
      </c>
      <c r="AQ722" t="s">
        <v>269</v>
      </c>
      <c r="AR722" t="s">
        <v>687</v>
      </c>
      <c r="AU722" t="s">
        <v>264</v>
      </c>
      <c r="AV722" t="s">
        <v>270</v>
      </c>
      <c r="AX722">
        <v>22002705</v>
      </c>
      <c r="AY722">
        <v>720100</v>
      </c>
      <c r="AZ722">
        <v>1201.7201</v>
      </c>
      <c r="BA722" s="28" t="s">
        <v>47</v>
      </c>
    </row>
    <row r="723" spans="1:53">
      <c r="A723" t="s">
        <v>271</v>
      </c>
      <c r="B723" t="s">
        <v>272</v>
      </c>
      <c r="C723">
        <v>22010880</v>
      </c>
      <c r="D723">
        <v>1201</v>
      </c>
      <c r="E723" s="6">
        <v>44782</v>
      </c>
      <c r="F723" t="s">
        <v>685</v>
      </c>
      <c r="G723">
        <v>487.21</v>
      </c>
      <c r="H723">
        <v>487.21</v>
      </c>
      <c r="I723" t="s">
        <v>263</v>
      </c>
      <c r="J723" t="s">
        <v>263</v>
      </c>
      <c r="L723" s="29">
        <v>7240000</v>
      </c>
      <c r="N723" s="29">
        <v>7240000</v>
      </c>
      <c r="O723" t="s">
        <v>264</v>
      </c>
      <c r="Q723" t="s">
        <v>264</v>
      </c>
      <c r="R723" t="s">
        <v>265</v>
      </c>
      <c r="S723">
        <v>14860</v>
      </c>
      <c r="T723" t="s">
        <v>266</v>
      </c>
      <c r="U723" t="s">
        <v>267</v>
      </c>
      <c r="V723" t="s">
        <v>273</v>
      </c>
      <c r="W723" t="s">
        <v>274</v>
      </c>
      <c r="X723">
        <v>1929211</v>
      </c>
      <c r="Y723" s="6">
        <v>44782</v>
      </c>
      <c r="Z723" t="s">
        <v>264</v>
      </c>
      <c r="AA723">
        <v>1</v>
      </c>
      <c r="AB723" t="s">
        <v>264</v>
      </c>
      <c r="AD723" t="s">
        <v>264</v>
      </c>
      <c r="AE723" t="s">
        <v>264</v>
      </c>
      <c r="AF723" t="s">
        <v>264</v>
      </c>
      <c r="AG723">
        <v>1</v>
      </c>
      <c r="AH723" t="s">
        <v>264</v>
      </c>
      <c r="AI723">
        <v>57334600</v>
      </c>
      <c r="AJ723" t="s">
        <v>685</v>
      </c>
      <c r="AL723" t="s">
        <v>688</v>
      </c>
      <c r="AM723" s="6">
        <v>44768</v>
      </c>
      <c r="AN723" t="s">
        <v>275</v>
      </c>
      <c r="AO723" t="s">
        <v>268</v>
      </c>
      <c r="AP723">
        <v>1201</v>
      </c>
      <c r="AQ723" t="s">
        <v>269</v>
      </c>
      <c r="AR723" t="s">
        <v>687</v>
      </c>
      <c r="AU723" t="s">
        <v>264</v>
      </c>
      <c r="AV723" t="s">
        <v>270</v>
      </c>
      <c r="AX723">
        <v>22002743</v>
      </c>
      <c r="AY723">
        <v>720100</v>
      </c>
      <c r="AZ723">
        <v>1201.7201</v>
      </c>
      <c r="BA723" s="28" t="s">
        <v>47</v>
      </c>
    </row>
    <row r="724" spans="1:53">
      <c r="A724" t="s">
        <v>271</v>
      </c>
      <c r="B724" t="s">
        <v>272</v>
      </c>
      <c r="C724">
        <v>22011291</v>
      </c>
      <c r="D724">
        <v>1201</v>
      </c>
      <c r="E724" s="6">
        <v>44789</v>
      </c>
      <c r="F724" t="s">
        <v>689</v>
      </c>
      <c r="G724" s="29">
        <v>3936.74</v>
      </c>
      <c r="H724" s="29">
        <v>3936.74</v>
      </c>
      <c r="I724" t="s">
        <v>263</v>
      </c>
      <c r="J724" t="s">
        <v>263</v>
      </c>
      <c r="L724" s="29">
        <v>58500000</v>
      </c>
      <c r="N724" s="29">
        <v>58500000</v>
      </c>
      <c r="O724" t="s">
        <v>264</v>
      </c>
      <c r="Q724" t="s">
        <v>264</v>
      </c>
      <c r="R724" t="s">
        <v>265</v>
      </c>
      <c r="S724">
        <v>14860</v>
      </c>
      <c r="T724" t="s">
        <v>266</v>
      </c>
      <c r="U724" t="s">
        <v>267</v>
      </c>
      <c r="V724" t="s">
        <v>273</v>
      </c>
      <c r="W724" t="s">
        <v>274</v>
      </c>
      <c r="X724">
        <v>1933013</v>
      </c>
      <c r="Y724" s="6">
        <v>44789</v>
      </c>
      <c r="Z724" t="s">
        <v>264</v>
      </c>
      <c r="AA724">
        <v>1</v>
      </c>
      <c r="AB724" t="s">
        <v>264</v>
      </c>
      <c r="AD724" t="s">
        <v>264</v>
      </c>
      <c r="AE724" t="s">
        <v>264</v>
      </c>
      <c r="AF724" t="s">
        <v>264</v>
      </c>
      <c r="AG724">
        <v>1</v>
      </c>
      <c r="AH724" t="s">
        <v>264</v>
      </c>
      <c r="AI724">
        <v>55733981</v>
      </c>
      <c r="AJ724" t="s">
        <v>689</v>
      </c>
      <c r="AL724" t="s">
        <v>690</v>
      </c>
      <c r="AM724" s="6">
        <v>44773</v>
      </c>
      <c r="AN724" t="s">
        <v>275</v>
      </c>
      <c r="AO724" t="s">
        <v>268</v>
      </c>
      <c r="AP724">
        <v>1201</v>
      </c>
      <c r="AQ724" t="s">
        <v>269</v>
      </c>
      <c r="AR724" t="s">
        <v>691</v>
      </c>
      <c r="AU724" t="s">
        <v>264</v>
      </c>
      <c r="AV724" t="s">
        <v>270</v>
      </c>
      <c r="AX724">
        <v>22002778</v>
      </c>
      <c r="AY724">
        <v>720100</v>
      </c>
      <c r="AZ724">
        <v>1201.7201</v>
      </c>
      <c r="BA724" s="28" t="s">
        <v>47</v>
      </c>
    </row>
    <row r="725" spans="1:53">
      <c r="A725" t="s">
        <v>271</v>
      </c>
      <c r="B725" t="s">
        <v>272</v>
      </c>
      <c r="C725">
        <v>22011534</v>
      </c>
      <c r="D725">
        <v>1201</v>
      </c>
      <c r="E725" s="6">
        <v>44797</v>
      </c>
      <c r="F725" t="s">
        <v>685</v>
      </c>
      <c r="G725">
        <v>567.29</v>
      </c>
      <c r="H725">
        <v>567.29</v>
      </c>
      <c r="I725" t="s">
        <v>263</v>
      </c>
      <c r="J725" t="s">
        <v>263</v>
      </c>
      <c r="L725" s="29">
        <v>8430000</v>
      </c>
      <c r="N725" s="29">
        <v>8430000</v>
      </c>
      <c r="O725" t="s">
        <v>264</v>
      </c>
      <c r="Q725" t="s">
        <v>264</v>
      </c>
      <c r="R725" t="s">
        <v>265</v>
      </c>
      <c r="S725">
        <v>14860</v>
      </c>
      <c r="T725" t="s">
        <v>266</v>
      </c>
      <c r="U725" t="s">
        <v>267</v>
      </c>
      <c r="V725" t="s">
        <v>273</v>
      </c>
      <c r="W725" t="s">
        <v>274</v>
      </c>
      <c r="X725">
        <v>1934854</v>
      </c>
      <c r="Y725" s="6">
        <v>44797</v>
      </c>
      <c r="Z725" t="s">
        <v>264</v>
      </c>
      <c r="AA725">
        <v>1</v>
      </c>
      <c r="AB725" t="s">
        <v>264</v>
      </c>
      <c r="AD725" t="s">
        <v>264</v>
      </c>
      <c r="AE725" t="s">
        <v>264</v>
      </c>
      <c r="AF725" t="s">
        <v>264</v>
      </c>
      <c r="AG725">
        <v>1</v>
      </c>
      <c r="AH725" t="s">
        <v>264</v>
      </c>
      <c r="AI725">
        <v>57334600</v>
      </c>
      <c r="AJ725" t="s">
        <v>685</v>
      </c>
      <c r="AL725" t="s">
        <v>692</v>
      </c>
      <c r="AM725" s="6">
        <v>44776</v>
      </c>
      <c r="AN725" t="s">
        <v>275</v>
      </c>
      <c r="AO725" t="s">
        <v>268</v>
      </c>
      <c r="AP725">
        <v>1201</v>
      </c>
      <c r="AQ725" t="s">
        <v>269</v>
      </c>
      <c r="AR725" t="s">
        <v>687</v>
      </c>
      <c r="AU725" t="s">
        <v>264</v>
      </c>
      <c r="AV725" t="s">
        <v>270</v>
      </c>
      <c r="AX725">
        <v>22002841</v>
      </c>
      <c r="AY725">
        <v>720100</v>
      </c>
      <c r="AZ725">
        <v>1201.7201</v>
      </c>
      <c r="BA725" s="28" t="s">
        <v>47</v>
      </c>
    </row>
    <row r="726" spans="1:53">
      <c r="A726" t="s">
        <v>271</v>
      </c>
      <c r="B726" t="s">
        <v>272</v>
      </c>
      <c r="C726">
        <v>22011535</v>
      </c>
      <c r="D726">
        <v>1201</v>
      </c>
      <c r="E726" s="6">
        <v>44797</v>
      </c>
      <c r="F726" t="s">
        <v>685</v>
      </c>
      <c r="G726">
        <v>495.29</v>
      </c>
      <c r="H726">
        <v>495.29</v>
      </c>
      <c r="I726" t="s">
        <v>263</v>
      </c>
      <c r="J726" t="s">
        <v>263</v>
      </c>
      <c r="L726" s="29">
        <v>7360000</v>
      </c>
      <c r="N726" s="29">
        <v>7360000</v>
      </c>
      <c r="O726" t="s">
        <v>264</v>
      </c>
      <c r="Q726" t="s">
        <v>264</v>
      </c>
      <c r="R726" t="s">
        <v>265</v>
      </c>
      <c r="S726">
        <v>14860</v>
      </c>
      <c r="T726" t="s">
        <v>266</v>
      </c>
      <c r="U726" t="s">
        <v>267</v>
      </c>
      <c r="V726" t="s">
        <v>273</v>
      </c>
      <c r="W726" t="s">
        <v>274</v>
      </c>
      <c r="X726">
        <v>1934854</v>
      </c>
      <c r="Y726" s="6">
        <v>44797</v>
      </c>
      <c r="Z726" t="s">
        <v>264</v>
      </c>
      <c r="AA726">
        <v>1</v>
      </c>
      <c r="AB726" t="s">
        <v>264</v>
      </c>
      <c r="AD726" t="s">
        <v>264</v>
      </c>
      <c r="AE726" t="s">
        <v>264</v>
      </c>
      <c r="AF726" t="s">
        <v>264</v>
      </c>
      <c r="AG726">
        <v>1</v>
      </c>
      <c r="AH726" t="s">
        <v>264</v>
      </c>
      <c r="AI726">
        <v>57334600</v>
      </c>
      <c r="AJ726" t="s">
        <v>685</v>
      </c>
      <c r="AL726" t="s">
        <v>693</v>
      </c>
      <c r="AM726" s="6">
        <v>44788</v>
      </c>
      <c r="AN726" t="s">
        <v>275</v>
      </c>
      <c r="AO726" t="s">
        <v>268</v>
      </c>
      <c r="AP726">
        <v>1201</v>
      </c>
      <c r="AQ726" t="s">
        <v>269</v>
      </c>
      <c r="AR726" t="s">
        <v>687</v>
      </c>
      <c r="AU726" t="s">
        <v>264</v>
      </c>
      <c r="AV726" t="s">
        <v>270</v>
      </c>
      <c r="AX726">
        <v>22002841</v>
      </c>
      <c r="AY726">
        <v>720100</v>
      </c>
      <c r="AZ726">
        <v>1201.7201</v>
      </c>
      <c r="BA726" s="28" t="s">
        <v>47</v>
      </c>
    </row>
    <row r="727" spans="1:53">
      <c r="A727" t="s">
        <v>271</v>
      </c>
      <c r="B727" t="s">
        <v>272</v>
      </c>
      <c r="C727">
        <v>22011536</v>
      </c>
      <c r="D727">
        <v>1201</v>
      </c>
      <c r="E727" s="6">
        <v>44797</v>
      </c>
      <c r="F727" t="s">
        <v>683</v>
      </c>
      <c r="G727">
        <v>491.25</v>
      </c>
      <c r="H727">
        <v>491.25</v>
      </c>
      <c r="I727" t="s">
        <v>263</v>
      </c>
      <c r="J727" t="s">
        <v>263</v>
      </c>
      <c r="L727" s="29">
        <v>7300000</v>
      </c>
      <c r="N727" s="29">
        <v>7300000</v>
      </c>
      <c r="O727" t="s">
        <v>264</v>
      </c>
      <c r="Q727" t="s">
        <v>264</v>
      </c>
      <c r="R727" t="s">
        <v>265</v>
      </c>
      <c r="S727">
        <v>14860</v>
      </c>
      <c r="T727" t="s">
        <v>266</v>
      </c>
      <c r="U727" t="s">
        <v>267</v>
      </c>
      <c r="V727" t="s">
        <v>273</v>
      </c>
      <c r="W727" t="s">
        <v>274</v>
      </c>
      <c r="X727">
        <v>1934860</v>
      </c>
      <c r="Y727" s="6">
        <v>44797</v>
      </c>
      <c r="Z727" t="s">
        <v>264</v>
      </c>
      <c r="AA727">
        <v>1</v>
      </c>
      <c r="AB727" t="s">
        <v>264</v>
      </c>
      <c r="AD727" t="s">
        <v>264</v>
      </c>
      <c r="AE727" t="s">
        <v>264</v>
      </c>
      <c r="AF727" t="s">
        <v>264</v>
      </c>
      <c r="AG727">
        <v>1</v>
      </c>
      <c r="AH727" t="s">
        <v>264</v>
      </c>
      <c r="AI727">
        <v>55290287</v>
      </c>
      <c r="AJ727" t="s">
        <v>683</v>
      </c>
      <c r="AL727" t="s">
        <v>694</v>
      </c>
      <c r="AM727" s="6">
        <v>44781</v>
      </c>
      <c r="AN727" t="s">
        <v>275</v>
      </c>
      <c r="AO727" t="s">
        <v>268</v>
      </c>
      <c r="AP727">
        <v>1201</v>
      </c>
      <c r="AQ727" t="s">
        <v>269</v>
      </c>
      <c r="AR727" t="s">
        <v>683</v>
      </c>
      <c r="AU727" t="s">
        <v>264</v>
      </c>
      <c r="AV727" t="s">
        <v>270</v>
      </c>
      <c r="AX727">
        <v>22002842</v>
      </c>
      <c r="AY727">
        <v>720100</v>
      </c>
      <c r="AZ727">
        <v>1201.7201</v>
      </c>
      <c r="BA727" s="28" t="s">
        <v>47</v>
      </c>
    </row>
    <row r="728" spans="1:53">
      <c r="A728" t="s">
        <v>271</v>
      </c>
      <c r="B728" t="s">
        <v>272</v>
      </c>
      <c r="C728">
        <v>22011540</v>
      </c>
      <c r="D728">
        <v>1201</v>
      </c>
      <c r="E728" s="6">
        <v>44798</v>
      </c>
      <c r="F728" t="s">
        <v>695</v>
      </c>
      <c r="G728" s="29">
        <v>2812.92</v>
      </c>
      <c r="H728" s="29">
        <v>2812.92</v>
      </c>
      <c r="I728" t="s">
        <v>263</v>
      </c>
      <c r="J728" t="s">
        <v>263</v>
      </c>
      <c r="L728" s="29">
        <v>41800000</v>
      </c>
      <c r="N728" s="29">
        <v>41800000</v>
      </c>
      <c r="O728" t="s">
        <v>264</v>
      </c>
      <c r="Q728" t="s">
        <v>264</v>
      </c>
      <c r="R728" t="s">
        <v>265</v>
      </c>
      <c r="S728">
        <v>14860</v>
      </c>
      <c r="T728" t="s">
        <v>266</v>
      </c>
      <c r="U728" t="s">
        <v>267</v>
      </c>
      <c r="V728" t="s">
        <v>273</v>
      </c>
      <c r="W728" t="s">
        <v>274</v>
      </c>
      <c r="X728">
        <v>1935293</v>
      </c>
      <c r="Y728" s="6">
        <v>44798</v>
      </c>
      <c r="Z728" t="s">
        <v>264</v>
      </c>
      <c r="AA728">
        <v>1</v>
      </c>
      <c r="AB728" t="s">
        <v>264</v>
      </c>
      <c r="AD728" t="s">
        <v>264</v>
      </c>
      <c r="AE728" t="s">
        <v>264</v>
      </c>
      <c r="AF728" t="s">
        <v>264</v>
      </c>
      <c r="AG728">
        <v>1</v>
      </c>
      <c r="AH728" t="s">
        <v>264</v>
      </c>
      <c r="AI728">
        <v>57318562</v>
      </c>
      <c r="AJ728" t="s">
        <v>695</v>
      </c>
      <c r="AL728" t="s">
        <v>696</v>
      </c>
      <c r="AM728" s="6">
        <v>44776</v>
      </c>
      <c r="AN728" t="s">
        <v>275</v>
      </c>
      <c r="AO728" t="s">
        <v>268</v>
      </c>
      <c r="AP728">
        <v>1201</v>
      </c>
      <c r="AQ728" t="s">
        <v>269</v>
      </c>
      <c r="AR728" t="s">
        <v>697</v>
      </c>
      <c r="AU728" t="s">
        <v>264</v>
      </c>
      <c r="AV728" t="s">
        <v>270</v>
      </c>
      <c r="AX728">
        <v>22002840</v>
      </c>
      <c r="AY728">
        <v>720100</v>
      </c>
      <c r="AZ728">
        <v>1201.7201</v>
      </c>
      <c r="BA728" s="28" t="s">
        <v>47</v>
      </c>
    </row>
    <row r="729" spans="1:53">
      <c r="A729" t="s">
        <v>271</v>
      </c>
      <c r="B729" t="s">
        <v>272</v>
      </c>
      <c r="C729">
        <v>22010618</v>
      </c>
      <c r="D729">
        <v>1201</v>
      </c>
      <c r="E729" s="6">
        <v>44774</v>
      </c>
      <c r="F729" t="s">
        <v>531</v>
      </c>
      <c r="G729">
        <v>670.54</v>
      </c>
      <c r="H729">
        <v>670.54</v>
      </c>
      <c r="I729" t="s">
        <v>263</v>
      </c>
      <c r="J729" t="s">
        <v>263</v>
      </c>
      <c r="L729" s="29">
        <v>9978957</v>
      </c>
      <c r="N729" s="29">
        <v>9978957</v>
      </c>
      <c r="O729" t="s">
        <v>264</v>
      </c>
      <c r="Q729" t="s">
        <v>264</v>
      </c>
      <c r="R729" t="s">
        <v>265</v>
      </c>
      <c r="S729">
        <v>14882</v>
      </c>
      <c r="T729" t="s">
        <v>266</v>
      </c>
      <c r="U729" t="s">
        <v>267</v>
      </c>
      <c r="V729" t="s">
        <v>273</v>
      </c>
      <c r="W729" t="s">
        <v>274</v>
      </c>
      <c r="X729">
        <v>1925410</v>
      </c>
      <c r="Y729" s="6">
        <v>44774</v>
      </c>
      <c r="Z729" t="s">
        <v>264</v>
      </c>
      <c r="AA729">
        <v>1</v>
      </c>
      <c r="AB729" t="s">
        <v>264</v>
      </c>
      <c r="AD729" t="s">
        <v>264</v>
      </c>
      <c r="AE729" t="s">
        <v>264</v>
      </c>
      <c r="AF729" t="s">
        <v>264</v>
      </c>
      <c r="AG729">
        <v>1</v>
      </c>
      <c r="AH729" t="s">
        <v>264</v>
      </c>
      <c r="AI729">
        <v>54000160</v>
      </c>
      <c r="AJ729" t="s">
        <v>531</v>
      </c>
      <c r="AL729" t="s">
        <v>698</v>
      </c>
      <c r="AM729" s="6">
        <v>44726</v>
      </c>
      <c r="AN729" t="s">
        <v>533</v>
      </c>
      <c r="AO729" t="s">
        <v>268</v>
      </c>
      <c r="AP729">
        <v>1201</v>
      </c>
      <c r="AQ729" t="s">
        <v>269</v>
      </c>
      <c r="AR729" t="s">
        <v>630</v>
      </c>
      <c r="AU729" t="s">
        <v>264</v>
      </c>
      <c r="AV729" t="s">
        <v>270</v>
      </c>
      <c r="AX729">
        <v>22002665</v>
      </c>
      <c r="AY729">
        <v>720400</v>
      </c>
      <c r="AZ729">
        <v>1201.7203999999999</v>
      </c>
      <c r="BA729" s="28" t="s">
        <v>49</v>
      </c>
    </row>
    <row r="730" spans="1:53">
      <c r="A730" t="s">
        <v>271</v>
      </c>
      <c r="B730" t="s">
        <v>272</v>
      </c>
      <c r="C730">
        <v>22010668</v>
      </c>
      <c r="D730">
        <v>1201</v>
      </c>
      <c r="E730" s="6">
        <v>44775</v>
      </c>
      <c r="F730" t="s">
        <v>699</v>
      </c>
      <c r="G730">
        <v>428.68</v>
      </c>
      <c r="H730">
        <v>428.68</v>
      </c>
      <c r="I730" t="s">
        <v>263</v>
      </c>
      <c r="J730" t="s">
        <v>263</v>
      </c>
      <c r="L730" s="29">
        <v>6379569</v>
      </c>
      <c r="N730" s="29">
        <v>6379569</v>
      </c>
      <c r="O730" t="s">
        <v>264</v>
      </c>
      <c r="Q730" t="s">
        <v>264</v>
      </c>
      <c r="R730" t="s">
        <v>265</v>
      </c>
      <c r="S730">
        <v>14882</v>
      </c>
      <c r="T730" t="s">
        <v>266</v>
      </c>
      <c r="U730" t="s">
        <v>267</v>
      </c>
      <c r="V730" t="s">
        <v>273</v>
      </c>
      <c r="W730" t="s">
        <v>274</v>
      </c>
      <c r="X730">
        <v>1925630</v>
      </c>
      <c r="Y730" s="6">
        <v>44775</v>
      </c>
      <c r="Z730" t="s">
        <v>264</v>
      </c>
      <c r="AA730">
        <v>1</v>
      </c>
      <c r="AB730" t="s">
        <v>264</v>
      </c>
      <c r="AD730" t="s">
        <v>264</v>
      </c>
      <c r="AE730" t="s">
        <v>264</v>
      </c>
      <c r="AF730" t="s">
        <v>264</v>
      </c>
      <c r="AG730">
        <v>1</v>
      </c>
      <c r="AH730" t="s">
        <v>264</v>
      </c>
      <c r="AI730">
        <v>55401143</v>
      </c>
      <c r="AJ730" t="s">
        <v>699</v>
      </c>
      <c r="AL730" t="s">
        <v>700</v>
      </c>
      <c r="AM730" s="6">
        <v>44769</v>
      </c>
      <c r="AN730" t="s">
        <v>533</v>
      </c>
      <c r="AO730" t="s">
        <v>268</v>
      </c>
      <c r="AP730">
        <v>1201</v>
      </c>
      <c r="AQ730" t="s">
        <v>269</v>
      </c>
      <c r="AR730" t="s">
        <v>701</v>
      </c>
      <c r="AU730" t="s">
        <v>264</v>
      </c>
      <c r="AV730" t="s">
        <v>270</v>
      </c>
      <c r="AX730">
        <v>22002664</v>
      </c>
      <c r="AY730">
        <v>720400</v>
      </c>
      <c r="AZ730">
        <v>1201.7203999999999</v>
      </c>
      <c r="BA730" s="28" t="s">
        <v>49</v>
      </c>
    </row>
    <row r="731" spans="1:53">
      <c r="A731" t="s">
        <v>271</v>
      </c>
      <c r="B731" t="s">
        <v>272</v>
      </c>
      <c r="C731">
        <v>22010669</v>
      </c>
      <c r="D731">
        <v>1201</v>
      </c>
      <c r="E731" s="6">
        <v>44775</v>
      </c>
      <c r="F731" t="s">
        <v>699</v>
      </c>
      <c r="G731">
        <v>383.69</v>
      </c>
      <c r="H731">
        <v>383.69</v>
      </c>
      <c r="I731" t="s">
        <v>263</v>
      </c>
      <c r="J731" t="s">
        <v>263</v>
      </c>
      <c r="L731" s="29">
        <v>5710033</v>
      </c>
      <c r="N731" s="29">
        <v>5710033</v>
      </c>
      <c r="O731" t="s">
        <v>264</v>
      </c>
      <c r="Q731" t="s">
        <v>264</v>
      </c>
      <c r="R731" t="s">
        <v>265</v>
      </c>
      <c r="S731">
        <v>14882</v>
      </c>
      <c r="T731" t="s">
        <v>266</v>
      </c>
      <c r="U731" t="s">
        <v>267</v>
      </c>
      <c r="V731" t="s">
        <v>273</v>
      </c>
      <c r="W731" t="s">
        <v>274</v>
      </c>
      <c r="X731">
        <v>1925630</v>
      </c>
      <c r="Y731" s="6">
        <v>44775</v>
      </c>
      <c r="Z731" t="s">
        <v>264</v>
      </c>
      <c r="AA731">
        <v>1</v>
      </c>
      <c r="AB731" t="s">
        <v>264</v>
      </c>
      <c r="AD731" t="s">
        <v>264</v>
      </c>
      <c r="AE731" t="s">
        <v>264</v>
      </c>
      <c r="AF731" t="s">
        <v>264</v>
      </c>
      <c r="AG731">
        <v>1</v>
      </c>
      <c r="AH731" t="s">
        <v>264</v>
      </c>
      <c r="AI731">
        <v>55401143</v>
      </c>
      <c r="AJ731" t="s">
        <v>699</v>
      </c>
      <c r="AL731" t="s">
        <v>702</v>
      </c>
      <c r="AM731" s="6">
        <v>44769</v>
      </c>
      <c r="AN731" t="s">
        <v>533</v>
      </c>
      <c r="AO731" t="s">
        <v>268</v>
      </c>
      <c r="AP731">
        <v>1201</v>
      </c>
      <c r="AQ731" t="s">
        <v>269</v>
      </c>
      <c r="AR731" t="s">
        <v>701</v>
      </c>
      <c r="AU731" t="s">
        <v>264</v>
      </c>
      <c r="AV731" t="s">
        <v>270</v>
      </c>
      <c r="AX731">
        <v>22002664</v>
      </c>
      <c r="AY731">
        <v>720400</v>
      </c>
      <c r="AZ731">
        <v>1201.7203999999999</v>
      </c>
      <c r="BA731" s="28" t="s">
        <v>49</v>
      </c>
    </row>
    <row r="732" spans="1:53">
      <c r="A732" t="s">
        <v>271</v>
      </c>
      <c r="B732" t="s">
        <v>272</v>
      </c>
      <c r="C732">
        <v>22010685</v>
      </c>
      <c r="D732">
        <v>1201</v>
      </c>
      <c r="E732" s="6">
        <v>44775</v>
      </c>
      <c r="F732" t="s">
        <v>703</v>
      </c>
      <c r="G732">
        <v>36.29</v>
      </c>
      <c r="H732">
        <v>36.29</v>
      </c>
      <c r="I732" t="s">
        <v>263</v>
      </c>
      <c r="J732" t="s">
        <v>263</v>
      </c>
      <c r="L732" s="29">
        <v>540000</v>
      </c>
      <c r="N732" s="29">
        <v>540000</v>
      </c>
      <c r="O732" t="s">
        <v>264</v>
      </c>
      <c r="Q732" t="s">
        <v>264</v>
      </c>
      <c r="R732" t="s">
        <v>265</v>
      </c>
      <c r="S732">
        <v>14882</v>
      </c>
      <c r="T732" t="s">
        <v>266</v>
      </c>
      <c r="U732" t="s">
        <v>267</v>
      </c>
      <c r="V732" t="s">
        <v>273</v>
      </c>
      <c r="W732" t="s">
        <v>274</v>
      </c>
      <c r="X732">
        <v>1926294</v>
      </c>
      <c r="Y732" s="6">
        <v>44775</v>
      </c>
      <c r="Z732" t="s">
        <v>264</v>
      </c>
      <c r="AA732">
        <v>1</v>
      </c>
      <c r="AB732" t="s">
        <v>264</v>
      </c>
      <c r="AD732" t="s">
        <v>264</v>
      </c>
      <c r="AE732" t="s">
        <v>264</v>
      </c>
      <c r="AF732" t="s">
        <v>264</v>
      </c>
      <c r="AG732">
        <v>1</v>
      </c>
      <c r="AH732" t="s">
        <v>264</v>
      </c>
      <c r="AI732">
        <v>54000358</v>
      </c>
      <c r="AJ732" t="s">
        <v>703</v>
      </c>
      <c r="AL732" t="s">
        <v>704</v>
      </c>
      <c r="AM732" s="6">
        <v>44769</v>
      </c>
      <c r="AN732" t="s">
        <v>533</v>
      </c>
      <c r="AO732" t="s">
        <v>268</v>
      </c>
      <c r="AP732">
        <v>1201</v>
      </c>
      <c r="AQ732" t="s">
        <v>269</v>
      </c>
      <c r="AR732" t="s">
        <v>551</v>
      </c>
      <c r="AU732" t="s">
        <v>264</v>
      </c>
      <c r="AV732" t="s">
        <v>270</v>
      </c>
      <c r="AX732">
        <v>22002662</v>
      </c>
      <c r="AY732">
        <v>720400</v>
      </c>
      <c r="AZ732">
        <v>1201.7203999999999</v>
      </c>
      <c r="BA732" s="28" t="s">
        <v>49</v>
      </c>
    </row>
    <row r="733" spans="1:53">
      <c r="A733" t="s">
        <v>271</v>
      </c>
      <c r="B733" t="s">
        <v>272</v>
      </c>
      <c r="C733">
        <v>22010687</v>
      </c>
      <c r="D733">
        <v>1201</v>
      </c>
      <c r="E733" s="6">
        <v>44775</v>
      </c>
      <c r="F733" t="s">
        <v>705</v>
      </c>
      <c r="G733">
        <v>243.83</v>
      </c>
      <c r="H733">
        <v>243.83</v>
      </c>
      <c r="I733" t="s">
        <v>263</v>
      </c>
      <c r="J733" t="s">
        <v>263</v>
      </c>
      <c r="L733" s="29">
        <v>3628750</v>
      </c>
      <c r="N733" s="29">
        <v>3628750</v>
      </c>
      <c r="O733" t="s">
        <v>264</v>
      </c>
      <c r="Q733" t="s">
        <v>264</v>
      </c>
      <c r="R733" t="s">
        <v>265</v>
      </c>
      <c r="S733">
        <v>14882</v>
      </c>
      <c r="T733" t="s">
        <v>266</v>
      </c>
      <c r="U733" t="s">
        <v>267</v>
      </c>
      <c r="V733" t="s">
        <v>273</v>
      </c>
      <c r="W733" t="s">
        <v>274</v>
      </c>
      <c r="X733">
        <v>1926302</v>
      </c>
      <c r="Y733" s="6">
        <v>44775</v>
      </c>
      <c r="Z733" t="s">
        <v>264</v>
      </c>
      <c r="AA733">
        <v>1</v>
      </c>
      <c r="AB733" t="s">
        <v>264</v>
      </c>
      <c r="AD733" t="s">
        <v>264</v>
      </c>
      <c r="AE733" t="s">
        <v>264</v>
      </c>
      <c r="AF733" t="s">
        <v>264</v>
      </c>
      <c r="AG733">
        <v>1</v>
      </c>
      <c r="AH733" t="s">
        <v>264</v>
      </c>
      <c r="AI733">
        <v>55737819</v>
      </c>
      <c r="AJ733" t="s">
        <v>705</v>
      </c>
      <c r="AL733">
        <v>61013020066300</v>
      </c>
      <c r="AM733" s="6">
        <v>44770</v>
      </c>
      <c r="AN733" t="s">
        <v>533</v>
      </c>
      <c r="AO733" t="s">
        <v>268</v>
      </c>
      <c r="AP733">
        <v>1201</v>
      </c>
      <c r="AQ733" t="s">
        <v>269</v>
      </c>
      <c r="AR733" t="s">
        <v>706</v>
      </c>
      <c r="AU733" t="s">
        <v>264</v>
      </c>
      <c r="AV733" t="s">
        <v>270</v>
      </c>
      <c r="AX733">
        <v>22002663</v>
      </c>
      <c r="AY733">
        <v>720400</v>
      </c>
      <c r="AZ733">
        <v>1201.7203999999999</v>
      </c>
      <c r="BA733" s="28" t="s">
        <v>49</v>
      </c>
    </row>
    <row r="734" spans="1:53">
      <c r="A734" t="s">
        <v>271</v>
      </c>
      <c r="B734" t="s">
        <v>272</v>
      </c>
      <c r="C734">
        <v>22010726</v>
      </c>
      <c r="D734">
        <v>1201</v>
      </c>
      <c r="E734" s="6">
        <v>44775</v>
      </c>
      <c r="F734" t="s">
        <v>707</v>
      </c>
      <c r="G734">
        <v>261.83</v>
      </c>
      <c r="H734">
        <v>261.83</v>
      </c>
      <c r="I734" t="s">
        <v>263</v>
      </c>
      <c r="J734" t="s">
        <v>263</v>
      </c>
      <c r="L734" s="29">
        <v>3896550</v>
      </c>
      <c r="N734" s="29">
        <v>3896550</v>
      </c>
      <c r="O734" t="s">
        <v>264</v>
      </c>
      <c r="Q734" t="s">
        <v>264</v>
      </c>
      <c r="R734" t="s">
        <v>265</v>
      </c>
      <c r="S734">
        <v>14882</v>
      </c>
      <c r="T734" t="s">
        <v>266</v>
      </c>
      <c r="U734" t="s">
        <v>267</v>
      </c>
      <c r="V734" t="s">
        <v>273</v>
      </c>
      <c r="W734" t="s">
        <v>274</v>
      </c>
      <c r="X734">
        <v>1926620</v>
      </c>
      <c r="Y734" s="6">
        <v>44775</v>
      </c>
      <c r="Z734" t="s">
        <v>264</v>
      </c>
      <c r="AA734">
        <v>1</v>
      </c>
      <c r="AB734" t="s">
        <v>264</v>
      </c>
      <c r="AD734" t="s">
        <v>264</v>
      </c>
      <c r="AE734" t="s">
        <v>264</v>
      </c>
      <c r="AF734" t="s">
        <v>264</v>
      </c>
      <c r="AG734">
        <v>1</v>
      </c>
      <c r="AH734" t="s">
        <v>264</v>
      </c>
      <c r="AI734">
        <v>56039684</v>
      </c>
      <c r="AJ734" t="s">
        <v>707</v>
      </c>
      <c r="AL734" t="s">
        <v>708</v>
      </c>
      <c r="AM734" s="6">
        <v>44769</v>
      </c>
      <c r="AN734" t="s">
        <v>533</v>
      </c>
      <c r="AO734" t="s">
        <v>268</v>
      </c>
      <c r="AP734">
        <v>1201</v>
      </c>
      <c r="AQ734" t="s">
        <v>269</v>
      </c>
      <c r="AR734" t="s">
        <v>553</v>
      </c>
      <c r="AU734" t="s">
        <v>264</v>
      </c>
      <c r="AV734" t="s">
        <v>270</v>
      </c>
      <c r="AX734">
        <v>22002684</v>
      </c>
      <c r="AY734">
        <v>720400</v>
      </c>
      <c r="AZ734">
        <v>1201.7203999999999</v>
      </c>
      <c r="BA734" s="28" t="s">
        <v>49</v>
      </c>
    </row>
    <row r="735" spans="1:53">
      <c r="A735" t="s">
        <v>271</v>
      </c>
      <c r="B735" t="s">
        <v>272</v>
      </c>
      <c r="C735">
        <v>22010791</v>
      </c>
      <c r="D735">
        <v>1201</v>
      </c>
      <c r="E735" s="6">
        <v>44778</v>
      </c>
      <c r="F735" t="s">
        <v>709</v>
      </c>
      <c r="G735" s="29">
        <v>1224.76</v>
      </c>
      <c r="H735" s="29">
        <v>1224.76</v>
      </c>
      <c r="I735" t="s">
        <v>263</v>
      </c>
      <c r="J735" t="s">
        <v>263</v>
      </c>
      <c r="L735" s="29">
        <v>18200000</v>
      </c>
      <c r="N735" s="29">
        <v>18200000</v>
      </c>
      <c r="O735" t="s">
        <v>264</v>
      </c>
      <c r="Q735" t="s">
        <v>264</v>
      </c>
      <c r="R735" t="s">
        <v>265</v>
      </c>
      <c r="S735">
        <v>14860</v>
      </c>
      <c r="T735" t="s">
        <v>266</v>
      </c>
      <c r="U735" t="s">
        <v>267</v>
      </c>
      <c r="V735" t="s">
        <v>273</v>
      </c>
      <c r="W735" t="s">
        <v>274</v>
      </c>
      <c r="X735">
        <v>1927644</v>
      </c>
      <c r="Y735" s="6">
        <v>44778</v>
      </c>
      <c r="Z735" t="s">
        <v>264</v>
      </c>
      <c r="AA735">
        <v>1</v>
      </c>
      <c r="AB735" t="s">
        <v>264</v>
      </c>
      <c r="AD735" t="s">
        <v>264</v>
      </c>
      <c r="AE735" t="s">
        <v>264</v>
      </c>
      <c r="AF735" t="s">
        <v>264</v>
      </c>
      <c r="AG735">
        <v>1</v>
      </c>
      <c r="AH735" t="s">
        <v>264</v>
      </c>
      <c r="AI735">
        <v>55423490</v>
      </c>
      <c r="AJ735" t="s">
        <v>709</v>
      </c>
      <c r="AL735" t="s">
        <v>710</v>
      </c>
      <c r="AM735" s="6">
        <v>44772</v>
      </c>
      <c r="AN735" t="s">
        <v>533</v>
      </c>
      <c r="AO735" t="s">
        <v>268</v>
      </c>
      <c r="AP735">
        <v>1201</v>
      </c>
      <c r="AQ735" t="s">
        <v>269</v>
      </c>
      <c r="AR735" t="s">
        <v>711</v>
      </c>
      <c r="AU735" t="s">
        <v>264</v>
      </c>
      <c r="AV735" t="s">
        <v>270</v>
      </c>
      <c r="AX735">
        <v>22002688</v>
      </c>
      <c r="AY735">
        <v>720400</v>
      </c>
      <c r="AZ735">
        <v>1201.7203999999999</v>
      </c>
      <c r="BA735" s="28" t="s">
        <v>49</v>
      </c>
    </row>
    <row r="736" spans="1:53">
      <c r="A736" t="s">
        <v>271</v>
      </c>
      <c r="B736" t="s">
        <v>272</v>
      </c>
      <c r="C736">
        <v>22010792</v>
      </c>
      <c r="D736">
        <v>1201</v>
      </c>
      <c r="E736" s="6">
        <v>44778</v>
      </c>
      <c r="F736" t="s">
        <v>570</v>
      </c>
      <c r="G736">
        <v>46.25</v>
      </c>
      <c r="H736">
        <v>46.25</v>
      </c>
      <c r="I736" t="s">
        <v>263</v>
      </c>
      <c r="J736" t="s">
        <v>263</v>
      </c>
      <c r="L736" s="29">
        <v>687340</v>
      </c>
      <c r="N736" s="29">
        <v>687340</v>
      </c>
      <c r="O736" t="s">
        <v>264</v>
      </c>
      <c r="Q736" t="s">
        <v>264</v>
      </c>
      <c r="R736" t="s">
        <v>265</v>
      </c>
      <c r="S736">
        <v>14860</v>
      </c>
      <c r="T736" t="s">
        <v>266</v>
      </c>
      <c r="U736" t="s">
        <v>267</v>
      </c>
      <c r="V736" t="s">
        <v>273</v>
      </c>
      <c r="W736" t="s">
        <v>274</v>
      </c>
      <c r="X736">
        <v>1927644</v>
      </c>
      <c r="Y736" s="6">
        <v>44778</v>
      </c>
      <c r="Z736" t="s">
        <v>264</v>
      </c>
      <c r="AA736">
        <v>1</v>
      </c>
      <c r="AB736" t="s">
        <v>264</v>
      </c>
      <c r="AD736" t="s">
        <v>264</v>
      </c>
      <c r="AE736" t="s">
        <v>264</v>
      </c>
      <c r="AF736" t="s">
        <v>264</v>
      </c>
      <c r="AG736">
        <v>1</v>
      </c>
      <c r="AH736" t="s">
        <v>264</v>
      </c>
      <c r="AI736">
        <v>55101941</v>
      </c>
      <c r="AJ736" t="s">
        <v>570</v>
      </c>
      <c r="AL736" t="s">
        <v>710</v>
      </c>
      <c r="AM736" s="6">
        <v>44772</v>
      </c>
      <c r="AN736" t="s">
        <v>533</v>
      </c>
      <c r="AO736" t="s">
        <v>268</v>
      </c>
      <c r="AP736">
        <v>1201</v>
      </c>
      <c r="AQ736" t="s">
        <v>269</v>
      </c>
      <c r="AR736" t="s">
        <v>711</v>
      </c>
      <c r="AU736" t="s">
        <v>264</v>
      </c>
      <c r="AV736" t="s">
        <v>270</v>
      </c>
      <c r="AX736">
        <v>22002689</v>
      </c>
      <c r="AY736">
        <v>720400</v>
      </c>
      <c r="AZ736">
        <v>1201.7203999999999</v>
      </c>
      <c r="BA736" s="28" t="s">
        <v>49</v>
      </c>
    </row>
    <row r="737" spans="1:53">
      <c r="A737" t="s">
        <v>271</v>
      </c>
      <c r="B737" t="s">
        <v>272</v>
      </c>
      <c r="C737">
        <v>22010793</v>
      </c>
      <c r="D737">
        <v>1201</v>
      </c>
      <c r="E737" s="6">
        <v>44778</v>
      </c>
      <c r="F737" t="s">
        <v>712</v>
      </c>
      <c r="G737">
        <v>126.34</v>
      </c>
      <c r="H737">
        <v>126.34</v>
      </c>
      <c r="I737" t="s">
        <v>263</v>
      </c>
      <c r="J737" t="s">
        <v>263</v>
      </c>
      <c r="L737" s="29">
        <v>1877591</v>
      </c>
      <c r="N737" s="29">
        <v>1877591</v>
      </c>
      <c r="O737" t="s">
        <v>264</v>
      </c>
      <c r="Q737" t="s">
        <v>264</v>
      </c>
      <c r="R737" t="s">
        <v>265</v>
      </c>
      <c r="S737">
        <v>14860</v>
      </c>
      <c r="T737" t="s">
        <v>266</v>
      </c>
      <c r="U737" t="s">
        <v>267</v>
      </c>
      <c r="V737" t="s">
        <v>273</v>
      </c>
      <c r="W737" t="s">
        <v>274</v>
      </c>
      <c r="X737">
        <v>1927644</v>
      </c>
      <c r="Y737" s="6">
        <v>44778</v>
      </c>
      <c r="Z737" t="s">
        <v>264</v>
      </c>
      <c r="AA737">
        <v>1</v>
      </c>
      <c r="AB737" t="s">
        <v>264</v>
      </c>
      <c r="AD737" t="s">
        <v>264</v>
      </c>
      <c r="AE737" t="s">
        <v>264</v>
      </c>
      <c r="AF737" t="s">
        <v>264</v>
      </c>
      <c r="AG737">
        <v>3</v>
      </c>
      <c r="AH737" t="s">
        <v>264</v>
      </c>
      <c r="AI737">
        <v>55734167</v>
      </c>
      <c r="AJ737" t="s">
        <v>712</v>
      </c>
      <c r="AL737" t="s">
        <v>710</v>
      </c>
      <c r="AM737" s="6">
        <v>44772</v>
      </c>
      <c r="AN737" t="s">
        <v>533</v>
      </c>
      <c r="AO737" t="s">
        <v>268</v>
      </c>
      <c r="AP737">
        <v>1201</v>
      </c>
      <c r="AQ737" t="s">
        <v>269</v>
      </c>
      <c r="AR737" t="s">
        <v>711</v>
      </c>
      <c r="AU737" t="s">
        <v>264</v>
      </c>
      <c r="AV737" t="s">
        <v>270</v>
      </c>
      <c r="AX737">
        <v>22002690</v>
      </c>
      <c r="AY737">
        <v>720400</v>
      </c>
      <c r="AZ737">
        <v>1201.7203999999999</v>
      </c>
      <c r="BA737" s="28" t="s">
        <v>49</v>
      </c>
    </row>
    <row r="738" spans="1:53">
      <c r="A738" t="s">
        <v>271</v>
      </c>
      <c r="B738" t="s">
        <v>272</v>
      </c>
      <c r="C738">
        <v>22010795</v>
      </c>
      <c r="D738">
        <v>1201</v>
      </c>
      <c r="E738" s="6">
        <v>44778</v>
      </c>
      <c r="F738" t="s">
        <v>713</v>
      </c>
      <c r="G738">
        <v>49.13</v>
      </c>
      <c r="H738">
        <v>49.13</v>
      </c>
      <c r="I738" t="s">
        <v>263</v>
      </c>
      <c r="J738" t="s">
        <v>263</v>
      </c>
      <c r="L738" s="29">
        <v>730000</v>
      </c>
      <c r="N738" s="29">
        <v>730000</v>
      </c>
      <c r="O738" t="s">
        <v>264</v>
      </c>
      <c r="Q738" t="s">
        <v>264</v>
      </c>
      <c r="R738" t="s">
        <v>265</v>
      </c>
      <c r="S738">
        <v>14860</v>
      </c>
      <c r="T738" t="s">
        <v>266</v>
      </c>
      <c r="U738" t="s">
        <v>267</v>
      </c>
      <c r="V738" t="s">
        <v>273</v>
      </c>
      <c r="W738" t="s">
        <v>274</v>
      </c>
      <c r="X738">
        <v>1927644</v>
      </c>
      <c r="Y738" s="6">
        <v>44778</v>
      </c>
      <c r="Z738" t="s">
        <v>264</v>
      </c>
      <c r="AA738">
        <v>1</v>
      </c>
      <c r="AB738" t="s">
        <v>264</v>
      </c>
      <c r="AD738" t="s">
        <v>264</v>
      </c>
      <c r="AE738" t="s">
        <v>264</v>
      </c>
      <c r="AF738" t="s">
        <v>264</v>
      </c>
      <c r="AG738">
        <v>1</v>
      </c>
      <c r="AH738" t="s">
        <v>264</v>
      </c>
      <c r="AI738">
        <v>57338387</v>
      </c>
      <c r="AJ738" t="s">
        <v>713</v>
      </c>
      <c r="AL738" t="s">
        <v>710</v>
      </c>
      <c r="AM738" s="6">
        <v>44772</v>
      </c>
      <c r="AN738" t="s">
        <v>533</v>
      </c>
      <c r="AO738" t="s">
        <v>268</v>
      </c>
      <c r="AP738">
        <v>1201</v>
      </c>
      <c r="AQ738" t="s">
        <v>269</v>
      </c>
      <c r="AR738" t="s">
        <v>711</v>
      </c>
      <c r="AU738" t="s">
        <v>264</v>
      </c>
      <c r="AV738" t="s">
        <v>270</v>
      </c>
      <c r="AX738">
        <v>22002691</v>
      </c>
      <c r="AY738">
        <v>720400</v>
      </c>
      <c r="AZ738">
        <v>1201.7203999999999</v>
      </c>
      <c r="BA738" s="28" t="s">
        <v>49</v>
      </c>
    </row>
    <row r="739" spans="1:53">
      <c r="A739" t="s">
        <v>271</v>
      </c>
      <c r="B739" t="s">
        <v>272</v>
      </c>
      <c r="C739">
        <v>22010796</v>
      </c>
      <c r="D739">
        <v>1201</v>
      </c>
      <c r="E739" s="6">
        <v>44778</v>
      </c>
      <c r="F739" t="s">
        <v>714</v>
      </c>
      <c r="G739">
        <v>53.84</v>
      </c>
      <c r="H739">
        <v>53.84</v>
      </c>
      <c r="I739" t="s">
        <v>263</v>
      </c>
      <c r="J739" t="s">
        <v>263</v>
      </c>
      <c r="L739" s="29">
        <v>800000</v>
      </c>
      <c r="N739" s="29">
        <v>800000</v>
      </c>
      <c r="O739" t="s">
        <v>264</v>
      </c>
      <c r="Q739" t="s">
        <v>264</v>
      </c>
      <c r="R739" t="s">
        <v>265</v>
      </c>
      <c r="S739">
        <v>14860</v>
      </c>
      <c r="T739" t="s">
        <v>266</v>
      </c>
      <c r="U739" t="s">
        <v>267</v>
      </c>
      <c r="V739" t="s">
        <v>273</v>
      </c>
      <c r="W739" t="s">
        <v>274</v>
      </c>
      <c r="X739">
        <v>1927644</v>
      </c>
      <c r="Y739" s="6">
        <v>44778</v>
      </c>
      <c r="Z739" t="s">
        <v>264</v>
      </c>
      <c r="AA739">
        <v>1</v>
      </c>
      <c r="AB739" t="s">
        <v>264</v>
      </c>
      <c r="AD739" t="s">
        <v>264</v>
      </c>
      <c r="AE739" t="s">
        <v>264</v>
      </c>
      <c r="AF739" t="s">
        <v>264</v>
      </c>
      <c r="AG739">
        <v>2</v>
      </c>
      <c r="AH739" t="s">
        <v>264</v>
      </c>
      <c r="AI739">
        <v>56286757</v>
      </c>
      <c r="AJ739" t="s">
        <v>714</v>
      </c>
      <c r="AL739" t="s">
        <v>710</v>
      </c>
      <c r="AM739" s="6">
        <v>44772</v>
      </c>
      <c r="AN739" t="s">
        <v>533</v>
      </c>
      <c r="AO739" t="s">
        <v>268</v>
      </c>
      <c r="AP739">
        <v>1201</v>
      </c>
      <c r="AQ739" t="s">
        <v>269</v>
      </c>
      <c r="AR739" t="s">
        <v>711</v>
      </c>
      <c r="AU739" t="s">
        <v>264</v>
      </c>
      <c r="AV739" t="s">
        <v>270</v>
      </c>
      <c r="AX739">
        <v>22002692</v>
      </c>
      <c r="AY739">
        <v>720400</v>
      </c>
      <c r="AZ739">
        <v>1201.7203999999999</v>
      </c>
      <c r="BA739" s="28" t="s">
        <v>49</v>
      </c>
    </row>
    <row r="740" spans="1:53">
      <c r="A740" t="s">
        <v>271</v>
      </c>
      <c r="B740" t="s">
        <v>272</v>
      </c>
      <c r="C740">
        <v>22010797</v>
      </c>
      <c r="D740">
        <v>1201</v>
      </c>
      <c r="E740" s="6">
        <v>44778</v>
      </c>
      <c r="F740" t="s">
        <v>715</v>
      </c>
      <c r="G740">
        <v>44.41</v>
      </c>
      <c r="H740">
        <v>44.41</v>
      </c>
      <c r="I740" t="s">
        <v>263</v>
      </c>
      <c r="J740" t="s">
        <v>263</v>
      </c>
      <c r="L740" s="29">
        <v>660000</v>
      </c>
      <c r="N740" s="29">
        <v>660000</v>
      </c>
      <c r="O740" t="s">
        <v>264</v>
      </c>
      <c r="Q740" t="s">
        <v>264</v>
      </c>
      <c r="R740" t="s">
        <v>265</v>
      </c>
      <c r="S740">
        <v>14860</v>
      </c>
      <c r="T740" t="s">
        <v>266</v>
      </c>
      <c r="U740" t="s">
        <v>267</v>
      </c>
      <c r="V740" t="s">
        <v>273</v>
      </c>
      <c r="W740" t="s">
        <v>274</v>
      </c>
      <c r="X740">
        <v>1927644</v>
      </c>
      <c r="Y740" s="6">
        <v>44778</v>
      </c>
      <c r="Z740" t="s">
        <v>264</v>
      </c>
      <c r="AA740">
        <v>1</v>
      </c>
      <c r="AB740" t="s">
        <v>264</v>
      </c>
      <c r="AD740" t="s">
        <v>264</v>
      </c>
      <c r="AE740" t="s">
        <v>264</v>
      </c>
      <c r="AF740" t="s">
        <v>264</v>
      </c>
      <c r="AG740">
        <v>1</v>
      </c>
      <c r="AH740" t="s">
        <v>264</v>
      </c>
      <c r="AI740">
        <v>57331345</v>
      </c>
      <c r="AJ740" t="s">
        <v>715</v>
      </c>
      <c r="AL740" t="s">
        <v>710</v>
      </c>
      <c r="AM740" s="6">
        <v>44772</v>
      </c>
      <c r="AN740" t="s">
        <v>533</v>
      </c>
      <c r="AO740" t="s">
        <v>268</v>
      </c>
      <c r="AP740">
        <v>1201</v>
      </c>
      <c r="AQ740" t="s">
        <v>269</v>
      </c>
      <c r="AR740" t="s">
        <v>711</v>
      </c>
      <c r="AU740" t="s">
        <v>264</v>
      </c>
      <c r="AV740" t="s">
        <v>270</v>
      </c>
      <c r="AX740">
        <v>22002693</v>
      </c>
      <c r="AY740">
        <v>720400</v>
      </c>
      <c r="AZ740">
        <v>1201.7203999999999</v>
      </c>
      <c r="BA740" s="28" t="s">
        <v>49</v>
      </c>
    </row>
    <row r="741" spans="1:53">
      <c r="A741" t="s">
        <v>271</v>
      </c>
      <c r="B741" t="s">
        <v>272</v>
      </c>
      <c r="C741">
        <v>22010824</v>
      </c>
      <c r="D741">
        <v>1201</v>
      </c>
      <c r="E741" s="6">
        <v>44781</v>
      </c>
      <c r="F741" t="s">
        <v>703</v>
      </c>
      <c r="G741">
        <v>36.340000000000003</v>
      </c>
      <c r="H741">
        <v>36.340000000000003</v>
      </c>
      <c r="I741" t="s">
        <v>263</v>
      </c>
      <c r="J741" t="s">
        <v>263</v>
      </c>
      <c r="L741" s="29">
        <v>540000</v>
      </c>
      <c r="N741" s="29">
        <v>540000</v>
      </c>
      <c r="O741" t="s">
        <v>264</v>
      </c>
      <c r="Q741" t="s">
        <v>264</v>
      </c>
      <c r="R741" t="s">
        <v>265</v>
      </c>
      <c r="S741">
        <v>14860</v>
      </c>
      <c r="T741" t="s">
        <v>266</v>
      </c>
      <c r="U741" t="s">
        <v>267</v>
      </c>
      <c r="V741" t="s">
        <v>273</v>
      </c>
      <c r="W741" t="s">
        <v>274</v>
      </c>
      <c r="X741">
        <v>1928804</v>
      </c>
      <c r="Y741" s="6">
        <v>44781</v>
      </c>
      <c r="Z741" t="s">
        <v>264</v>
      </c>
      <c r="AA741">
        <v>1</v>
      </c>
      <c r="AB741" t="s">
        <v>264</v>
      </c>
      <c r="AD741" t="s">
        <v>264</v>
      </c>
      <c r="AE741" t="s">
        <v>264</v>
      </c>
      <c r="AF741" t="s">
        <v>264</v>
      </c>
      <c r="AG741">
        <v>1</v>
      </c>
      <c r="AH741" t="s">
        <v>264</v>
      </c>
      <c r="AI741">
        <v>54000358</v>
      </c>
      <c r="AJ741" t="s">
        <v>703</v>
      </c>
      <c r="AL741" t="s">
        <v>716</v>
      </c>
      <c r="AM741" s="6">
        <v>44774</v>
      </c>
      <c r="AN741" t="s">
        <v>533</v>
      </c>
      <c r="AO741" t="s">
        <v>268</v>
      </c>
      <c r="AP741">
        <v>1201</v>
      </c>
      <c r="AQ741" t="s">
        <v>269</v>
      </c>
      <c r="AR741" t="s">
        <v>551</v>
      </c>
      <c r="AU741" t="s">
        <v>264</v>
      </c>
      <c r="AV741" t="s">
        <v>270</v>
      </c>
      <c r="AX741">
        <v>22002698</v>
      </c>
      <c r="AY741">
        <v>720400</v>
      </c>
      <c r="AZ741">
        <v>1201.7203999999999</v>
      </c>
      <c r="BA741" s="28" t="s">
        <v>49</v>
      </c>
    </row>
    <row r="742" spans="1:53">
      <c r="A742" t="s">
        <v>271</v>
      </c>
      <c r="B742" t="s">
        <v>272</v>
      </c>
      <c r="C742">
        <v>22010825</v>
      </c>
      <c r="D742">
        <v>1201</v>
      </c>
      <c r="E742" s="6">
        <v>44781</v>
      </c>
      <c r="F742" t="s">
        <v>703</v>
      </c>
      <c r="G742">
        <v>36.340000000000003</v>
      </c>
      <c r="H742">
        <v>36.340000000000003</v>
      </c>
      <c r="I742" t="s">
        <v>263</v>
      </c>
      <c r="J742" t="s">
        <v>263</v>
      </c>
      <c r="L742" s="29">
        <v>540000</v>
      </c>
      <c r="N742" s="29">
        <v>540000</v>
      </c>
      <c r="O742" t="s">
        <v>264</v>
      </c>
      <c r="Q742" t="s">
        <v>264</v>
      </c>
      <c r="R742" t="s">
        <v>265</v>
      </c>
      <c r="S742">
        <v>14860</v>
      </c>
      <c r="T742" t="s">
        <v>266</v>
      </c>
      <c r="U742" t="s">
        <v>267</v>
      </c>
      <c r="V742" t="s">
        <v>273</v>
      </c>
      <c r="W742" t="s">
        <v>274</v>
      </c>
      <c r="X742">
        <v>1928804</v>
      </c>
      <c r="Y742" s="6">
        <v>44781</v>
      </c>
      <c r="Z742" t="s">
        <v>264</v>
      </c>
      <c r="AA742">
        <v>1</v>
      </c>
      <c r="AB742" t="s">
        <v>264</v>
      </c>
      <c r="AD742" t="s">
        <v>264</v>
      </c>
      <c r="AE742" t="s">
        <v>264</v>
      </c>
      <c r="AF742" t="s">
        <v>264</v>
      </c>
      <c r="AG742">
        <v>1</v>
      </c>
      <c r="AH742" t="s">
        <v>264</v>
      </c>
      <c r="AI742">
        <v>54000358</v>
      </c>
      <c r="AJ742" t="s">
        <v>703</v>
      </c>
      <c r="AL742" t="s">
        <v>717</v>
      </c>
      <c r="AM742" s="6">
        <v>44774</v>
      </c>
      <c r="AN742" t="s">
        <v>533</v>
      </c>
      <c r="AO742" t="s">
        <v>268</v>
      </c>
      <c r="AP742">
        <v>1201</v>
      </c>
      <c r="AQ742" t="s">
        <v>269</v>
      </c>
      <c r="AR742" t="s">
        <v>551</v>
      </c>
      <c r="AU742" t="s">
        <v>264</v>
      </c>
      <c r="AV742" t="s">
        <v>270</v>
      </c>
      <c r="AX742">
        <v>22002698</v>
      </c>
      <c r="AY742">
        <v>720400</v>
      </c>
      <c r="AZ742">
        <v>1201.7203999999999</v>
      </c>
      <c r="BA742" s="28" t="s">
        <v>49</v>
      </c>
    </row>
    <row r="743" spans="1:53">
      <c r="A743" t="s">
        <v>271</v>
      </c>
      <c r="B743" t="s">
        <v>272</v>
      </c>
      <c r="C743">
        <v>22010835</v>
      </c>
      <c r="D743">
        <v>1201</v>
      </c>
      <c r="E743" s="6">
        <v>44781</v>
      </c>
      <c r="F743" t="s">
        <v>718</v>
      </c>
      <c r="G743">
        <v>75.95</v>
      </c>
      <c r="H743">
        <v>75.95</v>
      </c>
      <c r="I743" t="s">
        <v>263</v>
      </c>
      <c r="J743" t="s">
        <v>263</v>
      </c>
      <c r="L743" s="29">
        <v>1128600</v>
      </c>
      <c r="N743" s="29">
        <v>1128600</v>
      </c>
      <c r="O743" t="s">
        <v>264</v>
      </c>
      <c r="Q743" t="s">
        <v>264</v>
      </c>
      <c r="R743" t="s">
        <v>265</v>
      </c>
      <c r="S743">
        <v>14860</v>
      </c>
      <c r="T743" t="s">
        <v>266</v>
      </c>
      <c r="U743" t="s">
        <v>267</v>
      </c>
      <c r="V743" t="s">
        <v>273</v>
      </c>
      <c r="W743" t="s">
        <v>274</v>
      </c>
      <c r="X743">
        <v>1928954</v>
      </c>
      <c r="Y743" s="6">
        <v>44781</v>
      </c>
      <c r="Z743" t="s">
        <v>264</v>
      </c>
      <c r="AA743">
        <v>1</v>
      </c>
      <c r="AB743" t="s">
        <v>264</v>
      </c>
      <c r="AD743" t="s">
        <v>264</v>
      </c>
      <c r="AE743" t="s">
        <v>264</v>
      </c>
      <c r="AF743" t="s">
        <v>264</v>
      </c>
      <c r="AG743">
        <v>1</v>
      </c>
      <c r="AH743" t="s">
        <v>264</v>
      </c>
      <c r="AI743">
        <v>57312021</v>
      </c>
      <c r="AJ743" t="s">
        <v>718</v>
      </c>
      <c r="AL743" t="s">
        <v>719</v>
      </c>
      <c r="AM743" s="6">
        <v>44780</v>
      </c>
      <c r="AN743" t="s">
        <v>275</v>
      </c>
      <c r="AO743" t="s">
        <v>268</v>
      </c>
      <c r="AP743">
        <v>1201</v>
      </c>
      <c r="AQ743" t="s">
        <v>269</v>
      </c>
      <c r="AR743" t="s">
        <v>720</v>
      </c>
      <c r="AU743" t="s">
        <v>264</v>
      </c>
      <c r="AV743" t="s">
        <v>270</v>
      </c>
      <c r="AX743">
        <v>22002539</v>
      </c>
      <c r="AY743">
        <v>720400</v>
      </c>
      <c r="AZ743">
        <v>1201.7203999999999</v>
      </c>
      <c r="BA743" s="28" t="s">
        <v>49</v>
      </c>
    </row>
    <row r="744" spans="1:53">
      <c r="A744" t="s">
        <v>271</v>
      </c>
      <c r="B744" t="s">
        <v>272</v>
      </c>
      <c r="C744">
        <v>22010836</v>
      </c>
      <c r="D744">
        <v>1201</v>
      </c>
      <c r="E744" s="6">
        <v>44781</v>
      </c>
      <c r="F744" t="s">
        <v>718</v>
      </c>
      <c r="G744">
        <v>3.7</v>
      </c>
      <c r="H744">
        <v>3.7</v>
      </c>
      <c r="I744" t="s">
        <v>263</v>
      </c>
      <c r="J744" t="s">
        <v>263</v>
      </c>
      <c r="L744" s="29">
        <v>55000</v>
      </c>
      <c r="N744" s="29">
        <v>55000</v>
      </c>
      <c r="O744" t="s">
        <v>264</v>
      </c>
      <c r="Q744" t="s">
        <v>264</v>
      </c>
      <c r="R744" t="s">
        <v>265</v>
      </c>
      <c r="S744">
        <v>14860</v>
      </c>
      <c r="T744" t="s">
        <v>266</v>
      </c>
      <c r="U744" t="s">
        <v>267</v>
      </c>
      <c r="V744" t="s">
        <v>273</v>
      </c>
      <c r="W744" t="s">
        <v>274</v>
      </c>
      <c r="X744">
        <v>1928955</v>
      </c>
      <c r="Y744" s="6">
        <v>44781</v>
      </c>
      <c r="Z744" t="s">
        <v>264</v>
      </c>
      <c r="AA744">
        <v>1</v>
      </c>
      <c r="AB744" t="s">
        <v>264</v>
      </c>
      <c r="AD744" t="s">
        <v>264</v>
      </c>
      <c r="AE744" t="s">
        <v>264</v>
      </c>
      <c r="AF744" t="s">
        <v>264</v>
      </c>
      <c r="AG744">
        <v>1</v>
      </c>
      <c r="AH744" t="s">
        <v>264</v>
      </c>
      <c r="AI744">
        <v>57312021</v>
      </c>
      <c r="AJ744" t="s">
        <v>718</v>
      </c>
      <c r="AL744" t="s">
        <v>719</v>
      </c>
      <c r="AM744" s="6">
        <v>44780</v>
      </c>
      <c r="AN744" t="s">
        <v>275</v>
      </c>
      <c r="AO744" t="s">
        <v>268</v>
      </c>
      <c r="AP744">
        <v>1201</v>
      </c>
      <c r="AQ744" t="s">
        <v>269</v>
      </c>
      <c r="AR744" t="s">
        <v>721</v>
      </c>
      <c r="AU744" t="s">
        <v>264</v>
      </c>
      <c r="AV744" t="s">
        <v>270</v>
      </c>
      <c r="AX744">
        <v>22002717</v>
      </c>
      <c r="AY744">
        <v>720400</v>
      </c>
      <c r="AZ744">
        <v>1201.7203999999999</v>
      </c>
      <c r="BA744" s="28" t="s">
        <v>49</v>
      </c>
    </row>
    <row r="745" spans="1:53">
      <c r="A745" t="s">
        <v>271</v>
      </c>
      <c r="B745" t="s">
        <v>272</v>
      </c>
      <c r="C745">
        <v>22010837</v>
      </c>
      <c r="D745">
        <v>1201</v>
      </c>
      <c r="E745" s="6">
        <v>44782</v>
      </c>
      <c r="F745" t="s">
        <v>722</v>
      </c>
      <c r="G745">
        <v>50.47</v>
      </c>
      <c r="H745">
        <v>50.47</v>
      </c>
      <c r="I745" t="s">
        <v>263</v>
      </c>
      <c r="J745" t="s">
        <v>263</v>
      </c>
      <c r="L745" s="29">
        <v>750000</v>
      </c>
      <c r="N745" s="29">
        <v>750000</v>
      </c>
      <c r="O745" t="s">
        <v>264</v>
      </c>
      <c r="Q745" t="s">
        <v>264</v>
      </c>
      <c r="R745" t="s">
        <v>265</v>
      </c>
      <c r="S745">
        <v>14860</v>
      </c>
      <c r="T745" t="s">
        <v>266</v>
      </c>
      <c r="U745" t="s">
        <v>267</v>
      </c>
      <c r="V745" t="s">
        <v>273</v>
      </c>
      <c r="W745" t="s">
        <v>274</v>
      </c>
      <c r="X745">
        <v>1928996</v>
      </c>
      <c r="Y745" s="6">
        <v>44782</v>
      </c>
      <c r="Z745" t="s">
        <v>264</v>
      </c>
      <c r="AA745">
        <v>1</v>
      </c>
      <c r="AB745" t="s">
        <v>264</v>
      </c>
      <c r="AD745" t="s">
        <v>264</v>
      </c>
      <c r="AE745" t="s">
        <v>264</v>
      </c>
      <c r="AF745" t="s">
        <v>264</v>
      </c>
      <c r="AG745">
        <v>1</v>
      </c>
      <c r="AH745" t="s">
        <v>264</v>
      </c>
      <c r="AI745">
        <v>55317902</v>
      </c>
      <c r="AJ745" t="s">
        <v>722</v>
      </c>
      <c r="AL745" t="s">
        <v>723</v>
      </c>
      <c r="AM745" s="6">
        <v>44762</v>
      </c>
      <c r="AN745" t="s">
        <v>533</v>
      </c>
      <c r="AO745" t="s">
        <v>268</v>
      </c>
      <c r="AP745">
        <v>1201</v>
      </c>
      <c r="AQ745" t="s">
        <v>269</v>
      </c>
      <c r="AR745" t="s">
        <v>724</v>
      </c>
      <c r="AU745" t="s">
        <v>264</v>
      </c>
      <c r="AV745" t="s">
        <v>270</v>
      </c>
      <c r="AX745">
        <v>22002741</v>
      </c>
      <c r="AY745">
        <v>720400</v>
      </c>
      <c r="AZ745">
        <v>1201.7203999999999</v>
      </c>
      <c r="BA745" s="28" t="s">
        <v>49</v>
      </c>
    </row>
    <row r="746" spans="1:53">
      <c r="A746" t="s">
        <v>271</v>
      </c>
      <c r="B746" t="s">
        <v>272</v>
      </c>
      <c r="C746">
        <v>22010841</v>
      </c>
      <c r="D746">
        <v>1201</v>
      </c>
      <c r="E746" s="6">
        <v>44782</v>
      </c>
      <c r="F746" t="s">
        <v>725</v>
      </c>
      <c r="G746">
        <v>40.380000000000003</v>
      </c>
      <c r="H746">
        <v>40.380000000000003</v>
      </c>
      <c r="I746" t="s">
        <v>263</v>
      </c>
      <c r="J746" t="s">
        <v>263</v>
      </c>
      <c r="L746" s="29">
        <v>600000</v>
      </c>
      <c r="N746" s="29">
        <v>600000</v>
      </c>
      <c r="O746" t="s">
        <v>264</v>
      </c>
      <c r="Q746" t="s">
        <v>264</v>
      </c>
      <c r="R746" t="s">
        <v>265</v>
      </c>
      <c r="S746">
        <v>14860</v>
      </c>
      <c r="T746" t="s">
        <v>266</v>
      </c>
      <c r="U746" t="s">
        <v>267</v>
      </c>
      <c r="V746" t="s">
        <v>273</v>
      </c>
      <c r="W746" t="s">
        <v>274</v>
      </c>
      <c r="X746">
        <v>1929011</v>
      </c>
      <c r="Y746" s="6">
        <v>44782</v>
      </c>
      <c r="Z746" t="s">
        <v>264</v>
      </c>
      <c r="AA746">
        <v>1</v>
      </c>
      <c r="AB746" t="s">
        <v>264</v>
      </c>
      <c r="AD746" t="s">
        <v>264</v>
      </c>
      <c r="AE746" t="s">
        <v>264</v>
      </c>
      <c r="AF746" t="s">
        <v>264</v>
      </c>
      <c r="AG746">
        <v>1</v>
      </c>
      <c r="AH746" t="s">
        <v>264</v>
      </c>
      <c r="AI746">
        <v>54000592</v>
      </c>
      <c r="AJ746" t="s">
        <v>725</v>
      </c>
      <c r="AL746" t="s">
        <v>726</v>
      </c>
      <c r="AM746" s="6">
        <v>44776</v>
      </c>
      <c r="AN746" t="s">
        <v>533</v>
      </c>
      <c r="AO746" t="s">
        <v>268</v>
      </c>
      <c r="AP746">
        <v>1201</v>
      </c>
      <c r="AQ746" t="s">
        <v>269</v>
      </c>
      <c r="AR746" t="s">
        <v>727</v>
      </c>
      <c r="AU746" t="s">
        <v>264</v>
      </c>
      <c r="AV746" t="s">
        <v>270</v>
      </c>
      <c r="AX746">
        <v>22002742</v>
      </c>
      <c r="AY746">
        <v>720400</v>
      </c>
      <c r="AZ746">
        <v>1201.7203999999999</v>
      </c>
      <c r="BA746" s="28" t="s">
        <v>49</v>
      </c>
    </row>
    <row r="747" spans="1:53">
      <c r="A747" t="s">
        <v>271</v>
      </c>
      <c r="B747" t="s">
        <v>272</v>
      </c>
      <c r="C747">
        <v>22010844</v>
      </c>
      <c r="D747">
        <v>1201</v>
      </c>
      <c r="E747" s="6">
        <v>44782</v>
      </c>
      <c r="F747" t="s">
        <v>725</v>
      </c>
      <c r="G747">
        <v>40.380000000000003</v>
      </c>
      <c r="H747">
        <v>40.380000000000003</v>
      </c>
      <c r="I747" t="s">
        <v>263</v>
      </c>
      <c r="J747" t="s">
        <v>263</v>
      </c>
      <c r="L747" s="29">
        <v>600000</v>
      </c>
      <c r="N747" s="29">
        <v>600000</v>
      </c>
      <c r="O747" t="s">
        <v>264</v>
      </c>
      <c r="Q747" t="s">
        <v>264</v>
      </c>
      <c r="R747" t="s">
        <v>265</v>
      </c>
      <c r="S747">
        <v>14860</v>
      </c>
      <c r="T747" t="s">
        <v>266</v>
      </c>
      <c r="U747" t="s">
        <v>267</v>
      </c>
      <c r="V747" t="s">
        <v>273</v>
      </c>
      <c r="W747" t="s">
        <v>274</v>
      </c>
      <c r="X747">
        <v>1929011</v>
      </c>
      <c r="Y747" s="6">
        <v>44782</v>
      </c>
      <c r="Z747" t="s">
        <v>264</v>
      </c>
      <c r="AA747">
        <v>1</v>
      </c>
      <c r="AB747" t="s">
        <v>264</v>
      </c>
      <c r="AD747" t="s">
        <v>264</v>
      </c>
      <c r="AE747" t="s">
        <v>264</v>
      </c>
      <c r="AF747" t="s">
        <v>264</v>
      </c>
      <c r="AG747">
        <v>1</v>
      </c>
      <c r="AH747" t="s">
        <v>264</v>
      </c>
      <c r="AI747">
        <v>54000592</v>
      </c>
      <c r="AJ747" t="s">
        <v>725</v>
      </c>
      <c r="AL747" t="s">
        <v>728</v>
      </c>
      <c r="AM747" s="6">
        <v>44776</v>
      </c>
      <c r="AN747" t="s">
        <v>533</v>
      </c>
      <c r="AO747" t="s">
        <v>268</v>
      </c>
      <c r="AP747">
        <v>1201</v>
      </c>
      <c r="AQ747" t="s">
        <v>269</v>
      </c>
      <c r="AR747" t="s">
        <v>727</v>
      </c>
      <c r="AU747" t="s">
        <v>264</v>
      </c>
      <c r="AV747" t="s">
        <v>270</v>
      </c>
      <c r="AX747">
        <v>22002742</v>
      </c>
      <c r="AY747">
        <v>720400</v>
      </c>
      <c r="AZ747">
        <v>1201.7203999999999</v>
      </c>
      <c r="BA747" s="28" t="s">
        <v>49</v>
      </c>
    </row>
    <row r="748" spans="1:53">
      <c r="A748" t="s">
        <v>271</v>
      </c>
      <c r="B748" t="s">
        <v>272</v>
      </c>
      <c r="C748">
        <v>22010853</v>
      </c>
      <c r="D748">
        <v>1201</v>
      </c>
      <c r="E748" s="6">
        <v>44782</v>
      </c>
      <c r="F748" t="s">
        <v>703</v>
      </c>
      <c r="G748">
        <v>36.340000000000003</v>
      </c>
      <c r="H748">
        <v>36.340000000000003</v>
      </c>
      <c r="I748" t="s">
        <v>263</v>
      </c>
      <c r="J748" t="s">
        <v>263</v>
      </c>
      <c r="L748" s="29">
        <v>540000</v>
      </c>
      <c r="N748" s="29">
        <v>540000</v>
      </c>
      <c r="O748" t="s">
        <v>264</v>
      </c>
      <c r="Q748" t="s">
        <v>264</v>
      </c>
      <c r="R748" t="s">
        <v>265</v>
      </c>
      <c r="S748">
        <v>14860</v>
      </c>
      <c r="T748" t="s">
        <v>266</v>
      </c>
      <c r="U748" t="s">
        <v>267</v>
      </c>
      <c r="V748" t="s">
        <v>273</v>
      </c>
      <c r="W748" t="s">
        <v>274</v>
      </c>
      <c r="X748">
        <v>1929030</v>
      </c>
      <c r="Y748" s="6">
        <v>44782</v>
      </c>
      <c r="Z748" t="s">
        <v>264</v>
      </c>
      <c r="AA748">
        <v>1</v>
      </c>
      <c r="AB748" t="s">
        <v>264</v>
      </c>
      <c r="AD748" t="s">
        <v>264</v>
      </c>
      <c r="AE748" t="s">
        <v>264</v>
      </c>
      <c r="AF748" t="s">
        <v>264</v>
      </c>
      <c r="AG748">
        <v>1</v>
      </c>
      <c r="AH748" t="s">
        <v>264</v>
      </c>
      <c r="AI748">
        <v>54000358</v>
      </c>
      <c r="AJ748" t="s">
        <v>703</v>
      </c>
      <c r="AL748" t="s">
        <v>729</v>
      </c>
      <c r="AM748" s="6">
        <v>44777</v>
      </c>
      <c r="AN748" t="s">
        <v>533</v>
      </c>
      <c r="AO748" t="s">
        <v>268</v>
      </c>
      <c r="AP748">
        <v>1201</v>
      </c>
      <c r="AQ748" t="s">
        <v>269</v>
      </c>
      <c r="AR748" t="s">
        <v>551</v>
      </c>
      <c r="AU748" t="s">
        <v>264</v>
      </c>
      <c r="AV748" t="s">
        <v>270</v>
      </c>
      <c r="AX748">
        <v>22002740</v>
      </c>
      <c r="AY748">
        <v>720400</v>
      </c>
      <c r="AZ748">
        <v>1201.7203999999999</v>
      </c>
      <c r="BA748" s="28" t="s">
        <v>49</v>
      </c>
    </row>
    <row r="749" spans="1:53">
      <c r="A749" t="s">
        <v>384</v>
      </c>
      <c r="B749" t="s">
        <v>385</v>
      </c>
      <c r="C749">
        <v>22001586</v>
      </c>
      <c r="D749">
        <v>1201</v>
      </c>
      <c r="E749" s="6">
        <v>44783</v>
      </c>
      <c r="F749" t="s">
        <v>730</v>
      </c>
      <c r="G749">
        <v>84.12</v>
      </c>
      <c r="H749">
        <v>84.12</v>
      </c>
      <c r="I749" t="s">
        <v>263</v>
      </c>
      <c r="J749" t="s">
        <v>263</v>
      </c>
      <c r="L749" s="29">
        <v>1250000</v>
      </c>
      <c r="N749" s="29">
        <v>1250000</v>
      </c>
      <c r="O749" t="s">
        <v>264</v>
      </c>
      <c r="Q749" t="s">
        <v>264</v>
      </c>
      <c r="R749" t="s">
        <v>265</v>
      </c>
      <c r="S749">
        <v>14860</v>
      </c>
      <c r="T749" t="s">
        <v>266</v>
      </c>
      <c r="U749" t="s">
        <v>267</v>
      </c>
      <c r="V749" t="s">
        <v>386</v>
      </c>
      <c r="W749" t="s">
        <v>387</v>
      </c>
      <c r="X749">
        <v>1930311</v>
      </c>
      <c r="Y749" s="6">
        <v>44783</v>
      </c>
      <c r="Z749" t="s">
        <v>264</v>
      </c>
      <c r="AA749">
        <v>1</v>
      </c>
      <c r="AB749" t="s">
        <v>264</v>
      </c>
      <c r="AD749" t="s">
        <v>264</v>
      </c>
      <c r="AE749" t="s">
        <v>264</v>
      </c>
      <c r="AF749" t="s">
        <v>264</v>
      </c>
      <c r="AH749" t="s">
        <v>264</v>
      </c>
      <c r="AL749" t="s">
        <v>264</v>
      </c>
      <c r="AM749" s="6">
        <v>44783</v>
      </c>
      <c r="AN749" t="s">
        <v>388</v>
      </c>
      <c r="AO749" t="s">
        <v>268</v>
      </c>
      <c r="AP749">
        <v>1201</v>
      </c>
      <c r="AQ749" t="s">
        <v>269</v>
      </c>
      <c r="AR749" t="s">
        <v>731</v>
      </c>
      <c r="AU749" t="s">
        <v>264</v>
      </c>
      <c r="AV749" t="s">
        <v>270</v>
      </c>
      <c r="AX749" t="s">
        <v>264</v>
      </c>
      <c r="AY749">
        <v>720400</v>
      </c>
      <c r="AZ749">
        <v>1201.7203999999999</v>
      </c>
      <c r="BA749" s="28" t="s">
        <v>49</v>
      </c>
    </row>
    <row r="750" spans="1:53">
      <c r="A750" t="s">
        <v>271</v>
      </c>
      <c r="B750" t="s">
        <v>272</v>
      </c>
      <c r="C750">
        <v>22010898</v>
      </c>
      <c r="D750">
        <v>1201</v>
      </c>
      <c r="E750" s="6">
        <v>44783</v>
      </c>
      <c r="F750" t="s">
        <v>718</v>
      </c>
      <c r="G750">
        <v>49.36</v>
      </c>
      <c r="H750">
        <v>49.36</v>
      </c>
      <c r="I750" t="s">
        <v>263</v>
      </c>
      <c r="J750" t="s">
        <v>263</v>
      </c>
      <c r="L750" s="29">
        <v>733500</v>
      </c>
      <c r="N750" s="29">
        <v>733500</v>
      </c>
      <c r="O750" t="s">
        <v>264</v>
      </c>
      <c r="Q750" t="s">
        <v>264</v>
      </c>
      <c r="R750" t="s">
        <v>265</v>
      </c>
      <c r="S750">
        <v>14860</v>
      </c>
      <c r="T750" t="s">
        <v>266</v>
      </c>
      <c r="U750" t="s">
        <v>267</v>
      </c>
      <c r="V750" t="s">
        <v>273</v>
      </c>
      <c r="W750" t="s">
        <v>274</v>
      </c>
      <c r="X750">
        <v>1929870</v>
      </c>
      <c r="Y750" s="6">
        <v>44783</v>
      </c>
      <c r="Z750" t="s">
        <v>264</v>
      </c>
      <c r="AA750">
        <v>1</v>
      </c>
      <c r="AB750" t="s">
        <v>264</v>
      </c>
      <c r="AD750" t="s">
        <v>264</v>
      </c>
      <c r="AE750" t="s">
        <v>264</v>
      </c>
      <c r="AF750" t="s">
        <v>264</v>
      </c>
      <c r="AG750">
        <v>1</v>
      </c>
      <c r="AH750" t="s">
        <v>264</v>
      </c>
      <c r="AI750">
        <v>57312021</v>
      </c>
      <c r="AJ750" t="s">
        <v>718</v>
      </c>
      <c r="AL750" t="s">
        <v>732</v>
      </c>
      <c r="AM750" s="6">
        <v>44776</v>
      </c>
      <c r="AN750" t="s">
        <v>275</v>
      </c>
      <c r="AO750" t="s">
        <v>268</v>
      </c>
      <c r="AP750">
        <v>1201</v>
      </c>
      <c r="AQ750" t="s">
        <v>269</v>
      </c>
      <c r="AR750" t="s">
        <v>733</v>
      </c>
      <c r="AU750" t="s">
        <v>264</v>
      </c>
      <c r="AV750" t="s">
        <v>270</v>
      </c>
      <c r="AX750">
        <v>22002739</v>
      </c>
      <c r="AY750">
        <v>720400</v>
      </c>
      <c r="AZ750">
        <v>1201.7203999999999</v>
      </c>
      <c r="BA750" s="28" t="s">
        <v>49</v>
      </c>
    </row>
    <row r="751" spans="1:53">
      <c r="A751" t="s">
        <v>271</v>
      </c>
      <c r="B751" t="s">
        <v>272</v>
      </c>
      <c r="C751">
        <v>22010926</v>
      </c>
      <c r="D751">
        <v>1201</v>
      </c>
      <c r="E751" s="6">
        <v>44785</v>
      </c>
      <c r="F751" t="s">
        <v>543</v>
      </c>
      <c r="G751">
        <v>15.17</v>
      </c>
      <c r="H751">
        <v>15.17</v>
      </c>
      <c r="I751" t="s">
        <v>263</v>
      </c>
      <c r="J751" t="s">
        <v>263</v>
      </c>
      <c r="L751" s="29">
        <v>225492</v>
      </c>
      <c r="N751" s="29">
        <v>225492</v>
      </c>
      <c r="O751" t="s">
        <v>264</v>
      </c>
      <c r="Q751" t="s">
        <v>264</v>
      </c>
      <c r="R751" t="s">
        <v>265</v>
      </c>
      <c r="S751">
        <v>14860</v>
      </c>
      <c r="T751" t="s">
        <v>266</v>
      </c>
      <c r="U751" t="s">
        <v>267</v>
      </c>
      <c r="V751" t="s">
        <v>273</v>
      </c>
      <c r="W751" t="s">
        <v>274</v>
      </c>
      <c r="X751">
        <v>1930560</v>
      </c>
      <c r="Y751" s="6">
        <v>44785</v>
      </c>
      <c r="Z751" t="s">
        <v>264</v>
      </c>
      <c r="AA751">
        <v>1</v>
      </c>
      <c r="AB751" t="s">
        <v>264</v>
      </c>
      <c r="AD751" t="s">
        <v>264</v>
      </c>
      <c r="AE751" t="s">
        <v>264</v>
      </c>
      <c r="AF751" t="s">
        <v>264</v>
      </c>
      <c r="AG751">
        <v>1</v>
      </c>
      <c r="AH751" t="s">
        <v>264</v>
      </c>
      <c r="AI751">
        <v>57338379</v>
      </c>
      <c r="AJ751" t="s">
        <v>543</v>
      </c>
      <c r="AL751">
        <v>7800669433</v>
      </c>
      <c r="AM751" s="6">
        <v>44781</v>
      </c>
      <c r="AN751" t="s">
        <v>533</v>
      </c>
      <c r="AO751" t="s">
        <v>268</v>
      </c>
      <c r="AP751">
        <v>1201</v>
      </c>
      <c r="AQ751" t="s">
        <v>269</v>
      </c>
      <c r="AR751" t="s">
        <v>734</v>
      </c>
      <c r="AU751" t="s">
        <v>264</v>
      </c>
      <c r="AV751" t="s">
        <v>270</v>
      </c>
      <c r="AX751">
        <v>22002754</v>
      </c>
      <c r="AY751">
        <v>720400</v>
      </c>
      <c r="AZ751">
        <v>1201.7203999999999</v>
      </c>
      <c r="BA751" s="28" t="s">
        <v>49</v>
      </c>
    </row>
    <row r="752" spans="1:53">
      <c r="A752" t="s">
        <v>271</v>
      </c>
      <c r="B752" t="s">
        <v>272</v>
      </c>
      <c r="C752">
        <v>22010927</v>
      </c>
      <c r="D752">
        <v>1201</v>
      </c>
      <c r="E752" s="6">
        <v>44785</v>
      </c>
      <c r="F752" t="s">
        <v>543</v>
      </c>
      <c r="G752">
        <v>127.49</v>
      </c>
      <c r="H752">
        <v>127.49</v>
      </c>
      <c r="I752" t="s">
        <v>263</v>
      </c>
      <c r="J752" t="s">
        <v>263</v>
      </c>
      <c r="L752" s="29">
        <v>1894451</v>
      </c>
      <c r="N752" s="29">
        <v>1894451</v>
      </c>
      <c r="O752" t="s">
        <v>264</v>
      </c>
      <c r="Q752" t="s">
        <v>264</v>
      </c>
      <c r="R752" t="s">
        <v>265</v>
      </c>
      <c r="S752">
        <v>14860</v>
      </c>
      <c r="T752" t="s">
        <v>266</v>
      </c>
      <c r="U752" t="s">
        <v>267</v>
      </c>
      <c r="V752" t="s">
        <v>273</v>
      </c>
      <c r="W752" t="s">
        <v>274</v>
      </c>
      <c r="X752">
        <v>1930560</v>
      </c>
      <c r="Y752" s="6">
        <v>44785</v>
      </c>
      <c r="Z752" t="s">
        <v>264</v>
      </c>
      <c r="AA752">
        <v>1</v>
      </c>
      <c r="AB752" t="s">
        <v>264</v>
      </c>
      <c r="AD752" t="s">
        <v>264</v>
      </c>
      <c r="AE752" t="s">
        <v>264</v>
      </c>
      <c r="AF752" t="s">
        <v>264</v>
      </c>
      <c r="AG752">
        <v>1</v>
      </c>
      <c r="AH752" t="s">
        <v>264</v>
      </c>
      <c r="AI752">
        <v>57338379</v>
      </c>
      <c r="AJ752" t="s">
        <v>543</v>
      </c>
      <c r="AL752">
        <v>7800669433</v>
      </c>
      <c r="AM752" s="6">
        <v>44781</v>
      </c>
      <c r="AN752" t="s">
        <v>533</v>
      </c>
      <c r="AO752" t="s">
        <v>268</v>
      </c>
      <c r="AP752">
        <v>1201</v>
      </c>
      <c r="AQ752" t="s">
        <v>269</v>
      </c>
      <c r="AR752" t="s">
        <v>734</v>
      </c>
      <c r="AU752" t="s">
        <v>264</v>
      </c>
      <c r="AV752" t="s">
        <v>270</v>
      </c>
      <c r="AX752">
        <v>22002754</v>
      </c>
      <c r="AY752">
        <v>720400</v>
      </c>
      <c r="AZ752">
        <v>1201.7203999999999</v>
      </c>
      <c r="BA752" s="28" t="s">
        <v>49</v>
      </c>
    </row>
    <row r="753" spans="1:53">
      <c r="A753" t="s">
        <v>271</v>
      </c>
      <c r="B753" t="s">
        <v>272</v>
      </c>
      <c r="C753">
        <v>22010937</v>
      </c>
      <c r="D753">
        <v>1201</v>
      </c>
      <c r="E753" s="6">
        <v>44785</v>
      </c>
      <c r="F753" t="s">
        <v>531</v>
      </c>
      <c r="G753">
        <v>89.99</v>
      </c>
      <c r="H753">
        <v>89.99</v>
      </c>
      <c r="I753" t="s">
        <v>263</v>
      </c>
      <c r="J753" t="s">
        <v>263</v>
      </c>
      <c r="L753" s="29">
        <v>1337188</v>
      </c>
      <c r="N753" s="29">
        <v>1337188</v>
      </c>
      <c r="O753" t="s">
        <v>264</v>
      </c>
      <c r="Q753" t="s">
        <v>264</v>
      </c>
      <c r="R753" t="s">
        <v>265</v>
      </c>
      <c r="S753">
        <v>14860</v>
      </c>
      <c r="T753" t="s">
        <v>266</v>
      </c>
      <c r="U753" t="s">
        <v>267</v>
      </c>
      <c r="V753" t="s">
        <v>273</v>
      </c>
      <c r="W753" t="s">
        <v>274</v>
      </c>
      <c r="X753">
        <v>1930599</v>
      </c>
      <c r="Y753" s="6">
        <v>44785</v>
      </c>
      <c r="Z753" t="s">
        <v>264</v>
      </c>
      <c r="AA753">
        <v>1</v>
      </c>
      <c r="AB753" t="s">
        <v>264</v>
      </c>
      <c r="AD753" t="s">
        <v>264</v>
      </c>
      <c r="AE753" t="s">
        <v>264</v>
      </c>
      <c r="AF753" t="s">
        <v>264</v>
      </c>
      <c r="AG753">
        <v>1</v>
      </c>
      <c r="AH753" t="s">
        <v>264</v>
      </c>
      <c r="AI753">
        <v>54000160</v>
      </c>
      <c r="AJ753" t="s">
        <v>531</v>
      </c>
      <c r="AL753" t="s">
        <v>735</v>
      </c>
      <c r="AM753" s="6">
        <v>44761</v>
      </c>
      <c r="AN753" t="s">
        <v>533</v>
      </c>
      <c r="AO753" t="s">
        <v>268</v>
      </c>
      <c r="AP753">
        <v>1201</v>
      </c>
      <c r="AQ753" t="s">
        <v>269</v>
      </c>
      <c r="AR753" t="s">
        <v>630</v>
      </c>
      <c r="AU753" t="s">
        <v>264</v>
      </c>
      <c r="AV753" t="s">
        <v>270</v>
      </c>
      <c r="AX753">
        <v>22002751</v>
      </c>
      <c r="AY753">
        <v>720400</v>
      </c>
      <c r="AZ753">
        <v>1201.7203999999999</v>
      </c>
      <c r="BA753" s="28" t="s">
        <v>49</v>
      </c>
    </row>
    <row r="754" spans="1:53">
      <c r="A754" t="s">
        <v>271</v>
      </c>
      <c r="B754" t="s">
        <v>272</v>
      </c>
      <c r="C754">
        <v>22010938</v>
      </c>
      <c r="D754">
        <v>1201</v>
      </c>
      <c r="E754" s="6">
        <v>44785</v>
      </c>
      <c r="F754" t="s">
        <v>531</v>
      </c>
      <c r="G754">
        <v>271.14</v>
      </c>
      <c r="H754">
        <v>271.14</v>
      </c>
      <c r="I754" t="s">
        <v>263</v>
      </c>
      <c r="J754" t="s">
        <v>263</v>
      </c>
      <c r="L754" s="29">
        <v>4029163</v>
      </c>
      <c r="N754" s="29">
        <v>4029163</v>
      </c>
      <c r="O754" t="s">
        <v>264</v>
      </c>
      <c r="Q754" t="s">
        <v>264</v>
      </c>
      <c r="R754" t="s">
        <v>265</v>
      </c>
      <c r="S754">
        <v>14860</v>
      </c>
      <c r="T754" t="s">
        <v>266</v>
      </c>
      <c r="U754" t="s">
        <v>267</v>
      </c>
      <c r="V754" t="s">
        <v>273</v>
      </c>
      <c r="W754" t="s">
        <v>274</v>
      </c>
      <c r="X754">
        <v>1930599</v>
      </c>
      <c r="Y754" s="6">
        <v>44785</v>
      </c>
      <c r="Z754" t="s">
        <v>264</v>
      </c>
      <c r="AA754">
        <v>1</v>
      </c>
      <c r="AB754" t="s">
        <v>264</v>
      </c>
      <c r="AD754" t="s">
        <v>264</v>
      </c>
      <c r="AE754" t="s">
        <v>264</v>
      </c>
      <c r="AF754" t="s">
        <v>264</v>
      </c>
      <c r="AG754">
        <v>1</v>
      </c>
      <c r="AH754" t="s">
        <v>264</v>
      </c>
      <c r="AI754">
        <v>54000160</v>
      </c>
      <c r="AJ754" t="s">
        <v>531</v>
      </c>
      <c r="AL754" t="s">
        <v>736</v>
      </c>
      <c r="AM754" s="6">
        <v>44754</v>
      </c>
      <c r="AN754" t="s">
        <v>533</v>
      </c>
      <c r="AO754" t="s">
        <v>268</v>
      </c>
      <c r="AP754">
        <v>1201</v>
      </c>
      <c r="AQ754" t="s">
        <v>269</v>
      </c>
      <c r="AR754" t="s">
        <v>630</v>
      </c>
      <c r="AU754" t="s">
        <v>264</v>
      </c>
      <c r="AV754" t="s">
        <v>270</v>
      </c>
      <c r="AX754">
        <v>22002751</v>
      </c>
      <c r="AY754">
        <v>720400</v>
      </c>
      <c r="AZ754">
        <v>1201.7203999999999</v>
      </c>
      <c r="BA754" s="28" t="s">
        <v>49</v>
      </c>
    </row>
    <row r="755" spans="1:53">
      <c r="A755" t="s">
        <v>271</v>
      </c>
      <c r="B755" t="s">
        <v>272</v>
      </c>
      <c r="C755">
        <v>22010939</v>
      </c>
      <c r="D755">
        <v>1201</v>
      </c>
      <c r="E755" s="6">
        <v>44785</v>
      </c>
      <c r="F755" t="s">
        <v>531</v>
      </c>
      <c r="G755">
        <v>455.36</v>
      </c>
      <c r="H755">
        <v>455.36</v>
      </c>
      <c r="I755" t="s">
        <v>263</v>
      </c>
      <c r="J755" t="s">
        <v>263</v>
      </c>
      <c r="L755" s="29">
        <v>6766647</v>
      </c>
      <c r="N755" s="29">
        <v>6766647</v>
      </c>
      <c r="O755" t="s">
        <v>264</v>
      </c>
      <c r="Q755" t="s">
        <v>264</v>
      </c>
      <c r="R755" t="s">
        <v>265</v>
      </c>
      <c r="S755">
        <v>14860</v>
      </c>
      <c r="T755" t="s">
        <v>266</v>
      </c>
      <c r="U755" t="s">
        <v>267</v>
      </c>
      <c r="V755" t="s">
        <v>273</v>
      </c>
      <c r="W755" t="s">
        <v>274</v>
      </c>
      <c r="X755">
        <v>1930599</v>
      </c>
      <c r="Y755" s="6">
        <v>44785</v>
      </c>
      <c r="Z755" t="s">
        <v>264</v>
      </c>
      <c r="AA755">
        <v>1</v>
      </c>
      <c r="AB755" t="s">
        <v>264</v>
      </c>
      <c r="AD755" t="s">
        <v>264</v>
      </c>
      <c r="AE755" t="s">
        <v>264</v>
      </c>
      <c r="AF755" t="s">
        <v>264</v>
      </c>
      <c r="AG755">
        <v>1</v>
      </c>
      <c r="AH755" t="s">
        <v>264</v>
      </c>
      <c r="AI755">
        <v>54000160</v>
      </c>
      <c r="AJ755" t="s">
        <v>531</v>
      </c>
      <c r="AL755" t="s">
        <v>737</v>
      </c>
      <c r="AM755" s="6">
        <v>44747</v>
      </c>
      <c r="AN755" t="s">
        <v>533</v>
      </c>
      <c r="AO755" t="s">
        <v>268</v>
      </c>
      <c r="AP755">
        <v>1201</v>
      </c>
      <c r="AQ755" t="s">
        <v>269</v>
      </c>
      <c r="AR755" t="s">
        <v>630</v>
      </c>
      <c r="AU755" t="s">
        <v>264</v>
      </c>
      <c r="AV755" t="s">
        <v>270</v>
      </c>
      <c r="AX755">
        <v>22002751</v>
      </c>
      <c r="AY755">
        <v>720400</v>
      </c>
      <c r="AZ755">
        <v>1201.7203999999999</v>
      </c>
      <c r="BA755" s="28" t="s">
        <v>49</v>
      </c>
    </row>
    <row r="756" spans="1:53">
      <c r="A756" t="s">
        <v>271</v>
      </c>
      <c r="B756" t="s">
        <v>272</v>
      </c>
      <c r="C756">
        <v>22010940</v>
      </c>
      <c r="D756">
        <v>1201</v>
      </c>
      <c r="E756" s="6">
        <v>44785</v>
      </c>
      <c r="F756" t="s">
        <v>531</v>
      </c>
      <c r="G756">
        <v>114.65</v>
      </c>
      <c r="H756">
        <v>114.65</v>
      </c>
      <c r="I756" t="s">
        <v>263</v>
      </c>
      <c r="J756" t="s">
        <v>263</v>
      </c>
      <c r="L756" s="29">
        <v>1703625</v>
      </c>
      <c r="N756" s="29">
        <v>1703625</v>
      </c>
      <c r="O756" t="s">
        <v>264</v>
      </c>
      <c r="Q756" t="s">
        <v>264</v>
      </c>
      <c r="R756" t="s">
        <v>265</v>
      </c>
      <c r="S756">
        <v>14860</v>
      </c>
      <c r="T756" t="s">
        <v>266</v>
      </c>
      <c r="U756" t="s">
        <v>267</v>
      </c>
      <c r="V756" t="s">
        <v>273</v>
      </c>
      <c r="W756" t="s">
        <v>274</v>
      </c>
      <c r="X756">
        <v>1930599</v>
      </c>
      <c r="Y756" s="6">
        <v>44785</v>
      </c>
      <c r="Z756" t="s">
        <v>264</v>
      </c>
      <c r="AA756">
        <v>1</v>
      </c>
      <c r="AB756" t="s">
        <v>264</v>
      </c>
      <c r="AD756" t="s">
        <v>264</v>
      </c>
      <c r="AE756" t="s">
        <v>264</v>
      </c>
      <c r="AF756" t="s">
        <v>264</v>
      </c>
      <c r="AG756">
        <v>1</v>
      </c>
      <c r="AH756" t="s">
        <v>264</v>
      </c>
      <c r="AI756">
        <v>54000160</v>
      </c>
      <c r="AJ756" t="s">
        <v>531</v>
      </c>
      <c r="AL756" t="s">
        <v>738</v>
      </c>
      <c r="AM756" s="6">
        <v>44768</v>
      </c>
      <c r="AN756" t="s">
        <v>533</v>
      </c>
      <c r="AO756" t="s">
        <v>268</v>
      </c>
      <c r="AP756">
        <v>1201</v>
      </c>
      <c r="AQ756" t="s">
        <v>269</v>
      </c>
      <c r="AR756" t="s">
        <v>630</v>
      </c>
      <c r="AU756" t="s">
        <v>264</v>
      </c>
      <c r="AV756" t="s">
        <v>270</v>
      </c>
      <c r="AX756">
        <v>22002751</v>
      </c>
      <c r="AY756">
        <v>720400</v>
      </c>
      <c r="AZ756">
        <v>1201.7203999999999</v>
      </c>
      <c r="BA756" s="28" t="s">
        <v>49</v>
      </c>
    </row>
    <row r="757" spans="1:53">
      <c r="A757" t="s">
        <v>271</v>
      </c>
      <c r="B757" t="s">
        <v>272</v>
      </c>
      <c r="C757">
        <v>22010941</v>
      </c>
      <c r="D757">
        <v>1201</v>
      </c>
      <c r="E757" s="6">
        <v>44785</v>
      </c>
      <c r="F757" t="s">
        <v>531</v>
      </c>
      <c r="G757">
        <v>24.34</v>
      </c>
      <c r="H757">
        <v>24.34</v>
      </c>
      <c r="I757" t="s">
        <v>263</v>
      </c>
      <c r="J757" t="s">
        <v>263</v>
      </c>
      <c r="L757" s="29">
        <v>361625</v>
      </c>
      <c r="N757" s="29">
        <v>361625</v>
      </c>
      <c r="O757" t="s">
        <v>264</v>
      </c>
      <c r="Q757" t="s">
        <v>264</v>
      </c>
      <c r="R757" t="s">
        <v>265</v>
      </c>
      <c r="S757">
        <v>14860</v>
      </c>
      <c r="T757" t="s">
        <v>266</v>
      </c>
      <c r="U757" t="s">
        <v>267</v>
      </c>
      <c r="V757" t="s">
        <v>273</v>
      </c>
      <c r="W757" t="s">
        <v>274</v>
      </c>
      <c r="X757">
        <v>1930599</v>
      </c>
      <c r="Y757" s="6">
        <v>44785</v>
      </c>
      <c r="Z757" t="s">
        <v>264</v>
      </c>
      <c r="AA757">
        <v>1</v>
      </c>
      <c r="AB757" t="s">
        <v>264</v>
      </c>
      <c r="AD757" t="s">
        <v>264</v>
      </c>
      <c r="AE757" t="s">
        <v>264</v>
      </c>
      <c r="AF757" t="s">
        <v>264</v>
      </c>
      <c r="AG757">
        <v>1</v>
      </c>
      <c r="AH757" t="s">
        <v>264</v>
      </c>
      <c r="AI757">
        <v>54000160</v>
      </c>
      <c r="AJ757" t="s">
        <v>531</v>
      </c>
      <c r="AL757" t="s">
        <v>739</v>
      </c>
      <c r="AM757" s="6">
        <v>44773</v>
      </c>
      <c r="AN757" t="s">
        <v>533</v>
      </c>
      <c r="AO757" t="s">
        <v>268</v>
      </c>
      <c r="AP757">
        <v>1201</v>
      </c>
      <c r="AQ757" t="s">
        <v>269</v>
      </c>
      <c r="AR757" t="s">
        <v>630</v>
      </c>
      <c r="AU757" t="s">
        <v>264</v>
      </c>
      <c r="AV757" t="s">
        <v>270</v>
      </c>
      <c r="AX757">
        <v>22002751</v>
      </c>
      <c r="AY757">
        <v>720400</v>
      </c>
      <c r="AZ757">
        <v>1201.7203999999999</v>
      </c>
      <c r="BA757" s="28" t="s">
        <v>49</v>
      </c>
    </row>
    <row r="758" spans="1:53">
      <c r="A758" t="s">
        <v>271</v>
      </c>
      <c r="B758" t="s">
        <v>272</v>
      </c>
      <c r="C758">
        <v>22011269</v>
      </c>
      <c r="D758">
        <v>1201</v>
      </c>
      <c r="E758" s="6">
        <v>44789</v>
      </c>
      <c r="F758" t="s">
        <v>699</v>
      </c>
      <c r="G758">
        <v>375.53</v>
      </c>
      <c r="H758">
        <v>375.53</v>
      </c>
      <c r="I758" t="s">
        <v>263</v>
      </c>
      <c r="J758" t="s">
        <v>263</v>
      </c>
      <c r="L758" s="29">
        <v>5580322</v>
      </c>
      <c r="N758" s="29">
        <v>5580322</v>
      </c>
      <c r="O758" t="s">
        <v>264</v>
      </c>
      <c r="Q758" t="s">
        <v>264</v>
      </c>
      <c r="R758" t="s">
        <v>265</v>
      </c>
      <c r="S758">
        <v>14860</v>
      </c>
      <c r="T758" t="s">
        <v>266</v>
      </c>
      <c r="U758" t="s">
        <v>267</v>
      </c>
      <c r="V758" t="s">
        <v>273</v>
      </c>
      <c r="W758" t="s">
        <v>274</v>
      </c>
      <c r="X758">
        <v>1932964</v>
      </c>
      <c r="Y758" s="6">
        <v>44789</v>
      </c>
      <c r="Z758" t="s">
        <v>264</v>
      </c>
      <c r="AA758">
        <v>1</v>
      </c>
      <c r="AB758" t="s">
        <v>264</v>
      </c>
      <c r="AD758" t="s">
        <v>264</v>
      </c>
      <c r="AE758" t="s">
        <v>264</v>
      </c>
      <c r="AF758" t="s">
        <v>264</v>
      </c>
      <c r="AG758">
        <v>1</v>
      </c>
      <c r="AH758" t="s">
        <v>264</v>
      </c>
      <c r="AI758">
        <v>55401143</v>
      </c>
      <c r="AJ758" t="s">
        <v>699</v>
      </c>
      <c r="AL758" t="s">
        <v>740</v>
      </c>
      <c r="AM758" s="6">
        <v>44785</v>
      </c>
      <c r="AN758" t="s">
        <v>533</v>
      </c>
      <c r="AO758" t="s">
        <v>268</v>
      </c>
      <c r="AP758">
        <v>1201</v>
      </c>
      <c r="AQ758" t="s">
        <v>269</v>
      </c>
      <c r="AR758" t="s">
        <v>741</v>
      </c>
      <c r="AU758" t="s">
        <v>264</v>
      </c>
      <c r="AV758" t="s">
        <v>270</v>
      </c>
      <c r="AX758">
        <v>22002779</v>
      </c>
      <c r="AY758">
        <v>720400</v>
      </c>
      <c r="AZ758">
        <v>1201.7203999999999</v>
      </c>
      <c r="BA758" s="28" t="s">
        <v>49</v>
      </c>
    </row>
    <row r="759" spans="1:53">
      <c r="A759" t="s">
        <v>271</v>
      </c>
      <c r="B759" t="s">
        <v>272</v>
      </c>
      <c r="C759">
        <v>22011270</v>
      </c>
      <c r="D759">
        <v>1201</v>
      </c>
      <c r="E759" s="6">
        <v>44789</v>
      </c>
      <c r="F759" t="s">
        <v>699</v>
      </c>
      <c r="G759">
        <v>384.65</v>
      </c>
      <c r="H759">
        <v>384.65</v>
      </c>
      <c r="I759" t="s">
        <v>263</v>
      </c>
      <c r="J759" t="s">
        <v>263</v>
      </c>
      <c r="L759" s="29">
        <v>5715954</v>
      </c>
      <c r="N759" s="29">
        <v>5715954</v>
      </c>
      <c r="O759" t="s">
        <v>264</v>
      </c>
      <c r="Q759" t="s">
        <v>264</v>
      </c>
      <c r="R759" t="s">
        <v>265</v>
      </c>
      <c r="S759">
        <v>14860</v>
      </c>
      <c r="T759" t="s">
        <v>266</v>
      </c>
      <c r="U759" t="s">
        <v>267</v>
      </c>
      <c r="V759" t="s">
        <v>273</v>
      </c>
      <c r="W759" t="s">
        <v>274</v>
      </c>
      <c r="X759">
        <v>1932964</v>
      </c>
      <c r="Y759" s="6">
        <v>44789</v>
      </c>
      <c r="Z759" t="s">
        <v>264</v>
      </c>
      <c r="AA759">
        <v>1</v>
      </c>
      <c r="AB759" t="s">
        <v>264</v>
      </c>
      <c r="AD759" t="s">
        <v>264</v>
      </c>
      <c r="AE759" t="s">
        <v>264</v>
      </c>
      <c r="AF759" t="s">
        <v>264</v>
      </c>
      <c r="AG759">
        <v>1</v>
      </c>
      <c r="AH759" t="s">
        <v>264</v>
      </c>
      <c r="AI759">
        <v>55401143</v>
      </c>
      <c r="AJ759" t="s">
        <v>699</v>
      </c>
      <c r="AL759" t="s">
        <v>742</v>
      </c>
      <c r="AM759" s="6">
        <v>44785</v>
      </c>
      <c r="AN759" t="s">
        <v>533</v>
      </c>
      <c r="AO759" t="s">
        <v>268</v>
      </c>
      <c r="AP759">
        <v>1201</v>
      </c>
      <c r="AQ759" t="s">
        <v>269</v>
      </c>
      <c r="AR759" t="s">
        <v>743</v>
      </c>
      <c r="AU759" t="s">
        <v>264</v>
      </c>
      <c r="AV759" t="s">
        <v>270</v>
      </c>
      <c r="AX759">
        <v>22002779</v>
      </c>
      <c r="AY759">
        <v>720400</v>
      </c>
      <c r="AZ759">
        <v>1201.7203999999999</v>
      </c>
      <c r="BA759" s="28" t="s">
        <v>49</v>
      </c>
    </row>
    <row r="760" spans="1:53">
      <c r="A760" t="s">
        <v>271</v>
      </c>
      <c r="B760" t="s">
        <v>272</v>
      </c>
      <c r="C760">
        <v>22011274</v>
      </c>
      <c r="D760">
        <v>1201</v>
      </c>
      <c r="E760" s="6">
        <v>44789</v>
      </c>
      <c r="F760" t="s">
        <v>705</v>
      </c>
      <c r="G760">
        <v>157.4</v>
      </c>
      <c r="H760">
        <v>157.4</v>
      </c>
      <c r="I760" t="s">
        <v>263</v>
      </c>
      <c r="J760" t="s">
        <v>263</v>
      </c>
      <c r="L760" s="29">
        <v>2339000</v>
      </c>
      <c r="N760" s="29">
        <v>2339000</v>
      </c>
      <c r="O760" t="s">
        <v>264</v>
      </c>
      <c r="Q760" t="s">
        <v>264</v>
      </c>
      <c r="R760" t="s">
        <v>265</v>
      </c>
      <c r="S760">
        <v>14860</v>
      </c>
      <c r="T760" t="s">
        <v>266</v>
      </c>
      <c r="U760" t="s">
        <v>267</v>
      </c>
      <c r="V760" t="s">
        <v>273</v>
      </c>
      <c r="W760" t="s">
        <v>274</v>
      </c>
      <c r="X760">
        <v>1932976</v>
      </c>
      <c r="Y760" s="6">
        <v>44789</v>
      </c>
      <c r="Z760" t="s">
        <v>264</v>
      </c>
      <c r="AA760">
        <v>1</v>
      </c>
      <c r="AB760" t="s">
        <v>264</v>
      </c>
      <c r="AD760" t="s">
        <v>264</v>
      </c>
      <c r="AE760" t="s">
        <v>264</v>
      </c>
      <c r="AF760" t="s">
        <v>264</v>
      </c>
      <c r="AG760">
        <v>1</v>
      </c>
      <c r="AH760" t="s">
        <v>264</v>
      </c>
      <c r="AI760">
        <v>55737819</v>
      </c>
      <c r="AJ760" t="s">
        <v>705</v>
      </c>
      <c r="AL760">
        <v>61013019930700</v>
      </c>
      <c r="AM760" s="6">
        <v>44757</v>
      </c>
      <c r="AN760" t="s">
        <v>533</v>
      </c>
      <c r="AO760" t="s">
        <v>268</v>
      </c>
      <c r="AP760">
        <v>1201</v>
      </c>
      <c r="AQ760" t="s">
        <v>269</v>
      </c>
      <c r="AR760" t="s">
        <v>744</v>
      </c>
      <c r="AU760" t="s">
        <v>264</v>
      </c>
      <c r="AV760" t="s">
        <v>270</v>
      </c>
      <c r="AX760">
        <v>22002781</v>
      </c>
      <c r="AY760">
        <v>720400</v>
      </c>
      <c r="AZ760">
        <v>1201.7203999999999</v>
      </c>
      <c r="BA760" s="28" t="s">
        <v>49</v>
      </c>
    </row>
    <row r="761" spans="1:53">
      <c r="A761" t="s">
        <v>271</v>
      </c>
      <c r="B761" t="s">
        <v>272</v>
      </c>
      <c r="C761">
        <v>22011277</v>
      </c>
      <c r="D761">
        <v>1201</v>
      </c>
      <c r="E761" s="6">
        <v>44789</v>
      </c>
      <c r="F761" t="s">
        <v>705</v>
      </c>
      <c r="G761">
        <v>156.53</v>
      </c>
      <c r="H761">
        <v>156.53</v>
      </c>
      <c r="I761" t="s">
        <v>263</v>
      </c>
      <c r="J761" t="s">
        <v>263</v>
      </c>
      <c r="L761" s="29">
        <v>2326000</v>
      </c>
      <c r="N761" s="29">
        <v>2326000</v>
      </c>
      <c r="O761" t="s">
        <v>264</v>
      </c>
      <c r="Q761" t="s">
        <v>264</v>
      </c>
      <c r="R761" t="s">
        <v>265</v>
      </c>
      <c r="S761">
        <v>14860</v>
      </c>
      <c r="T761" t="s">
        <v>266</v>
      </c>
      <c r="U761" t="s">
        <v>267</v>
      </c>
      <c r="V761" t="s">
        <v>273</v>
      </c>
      <c r="W761" t="s">
        <v>274</v>
      </c>
      <c r="X761">
        <v>1932976</v>
      </c>
      <c r="Y761" s="6">
        <v>44789</v>
      </c>
      <c r="Z761" t="s">
        <v>264</v>
      </c>
      <c r="AA761">
        <v>1</v>
      </c>
      <c r="AB761" t="s">
        <v>264</v>
      </c>
      <c r="AD761" t="s">
        <v>264</v>
      </c>
      <c r="AE761" t="s">
        <v>264</v>
      </c>
      <c r="AF761" t="s">
        <v>264</v>
      </c>
      <c r="AG761">
        <v>1</v>
      </c>
      <c r="AH761" t="s">
        <v>264</v>
      </c>
      <c r="AI761">
        <v>55737819</v>
      </c>
      <c r="AJ761" t="s">
        <v>705</v>
      </c>
      <c r="AL761">
        <v>61013020140800</v>
      </c>
      <c r="AM761" s="6">
        <v>44781</v>
      </c>
      <c r="AN761" t="s">
        <v>533</v>
      </c>
      <c r="AO761" t="s">
        <v>268</v>
      </c>
      <c r="AP761">
        <v>1201</v>
      </c>
      <c r="AQ761" t="s">
        <v>269</v>
      </c>
      <c r="AR761" t="s">
        <v>745</v>
      </c>
      <c r="AU761" t="s">
        <v>264</v>
      </c>
      <c r="AV761" t="s">
        <v>270</v>
      </c>
      <c r="AX761">
        <v>22002781</v>
      </c>
      <c r="AY761">
        <v>720400</v>
      </c>
      <c r="AZ761">
        <v>1201.7203999999999</v>
      </c>
      <c r="BA761" s="28" t="s">
        <v>49</v>
      </c>
    </row>
    <row r="762" spans="1:53">
      <c r="A762" t="s">
        <v>271</v>
      </c>
      <c r="B762" t="s">
        <v>272</v>
      </c>
      <c r="C762">
        <v>22011281</v>
      </c>
      <c r="D762">
        <v>1201</v>
      </c>
      <c r="E762" s="6">
        <v>44789</v>
      </c>
      <c r="F762" t="s">
        <v>705</v>
      </c>
      <c r="G762">
        <v>86.94</v>
      </c>
      <c r="H762">
        <v>86.94</v>
      </c>
      <c r="I762" t="s">
        <v>263</v>
      </c>
      <c r="J762" t="s">
        <v>263</v>
      </c>
      <c r="L762" s="29">
        <v>1292000</v>
      </c>
      <c r="N762" s="29">
        <v>1292000</v>
      </c>
      <c r="O762" t="s">
        <v>264</v>
      </c>
      <c r="Q762" t="s">
        <v>264</v>
      </c>
      <c r="R762" t="s">
        <v>265</v>
      </c>
      <c r="S762">
        <v>14860</v>
      </c>
      <c r="T762" t="s">
        <v>266</v>
      </c>
      <c r="U762" t="s">
        <v>267</v>
      </c>
      <c r="V762" t="s">
        <v>273</v>
      </c>
      <c r="W762" t="s">
        <v>274</v>
      </c>
      <c r="X762">
        <v>1932976</v>
      </c>
      <c r="Y762" s="6">
        <v>44789</v>
      </c>
      <c r="Z762" t="s">
        <v>264</v>
      </c>
      <c r="AA762">
        <v>1</v>
      </c>
      <c r="AB762" t="s">
        <v>264</v>
      </c>
      <c r="AD762" t="s">
        <v>264</v>
      </c>
      <c r="AE762" t="s">
        <v>264</v>
      </c>
      <c r="AF762" t="s">
        <v>264</v>
      </c>
      <c r="AG762">
        <v>1</v>
      </c>
      <c r="AH762" t="s">
        <v>264</v>
      </c>
      <c r="AI762">
        <v>55737819</v>
      </c>
      <c r="AJ762" t="s">
        <v>705</v>
      </c>
      <c r="AL762">
        <v>61013020141500</v>
      </c>
      <c r="AM762" s="6">
        <v>44781</v>
      </c>
      <c r="AN762" t="s">
        <v>533</v>
      </c>
      <c r="AO762" t="s">
        <v>268</v>
      </c>
      <c r="AP762">
        <v>1201</v>
      </c>
      <c r="AQ762" t="s">
        <v>269</v>
      </c>
      <c r="AR762" t="s">
        <v>745</v>
      </c>
      <c r="AU762" t="s">
        <v>264</v>
      </c>
      <c r="AV762" t="s">
        <v>270</v>
      </c>
      <c r="AX762">
        <v>22002781</v>
      </c>
      <c r="AY762">
        <v>720400</v>
      </c>
      <c r="AZ762">
        <v>1201.7203999999999</v>
      </c>
      <c r="BA762" s="28" t="s">
        <v>49</v>
      </c>
    </row>
    <row r="763" spans="1:53">
      <c r="A763" t="s">
        <v>271</v>
      </c>
      <c r="B763" t="s">
        <v>272</v>
      </c>
      <c r="C763">
        <v>22011284</v>
      </c>
      <c r="D763">
        <v>1201</v>
      </c>
      <c r="E763" s="6">
        <v>44789</v>
      </c>
      <c r="F763" t="s">
        <v>746</v>
      </c>
      <c r="G763">
        <v>573.62</v>
      </c>
      <c r="H763">
        <v>573.62</v>
      </c>
      <c r="I763" t="s">
        <v>263</v>
      </c>
      <c r="J763" t="s">
        <v>263</v>
      </c>
      <c r="L763" s="29">
        <v>8524000</v>
      </c>
      <c r="N763" s="29">
        <v>8524000</v>
      </c>
      <c r="O763" t="s">
        <v>264</v>
      </c>
      <c r="Q763" t="s">
        <v>264</v>
      </c>
      <c r="R763" t="s">
        <v>265</v>
      </c>
      <c r="S763">
        <v>14860</v>
      </c>
      <c r="T763" t="s">
        <v>266</v>
      </c>
      <c r="U763" t="s">
        <v>267</v>
      </c>
      <c r="V763" t="s">
        <v>273</v>
      </c>
      <c r="W763" t="s">
        <v>274</v>
      </c>
      <c r="X763">
        <v>1932993</v>
      </c>
      <c r="Y763" s="6">
        <v>44789</v>
      </c>
      <c r="Z763" t="s">
        <v>264</v>
      </c>
      <c r="AA763">
        <v>1</v>
      </c>
      <c r="AB763" t="s">
        <v>264</v>
      </c>
      <c r="AD763" t="s">
        <v>264</v>
      </c>
      <c r="AE763" t="s">
        <v>264</v>
      </c>
      <c r="AF763" t="s">
        <v>264</v>
      </c>
      <c r="AG763">
        <v>1</v>
      </c>
      <c r="AH763" t="s">
        <v>264</v>
      </c>
      <c r="AI763">
        <v>56579074</v>
      </c>
      <c r="AJ763" t="s">
        <v>746</v>
      </c>
      <c r="AL763" t="s">
        <v>747</v>
      </c>
      <c r="AM763" s="6">
        <v>44781</v>
      </c>
      <c r="AN763" t="s">
        <v>533</v>
      </c>
      <c r="AO763" t="s">
        <v>268</v>
      </c>
      <c r="AP763">
        <v>1201</v>
      </c>
      <c r="AQ763" t="s">
        <v>269</v>
      </c>
      <c r="AR763" t="s">
        <v>549</v>
      </c>
      <c r="AU763" t="s">
        <v>264</v>
      </c>
      <c r="AV763" t="s">
        <v>270</v>
      </c>
      <c r="AX763">
        <v>22002782</v>
      </c>
      <c r="AY763">
        <v>720400</v>
      </c>
      <c r="AZ763">
        <v>1201.7203999999999</v>
      </c>
      <c r="BA763" s="28" t="s">
        <v>49</v>
      </c>
    </row>
    <row r="764" spans="1:53">
      <c r="A764" t="s">
        <v>271</v>
      </c>
      <c r="B764" t="s">
        <v>272</v>
      </c>
      <c r="C764">
        <v>22011285</v>
      </c>
      <c r="D764">
        <v>1201</v>
      </c>
      <c r="E764" s="6">
        <v>44789</v>
      </c>
      <c r="F764" t="s">
        <v>707</v>
      </c>
      <c r="G764">
        <v>272.29000000000002</v>
      </c>
      <c r="H764">
        <v>272.29000000000002</v>
      </c>
      <c r="I764" t="s">
        <v>263</v>
      </c>
      <c r="J764" t="s">
        <v>263</v>
      </c>
      <c r="L764" s="29">
        <v>4046160</v>
      </c>
      <c r="N764" s="29">
        <v>4046160</v>
      </c>
      <c r="O764" t="s">
        <v>264</v>
      </c>
      <c r="Q764" t="s">
        <v>264</v>
      </c>
      <c r="R764" t="s">
        <v>265</v>
      </c>
      <c r="S764">
        <v>14860</v>
      </c>
      <c r="T764" t="s">
        <v>266</v>
      </c>
      <c r="U764" t="s">
        <v>267</v>
      </c>
      <c r="V764" t="s">
        <v>273</v>
      </c>
      <c r="W764" t="s">
        <v>274</v>
      </c>
      <c r="X764">
        <v>1932996</v>
      </c>
      <c r="Y764" s="6">
        <v>44789</v>
      </c>
      <c r="Z764" t="s">
        <v>264</v>
      </c>
      <c r="AA764">
        <v>1</v>
      </c>
      <c r="AB764" t="s">
        <v>264</v>
      </c>
      <c r="AD764" t="s">
        <v>264</v>
      </c>
      <c r="AE764" t="s">
        <v>264</v>
      </c>
      <c r="AF764" t="s">
        <v>264</v>
      </c>
      <c r="AG764">
        <v>1</v>
      </c>
      <c r="AH764" t="s">
        <v>264</v>
      </c>
      <c r="AI764">
        <v>56039684</v>
      </c>
      <c r="AJ764" t="s">
        <v>707</v>
      </c>
      <c r="AL764" t="s">
        <v>748</v>
      </c>
      <c r="AM764" s="6">
        <v>44782</v>
      </c>
      <c r="AN764" t="s">
        <v>533</v>
      </c>
      <c r="AO764" t="s">
        <v>268</v>
      </c>
      <c r="AP764">
        <v>1201</v>
      </c>
      <c r="AQ764" t="s">
        <v>269</v>
      </c>
      <c r="AR764" t="s">
        <v>553</v>
      </c>
      <c r="AU764" t="s">
        <v>264</v>
      </c>
      <c r="AV764" t="s">
        <v>270</v>
      </c>
      <c r="AX764">
        <v>22002755</v>
      </c>
      <c r="AY764">
        <v>720400</v>
      </c>
      <c r="AZ764">
        <v>1201.7203999999999</v>
      </c>
      <c r="BA764" s="28" t="s">
        <v>49</v>
      </c>
    </row>
    <row r="765" spans="1:53">
      <c r="A765" t="s">
        <v>271</v>
      </c>
      <c r="B765" t="s">
        <v>272</v>
      </c>
      <c r="C765">
        <v>22011381</v>
      </c>
      <c r="D765">
        <v>1201</v>
      </c>
      <c r="E765" s="6">
        <v>44789</v>
      </c>
      <c r="F765" t="s">
        <v>718</v>
      </c>
      <c r="G765">
        <v>69.89</v>
      </c>
      <c r="H765">
        <v>69.89</v>
      </c>
      <c r="I765" t="s">
        <v>263</v>
      </c>
      <c r="J765" t="s">
        <v>263</v>
      </c>
      <c r="L765" s="29">
        <v>1038600</v>
      </c>
      <c r="N765" s="29">
        <v>1038600</v>
      </c>
      <c r="O765" t="s">
        <v>264</v>
      </c>
      <c r="Q765" t="s">
        <v>264</v>
      </c>
      <c r="R765" t="s">
        <v>265</v>
      </c>
      <c r="S765">
        <v>14860</v>
      </c>
      <c r="T765" t="s">
        <v>266</v>
      </c>
      <c r="U765" t="s">
        <v>267</v>
      </c>
      <c r="V765" t="s">
        <v>273</v>
      </c>
      <c r="W765" t="s">
        <v>274</v>
      </c>
      <c r="X765">
        <v>1933125</v>
      </c>
      <c r="Y765" s="6">
        <v>44789</v>
      </c>
      <c r="Z765" t="s">
        <v>264</v>
      </c>
      <c r="AA765">
        <v>1</v>
      </c>
      <c r="AB765" t="s">
        <v>264</v>
      </c>
      <c r="AD765" t="s">
        <v>264</v>
      </c>
      <c r="AE765" t="s">
        <v>264</v>
      </c>
      <c r="AF765" t="s">
        <v>264</v>
      </c>
      <c r="AG765">
        <v>1</v>
      </c>
      <c r="AH765" t="s">
        <v>264</v>
      </c>
      <c r="AI765">
        <v>57312021</v>
      </c>
      <c r="AJ765" t="s">
        <v>718</v>
      </c>
      <c r="AL765" t="s">
        <v>749</v>
      </c>
      <c r="AM765" s="6">
        <v>44781</v>
      </c>
      <c r="AN765" t="s">
        <v>275</v>
      </c>
      <c r="AO765" t="s">
        <v>268</v>
      </c>
      <c r="AP765">
        <v>1201</v>
      </c>
      <c r="AQ765" t="s">
        <v>269</v>
      </c>
      <c r="AR765" t="s">
        <v>733</v>
      </c>
      <c r="AU765" t="s">
        <v>264</v>
      </c>
      <c r="AV765" t="s">
        <v>270</v>
      </c>
      <c r="AX765">
        <v>22002784</v>
      </c>
      <c r="AY765">
        <v>720400</v>
      </c>
      <c r="AZ765">
        <v>1201.7203999999999</v>
      </c>
      <c r="BA765" s="28" t="s">
        <v>49</v>
      </c>
    </row>
    <row r="766" spans="1:53">
      <c r="A766" t="s">
        <v>271</v>
      </c>
      <c r="B766" t="s">
        <v>272</v>
      </c>
      <c r="C766">
        <v>22011382</v>
      </c>
      <c r="D766">
        <v>1201</v>
      </c>
      <c r="E766" s="6">
        <v>44789</v>
      </c>
      <c r="F766" t="s">
        <v>718</v>
      </c>
      <c r="G766">
        <v>1.35</v>
      </c>
      <c r="H766">
        <v>1.35</v>
      </c>
      <c r="I766" t="s">
        <v>263</v>
      </c>
      <c r="J766" t="s">
        <v>263</v>
      </c>
      <c r="L766" s="29">
        <v>20000</v>
      </c>
      <c r="N766" s="29">
        <v>20000</v>
      </c>
      <c r="O766" t="s">
        <v>264</v>
      </c>
      <c r="Q766" t="s">
        <v>264</v>
      </c>
      <c r="R766" t="s">
        <v>265</v>
      </c>
      <c r="S766">
        <v>14860</v>
      </c>
      <c r="T766" t="s">
        <v>266</v>
      </c>
      <c r="U766" t="s">
        <v>267</v>
      </c>
      <c r="V766" t="s">
        <v>273</v>
      </c>
      <c r="W766" t="s">
        <v>274</v>
      </c>
      <c r="X766">
        <v>1933127</v>
      </c>
      <c r="Y766" s="6">
        <v>44789</v>
      </c>
      <c r="Z766" t="s">
        <v>264</v>
      </c>
      <c r="AA766">
        <v>1</v>
      </c>
      <c r="AB766" t="s">
        <v>264</v>
      </c>
      <c r="AD766" t="s">
        <v>264</v>
      </c>
      <c r="AE766" t="s">
        <v>264</v>
      </c>
      <c r="AF766" t="s">
        <v>264</v>
      </c>
      <c r="AG766">
        <v>1</v>
      </c>
      <c r="AH766" t="s">
        <v>264</v>
      </c>
      <c r="AI766">
        <v>57312021</v>
      </c>
      <c r="AJ766" t="s">
        <v>718</v>
      </c>
      <c r="AL766" t="s">
        <v>749</v>
      </c>
      <c r="AM766" s="6">
        <v>44781</v>
      </c>
      <c r="AN766" t="s">
        <v>275</v>
      </c>
      <c r="AO766" t="s">
        <v>268</v>
      </c>
      <c r="AP766">
        <v>1201</v>
      </c>
      <c r="AQ766" t="s">
        <v>269</v>
      </c>
      <c r="AR766" t="s">
        <v>733</v>
      </c>
      <c r="AU766" t="s">
        <v>264</v>
      </c>
      <c r="AV766" t="s">
        <v>270</v>
      </c>
      <c r="AX766">
        <v>22002784</v>
      </c>
      <c r="AY766">
        <v>720400</v>
      </c>
      <c r="AZ766">
        <v>1201.7203999999999</v>
      </c>
      <c r="BA766" s="28" t="s">
        <v>49</v>
      </c>
    </row>
    <row r="767" spans="1:53">
      <c r="A767" t="s">
        <v>271</v>
      </c>
      <c r="B767" t="s">
        <v>272</v>
      </c>
      <c r="C767">
        <v>22011397</v>
      </c>
      <c r="D767">
        <v>1201</v>
      </c>
      <c r="E767" s="6">
        <v>44792</v>
      </c>
      <c r="F767" t="s">
        <v>709</v>
      </c>
      <c r="G767" s="29">
        <v>3223.42</v>
      </c>
      <c r="H767" s="29">
        <v>3223.42</v>
      </c>
      <c r="I767" t="s">
        <v>263</v>
      </c>
      <c r="J767" t="s">
        <v>263</v>
      </c>
      <c r="L767" s="29">
        <v>47900000</v>
      </c>
      <c r="N767" s="29">
        <v>47900000</v>
      </c>
      <c r="O767" t="s">
        <v>264</v>
      </c>
      <c r="Q767" t="s">
        <v>264</v>
      </c>
      <c r="R767" t="s">
        <v>265</v>
      </c>
      <c r="S767">
        <v>14860</v>
      </c>
      <c r="T767" t="s">
        <v>266</v>
      </c>
      <c r="U767" t="s">
        <v>267</v>
      </c>
      <c r="V767" t="s">
        <v>273</v>
      </c>
      <c r="W767" t="s">
        <v>274</v>
      </c>
      <c r="X767">
        <v>1933579</v>
      </c>
      <c r="Y767" s="6">
        <v>44792</v>
      </c>
      <c r="Z767" t="s">
        <v>264</v>
      </c>
      <c r="AA767">
        <v>1</v>
      </c>
      <c r="AB767" t="s">
        <v>264</v>
      </c>
      <c r="AD767" t="s">
        <v>264</v>
      </c>
      <c r="AE767" t="s">
        <v>264</v>
      </c>
      <c r="AF767" t="s">
        <v>264</v>
      </c>
      <c r="AG767">
        <v>1</v>
      </c>
      <c r="AH767" t="s">
        <v>264</v>
      </c>
      <c r="AI767">
        <v>55423490</v>
      </c>
      <c r="AJ767" t="s">
        <v>709</v>
      </c>
      <c r="AL767" t="s">
        <v>750</v>
      </c>
      <c r="AM767" s="6">
        <v>44786</v>
      </c>
      <c r="AN767" t="s">
        <v>533</v>
      </c>
      <c r="AO767" t="s">
        <v>268</v>
      </c>
      <c r="AP767">
        <v>1201</v>
      </c>
      <c r="AQ767" t="s">
        <v>269</v>
      </c>
      <c r="AR767" t="s">
        <v>751</v>
      </c>
      <c r="AU767" t="s">
        <v>264</v>
      </c>
      <c r="AV767" t="s">
        <v>270</v>
      </c>
      <c r="AX767">
        <v>22002798</v>
      </c>
      <c r="AY767">
        <v>720400</v>
      </c>
      <c r="AZ767">
        <v>1201.7203999999999</v>
      </c>
      <c r="BA767" s="28" t="s">
        <v>49</v>
      </c>
    </row>
    <row r="768" spans="1:53">
      <c r="A768" t="s">
        <v>271</v>
      </c>
      <c r="B768" t="s">
        <v>272</v>
      </c>
      <c r="C768">
        <v>22011400</v>
      </c>
      <c r="D768">
        <v>1201</v>
      </c>
      <c r="E768" s="6">
        <v>44792</v>
      </c>
      <c r="F768" t="s">
        <v>715</v>
      </c>
      <c r="G768">
        <v>44.41</v>
      </c>
      <c r="H768">
        <v>44.41</v>
      </c>
      <c r="I768" t="s">
        <v>263</v>
      </c>
      <c r="J768" t="s">
        <v>263</v>
      </c>
      <c r="L768" s="29">
        <v>660000</v>
      </c>
      <c r="N768" s="29">
        <v>660000</v>
      </c>
      <c r="O768" t="s">
        <v>264</v>
      </c>
      <c r="Q768" t="s">
        <v>264</v>
      </c>
      <c r="R768" t="s">
        <v>265</v>
      </c>
      <c r="S768">
        <v>14860</v>
      </c>
      <c r="T768" t="s">
        <v>266</v>
      </c>
      <c r="U768" t="s">
        <v>267</v>
      </c>
      <c r="V768" t="s">
        <v>273</v>
      </c>
      <c r="W768" t="s">
        <v>274</v>
      </c>
      <c r="X768">
        <v>1933579</v>
      </c>
      <c r="Y768" s="6">
        <v>44792</v>
      </c>
      <c r="Z768" t="s">
        <v>264</v>
      </c>
      <c r="AA768">
        <v>1</v>
      </c>
      <c r="AB768" t="s">
        <v>264</v>
      </c>
      <c r="AD768" t="s">
        <v>264</v>
      </c>
      <c r="AE768" t="s">
        <v>264</v>
      </c>
      <c r="AF768" t="s">
        <v>264</v>
      </c>
      <c r="AG768">
        <v>1</v>
      </c>
      <c r="AH768" t="s">
        <v>264</v>
      </c>
      <c r="AI768">
        <v>57331345</v>
      </c>
      <c r="AJ768" t="s">
        <v>715</v>
      </c>
      <c r="AL768" t="s">
        <v>750</v>
      </c>
      <c r="AM768" s="6">
        <v>44786</v>
      </c>
      <c r="AN768" t="s">
        <v>533</v>
      </c>
      <c r="AO768" t="s">
        <v>268</v>
      </c>
      <c r="AP768">
        <v>1201</v>
      </c>
      <c r="AQ768" t="s">
        <v>269</v>
      </c>
      <c r="AR768" t="s">
        <v>751</v>
      </c>
      <c r="AU768" t="s">
        <v>264</v>
      </c>
      <c r="AV768" t="s">
        <v>270</v>
      </c>
      <c r="AX768">
        <v>22002799</v>
      </c>
      <c r="AY768">
        <v>720400</v>
      </c>
      <c r="AZ768">
        <v>1201.7203999999999</v>
      </c>
      <c r="BA768" s="28" t="s">
        <v>49</v>
      </c>
    </row>
    <row r="769" spans="1:53">
      <c r="A769" t="s">
        <v>271</v>
      </c>
      <c r="B769" t="s">
        <v>272</v>
      </c>
      <c r="C769">
        <v>22011401</v>
      </c>
      <c r="D769">
        <v>1201</v>
      </c>
      <c r="E769" s="6">
        <v>44792</v>
      </c>
      <c r="F769" t="s">
        <v>570</v>
      </c>
      <c r="G769">
        <v>113.83</v>
      </c>
      <c r="H769">
        <v>113.83</v>
      </c>
      <c r="I769" t="s">
        <v>263</v>
      </c>
      <c r="J769" t="s">
        <v>263</v>
      </c>
      <c r="L769" s="29">
        <v>1691520</v>
      </c>
      <c r="N769" s="29">
        <v>1691520</v>
      </c>
      <c r="O769" t="s">
        <v>264</v>
      </c>
      <c r="Q769" t="s">
        <v>264</v>
      </c>
      <c r="R769" t="s">
        <v>265</v>
      </c>
      <c r="S769">
        <v>14860</v>
      </c>
      <c r="T769" t="s">
        <v>266</v>
      </c>
      <c r="U769" t="s">
        <v>267</v>
      </c>
      <c r="V769" t="s">
        <v>273</v>
      </c>
      <c r="W769" t="s">
        <v>274</v>
      </c>
      <c r="X769">
        <v>1933579</v>
      </c>
      <c r="Y769" s="6">
        <v>44792</v>
      </c>
      <c r="Z769" t="s">
        <v>264</v>
      </c>
      <c r="AA769">
        <v>1</v>
      </c>
      <c r="AB769" t="s">
        <v>264</v>
      </c>
      <c r="AD769" t="s">
        <v>264</v>
      </c>
      <c r="AE769" t="s">
        <v>264</v>
      </c>
      <c r="AF769" t="s">
        <v>264</v>
      </c>
      <c r="AG769">
        <v>3</v>
      </c>
      <c r="AH769" t="s">
        <v>264</v>
      </c>
      <c r="AI769">
        <v>55101941</v>
      </c>
      <c r="AJ769" t="s">
        <v>570</v>
      </c>
      <c r="AL769" t="s">
        <v>750</v>
      </c>
      <c r="AM769" s="6">
        <v>44786</v>
      </c>
      <c r="AN769" t="s">
        <v>533</v>
      </c>
      <c r="AO769" t="s">
        <v>268</v>
      </c>
      <c r="AP769">
        <v>1201</v>
      </c>
      <c r="AQ769" t="s">
        <v>269</v>
      </c>
      <c r="AR769" t="s">
        <v>751</v>
      </c>
      <c r="AU769" t="s">
        <v>264</v>
      </c>
      <c r="AV769" t="s">
        <v>270</v>
      </c>
      <c r="AX769">
        <v>22002800</v>
      </c>
      <c r="AY769">
        <v>720400</v>
      </c>
      <c r="AZ769">
        <v>1201.7203999999999</v>
      </c>
      <c r="BA769" s="28" t="s">
        <v>49</v>
      </c>
    </row>
    <row r="770" spans="1:53">
      <c r="A770" t="s">
        <v>271</v>
      </c>
      <c r="B770" t="s">
        <v>272</v>
      </c>
      <c r="C770">
        <v>22011402</v>
      </c>
      <c r="D770">
        <v>1201</v>
      </c>
      <c r="E770" s="6">
        <v>44792</v>
      </c>
      <c r="F770" t="s">
        <v>752</v>
      </c>
      <c r="G770">
        <v>64.599999999999994</v>
      </c>
      <c r="H770">
        <v>64.599999999999994</v>
      </c>
      <c r="I770" t="s">
        <v>263</v>
      </c>
      <c r="J770" t="s">
        <v>263</v>
      </c>
      <c r="L770" s="29">
        <v>960000</v>
      </c>
      <c r="N770" s="29">
        <v>960000</v>
      </c>
      <c r="O770" t="s">
        <v>264</v>
      </c>
      <c r="Q770" t="s">
        <v>264</v>
      </c>
      <c r="R770" t="s">
        <v>265</v>
      </c>
      <c r="S770">
        <v>14860</v>
      </c>
      <c r="T770" t="s">
        <v>266</v>
      </c>
      <c r="U770" t="s">
        <v>267</v>
      </c>
      <c r="V770" t="s">
        <v>273</v>
      </c>
      <c r="W770" t="s">
        <v>274</v>
      </c>
      <c r="X770">
        <v>1933579</v>
      </c>
      <c r="Y770" s="6">
        <v>44792</v>
      </c>
      <c r="Z770" t="s">
        <v>264</v>
      </c>
      <c r="AA770">
        <v>1</v>
      </c>
      <c r="AB770" t="s">
        <v>264</v>
      </c>
      <c r="AD770" t="s">
        <v>264</v>
      </c>
      <c r="AE770" t="s">
        <v>264</v>
      </c>
      <c r="AF770" t="s">
        <v>264</v>
      </c>
      <c r="AG770">
        <v>2</v>
      </c>
      <c r="AH770" t="s">
        <v>264</v>
      </c>
      <c r="AI770">
        <v>54000977</v>
      </c>
      <c r="AJ770" t="s">
        <v>752</v>
      </c>
      <c r="AL770" t="s">
        <v>750</v>
      </c>
      <c r="AM770" s="6">
        <v>44786</v>
      </c>
      <c r="AN770" t="s">
        <v>533</v>
      </c>
      <c r="AO770" t="s">
        <v>268</v>
      </c>
      <c r="AP770">
        <v>1201</v>
      </c>
      <c r="AQ770" t="s">
        <v>269</v>
      </c>
      <c r="AR770" t="s">
        <v>751</v>
      </c>
      <c r="AU770" t="s">
        <v>264</v>
      </c>
      <c r="AV770" t="s">
        <v>270</v>
      </c>
      <c r="AX770">
        <v>22002801</v>
      </c>
      <c r="AY770">
        <v>720400</v>
      </c>
      <c r="AZ770">
        <v>1201.7203999999999</v>
      </c>
      <c r="BA770" s="28" t="s">
        <v>49</v>
      </c>
    </row>
    <row r="771" spans="1:53">
      <c r="A771" t="s">
        <v>271</v>
      </c>
      <c r="B771" t="s">
        <v>272</v>
      </c>
      <c r="C771">
        <v>22011403</v>
      </c>
      <c r="D771">
        <v>1201</v>
      </c>
      <c r="E771" s="6">
        <v>44792</v>
      </c>
      <c r="F771" t="s">
        <v>714</v>
      </c>
      <c r="G771">
        <v>74.02</v>
      </c>
      <c r="H771">
        <v>74.02</v>
      </c>
      <c r="I771" t="s">
        <v>263</v>
      </c>
      <c r="J771" t="s">
        <v>263</v>
      </c>
      <c r="L771" s="29">
        <v>1100000</v>
      </c>
      <c r="N771" s="29">
        <v>1100000</v>
      </c>
      <c r="O771" t="s">
        <v>264</v>
      </c>
      <c r="Q771" t="s">
        <v>264</v>
      </c>
      <c r="R771" t="s">
        <v>265</v>
      </c>
      <c r="S771">
        <v>14860</v>
      </c>
      <c r="T771" t="s">
        <v>266</v>
      </c>
      <c r="U771" t="s">
        <v>267</v>
      </c>
      <c r="V771" t="s">
        <v>273</v>
      </c>
      <c r="W771" t="s">
        <v>274</v>
      </c>
      <c r="X771">
        <v>1933579</v>
      </c>
      <c r="Y771" s="6">
        <v>44792</v>
      </c>
      <c r="Z771" t="s">
        <v>264</v>
      </c>
      <c r="AA771">
        <v>1</v>
      </c>
      <c r="AB771" t="s">
        <v>264</v>
      </c>
      <c r="AD771" t="s">
        <v>264</v>
      </c>
      <c r="AE771" t="s">
        <v>264</v>
      </c>
      <c r="AF771" t="s">
        <v>264</v>
      </c>
      <c r="AG771">
        <v>2</v>
      </c>
      <c r="AH771" t="s">
        <v>264</v>
      </c>
      <c r="AI771">
        <v>56286757</v>
      </c>
      <c r="AJ771" t="s">
        <v>714</v>
      </c>
      <c r="AL771" t="s">
        <v>750</v>
      </c>
      <c r="AM771" s="6">
        <v>44786</v>
      </c>
      <c r="AN771" t="s">
        <v>533</v>
      </c>
      <c r="AO771" t="s">
        <v>268</v>
      </c>
      <c r="AP771">
        <v>1201</v>
      </c>
      <c r="AQ771" t="s">
        <v>269</v>
      </c>
      <c r="AR771" t="s">
        <v>751</v>
      </c>
      <c r="AU771" t="s">
        <v>264</v>
      </c>
      <c r="AV771" t="s">
        <v>270</v>
      </c>
      <c r="AX771">
        <v>22002802</v>
      </c>
      <c r="AY771">
        <v>720400</v>
      </c>
      <c r="AZ771">
        <v>1201.7203999999999</v>
      </c>
      <c r="BA771" s="28" t="s">
        <v>49</v>
      </c>
    </row>
    <row r="772" spans="1:53">
      <c r="A772" t="s">
        <v>271</v>
      </c>
      <c r="B772" t="s">
        <v>272</v>
      </c>
      <c r="C772">
        <v>22011404</v>
      </c>
      <c r="D772">
        <v>1201</v>
      </c>
      <c r="E772" s="6">
        <v>44792</v>
      </c>
      <c r="F772" t="s">
        <v>712</v>
      </c>
      <c r="G772">
        <v>140.18</v>
      </c>
      <c r="H772">
        <v>140.18</v>
      </c>
      <c r="I772" t="s">
        <v>263</v>
      </c>
      <c r="J772" t="s">
        <v>263</v>
      </c>
      <c r="L772" s="29">
        <v>2083219</v>
      </c>
      <c r="N772" s="29">
        <v>2083219</v>
      </c>
      <c r="O772" t="s">
        <v>264</v>
      </c>
      <c r="Q772" t="s">
        <v>264</v>
      </c>
      <c r="R772" t="s">
        <v>265</v>
      </c>
      <c r="S772">
        <v>14860</v>
      </c>
      <c r="T772" t="s">
        <v>266</v>
      </c>
      <c r="U772" t="s">
        <v>267</v>
      </c>
      <c r="V772" t="s">
        <v>273</v>
      </c>
      <c r="W772" t="s">
        <v>274</v>
      </c>
      <c r="X772">
        <v>1933579</v>
      </c>
      <c r="Y772" s="6">
        <v>44792</v>
      </c>
      <c r="Z772" t="s">
        <v>264</v>
      </c>
      <c r="AA772">
        <v>1</v>
      </c>
      <c r="AB772" t="s">
        <v>264</v>
      </c>
      <c r="AD772" t="s">
        <v>264</v>
      </c>
      <c r="AE772" t="s">
        <v>264</v>
      </c>
      <c r="AF772" t="s">
        <v>264</v>
      </c>
      <c r="AG772">
        <v>3</v>
      </c>
      <c r="AH772" t="s">
        <v>264</v>
      </c>
      <c r="AI772">
        <v>55734167</v>
      </c>
      <c r="AJ772" t="s">
        <v>712</v>
      </c>
      <c r="AL772" t="s">
        <v>750</v>
      </c>
      <c r="AM772" s="6">
        <v>44786</v>
      </c>
      <c r="AN772" t="s">
        <v>533</v>
      </c>
      <c r="AO772" t="s">
        <v>268</v>
      </c>
      <c r="AP772">
        <v>1201</v>
      </c>
      <c r="AQ772" t="s">
        <v>269</v>
      </c>
      <c r="AR772" t="s">
        <v>751</v>
      </c>
      <c r="AU772" t="s">
        <v>264</v>
      </c>
      <c r="AV772" t="s">
        <v>270</v>
      </c>
      <c r="AX772">
        <v>22002803</v>
      </c>
      <c r="AY772">
        <v>720400</v>
      </c>
      <c r="AZ772">
        <v>1201.7203999999999</v>
      </c>
      <c r="BA772" s="28" t="s">
        <v>49</v>
      </c>
    </row>
    <row r="773" spans="1:53">
      <c r="A773" t="s">
        <v>271</v>
      </c>
      <c r="B773" t="s">
        <v>272</v>
      </c>
      <c r="C773">
        <v>22011405</v>
      </c>
      <c r="D773">
        <v>1201</v>
      </c>
      <c r="E773" s="6">
        <v>44792</v>
      </c>
      <c r="F773" t="s">
        <v>753</v>
      </c>
      <c r="G773">
        <v>26.92</v>
      </c>
      <c r="H773">
        <v>26.92</v>
      </c>
      <c r="I773" t="s">
        <v>263</v>
      </c>
      <c r="J773" t="s">
        <v>263</v>
      </c>
      <c r="L773" s="29">
        <v>400000</v>
      </c>
      <c r="N773" s="29">
        <v>400000</v>
      </c>
      <c r="O773" t="s">
        <v>264</v>
      </c>
      <c r="Q773" t="s">
        <v>264</v>
      </c>
      <c r="R773" t="s">
        <v>265</v>
      </c>
      <c r="S773">
        <v>14860</v>
      </c>
      <c r="T773" t="s">
        <v>266</v>
      </c>
      <c r="U773" t="s">
        <v>267</v>
      </c>
      <c r="V773" t="s">
        <v>273</v>
      </c>
      <c r="W773" t="s">
        <v>274</v>
      </c>
      <c r="X773">
        <v>1933579</v>
      </c>
      <c r="Y773" s="6">
        <v>44792</v>
      </c>
      <c r="Z773" t="s">
        <v>264</v>
      </c>
      <c r="AA773">
        <v>1</v>
      </c>
      <c r="AB773" t="s">
        <v>264</v>
      </c>
      <c r="AD773" t="s">
        <v>264</v>
      </c>
      <c r="AE773" t="s">
        <v>264</v>
      </c>
      <c r="AF773" t="s">
        <v>264</v>
      </c>
      <c r="AG773">
        <v>1</v>
      </c>
      <c r="AH773" t="s">
        <v>264</v>
      </c>
      <c r="AI773">
        <v>55732461</v>
      </c>
      <c r="AJ773" t="s">
        <v>753</v>
      </c>
      <c r="AL773" t="s">
        <v>750</v>
      </c>
      <c r="AM773" s="6">
        <v>44786</v>
      </c>
      <c r="AN773" t="s">
        <v>533</v>
      </c>
      <c r="AO773" t="s">
        <v>268</v>
      </c>
      <c r="AP773">
        <v>1201</v>
      </c>
      <c r="AQ773" t="s">
        <v>269</v>
      </c>
      <c r="AR773" t="s">
        <v>751</v>
      </c>
      <c r="AU773" t="s">
        <v>264</v>
      </c>
      <c r="AV773" t="s">
        <v>270</v>
      </c>
      <c r="AX773">
        <v>22002804</v>
      </c>
      <c r="AY773">
        <v>720400</v>
      </c>
      <c r="AZ773">
        <v>1201.7203999999999</v>
      </c>
      <c r="BA773" s="28" t="s">
        <v>49</v>
      </c>
    </row>
    <row r="774" spans="1:53">
      <c r="A774" t="s">
        <v>271</v>
      </c>
      <c r="B774" t="s">
        <v>272</v>
      </c>
      <c r="C774">
        <v>22011406</v>
      </c>
      <c r="D774">
        <v>1201</v>
      </c>
      <c r="E774" s="6">
        <v>44792</v>
      </c>
      <c r="F774" t="s">
        <v>754</v>
      </c>
      <c r="G774">
        <v>137.94999999999999</v>
      </c>
      <c r="H774">
        <v>137.94999999999999</v>
      </c>
      <c r="I774" t="s">
        <v>263</v>
      </c>
      <c r="J774" t="s">
        <v>263</v>
      </c>
      <c r="L774" s="29">
        <v>2050000</v>
      </c>
      <c r="N774" s="29">
        <v>2050000</v>
      </c>
      <c r="O774" t="s">
        <v>264</v>
      </c>
      <c r="Q774" t="s">
        <v>264</v>
      </c>
      <c r="R774" t="s">
        <v>265</v>
      </c>
      <c r="S774">
        <v>14860</v>
      </c>
      <c r="T774" t="s">
        <v>266</v>
      </c>
      <c r="U774" t="s">
        <v>267</v>
      </c>
      <c r="V774" t="s">
        <v>273</v>
      </c>
      <c r="W774" t="s">
        <v>274</v>
      </c>
      <c r="X774">
        <v>1933579</v>
      </c>
      <c r="Y774" s="6">
        <v>44792</v>
      </c>
      <c r="Z774" t="s">
        <v>264</v>
      </c>
      <c r="AA774">
        <v>1</v>
      </c>
      <c r="AB774" t="s">
        <v>264</v>
      </c>
      <c r="AD774" t="s">
        <v>264</v>
      </c>
      <c r="AE774" t="s">
        <v>264</v>
      </c>
      <c r="AF774" t="s">
        <v>264</v>
      </c>
      <c r="AG774">
        <v>1</v>
      </c>
      <c r="AH774" t="s">
        <v>264</v>
      </c>
      <c r="AI774">
        <v>55102080</v>
      </c>
      <c r="AJ774" t="s">
        <v>754</v>
      </c>
      <c r="AL774" t="s">
        <v>750</v>
      </c>
      <c r="AM774" s="6">
        <v>44786</v>
      </c>
      <c r="AN774" t="s">
        <v>533</v>
      </c>
      <c r="AO774" t="s">
        <v>268</v>
      </c>
      <c r="AP774">
        <v>1201</v>
      </c>
      <c r="AQ774" t="s">
        <v>269</v>
      </c>
      <c r="AR774" t="s">
        <v>751</v>
      </c>
      <c r="AU774" t="s">
        <v>264</v>
      </c>
      <c r="AV774" t="s">
        <v>270</v>
      </c>
      <c r="AX774">
        <v>22002805</v>
      </c>
      <c r="AY774">
        <v>720400</v>
      </c>
      <c r="AZ774">
        <v>1201.7203999999999</v>
      </c>
      <c r="BA774" s="28" t="s">
        <v>49</v>
      </c>
    </row>
    <row r="775" spans="1:53">
      <c r="A775" t="s">
        <v>271</v>
      </c>
      <c r="B775" t="s">
        <v>272</v>
      </c>
      <c r="C775">
        <v>22011408</v>
      </c>
      <c r="D775">
        <v>1201</v>
      </c>
      <c r="E775" s="6">
        <v>44792</v>
      </c>
      <c r="F775" t="s">
        <v>755</v>
      </c>
      <c r="G775">
        <v>150.93</v>
      </c>
      <c r="H775">
        <v>150.93</v>
      </c>
      <c r="I775" t="s">
        <v>263</v>
      </c>
      <c r="J775" t="s">
        <v>263</v>
      </c>
      <c r="L775" s="29">
        <v>2242750</v>
      </c>
      <c r="N775" s="29">
        <v>2242750</v>
      </c>
      <c r="O775" t="s">
        <v>264</v>
      </c>
      <c r="Q775" t="s">
        <v>264</v>
      </c>
      <c r="R775" t="s">
        <v>265</v>
      </c>
      <c r="S775">
        <v>14860</v>
      </c>
      <c r="T775" t="s">
        <v>266</v>
      </c>
      <c r="U775" t="s">
        <v>267</v>
      </c>
      <c r="V775" t="s">
        <v>273</v>
      </c>
      <c r="W775" t="s">
        <v>274</v>
      </c>
      <c r="X775">
        <v>1933920</v>
      </c>
      <c r="Y775" s="6">
        <v>44792</v>
      </c>
      <c r="Z775" t="s">
        <v>264</v>
      </c>
      <c r="AA775">
        <v>1</v>
      </c>
      <c r="AB775" t="s">
        <v>264</v>
      </c>
      <c r="AD775" t="s">
        <v>264</v>
      </c>
      <c r="AE775" t="s">
        <v>264</v>
      </c>
      <c r="AF775" t="s">
        <v>264</v>
      </c>
      <c r="AG775">
        <v>1</v>
      </c>
      <c r="AH775" t="s">
        <v>264</v>
      </c>
      <c r="AI775">
        <v>57369301</v>
      </c>
      <c r="AJ775" t="s">
        <v>755</v>
      </c>
      <c r="AL775" t="s">
        <v>750</v>
      </c>
      <c r="AM775" s="6">
        <v>44786</v>
      </c>
      <c r="AN775" t="s">
        <v>533</v>
      </c>
      <c r="AO775" t="s">
        <v>268</v>
      </c>
      <c r="AP775">
        <v>1201</v>
      </c>
      <c r="AQ775" t="s">
        <v>269</v>
      </c>
      <c r="AR775" t="s">
        <v>751</v>
      </c>
      <c r="AU775" t="s">
        <v>264</v>
      </c>
      <c r="AV775" t="s">
        <v>270</v>
      </c>
      <c r="AX775">
        <v>22002806</v>
      </c>
      <c r="AY775">
        <v>720400</v>
      </c>
      <c r="AZ775">
        <v>1201.7203999999999</v>
      </c>
      <c r="BA775" s="28" t="s">
        <v>49</v>
      </c>
    </row>
    <row r="776" spans="1:53">
      <c r="A776" t="s">
        <v>271</v>
      </c>
      <c r="B776" t="s">
        <v>272</v>
      </c>
      <c r="C776">
        <v>22011421</v>
      </c>
      <c r="D776">
        <v>1201</v>
      </c>
      <c r="E776" s="6">
        <v>44795</v>
      </c>
      <c r="F776" t="s">
        <v>756</v>
      </c>
      <c r="G776">
        <v>40.090000000000003</v>
      </c>
      <c r="H776">
        <v>40.090000000000003</v>
      </c>
      <c r="I776" t="s">
        <v>263</v>
      </c>
      <c r="J776" t="s">
        <v>263</v>
      </c>
      <c r="L776" s="29">
        <v>595800</v>
      </c>
      <c r="N776" s="29">
        <v>595800</v>
      </c>
      <c r="O776" t="s">
        <v>264</v>
      </c>
      <c r="Q776" t="s">
        <v>264</v>
      </c>
      <c r="R776" t="s">
        <v>265</v>
      </c>
      <c r="S776">
        <v>14860</v>
      </c>
      <c r="T776" t="s">
        <v>266</v>
      </c>
      <c r="U776" t="s">
        <v>267</v>
      </c>
      <c r="V776" t="s">
        <v>273</v>
      </c>
      <c r="W776" t="s">
        <v>274</v>
      </c>
      <c r="X776">
        <v>1934131</v>
      </c>
      <c r="Y776" s="6">
        <v>44795</v>
      </c>
      <c r="Z776" t="s">
        <v>264</v>
      </c>
      <c r="AA776">
        <v>1</v>
      </c>
      <c r="AB776" t="s">
        <v>264</v>
      </c>
      <c r="AD776" t="s">
        <v>264</v>
      </c>
      <c r="AE776" t="s">
        <v>264</v>
      </c>
      <c r="AF776" t="s">
        <v>264</v>
      </c>
      <c r="AG776">
        <v>1</v>
      </c>
      <c r="AH776" t="s">
        <v>264</v>
      </c>
      <c r="AI776">
        <v>57337860</v>
      </c>
      <c r="AJ776" t="s">
        <v>756</v>
      </c>
      <c r="AL776" t="s">
        <v>757</v>
      </c>
      <c r="AM776" s="6">
        <v>44771</v>
      </c>
      <c r="AN776" t="s">
        <v>533</v>
      </c>
      <c r="AO776" t="s">
        <v>268</v>
      </c>
      <c r="AP776">
        <v>1201</v>
      </c>
      <c r="AQ776" t="s">
        <v>269</v>
      </c>
      <c r="AR776" t="s">
        <v>758</v>
      </c>
      <c r="AU776" t="s">
        <v>264</v>
      </c>
      <c r="AV776" t="s">
        <v>270</v>
      </c>
      <c r="AX776">
        <v>22002807</v>
      </c>
      <c r="AY776">
        <v>720400</v>
      </c>
      <c r="AZ776">
        <v>1201.7203999999999</v>
      </c>
      <c r="BA776" s="28" t="s">
        <v>49</v>
      </c>
    </row>
    <row r="777" spans="1:53">
      <c r="A777" t="s">
        <v>271</v>
      </c>
      <c r="B777" t="s">
        <v>272</v>
      </c>
      <c r="C777">
        <v>22011422</v>
      </c>
      <c r="D777">
        <v>1201</v>
      </c>
      <c r="E777" s="6">
        <v>44795</v>
      </c>
      <c r="F777" t="s">
        <v>759</v>
      </c>
      <c r="G777">
        <v>108.23</v>
      </c>
      <c r="H777">
        <v>108.23</v>
      </c>
      <c r="I777" t="s">
        <v>263</v>
      </c>
      <c r="J777" t="s">
        <v>263</v>
      </c>
      <c r="L777" s="29">
        <v>1608262</v>
      </c>
      <c r="N777" s="29">
        <v>1608262</v>
      </c>
      <c r="O777" t="s">
        <v>264</v>
      </c>
      <c r="Q777" t="s">
        <v>264</v>
      </c>
      <c r="R777" t="s">
        <v>265</v>
      </c>
      <c r="S777">
        <v>14860</v>
      </c>
      <c r="T777" t="s">
        <v>266</v>
      </c>
      <c r="U777" t="s">
        <v>267</v>
      </c>
      <c r="V777" t="s">
        <v>273</v>
      </c>
      <c r="W777" t="s">
        <v>274</v>
      </c>
      <c r="X777">
        <v>1934131</v>
      </c>
      <c r="Y777" s="6">
        <v>44795</v>
      </c>
      <c r="Z777" t="s">
        <v>264</v>
      </c>
      <c r="AA777">
        <v>1</v>
      </c>
      <c r="AB777" t="s">
        <v>264</v>
      </c>
      <c r="AD777" t="s">
        <v>264</v>
      </c>
      <c r="AE777" t="s">
        <v>264</v>
      </c>
      <c r="AF777" t="s">
        <v>264</v>
      </c>
      <c r="AG777">
        <v>2</v>
      </c>
      <c r="AH777" t="s">
        <v>264</v>
      </c>
      <c r="AI777">
        <v>55322912</v>
      </c>
      <c r="AJ777" t="s">
        <v>759</v>
      </c>
      <c r="AL777" t="s">
        <v>760</v>
      </c>
      <c r="AM777" s="6">
        <v>44771</v>
      </c>
      <c r="AN777" t="s">
        <v>533</v>
      </c>
      <c r="AO777" t="s">
        <v>268</v>
      </c>
      <c r="AP777">
        <v>1201</v>
      </c>
      <c r="AQ777" t="s">
        <v>269</v>
      </c>
      <c r="AR777" t="s">
        <v>758</v>
      </c>
      <c r="AU777" t="s">
        <v>264</v>
      </c>
      <c r="AV777" t="s">
        <v>270</v>
      </c>
      <c r="AX777">
        <v>22002808</v>
      </c>
      <c r="AY777">
        <v>720400</v>
      </c>
      <c r="AZ777">
        <v>1201.7203999999999</v>
      </c>
      <c r="BA777" s="28" t="s">
        <v>49</v>
      </c>
    </row>
    <row r="778" spans="1:53">
      <c r="A778" t="s">
        <v>271</v>
      </c>
      <c r="B778" t="s">
        <v>272</v>
      </c>
      <c r="C778">
        <v>22011463</v>
      </c>
      <c r="D778">
        <v>1201</v>
      </c>
      <c r="E778" s="6">
        <v>44795</v>
      </c>
      <c r="F778" t="s">
        <v>761</v>
      </c>
      <c r="G778">
        <v>204.89</v>
      </c>
      <c r="H778">
        <v>204.89</v>
      </c>
      <c r="I778" t="s">
        <v>263</v>
      </c>
      <c r="J778" t="s">
        <v>263</v>
      </c>
      <c r="L778" s="29">
        <v>3044716</v>
      </c>
      <c r="N778" s="29">
        <v>3044716</v>
      </c>
      <c r="O778" t="s">
        <v>264</v>
      </c>
      <c r="Q778" t="s">
        <v>264</v>
      </c>
      <c r="R778" t="s">
        <v>265</v>
      </c>
      <c r="S778">
        <v>14860</v>
      </c>
      <c r="T778" t="s">
        <v>266</v>
      </c>
      <c r="U778" t="s">
        <v>267</v>
      </c>
      <c r="V778" t="s">
        <v>273</v>
      </c>
      <c r="W778" t="s">
        <v>274</v>
      </c>
      <c r="X778">
        <v>1934308</v>
      </c>
      <c r="Y778" s="6">
        <v>44795</v>
      </c>
      <c r="Z778" t="s">
        <v>264</v>
      </c>
      <c r="AA778">
        <v>1</v>
      </c>
      <c r="AB778" t="s">
        <v>264</v>
      </c>
      <c r="AD778" t="s">
        <v>264</v>
      </c>
      <c r="AE778" t="s">
        <v>264</v>
      </c>
      <c r="AF778" t="s">
        <v>264</v>
      </c>
      <c r="AG778">
        <v>1</v>
      </c>
      <c r="AH778" t="s">
        <v>264</v>
      </c>
      <c r="AI778">
        <v>56799616</v>
      </c>
      <c r="AJ778" t="s">
        <v>761</v>
      </c>
      <c r="AL778" t="s">
        <v>762</v>
      </c>
      <c r="AM778" s="6">
        <v>44788</v>
      </c>
      <c r="AN778" t="s">
        <v>533</v>
      </c>
      <c r="AO778" t="s">
        <v>268</v>
      </c>
      <c r="AP778">
        <v>1201</v>
      </c>
      <c r="AQ778" t="s">
        <v>269</v>
      </c>
      <c r="AR778" t="s">
        <v>763</v>
      </c>
      <c r="AU778" t="s">
        <v>264</v>
      </c>
      <c r="AV778" t="s">
        <v>270</v>
      </c>
      <c r="AX778">
        <v>22002816</v>
      </c>
      <c r="AY778">
        <v>720400</v>
      </c>
      <c r="AZ778">
        <v>1201.7203999999999</v>
      </c>
      <c r="BA778" s="28" t="s">
        <v>49</v>
      </c>
    </row>
    <row r="779" spans="1:53">
      <c r="A779" t="s">
        <v>271</v>
      </c>
      <c r="B779" t="s">
        <v>272</v>
      </c>
      <c r="C779">
        <v>22011466</v>
      </c>
      <c r="D779">
        <v>1201</v>
      </c>
      <c r="E779" s="6">
        <v>44795</v>
      </c>
      <c r="F779" t="s">
        <v>746</v>
      </c>
      <c r="G779" s="29">
        <v>1009.08</v>
      </c>
      <c r="H779" s="29">
        <v>1009.08</v>
      </c>
      <c r="I779" t="s">
        <v>263</v>
      </c>
      <c r="J779" t="s">
        <v>263</v>
      </c>
      <c r="L779" s="29">
        <v>14995000</v>
      </c>
      <c r="N779" s="29">
        <v>14995000</v>
      </c>
      <c r="O779" t="s">
        <v>264</v>
      </c>
      <c r="Q779" t="s">
        <v>264</v>
      </c>
      <c r="R779" t="s">
        <v>265</v>
      </c>
      <c r="S779">
        <v>14860</v>
      </c>
      <c r="T779" t="s">
        <v>266</v>
      </c>
      <c r="U779" t="s">
        <v>267</v>
      </c>
      <c r="V779" t="s">
        <v>273</v>
      </c>
      <c r="W779" t="s">
        <v>274</v>
      </c>
      <c r="X779">
        <v>1934310</v>
      </c>
      <c r="Y779" s="6">
        <v>44795</v>
      </c>
      <c r="Z779" t="s">
        <v>264</v>
      </c>
      <c r="AA779">
        <v>1</v>
      </c>
      <c r="AB779" t="s">
        <v>264</v>
      </c>
      <c r="AD779" t="s">
        <v>264</v>
      </c>
      <c r="AE779" t="s">
        <v>264</v>
      </c>
      <c r="AF779" t="s">
        <v>264</v>
      </c>
      <c r="AG779">
        <v>1</v>
      </c>
      <c r="AH779" t="s">
        <v>264</v>
      </c>
      <c r="AI779">
        <v>56579074</v>
      </c>
      <c r="AJ779" t="s">
        <v>746</v>
      </c>
      <c r="AL779" t="s">
        <v>764</v>
      </c>
      <c r="AM779" s="6">
        <v>44789</v>
      </c>
      <c r="AN779" t="s">
        <v>533</v>
      </c>
      <c r="AO779" t="s">
        <v>268</v>
      </c>
      <c r="AP779">
        <v>1201</v>
      </c>
      <c r="AQ779" t="s">
        <v>269</v>
      </c>
      <c r="AR779" t="s">
        <v>549</v>
      </c>
      <c r="AU779" t="s">
        <v>264</v>
      </c>
      <c r="AV779" t="s">
        <v>270</v>
      </c>
      <c r="AX779">
        <v>22002817</v>
      </c>
      <c r="AY779">
        <v>720400</v>
      </c>
      <c r="AZ779">
        <v>1201.7203999999999</v>
      </c>
      <c r="BA779" s="28" t="s">
        <v>49</v>
      </c>
    </row>
    <row r="780" spans="1:53">
      <c r="A780" t="s">
        <v>271</v>
      </c>
      <c r="B780" t="s">
        <v>272</v>
      </c>
      <c r="C780">
        <v>22011467</v>
      </c>
      <c r="D780">
        <v>1201</v>
      </c>
      <c r="E780" s="6">
        <v>44795</v>
      </c>
      <c r="F780" t="s">
        <v>703</v>
      </c>
      <c r="G780">
        <v>36.340000000000003</v>
      </c>
      <c r="H780">
        <v>36.340000000000003</v>
      </c>
      <c r="I780" t="s">
        <v>263</v>
      </c>
      <c r="J780" t="s">
        <v>263</v>
      </c>
      <c r="L780" s="29">
        <v>540000</v>
      </c>
      <c r="N780" s="29">
        <v>540000</v>
      </c>
      <c r="O780" t="s">
        <v>264</v>
      </c>
      <c r="Q780" t="s">
        <v>264</v>
      </c>
      <c r="R780" t="s">
        <v>265</v>
      </c>
      <c r="S780">
        <v>14860</v>
      </c>
      <c r="T780" t="s">
        <v>266</v>
      </c>
      <c r="U780" t="s">
        <v>267</v>
      </c>
      <c r="V780" t="s">
        <v>273</v>
      </c>
      <c r="W780" t="s">
        <v>274</v>
      </c>
      <c r="X780">
        <v>1934311</v>
      </c>
      <c r="Y780" s="6">
        <v>44795</v>
      </c>
      <c r="Z780" t="s">
        <v>264</v>
      </c>
      <c r="AA780">
        <v>1</v>
      </c>
      <c r="AB780" t="s">
        <v>264</v>
      </c>
      <c r="AD780" t="s">
        <v>264</v>
      </c>
      <c r="AE780" t="s">
        <v>264</v>
      </c>
      <c r="AF780" t="s">
        <v>264</v>
      </c>
      <c r="AG780">
        <v>1</v>
      </c>
      <c r="AH780" t="s">
        <v>264</v>
      </c>
      <c r="AI780">
        <v>54000358</v>
      </c>
      <c r="AJ780" t="s">
        <v>703</v>
      </c>
      <c r="AL780" t="s">
        <v>765</v>
      </c>
      <c r="AM780" s="6">
        <v>44784</v>
      </c>
      <c r="AN780" t="s">
        <v>533</v>
      </c>
      <c r="AO780" t="s">
        <v>268</v>
      </c>
      <c r="AP780">
        <v>1201</v>
      </c>
      <c r="AQ780" t="s">
        <v>269</v>
      </c>
      <c r="AR780" t="s">
        <v>766</v>
      </c>
      <c r="AU780" t="s">
        <v>264</v>
      </c>
      <c r="AV780" t="s">
        <v>270</v>
      </c>
      <c r="AX780">
        <v>22002809</v>
      </c>
      <c r="AY780">
        <v>720400</v>
      </c>
      <c r="AZ780">
        <v>1201.7203999999999</v>
      </c>
      <c r="BA780" s="28" t="s">
        <v>49</v>
      </c>
    </row>
    <row r="781" spans="1:53">
      <c r="A781" t="s">
        <v>271</v>
      </c>
      <c r="B781" t="s">
        <v>272</v>
      </c>
      <c r="C781">
        <v>22011500</v>
      </c>
      <c r="D781">
        <v>1201</v>
      </c>
      <c r="E781" s="6">
        <v>44796</v>
      </c>
      <c r="F781" t="s">
        <v>705</v>
      </c>
      <c r="G781">
        <v>156.44</v>
      </c>
      <c r="H781">
        <v>156.44</v>
      </c>
      <c r="I781" t="s">
        <v>263</v>
      </c>
      <c r="J781" t="s">
        <v>263</v>
      </c>
      <c r="L781" s="29">
        <v>2324700</v>
      </c>
      <c r="N781" s="29">
        <v>2324700</v>
      </c>
      <c r="O781" t="s">
        <v>264</v>
      </c>
      <c r="Q781" t="s">
        <v>264</v>
      </c>
      <c r="R781" t="s">
        <v>265</v>
      </c>
      <c r="S781">
        <v>14860</v>
      </c>
      <c r="T781" t="s">
        <v>266</v>
      </c>
      <c r="U781" t="s">
        <v>267</v>
      </c>
      <c r="V781" t="s">
        <v>273</v>
      </c>
      <c r="W781" t="s">
        <v>274</v>
      </c>
      <c r="X781">
        <v>1934453</v>
      </c>
      <c r="Y781" s="6">
        <v>44796</v>
      </c>
      <c r="Z781" t="s">
        <v>264</v>
      </c>
      <c r="AA781">
        <v>1</v>
      </c>
      <c r="AB781" t="s">
        <v>264</v>
      </c>
      <c r="AD781" t="s">
        <v>264</v>
      </c>
      <c r="AE781" t="s">
        <v>264</v>
      </c>
      <c r="AF781" t="s">
        <v>264</v>
      </c>
      <c r="AG781">
        <v>1</v>
      </c>
      <c r="AH781" t="s">
        <v>264</v>
      </c>
      <c r="AI781">
        <v>55737819</v>
      </c>
      <c r="AJ781" t="s">
        <v>705</v>
      </c>
      <c r="AL781">
        <v>61013020256700</v>
      </c>
      <c r="AM781" s="6">
        <v>44795</v>
      </c>
      <c r="AN781" t="s">
        <v>533</v>
      </c>
      <c r="AO781" t="s">
        <v>268</v>
      </c>
      <c r="AP781">
        <v>1201</v>
      </c>
      <c r="AQ781" t="s">
        <v>269</v>
      </c>
      <c r="AR781" t="s">
        <v>767</v>
      </c>
      <c r="AU781" t="s">
        <v>264</v>
      </c>
      <c r="AV781" t="s">
        <v>270</v>
      </c>
      <c r="AX781">
        <v>22002818</v>
      </c>
      <c r="AY781">
        <v>720400</v>
      </c>
      <c r="AZ781">
        <v>1201.7203999999999</v>
      </c>
      <c r="BA781" s="28" t="s">
        <v>49</v>
      </c>
    </row>
    <row r="782" spans="1:53">
      <c r="A782" t="s">
        <v>271</v>
      </c>
      <c r="B782" t="s">
        <v>272</v>
      </c>
      <c r="C782">
        <v>22011501</v>
      </c>
      <c r="D782">
        <v>1201</v>
      </c>
      <c r="E782" s="6">
        <v>44796</v>
      </c>
      <c r="F782" t="s">
        <v>705</v>
      </c>
      <c r="G782">
        <v>207.55</v>
      </c>
      <c r="H782">
        <v>207.55</v>
      </c>
      <c r="I782" t="s">
        <v>263</v>
      </c>
      <c r="J782" t="s">
        <v>263</v>
      </c>
      <c r="L782" s="29">
        <v>3084200</v>
      </c>
      <c r="N782" s="29">
        <v>3084200</v>
      </c>
      <c r="O782" t="s">
        <v>264</v>
      </c>
      <c r="Q782" t="s">
        <v>264</v>
      </c>
      <c r="R782" t="s">
        <v>265</v>
      </c>
      <c r="S782">
        <v>14860</v>
      </c>
      <c r="T782" t="s">
        <v>266</v>
      </c>
      <c r="U782" t="s">
        <v>267</v>
      </c>
      <c r="V782" t="s">
        <v>273</v>
      </c>
      <c r="W782" t="s">
        <v>274</v>
      </c>
      <c r="X782">
        <v>1934453</v>
      </c>
      <c r="Y782" s="6">
        <v>44796</v>
      </c>
      <c r="Z782" t="s">
        <v>264</v>
      </c>
      <c r="AA782">
        <v>1</v>
      </c>
      <c r="AB782" t="s">
        <v>264</v>
      </c>
      <c r="AD782" t="s">
        <v>264</v>
      </c>
      <c r="AE782" t="s">
        <v>264</v>
      </c>
      <c r="AF782" t="s">
        <v>264</v>
      </c>
      <c r="AG782">
        <v>1</v>
      </c>
      <c r="AH782" t="s">
        <v>264</v>
      </c>
      <c r="AI782">
        <v>55737819</v>
      </c>
      <c r="AJ782" t="s">
        <v>705</v>
      </c>
      <c r="AL782">
        <v>61013020260100</v>
      </c>
      <c r="AM782" s="6">
        <v>44795</v>
      </c>
      <c r="AN782" t="s">
        <v>533</v>
      </c>
      <c r="AO782" t="s">
        <v>268</v>
      </c>
      <c r="AP782">
        <v>1201</v>
      </c>
      <c r="AQ782" t="s">
        <v>269</v>
      </c>
      <c r="AR782" t="s">
        <v>768</v>
      </c>
      <c r="AU782" t="s">
        <v>264</v>
      </c>
      <c r="AV782" t="s">
        <v>270</v>
      </c>
      <c r="AX782">
        <v>22002818</v>
      </c>
      <c r="AY782">
        <v>720400</v>
      </c>
      <c r="AZ782">
        <v>1201.7203999999999</v>
      </c>
      <c r="BA782" s="28" t="s">
        <v>49</v>
      </c>
    </row>
    <row r="783" spans="1:53">
      <c r="A783" t="s">
        <v>271</v>
      </c>
      <c r="B783" t="s">
        <v>272</v>
      </c>
      <c r="C783">
        <v>22011502</v>
      </c>
      <c r="D783">
        <v>1201</v>
      </c>
      <c r="E783" s="6">
        <v>44796</v>
      </c>
      <c r="F783" t="s">
        <v>705</v>
      </c>
      <c r="G783">
        <v>207.55</v>
      </c>
      <c r="H783">
        <v>207.55</v>
      </c>
      <c r="I783" t="s">
        <v>263</v>
      </c>
      <c r="J783" t="s">
        <v>263</v>
      </c>
      <c r="L783" s="29">
        <v>3084200</v>
      </c>
      <c r="N783" s="29">
        <v>3084200</v>
      </c>
      <c r="O783" t="s">
        <v>264</v>
      </c>
      <c r="Q783" t="s">
        <v>264</v>
      </c>
      <c r="R783" t="s">
        <v>265</v>
      </c>
      <c r="S783">
        <v>14860</v>
      </c>
      <c r="T783" t="s">
        <v>266</v>
      </c>
      <c r="U783" t="s">
        <v>267</v>
      </c>
      <c r="V783" t="s">
        <v>273</v>
      </c>
      <c r="W783" t="s">
        <v>274</v>
      </c>
      <c r="X783">
        <v>1934453</v>
      </c>
      <c r="Y783" s="6">
        <v>44796</v>
      </c>
      <c r="Z783" t="s">
        <v>264</v>
      </c>
      <c r="AA783">
        <v>1</v>
      </c>
      <c r="AB783" t="s">
        <v>264</v>
      </c>
      <c r="AD783" t="s">
        <v>264</v>
      </c>
      <c r="AE783" t="s">
        <v>264</v>
      </c>
      <c r="AF783" t="s">
        <v>264</v>
      </c>
      <c r="AG783">
        <v>1</v>
      </c>
      <c r="AH783" t="s">
        <v>264</v>
      </c>
      <c r="AI783">
        <v>55737819</v>
      </c>
      <c r="AJ783" t="s">
        <v>705</v>
      </c>
      <c r="AL783">
        <v>61013020258400</v>
      </c>
      <c r="AM783" s="6">
        <v>44795</v>
      </c>
      <c r="AN783" t="s">
        <v>533</v>
      </c>
      <c r="AO783" t="s">
        <v>268</v>
      </c>
      <c r="AP783">
        <v>1201</v>
      </c>
      <c r="AQ783" t="s">
        <v>269</v>
      </c>
      <c r="AR783" t="s">
        <v>769</v>
      </c>
      <c r="AU783" t="s">
        <v>264</v>
      </c>
      <c r="AV783" t="s">
        <v>270</v>
      </c>
      <c r="AX783">
        <v>22002818</v>
      </c>
      <c r="AY783">
        <v>720400</v>
      </c>
      <c r="AZ783">
        <v>1201.7203999999999</v>
      </c>
      <c r="BA783" s="28" t="s">
        <v>49</v>
      </c>
    </row>
    <row r="784" spans="1:53">
      <c r="A784" t="s">
        <v>271</v>
      </c>
      <c r="B784" t="s">
        <v>272</v>
      </c>
      <c r="C784">
        <v>22011503</v>
      </c>
      <c r="D784">
        <v>1201</v>
      </c>
      <c r="E784" s="6">
        <v>44796</v>
      </c>
      <c r="F784" t="s">
        <v>705</v>
      </c>
      <c r="G784">
        <v>52.6</v>
      </c>
      <c r="H784">
        <v>52.6</v>
      </c>
      <c r="I784" t="s">
        <v>263</v>
      </c>
      <c r="J784" t="s">
        <v>263</v>
      </c>
      <c r="L784" s="29">
        <v>781650</v>
      </c>
      <c r="N784" s="29">
        <v>781650</v>
      </c>
      <c r="O784" t="s">
        <v>264</v>
      </c>
      <c r="Q784" t="s">
        <v>264</v>
      </c>
      <c r="R784" t="s">
        <v>265</v>
      </c>
      <c r="S784">
        <v>14860</v>
      </c>
      <c r="T784" t="s">
        <v>266</v>
      </c>
      <c r="U784" t="s">
        <v>267</v>
      </c>
      <c r="V784" t="s">
        <v>273</v>
      </c>
      <c r="W784" t="s">
        <v>274</v>
      </c>
      <c r="X784">
        <v>1934453</v>
      </c>
      <c r="Y784" s="6">
        <v>44796</v>
      </c>
      <c r="Z784" t="s">
        <v>264</v>
      </c>
      <c r="AA784">
        <v>1</v>
      </c>
      <c r="AB784" t="s">
        <v>264</v>
      </c>
      <c r="AD784" t="s">
        <v>264</v>
      </c>
      <c r="AE784" t="s">
        <v>264</v>
      </c>
      <c r="AF784" t="s">
        <v>264</v>
      </c>
      <c r="AG784">
        <v>1</v>
      </c>
      <c r="AH784" t="s">
        <v>264</v>
      </c>
      <c r="AI784">
        <v>55737819</v>
      </c>
      <c r="AJ784" t="s">
        <v>705</v>
      </c>
      <c r="AL784">
        <v>61013020258600</v>
      </c>
      <c r="AM784" s="6">
        <v>44795</v>
      </c>
      <c r="AN784" t="s">
        <v>533</v>
      </c>
      <c r="AO784" t="s">
        <v>268</v>
      </c>
      <c r="AP784">
        <v>1201</v>
      </c>
      <c r="AQ784" t="s">
        <v>269</v>
      </c>
      <c r="AR784" t="s">
        <v>770</v>
      </c>
      <c r="AU784" t="s">
        <v>264</v>
      </c>
      <c r="AV784" t="s">
        <v>270</v>
      </c>
      <c r="AX784">
        <v>22002818</v>
      </c>
      <c r="AY784">
        <v>720400</v>
      </c>
      <c r="AZ784">
        <v>1201.7203999999999</v>
      </c>
      <c r="BA784" s="28" t="s">
        <v>49</v>
      </c>
    </row>
    <row r="785" spans="1:53">
      <c r="A785" t="s">
        <v>271</v>
      </c>
      <c r="B785" t="s">
        <v>272</v>
      </c>
      <c r="C785">
        <v>22011504</v>
      </c>
      <c r="D785">
        <v>1201</v>
      </c>
      <c r="E785" s="6">
        <v>44796</v>
      </c>
      <c r="F785" t="s">
        <v>756</v>
      </c>
      <c r="G785">
        <v>173.69</v>
      </c>
      <c r="H785">
        <v>173.69</v>
      </c>
      <c r="I785" t="s">
        <v>263</v>
      </c>
      <c r="J785" t="s">
        <v>263</v>
      </c>
      <c r="L785" s="29">
        <v>2581000</v>
      </c>
      <c r="N785" s="29">
        <v>2581000</v>
      </c>
      <c r="O785" t="s">
        <v>264</v>
      </c>
      <c r="Q785" t="s">
        <v>264</v>
      </c>
      <c r="R785" t="s">
        <v>265</v>
      </c>
      <c r="S785">
        <v>14860</v>
      </c>
      <c r="T785" t="s">
        <v>266</v>
      </c>
      <c r="U785" t="s">
        <v>267</v>
      </c>
      <c r="V785" t="s">
        <v>273</v>
      </c>
      <c r="W785" t="s">
        <v>274</v>
      </c>
      <c r="X785">
        <v>1934460</v>
      </c>
      <c r="Y785" s="6">
        <v>44796</v>
      </c>
      <c r="Z785" t="s">
        <v>264</v>
      </c>
      <c r="AA785">
        <v>1</v>
      </c>
      <c r="AB785" t="s">
        <v>264</v>
      </c>
      <c r="AD785" t="s">
        <v>264</v>
      </c>
      <c r="AE785" t="s">
        <v>264</v>
      </c>
      <c r="AF785" t="s">
        <v>264</v>
      </c>
      <c r="AG785">
        <v>1</v>
      </c>
      <c r="AH785" t="s">
        <v>264</v>
      </c>
      <c r="AI785">
        <v>57337860</v>
      </c>
      <c r="AJ785" t="s">
        <v>756</v>
      </c>
      <c r="AL785" t="s">
        <v>771</v>
      </c>
      <c r="AM785" s="6">
        <v>44795</v>
      </c>
      <c r="AN785" t="s">
        <v>533</v>
      </c>
      <c r="AO785" t="s">
        <v>268</v>
      </c>
      <c r="AP785">
        <v>1201</v>
      </c>
      <c r="AQ785" t="s">
        <v>269</v>
      </c>
      <c r="AR785" t="s">
        <v>772</v>
      </c>
      <c r="AU785" t="s">
        <v>264</v>
      </c>
      <c r="AV785" t="s">
        <v>270</v>
      </c>
      <c r="AX785">
        <v>22002819</v>
      </c>
      <c r="AY785">
        <v>720400</v>
      </c>
      <c r="AZ785">
        <v>1201.7203999999999</v>
      </c>
      <c r="BA785" s="28" t="s">
        <v>49</v>
      </c>
    </row>
    <row r="786" spans="1:53">
      <c r="A786" t="s">
        <v>271</v>
      </c>
      <c r="B786" t="s">
        <v>272</v>
      </c>
      <c r="C786">
        <v>22002876</v>
      </c>
      <c r="D786">
        <v>1204</v>
      </c>
      <c r="E786" s="6">
        <v>44792</v>
      </c>
      <c r="F786" t="s">
        <v>709</v>
      </c>
      <c r="G786">
        <v>807.54</v>
      </c>
      <c r="H786">
        <v>807.54</v>
      </c>
      <c r="I786" t="s">
        <v>263</v>
      </c>
      <c r="J786" t="s">
        <v>263</v>
      </c>
      <c r="L786" s="29">
        <v>12000000</v>
      </c>
      <c r="N786" s="29">
        <v>12000000</v>
      </c>
      <c r="O786" t="s">
        <v>264</v>
      </c>
      <c r="Q786" t="s">
        <v>264</v>
      </c>
      <c r="R786" t="s">
        <v>265</v>
      </c>
      <c r="S786">
        <v>14860</v>
      </c>
      <c r="T786" t="s">
        <v>266</v>
      </c>
      <c r="U786" t="s">
        <v>267</v>
      </c>
      <c r="V786" t="s">
        <v>273</v>
      </c>
      <c r="W786" t="s">
        <v>274</v>
      </c>
      <c r="X786">
        <v>1933560</v>
      </c>
      <c r="Y786" s="6">
        <v>44792</v>
      </c>
      <c r="Z786" t="s">
        <v>264</v>
      </c>
      <c r="AA786">
        <v>1</v>
      </c>
      <c r="AB786" t="s">
        <v>264</v>
      </c>
      <c r="AD786" t="s">
        <v>264</v>
      </c>
      <c r="AE786" t="s">
        <v>264</v>
      </c>
      <c r="AF786" t="s">
        <v>264</v>
      </c>
      <c r="AG786">
        <v>1</v>
      </c>
      <c r="AH786" t="s">
        <v>264</v>
      </c>
      <c r="AI786">
        <v>55423490</v>
      </c>
      <c r="AJ786" t="s">
        <v>709</v>
      </c>
      <c r="AL786" t="s">
        <v>773</v>
      </c>
      <c r="AM786" s="6">
        <v>44777</v>
      </c>
      <c r="AN786" t="s">
        <v>533</v>
      </c>
      <c r="AO786" t="s">
        <v>268</v>
      </c>
      <c r="AP786">
        <v>1204</v>
      </c>
      <c r="AQ786" t="s">
        <v>269</v>
      </c>
      <c r="AR786" t="s">
        <v>549</v>
      </c>
      <c r="AU786" t="s">
        <v>264</v>
      </c>
      <c r="AV786" t="s">
        <v>270</v>
      </c>
      <c r="AX786">
        <v>22001399</v>
      </c>
      <c r="AY786">
        <v>720400</v>
      </c>
      <c r="AZ786">
        <v>1204.7203999999999</v>
      </c>
      <c r="BA786" s="28" t="s">
        <v>169</v>
      </c>
    </row>
    <row r="787" spans="1:53">
      <c r="A787" t="s">
        <v>271</v>
      </c>
      <c r="B787" t="s">
        <v>272</v>
      </c>
      <c r="C787">
        <v>22002877</v>
      </c>
      <c r="D787">
        <v>1204</v>
      </c>
      <c r="E787" s="6">
        <v>44792</v>
      </c>
      <c r="F787" t="s">
        <v>570</v>
      </c>
      <c r="G787">
        <v>91.16</v>
      </c>
      <c r="H787">
        <v>91.16</v>
      </c>
      <c r="I787" t="s">
        <v>263</v>
      </c>
      <c r="J787" t="s">
        <v>263</v>
      </c>
      <c r="L787" s="29">
        <v>1354680</v>
      </c>
      <c r="N787" s="29">
        <v>1354680</v>
      </c>
      <c r="O787" t="s">
        <v>264</v>
      </c>
      <c r="Q787" t="s">
        <v>264</v>
      </c>
      <c r="R787" t="s">
        <v>265</v>
      </c>
      <c r="S787">
        <v>14860</v>
      </c>
      <c r="T787" t="s">
        <v>266</v>
      </c>
      <c r="U787" t="s">
        <v>267</v>
      </c>
      <c r="V787" t="s">
        <v>273</v>
      </c>
      <c r="W787" t="s">
        <v>274</v>
      </c>
      <c r="X787">
        <v>1933563</v>
      </c>
      <c r="Y787" s="6">
        <v>44792</v>
      </c>
      <c r="Z787" t="s">
        <v>264</v>
      </c>
      <c r="AA787">
        <v>1</v>
      </c>
      <c r="AB787" t="s">
        <v>264</v>
      </c>
      <c r="AD787" t="s">
        <v>264</v>
      </c>
      <c r="AE787" t="s">
        <v>264</v>
      </c>
      <c r="AF787" t="s">
        <v>264</v>
      </c>
      <c r="AG787">
        <v>1</v>
      </c>
      <c r="AH787" t="s">
        <v>264</v>
      </c>
      <c r="AI787">
        <v>55101941</v>
      </c>
      <c r="AJ787" t="s">
        <v>570</v>
      </c>
      <c r="AL787" t="s">
        <v>773</v>
      </c>
      <c r="AM787" s="6">
        <v>44777</v>
      </c>
      <c r="AN787" t="s">
        <v>533</v>
      </c>
      <c r="AO787" t="s">
        <v>268</v>
      </c>
      <c r="AP787">
        <v>1204</v>
      </c>
      <c r="AQ787" t="s">
        <v>269</v>
      </c>
      <c r="AR787" t="s">
        <v>549</v>
      </c>
      <c r="AU787" t="s">
        <v>264</v>
      </c>
      <c r="AV787" t="s">
        <v>270</v>
      </c>
      <c r="AX787">
        <v>22001400</v>
      </c>
      <c r="AY787">
        <v>720400</v>
      </c>
      <c r="AZ787">
        <v>1204.7203999999999</v>
      </c>
      <c r="BA787" s="28" t="s">
        <v>169</v>
      </c>
    </row>
    <row r="788" spans="1:53">
      <c r="A788" t="s">
        <v>271</v>
      </c>
      <c r="B788" t="s">
        <v>272</v>
      </c>
      <c r="C788">
        <v>22002878</v>
      </c>
      <c r="D788">
        <v>1204</v>
      </c>
      <c r="E788" s="6">
        <v>44792</v>
      </c>
      <c r="F788" t="s">
        <v>774</v>
      </c>
      <c r="G788">
        <v>80.75</v>
      </c>
      <c r="H788">
        <v>80.75</v>
      </c>
      <c r="I788" t="s">
        <v>263</v>
      </c>
      <c r="J788" t="s">
        <v>263</v>
      </c>
      <c r="L788" s="29">
        <v>1200000</v>
      </c>
      <c r="N788" s="29">
        <v>1200000</v>
      </c>
      <c r="O788" t="s">
        <v>264</v>
      </c>
      <c r="Q788" t="s">
        <v>264</v>
      </c>
      <c r="R788" t="s">
        <v>265</v>
      </c>
      <c r="S788">
        <v>14860</v>
      </c>
      <c r="T788" t="s">
        <v>266</v>
      </c>
      <c r="U788" t="s">
        <v>267</v>
      </c>
      <c r="V788" t="s">
        <v>273</v>
      </c>
      <c r="W788" t="s">
        <v>274</v>
      </c>
      <c r="X788">
        <v>1933563</v>
      </c>
      <c r="Y788" s="6">
        <v>44792</v>
      </c>
      <c r="Z788" t="s">
        <v>264</v>
      </c>
      <c r="AA788">
        <v>1</v>
      </c>
      <c r="AB788" t="s">
        <v>264</v>
      </c>
      <c r="AD788" t="s">
        <v>264</v>
      </c>
      <c r="AE788" t="s">
        <v>264</v>
      </c>
      <c r="AF788" t="s">
        <v>264</v>
      </c>
      <c r="AG788">
        <v>1</v>
      </c>
      <c r="AH788" t="s">
        <v>264</v>
      </c>
      <c r="AI788">
        <v>57330828</v>
      </c>
      <c r="AJ788" t="s">
        <v>774</v>
      </c>
      <c r="AL788" t="s">
        <v>773</v>
      </c>
      <c r="AM788" s="6">
        <v>44777</v>
      </c>
      <c r="AN788" t="s">
        <v>533</v>
      </c>
      <c r="AO788" t="s">
        <v>268</v>
      </c>
      <c r="AP788">
        <v>1204</v>
      </c>
      <c r="AQ788" t="s">
        <v>269</v>
      </c>
      <c r="AR788" t="s">
        <v>549</v>
      </c>
      <c r="AU788" t="s">
        <v>264</v>
      </c>
      <c r="AV788" t="s">
        <v>270</v>
      </c>
      <c r="AX788">
        <v>22001401</v>
      </c>
      <c r="AY788">
        <v>720400</v>
      </c>
      <c r="AZ788">
        <v>1204.7203999999999</v>
      </c>
      <c r="BA788" s="28" t="s">
        <v>169</v>
      </c>
    </row>
    <row r="789" spans="1:53">
      <c r="A789" t="s">
        <v>271</v>
      </c>
      <c r="B789" t="s">
        <v>272</v>
      </c>
      <c r="C789">
        <v>22003134</v>
      </c>
      <c r="D789">
        <v>1205</v>
      </c>
      <c r="E789" s="6">
        <v>44797</v>
      </c>
      <c r="F789" t="s">
        <v>775</v>
      </c>
      <c r="G789">
        <v>57.54</v>
      </c>
      <c r="H789">
        <v>57.54</v>
      </c>
      <c r="I789" t="s">
        <v>263</v>
      </c>
      <c r="J789" t="s">
        <v>263</v>
      </c>
      <c r="L789" s="29">
        <v>855000</v>
      </c>
      <c r="N789" s="29">
        <v>855000</v>
      </c>
      <c r="O789" t="s">
        <v>264</v>
      </c>
      <c r="Q789" t="s">
        <v>264</v>
      </c>
      <c r="R789" t="s">
        <v>265</v>
      </c>
      <c r="S789">
        <v>14860</v>
      </c>
      <c r="T789" t="s">
        <v>266</v>
      </c>
      <c r="U789" t="s">
        <v>267</v>
      </c>
      <c r="V789" t="s">
        <v>273</v>
      </c>
      <c r="W789" t="s">
        <v>274</v>
      </c>
      <c r="X789">
        <v>1934623</v>
      </c>
      <c r="Y789" s="6">
        <v>44797</v>
      </c>
      <c r="Z789" t="s">
        <v>264</v>
      </c>
      <c r="AA789">
        <v>1</v>
      </c>
      <c r="AB789" t="s">
        <v>264</v>
      </c>
      <c r="AD789" t="s">
        <v>264</v>
      </c>
      <c r="AE789" t="s">
        <v>264</v>
      </c>
      <c r="AF789" t="s">
        <v>264</v>
      </c>
      <c r="AG789">
        <v>1</v>
      </c>
      <c r="AH789" t="s">
        <v>264</v>
      </c>
      <c r="AI789">
        <v>56971922</v>
      </c>
      <c r="AJ789" t="s">
        <v>775</v>
      </c>
      <c r="AL789" s="6">
        <v>44689</v>
      </c>
      <c r="AM789" s="6">
        <v>44797</v>
      </c>
      <c r="AN789" t="s">
        <v>275</v>
      </c>
      <c r="AO789" t="s">
        <v>268</v>
      </c>
      <c r="AP789">
        <v>1205</v>
      </c>
      <c r="AQ789" t="s">
        <v>269</v>
      </c>
      <c r="AR789" t="s">
        <v>630</v>
      </c>
      <c r="AU789" t="s">
        <v>264</v>
      </c>
      <c r="AV789" t="s">
        <v>270</v>
      </c>
      <c r="AX789">
        <v>22001367</v>
      </c>
      <c r="AY789">
        <v>720400</v>
      </c>
      <c r="AZ789">
        <v>1205.7203999999999</v>
      </c>
      <c r="BA789" s="28" t="s">
        <v>170</v>
      </c>
    </row>
    <row r="790" spans="1:53">
      <c r="A790" t="s">
        <v>271</v>
      </c>
      <c r="B790" t="s">
        <v>272</v>
      </c>
      <c r="C790">
        <v>22010684</v>
      </c>
      <c r="D790">
        <v>1201</v>
      </c>
      <c r="E790" s="6">
        <v>44775</v>
      </c>
      <c r="F790" t="s">
        <v>707</v>
      </c>
      <c r="G790">
        <v>413.02</v>
      </c>
      <c r="H790">
        <v>413.02</v>
      </c>
      <c r="I790" t="s">
        <v>263</v>
      </c>
      <c r="J790" t="s">
        <v>263</v>
      </c>
      <c r="L790" s="29">
        <v>6146617</v>
      </c>
      <c r="N790" s="29">
        <v>6146617</v>
      </c>
      <c r="O790" t="s">
        <v>264</v>
      </c>
      <c r="Q790" t="s">
        <v>264</v>
      </c>
      <c r="R790" t="s">
        <v>265</v>
      </c>
      <c r="S790">
        <v>14882</v>
      </c>
      <c r="T790" t="s">
        <v>266</v>
      </c>
      <c r="U790" t="s">
        <v>267</v>
      </c>
      <c r="V790" t="s">
        <v>273</v>
      </c>
      <c r="W790" t="s">
        <v>274</v>
      </c>
      <c r="X790">
        <v>1926292</v>
      </c>
      <c r="Y790" s="6">
        <v>44775</v>
      </c>
      <c r="Z790" t="s">
        <v>264</v>
      </c>
      <c r="AA790">
        <v>1</v>
      </c>
      <c r="AB790" t="s">
        <v>264</v>
      </c>
      <c r="AD790" t="s">
        <v>264</v>
      </c>
      <c r="AE790" t="s">
        <v>264</v>
      </c>
      <c r="AF790" t="s">
        <v>264</v>
      </c>
      <c r="AG790">
        <v>1</v>
      </c>
      <c r="AH790" t="s">
        <v>264</v>
      </c>
      <c r="AI790">
        <v>56039684</v>
      </c>
      <c r="AJ790" t="s">
        <v>707</v>
      </c>
      <c r="AL790" t="s">
        <v>776</v>
      </c>
      <c r="AM790" s="6">
        <v>44769</v>
      </c>
      <c r="AN790" t="s">
        <v>533</v>
      </c>
      <c r="AO790" t="s">
        <v>268</v>
      </c>
      <c r="AP790">
        <v>1201</v>
      </c>
      <c r="AQ790" t="s">
        <v>269</v>
      </c>
      <c r="AR790" t="s">
        <v>777</v>
      </c>
      <c r="AU790" t="s">
        <v>264</v>
      </c>
      <c r="AV790" t="s">
        <v>270</v>
      </c>
      <c r="AX790">
        <v>22002681</v>
      </c>
      <c r="AY790">
        <v>720500</v>
      </c>
      <c r="AZ790">
        <v>1201.7204999999999</v>
      </c>
      <c r="BA790" s="28" t="s">
        <v>51</v>
      </c>
    </row>
    <row r="791" spans="1:53">
      <c r="A791" t="s">
        <v>271</v>
      </c>
      <c r="B791" t="s">
        <v>272</v>
      </c>
      <c r="C791">
        <v>22010688</v>
      </c>
      <c r="D791">
        <v>1201</v>
      </c>
      <c r="E791" s="6">
        <v>44775</v>
      </c>
      <c r="F791" t="s">
        <v>705</v>
      </c>
      <c r="G791">
        <v>18.21</v>
      </c>
      <c r="H791">
        <v>18.21</v>
      </c>
      <c r="I791" t="s">
        <v>263</v>
      </c>
      <c r="J791" t="s">
        <v>263</v>
      </c>
      <c r="L791" s="29">
        <v>271000</v>
      </c>
      <c r="N791" s="29">
        <v>271000</v>
      </c>
      <c r="O791" t="s">
        <v>264</v>
      </c>
      <c r="Q791" t="s">
        <v>264</v>
      </c>
      <c r="R791" t="s">
        <v>265</v>
      </c>
      <c r="S791">
        <v>14882</v>
      </c>
      <c r="T791" t="s">
        <v>266</v>
      </c>
      <c r="U791" t="s">
        <v>267</v>
      </c>
      <c r="V791" t="s">
        <v>273</v>
      </c>
      <c r="W791" t="s">
        <v>274</v>
      </c>
      <c r="X791">
        <v>1926302</v>
      </c>
      <c r="Y791" s="6">
        <v>44775</v>
      </c>
      <c r="Z791" t="s">
        <v>264</v>
      </c>
      <c r="AA791">
        <v>1</v>
      </c>
      <c r="AB791" t="s">
        <v>264</v>
      </c>
      <c r="AD791" t="s">
        <v>264</v>
      </c>
      <c r="AE791" t="s">
        <v>264</v>
      </c>
      <c r="AF791" t="s">
        <v>264</v>
      </c>
      <c r="AG791">
        <v>1</v>
      </c>
      <c r="AH791" t="s">
        <v>264</v>
      </c>
      <c r="AI791">
        <v>55737819</v>
      </c>
      <c r="AJ791" t="s">
        <v>705</v>
      </c>
      <c r="AL791">
        <v>61011034399900</v>
      </c>
      <c r="AM791" s="6">
        <v>44764</v>
      </c>
      <c r="AN791" t="s">
        <v>533</v>
      </c>
      <c r="AO791" t="s">
        <v>268</v>
      </c>
      <c r="AP791">
        <v>1201</v>
      </c>
      <c r="AQ791" t="s">
        <v>269</v>
      </c>
      <c r="AR791" t="s">
        <v>778</v>
      </c>
      <c r="AU791" t="s">
        <v>264</v>
      </c>
      <c r="AV791" t="s">
        <v>270</v>
      </c>
      <c r="AX791">
        <v>22002678</v>
      </c>
      <c r="AY791">
        <v>720500</v>
      </c>
      <c r="AZ791">
        <v>1201.7204999999999</v>
      </c>
      <c r="BA791" s="28" t="s">
        <v>51</v>
      </c>
    </row>
    <row r="792" spans="1:53">
      <c r="A792" t="s">
        <v>271</v>
      </c>
      <c r="B792" t="s">
        <v>272</v>
      </c>
      <c r="C792">
        <v>22010691</v>
      </c>
      <c r="D792">
        <v>1201</v>
      </c>
      <c r="E792" s="6">
        <v>44775</v>
      </c>
      <c r="F792" t="s">
        <v>779</v>
      </c>
      <c r="G792">
        <v>10.45</v>
      </c>
      <c r="H792">
        <v>10.45</v>
      </c>
      <c r="I792" t="s">
        <v>263</v>
      </c>
      <c r="J792" t="s">
        <v>263</v>
      </c>
      <c r="L792" s="29">
        <v>155480</v>
      </c>
      <c r="N792" s="29">
        <v>155480</v>
      </c>
      <c r="O792" t="s">
        <v>264</v>
      </c>
      <c r="Q792" t="s">
        <v>264</v>
      </c>
      <c r="R792" t="s">
        <v>265</v>
      </c>
      <c r="S792">
        <v>14882</v>
      </c>
      <c r="T792" t="s">
        <v>266</v>
      </c>
      <c r="U792" t="s">
        <v>267</v>
      </c>
      <c r="V792" t="s">
        <v>273</v>
      </c>
      <c r="W792" t="s">
        <v>274</v>
      </c>
      <c r="X792">
        <v>1926350</v>
      </c>
      <c r="Y792" s="6">
        <v>44775</v>
      </c>
      <c r="Z792" t="s">
        <v>264</v>
      </c>
      <c r="AA792">
        <v>1</v>
      </c>
      <c r="AB792" t="s">
        <v>264</v>
      </c>
      <c r="AD792" t="s">
        <v>264</v>
      </c>
      <c r="AE792" t="s">
        <v>264</v>
      </c>
      <c r="AF792" t="s">
        <v>264</v>
      </c>
      <c r="AG792">
        <v>1</v>
      </c>
      <c r="AH792" t="s">
        <v>264</v>
      </c>
      <c r="AI792">
        <v>56940472</v>
      </c>
      <c r="AJ792" t="s">
        <v>779</v>
      </c>
      <c r="AL792">
        <v>61011034400000</v>
      </c>
      <c r="AM792" s="6">
        <v>44764</v>
      </c>
      <c r="AN792" t="s">
        <v>533</v>
      </c>
      <c r="AO792" t="s">
        <v>268</v>
      </c>
      <c r="AP792">
        <v>1201</v>
      </c>
      <c r="AQ792" t="s">
        <v>269</v>
      </c>
      <c r="AR792" t="s">
        <v>778</v>
      </c>
      <c r="AU792" t="s">
        <v>264</v>
      </c>
      <c r="AV792" t="s">
        <v>270</v>
      </c>
      <c r="AX792">
        <v>22002680</v>
      </c>
      <c r="AY792">
        <v>720500</v>
      </c>
      <c r="AZ792">
        <v>1201.7204999999999</v>
      </c>
      <c r="BA792" s="28" t="s">
        <v>51</v>
      </c>
    </row>
    <row r="793" spans="1:53">
      <c r="A793" t="s">
        <v>271</v>
      </c>
      <c r="B793" t="s">
        <v>272</v>
      </c>
      <c r="C793">
        <v>22010692</v>
      </c>
      <c r="D793">
        <v>1201</v>
      </c>
      <c r="E793" s="6">
        <v>44775</v>
      </c>
      <c r="F793" t="s">
        <v>780</v>
      </c>
      <c r="G793">
        <v>19.8</v>
      </c>
      <c r="H793">
        <v>19.8</v>
      </c>
      <c r="I793" t="s">
        <v>263</v>
      </c>
      <c r="J793" t="s">
        <v>263</v>
      </c>
      <c r="L793" s="29">
        <v>294604</v>
      </c>
      <c r="N793" s="29">
        <v>294604</v>
      </c>
      <c r="O793" t="s">
        <v>264</v>
      </c>
      <c r="Q793" t="s">
        <v>264</v>
      </c>
      <c r="R793" t="s">
        <v>265</v>
      </c>
      <c r="S793">
        <v>14882</v>
      </c>
      <c r="T793" t="s">
        <v>266</v>
      </c>
      <c r="U793" t="s">
        <v>267</v>
      </c>
      <c r="V793" t="s">
        <v>273</v>
      </c>
      <c r="W793" t="s">
        <v>274</v>
      </c>
      <c r="X793">
        <v>1926350</v>
      </c>
      <c r="Y793" s="6">
        <v>44775</v>
      </c>
      <c r="Z793" t="s">
        <v>264</v>
      </c>
      <c r="AA793">
        <v>1</v>
      </c>
      <c r="AB793" t="s">
        <v>264</v>
      </c>
      <c r="AD793" t="s">
        <v>264</v>
      </c>
      <c r="AE793" t="s">
        <v>264</v>
      </c>
      <c r="AF793" t="s">
        <v>264</v>
      </c>
      <c r="AG793">
        <v>1</v>
      </c>
      <c r="AH793" t="s">
        <v>264</v>
      </c>
      <c r="AI793">
        <v>55750706</v>
      </c>
      <c r="AJ793" t="s">
        <v>780</v>
      </c>
      <c r="AL793">
        <v>61011034400000</v>
      </c>
      <c r="AM793" s="6">
        <v>44764</v>
      </c>
      <c r="AN793" t="s">
        <v>533</v>
      </c>
      <c r="AO793" t="s">
        <v>268</v>
      </c>
      <c r="AP793">
        <v>1201</v>
      </c>
      <c r="AQ793" t="s">
        <v>269</v>
      </c>
      <c r="AR793" t="s">
        <v>778</v>
      </c>
      <c r="AU793" t="s">
        <v>264</v>
      </c>
      <c r="AV793" t="s">
        <v>270</v>
      </c>
      <c r="AX793">
        <v>22002679</v>
      </c>
      <c r="AY793">
        <v>720500</v>
      </c>
      <c r="AZ793">
        <v>1201.7204999999999</v>
      </c>
      <c r="BA793" s="28" t="s">
        <v>51</v>
      </c>
    </row>
    <row r="794" spans="1:53">
      <c r="A794" t="s">
        <v>271</v>
      </c>
      <c r="B794" t="s">
        <v>272</v>
      </c>
      <c r="C794">
        <v>22010826</v>
      </c>
      <c r="D794">
        <v>1201</v>
      </c>
      <c r="E794" s="6">
        <v>44781</v>
      </c>
      <c r="F794" t="s">
        <v>705</v>
      </c>
      <c r="G794">
        <v>29.54</v>
      </c>
      <c r="H794">
        <v>29.54</v>
      </c>
      <c r="I794" t="s">
        <v>263</v>
      </c>
      <c r="J794" t="s">
        <v>263</v>
      </c>
      <c r="L794" s="29">
        <v>439000</v>
      </c>
      <c r="N794" s="29">
        <v>439000</v>
      </c>
      <c r="O794" t="s">
        <v>264</v>
      </c>
      <c r="Q794" t="s">
        <v>264</v>
      </c>
      <c r="R794" t="s">
        <v>265</v>
      </c>
      <c r="S794">
        <v>14860</v>
      </c>
      <c r="T794" t="s">
        <v>266</v>
      </c>
      <c r="U794" t="s">
        <v>267</v>
      </c>
      <c r="V794" t="s">
        <v>273</v>
      </c>
      <c r="W794" t="s">
        <v>274</v>
      </c>
      <c r="X794">
        <v>1928807</v>
      </c>
      <c r="Y794" s="6">
        <v>44781</v>
      </c>
      <c r="Z794" t="s">
        <v>264</v>
      </c>
      <c r="AA794">
        <v>1</v>
      </c>
      <c r="AB794" t="s">
        <v>264</v>
      </c>
      <c r="AD794" t="s">
        <v>264</v>
      </c>
      <c r="AE794" t="s">
        <v>264</v>
      </c>
      <c r="AF794" t="s">
        <v>264</v>
      </c>
      <c r="AG794">
        <v>1</v>
      </c>
      <c r="AH794" t="s">
        <v>264</v>
      </c>
      <c r="AI794">
        <v>55737819</v>
      </c>
      <c r="AJ794" t="s">
        <v>705</v>
      </c>
      <c r="AL794">
        <v>61011034476700</v>
      </c>
      <c r="AM794" s="6">
        <v>44773</v>
      </c>
      <c r="AN794" t="s">
        <v>533</v>
      </c>
      <c r="AO794" t="s">
        <v>268</v>
      </c>
      <c r="AP794">
        <v>1201</v>
      </c>
      <c r="AQ794" t="s">
        <v>269</v>
      </c>
      <c r="AR794" t="s">
        <v>781</v>
      </c>
      <c r="AU794" t="s">
        <v>264</v>
      </c>
      <c r="AV794" t="s">
        <v>270</v>
      </c>
      <c r="AX794">
        <v>22002694</v>
      </c>
      <c r="AY794">
        <v>720500</v>
      </c>
      <c r="AZ794">
        <v>1201.7204999999999</v>
      </c>
      <c r="BA794" s="28" t="s">
        <v>51</v>
      </c>
    </row>
    <row r="795" spans="1:53">
      <c r="A795" t="s">
        <v>271</v>
      </c>
      <c r="B795" t="s">
        <v>272</v>
      </c>
      <c r="C795">
        <v>22010827</v>
      </c>
      <c r="D795">
        <v>1201</v>
      </c>
      <c r="E795" s="6">
        <v>44781</v>
      </c>
      <c r="F795" t="s">
        <v>705</v>
      </c>
      <c r="G795">
        <v>16.82</v>
      </c>
      <c r="H795">
        <v>16.82</v>
      </c>
      <c r="I795" t="s">
        <v>263</v>
      </c>
      <c r="J795" t="s">
        <v>263</v>
      </c>
      <c r="L795" s="29">
        <v>250000</v>
      </c>
      <c r="N795" s="29">
        <v>250000</v>
      </c>
      <c r="O795" t="s">
        <v>264</v>
      </c>
      <c r="Q795" t="s">
        <v>264</v>
      </c>
      <c r="R795" t="s">
        <v>265</v>
      </c>
      <c r="S795">
        <v>14860</v>
      </c>
      <c r="T795" t="s">
        <v>266</v>
      </c>
      <c r="U795" t="s">
        <v>267</v>
      </c>
      <c r="V795" t="s">
        <v>273</v>
      </c>
      <c r="W795" t="s">
        <v>274</v>
      </c>
      <c r="X795">
        <v>1928807</v>
      </c>
      <c r="Y795" s="6">
        <v>44781</v>
      </c>
      <c r="Z795" t="s">
        <v>264</v>
      </c>
      <c r="AA795">
        <v>1</v>
      </c>
      <c r="AB795" t="s">
        <v>264</v>
      </c>
      <c r="AD795" t="s">
        <v>264</v>
      </c>
      <c r="AE795" t="s">
        <v>264</v>
      </c>
      <c r="AF795" t="s">
        <v>264</v>
      </c>
      <c r="AG795">
        <v>1</v>
      </c>
      <c r="AH795" t="s">
        <v>264</v>
      </c>
      <c r="AI795">
        <v>55737819</v>
      </c>
      <c r="AJ795" t="s">
        <v>705</v>
      </c>
      <c r="AL795">
        <v>61011034477500</v>
      </c>
      <c r="AM795" s="6">
        <v>44773</v>
      </c>
      <c r="AN795" t="s">
        <v>533</v>
      </c>
      <c r="AO795" t="s">
        <v>268</v>
      </c>
      <c r="AP795">
        <v>1201</v>
      </c>
      <c r="AQ795" t="s">
        <v>269</v>
      </c>
      <c r="AR795" t="s">
        <v>782</v>
      </c>
      <c r="AU795" t="s">
        <v>264</v>
      </c>
      <c r="AV795" t="s">
        <v>270</v>
      </c>
      <c r="AX795">
        <v>22002694</v>
      </c>
      <c r="AY795">
        <v>720500</v>
      </c>
      <c r="AZ795">
        <v>1201.7204999999999</v>
      </c>
      <c r="BA795" s="28" t="s">
        <v>51</v>
      </c>
    </row>
    <row r="796" spans="1:53">
      <c r="A796" t="s">
        <v>271</v>
      </c>
      <c r="B796" t="s">
        <v>272</v>
      </c>
      <c r="C796">
        <v>22010828</v>
      </c>
      <c r="D796">
        <v>1201</v>
      </c>
      <c r="E796" s="6">
        <v>44781</v>
      </c>
      <c r="F796" t="s">
        <v>780</v>
      </c>
      <c r="G796">
        <v>71.95</v>
      </c>
      <c r="H796">
        <v>71.95</v>
      </c>
      <c r="I796" t="s">
        <v>263</v>
      </c>
      <c r="J796" t="s">
        <v>263</v>
      </c>
      <c r="L796" s="29">
        <v>1069132</v>
      </c>
      <c r="N796" s="29">
        <v>1069132</v>
      </c>
      <c r="O796" t="s">
        <v>264</v>
      </c>
      <c r="Q796" t="s">
        <v>264</v>
      </c>
      <c r="R796" t="s">
        <v>265</v>
      </c>
      <c r="S796">
        <v>14860</v>
      </c>
      <c r="T796" t="s">
        <v>266</v>
      </c>
      <c r="U796" t="s">
        <v>267</v>
      </c>
      <c r="V796" t="s">
        <v>273</v>
      </c>
      <c r="W796" t="s">
        <v>274</v>
      </c>
      <c r="X796">
        <v>1928807</v>
      </c>
      <c r="Y796" s="6">
        <v>44781</v>
      </c>
      <c r="Z796" t="s">
        <v>264</v>
      </c>
      <c r="AA796">
        <v>1</v>
      </c>
      <c r="AB796" t="s">
        <v>264</v>
      </c>
      <c r="AD796" t="s">
        <v>264</v>
      </c>
      <c r="AE796" t="s">
        <v>264</v>
      </c>
      <c r="AF796" t="s">
        <v>264</v>
      </c>
      <c r="AG796">
        <v>1</v>
      </c>
      <c r="AH796" t="s">
        <v>264</v>
      </c>
      <c r="AI796">
        <v>55750706</v>
      </c>
      <c r="AJ796" t="s">
        <v>780</v>
      </c>
      <c r="AL796">
        <v>61011034476800</v>
      </c>
      <c r="AM796" s="6">
        <v>44773</v>
      </c>
      <c r="AN796" t="s">
        <v>533</v>
      </c>
      <c r="AO796" t="s">
        <v>268</v>
      </c>
      <c r="AP796">
        <v>1201</v>
      </c>
      <c r="AQ796" t="s">
        <v>269</v>
      </c>
      <c r="AR796" t="s">
        <v>781</v>
      </c>
      <c r="AU796" t="s">
        <v>264</v>
      </c>
      <c r="AV796" t="s">
        <v>270</v>
      </c>
      <c r="AX796">
        <v>22002695</v>
      </c>
      <c r="AY796">
        <v>720500</v>
      </c>
      <c r="AZ796">
        <v>1201.7204999999999</v>
      </c>
      <c r="BA796" s="28" t="s">
        <v>51</v>
      </c>
    </row>
    <row r="797" spans="1:53">
      <c r="A797" t="s">
        <v>271</v>
      </c>
      <c r="B797" t="s">
        <v>272</v>
      </c>
      <c r="C797">
        <v>22010829</v>
      </c>
      <c r="D797">
        <v>1201</v>
      </c>
      <c r="E797" s="6">
        <v>44781</v>
      </c>
      <c r="F797" t="s">
        <v>779</v>
      </c>
      <c r="G797">
        <v>7.46</v>
      </c>
      <c r="H797">
        <v>7.46</v>
      </c>
      <c r="I797" t="s">
        <v>263</v>
      </c>
      <c r="J797" t="s">
        <v>263</v>
      </c>
      <c r="L797" s="29">
        <v>110800</v>
      </c>
      <c r="N797" s="29">
        <v>110800</v>
      </c>
      <c r="O797" t="s">
        <v>264</v>
      </c>
      <c r="Q797" t="s">
        <v>264</v>
      </c>
      <c r="R797" t="s">
        <v>265</v>
      </c>
      <c r="S797">
        <v>14860</v>
      </c>
      <c r="T797" t="s">
        <v>266</v>
      </c>
      <c r="U797" t="s">
        <v>267</v>
      </c>
      <c r="V797" t="s">
        <v>273</v>
      </c>
      <c r="W797" t="s">
        <v>274</v>
      </c>
      <c r="X797">
        <v>1928807</v>
      </c>
      <c r="Y797" s="6">
        <v>44781</v>
      </c>
      <c r="Z797" t="s">
        <v>264</v>
      </c>
      <c r="AA797">
        <v>1</v>
      </c>
      <c r="AB797" t="s">
        <v>264</v>
      </c>
      <c r="AD797" t="s">
        <v>264</v>
      </c>
      <c r="AE797" t="s">
        <v>264</v>
      </c>
      <c r="AF797" t="s">
        <v>264</v>
      </c>
      <c r="AG797">
        <v>1</v>
      </c>
      <c r="AH797" t="s">
        <v>264</v>
      </c>
      <c r="AI797">
        <v>56940472</v>
      </c>
      <c r="AJ797" t="s">
        <v>779</v>
      </c>
      <c r="AL797">
        <v>61011034476800</v>
      </c>
      <c r="AM797" s="6">
        <v>44773</v>
      </c>
      <c r="AN797" t="s">
        <v>533</v>
      </c>
      <c r="AO797" t="s">
        <v>268</v>
      </c>
      <c r="AP797">
        <v>1201</v>
      </c>
      <c r="AQ797" t="s">
        <v>269</v>
      </c>
      <c r="AR797" t="s">
        <v>781</v>
      </c>
      <c r="AU797" t="s">
        <v>264</v>
      </c>
      <c r="AV797" t="s">
        <v>270</v>
      </c>
      <c r="AX797">
        <v>22002696</v>
      </c>
      <c r="AY797">
        <v>720500</v>
      </c>
      <c r="AZ797">
        <v>1201.7204999999999</v>
      </c>
      <c r="BA797" s="28" t="s">
        <v>51</v>
      </c>
    </row>
    <row r="798" spans="1:53">
      <c r="A798" t="s">
        <v>271</v>
      </c>
      <c r="B798" t="s">
        <v>272</v>
      </c>
      <c r="C798">
        <v>22010830</v>
      </c>
      <c r="D798">
        <v>1201</v>
      </c>
      <c r="E798" s="6">
        <v>44781</v>
      </c>
      <c r="F798" t="s">
        <v>783</v>
      </c>
      <c r="G798">
        <v>24.05</v>
      </c>
      <c r="H798">
        <v>24.05</v>
      </c>
      <c r="I798" t="s">
        <v>263</v>
      </c>
      <c r="J798" t="s">
        <v>263</v>
      </c>
      <c r="L798" s="29">
        <v>357330</v>
      </c>
      <c r="N798" s="29">
        <v>357330</v>
      </c>
      <c r="O798" t="s">
        <v>264</v>
      </c>
      <c r="Q798" t="s">
        <v>264</v>
      </c>
      <c r="R798" t="s">
        <v>265</v>
      </c>
      <c r="S798">
        <v>14860</v>
      </c>
      <c r="T798" t="s">
        <v>266</v>
      </c>
      <c r="U798" t="s">
        <v>267</v>
      </c>
      <c r="V798" t="s">
        <v>273</v>
      </c>
      <c r="W798" t="s">
        <v>274</v>
      </c>
      <c r="X798">
        <v>1928807</v>
      </c>
      <c r="Y798" s="6">
        <v>44781</v>
      </c>
      <c r="Z798" t="s">
        <v>264</v>
      </c>
      <c r="AA798">
        <v>1</v>
      </c>
      <c r="AB798" t="s">
        <v>264</v>
      </c>
      <c r="AD798" t="s">
        <v>264</v>
      </c>
      <c r="AE798" t="s">
        <v>264</v>
      </c>
      <c r="AF798" t="s">
        <v>264</v>
      </c>
      <c r="AG798">
        <v>1</v>
      </c>
      <c r="AH798" t="s">
        <v>264</v>
      </c>
      <c r="AI798">
        <v>57349844</v>
      </c>
      <c r="AJ798" t="s">
        <v>783</v>
      </c>
      <c r="AL798">
        <v>61011034476800</v>
      </c>
      <c r="AM798" s="6">
        <v>44773</v>
      </c>
      <c r="AN798" t="s">
        <v>533</v>
      </c>
      <c r="AO798" t="s">
        <v>268</v>
      </c>
      <c r="AP798">
        <v>1201</v>
      </c>
      <c r="AQ798" t="s">
        <v>269</v>
      </c>
      <c r="AR798" t="s">
        <v>781</v>
      </c>
      <c r="AU798" t="s">
        <v>264</v>
      </c>
      <c r="AV798" t="s">
        <v>270</v>
      </c>
      <c r="AX798">
        <v>22002697</v>
      </c>
      <c r="AY798">
        <v>720500</v>
      </c>
      <c r="AZ798">
        <v>1201.7204999999999</v>
      </c>
      <c r="BA798" s="28" t="s">
        <v>51</v>
      </c>
    </row>
    <row r="799" spans="1:53">
      <c r="A799" t="s">
        <v>271</v>
      </c>
      <c r="B799" t="s">
        <v>272</v>
      </c>
      <c r="C799">
        <v>22010831</v>
      </c>
      <c r="D799">
        <v>1201</v>
      </c>
      <c r="E799" s="6">
        <v>44781</v>
      </c>
      <c r="F799" t="s">
        <v>780</v>
      </c>
      <c r="G799">
        <v>12.93</v>
      </c>
      <c r="H799">
        <v>12.93</v>
      </c>
      <c r="I799" t="s">
        <v>263</v>
      </c>
      <c r="J799" t="s">
        <v>263</v>
      </c>
      <c r="L799" s="29">
        <v>192167</v>
      </c>
      <c r="N799" s="29">
        <v>192167</v>
      </c>
      <c r="O799" t="s">
        <v>264</v>
      </c>
      <c r="Q799" t="s">
        <v>264</v>
      </c>
      <c r="R799" t="s">
        <v>265</v>
      </c>
      <c r="S799">
        <v>14860</v>
      </c>
      <c r="T799" t="s">
        <v>266</v>
      </c>
      <c r="U799" t="s">
        <v>267</v>
      </c>
      <c r="V799" t="s">
        <v>273</v>
      </c>
      <c r="W799" t="s">
        <v>274</v>
      </c>
      <c r="X799">
        <v>1928807</v>
      </c>
      <c r="Y799" s="6">
        <v>44781</v>
      </c>
      <c r="Z799" t="s">
        <v>264</v>
      </c>
      <c r="AA799">
        <v>1</v>
      </c>
      <c r="AB799" t="s">
        <v>264</v>
      </c>
      <c r="AD799" t="s">
        <v>264</v>
      </c>
      <c r="AE799" t="s">
        <v>264</v>
      </c>
      <c r="AF799" t="s">
        <v>264</v>
      </c>
      <c r="AG799">
        <v>1</v>
      </c>
      <c r="AH799" t="s">
        <v>264</v>
      </c>
      <c r="AI799">
        <v>55750706</v>
      </c>
      <c r="AJ799" t="s">
        <v>780</v>
      </c>
      <c r="AL799">
        <v>61011034477700</v>
      </c>
      <c r="AM799" s="6">
        <v>44773</v>
      </c>
      <c r="AN799" t="s">
        <v>533</v>
      </c>
      <c r="AO799" t="s">
        <v>268</v>
      </c>
      <c r="AP799">
        <v>1201</v>
      </c>
      <c r="AQ799" t="s">
        <v>269</v>
      </c>
      <c r="AR799" t="s">
        <v>782</v>
      </c>
      <c r="AU799" t="s">
        <v>264</v>
      </c>
      <c r="AV799" t="s">
        <v>270</v>
      </c>
      <c r="AX799">
        <v>22002695</v>
      </c>
      <c r="AY799">
        <v>720500</v>
      </c>
      <c r="AZ799">
        <v>1201.7204999999999</v>
      </c>
      <c r="BA799" s="28" t="s">
        <v>51</v>
      </c>
    </row>
    <row r="800" spans="1:53">
      <c r="A800" t="s">
        <v>271</v>
      </c>
      <c r="B800" t="s">
        <v>272</v>
      </c>
      <c r="C800">
        <v>22010832</v>
      </c>
      <c r="D800">
        <v>1201</v>
      </c>
      <c r="E800" s="6">
        <v>44781</v>
      </c>
      <c r="F800" t="s">
        <v>779</v>
      </c>
      <c r="G800">
        <v>1.24</v>
      </c>
      <c r="H800">
        <v>1.24</v>
      </c>
      <c r="I800" t="s">
        <v>263</v>
      </c>
      <c r="J800" t="s">
        <v>263</v>
      </c>
      <c r="L800" s="29">
        <v>18400</v>
      </c>
      <c r="N800" s="29">
        <v>18400</v>
      </c>
      <c r="O800" t="s">
        <v>264</v>
      </c>
      <c r="Q800" t="s">
        <v>264</v>
      </c>
      <c r="R800" t="s">
        <v>265</v>
      </c>
      <c r="S800">
        <v>14860</v>
      </c>
      <c r="T800" t="s">
        <v>266</v>
      </c>
      <c r="U800" t="s">
        <v>267</v>
      </c>
      <c r="V800" t="s">
        <v>273</v>
      </c>
      <c r="W800" t="s">
        <v>274</v>
      </c>
      <c r="X800">
        <v>1928807</v>
      </c>
      <c r="Y800" s="6">
        <v>44781</v>
      </c>
      <c r="Z800" t="s">
        <v>264</v>
      </c>
      <c r="AA800">
        <v>1</v>
      </c>
      <c r="AB800" t="s">
        <v>264</v>
      </c>
      <c r="AD800" t="s">
        <v>264</v>
      </c>
      <c r="AE800" t="s">
        <v>264</v>
      </c>
      <c r="AF800" t="s">
        <v>264</v>
      </c>
      <c r="AG800">
        <v>1</v>
      </c>
      <c r="AH800" t="s">
        <v>264</v>
      </c>
      <c r="AI800">
        <v>56940472</v>
      </c>
      <c r="AJ800" t="s">
        <v>779</v>
      </c>
      <c r="AL800">
        <v>61011034477700</v>
      </c>
      <c r="AM800" s="6">
        <v>44773</v>
      </c>
      <c r="AN800" t="s">
        <v>533</v>
      </c>
      <c r="AO800" t="s">
        <v>268</v>
      </c>
      <c r="AP800">
        <v>1201</v>
      </c>
      <c r="AQ800" t="s">
        <v>269</v>
      </c>
      <c r="AR800" t="s">
        <v>782</v>
      </c>
      <c r="AU800" t="s">
        <v>264</v>
      </c>
      <c r="AV800" t="s">
        <v>270</v>
      </c>
      <c r="AX800">
        <v>22002696</v>
      </c>
      <c r="AY800">
        <v>720500</v>
      </c>
      <c r="AZ800">
        <v>1201.7204999999999</v>
      </c>
      <c r="BA800" s="28" t="s">
        <v>51</v>
      </c>
    </row>
    <row r="801" spans="1:53">
      <c r="A801" t="s">
        <v>271</v>
      </c>
      <c r="B801" t="s">
        <v>272</v>
      </c>
      <c r="C801">
        <v>22010833</v>
      </c>
      <c r="D801">
        <v>1201</v>
      </c>
      <c r="E801" s="6">
        <v>44781</v>
      </c>
      <c r="F801" t="s">
        <v>783</v>
      </c>
      <c r="G801">
        <v>3.99</v>
      </c>
      <c r="H801">
        <v>3.99</v>
      </c>
      <c r="I801" t="s">
        <v>263</v>
      </c>
      <c r="J801" t="s">
        <v>263</v>
      </c>
      <c r="L801" s="29">
        <v>59340</v>
      </c>
      <c r="N801" s="29">
        <v>59340</v>
      </c>
      <c r="O801" t="s">
        <v>264</v>
      </c>
      <c r="Q801" t="s">
        <v>264</v>
      </c>
      <c r="R801" t="s">
        <v>265</v>
      </c>
      <c r="S801">
        <v>14860</v>
      </c>
      <c r="T801" t="s">
        <v>266</v>
      </c>
      <c r="U801" t="s">
        <v>267</v>
      </c>
      <c r="V801" t="s">
        <v>273</v>
      </c>
      <c r="W801" t="s">
        <v>274</v>
      </c>
      <c r="X801">
        <v>1928807</v>
      </c>
      <c r="Y801" s="6">
        <v>44781</v>
      </c>
      <c r="Z801" t="s">
        <v>264</v>
      </c>
      <c r="AA801">
        <v>1</v>
      </c>
      <c r="AB801" t="s">
        <v>264</v>
      </c>
      <c r="AD801" t="s">
        <v>264</v>
      </c>
      <c r="AE801" t="s">
        <v>264</v>
      </c>
      <c r="AF801" t="s">
        <v>264</v>
      </c>
      <c r="AG801">
        <v>1</v>
      </c>
      <c r="AH801" t="s">
        <v>264</v>
      </c>
      <c r="AI801">
        <v>57349844</v>
      </c>
      <c r="AJ801" t="s">
        <v>783</v>
      </c>
      <c r="AL801">
        <v>61011034477700</v>
      </c>
      <c r="AM801" s="6">
        <v>44773</v>
      </c>
      <c r="AN801" t="s">
        <v>533</v>
      </c>
      <c r="AO801" t="s">
        <v>268</v>
      </c>
      <c r="AP801">
        <v>1201</v>
      </c>
      <c r="AQ801" t="s">
        <v>269</v>
      </c>
      <c r="AR801" t="s">
        <v>782</v>
      </c>
      <c r="AU801" t="s">
        <v>264</v>
      </c>
      <c r="AV801" t="s">
        <v>270</v>
      </c>
      <c r="AX801">
        <v>22002697</v>
      </c>
      <c r="AY801">
        <v>720500</v>
      </c>
      <c r="AZ801">
        <v>1201.7204999999999</v>
      </c>
      <c r="BA801" s="28" t="s">
        <v>51</v>
      </c>
    </row>
    <row r="802" spans="1:53">
      <c r="A802" t="s">
        <v>271</v>
      </c>
      <c r="B802" t="s">
        <v>272</v>
      </c>
      <c r="C802">
        <v>22010867</v>
      </c>
      <c r="D802">
        <v>1201</v>
      </c>
      <c r="E802" s="6">
        <v>44782</v>
      </c>
      <c r="F802" t="s">
        <v>784</v>
      </c>
      <c r="G802">
        <v>97.78</v>
      </c>
      <c r="H802">
        <v>97.78</v>
      </c>
      <c r="I802" t="s">
        <v>263</v>
      </c>
      <c r="J802" t="s">
        <v>263</v>
      </c>
      <c r="L802" s="29">
        <v>1453000</v>
      </c>
      <c r="N802" s="29">
        <v>1453000</v>
      </c>
      <c r="O802" t="s">
        <v>264</v>
      </c>
      <c r="Q802" t="s">
        <v>264</v>
      </c>
      <c r="R802" t="s">
        <v>265</v>
      </c>
      <c r="S802">
        <v>14860</v>
      </c>
      <c r="T802" t="s">
        <v>266</v>
      </c>
      <c r="U802" t="s">
        <v>267</v>
      </c>
      <c r="V802" t="s">
        <v>273</v>
      </c>
      <c r="W802" t="s">
        <v>274</v>
      </c>
      <c r="X802">
        <v>1929066</v>
      </c>
      <c r="Y802" s="6">
        <v>44782</v>
      </c>
      <c r="Z802" t="s">
        <v>264</v>
      </c>
      <c r="AA802">
        <v>1</v>
      </c>
      <c r="AB802" t="s">
        <v>264</v>
      </c>
      <c r="AD802" t="s">
        <v>264</v>
      </c>
      <c r="AE802" t="s">
        <v>264</v>
      </c>
      <c r="AF802" t="s">
        <v>264</v>
      </c>
      <c r="AG802">
        <v>1</v>
      </c>
      <c r="AH802" t="s">
        <v>264</v>
      </c>
      <c r="AI802">
        <v>57142915</v>
      </c>
      <c r="AJ802" t="s">
        <v>784</v>
      </c>
      <c r="AL802" t="s">
        <v>785</v>
      </c>
      <c r="AM802" s="6">
        <v>44744</v>
      </c>
      <c r="AN802" t="s">
        <v>533</v>
      </c>
      <c r="AO802" t="s">
        <v>268</v>
      </c>
      <c r="AP802">
        <v>1201</v>
      </c>
      <c r="AQ802" t="s">
        <v>269</v>
      </c>
      <c r="AR802" t="s">
        <v>786</v>
      </c>
      <c r="AU802" t="s">
        <v>264</v>
      </c>
      <c r="AV802" t="s">
        <v>270</v>
      </c>
      <c r="AX802">
        <v>22002737</v>
      </c>
      <c r="AY802">
        <v>720500</v>
      </c>
      <c r="AZ802">
        <v>1201.7204999999999</v>
      </c>
      <c r="BA802" s="28" t="s">
        <v>51</v>
      </c>
    </row>
    <row r="803" spans="1:53">
      <c r="A803" t="s">
        <v>271</v>
      </c>
      <c r="B803" t="s">
        <v>272</v>
      </c>
      <c r="C803">
        <v>22010868</v>
      </c>
      <c r="D803">
        <v>1201</v>
      </c>
      <c r="E803" s="6">
        <v>44782</v>
      </c>
      <c r="F803" t="s">
        <v>759</v>
      </c>
      <c r="G803">
        <v>191.24</v>
      </c>
      <c r="H803">
        <v>191.24</v>
      </c>
      <c r="I803" t="s">
        <v>263</v>
      </c>
      <c r="J803" t="s">
        <v>263</v>
      </c>
      <c r="L803" s="29">
        <v>2841803</v>
      </c>
      <c r="N803" s="29">
        <v>2841803</v>
      </c>
      <c r="O803" t="s">
        <v>264</v>
      </c>
      <c r="Q803" t="s">
        <v>264</v>
      </c>
      <c r="R803" t="s">
        <v>265</v>
      </c>
      <c r="S803">
        <v>14860</v>
      </c>
      <c r="T803" t="s">
        <v>266</v>
      </c>
      <c r="U803" t="s">
        <v>267</v>
      </c>
      <c r="V803" t="s">
        <v>273</v>
      </c>
      <c r="W803" t="s">
        <v>274</v>
      </c>
      <c r="X803">
        <v>1929069</v>
      </c>
      <c r="Y803" s="6">
        <v>44782</v>
      </c>
      <c r="Z803" t="s">
        <v>264</v>
      </c>
      <c r="AA803">
        <v>1</v>
      </c>
      <c r="AB803" t="s">
        <v>264</v>
      </c>
      <c r="AD803" t="s">
        <v>264</v>
      </c>
      <c r="AE803" t="s">
        <v>264</v>
      </c>
      <c r="AF803" t="s">
        <v>264</v>
      </c>
      <c r="AG803">
        <v>1</v>
      </c>
      <c r="AH803" t="s">
        <v>264</v>
      </c>
      <c r="AI803">
        <v>55322912</v>
      </c>
      <c r="AJ803" t="s">
        <v>759</v>
      </c>
      <c r="AL803" t="s">
        <v>787</v>
      </c>
      <c r="AM803" s="6">
        <v>44744</v>
      </c>
      <c r="AN803" t="s">
        <v>533</v>
      </c>
      <c r="AO803" t="s">
        <v>268</v>
      </c>
      <c r="AP803">
        <v>1201</v>
      </c>
      <c r="AQ803" t="s">
        <v>269</v>
      </c>
      <c r="AR803" t="s">
        <v>786</v>
      </c>
      <c r="AU803" t="s">
        <v>264</v>
      </c>
      <c r="AV803" t="s">
        <v>270</v>
      </c>
      <c r="AX803">
        <v>22002738</v>
      </c>
      <c r="AY803">
        <v>720500</v>
      </c>
      <c r="AZ803">
        <v>1201.7204999999999</v>
      </c>
      <c r="BA803" s="28" t="s">
        <v>51</v>
      </c>
    </row>
    <row r="804" spans="1:53">
      <c r="A804" t="s">
        <v>271</v>
      </c>
      <c r="B804" t="s">
        <v>272</v>
      </c>
      <c r="C804">
        <v>22011505</v>
      </c>
      <c r="D804">
        <v>1201</v>
      </c>
      <c r="E804" s="6">
        <v>44796</v>
      </c>
      <c r="F804" t="s">
        <v>784</v>
      </c>
      <c r="G804">
        <v>594.89</v>
      </c>
      <c r="H804">
        <v>594.89</v>
      </c>
      <c r="I804" t="s">
        <v>263</v>
      </c>
      <c r="J804" t="s">
        <v>263</v>
      </c>
      <c r="L804" s="29">
        <v>8840000</v>
      </c>
      <c r="N804" s="29">
        <v>8840000</v>
      </c>
      <c r="O804" t="s">
        <v>264</v>
      </c>
      <c r="Q804" t="s">
        <v>264</v>
      </c>
      <c r="R804" t="s">
        <v>265</v>
      </c>
      <c r="S804">
        <v>14860</v>
      </c>
      <c r="T804" t="s">
        <v>266</v>
      </c>
      <c r="U804" t="s">
        <v>267</v>
      </c>
      <c r="V804" t="s">
        <v>273</v>
      </c>
      <c r="W804" t="s">
        <v>274</v>
      </c>
      <c r="X804">
        <v>1934467</v>
      </c>
      <c r="Y804" s="6">
        <v>44796</v>
      </c>
      <c r="Z804" t="s">
        <v>264</v>
      </c>
      <c r="AA804">
        <v>1</v>
      </c>
      <c r="AB804" t="s">
        <v>264</v>
      </c>
      <c r="AD804" t="s">
        <v>264</v>
      </c>
      <c r="AE804" t="s">
        <v>264</v>
      </c>
      <c r="AF804" t="s">
        <v>264</v>
      </c>
      <c r="AG804">
        <v>1</v>
      </c>
      <c r="AH804" t="s">
        <v>264</v>
      </c>
      <c r="AI804">
        <v>57142915</v>
      </c>
      <c r="AJ804" t="s">
        <v>784</v>
      </c>
      <c r="AL804" t="s">
        <v>788</v>
      </c>
      <c r="AM804" s="6">
        <v>44785</v>
      </c>
      <c r="AN804" t="s">
        <v>533</v>
      </c>
      <c r="AO804" t="s">
        <v>268</v>
      </c>
      <c r="AP804">
        <v>1201</v>
      </c>
      <c r="AQ804" t="s">
        <v>269</v>
      </c>
      <c r="AR804" t="s">
        <v>789</v>
      </c>
      <c r="AU804" t="s">
        <v>264</v>
      </c>
      <c r="AV804" t="s">
        <v>270</v>
      </c>
      <c r="AX804">
        <v>22002820</v>
      </c>
      <c r="AY804">
        <v>720500</v>
      </c>
      <c r="AZ804">
        <v>1201.7204999999999</v>
      </c>
      <c r="BA804" s="28" t="s">
        <v>51</v>
      </c>
    </row>
    <row r="805" spans="1:53">
      <c r="A805" t="s">
        <v>271</v>
      </c>
      <c r="B805" t="s">
        <v>272</v>
      </c>
      <c r="C805">
        <v>22011507</v>
      </c>
      <c r="D805">
        <v>1201</v>
      </c>
      <c r="E805" s="6">
        <v>44796</v>
      </c>
      <c r="F805" t="s">
        <v>784</v>
      </c>
      <c r="G805">
        <v>55.32</v>
      </c>
      <c r="H805">
        <v>55.32</v>
      </c>
      <c r="I805" t="s">
        <v>263</v>
      </c>
      <c r="J805" t="s">
        <v>263</v>
      </c>
      <c r="L805" s="29">
        <v>822000</v>
      </c>
      <c r="N805" s="29">
        <v>822000</v>
      </c>
      <c r="O805" t="s">
        <v>264</v>
      </c>
      <c r="Q805" t="s">
        <v>264</v>
      </c>
      <c r="R805" t="s">
        <v>265</v>
      </c>
      <c r="S805">
        <v>14860</v>
      </c>
      <c r="T805" t="s">
        <v>266</v>
      </c>
      <c r="U805" t="s">
        <v>267</v>
      </c>
      <c r="V805" t="s">
        <v>273</v>
      </c>
      <c r="W805" t="s">
        <v>274</v>
      </c>
      <c r="X805">
        <v>1934467</v>
      </c>
      <c r="Y805" s="6">
        <v>44796</v>
      </c>
      <c r="Z805" t="s">
        <v>264</v>
      </c>
      <c r="AA805">
        <v>1</v>
      </c>
      <c r="AB805" t="s">
        <v>264</v>
      </c>
      <c r="AD805" t="s">
        <v>264</v>
      </c>
      <c r="AE805" t="s">
        <v>264</v>
      </c>
      <c r="AF805" t="s">
        <v>264</v>
      </c>
      <c r="AG805">
        <v>1</v>
      </c>
      <c r="AH805" t="s">
        <v>264</v>
      </c>
      <c r="AI805">
        <v>57142915</v>
      </c>
      <c r="AJ805" t="s">
        <v>784</v>
      </c>
      <c r="AL805" t="s">
        <v>790</v>
      </c>
      <c r="AM805" s="6">
        <v>44785</v>
      </c>
      <c r="AN805" t="s">
        <v>533</v>
      </c>
      <c r="AO805" t="s">
        <v>268</v>
      </c>
      <c r="AP805">
        <v>1201</v>
      </c>
      <c r="AQ805" t="s">
        <v>269</v>
      </c>
      <c r="AR805" t="s">
        <v>789</v>
      </c>
      <c r="AU805" t="s">
        <v>264</v>
      </c>
      <c r="AV805" t="s">
        <v>270</v>
      </c>
      <c r="AX805">
        <v>22002820</v>
      </c>
      <c r="AY805">
        <v>720500</v>
      </c>
      <c r="AZ805">
        <v>1201.7204999999999</v>
      </c>
      <c r="BA805" s="28" t="s">
        <v>51</v>
      </c>
    </row>
    <row r="806" spans="1:53">
      <c r="A806" t="s">
        <v>271</v>
      </c>
      <c r="B806" t="s">
        <v>272</v>
      </c>
      <c r="C806">
        <v>22011508</v>
      </c>
      <c r="D806">
        <v>1201</v>
      </c>
      <c r="E806" s="6">
        <v>44796</v>
      </c>
      <c r="F806" t="s">
        <v>759</v>
      </c>
      <c r="G806">
        <v>40.15</v>
      </c>
      <c r="H806">
        <v>40.15</v>
      </c>
      <c r="I806" t="s">
        <v>263</v>
      </c>
      <c r="J806" t="s">
        <v>263</v>
      </c>
      <c r="L806" s="29">
        <v>596656</v>
      </c>
      <c r="N806" s="29">
        <v>596656</v>
      </c>
      <c r="O806" t="s">
        <v>264</v>
      </c>
      <c r="Q806" t="s">
        <v>264</v>
      </c>
      <c r="R806" t="s">
        <v>265</v>
      </c>
      <c r="S806">
        <v>14860</v>
      </c>
      <c r="T806" t="s">
        <v>266</v>
      </c>
      <c r="U806" t="s">
        <v>267</v>
      </c>
      <c r="V806" t="s">
        <v>273</v>
      </c>
      <c r="W806" t="s">
        <v>274</v>
      </c>
      <c r="X806">
        <v>1934467</v>
      </c>
      <c r="Y806" s="6">
        <v>44796</v>
      </c>
      <c r="Z806" t="s">
        <v>264</v>
      </c>
      <c r="AA806">
        <v>1</v>
      </c>
      <c r="AB806" t="s">
        <v>264</v>
      </c>
      <c r="AD806" t="s">
        <v>264</v>
      </c>
      <c r="AE806" t="s">
        <v>264</v>
      </c>
      <c r="AF806" t="s">
        <v>264</v>
      </c>
      <c r="AG806">
        <v>1</v>
      </c>
      <c r="AH806" t="s">
        <v>264</v>
      </c>
      <c r="AI806">
        <v>55322912</v>
      </c>
      <c r="AJ806" t="s">
        <v>759</v>
      </c>
      <c r="AL806" t="s">
        <v>791</v>
      </c>
      <c r="AM806" s="6">
        <v>44785</v>
      </c>
      <c r="AN806" t="s">
        <v>533</v>
      </c>
      <c r="AO806" t="s">
        <v>268</v>
      </c>
      <c r="AP806">
        <v>1201</v>
      </c>
      <c r="AQ806" t="s">
        <v>269</v>
      </c>
      <c r="AR806" t="s">
        <v>789</v>
      </c>
      <c r="AU806" t="s">
        <v>264</v>
      </c>
      <c r="AV806" t="s">
        <v>270</v>
      </c>
      <c r="AX806">
        <v>22002821</v>
      </c>
      <c r="AY806">
        <v>720500</v>
      </c>
      <c r="AZ806">
        <v>1201.7204999999999</v>
      </c>
      <c r="BA806" s="28" t="s">
        <v>51</v>
      </c>
    </row>
    <row r="807" spans="1:53">
      <c r="A807" t="s">
        <v>271</v>
      </c>
      <c r="B807" t="s">
        <v>272</v>
      </c>
      <c r="C807">
        <v>22010822</v>
      </c>
      <c r="D807">
        <v>1201</v>
      </c>
      <c r="E807" s="6">
        <v>44781</v>
      </c>
      <c r="F807" t="s">
        <v>792</v>
      </c>
      <c r="G807" s="29">
        <v>10693.9</v>
      </c>
      <c r="H807" s="29">
        <v>10693.9</v>
      </c>
      <c r="I807" t="s">
        <v>263</v>
      </c>
      <c r="O807" t="s">
        <v>264</v>
      </c>
      <c r="Q807" t="s">
        <v>264</v>
      </c>
      <c r="R807" t="s">
        <v>524</v>
      </c>
      <c r="T807" t="s">
        <v>266</v>
      </c>
      <c r="U807" t="s">
        <v>267</v>
      </c>
      <c r="V807" t="s">
        <v>273</v>
      </c>
      <c r="W807" t="s">
        <v>274</v>
      </c>
      <c r="X807">
        <v>1928798</v>
      </c>
      <c r="Y807" s="6">
        <v>44781</v>
      </c>
      <c r="Z807" t="s">
        <v>264</v>
      </c>
      <c r="AA807">
        <v>1</v>
      </c>
      <c r="AB807" t="s">
        <v>264</v>
      </c>
      <c r="AD807" t="s">
        <v>264</v>
      </c>
      <c r="AE807" t="s">
        <v>264</v>
      </c>
      <c r="AF807" t="s">
        <v>264</v>
      </c>
      <c r="AG807">
        <v>1</v>
      </c>
      <c r="AH807" t="s">
        <v>264</v>
      </c>
      <c r="AI807">
        <v>57342280</v>
      </c>
      <c r="AJ807" t="s">
        <v>792</v>
      </c>
      <c r="AL807" t="s">
        <v>793</v>
      </c>
      <c r="AM807" s="6">
        <v>44771</v>
      </c>
      <c r="AN807" t="s">
        <v>533</v>
      </c>
      <c r="AO807" t="s">
        <v>268</v>
      </c>
      <c r="AP807">
        <v>1201</v>
      </c>
      <c r="AQ807" t="s">
        <v>269</v>
      </c>
      <c r="AR807" t="s">
        <v>794</v>
      </c>
      <c r="AU807" t="s">
        <v>264</v>
      </c>
      <c r="AV807" t="s">
        <v>270</v>
      </c>
      <c r="AX807">
        <v>22002712</v>
      </c>
      <c r="AY807">
        <v>730200</v>
      </c>
      <c r="AZ807">
        <v>1201.7302</v>
      </c>
      <c r="BA807" s="28" t="s">
        <v>53</v>
      </c>
    </row>
    <row r="808" spans="1:53">
      <c r="A808" t="s">
        <v>271</v>
      </c>
      <c r="B808" t="s">
        <v>272</v>
      </c>
      <c r="C808">
        <v>22010695</v>
      </c>
      <c r="D808">
        <v>1201</v>
      </c>
      <c r="E808" s="6">
        <v>44775</v>
      </c>
      <c r="F808" t="s">
        <v>795</v>
      </c>
      <c r="G808">
        <v>130.38999999999999</v>
      </c>
      <c r="H808">
        <v>130.38999999999999</v>
      </c>
      <c r="I808" t="s">
        <v>263</v>
      </c>
      <c r="J808" t="s">
        <v>263</v>
      </c>
      <c r="L808" s="29">
        <v>1940400</v>
      </c>
      <c r="N808" s="29">
        <v>1940400</v>
      </c>
      <c r="O808" t="s">
        <v>264</v>
      </c>
      <c r="Q808" t="s">
        <v>264</v>
      </c>
      <c r="R808" t="s">
        <v>265</v>
      </c>
      <c r="S808">
        <v>14882</v>
      </c>
      <c r="T808" t="s">
        <v>266</v>
      </c>
      <c r="U808" t="s">
        <v>267</v>
      </c>
      <c r="V808" t="s">
        <v>273</v>
      </c>
      <c r="W808" t="s">
        <v>274</v>
      </c>
      <c r="X808">
        <v>1926551</v>
      </c>
      <c r="Y808" s="6">
        <v>44775</v>
      </c>
      <c r="Z808" t="s">
        <v>264</v>
      </c>
      <c r="AA808">
        <v>1</v>
      </c>
      <c r="AB808" t="s">
        <v>264</v>
      </c>
      <c r="AD808" t="s">
        <v>264</v>
      </c>
      <c r="AE808" t="s">
        <v>264</v>
      </c>
      <c r="AF808" t="s">
        <v>264</v>
      </c>
      <c r="AG808">
        <v>1</v>
      </c>
      <c r="AH808" t="s">
        <v>264</v>
      </c>
      <c r="AI808">
        <v>55899869</v>
      </c>
      <c r="AJ808" t="s">
        <v>795</v>
      </c>
      <c r="AL808" t="s">
        <v>796</v>
      </c>
      <c r="AM808" s="6">
        <v>44719</v>
      </c>
      <c r="AN808" t="s">
        <v>533</v>
      </c>
      <c r="AO808" t="s">
        <v>268</v>
      </c>
      <c r="AP808">
        <v>1201</v>
      </c>
      <c r="AQ808" t="s">
        <v>269</v>
      </c>
      <c r="AR808" t="s">
        <v>797</v>
      </c>
      <c r="AU808" t="s">
        <v>264</v>
      </c>
      <c r="AV808" t="s">
        <v>270</v>
      </c>
      <c r="AX808">
        <v>22002682</v>
      </c>
      <c r="AY808">
        <v>730300</v>
      </c>
      <c r="AZ808">
        <v>1201.7302999999999</v>
      </c>
      <c r="BA808" s="28" t="s">
        <v>55</v>
      </c>
    </row>
    <row r="809" spans="1:53">
      <c r="A809" t="s">
        <v>271</v>
      </c>
      <c r="B809" t="s">
        <v>272</v>
      </c>
      <c r="C809">
        <v>22010696</v>
      </c>
      <c r="D809">
        <v>1201</v>
      </c>
      <c r="E809" s="6">
        <v>44775</v>
      </c>
      <c r="F809" t="s">
        <v>795</v>
      </c>
      <c r="G809">
        <v>130.38999999999999</v>
      </c>
      <c r="H809">
        <v>130.38999999999999</v>
      </c>
      <c r="I809" t="s">
        <v>263</v>
      </c>
      <c r="J809" t="s">
        <v>263</v>
      </c>
      <c r="L809" s="29">
        <v>1940400</v>
      </c>
      <c r="N809" s="29">
        <v>1940400</v>
      </c>
      <c r="O809" t="s">
        <v>264</v>
      </c>
      <c r="Q809" t="s">
        <v>264</v>
      </c>
      <c r="R809" t="s">
        <v>265</v>
      </c>
      <c r="S809">
        <v>14882</v>
      </c>
      <c r="T809" t="s">
        <v>266</v>
      </c>
      <c r="U809" t="s">
        <v>267</v>
      </c>
      <c r="V809" t="s">
        <v>273</v>
      </c>
      <c r="W809" t="s">
        <v>274</v>
      </c>
      <c r="X809">
        <v>1926551</v>
      </c>
      <c r="Y809" s="6">
        <v>44775</v>
      </c>
      <c r="Z809" t="s">
        <v>264</v>
      </c>
      <c r="AA809">
        <v>1</v>
      </c>
      <c r="AB809" t="s">
        <v>264</v>
      </c>
      <c r="AD809" t="s">
        <v>264</v>
      </c>
      <c r="AE809" t="s">
        <v>264</v>
      </c>
      <c r="AF809" t="s">
        <v>264</v>
      </c>
      <c r="AG809">
        <v>1</v>
      </c>
      <c r="AH809" t="s">
        <v>264</v>
      </c>
      <c r="AI809">
        <v>55899869</v>
      </c>
      <c r="AJ809" t="s">
        <v>795</v>
      </c>
      <c r="AL809" t="s">
        <v>798</v>
      </c>
      <c r="AM809" s="6">
        <v>44719</v>
      </c>
      <c r="AN809" t="s">
        <v>533</v>
      </c>
      <c r="AO809" t="s">
        <v>268</v>
      </c>
      <c r="AP809">
        <v>1201</v>
      </c>
      <c r="AQ809" t="s">
        <v>269</v>
      </c>
      <c r="AR809" t="s">
        <v>797</v>
      </c>
      <c r="AU809" t="s">
        <v>264</v>
      </c>
      <c r="AV809" t="s">
        <v>270</v>
      </c>
      <c r="AX809">
        <v>22002682</v>
      </c>
      <c r="AY809">
        <v>730300</v>
      </c>
      <c r="AZ809">
        <v>1201.7302999999999</v>
      </c>
      <c r="BA809" s="28" t="s">
        <v>55</v>
      </c>
    </row>
    <row r="810" spans="1:53">
      <c r="A810" t="s">
        <v>271</v>
      </c>
      <c r="B810" t="s">
        <v>272</v>
      </c>
      <c r="C810">
        <v>22010697</v>
      </c>
      <c r="D810">
        <v>1201</v>
      </c>
      <c r="E810" s="6">
        <v>44775</v>
      </c>
      <c r="F810" t="s">
        <v>795</v>
      </c>
      <c r="G810">
        <v>153.80000000000001</v>
      </c>
      <c r="H810">
        <v>153.80000000000001</v>
      </c>
      <c r="I810" t="s">
        <v>263</v>
      </c>
      <c r="J810" t="s">
        <v>263</v>
      </c>
      <c r="L810" s="29">
        <v>2288880</v>
      </c>
      <c r="N810" s="29">
        <v>2288880</v>
      </c>
      <c r="O810" t="s">
        <v>264</v>
      </c>
      <c r="Q810" t="s">
        <v>264</v>
      </c>
      <c r="R810" t="s">
        <v>265</v>
      </c>
      <c r="S810">
        <v>14882</v>
      </c>
      <c r="T810" t="s">
        <v>266</v>
      </c>
      <c r="U810" t="s">
        <v>267</v>
      </c>
      <c r="V810" t="s">
        <v>273</v>
      </c>
      <c r="W810" t="s">
        <v>274</v>
      </c>
      <c r="X810">
        <v>1926551</v>
      </c>
      <c r="Y810" s="6">
        <v>44775</v>
      </c>
      <c r="Z810" t="s">
        <v>264</v>
      </c>
      <c r="AA810">
        <v>1</v>
      </c>
      <c r="AB810" t="s">
        <v>264</v>
      </c>
      <c r="AD810" t="s">
        <v>264</v>
      </c>
      <c r="AE810" t="s">
        <v>264</v>
      </c>
      <c r="AF810" t="s">
        <v>264</v>
      </c>
      <c r="AG810">
        <v>1</v>
      </c>
      <c r="AH810" t="s">
        <v>264</v>
      </c>
      <c r="AI810">
        <v>55899869</v>
      </c>
      <c r="AJ810" t="s">
        <v>795</v>
      </c>
      <c r="AL810" t="s">
        <v>799</v>
      </c>
      <c r="AM810" s="6">
        <v>44720</v>
      </c>
      <c r="AN810" t="s">
        <v>533</v>
      </c>
      <c r="AO810" t="s">
        <v>268</v>
      </c>
      <c r="AP810">
        <v>1201</v>
      </c>
      <c r="AQ810" t="s">
        <v>269</v>
      </c>
      <c r="AR810" t="s">
        <v>797</v>
      </c>
      <c r="AU810" t="s">
        <v>264</v>
      </c>
      <c r="AV810" t="s">
        <v>270</v>
      </c>
      <c r="AX810">
        <v>22002682</v>
      </c>
      <c r="AY810">
        <v>730300</v>
      </c>
      <c r="AZ810">
        <v>1201.7302999999999</v>
      </c>
      <c r="BA810" s="28" t="s">
        <v>55</v>
      </c>
    </row>
    <row r="811" spans="1:53">
      <c r="A811" t="s">
        <v>271</v>
      </c>
      <c r="B811" t="s">
        <v>272</v>
      </c>
      <c r="C811">
        <v>22010699</v>
      </c>
      <c r="D811">
        <v>1201</v>
      </c>
      <c r="E811" s="6">
        <v>44775</v>
      </c>
      <c r="F811" t="s">
        <v>795</v>
      </c>
      <c r="G811">
        <v>153.80000000000001</v>
      </c>
      <c r="H811">
        <v>153.80000000000001</v>
      </c>
      <c r="I811" t="s">
        <v>263</v>
      </c>
      <c r="J811" t="s">
        <v>263</v>
      </c>
      <c r="L811" s="29">
        <v>2288880</v>
      </c>
      <c r="N811" s="29">
        <v>2288880</v>
      </c>
      <c r="O811" t="s">
        <v>264</v>
      </c>
      <c r="Q811" t="s">
        <v>264</v>
      </c>
      <c r="R811" t="s">
        <v>265</v>
      </c>
      <c r="S811">
        <v>14882</v>
      </c>
      <c r="T811" t="s">
        <v>266</v>
      </c>
      <c r="U811" t="s">
        <v>267</v>
      </c>
      <c r="V811" t="s">
        <v>273</v>
      </c>
      <c r="W811" t="s">
        <v>274</v>
      </c>
      <c r="X811">
        <v>1926551</v>
      </c>
      <c r="Y811" s="6">
        <v>44775</v>
      </c>
      <c r="Z811" t="s">
        <v>264</v>
      </c>
      <c r="AA811">
        <v>1</v>
      </c>
      <c r="AB811" t="s">
        <v>264</v>
      </c>
      <c r="AD811" t="s">
        <v>264</v>
      </c>
      <c r="AE811" t="s">
        <v>264</v>
      </c>
      <c r="AF811" t="s">
        <v>264</v>
      </c>
      <c r="AG811">
        <v>1</v>
      </c>
      <c r="AH811" t="s">
        <v>264</v>
      </c>
      <c r="AI811">
        <v>55899869</v>
      </c>
      <c r="AJ811" t="s">
        <v>795</v>
      </c>
      <c r="AL811" t="s">
        <v>800</v>
      </c>
      <c r="AM811" s="6">
        <v>44719</v>
      </c>
      <c r="AN811" t="s">
        <v>533</v>
      </c>
      <c r="AO811" t="s">
        <v>268</v>
      </c>
      <c r="AP811">
        <v>1201</v>
      </c>
      <c r="AQ811" t="s">
        <v>269</v>
      </c>
      <c r="AR811" t="s">
        <v>797</v>
      </c>
      <c r="AU811" t="s">
        <v>264</v>
      </c>
      <c r="AV811" t="s">
        <v>270</v>
      </c>
      <c r="AX811">
        <v>22002682</v>
      </c>
      <c r="AY811">
        <v>730300</v>
      </c>
      <c r="AZ811">
        <v>1201.7302999999999</v>
      </c>
      <c r="BA811" s="28" t="s">
        <v>55</v>
      </c>
    </row>
    <row r="812" spans="1:53">
      <c r="A812" t="s">
        <v>271</v>
      </c>
      <c r="B812" t="s">
        <v>272</v>
      </c>
      <c r="C812">
        <v>22010700</v>
      </c>
      <c r="D812">
        <v>1201</v>
      </c>
      <c r="E812" s="6">
        <v>44775</v>
      </c>
      <c r="F812" t="s">
        <v>795</v>
      </c>
      <c r="G812">
        <v>153.80000000000001</v>
      </c>
      <c r="H812">
        <v>153.80000000000001</v>
      </c>
      <c r="I812" t="s">
        <v>263</v>
      </c>
      <c r="J812" t="s">
        <v>263</v>
      </c>
      <c r="L812" s="29">
        <v>2288880</v>
      </c>
      <c r="N812" s="29">
        <v>2288880</v>
      </c>
      <c r="O812" t="s">
        <v>264</v>
      </c>
      <c r="Q812" t="s">
        <v>264</v>
      </c>
      <c r="R812" t="s">
        <v>265</v>
      </c>
      <c r="S812">
        <v>14882</v>
      </c>
      <c r="T812" t="s">
        <v>266</v>
      </c>
      <c r="U812" t="s">
        <v>267</v>
      </c>
      <c r="V812" t="s">
        <v>273</v>
      </c>
      <c r="W812" t="s">
        <v>274</v>
      </c>
      <c r="X812">
        <v>1926551</v>
      </c>
      <c r="Y812" s="6">
        <v>44775</v>
      </c>
      <c r="Z812" t="s">
        <v>264</v>
      </c>
      <c r="AA812">
        <v>1</v>
      </c>
      <c r="AB812" t="s">
        <v>264</v>
      </c>
      <c r="AD812" t="s">
        <v>264</v>
      </c>
      <c r="AE812" t="s">
        <v>264</v>
      </c>
      <c r="AF812" t="s">
        <v>264</v>
      </c>
      <c r="AG812">
        <v>1</v>
      </c>
      <c r="AH812" t="s">
        <v>264</v>
      </c>
      <c r="AI812">
        <v>55899869</v>
      </c>
      <c r="AJ812" t="s">
        <v>795</v>
      </c>
      <c r="AL812" t="s">
        <v>801</v>
      </c>
      <c r="AM812" s="6">
        <v>44718</v>
      </c>
      <c r="AN812" t="s">
        <v>533</v>
      </c>
      <c r="AO812" t="s">
        <v>268</v>
      </c>
      <c r="AP812">
        <v>1201</v>
      </c>
      <c r="AQ812" t="s">
        <v>269</v>
      </c>
      <c r="AR812" t="s">
        <v>797</v>
      </c>
      <c r="AU812" t="s">
        <v>264</v>
      </c>
      <c r="AV812" t="s">
        <v>270</v>
      </c>
      <c r="AX812">
        <v>22002682</v>
      </c>
      <c r="AY812">
        <v>730300</v>
      </c>
      <c r="AZ812">
        <v>1201.7302999999999</v>
      </c>
      <c r="BA812" s="28" t="s">
        <v>55</v>
      </c>
    </row>
    <row r="813" spans="1:53">
      <c r="A813" t="s">
        <v>271</v>
      </c>
      <c r="B813" t="s">
        <v>272</v>
      </c>
      <c r="C813">
        <v>22010701</v>
      </c>
      <c r="D813">
        <v>1201</v>
      </c>
      <c r="E813" s="6">
        <v>44775</v>
      </c>
      <c r="F813" t="s">
        <v>795</v>
      </c>
      <c r="G813">
        <v>153.80000000000001</v>
      </c>
      <c r="H813">
        <v>153.80000000000001</v>
      </c>
      <c r="I813" t="s">
        <v>263</v>
      </c>
      <c r="J813" t="s">
        <v>263</v>
      </c>
      <c r="L813" s="29">
        <v>2288880</v>
      </c>
      <c r="N813" s="29">
        <v>2288880</v>
      </c>
      <c r="O813" t="s">
        <v>264</v>
      </c>
      <c r="Q813" t="s">
        <v>264</v>
      </c>
      <c r="R813" t="s">
        <v>265</v>
      </c>
      <c r="S813">
        <v>14882</v>
      </c>
      <c r="T813" t="s">
        <v>266</v>
      </c>
      <c r="U813" t="s">
        <v>267</v>
      </c>
      <c r="V813" t="s">
        <v>273</v>
      </c>
      <c r="W813" t="s">
        <v>274</v>
      </c>
      <c r="X813">
        <v>1926551</v>
      </c>
      <c r="Y813" s="6">
        <v>44775</v>
      </c>
      <c r="Z813" t="s">
        <v>264</v>
      </c>
      <c r="AA813">
        <v>1</v>
      </c>
      <c r="AB813" t="s">
        <v>264</v>
      </c>
      <c r="AD813" t="s">
        <v>264</v>
      </c>
      <c r="AE813" t="s">
        <v>264</v>
      </c>
      <c r="AF813" t="s">
        <v>264</v>
      </c>
      <c r="AG813">
        <v>1</v>
      </c>
      <c r="AH813" t="s">
        <v>264</v>
      </c>
      <c r="AI813">
        <v>55899869</v>
      </c>
      <c r="AJ813" t="s">
        <v>795</v>
      </c>
      <c r="AL813" t="s">
        <v>802</v>
      </c>
      <c r="AM813" s="6">
        <v>44720</v>
      </c>
      <c r="AN813" t="s">
        <v>533</v>
      </c>
      <c r="AO813" t="s">
        <v>268</v>
      </c>
      <c r="AP813">
        <v>1201</v>
      </c>
      <c r="AQ813" t="s">
        <v>269</v>
      </c>
      <c r="AR813" t="s">
        <v>797</v>
      </c>
      <c r="AU813" t="s">
        <v>264</v>
      </c>
      <c r="AV813" t="s">
        <v>270</v>
      </c>
      <c r="AX813">
        <v>22002682</v>
      </c>
      <c r="AY813">
        <v>730300</v>
      </c>
      <c r="AZ813">
        <v>1201.7302999999999</v>
      </c>
      <c r="BA813" s="28" t="s">
        <v>55</v>
      </c>
    </row>
    <row r="814" spans="1:53">
      <c r="A814" t="s">
        <v>271</v>
      </c>
      <c r="B814" t="s">
        <v>272</v>
      </c>
      <c r="C814">
        <v>22010703</v>
      </c>
      <c r="D814">
        <v>1201</v>
      </c>
      <c r="E814" s="6">
        <v>44775</v>
      </c>
      <c r="F814" t="s">
        <v>795</v>
      </c>
      <c r="G814">
        <v>168.7</v>
      </c>
      <c r="H814">
        <v>168.7</v>
      </c>
      <c r="I814" t="s">
        <v>263</v>
      </c>
      <c r="J814" t="s">
        <v>263</v>
      </c>
      <c r="L814" s="29">
        <v>2510640</v>
      </c>
      <c r="N814" s="29">
        <v>2510640</v>
      </c>
      <c r="O814" t="s">
        <v>264</v>
      </c>
      <c r="Q814" t="s">
        <v>264</v>
      </c>
      <c r="R814" t="s">
        <v>265</v>
      </c>
      <c r="S814">
        <v>14882</v>
      </c>
      <c r="T814" t="s">
        <v>266</v>
      </c>
      <c r="U814" t="s">
        <v>267</v>
      </c>
      <c r="V814" t="s">
        <v>273</v>
      </c>
      <c r="W814" t="s">
        <v>274</v>
      </c>
      <c r="X814">
        <v>1926551</v>
      </c>
      <c r="Y814" s="6">
        <v>44775</v>
      </c>
      <c r="Z814" t="s">
        <v>264</v>
      </c>
      <c r="AA814">
        <v>1</v>
      </c>
      <c r="AB814" t="s">
        <v>264</v>
      </c>
      <c r="AD814" t="s">
        <v>264</v>
      </c>
      <c r="AE814" t="s">
        <v>264</v>
      </c>
      <c r="AF814" t="s">
        <v>264</v>
      </c>
      <c r="AG814">
        <v>1</v>
      </c>
      <c r="AH814" t="s">
        <v>264</v>
      </c>
      <c r="AI814">
        <v>55899869</v>
      </c>
      <c r="AJ814" t="s">
        <v>795</v>
      </c>
      <c r="AL814" t="s">
        <v>803</v>
      </c>
      <c r="AM814" s="6">
        <v>44720</v>
      </c>
      <c r="AN814" t="s">
        <v>533</v>
      </c>
      <c r="AO814" t="s">
        <v>268</v>
      </c>
      <c r="AP814">
        <v>1201</v>
      </c>
      <c r="AQ814" t="s">
        <v>269</v>
      </c>
      <c r="AR814" t="s">
        <v>797</v>
      </c>
      <c r="AU814" t="s">
        <v>264</v>
      </c>
      <c r="AV814" t="s">
        <v>270</v>
      </c>
      <c r="AX814">
        <v>22002682</v>
      </c>
      <c r="AY814">
        <v>730300</v>
      </c>
      <c r="AZ814">
        <v>1201.7302999999999</v>
      </c>
      <c r="BA814" s="28" t="s">
        <v>55</v>
      </c>
    </row>
    <row r="815" spans="1:53">
      <c r="A815" t="s">
        <v>271</v>
      </c>
      <c r="B815" t="s">
        <v>272</v>
      </c>
      <c r="C815">
        <v>22011259</v>
      </c>
      <c r="D815">
        <v>1201</v>
      </c>
      <c r="E815" s="6">
        <v>44788</v>
      </c>
      <c r="F815" t="s">
        <v>804</v>
      </c>
      <c r="G815">
        <v>39.14</v>
      </c>
      <c r="H815">
        <v>39.14</v>
      </c>
      <c r="I815" t="s">
        <v>263</v>
      </c>
      <c r="J815" t="s">
        <v>263</v>
      </c>
      <c r="L815" s="29">
        <v>581594</v>
      </c>
      <c r="N815" s="29">
        <v>581594</v>
      </c>
      <c r="O815" t="s">
        <v>264</v>
      </c>
      <c r="Q815" t="s">
        <v>264</v>
      </c>
      <c r="R815" t="s">
        <v>265</v>
      </c>
      <c r="S815">
        <v>14860</v>
      </c>
      <c r="T815" t="s">
        <v>266</v>
      </c>
      <c r="U815" t="s">
        <v>267</v>
      </c>
      <c r="V815" t="s">
        <v>273</v>
      </c>
      <c r="W815" t="s">
        <v>274</v>
      </c>
      <c r="X815">
        <v>1931722</v>
      </c>
      <c r="Y815" s="6">
        <v>44788</v>
      </c>
      <c r="Z815" t="s">
        <v>264</v>
      </c>
      <c r="AA815">
        <v>1</v>
      </c>
      <c r="AB815" t="s">
        <v>264</v>
      </c>
      <c r="AD815" t="s">
        <v>264</v>
      </c>
      <c r="AE815" t="s">
        <v>264</v>
      </c>
      <c r="AF815" t="s">
        <v>264</v>
      </c>
      <c r="AG815">
        <v>1</v>
      </c>
      <c r="AH815" t="s">
        <v>264</v>
      </c>
      <c r="AI815">
        <v>55489341</v>
      </c>
      <c r="AJ815" t="s">
        <v>804</v>
      </c>
      <c r="AL815">
        <v>12200631588641</v>
      </c>
      <c r="AM815" s="6">
        <v>44762</v>
      </c>
      <c r="AN815" t="s">
        <v>533</v>
      </c>
      <c r="AO815" t="s">
        <v>268</v>
      </c>
      <c r="AP815">
        <v>1201</v>
      </c>
      <c r="AQ815" t="s">
        <v>269</v>
      </c>
      <c r="AR815" t="s">
        <v>581</v>
      </c>
      <c r="AU815" t="s">
        <v>264</v>
      </c>
      <c r="AV815" t="s">
        <v>270</v>
      </c>
      <c r="AX815">
        <v>22002715</v>
      </c>
      <c r="AY815">
        <v>730300</v>
      </c>
      <c r="AZ815">
        <v>1201.7302999999999</v>
      </c>
      <c r="BA815" s="28" t="s">
        <v>55</v>
      </c>
    </row>
    <row r="816" spans="1:53">
      <c r="A816" t="s">
        <v>271</v>
      </c>
      <c r="B816" t="s">
        <v>272</v>
      </c>
      <c r="C816">
        <v>22011517</v>
      </c>
      <c r="D816">
        <v>1201</v>
      </c>
      <c r="E816" s="6">
        <v>44796</v>
      </c>
      <c r="F816" t="s">
        <v>795</v>
      </c>
      <c r="G816">
        <v>68.09</v>
      </c>
      <c r="H816">
        <v>68.09</v>
      </c>
      <c r="I816" t="s">
        <v>263</v>
      </c>
      <c r="J816" t="s">
        <v>263</v>
      </c>
      <c r="L816" s="29">
        <v>1011850</v>
      </c>
      <c r="N816" s="29">
        <v>1011850</v>
      </c>
      <c r="O816" t="s">
        <v>264</v>
      </c>
      <c r="Q816" t="s">
        <v>264</v>
      </c>
      <c r="R816" t="s">
        <v>265</v>
      </c>
      <c r="S816">
        <v>14860</v>
      </c>
      <c r="T816" t="s">
        <v>266</v>
      </c>
      <c r="U816" t="s">
        <v>267</v>
      </c>
      <c r="V816" t="s">
        <v>273</v>
      </c>
      <c r="W816" t="s">
        <v>274</v>
      </c>
      <c r="X816">
        <v>1934560</v>
      </c>
      <c r="Y816" s="6">
        <v>44796</v>
      </c>
      <c r="Z816" t="s">
        <v>264</v>
      </c>
      <c r="AA816">
        <v>1</v>
      </c>
      <c r="AB816" t="s">
        <v>264</v>
      </c>
      <c r="AD816" t="s">
        <v>264</v>
      </c>
      <c r="AE816" t="s">
        <v>264</v>
      </c>
      <c r="AF816" t="s">
        <v>264</v>
      </c>
      <c r="AG816">
        <v>1</v>
      </c>
      <c r="AH816" t="s">
        <v>264</v>
      </c>
      <c r="AI816">
        <v>55899869</v>
      </c>
      <c r="AJ816" t="s">
        <v>795</v>
      </c>
      <c r="AL816" t="s">
        <v>805</v>
      </c>
      <c r="AM816" s="6">
        <v>44764</v>
      </c>
      <c r="AN816" t="s">
        <v>533</v>
      </c>
      <c r="AO816" t="s">
        <v>268</v>
      </c>
      <c r="AP816">
        <v>1201</v>
      </c>
      <c r="AQ816" t="s">
        <v>269</v>
      </c>
      <c r="AR816" t="s">
        <v>806</v>
      </c>
      <c r="AU816" t="s">
        <v>264</v>
      </c>
      <c r="AV816" t="s">
        <v>270</v>
      </c>
      <c r="AX816">
        <v>22002832</v>
      </c>
      <c r="AY816">
        <v>730300</v>
      </c>
      <c r="AZ816">
        <v>1201.7302999999999</v>
      </c>
      <c r="BA816" s="28" t="s">
        <v>55</v>
      </c>
    </row>
    <row r="817" spans="1:53">
      <c r="A817" t="s">
        <v>271</v>
      </c>
      <c r="B817" t="s">
        <v>272</v>
      </c>
      <c r="C817">
        <v>22011518</v>
      </c>
      <c r="D817">
        <v>1201</v>
      </c>
      <c r="E817" s="6">
        <v>44796</v>
      </c>
      <c r="F817" t="s">
        <v>795</v>
      </c>
      <c r="G817">
        <v>83.66</v>
      </c>
      <c r="H817">
        <v>83.66</v>
      </c>
      <c r="I817" t="s">
        <v>263</v>
      </c>
      <c r="J817" t="s">
        <v>263</v>
      </c>
      <c r="L817" s="29">
        <v>1243130</v>
      </c>
      <c r="N817" s="29">
        <v>1243130</v>
      </c>
      <c r="O817" t="s">
        <v>264</v>
      </c>
      <c r="Q817" t="s">
        <v>264</v>
      </c>
      <c r="R817" t="s">
        <v>265</v>
      </c>
      <c r="S817">
        <v>14860</v>
      </c>
      <c r="T817" t="s">
        <v>266</v>
      </c>
      <c r="U817" t="s">
        <v>267</v>
      </c>
      <c r="V817" t="s">
        <v>273</v>
      </c>
      <c r="W817" t="s">
        <v>274</v>
      </c>
      <c r="X817">
        <v>1934560</v>
      </c>
      <c r="Y817" s="6">
        <v>44796</v>
      </c>
      <c r="Z817" t="s">
        <v>264</v>
      </c>
      <c r="AA817">
        <v>1</v>
      </c>
      <c r="AB817" t="s">
        <v>264</v>
      </c>
      <c r="AD817" t="s">
        <v>264</v>
      </c>
      <c r="AE817" t="s">
        <v>264</v>
      </c>
      <c r="AF817" t="s">
        <v>264</v>
      </c>
      <c r="AG817">
        <v>1</v>
      </c>
      <c r="AH817" t="s">
        <v>264</v>
      </c>
      <c r="AI817">
        <v>55899869</v>
      </c>
      <c r="AJ817" t="s">
        <v>795</v>
      </c>
      <c r="AL817" t="s">
        <v>807</v>
      </c>
      <c r="AM817" s="6">
        <v>44750</v>
      </c>
      <c r="AN817" t="s">
        <v>533</v>
      </c>
      <c r="AO817" t="s">
        <v>268</v>
      </c>
      <c r="AP817">
        <v>1201</v>
      </c>
      <c r="AQ817" t="s">
        <v>269</v>
      </c>
      <c r="AR817" t="s">
        <v>806</v>
      </c>
      <c r="AU817" t="s">
        <v>264</v>
      </c>
      <c r="AV817" t="s">
        <v>270</v>
      </c>
      <c r="AX817">
        <v>22002832</v>
      </c>
      <c r="AY817">
        <v>730300</v>
      </c>
      <c r="AZ817">
        <v>1201.7302999999999</v>
      </c>
      <c r="BA817" s="28" t="s">
        <v>55</v>
      </c>
    </row>
    <row r="818" spans="1:53">
      <c r="A818" t="s">
        <v>271</v>
      </c>
      <c r="B818" t="s">
        <v>272</v>
      </c>
      <c r="C818">
        <v>22011519</v>
      </c>
      <c r="D818">
        <v>1201</v>
      </c>
      <c r="E818" s="6">
        <v>44796</v>
      </c>
      <c r="F818" t="s">
        <v>795</v>
      </c>
      <c r="G818">
        <v>43.77</v>
      </c>
      <c r="H818">
        <v>43.77</v>
      </c>
      <c r="I818" t="s">
        <v>263</v>
      </c>
      <c r="J818" t="s">
        <v>263</v>
      </c>
      <c r="L818" s="29">
        <v>650475</v>
      </c>
      <c r="N818" s="29">
        <v>650475</v>
      </c>
      <c r="O818" t="s">
        <v>264</v>
      </c>
      <c r="Q818" t="s">
        <v>264</v>
      </c>
      <c r="R818" t="s">
        <v>265</v>
      </c>
      <c r="S818">
        <v>14860</v>
      </c>
      <c r="T818" t="s">
        <v>266</v>
      </c>
      <c r="U818" t="s">
        <v>267</v>
      </c>
      <c r="V818" t="s">
        <v>273</v>
      </c>
      <c r="W818" t="s">
        <v>274</v>
      </c>
      <c r="X818">
        <v>1934560</v>
      </c>
      <c r="Y818" s="6">
        <v>44796</v>
      </c>
      <c r="Z818" t="s">
        <v>264</v>
      </c>
      <c r="AA818">
        <v>1</v>
      </c>
      <c r="AB818" t="s">
        <v>264</v>
      </c>
      <c r="AD818" t="s">
        <v>264</v>
      </c>
      <c r="AE818" t="s">
        <v>264</v>
      </c>
      <c r="AF818" t="s">
        <v>264</v>
      </c>
      <c r="AG818">
        <v>1</v>
      </c>
      <c r="AH818" t="s">
        <v>264</v>
      </c>
      <c r="AI818">
        <v>55899869</v>
      </c>
      <c r="AJ818" t="s">
        <v>795</v>
      </c>
      <c r="AL818" t="s">
        <v>808</v>
      </c>
      <c r="AM818" s="6">
        <v>44749</v>
      </c>
      <c r="AN818" t="s">
        <v>533</v>
      </c>
      <c r="AO818" t="s">
        <v>268</v>
      </c>
      <c r="AP818">
        <v>1201</v>
      </c>
      <c r="AQ818" t="s">
        <v>269</v>
      </c>
      <c r="AR818" t="s">
        <v>806</v>
      </c>
      <c r="AU818" t="s">
        <v>264</v>
      </c>
      <c r="AV818" t="s">
        <v>270</v>
      </c>
      <c r="AX818">
        <v>22002832</v>
      </c>
      <c r="AY818">
        <v>730300</v>
      </c>
      <c r="AZ818">
        <v>1201.7302999999999</v>
      </c>
      <c r="BA818" s="28" t="s">
        <v>55</v>
      </c>
    </row>
    <row r="819" spans="1:53">
      <c r="A819" t="s">
        <v>384</v>
      </c>
      <c r="B819" t="s">
        <v>385</v>
      </c>
      <c r="C819">
        <v>22001594</v>
      </c>
      <c r="D819">
        <v>1201</v>
      </c>
      <c r="E819" s="6">
        <v>44802</v>
      </c>
      <c r="F819" t="s">
        <v>58</v>
      </c>
      <c r="G819">
        <v>997.98</v>
      </c>
      <c r="H819">
        <v>997.98</v>
      </c>
      <c r="I819" t="s">
        <v>263</v>
      </c>
      <c r="J819" t="s">
        <v>263</v>
      </c>
      <c r="L819" s="29">
        <v>14830000</v>
      </c>
      <c r="N819" s="29">
        <v>14830000</v>
      </c>
      <c r="O819" t="s">
        <v>264</v>
      </c>
      <c r="Q819" t="s">
        <v>264</v>
      </c>
      <c r="R819" t="s">
        <v>265</v>
      </c>
      <c r="S819">
        <v>14860</v>
      </c>
      <c r="T819" t="s">
        <v>266</v>
      </c>
      <c r="U819" t="s">
        <v>267</v>
      </c>
      <c r="V819" t="s">
        <v>386</v>
      </c>
      <c r="W819" t="s">
        <v>387</v>
      </c>
      <c r="X819">
        <v>1935899</v>
      </c>
      <c r="Y819" s="6">
        <v>44802</v>
      </c>
      <c r="Z819" t="s">
        <v>264</v>
      </c>
      <c r="AA819">
        <v>1</v>
      </c>
      <c r="AB819" t="s">
        <v>264</v>
      </c>
      <c r="AD819" t="s">
        <v>264</v>
      </c>
      <c r="AE819" t="s">
        <v>264</v>
      </c>
      <c r="AF819" t="s">
        <v>264</v>
      </c>
      <c r="AH819" t="s">
        <v>264</v>
      </c>
      <c r="AL819" t="s">
        <v>264</v>
      </c>
      <c r="AM819" s="6">
        <v>44802</v>
      </c>
      <c r="AN819" t="s">
        <v>388</v>
      </c>
      <c r="AO819" t="s">
        <v>268</v>
      </c>
      <c r="AP819">
        <v>1201</v>
      </c>
      <c r="AQ819" t="s">
        <v>269</v>
      </c>
      <c r="AR819" t="s">
        <v>1129</v>
      </c>
      <c r="AU819" t="s">
        <v>264</v>
      </c>
      <c r="AV819" t="s">
        <v>270</v>
      </c>
      <c r="AX819" t="s">
        <v>264</v>
      </c>
      <c r="AY819">
        <v>801110</v>
      </c>
      <c r="AZ819">
        <v>1201.8011100000001</v>
      </c>
      <c r="BA819" s="28" t="s">
        <v>57</v>
      </c>
    </row>
    <row r="820" spans="1:53">
      <c r="A820" t="s">
        <v>390</v>
      </c>
      <c r="B820" t="s">
        <v>391</v>
      </c>
      <c r="C820">
        <v>22001961</v>
      </c>
      <c r="D820">
        <v>1201</v>
      </c>
      <c r="E820" s="6">
        <v>44803</v>
      </c>
      <c r="F820" t="s">
        <v>392</v>
      </c>
      <c r="G820" s="29">
        <v>43090.52</v>
      </c>
      <c r="H820" s="29">
        <v>43090.52</v>
      </c>
      <c r="I820" t="s">
        <v>263</v>
      </c>
      <c r="J820" t="s">
        <v>263</v>
      </c>
      <c r="L820" s="29">
        <v>640325100</v>
      </c>
      <c r="N820" s="29">
        <v>640325100</v>
      </c>
      <c r="O820" t="s">
        <v>264</v>
      </c>
      <c r="Q820" t="s">
        <v>264</v>
      </c>
      <c r="R820" t="s">
        <v>265</v>
      </c>
      <c r="S820">
        <v>14860</v>
      </c>
      <c r="T820" t="s">
        <v>266</v>
      </c>
      <c r="U820" t="s">
        <v>267</v>
      </c>
      <c r="V820" t="s">
        <v>386</v>
      </c>
      <c r="W820" t="s">
        <v>387</v>
      </c>
      <c r="X820">
        <v>1935695</v>
      </c>
      <c r="Y820" s="6">
        <v>44802</v>
      </c>
      <c r="Z820" t="s">
        <v>264</v>
      </c>
      <c r="AA820">
        <v>8</v>
      </c>
      <c r="AB820" t="s">
        <v>264</v>
      </c>
      <c r="AD820" t="s">
        <v>264</v>
      </c>
      <c r="AE820" t="s">
        <v>264</v>
      </c>
      <c r="AF820" t="s">
        <v>264</v>
      </c>
      <c r="AH820" t="s">
        <v>264</v>
      </c>
      <c r="AL820" t="s">
        <v>264</v>
      </c>
      <c r="AM820" s="6">
        <v>44803</v>
      </c>
      <c r="AN820" t="s">
        <v>393</v>
      </c>
      <c r="AO820" t="s">
        <v>268</v>
      </c>
      <c r="AP820">
        <v>1201</v>
      </c>
      <c r="AQ820" t="s">
        <v>269</v>
      </c>
      <c r="AR820" t="s">
        <v>264</v>
      </c>
      <c r="AU820" t="s">
        <v>264</v>
      </c>
      <c r="AV820" t="s">
        <v>270</v>
      </c>
      <c r="AX820" t="s">
        <v>264</v>
      </c>
      <c r="AY820">
        <v>801110</v>
      </c>
      <c r="AZ820">
        <v>1201.8011100000001</v>
      </c>
      <c r="BA820" s="28" t="s">
        <v>57</v>
      </c>
    </row>
    <row r="821" spans="1:53">
      <c r="A821" t="s">
        <v>384</v>
      </c>
      <c r="B821" t="s">
        <v>385</v>
      </c>
      <c r="C821">
        <v>22001591</v>
      </c>
      <c r="D821">
        <v>1201</v>
      </c>
      <c r="E821" s="6">
        <v>44803</v>
      </c>
      <c r="F821" t="s">
        <v>395</v>
      </c>
      <c r="G821">
        <v>-18.54</v>
      </c>
      <c r="I821" t="s">
        <v>263</v>
      </c>
      <c r="J821" t="s">
        <v>263</v>
      </c>
      <c r="K821">
        <v>-18.54</v>
      </c>
      <c r="M821" s="29">
        <v>-275400</v>
      </c>
      <c r="N821" s="29">
        <v>-275400</v>
      </c>
      <c r="O821" t="s">
        <v>264</v>
      </c>
      <c r="Q821" t="s">
        <v>264</v>
      </c>
      <c r="R821" t="s">
        <v>265</v>
      </c>
      <c r="S821">
        <v>14860</v>
      </c>
      <c r="T821" t="s">
        <v>266</v>
      </c>
      <c r="U821" t="s">
        <v>267</v>
      </c>
      <c r="V821" t="s">
        <v>386</v>
      </c>
      <c r="W821" t="s">
        <v>387</v>
      </c>
      <c r="X821">
        <v>1935694</v>
      </c>
      <c r="Y821" s="6">
        <v>44802</v>
      </c>
      <c r="Z821" t="s">
        <v>264</v>
      </c>
      <c r="AA821">
        <v>25</v>
      </c>
      <c r="AB821" t="s">
        <v>264</v>
      </c>
      <c r="AD821" t="s">
        <v>264</v>
      </c>
      <c r="AE821" t="s">
        <v>264</v>
      </c>
      <c r="AF821" t="s">
        <v>264</v>
      </c>
      <c r="AH821" t="s">
        <v>264</v>
      </c>
      <c r="AL821" t="s">
        <v>264</v>
      </c>
      <c r="AM821" s="6">
        <v>44803</v>
      </c>
      <c r="AN821" t="s">
        <v>393</v>
      </c>
      <c r="AO821" t="s">
        <v>268</v>
      </c>
      <c r="AP821">
        <v>1201</v>
      </c>
      <c r="AQ821" t="s">
        <v>269</v>
      </c>
      <c r="AR821" t="s">
        <v>264</v>
      </c>
      <c r="AU821" t="s">
        <v>264</v>
      </c>
      <c r="AV821" t="s">
        <v>270</v>
      </c>
      <c r="AX821" t="s">
        <v>264</v>
      </c>
      <c r="AY821">
        <v>801110</v>
      </c>
      <c r="AZ821">
        <v>1201.8011100000001</v>
      </c>
      <c r="BA821" s="28" t="s">
        <v>57</v>
      </c>
    </row>
    <row r="822" spans="1:53">
      <c r="A822" t="s">
        <v>384</v>
      </c>
      <c r="B822" t="s">
        <v>385</v>
      </c>
      <c r="C822">
        <v>22001591</v>
      </c>
      <c r="D822">
        <v>1201</v>
      </c>
      <c r="E822" s="6">
        <v>44803</v>
      </c>
      <c r="F822" t="s">
        <v>395</v>
      </c>
      <c r="G822" s="29">
        <v>2836.5</v>
      </c>
      <c r="H822" s="29">
        <v>2836.5</v>
      </c>
      <c r="I822" t="s">
        <v>263</v>
      </c>
      <c r="J822" t="s">
        <v>263</v>
      </c>
      <c r="L822" s="29">
        <v>42150400</v>
      </c>
      <c r="N822" s="29">
        <v>42150400</v>
      </c>
      <c r="O822" t="s">
        <v>264</v>
      </c>
      <c r="Q822" t="s">
        <v>264</v>
      </c>
      <c r="R822" t="s">
        <v>265</v>
      </c>
      <c r="S822">
        <v>14860</v>
      </c>
      <c r="T822" t="s">
        <v>266</v>
      </c>
      <c r="U822" t="s">
        <v>267</v>
      </c>
      <c r="V822" t="s">
        <v>386</v>
      </c>
      <c r="W822" t="s">
        <v>387</v>
      </c>
      <c r="X822">
        <v>1935694</v>
      </c>
      <c r="Y822" s="6">
        <v>44802</v>
      </c>
      <c r="Z822" t="s">
        <v>264</v>
      </c>
      <c r="AA822">
        <v>5</v>
      </c>
      <c r="AB822" t="s">
        <v>264</v>
      </c>
      <c r="AD822" t="s">
        <v>264</v>
      </c>
      <c r="AE822" t="s">
        <v>264</v>
      </c>
      <c r="AF822" t="s">
        <v>264</v>
      </c>
      <c r="AH822" t="s">
        <v>264</v>
      </c>
      <c r="AL822" t="s">
        <v>264</v>
      </c>
      <c r="AM822" s="6">
        <v>44803</v>
      </c>
      <c r="AN822" t="s">
        <v>393</v>
      </c>
      <c r="AO822" t="s">
        <v>268</v>
      </c>
      <c r="AP822">
        <v>1201</v>
      </c>
      <c r="AQ822" t="s">
        <v>269</v>
      </c>
      <c r="AR822" t="s">
        <v>264</v>
      </c>
      <c r="AU822" t="s">
        <v>264</v>
      </c>
      <c r="AV822" t="s">
        <v>270</v>
      </c>
      <c r="AX822" t="s">
        <v>264</v>
      </c>
      <c r="AY822">
        <v>801110</v>
      </c>
      <c r="AZ822">
        <v>1201.8011100000001</v>
      </c>
      <c r="BA822" s="28" t="s">
        <v>57</v>
      </c>
    </row>
    <row r="823" spans="1:53">
      <c r="A823" t="s">
        <v>390</v>
      </c>
      <c r="B823" t="s">
        <v>391</v>
      </c>
      <c r="C823">
        <v>22001961</v>
      </c>
      <c r="D823">
        <v>1201</v>
      </c>
      <c r="E823" s="6">
        <v>44803</v>
      </c>
      <c r="F823" t="s">
        <v>392</v>
      </c>
      <c r="G823" s="29">
        <v>4671.54</v>
      </c>
      <c r="H823" s="29">
        <v>4671.54</v>
      </c>
      <c r="I823" t="s">
        <v>263</v>
      </c>
      <c r="J823" t="s">
        <v>263</v>
      </c>
      <c r="L823" s="29">
        <v>69419000</v>
      </c>
      <c r="N823" s="29">
        <v>69419000</v>
      </c>
      <c r="O823" t="s">
        <v>264</v>
      </c>
      <c r="Q823" t="s">
        <v>264</v>
      </c>
      <c r="R823" t="s">
        <v>265</v>
      </c>
      <c r="S823">
        <v>14860</v>
      </c>
      <c r="T823" t="s">
        <v>266</v>
      </c>
      <c r="U823" t="s">
        <v>267</v>
      </c>
      <c r="V823" t="s">
        <v>386</v>
      </c>
      <c r="W823" t="s">
        <v>387</v>
      </c>
      <c r="X823">
        <v>1935695</v>
      </c>
      <c r="Y823" s="6">
        <v>44802</v>
      </c>
      <c r="Z823" t="s">
        <v>264</v>
      </c>
      <c r="AA823">
        <v>6</v>
      </c>
      <c r="AB823" t="s">
        <v>264</v>
      </c>
      <c r="AD823" t="s">
        <v>264</v>
      </c>
      <c r="AE823" t="s">
        <v>264</v>
      </c>
      <c r="AF823" t="s">
        <v>264</v>
      </c>
      <c r="AH823" t="s">
        <v>264</v>
      </c>
      <c r="AL823" t="s">
        <v>264</v>
      </c>
      <c r="AM823" s="6">
        <v>44803</v>
      </c>
      <c r="AN823" t="s">
        <v>393</v>
      </c>
      <c r="AO823" t="s">
        <v>268</v>
      </c>
      <c r="AP823">
        <v>1204</v>
      </c>
      <c r="AQ823" t="s">
        <v>269</v>
      </c>
      <c r="AR823" t="s">
        <v>264</v>
      </c>
      <c r="AU823" t="s">
        <v>264</v>
      </c>
      <c r="AV823" t="s">
        <v>270</v>
      </c>
      <c r="AX823" t="s">
        <v>264</v>
      </c>
      <c r="AY823">
        <v>801110</v>
      </c>
      <c r="AZ823">
        <v>1204.8011100000001</v>
      </c>
      <c r="BA823" s="28" t="s">
        <v>181</v>
      </c>
    </row>
    <row r="824" spans="1:53">
      <c r="A824" t="s">
        <v>384</v>
      </c>
      <c r="B824" t="s">
        <v>385</v>
      </c>
      <c r="C824">
        <v>22001591</v>
      </c>
      <c r="D824">
        <v>1201</v>
      </c>
      <c r="E824" s="6">
        <v>44803</v>
      </c>
      <c r="F824" t="s">
        <v>395</v>
      </c>
      <c r="G824">
        <v>-4.18</v>
      </c>
      <c r="I824" t="s">
        <v>263</v>
      </c>
      <c r="J824" t="s">
        <v>263</v>
      </c>
      <c r="K824">
        <v>-4.18</v>
      </c>
      <c r="M824" s="29">
        <v>-62200</v>
      </c>
      <c r="N824" s="29">
        <v>-62200</v>
      </c>
      <c r="O824" t="s">
        <v>264</v>
      </c>
      <c r="Q824" t="s">
        <v>264</v>
      </c>
      <c r="R824" t="s">
        <v>265</v>
      </c>
      <c r="S824">
        <v>14860</v>
      </c>
      <c r="T824" t="s">
        <v>266</v>
      </c>
      <c r="U824" t="s">
        <v>267</v>
      </c>
      <c r="V824" t="s">
        <v>386</v>
      </c>
      <c r="W824" t="s">
        <v>387</v>
      </c>
      <c r="X824">
        <v>1935694</v>
      </c>
      <c r="Y824" s="6">
        <v>44802</v>
      </c>
      <c r="Z824" t="s">
        <v>264</v>
      </c>
      <c r="AA824">
        <v>26</v>
      </c>
      <c r="AB824" t="s">
        <v>264</v>
      </c>
      <c r="AD824" t="s">
        <v>264</v>
      </c>
      <c r="AE824" t="s">
        <v>264</v>
      </c>
      <c r="AF824" t="s">
        <v>264</v>
      </c>
      <c r="AH824" t="s">
        <v>264</v>
      </c>
      <c r="AL824" t="s">
        <v>264</v>
      </c>
      <c r="AM824" s="6">
        <v>44803</v>
      </c>
      <c r="AN824" t="s">
        <v>393</v>
      </c>
      <c r="AO824" t="s">
        <v>268</v>
      </c>
      <c r="AP824">
        <v>1204</v>
      </c>
      <c r="AQ824" t="s">
        <v>269</v>
      </c>
      <c r="AR824" t="s">
        <v>264</v>
      </c>
      <c r="AU824" t="s">
        <v>264</v>
      </c>
      <c r="AV824" t="s">
        <v>270</v>
      </c>
      <c r="AX824" t="s">
        <v>264</v>
      </c>
      <c r="AY824">
        <v>801110</v>
      </c>
      <c r="AZ824">
        <v>1204.8011100000001</v>
      </c>
      <c r="BA824" s="28" t="s">
        <v>181</v>
      </c>
    </row>
    <row r="825" spans="1:53">
      <c r="A825" t="s">
        <v>384</v>
      </c>
      <c r="B825" t="s">
        <v>385</v>
      </c>
      <c r="C825">
        <v>22001591</v>
      </c>
      <c r="D825">
        <v>1201</v>
      </c>
      <c r="E825" s="6">
        <v>44803</v>
      </c>
      <c r="F825" t="s">
        <v>395</v>
      </c>
      <c r="G825">
        <v>386.79</v>
      </c>
      <c r="H825">
        <v>386.79</v>
      </c>
      <c r="I825" t="s">
        <v>263</v>
      </c>
      <c r="J825" t="s">
        <v>263</v>
      </c>
      <c r="L825" s="29">
        <v>5747600</v>
      </c>
      <c r="N825" s="29">
        <v>5747600</v>
      </c>
      <c r="O825" t="s">
        <v>264</v>
      </c>
      <c r="Q825" t="s">
        <v>264</v>
      </c>
      <c r="R825" t="s">
        <v>265</v>
      </c>
      <c r="S825">
        <v>14860</v>
      </c>
      <c r="T825" t="s">
        <v>266</v>
      </c>
      <c r="U825" t="s">
        <v>267</v>
      </c>
      <c r="V825" t="s">
        <v>386</v>
      </c>
      <c r="W825" t="s">
        <v>387</v>
      </c>
      <c r="X825">
        <v>1935694</v>
      </c>
      <c r="Y825" s="6">
        <v>44802</v>
      </c>
      <c r="Z825" t="s">
        <v>264</v>
      </c>
      <c r="AA825">
        <v>6</v>
      </c>
      <c r="AB825" t="s">
        <v>264</v>
      </c>
      <c r="AD825" t="s">
        <v>264</v>
      </c>
      <c r="AE825" t="s">
        <v>264</v>
      </c>
      <c r="AF825" t="s">
        <v>264</v>
      </c>
      <c r="AH825" t="s">
        <v>264</v>
      </c>
      <c r="AL825" t="s">
        <v>264</v>
      </c>
      <c r="AM825" s="6">
        <v>44803</v>
      </c>
      <c r="AN825" t="s">
        <v>393</v>
      </c>
      <c r="AO825" t="s">
        <v>268</v>
      </c>
      <c r="AP825">
        <v>1204</v>
      </c>
      <c r="AQ825" t="s">
        <v>269</v>
      </c>
      <c r="AR825" t="s">
        <v>264</v>
      </c>
      <c r="AU825" t="s">
        <v>264</v>
      </c>
      <c r="AV825" t="s">
        <v>270</v>
      </c>
      <c r="AX825" t="s">
        <v>264</v>
      </c>
      <c r="AY825">
        <v>801110</v>
      </c>
      <c r="AZ825">
        <v>1204.8011100000001</v>
      </c>
      <c r="BA825" s="28" t="s">
        <v>181</v>
      </c>
    </row>
    <row r="826" spans="1:53">
      <c r="A826" t="s">
        <v>390</v>
      </c>
      <c r="B826" t="s">
        <v>391</v>
      </c>
      <c r="C826">
        <v>22001961</v>
      </c>
      <c r="D826">
        <v>1201</v>
      </c>
      <c r="E826" s="6">
        <v>44803</v>
      </c>
      <c r="F826" t="s">
        <v>392</v>
      </c>
      <c r="G826" s="29">
        <v>10010.629999999999</v>
      </c>
      <c r="H826" s="29">
        <v>10010.629999999999</v>
      </c>
      <c r="I826" t="s">
        <v>263</v>
      </c>
      <c r="J826" t="s">
        <v>263</v>
      </c>
      <c r="L826" s="29">
        <v>148758000</v>
      </c>
      <c r="N826" s="29">
        <v>148758000</v>
      </c>
      <c r="O826" t="s">
        <v>264</v>
      </c>
      <c r="Q826" t="s">
        <v>264</v>
      </c>
      <c r="R826" t="s">
        <v>265</v>
      </c>
      <c r="S826">
        <v>14860</v>
      </c>
      <c r="T826" t="s">
        <v>266</v>
      </c>
      <c r="U826" t="s">
        <v>267</v>
      </c>
      <c r="V826" t="s">
        <v>386</v>
      </c>
      <c r="W826" t="s">
        <v>387</v>
      </c>
      <c r="X826">
        <v>1935695</v>
      </c>
      <c r="Y826" s="6">
        <v>44802</v>
      </c>
      <c r="Z826" t="s">
        <v>264</v>
      </c>
      <c r="AA826">
        <v>7</v>
      </c>
      <c r="AB826" t="s">
        <v>264</v>
      </c>
      <c r="AD826" t="s">
        <v>264</v>
      </c>
      <c r="AE826" t="s">
        <v>264</v>
      </c>
      <c r="AF826" t="s">
        <v>264</v>
      </c>
      <c r="AH826" t="s">
        <v>264</v>
      </c>
      <c r="AL826" t="s">
        <v>264</v>
      </c>
      <c r="AM826" s="6">
        <v>44803</v>
      </c>
      <c r="AN826" t="s">
        <v>393</v>
      </c>
      <c r="AO826" t="s">
        <v>268</v>
      </c>
      <c r="AP826">
        <v>1205</v>
      </c>
      <c r="AQ826" t="s">
        <v>269</v>
      </c>
      <c r="AR826" t="s">
        <v>264</v>
      </c>
      <c r="AU826" t="s">
        <v>264</v>
      </c>
      <c r="AV826" t="s">
        <v>270</v>
      </c>
      <c r="AX826" t="s">
        <v>264</v>
      </c>
      <c r="AY826">
        <v>801110</v>
      </c>
      <c r="AZ826">
        <v>1205.8011100000001</v>
      </c>
      <c r="BA826" s="28" t="s">
        <v>182</v>
      </c>
    </row>
    <row r="827" spans="1:53">
      <c r="A827" t="s">
        <v>384</v>
      </c>
      <c r="B827" t="s">
        <v>385</v>
      </c>
      <c r="C827">
        <v>22001591</v>
      </c>
      <c r="D827">
        <v>1201</v>
      </c>
      <c r="E827" s="6">
        <v>44803</v>
      </c>
      <c r="F827" t="s">
        <v>395</v>
      </c>
      <c r="G827">
        <v>-54.32</v>
      </c>
      <c r="I827" t="s">
        <v>263</v>
      </c>
      <c r="J827" t="s">
        <v>263</v>
      </c>
      <c r="K827">
        <v>-54.32</v>
      </c>
      <c r="M827" s="29">
        <v>-807100</v>
      </c>
      <c r="N827" s="29">
        <v>-807100</v>
      </c>
      <c r="O827" t="s">
        <v>264</v>
      </c>
      <c r="Q827" t="s">
        <v>264</v>
      </c>
      <c r="R827" t="s">
        <v>265</v>
      </c>
      <c r="S827">
        <v>14860</v>
      </c>
      <c r="T827" t="s">
        <v>266</v>
      </c>
      <c r="U827" t="s">
        <v>267</v>
      </c>
      <c r="V827" t="s">
        <v>386</v>
      </c>
      <c r="W827" t="s">
        <v>387</v>
      </c>
      <c r="X827">
        <v>1935694</v>
      </c>
      <c r="Y827" s="6">
        <v>44802</v>
      </c>
      <c r="Z827" t="s">
        <v>264</v>
      </c>
      <c r="AA827">
        <v>27</v>
      </c>
      <c r="AB827" t="s">
        <v>264</v>
      </c>
      <c r="AD827" t="s">
        <v>264</v>
      </c>
      <c r="AE827" t="s">
        <v>264</v>
      </c>
      <c r="AF827" t="s">
        <v>264</v>
      </c>
      <c r="AH827" t="s">
        <v>264</v>
      </c>
      <c r="AL827" t="s">
        <v>264</v>
      </c>
      <c r="AM827" s="6">
        <v>44803</v>
      </c>
      <c r="AN827" t="s">
        <v>393</v>
      </c>
      <c r="AO827" t="s">
        <v>268</v>
      </c>
      <c r="AP827">
        <v>1205</v>
      </c>
      <c r="AQ827" t="s">
        <v>269</v>
      </c>
      <c r="AR827" t="s">
        <v>264</v>
      </c>
      <c r="AU827" t="s">
        <v>264</v>
      </c>
      <c r="AV827" t="s">
        <v>270</v>
      </c>
      <c r="AX827" t="s">
        <v>264</v>
      </c>
      <c r="AY827">
        <v>801110</v>
      </c>
      <c r="AZ827">
        <v>1205.8011100000001</v>
      </c>
      <c r="BA827" s="28" t="s">
        <v>182</v>
      </c>
    </row>
    <row r="828" spans="1:53">
      <c r="A828" t="s">
        <v>384</v>
      </c>
      <c r="B828" t="s">
        <v>385</v>
      </c>
      <c r="C828">
        <v>22001591</v>
      </c>
      <c r="D828">
        <v>1201</v>
      </c>
      <c r="E828" s="6">
        <v>44803</v>
      </c>
      <c r="F828" t="s">
        <v>395</v>
      </c>
      <c r="G828">
        <v>583.58000000000004</v>
      </c>
      <c r="H828">
        <v>583.58000000000004</v>
      </c>
      <c r="I828" t="s">
        <v>263</v>
      </c>
      <c r="J828" t="s">
        <v>263</v>
      </c>
      <c r="L828" s="29">
        <v>8672100</v>
      </c>
      <c r="N828" s="29">
        <v>8672100</v>
      </c>
      <c r="O828" t="s">
        <v>264</v>
      </c>
      <c r="Q828" t="s">
        <v>264</v>
      </c>
      <c r="R828" t="s">
        <v>265</v>
      </c>
      <c r="S828">
        <v>14860</v>
      </c>
      <c r="T828" t="s">
        <v>266</v>
      </c>
      <c r="U828" t="s">
        <v>267</v>
      </c>
      <c r="V828" t="s">
        <v>386</v>
      </c>
      <c r="W828" t="s">
        <v>387</v>
      </c>
      <c r="X828">
        <v>1935694</v>
      </c>
      <c r="Y828" s="6">
        <v>44802</v>
      </c>
      <c r="Z828" t="s">
        <v>264</v>
      </c>
      <c r="AA828">
        <v>7</v>
      </c>
      <c r="AB828" t="s">
        <v>264</v>
      </c>
      <c r="AD828" t="s">
        <v>264</v>
      </c>
      <c r="AE828" t="s">
        <v>264</v>
      </c>
      <c r="AF828" t="s">
        <v>264</v>
      </c>
      <c r="AH828" t="s">
        <v>264</v>
      </c>
      <c r="AL828" t="s">
        <v>264</v>
      </c>
      <c r="AM828" s="6">
        <v>44803</v>
      </c>
      <c r="AN828" t="s">
        <v>393</v>
      </c>
      <c r="AO828" t="s">
        <v>268</v>
      </c>
      <c r="AP828">
        <v>1205</v>
      </c>
      <c r="AQ828" t="s">
        <v>269</v>
      </c>
      <c r="AR828" t="s">
        <v>264</v>
      </c>
      <c r="AU828" t="s">
        <v>264</v>
      </c>
      <c r="AV828" t="s">
        <v>270</v>
      </c>
      <c r="AX828" t="s">
        <v>264</v>
      </c>
      <c r="AY828">
        <v>801110</v>
      </c>
      <c r="AZ828">
        <v>1205.8011100000001</v>
      </c>
      <c r="BA828" s="28" t="s">
        <v>182</v>
      </c>
    </row>
    <row r="829" spans="1:53">
      <c r="A829" t="s">
        <v>390</v>
      </c>
      <c r="B829" t="s">
        <v>391</v>
      </c>
      <c r="C829">
        <v>22001961</v>
      </c>
      <c r="D829">
        <v>1201</v>
      </c>
      <c r="E829" s="6">
        <v>44803</v>
      </c>
      <c r="F829" t="s">
        <v>392</v>
      </c>
      <c r="G829" s="29">
        <v>1253.55</v>
      </c>
      <c r="H829" s="29">
        <v>1253.55</v>
      </c>
      <c r="I829" t="s">
        <v>263</v>
      </c>
      <c r="J829" t="s">
        <v>263</v>
      </c>
      <c r="L829" s="29">
        <v>18627800</v>
      </c>
      <c r="N829" s="29">
        <v>18627800</v>
      </c>
      <c r="O829" t="s">
        <v>264</v>
      </c>
      <c r="Q829" t="s">
        <v>264</v>
      </c>
      <c r="R829" t="s">
        <v>265</v>
      </c>
      <c r="S829">
        <v>14860</v>
      </c>
      <c r="T829" t="s">
        <v>266</v>
      </c>
      <c r="U829" t="s">
        <v>267</v>
      </c>
      <c r="V829" t="s">
        <v>386</v>
      </c>
      <c r="W829" t="s">
        <v>387</v>
      </c>
      <c r="X829">
        <v>1935695</v>
      </c>
      <c r="Y829" s="6">
        <v>44802</v>
      </c>
      <c r="Z829" t="s">
        <v>264</v>
      </c>
      <c r="AA829">
        <v>9</v>
      </c>
      <c r="AB829" t="s">
        <v>264</v>
      </c>
      <c r="AD829" t="s">
        <v>264</v>
      </c>
      <c r="AE829" t="s">
        <v>264</v>
      </c>
      <c r="AF829" t="s">
        <v>264</v>
      </c>
      <c r="AH829" t="s">
        <v>264</v>
      </c>
      <c r="AL829" t="s">
        <v>264</v>
      </c>
      <c r="AM829" s="6">
        <v>44803</v>
      </c>
      <c r="AN829" t="s">
        <v>393</v>
      </c>
      <c r="AO829" t="s">
        <v>268</v>
      </c>
      <c r="AP829">
        <v>1206</v>
      </c>
      <c r="AQ829" t="s">
        <v>269</v>
      </c>
      <c r="AR829" t="s">
        <v>264</v>
      </c>
      <c r="AU829" t="s">
        <v>264</v>
      </c>
      <c r="AV829" t="s">
        <v>270</v>
      </c>
      <c r="AX829" t="s">
        <v>264</v>
      </c>
      <c r="AY829">
        <v>801110</v>
      </c>
      <c r="AZ829">
        <v>1206.8011100000001</v>
      </c>
      <c r="BA829" s="28" t="s">
        <v>183</v>
      </c>
    </row>
    <row r="830" spans="1:53">
      <c r="A830" t="s">
        <v>384</v>
      </c>
      <c r="B830" t="s">
        <v>385</v>
      </c>
      <c r="C830">
        <v>22001591</v>
      </c>
      <c r="D830">
        <v>1201</v>
      </c>
      <c r="E830" s="6">
        <v>44803</v>
      </c>
      <c r="F830" t="s">
        <v>395</v>
      </c>
      <c r="G830">
        <v>29.45</v>
      </c>
      <c r="H830">
        <v>29.45</v>
      </c>
      <c r="I830" t="s">
        <v>263</v>
      </c>
      <c r="J830" t="s">
        <v>263</v>
      </c>
      <c r="L830" s="29">
        <v>437600</v>
      </c>
      <c r="N830" s="29">
        <v>437600</v>
      </c>
      <c r="O830" t="s">
        <v>264</v>
      </c>
      <c r="Q830" t="s">
        <v>264</v>
      </c>
      <c r="R830" t="s">
        <v>265</v>
      </c>
      <c r="S830">
        <v>14860</v>
      </c>
      <c r="T830" t="s">
        <v>266</v>
      </c>
      <c r="U830" t="s">
        <v>267</v>
      </c>
      <c r="V830" t="s">
        <v>386</v>
      </c>
      <c r="W830" t="s">
        <v>387</v>
      </c>
      <c r="X830">
        <v>1935694</v>
      </c>
      <c r="Y830" s="6">
        <v>44802</v>
      </c>
      <c r="Z830" t="s">
        <v>264</v>
      </c>
      <c r="AA830">
        <v>8</v>
      </c>
      <c r="AB830" t="s">
        <v>264</v>
      </c>
      <c r="AD830" t="s">
        <v>264</v>
      </c>
      <c r="AE830" t="s">
        <v>264</v>
      </c>
      <c r="AF830" t="s">
        <v>264</v>
      </c>
      <c r="AH830" t="s">
        <v>264</v>
      </c>
      <c r="AL830" t="s">
        <v>264</v>
      </c>
      <c r="AM830" s="6">
        <v>44803</v>
      </c>
      <c r="AN830" t="s">
        <v>393</v>
      </c>
      <c r="AO830" t="s">
        <v>268</v>
      </c>
      <c r="AP830">
        <v>1206</v>
      </c>
      <c r="AQ830" t="s">
        <v>269</v>
      </c>
      <c r="AR830" t="s">
        <v>264</v>
      </c>
      <c r="AU830" t="s">
        <v>264</v>
      </c>
      <c r="AV830" t="s">
        <v>270</v>
      </c>
      <c r="AX830" t="s">
        <v>264</v>
      </c>
      <c r="AY830">
        <v>801110</v>
      </c>
      <c r="AZ830">
        <v>1206.8011100000001</v>
      </c>
      <c r="BA830" s="28" t="s">
        <v>183</v>
      </c>
    </row>
    <row r="831" spans="1:53">
      <c r="A831" t="s">
        <v>271</v>
      </c>
      <c r="B831" t="s">
        <v>272</v>
      </c>
      <c r="C831">
        <v>22010873</v>
      </c>
      <c r="D831">
        <v>1201</v>
      </c>
      <c r="E831" s="6">
        <v>44782</v>
      </c>
      <c r="F831" t="s">
        <v>809</v>
      </c>
      <c r="G831">
        <v>89.05</v>
      </c>
      <c r="H831">
        <v>89.05</v>
      </c>
      <c r="I831" t="s">
        <v>263</v>
      </c>
      <c r="J831" t="s">
        <v>263</v>
      </c>
      <c r="L831" s="29">
        <v>1323355.48</v>
      </c>
      <c r="N831" s="29">
        <v>1323355.48</v>
      </c>
      <c r="O831" t="s">
        <v>264</v>
      </c>
      <c r="Q831" t="s">
        <v>264</v>
      </c>
      <c r="R831" t="s">
        <v>265</v>
      </c>
      <c r="S831">
        <v>14860</v>
      </c>
      <c r="T831" t="s">
        <v>266</v>
      </c>
      <c r="U831" t="s">
        <v>267</v>
      </c>
      <c r="V831" t="s">
        <v>273</v>
      </c>
      <c r="W831" t="s">
        <v>274</v>
      </c>
      <c r="X831">
        <v>1929159</v>
      </c>
      <c r="Y831" s="6">
        <v>44782</v>
      </c>
      <c r="Z831" t="s">
        <v>264</v>
      </c>
      <c r="AA831">
        <v>1</v>
      </c>
      <c r="AB831" t="s">
        <v>264</v>
      </c>
      <c r="AD831" t="s">
        <v>264</v>
      </c>
      <c r="AE831" t="s">
        <v>264</v>
      </c>
      <c r="AF831" t="s">
        <v>264</v>
      </c>
      <c r="AG831">
        <v>1</v>
      </c>
      <c r="AH831" t="s">
        <v>264</v>
      </c>
      <c r="AI831">
        <v>55326825</v>
      </c>
      <c r="AJ831" t="s">
        <v>809</v>
      </c>
      <c r="AL831" t="s">
        <v>810</v>
      </c>
      <c r="AM831" s="6">
        <v>44770</v>
      </c>
      <c r="AN831" t="s">
        <v>275</v>
      </c>
      <c r="AO831" t="s">
        <v>268</v>
      </c>
      <c r="AP831">
        <v>1201</v>
      </c>
      <c r="AQ831" t="s">
        <v>269</v>
      </c>
      <c r="AR831" t="s">
        <v>811</v>
      </c>
      <c r="AU831" t="s">
        <v>264</v>
      </c>
      <c r="AV831" t="s">
        <v>270</v>
      </c>
      <c r="AX831">
        <v>22002722</v>
      </c>
      <c r="AY831">
        <v>801120</v>
      </c>
      <c r="AZ831">
        <v>1201.8011200000001</v>
      </c>
      <c r="BA831" s="28" t="s">
        <v>59</v>
      </c>
    </row>
    <row r="832" spans="1:53">
      <c r="A832" t="s">
        <v>271</v>
      </c>
      <c r="B832" t="s">
        <v>272</v>
      </c>
      <c r="C832">
        <v>22010912</v>
      </c>
      <c r="D832">
        <v>1201</v>
      </c>
      <c r="E832" s="6">
        <v>44784</v>
      </c>
      <c r="F832" t="s">
        <v>809</v>
      </c>
      <c r="G832" s="29">
        <v>4141.4399999999996</v>
      </c>
      <c r="H832" s="29">
        <v>4141.4399999999996</v>
      </c>
      <c r="I832" t="s">
        <v>263</v>
      </c>
      <c r="J832" t="s">
        <v>263</v>
      </c>
      <c r="L832" s="29">
        <v>61541831.25</v>
      </c>
      <c r="N832" s="29">
        <v>61541831.25</v>
      </c>
      <c r="O832" t="s">
        <v>264</v>
      </c>
      <c r="Q832" t="s">
        <v>264</v>
      </c>
      <c r="R832" t="s">
        <v>265</v>
      </c>
      <c r="S832">
        <v>14860</v>
      </c>
      <c r="T832" t="s">
        <v>266</v>
      </c>
      <c r="U832" t="s">
        <v>267</v>
      </c>
      <c r="V832" t="s">
        <v>273</v>
      </c>
      <c r="W832" t="s">
        <v>274</v>
      </c>
      <c r="X832">
        <v>1930369</v>
      </c>
      <c r="Y832" s="6">
        <v>44784</v>
      </c>
      <c r="Z832" t="s">
        <v>264</v>
      </c>
      <c r="AA832">
        <v>1</v>
      </c>
      <c r="AB832" t="s">
        <v>264</v>
      </c>
      <c r="AD832" t="s">
        <v>264</v>
      </c>
      <c r="AE832" t="s">
        <v>264</v>
      </c>
      <c r="AF832" t="s">
        <v>264</v>
      </c>
      <c r="AG832">
        <v>1</v>
      </c>
      <c r="AH832" t="s">
        <v>264</v>
      </c>
      <c r="AI832">
        <v>55326825</v>
      </c>
      <c r="AJ832" t="s">
        <v>809</v>
      </c>
      <c r="AL832" t="s">
        <v>812</v>
      </c>
      <c r="AM832" s="6">
        <v>44752</v>
      </c>
      <c r="AN832" t="s">
        <v>275</v>
      </c>
      <c r="AO832" t="s">
        <v>268</v>
      </c>
      <c r="AP832">
        <v>1201</v>
      </c>
      <c r="AQ832" t="s">
        <v>269</v>
      </c>
      <c r="AR832" t="s">
        <v>813</v>
      </c>
      <c r="AU832" t="s">
        <v>264</v>
      </c>
      <c r="AV832" t="s">
        <v>270</v>
      </c>
      <c r="AX832">
        <v>22002750</v>
      </c>
      <c r="AY832">
        <v>801120</v>
      </c>
      <c r="AZ832">
        <v>1201.8011200000001</v>
      </c>
      <c r="BA832" s="28" t="s">
        <v>59</v>
      </c>
    </row>
    <row r="833" spans="1:53">
      <c r="A833" t="s">
        <v>384</v>
      </c>
      <c r="B833" t="s">
        <v>385</v>
      </c>
      <c r="C833">
        <v>22001591</v>
      </c>
      <c r="D833">
        <v>1201</v>
      </c>
      <c r="E833" s="6">
        <v>44803</v>
      </c>
      <c r="F833" t="s">
        <v>395</v>
      </c>
      <c r="G833">
        <v>-737.01</v>
      </c>
      <c r="I833" t="s">
        <v>263</v>
      </c>
      <c r="J833" t="s">
        <v>263</v>
      </c>
      <c r="K833">
        <v>-737.01</v>
      </c>
      <c r="M833" s="29">
        <v>-10951900</v>
      </c>
      <c r="N833" s="29">
        <v>-10951900</v>
      </c>
      <c r="O833" t="s">
        <v>264</v>
      </c>
      <c r="Q833" t="s">
        <v>264</v>
      </c>
      <c r="R833" t="s">
        <v>265</v>
      </c>
      <c r="S833">
        <v>14860</v>
      </c>
      <c r="T833" t="s">
        <v>266</v>
      </c>
      <c r="U833" t="s">
        <v>267</v>
      </c>
      <c r="V833" t="s">
        <v>386</v>
      </c>
      <c r="W833" t="s">
        <v>387</v>
      </c>
      <c r="X833">
        <v>1935694</v>
      </c>
      <c r="Y833" s="6">
        <v>44802</v>
      </c>
      <c r="Z833" t="s">
        <v>264</v>
      </c>
      <c r="AA833">
        <v>22</v>
      </c>
      <c r="AB833" t="s">
        <v>264</v>
      </c>
      <c r="AD833" t="s">
        <v>264</v>
      </c>
      <c r="AE833" t="s">
        <v>264</v>
      </c>
      <c r="AF833" t="s">
        <v>264</v>
      </c>
      <c r="AH833" t="s">
        <v>264</v>
      </c>
      <c r="AL833" t="s">
        <v>264</v>
      </c>
      <c r="AM833" s="6">
        <v>44803</v>
      </c>
      <c r="AN833" t="s">
        <v>393</v>
      </c>
      <c r="AO833" t="s">
        <v>268</v>
      </c>
      <c r="AP833">
        <v>1201</v>
      </c>
      <c r="AQ833" t="s">
        <v>269</v>
      </c>
      <c r="AR833" t="s">
        <v>264</v>
      </c>
      <c r="AU833" t="s">
        <v>264</v>
      </c>
      <c r="AV833" t="s">
        <v>270</v>
      </c>
      <c r="AX833" t="s">
        <v>264</v>
      </c>
      <c r="AY833">
        <v>801120</v>
      </c>
      <c r="AZ833">
        <v>1201.8011200000001</v>
      </c>
      <c r="BA833" s="28" t="s">
        <v>59</v>
      </c>
    </row>
    <row r="834" spans="1:53">
      <c r="A834" t="s">
        <v>384</v>
      </c>
      <c r="B834" t="s">
        <v>385</v>
      </c>
      <c r="C834">
        <v>22001591</v>
      </c>
      <c r="D834">
        <v>1201</v>
      </c>
      <c r="E834" s="6">
        <v>44803</v>
      </c>
      <c r="F834" t="s">
        <v>395</v>
      </c>
      <c r="G834">
        <v>-48.85</v>
      </c>
      <c r="I834" t="s">
        <v>263</v>
      </c>
      <c r="J834" t="s">
        <v>263</v>
      </c>
      <c r="K834">
        <v>-48.85</v>
      </c>
      <c r="M834" s="29">
        <v>-725900</v>
      </c>
      <c r="N834" s="29">
        <v>-725900</v>
      </c>
      <c r="O834" t="s">
        <v>264</v>
      </c>
      <c r="Q834" t="s">
        <v>264</v>
      </c>
      <c r="R834" t="s">
        <v>265</v>
      </c>
      <c r="S834">
        <v>14860</v>
      </c>
      <c r="T834" t="s">
        <v>266</v>
      </c>
      <c r="U834" t="s">
        <v>267</v>
      </c>
      <c r="V834" t="s">
        <v>386</v>
      </c>
      <c r="W834" t="s">
        <v>387</v>
      </c>
      <c r="X834">
        <v>1935694</v>
      </c>
      <c r="Y834" s="6">
        <v>44802</v>
      </c>
      <c r="Z834" t="s">
        <v>264</v>
      </c>
      <c r="AA834">
        <v>23</v>
      </c>
      <c r="AB834" t="s">
        <v>264</v>
      </c>
      <c r="AD834" t="s">
        <v>264</v>
      </c>
      <c r="AE834" t="s">
        <v>264</v>
      </c>
      <c r="AF834" t="s">
        <v>264</v>
      </c>
      <c r="AH834" t="s">
        <v>264</v>
      </c>
      <c r="AL834" t="s">
        <v>264</v>
      </c>
      <c r="AM834" s="6">
        <v>44803</v>
      </c>
      <c r="AN834" t="s">
        <v>393</v>
      </c>
      <c r="AO834" t="s">
        <v>268</v>
      </c>
      <c r="AP834">
        <v>1204</v>
      </c>
      <c r="AQ834" t="s">
        <v>269</v>
      </c>
      <c r="AR834" t="s">
        <v>264</v>
      </c>
      <c r="AU834" t="s">
        <v>264</v>
      </c>
      <c r="AV834" t="s">
        <v>270</v>
      </c>
      <c r="AX834" t="s">
        <v>264</v>
      </c>
      <c r="AY834">
        <v>801120</v>
      </c>
      <c r="AZ834">
        <v>1204.8011200000001</v>
      </c>
      <c r="BA834" s="28" t="s">
        <v>184</v>
      </c>
    </row>
    <row r="835" spans="1:53">
      <c r="A835" t="s">
        <v>384</v>
      </c>
      <c r="B835" t="s">
        <v>385</v>
      </c>
      <c r="C835">
        <v>22001591</v>
      </c>
      <c r="D835">
        <v>1201</v>
      </c>
      <c r="E835" s="6">
        <v>44803</v>
      </c>
      <c r="F835" t="s">
        <v>395</v>
      </c>
      <c r="G835">
        <v>-108.33</v>
      </c>
      <c r="I835" t="s">
        <v>263</v>
      </c>
      <c r="J835" t="s">
        <v>263</v>
      </c>
      <c r="K835">
        <v>-108.33</v>
      </c>
      <c r="M835" s="29">
        <v>-1609900</v>
      </c>
      <c r="N835" s="29">
        <v>-1609900</v>
      </c>
      <c r="O835" t="s">
        <v>264</v>
      </c>
      <c r="Q835" t="s">
        <v>264</v>
      </c>
      <c r="R835" t="s">
        <v>265</v>
      </c>
      <c r="S835">
        <v>14860</v>
      </c>
      <c r="T835" t="s">
        <v>266</v>
      </c>
      <c r="U835" t="s">
        <v>267</v>
      </c>
      <c r="V835" t="s">
        <v>386</v>
      </c>
      <c r="W835" t="s">
        <v>387</v>
      </c>
      <c r="X835">
        <v>1935694</v>
      </c>
      <c r="Y835" s="6">
        <v>44802</v>
      </c>
      <c r="Z835" t="s">
        <v>264</v>
      </c>
      <c r="AA835">
        <v>24</v>
      </c>
      <c r="AB835" t="s">
        <v>264</v>
      </c>
      <c r="AD835" t="s">
        <v>264</v>
      </c>
      <c r="AE835" t="s">
        <v>264</v>
      </c>
      <c r="AF835" t="s">
        <v>264</v>
      </c>
      <c r="AH835" t="s">
        <v>264</v>
      </c>
      <c r="AL835" t="s">
        <v>264</v>
      </c>
      <c r="AM835" s="6">
        <v>44803</v>
      </c>
      <c r="AN835" t="s">
        <v>393</v>
      </c>
      <c r="AO835" t="s">
        <v>268</v>
      </c>
      <c r="AP835">
        <v>1205</v>
      </c>
      <c r="AQ835" t="s">
        <v>269</v>
      </c>
      <c r="AR835" t="s">
        <v>264</v>
      </c>
      <c r="AU835" t="s">
        <v>264</v>
      </c>
      <c r="AV835" t="s">
        <v>270</v>
      </c>
      <c r="AX835" t="s">
        <v>264</v>
      </c>
      <c r="AY835">
        <v>801120</v>
      </c>
      <c r="AZ835">
        <v>1205.8011200000001</v>
      </c>
      <c r="BA835" s="28" t="s">
        <v>185</v>
      </c>
    </row>
    <row r="836" spans="1:53">
      <c r="A836" t="s">
        <v>271</v>
      </c>
      <c r="B836" t="s">
        <v>272</v>
      </c>
      <c r="C836">
        <v>22010916</v>
      </c>
      <c r="D836">
        <v>1201</v>
      </c>
      <c r="E836" s="6">
        <v>44784</v>
      </c>
      <c r="F836" t="s">
        <v>814</v>
      </c>
      <c r="G836">
        <v>627.05999999999995</v>
      </c>
      <c r="H836">
        <v>627.05999999999995</v>
      </c>
      <c r="I836" t="s">
        <v>263</v>
      </c>
      <c r="J836" t="s">
        <v>263</v>
      </c>
      <c r="L836" s="29">
        <v>9318182</v>
      </c>
      <c r="N836" s="29">
        <v>9318182</v>
      </c>
      <c r="O836" t="s">
        <v>264</v>
      </c>
      <c r="Q836" t="s">
        <v>264</v>
      </c>
      <c r="R836" t="s">
        <v>265</v>
      </c>
      <c r="S836">
        <v>14860</v>
      </c>
      <c r="T836" t="s">
        <v>266</v>
      </c>
      <c r="U836" t="s">
        <v>267</v>
      </c>
      <c r="V836" t="s">
        <v>273</v>
      </c>
      <c r="W836" t="s">
        <v>274</v>
      </c>
      <c r="X836">
        <v>1930402</v>
      </c>
      <c r="Y836" s="6">
        <v>44784</v>
      </c>
      <c r="Z836" t="s">
        <v>264</v>
      </c>
      <c r="AA836">
        <v>1</v>
      </c>
      <c r="AB836" t="s">
        <v>264</v>
      </c>
      <c r="AD836" t="s">
        <v>264</v>
      </c>
      <c r="AE836" t="s">
        <v>264</v>
      </c>
      <c r="AF836" t="s">
        <v>264</v>
      </c>
      <c r="AG836">
        <v>1</v>
      </c>
      <c r="AH836" t="s">
        <v>264</v>
      </c>
      <c r="AI836">
        <v>55043382</v>
      </c>
      <c r="AJ836" t="s">
        <v>814</v>
      </c>
      <c r="AL836" t="s">
        <v>815</v>
      </c>
      <c r="AM836" s="6">
        <v>44774</v>
      </c>
      <c r="AN836" t="s">
        <v>275</v>
      </c>
      <c r="AO836" t="s">
        <v>268</v>
      </c>
      <c r="AP836">
        <v>1201</v>
      </c>
      <c r="AQ836" t="s">
        <v>269</v>
      </c>
      <c r="AR836" t="s">
        <v>816</v>
      </c>
      <c r="AU836" t="s">
        <v>264</v>
      </c>
      <c r="AV836" t="s">
        <v>270</v>
      </c>
      <c r="AX836">
        <v>22002721</v>
      </c>
      <c r="AY836">
        <v>802140</v>
      </c>
      <c r="AZ836">
        <v>1201.80214</v>
      </c>
      <c r="BA836" s="28" t="s">
        <v>62</v>
      </c>
    </row>
    <row r="837" spans="1:53">
      <c r="A837" t="s">
        <v>271</v>
      </c>
      <c r="B837" t="s">
        <v>272</v>
      </c>
      <c r="C837">
        <v>22002873</v>
      </c>
      <c r="D837">
        <v>1204</v>
      </c>
      <c r="E837" s="6">
        <v>44789</v>
      </c>
      <c r="F837" t="s">
        <v>817</v>
      </c>
      <c r="G837">
        <v>336.14</v>
      </c>
      <c r="H837">
        <v>336.14</v>
      </c>
      <c r="I837" t="s">
        <v>263</v>
      </c>
      <c r="J837" t="s">
        <v>263</v>
      </c>
      <c r="L837" s="29">
        <v>4995000</v>
      </c>
      <c r="N837" s="29">
        <v>4995000</v>
      </c>
      <c r="O837" t="s">
        <v>264</v>
      </c>
      <c r="Q837" t="s">
        <v>264</v>
      </c>
      <c r="R837" t="s">
        <v>265</v>
      </c>
      <c r="S837">
        <v>14860</v>
      </c>
      <c r="T837" t="s">
        <v>266</v>
      </c>
      <c r="U837" t="s">
        <v>267</v>
      </c>
      <c r="V837" t="s">
        <v>273</v>
      </c>
      <c r="W837" t="s">
        <v>274</v>
      </c>
      <c r="X837">
        <v>1933129</v>
      </c>
      <c r="Y837" s="6">
        <v>44789</v>
      </c>
      <c r="Z837" t="s">
        <v>264</v>
      </c>
      <c r="AA837">
        <v>1</v>
      </c>
      <c r="AB837" t="s">
        <v>264</v>
      </c>
      <c r="AD837" t="s">
        <v>264</v>
      </c>
      <c r="AE837" t="s">
        <v>264</v>
      </c>
      <c r="AF837" t="s">
        <v>264</v>
      </c>
      <c r="AG837">
        <v>1</v>
      </c>
      <c r="AH837" t="s">
        <v>264</v>
      </c>
      <c r="AI837">
        <v>55555601</v>
      </c>
      <c r="AJ837" t="s">
        <v>817</v>
      </c>
      <c r="AL837">
        <v>202243155</v>
      </c>
      <c r="AM837" s="6">
        <v>44775</v>
      </c>
      <c r="AN837" t="s">
        <v>275</v>
      </c>
      <c r="AO837" t="s">
        <v>268</v>
      </c>
      <c r="AP837">
        <v>1204</v>
      </c>
      <c r="AQ837" t="s">
        <v>269</v>
      </c>
      <c r="AR837" t="s">
        <v>818</v>
      </c>
      <c r="AU837" t="s">
        <v>264</v>
      </c>
      <c r="AV837" t="s">
        <v>270</v>
      </c>
      <c r="AX837">
        <v>22001394</v>
      </c>
      <c r="AY837">
        <v>802140</v>
      </c>
      <c r="AZ837">
        <v>1204.80214</v>
      </c>
      <c r="BA837" s="28" t="s">
        <v>190</v>
      </c>
    </row>
    <row r="838" spans="1:53">
      <c r="A838" t="s">
        <v>271</v>
      </c>
      <c r="B838" t="s">
        <v>272</v>
      </c>
      <c r="C838">
        <v>22002789</v>
      </c>
      <c r="D838">
        <v>1204</v>
      </c>
      <c r="E838" s="6">
        <v>44777</v>
      </c>
      <c r="F838" t="s">
        <v>819</v>
      </c>
      <c r="G838">
        <v>67.290000000000006</v>
      </c>
      <c r="H838">
        <v>67.290000000000006</v>
      </c>
      <c r="I838" t="s">
        <v>263</v>
      </c>
      <c r="J838" t="s">
        <v>263</v>
      </c>
      <c r="L838" s="29">
        <v>1000000</v>
      </c>
      <c r="N838" s="29">
        <v>1000000</v>
      </c>
      <c r="O838" t="s">
        <v>264</v>
      </c>
      <c r="Q838" t="s">
        <v>264</v>
      </c>
      <c r="R838" t="s">
        <v>265</v>
      </c>
      <c r="S838">
        <v>14860</v>
      </c>
      <c r="T838" t="s">
        <v>266</v>
      </c>
      <c r="U838" t="s">
        <v>267</v>
      </c>
      <c r="V838" t="s">
        <v>273</v>
      </c>
      <c r="W838" t="s">
        <v>274</v>
      </c>
      <c r="X838">
        <v>1927529</v>
      </c>
      <c r="Y838" s="6">
        <v>44777</v>
      </c>
      <c r="Z838" t="s">
        <v>264</v>
      </c>
      <c r="AA838">
        <v>1</v>
      </c>
      <c r="AB838" t="s">
        <v>264</v>
      </c>
      <c r="AD838" t="s">
        <v>264</v>
      </c>
      <c r="AE838" t="s">
        <v>264</v>
      </c>
      <c r="AF838" t="s">
        <v>264</v>
      </c>
      <c r="AG838">
        <v>1</v>
      </c>
      <c r="AH838" t="s">
        <v>264</v>
      </c>
      <c r="AI838">
        <v>55417903</v>
      </c>
      <c r="AJ838" t="s">
        <v>819</v>
      </c>
      <c r="AL838" t="s">
        <v>820</v>
      </c>
      <c r="AM838" s="6">
        <v>44743</v>
      </c>
      <c r="AN838" t="s">
        <v>275</v>
      </c>
      <c r="AO838" t="s">
        <v>268</v>
      </c>
      <c r="AP838">
        <v>1204</v>
      </c>
      <c r="AQ838" t="s">
        <v>269</v>
      </c>
      <c r="AR838" t="s">
        <v>821</v>
      </c>
      <c r="AU838" t="s">
        <v>264</v>
      </c>
      <c r="AV838" t="s">
        <v>270</v>
      </c>
      <c r="AX838">
        <v>22001372</v>
      </c>
      <c r="AY838">
        <v>807100</v>
      </c>
      <c r="AZ838">
        <v>1204.8071</v>
      </c>
      <c r="BA838" s="28" t="s">
        <v>196</v>
      </c>
    </row>
    <row r="839" spans="1:53">
      <c r="A839" t="s">
        <v>271</v>
      </c>
      <c r="B839" t="s">
        <v>272</v>
      </c>
      <c r="C839">
        <v>22010665</v>
      </c>
      <c r="D839">
        <v>1201</v>
      </c>
      <c r="E839" s="6">
        <v>44775</v>
      </c>
      <c r="F839" t="s">
        <v>822</v>
      </c>
      <c r="G839">
        <v>626.19000000000005</v>
      </c>
      <c r="H839">
        <v>626.19000000000005</v>
      </c>
      <c r="I839" t="s">
        <v>263</v>
      </c>
      <c r="J839" t="s">
        <v>263</v>
      </c>
      <c r="L839" s="29">
        <v>9318964</v>
      </c>
      <c r="N839" s="29">
        <v>9318964</v>
      </c>
      <c r="O839" t="s">
        <v>264</v>
      </c>
      <c r="Q839" t="s">
        <v>264</v>
      </c>
      <c r="R839" t="s">
        <v>265</v>
      </c>
      <c r="S839">
        <v>14882</v>
      </c>
      <c r="T839" t="s">
        <v>266</v>
      </c>
      <c r="U839" t="s">
        <v>267</v>
      </c>
      <c r="V839" t="s">
        <v>273</v>
      </c>
      <c r="W839" t="s">
        <v>274</v>
      </c>
      <c r="X839">
        <v>1925612</v>
      </c>
      <c r="Y839" s="6">
        <v>44775</v>
      </c>
      <c r="Z839" t="s">
        <v>264</v>
      </c>
      <c r="AA839">
        <v>1</v>
      </c>
      <c r="AB839" t="s">
        <v>264</v>
      </c>
      <c r="AD839" t="s">
        <v>264</v>
      </c>
      <c r="AE839" t="s">
        <v>264</v>
      </c>
      <c r="AF839" t="s">
        <v>264</v>
      </c>
      <c r="AG839">
        <v>1</v>
      </c>
      <c r="AH839" t="s">
        <v>264</v>
      </c>
      <c r="AI839">
        <v>56807057</v>
      </c>
      <c r="AJ839" t="s">
        <v>822</v>
      </c>
      <c r="AL839" t="s">
        <v>823</v>
      </c>
      <c r="AM839" s="6">
        <v>44775</v>
      </c>
      <c r="AN839" t="s">
        <v>275</v>
      </c>
      <c r="AO839" t="s">
        <v>268</v>
      </c>
      <c r="AP839">
        <v>1201</v>
      </c>
      <c r="AQ839" t="s">
        <v>269</v>
      </c>
      <c r="AR839" t="s">
        <v>823</v>
      </c>
      <c r="AU839" t="s">
        <v>264</v>
      </c>
      <c r="AV839" t="s">
        <v>270</v>
      </c>
      <c r="AX839">
        <v>22002669</v>
      </c>
      <c r="AY839">
        <v>808100</v>
      </c>
      <c r="AZ839">
        <v>1201.8081</v>
      </c>
      <c r="BA839" s="28" t="s">
        <v>68</v>
      </c>
    </row>
    <row r="840" spans="1:53">
      <c r="A840" t="s">
        <v>271</v>
      </c>
      <c r="B840" t="s">
        <v>272</v>
      </c>
      <c r="C840">
        <v>22010878</v>
      </c>
      <c r="D840">
        <v>1201</v>
      </c>
      <c r="E840" s="6">
        <v>44782</v>
      </c>
      <c r="F840" t="s">
        <v>822</v>
      </c>
      <c r="G840">
        <v>583.13</v>
      </c>
      <c r="H840">
        <v>583.13</v>
      </c>
      <c r="I840" t="s">
        <v>263</v>
      </c>
      <c r="J840" t="s">
        <v>263</v>
      </c>
      <c r="L840" s="29">
        <v>8665279</v>
      </c>
      <c r="N840" s="29">
        <v>8665279</v>
      </c>
      <c r="O840" t="s">
        <v>264</v>
      </c>
      <c r="Q840" t="s">
        <v>264</v>
      </c>
      <c r="R840" t="s">
        <v>265</v>
      </c>
      <c r="S840">
        <v>14860</v>
      </c>
      <c r="T840" t="s">
        <v>266</v>
      </c>
      <c r="U840" t="s">
        <v>267</v>
      </c>
      <c r="V840" t="s">
        <v>273</v>
      </c>
      <c r="W840" t="s">
        <v>274</v>
      </c>
      <c r="X840">
        <v>1929191</v>
      </c>
      <c r="Y840" s="6">
        <v>44782</v>
      </c>
      <c r="Z840" t="s">
        <v>264</v>
      </c>
      <c r="AA840">
        <v>1</v>
      </c>
      <c r="AB840" t="s">
        <v>264</v>
      </c>
      <c r="AD840" t="s">
        <v>264</v>
      </c>
      <c r="AE840" t="s">
        <v>264</v>
      </c>
      <c r="AF840" t="s">
        <v>264</v>
      </c>
      <c r="AG840">
        <v>1</v>
      </c>
      <c r="AH840" t="s">
        <v>264</v>
      </c>
      <c r="AI840">
        <v>56807057</v>
      </c>
      <c r="AJ840" t="s">
        <v>822</v>
      </c>
      <c r="AL840" t="s">
        <v>823</v>
      </c>
      <c r="AM840" s="6">
        <v>44782</v>
      </c>
      <c r="AN840" t="s">
        <v>275</v>
      </c>
      <c r="AO840" t="s">
        <v>268</v>
      </c>
      <c r="AP840">
        <v>1201</v>
      </c>
      <c r="AQ840" t="s">
        <v>269</v>
      </c>
      <c r="AR840" t="s">
        <v>823</v>
      </c>
      <c r="AU840" t="s">
        <v>264</v>
      </c>
      <c r="AV840" t="s">
        <v>270</v>
      </c>
      <c r="AX840">
        <v>22002720</v>
      </c>
      <c r="AY840">
        <v>808100</v>
      </c>
      <c r="AZ840">
        <v>1201.8081</v>
      </c>
      <c r="BA840" s="28" t="s">
        <v>68</v>
      </c>
    </row>
    <row r="841" spans="1:53">
      <c r="A841" t="s">
        <v>271</v>
      </c>
      <c r="B841" t="s">
        <v>272</v>
      </c>
      <c r="C841">
        <v>22011388</v>
      </c>
      <c r="D841">
        <v>1201</v>
      </c>
      <c r="E841" s="6">
        <v>44791</v>
      </c>
      <c r="F841" t="s">
        <v>822</v>
      </c>
      <c r="G841">
        <v>704.85</v>
      </c>
      <c r="H841">
        <v>704.85</v>
      </c>
      <c r="I841" t="s">
        <v>263</v>
      </c>
      <c r="J841" t="s">
        <v>263</v>
      </c>
      <c r="L841" s="29">
        <v>10474103</v>
      </c>
      <c r="N841" s="29">
        <v>10474103</v>
      </c>
      <c r="O841" t="s">
        <v>264</v>
      </c>
      <c r="Q841" t="s">
        <v>264</v>
      </c>
      <c r="R841" t="s">
        <v>265</v>
      </c>
      <c r="S841">
        <v>14860</v>
      </c>
      <c r="T841" t="s">
        <v>266</v>
      </c>
      <c r="U841" t="s">
        <v>267</v>
      </c>
      <c r="V841" t="s">
        <v>273</v>
      </c>
      <c r="W841" t="s">
        <v>274</v>
      </c>
      <c r="X841">
        <v>1933188</v>
      </c>
      <c r="Y841" s="6">
        <v>44791</v>
      </c>
      <c r="Z841" t="s">
        <v>264</v>
      </c>
      <c r="AA841">
        <v>1</v>
      </c>
      <c r="AB841" t="s">
        <v>264</v>
      </c>
      <c r="AD841" t="s">
        <v>264</v>
      </c>
      <c r="AE841" t="s">
        <v>264</v>
      </c>
      <c r="AF841" t="s">
        <v>264</v>
      </c>
      <c r="AG841">
        <v>1</v>
      </c>
      <c r="AH841" t="s">
        <v>264</v>
      </c>
      <c r="AI841">
        <v>56807057</v>
      </c>
      <c r="AJ841" t="s">
        <v>822</v>
      </c>
      <c r="AL841" t="s">
        <v>823</v>
      </c>
      <c r="AM841" s="6">
        <v>44791</v>
      </c>
      <c r="AN841" t="s">
        <v>275</v>
      </c>
      <c r="AO841" t="s">
        <v>268</v>
      </c>
      <c r="AP841">
        <v>1201</v>
      </c>
      <c r="AQ841" t="s">
        <v>269</v>
      </c>
      <c r="AR841" t="s">
        <v>823</v>
      </c>
      <c r="AU841" t="s">
        <v>264</v>
      </c>
      <c r="AV841" t="s">
        <v>270</v>
      </c>
      <c r="AX841">
        <v>22002796</v>
      </c>
      <c r="AY841">
        <v>808100</v>
      </c>
      <c r="AZ841">
        <v>1201.8081</v>
      </c>
      <c r="BA841" s="28" t="s">
        <v>68</v>
      </c>
    </row>
    <row r="842" spans="1:53">
      <c r="A842" t="s">
        <v>271</v>
      </c>
      <c r="B842" t="s">
        <v>272</v>
      </c>
      <c r="C842">
        <v>22011506</v>
      </c>
      <c r="D842">
        <v>1201</v>
      </c>
      <c r="E842" s="6">
        <v>44796</v>
      </c>
      <c r="F842" t="s">
        <v>822</v>
      </c>
      <c r="G842">
        <v>541.4</v>
      </c>
      <c r="H842">
        <v>541.4</v>
      </c>
      <c r="I842" t="s">
        <v>263</v>
      </c>
      <c r="J842" t="s">
        <v>263</v>
      </c>
      <c r="L842" s="29">
        <v>8045208</v>
      </c>
      <c r="N842" s="29">
        <v>8045208</v>
      </c>
      <c r="O842" t="s">
        <v>264</v>
      </c>
      <c r="Q842" t="s">
        <v>264</v>
      </c>
      <c r="R842" t="s">
        <v>265</v>
      </c>
      <c r="S842">
        <v>14860</v>
      </c>
      <c r="T842" t="s">
        <v>266</v>
      </c>
      <c r="U842" t="s">
        <v>267</v>
      </c>
      <c r="V842" t="s">
        <v>273</v>
      </c>
      <c r="W842" t="s">
        <v>274</v>
      </c>
      <c r="X842">
        <v>1934470</v>
      </c>
      <c r="Y842" s="6">
        <v>44796</v>
      </c>
      <c r="Z842" t="s">
        <v>264</v>
      </c>
      <c r="AA842">
        <v>1</v>
      </c>
      <c r="AB842" t="s">
        <v>264</v>
      </c>
      <c r="AD842" t="s">
        <v>264</v>
      </c>
      <c r="AE842" t="s">
        <v>264</v>
      </c>
      <c r="AF842" t="s">
        <v>264</v>
      </c>
      <c r="AG842">
        <v>1</v>
      </c>
      <c r="AH842" t="s">
        <v>264</v>
      </c>
      <c r="AI842">
        <v>56807057</v>
      </c>
      <c r="AJ842" t="s">
        <v>822</v>
      </c>
      <c r="AL842" t="s">
        <v>823</v>
      </c>
      <c r="AM842" s="6">
        <v>44796</v>
      </c>
      <c r="AN842" t="s">
        <v>275</v>
      </c>
      <c r="AO842" t="s">
        <v>268</v>
      </c>
      <c r="AP842">
        <v>1201</v>
      </c>
      <c r="AQ842" t="s">
        <v>269</v>
      </c>
      <c r="AR842" t="s">
        <v>823</v>
      </c>
      <c r="AU842" t="s">
        <v>264</v>
      </c>
      <c r="AV842" t="s">
        <v>270</v>
      </c>
      <c r="AX842">
        <v>22002823</v>
      </c>
      <c r="AY842">
        <v>808100</v>
      </c>
      <c r="AZ842">
        <v>1201.8081</v>
      </c>
      <c r="BA842" s="28" t="s">
        <v>68</v>
      </c>
    </row>
    <row r="843" spans="1:53">
      <c r="A843" t="s">
        <v>271</v>
      </c>
      <c r="B843" t="s">
        <v>272</v>
      </c>
      <c r="C843">
        <v>22002791</v>
      </c>
      <c r="D843">
        <v>1204</v>
      </c>
      <c r="E843" s="6">
        <v>44778</v>
      </c>
      <c r="F843" t="s">
        <v>824</v>
      </c>
      <c r="G843">
        <v>346.57</v>
      </c>
      <c r="H843">
        <v>346.57</v>
      </c>
      <c r="I843" t="s">
        <v>263</v>
      </c>
      <c r="J843" t="s">
        <v>263</v>
      </c>
      <c r="L843" s="29">
        <v>5150000</v>
      </c>
      <c r="N843" s="29">
        <v>5150000</v>
      </c>
      <c r="O843" t="s">
        <v>264</v>
      </c>
      <c r="Q843" t="s">
        <v>264</v>
      </c>
      <c r="R843" t="s">
        <v>265</v>
      </c>
      <c r="S843">
        <v>14860</v>
      </c>
      <c r="T843" t="s">
        <v>266</v>
      </c>
      <c r="U843" t="s">
        <v>267</v>
      </c>
      <c r="V843" t="s">
        <v>273</v>
      </c>
      <c r="W843" t="s">
        <v>274</v>
      </c>
      <c r="X843">
        <v>1927667</v>
      </c>
      <c r="Y843" s="6">
        <v>44778</v>
      </c>
      <c r="Z843" t="s">
        <v>264</v>
      </c>
      <c r="AA843">
        <v>1</v>
      </c>
      <c r="AB843" t="s">
        <v>264</v>
      </c>
      <c r="AD843" t="s">
        <v>264</v>
      </c>
      <c r="AE843" t="s">
        <v>264</v>
      </c>
      <c r="AF843" t="s">
        <v>264</v>
      </c>
      <c r="AG843">
        <v>1</v>
      </c>
      <c r="AH843" t="s">
        <v>264</v>
      </c>
      <c r="AI843">
        <v>57064734</v>
      </c>
      <c r="AJ843" t="s">
        <v>824</v>
      </c>
      <c r="AL843" t="s">
        <v>825</v>
      </c>
      <c r="AM843" s="6">
        <v>44778</v>
      </c>
      <c r="AN843" t="s">
        <v>275</v>
      </c>
      <c r="AO843" t="s">
        <v>268</v>
      </c>
      <c r="AP843">
        <v>1204</v>
      </c>
      <c r="AQ843" t="s">
        <v>269</v>
      </c>
      <c r="AR843" t="s">
        <v>825</v>
      </c>
      <c r="AU843" t="s">
        <v>264</v>
      </c>
      <c r="AV843" t="s">
        <v>270</v>
      </c>
      <c r="AX843">
        <v>22001373</v>
      </c>
      <c r="AY843">
        <v>808100</v>
      </c>
      <c r="AZ843">
        <v>1204.8081</v>
      </c>
      <c r="BA843" s="28" t="s">
        <v>199</v>
      </c>
    </row>
    <row r="844" spans="1:53">
      <c r="A844" t="s">
        <v>271</v>
      </c>
      <c r="B844" t="s">
        <v>272</v>
      </c>
      <c r="C844">
        <v>22002794</v>
      </c>
      <c r="D844">
        <v>1204</v>
      </c>
      <c r="E844" s="6">
        <v>44778</v>
      </c>
      <c r="F844" t="s">
        <v>824</v>
      </c>
      <c r="G844">
        <v>67.290000000000006</v>
      </c>
      <c r="H844">
        <v>67.290000000000006</v>
      </c>
      <c r="I844" t="s">
        <v>263</v>
      </c>
      <c r="J844" t="s">
        <v>263</v>
      </c>
      <c r="L844" s="29">
        <v>1000000</v>
      </c>
      <c r="N844" s="29">
        <v>1000000</v>
      </c>
      <c r="O844" t="s">
        <v>264</v>
      </c>
      <c r="Q844" t="s">
        <v>264</v>
      </c>
      <c r="R844" t="s">
        <v>265</v>
      </c>
      <c r="S844">
        <v>14860</v>
      </c>
      <c r="T844" t="s">
        <v>266</v>
      </c>
      <c r="U844" t="s">
        <v>267</v>
      </c>
      <c r="V844" t="s">
        <v>273</v>
      </c>
      <c r="W844" t="s">
        <v>274</v>
      </c>
      <c r="X844">
        <v>1927669</v>
      </c>
      <c r="Y844" s="6">
        <v>44778</v>
      </c>
      <c r="Z844" t="s">
        <v>264</v>
      </c>
      <c r="AA844">
        <v>1</v>
      </c>
      <c r="AB844" t="s">
        <v>264</v>
      </c>
      <c r="AD844" t="s">
        <v>264</v>
      </c>
      <c r="AE844" t="s">
        <v>264</v>
      </c>
      <c r="AF844" t="s">
        <v>264</v>
      </c>
      <c r="AG844">
        <v>1</v>
      </c>
      <c r="AH844" t="s">
        <v>264</v>
      </c>
      <c r="AI844">
        <v>57064734</v>
      </c>
      <c r="AJ844" t="s">
        <v>824</v>
      </c>
      <c r="AL844" t="s">
        <v>825</v>
      </c>
      <c r="AM844" s="6">
        <v>44778</v>
      </c>
      <c r="AN844" t="s">
        <v>275</v>
      </c>
      <c r="AO844" t="s">
        <v>268</v>
      </c>
      <c r="AP844">
        <v>1204</v>
      </c>
      <c r="AQ844" t="s">
        <v>269</v>
      </c>
      <c r="AR844" t="s">
        <v>826</v>
      </c>
      <c r="AU844" t="s">
        <v>264</v>
      </c>
      <c r="AV844" t="s">
        <v>270</v>
      </c>
      <c r="AX844">
        <v>22001344</v>
      </c>
      <c r="AY844">
        <v>808100</v>
      </c>
      <c r="AZ844">
        <v>1204.8081</v>
      </c>
      <c r="BA844" s="28" t="s">
        <v>199</v>
      </c>
    </row>
    <row r="845" spans="1:53">
      <c r="A845" t="s">
        <v>271</v>
      </c>
      <c r="B845" t="s">
        <v>272</v>
      </c>
      <c r="C845">
        <v>22002829</v>
      </c>
      <c r="D845">
        <v>1204</v>
      </c>
      <c r="E845" s="6">
        <v>44785</v>
      </c>
      <c r="F845" t="s">
        <v>824</v>
      </c>
      <c r="G845">
        <v>385.6</v>
      </c>
      <c r="H845">
        <v>385.6</v>
      </c>
      <c r="I845" t="s">
        <v>263</v>
      </c>
      <c r="J845" t="s">
        <v>263</v>
      </c>
      <c r="L845" s="29">
        <v>5730000</v>
      </c>
      <c r="N845" s="29">
        <v>5730000</v>
      </c>
      <c r="O845" t="s">
        <v>264</v>
      </c>
      <c r="Q845" t="s">
        <v>264</v>
      </c>
      <c r="R845" t="s">
        <v>265</v>
      </c>
      <c r="S845">
        <v>14860</v>
      </c>
      <c r="T845" t="s">
        <v>266</v>
      </c>
      <c r="U845" t="s">
        <v>267</v>
      </c>
      <c r="V845" t="s">
        <v>273</v>
      </c>
      <c r="W845" t="s">
        <v>274</v>
      </c>
      <c r="X845">
        <v>1930568</v>
      </c>
      <c r="Y845" s="6">
        <v>44785</v>
      </c>
      <c r="Z845" t="s">
        <v>264</v>
      </c>
      <c r="AA845">
        <v>1</v>
      </c>
      <c r="AB845" t="s">
        <v>264</v>
      </c>
      <c r="AD845" t="s">
        <v>264</v>
      </c>
      <c r="AE845" t="s">
        <v>264</v>
      </c>
      <c r="AF845" t="s">
        <v>264</v>
      </c>
      <c r="AG845">
        <v>1</v>
      </c>
      <c r="AH845" t="s">
        <v>264</v>
      </c>
      <c r="AI845">
        <v>57064734</v>
      </c>
      <c r="AJ845" t="s">
        <v>824</v>
      </c>
      <c r="AL845" t="s">
        <v>825</v>
      </c>
      <c r="AM845" s="6">
        <v>44785</v>
      </c>
      <c r="AN845" t="s">
        <v>275</v>
      </c>
      <c r="AO845" t="s">
        <v>268</v>
      </c>
      <c r="AP845">
        <v>1204</v>
      </c>
      <c r="AQ845" t="s">
        <v>269</v>
      </c>
      <c r="AR845" t="s">
        <v>825</v>
      </c>
      <c r="AU845" t="s">
        <v>264</v>
      </c>
      <c r="AV845" t="s">
        <v>270</v>
      </c>
      <c r="AX845">
        <v>22001391</v>
      </c>
      <c r="AY845">
        <v>808100</v>
      </c>
      <c r="AZ845">
        <v>1204.8081</v>
      </c>
      <c r="BA845" s="28" t="s">
        <v>199</v>
      </c>
    </row>
    <row r="846" spans="1:53">
      <c r="A846" t="s">
        <v>384</v>
      </c>
      <c r="B846" t="s">
        <v>385</v>
      </c>
      <c r="C846">
        <v>22001300</v>
      </c>
      <c r="D846">
        <v>1204</v>
      </c>
      <c r="E846" s="6">
        <v>44795</v>
      </c>
      <c r="F846" t="s">
        <v>7</v>
      </c>
      <c r="G846">
        <v>15.61</v>
      </c>
      <c r="H846">
        <v>15.61</v>
      </c>
      <c r="I846" t="s">
        <v>263</v>
      </c>
      <c r="J846" t="s">
        <v>263</v>
      </c>
      <c r="L846" s="29">
        <v>232032</v>
      </c>
      <c r="N846" s="29">
        <v>232032</v>
      </c>
      <c r="O846" t="s">
        <v>264</v>
      </c>
      <c r="Q846" t="s">
        <v>264</v>
      </c>
      <c r="R846" t="s">
        <v>265</v>
      </c>
      <c r="S846">
        <v>14860</v>
      </c>
      <c r="T846" t="s">
        <v>266</v>
      </c>
      <c r="U846" t="s">
        <v>267</v>
      </c>
      <c r="V846" t="s">
        <v>386</v>
      </c>
      <c r="W846" t="s">
        <v>387</v>
      </c>
      <c r="X846">
        <v>1934552</v>
      </c>
      <c r="Y846" s="6">
        <v>44796</v>
      </c>
      <c r="Z846" t="s">
        <v>264</v>
      </c>
      <c r="AA846">
        <v>1</v>
      </c>
      <c r="AB846" t="s">
        <v>264</v>
      </c>
      <c r="AD846" t="s">
        <v>264</v>
      </c>
      <c r="AE846" t="s">
        <v>264</v>
      </c>
      <c r="AF846" t="s">
        <v>264</v>
      </c>
      <c r="AH846" t="s">
        <v>264</v>
      </c>
      <c r="AL846" t="s">
        <v>264</v>
      </c>
      <c r="AM846" s="6">
        <v>44795</v>
      </c>
      <c r="AN846" t="s">
        <v>388</v>
      </c>
      <c r="AO846" t="s">
        <v>268</v>
      </c>
      <c r="AP846">
        <v>1204</v>
      </c>
      <c r="AQ846" t="s">
        <v>269</v>
      </c>
      <c r="AR846" t="s">
        <v>827</v>
      </c>
      <c r="AU846" t="s">
        <v>264</v>
      </c>
      <c r="AV846" t="s">
        <v>270</v>
      </c>
      <c r="AX846" t="s">
        <v>264</v>
      </c>
      <c r="AY846">
        <v>808100</v>
      </c>
      <c r="AZ846">
        <v>1204.8081</v>
      </c>
      <c r="BA846" s="28" t="s">
        <v>199</v>
      </c>
    </row>
    <row r="847" spans="1:53">
      <c r="A847" t="s">
        <v>384</v>
      </c>
      <c r="B847" t="s">
        <v>385</v>
      </c>
      <c r="C847">
        <v>22001307</v>
      </c>
      <c r="D847">
        <v>1204</v>
      </c>
      <c r="E847" s="6">
        <v>44796</v>
      </c>
      <c r="F847" t="s">
        <v>7</v>
      </c>
      <c r="G847">
        <v>11.78</v>
      </c>
      <c r="H847">
        <v>11.78</v>
      </c>
      <c r="I847" t="s">
        <v>263</v>
      </c>
      <c r="J847" t="s">
        <v>263</v>
      </c>
      <c r="L847" s="29">
        <v>175000</v>
      </c>
      <c r="N847" s="29">
        <v>175000</v>
      </c>
      <c r="O847" t="s">
        <v>264</v>
      </c>
      <c r="Q847" t="s">
        <v>264</v>
      </c>
      <c r="R847" t="s">
        <v>265</v>
      </c>
      <c r="S847">
        <v>14860</v>
      </c>
      <c r="T847" t="s">
        <v>266</v>
      </c>
      <c r="U847" t="s">
        <v>267</v>
      </c>
      <c r="V847" t="s">
        <v>386</v>
      </c>
      <c r="W847" t="s">
        <v>387</v>
      </c>
      <c r="X847">
        <v>1934660</v>
      </c>
      <c r="Y847" s="6">
        <v>44797</v>
      </c>
      <c r="Z847" t="s">
        <v>264</v>
      </c>
      <c r="AA847">
        <v>1</v>
      </c>
      <c r="AB847" t="s">
        <v>264</v>
      </c>
      <c r="AD847" t="s">
        <v>264</v>
      </c>
      <c r="AE847" t="s">
        <v>264</v>
      </c>
      <c r="AF847" t="s">
        <v>264</v>
      </c>
      <c r="AH847" t="s">
        <v>264</v>
      </c>
      <c r="AL847" t="s">
        <v>264</v>
      </c>
      <c r="AM847" s="6">
        <v>44796</v>
      </c>
      <c r="AN847" t="s">
        <v>388</v>
      </c>
      <c r="AO847" t="s">
        <v>268</v>
      </c>
      <c r="AP847">
        <v>1204</v>
      </c>
      <c r="AQ847" t="s">
        <v>269</v>
      </c>
      <c r="AR847" t="s">
        <v>827</v>
      </c>
      <c r="AU847" t="s">
        <v>264</v>
      </c>
      <c r="AV847" t="s">
        <v>270</v>
      </c>
      <c r="AX847" t="s">
        <v>264</v>
      </c>
      <c r="AY847">
        <v>808100</v>
      </c>
      <c r="AZ847">
        <v>1204.8081</v>
      </c>
      <c r="BA847" s="28" t="s">
        <v>199</v>
      </c>
    </row>
    <row r="848" spans="1:53">
      <c r="A848" t="s">
        <v>271</v>
      </c>
      <c r="B848" t="s">
        <v>272</v>
      </c>
      <c r="C848">
        <v>22002892</v>
      </c>
      <c r="D848">
        <v>1204</v>
      </c>
      <c r="E848" s="6">
        <v>44796</v>
      </c>
      <c r="F848" t="s">
        <v>824</v>
      </c>
      <c r="G848">
        <v>488.52</v>
      </c>
      <c r="H848">
        <v>488.52</v>
      </c>
      <c r="I848" t="s">
        <v>263</v>
      </c>
      <c r="J848" t="s">
        <v>263</v>
      </c>
      <c r="L848" s="29">
        <v>7259421</v>
      </c>
      <c r="N848" s="29">
        <v>7259421</v>
      </c>
      <c r="O848" t="s">
        <v>264</v>
      </c>
      <c r="Q848" t="s">
        <v>264</v>
      </c>
      <c r="R848" t="s">
        <v>265</v>
      </c>
      <c r="S848">
        <v>14860</v>
      </c>
      <c r="T848" t="s">
        <v>266</v>
      </c>
      <c r="U848" t="s">
        <v>267</v>
      </c>
      <c r="V848" t="s">
        <v>273</v>
      </c>
      <c r="W848" t="s">
        <v>274</v>
      </c>
      <c r="X848">
        <v>1934503</v>
      </c>
      <c r="Y848" s="6">
        <v>44796</v>
      </c>
      <c r="Z848" t="s">
        <v>264</v>
      </c>
      <c r="AA848">
        <v>1</v>
      </c>
      <c r="AB848" t="s">
        <v>264</v>
      </c>
      <c r="AD848" t="s">
        <v>264</v>
      </c>
      <c r="AE848" t="s">
        <v>264</v>
      </c>
      <c r="AF848" t="s">
        <v>264</v>
      </c>
      <c r="AG848">
        <v>1</v>
      </c>
      <c r="AH848" t="s">
        <v>264</v>
      </c>
      <c r="AI848">
        <v>57064734</v>
      </c>
      <c r="AJ848" t="s">
        <v>824</v>
      </c>
      <c r="AL848" t="s">
        <v>825</v>
      </c>
      <c r="AM848" s="6">
        <v>44796</v>
      </c>
      <c r="AN848" t="s">
        <v>275</v>
      </c>
      <c r="AO848" t="s">
        <v>268</v>
      </c>
      <c r="AP848">
        <v>1204</v>
      </c>
      <c r="AQ848" t="s">
        <v>269</v>
      </c>
      <c r="AR848" t="s">
        <v>825</v>
      </c>
      <c r="AU848" t="s">
        <v>264</v>
      </c>
      <c r="AV848" t="s">
        <v>270</v>
      </c>
      <c r="AX848">
        <v>22001409</v>
      </c>
      <c r="AY848">
        <v>808100</v>
      </c>
      <c r="AZ848">
        <v>1204.8081</v>
      </c>
      <c r="BA848" s="28" t="s">
        <v>199</v>
      </c>
    </row>
    <row r="849" spans="1:53">
      <c r="A849" t="s">
        <v>384</v>
      </c>
      <c r="B849" t="s">
        <v>385</v>
      </c>
      <c r="C849">
        <v>22001581</v>
      </c>
      <c r="D849">
        <v>1201</v>
      </c>
      <c r="E849" s="6">
        <v>44783</v>
      </c>
      <c r="F849" t="s">
        <v>70</v>
      </c>
      <c r="G849">
        <v>538.36</v>
      </c>
      <c r="H849">
        <v>538.36</v>
      </c>
      <c r="I849" t="s">
        <v>263</v>
      </c>
      <c r="J849" t="s">
        <v>263</v>
      </c>
      <c r="L849" s="29">
        <v>8000000</v>
      </c>
      <c r="N849" s="29">
        <v>8000000</v>
      </c>
      <c r="O849" t="s">
        <v>264</v>
      </c>
      <c r="Q849" t="s">
        <v>264</v>
      </c>
      <c r="R849" t="s">
        <v>265</v>
      </c>
      <c r="S849">
        <v>14860</v>
      </c>
      <c r="T849" t="s">
        <v>266</v>
      </c>
      <c r="U849" t="s">
        <v>267</v>
      </c>
      <c r="V849" t="s">
        <v>386</v>
      </c>
      <c r="W849" t="s">
        <v>387</v>
      </c>
      <c r="X849">
        <v>1930273</v>
      </c>
      <c r="Y849" s="6">
        <v>44783</v>
      </c>
      <c r="Z849" t="s">
        <v>264</v>
      </c>
      <c r="AA849">
        <v>1</v>
      </c>
      <c r="AB849" t="s">
        <v>264</v>
      </c>
      <c r="AD849" t="s">
        <v>264</v>
      </c>
      <c r="AE849" t="s">
        <v>264</v>
      </c>
      <c r="AF849" t="s">
        <v>264</v>
      </c>
      <c r="AH849" t="s">
        <v>264</v>
      </c>
      <c r="AL849" t="s">
        <v>264</v>
      </c>
      <c r="AM849" s="6">
        <v>44783</v>
      </c>
      <c r="AN849" t="s">
        <v>388</v>
      </c>
      <c r="AO849" t="s">
        <v>268</v>
      </c>
      <c r="AP849">
        <v>1201</v>
      </c>
      <c r="AQ849" t="s">
        <v>269</v>
      </c>
      <c r="AR849" t="s">
        <v>828</v>
      </c>
      <c r="AU849" t="s">
        <v>264</v>
      </c>
      <c r="AV849" t="s">
        <v>270</v>
      </c>
      <c r="AX849" t="s">
        <v>264</v>
      </c>
      <c r="AY849">
        <v>809100</v>
      </c>
      <c r="AZ849">
        <v>1201.8090999999999</v>
      </c>
      <c r="BA849" s="28" t="s">
        <v>69</v>
      </c>
    </row>
    <row r="850" spans="1:53">
      <c r="A850" t="s">
        <v>384</v>
      </c>
      <c r="B850" t="s">
        <v>385</v>
      </c>
      <c r="C850">
        <v>22001588</v>
      </c>
      <c r="D850">
        <v>1201</v>
      </c>
      <c r="E850" s="6">
        <v>44783</v>
      </c>
      <c r="F850" t="s">
        <v>70</v>
      </c>
      <c r="G850">
        <v>33.65</v>
      </c>
      <c r="H850">
        <v>33.65</v>
      </c>
      <c r="I850" t="s">
        <v>263</v>
      </c>
      <c r="J850" t="s">
        <v>263</v>
      </c>
      <c r="L850" s="29">
        <v>500000</v>
      </c>
      <c r="N850" s="29">
        <v>500000</v>
      </c>
      <c r="O850" t="s">
        <v>264</v>
      </c>
      <c r="Q850" t="s">
        <v>264</v>
      </c>
      <c r="R850" t="s">
        <v>265</v>
      </c>
      <c r="S850">
        <v>14860</v>
      </c>
      <c r="T850" t="s">
        <v>266</v>
      </c>
      <c r="U850" t="s">
        <v>267</v>
      </c>
      <c r="V850" t="s">
        <v>386</v>
      </c>
      <c r="W850" t="s">
        <v>387</v>
      </c>
      <c r="X850">
        <v>1930311</v>
      </c>
      <c r="Y850" s="6">
        <v>44783</v>
      </c>
      <c r="Z850" t="s">
        <v>264</v>
      </c>
      <c r="AA850">
        <v>1</v>
      </c>
      <c r="AB850" t="s">
        <v>264</v>
      </c>
      <c r="AD850" t="s">
        <v>264</v>
      </c>
      <c r="AE850" t="s">
        <v>264</v>
      </c>
      <c r="AF850" t="s">
        <v>264</v>
      </c>
      <c r="AH850" t="s">
        <v>264</v>
      </c>
      <c r="AL850" t="s">
        <v>264</v>
      </c>
      <c r="AM850" s="6">
        <v>44783</v>
      </c>
      <c r="AN850" t="s">
        <v>388</v>
      </c>
      <c r="AO850" t="s">
        <v>268</v>
      </c>
      <c r="AP850">
        <v>1201</v>
      </c>
      <c r="AQ850" t="s">
        <v>269</v>
      </c>
      <c r="AR850" t="s">
        <v>829</v>
      </c>
      <c r="AU850" t="s">
        <v>264</v>
      </c>
      <c r="AV850" t="s">
        <v>270</v>
      </c>
      <c r="AX850" t="s">
        <v>264</v>
      </c>
      <c r="AY850">
        <v>809100</v>
      </c>
      <c r="AZ850">
        <v>1201.8090999999999</v>
      </c>
      <c r="BA850" s="28" t="s">
        <v>69</v>
      </c>
    </row>
    <row r="851" spans="1:53">
      <c r="A851" t="s">
        <v>271</v>
      </c>
      <c r="B851" t="s">
        <v>272</v>
      </c>
      <c r="C851">
        <v>22010929</v>
      </c>
      <c r="D851">
        <v>1201</v>
      </c>
      <c r="E851" s="6">
        <v>44785</v>
      </c>
      <c r="F851" t="s">
        <v>830</v>
      </c>
      <c r="G851">
        <v>100.94</v>
      </c>
      <c r="H851">
        <v>100.94</v>
      </c>
      <c r="I851" t="s">
        <v>263</v>
      </c>
      <c r="J851" t="s">
        <v>263</v>
      </c>
      <c r="L851" s="29">
        <v>1500000</v>
      </c>
      <c r="N851" s="29">
        <v>1500000</v>
      </c>
      <c r="O851" t="s">
        <v>264</v>
      </c>
      <c r="Q851" t="s">
        <v>264</v>
      </c>
      <c r="R851" t="s">
        <v>265</v>
      </c>
      <c r="S851">
        <v>14860</v>
      </c>
      <c r="T851" t="s">
        <v>266</v>
      </c>
      <c r="U851" t="s">
        <v>267</v>
      </c>
      <c r="V851" t="s">
        <v>273</v>
      </c>
      <c r="W851" t="s">
        <v>274</v>
      </c>
      <c r="X851">
        <v>1930571</v>
      </c>
      <c r="Y851" s="6">
        <v>44785</v>
      </c>
      <c r="Z851" t="s">
        <v>264</v>
      </c>
      <c r="AA851">
        <v>1</v>
      </c>
      <c r="AB851" t="s">
        <v>264</v>
      </c>
      <c r="AD851" t="s">
        <v>264</v>
      </c>
      <c r="AE851" t="s">
        <v>264</v>
      </c>
      <c r="AF851" t="s">
        <v>264</v>
      </c>
      <c r="AG851">
        <v>1</v>
      </c>
      <c r="AH851" t="s">
        <v>264</v>
      </c>
      <c r="AI851">
        <v>57323290</v>
      </c>
      <c r="AJ851" t="s">
        <v>830</v>
      </c>
      <c r="AL851" t="s">
        <v>831</v>
      </c>
      <c r="AM851" s="6">
        <v>44781</v>
      </c>
      <c r="AN851" t="s">
        <v>275</v>
      </c>
      <c r="AO851" t="s">
        <v>268</v>
      </c>
      <c r="AP851">
        <v>1201</v>
      </c>
      <c r="AQ851" t="s">
        <v>269</v>
      </c>
      <c r="AR851" t="s">
        <v>832</v>
      </c>
      <c r="AU851" t="s">
        <v>264</v>
      </c>
      <c r="AV851" t="s">
        <v>270</v>
      </c>
      <c r="AX851">
        <v>22002758</v>
      </c>
      <c r="AY851">
        <v>809100</v>
      </c>
      <c r="AZ851">
        <v>1201.8090999999999</v>
      </c>
      <c r="BA851" s="28" t="s">
        <v>69</v>
      </c>
    </row>
    <row r="852" spans="1:53">
      <c r="A852" t="s">
        <v>271</v>
      </c>
      <c r="B852" t="s">
        <v>272</v>
      </c>
      <c r="C852">
        <v>22011267</v>
      </c>
      <c r="D852">
        <v>1201</v>
      </c>
      <c r="E852" s="6">
        <v>44789</v>
      </c>
      <c r="F852" t="s">
        <v>833</v>
      </c>
      <c r="G852">
        <v>248.99</v>
      </c>
      <c r="H852">
        <v>248.99</v>
      </c>
      <c r="I852" t="s">
        <v>263</v>
      </c>
      <c r="J852" t="s">
        <v>263</v>
      </c>
      <c r="L852" s="29">
        <v>3700000</v>
      </c>
      <c r="N852" s="29">
        <v>3700000</v>
      </c>
      <c r="O852" t="s">
        <v>264</v>
      </c>
      <c r="Q852" t="s">
        <v>264</v>
      </c>
      <c r="R852" t="s">
        <v>265</v>
      </c>
      <c r="S852">
        <v>14860</v>
      </c>
      <c r="T852" t="s">
        <v>266</v>
      </c>
      <c r="U852" t="s">
        <v>267</v>
      </c>
      <c r="V852" t="s">
        <v>273</v>
      </c>
      <c r="W852" t="s">
        <v>274</v>
      </c>
      <c r="X852">
        <v>1932944</v>
      </c>
      <c r="Y852" s="6">
        <v>44789</v>
      </c>
      <c r="Z852" t="s">
        <v>264</v>
      </c>
      <c r="AA852">
        <v>1</v>
      </c>
      <c r="AB852" t="s">
        <v>264</v>
      </c>
      <c r="AD852" t="s">
        <v>264</v>
      </c>
      <c r="AE852" t="s">
        <v>264</v>
      </c>
      <c r="AF852" t="s">
        <v>264</v>
      </c>
      <c r="AG852">
        <v>1</v>
      </c>
      <c r="AH852" t="s">
        <v>264</v>
      </c>
      <c r="AI852">
        <v>57347970</v>
      </c>
      <c r="AJ852" t="s">
        <v>833</v>
      </c>
      <c r="AL852" t="s">
        <v>834</v>
      </c>
      <c r="AM852" s="6">
        <v>44789</v>
      </c>
      <c r="AN852" t="s">
        <v>275</v>
      </c>
      <c r="AO852" t="s">
        <v>268</v>
      </c>
      <c r="AP852">
        <v>1201</v>
      </c>
      <c r="AQ852" t="s">
        <v>269</v>
      </c>
      <c r="AR852" t="s">
        <v>835</v>
      </c>
      <c r="AU852" t="s">
        <v>264</v>
      </c>
      <c r="AV852" t="s">
        <v>270</v>
      </c>
      <c r="AX852">
        <v>22002776</v>
      </c>
      <c r="AY852">
        <v>809100</v>
      </c>
      <c r="AZ852">
        <v>1201.8090999999999</v>
      </c>
      <c r="BA852" s="28" t="s">
        <v>69</v>
      </c>
    </row>
    <row r="853" spans="1:53">
      <c r="A853" t="s">
        <v>271</v>
      </c>
      <c r="B853" t="s">
        <v>272</v>
      </c>
      <c r="C853">
        <v>22011268</v>
      </c>
      <c r="D853">
        <v>1201</v>
      </c>
      <c r="E853" s="6">
        <v>44789</v>
      </c>
      <c r="F853" t="s">
        <v>836</v>
      </c>
      <c r="G853">
        <v>32.299999999999997</v>
      </c>
      <c r="H853">
        <v>32.299999999999997</v>
      </c>
      <c r="I853" t="s">
        <v>263</v>
      </c>
      <c r="J853" t="s">
        <v>263</v>
      </c>
      <c r="L853" s="29">
        <v>480000</v>
      </c>
      <c r="N853" s="29">
        <v>480000</v>
      </c>
      <c r="O853" t="s">
        <v>264</v>
      </c>
      <c r="Q853" t="s">
        <v>264</v>
      </c>
      <c r="R853" t="s">
        <v>265</v>
      </c>
      <c r="S853">
        <v>14860</v>
      </c>
      <c r="T853" t="s">
        <v>266</v>
      </c>
      <c r="U853" t="s">
        <v>267</v>
      </c>
      <c r="V853" t="s">
        <v>273</v>
      </c>
      <c r="W853" t="s">
        <v>274</v>
      </c>
      <c r="X853">
        <v>1932963</v>
      </c>
      <c r="Y853" s="6">
        <v>44789</v>
      </c>
      <c r="Z853" t="s">
        <v>264</v>
      </c>
      <c r="AA853">
        <v>1</v>
      </c>
      <c r="AB853" t="s">
        <v>264</v>
      </c>
      <c r="AD853" t="s">
        <v>264</v>
      </c>
      <c r="AE853" t="s">
        <v>264</v>
      </c>
      <c r="AF853" t="s">
        <v>264</v>
      </c>
      <c r="AG853">
        <v>1</v>
      </c>
      <c r="AH853" t="s">
        <v>264</v>
      </c>
      <c r="AI853">
        <v>57316268</v>
      </c>
      <c r="AJ853" t="s">
        <v>836</v>
      </c>
      <c r="AL853" t="s">
        <v>837</v>
      </c>
      <c r="AM853" s="6">
        <v>44789</v>
      </c>
      <c r="AN853" t="s">
        <v>533</v>
      </c>
      <c r="AO853" t="s">
        <v>268</v>
      </c>
      <c r="AP853">
        <v>1201</v>
      </c>
      <c r="AQ853" t="s">
        <v>269</v>
      </c>
      <c r="AR853" t="s">
        <v>838</v>
      </c>
      <c r="AU853" t="s">
        <v>264</v>
      </c>
      <c r="AV853" t="s">
        <v>270</v>
      </c>
      <c r="AX853">
        <v>22002783</v>
      </c>
      <c r="AY853">
        <v>809100</v>
      </c>
      <c r="AZ853">
        <v>1201.8090999999999</v>
      </c>
      <c r="BA853" s="28" t="s">
        <v>69</v>
      </c>
    </row>
    <row r="854" spans="1:53">
      <c r="A854" t="s">
        <v>271</v>
      </c>
      <c r="B854" t="s">
        <v>272</v>
      </c>
      <c r="C854">
        <v>22011514</v>
      </c>
      <c r="D854">
        <v>1201</v>
      </c>
      <c r="E854" s="6">
        <v>44796</v>
      </c>
      <c r="F854" t="s">
        <v>839</v>
      </c>
      <c r="G854">
        <v>168.24</v>
      </c>
      <c r="H854">
        <v>168.24</v>
      </c>
      <c r="I854" t="s">
        <v>263</v>
      </c>
      <c r="J854" t="s">
        <v>263</v>
      </c>
      <c r="L854" s="29">
        <v>2500000</v>
      </c>
      <c r="N854" s="29">
        <v>2500000</v>
      </c>
      <c r="O854" t="s">
        <v>264</v>
      </c>
      <c r="Q854" t="s">
        <v>264</v>
      </c>
      <c r="R854" t="s">
        <v>265</v>
      </c>
      <c r="S854">
        <v>14860</v>
      </c>
      <c r="T854" t="s">
        <v>266</v>
      </c>
      <c r="U854" t="s">
        <v>267</v>
      </c>
      <c r="V854" t="s">
        <v>273</v>
      </c>
      <c r="W854" t="s">
        <v>274</v>
      </c>
      <c r="X854">
        <v>1934536</v>
      </c>
      <c r="Y854" s="6">
        <v>44796</v>
      </c>
      <c r="Z854" t="s">
        <v>264</v>
      </c>
      <c r="AA854">
        <v>1</v>
      </c>
      <c r="AB854" t="s">
        <v>264</v>
      </c>
      <c r="AD854" t="s">
        <v>264</v>
      </c>
      <c r="AE854" t="s">
        <v>264</v>
      </c>
      <c r="AF854" t="s">
        <v>264</v>
      </c>
      <c r="AG854">
        <v>1</v>
      </c>
      <c r="AH854" t="s">
        <v>264</v>
      </c>
      <c r="AI854">
        <v>57362037</v>
      </c>
      <c r="AJ854" t="s">
        <v>839</v>
      </c>
      <c r="AL854" t="s">
        <v>840</v>
      </c>
      <c r="AM854" s="6">
        <v>44743</v>
      </c>
      <c r="AN854" t="s">
        <v>275</v>
      </c>
      <c r="AO854" t="s">
        <v>268</v>
      </c>
      <c r="AP854">
        <v>1201</v>
      </c>
      <c r="AQ854" t="s">
        <v>269</v>
      </c>
      <c r="AR854" t="s">
        <v>841</v>
      </c>
      <c r="AU854" t="s">
        <v>264</v>
      </c>
      <c r="AV854" t="s">
        <v>270</v>
      </c>
      <c r="AX854">
        <v>22002830</v>
      </c>
      <c r="AY854">
        <v>809100</v>
      </c>
      <c r="AZ854">
        <v>1201.8090999999999</v>
      </c>
      <c r="BA854" s="28" t="s">
        <v>69</v>
      </c>
    </row>
    <row r="855" spans="1:53">
      <c r="A855" t="s">
        <v>384</v>
      </c>
      <c r="B855" t="s">
        <v>385</v>
      </c>
      <c r="C855">
        <v>22001598</v>
      </c>
      <c r="D855">
        <v>1201</v>
      </c>
      <c r="E855" s="6">
        <v>44802</v>
      </c>
      <c r="F855" t="s">
        <v>70</v>
      </c>
      <c r="G855">
        <v>134.59</v>
      </c>
      <c r="H855">
        <v>134.59</v>
      </c>
      <c r="I855" t="s">
        <v>263</v>
      </c>
      <c r="J855" t="s">
        <v>263</v>
      </c>
      <c r="L855" s="29">
        <v>2000000</v>
      </c>
      <c r="N855" s="29">
        <v>2000000</v>
      </c>
      <c r="O855" t="s">
        <v>264</v>
      </c>
      <c r="Q855" t="s">
        <v>264</v>
      </c>
      <c r="R855" t="s">
        <v>265</v>
      </c>
      <c r="S855">
        <v>14860</v>
      </c>
      <c r="T855" t="s">
        <v>266</v>
      </c>
      <c r="U855" t="s">
        <v>267</v>
      </c>
      <c r="V855" t="s">
        <v>386</v>
      </c>
      <c r="W855" t="s">
        <v>387</v>
      </c>
      <c r="X855">
        <v>1935899</v>
      </c>
      <c r="Y855" s="6">
        <v>44802</v>
      </c>
      <c r="Z855" t="s">
        <v>264</v>
      </c>
      <c r="AA855">
        <v>1</v>
      </c>
      <c r="AB855" t="s">
        <v>264</v>
      </c>
      <c r="AD855" t="s">
        <v>264</v>
      </c>
      <c r="AE855" t="s">
        <v>264</v>
      </c>
      <c r="AF855" t="s">
        <v>264</v>
      </c>
      <c r="AH855" t="s">
        <v>264</v>
      </c>
      <c r="AL855" t="s">
        <v>264</v>
      </c>
      <c r="AM855" s="6">
        <v>44802</v>
      </c>
      <c r="AN855" t="s">
        <v>388</v>
      </c>
      <c r="AO855" t="s">
        <v>268</v>
      </c>
      <c r="AP855">
        <v>1201</v>
      </c>
      <c r="AQ855" t="s">
        <v>269</v>
      </c>
      <c r="AR855" t="s">
        <v>1130</v>
      </c>
      <c r="AU855" t="s">
        <v>264</v>
      </c>
      <c r="AV855" t="s">
        <v>270</v>
      </c>
      <c r="AX855" t="s">
        <v>264</v>
      </c>
      <c r="AY855">
        <v>809100</v>
      </c>
      <c r="AZ855">
        <v>1201.8090999999999</v>
      </c>
      <c r="BA855" s="28" t="s">
        <v>69</v>
      </c>
    </row>
    <row r="856" spans="1:53">
      <c r="A856" t="s">
        <v>384</v>
      </c>
      <c r="B856" t="s">
        <v>385</v>
      </c>
      <c r="C856">
        <v>22001599</v>
      </c>
      <c r="D856">
        <v>1201</v>
      </c>
      <c r="E856" s="6">
        <v>44802</v>
      </c>
      <c r="F856" t="s">
        <v>70</v>
      </c>
      <c r="G856">
        <v>398.99</v>
      </c>
      <c r="H856">
        <v>398.99</v>
      </c>
      <c r="I856" t="s">
        <v>263</v>
      </c>
      <c r="J856" t="s">
        <v>263</v>
      </c>
      <c r="L856" s="29">
        <v>5929000</v>
      </c>
      <c r="N856" s="29">
        <v>5929000</v>
      </c>
      <c r="O856" t="s">
        <v>264</v>
      </c>
      <c r="Q856" t="s">
        <v>264</v>
      </c>
      <c r="R856" t="s">
        <v>265</v>
      </c>
      <c r="S856">
        <v>14860</v>
      </c>
      <c r="T856" t="s">
        <v>266</v>
      </c>
      <c r="U856" t="s">
        <v>267</v>
      </c>
      <c r="V856" t="s">
        <v>386</v>
      </c>
      <c r="W856" t="s">
        <v>387</v>
      </c>
      <c r="X856">
        <v>1935899</v>
      </c>
      <c r="Y856" s="6">
        <v>44802</v>
      </c>
      <c r="Z856" t="s">
        <v>264</v>
      </c>
      <c r="AA856">
        <v>1</v>
      </c>
      <c r="AB856" t="s">
        <v>264</v>
      </c>
      <c r="AD856" t="s">
        <v>264</v>
      </c>
      <c r="AE856" t="s">
        <v>264</v>
      </c>
      <c r="AF856" t="s">
        <v>264</v>
      </c>
      <c r="AH856" t="s">
        <v>264</v>
      </c>
      <c r="AL856" t="s">
        <v>264</v>
      </c>
      <c r="AM856" s="6">
        <v>44802</v>
      </c>
      <c r="AN856" t="s">
        <v>388</v>
      </c>
      <c r="AO856" t="s">
        <v>268</v>
      </c>
      <c r="AP856">
        <v>1201</v>
      </c>
      <c r="AQ856" t="s">
        <v>269</v>
      </c>
      <c r="AR856" t="s">
        <v>1131</v>
      </c>
      <c r="AU856" t="s">
        <v>264</v>
      </c>
      <c r="AV856" t="s">
        <v>270</v>
      </c>
      <c r="AX856" t="s">
        <v>264</v>
      </c>
      <c r="AY856">
        <v>809100</v>
      </c>
      <c r="AZ856">
        <v>1201.8090999999999</v>
      </c>
      <c r="BA856" s="28" t="s">
        <v>69</v>
      </c>
    </row>
    <row r="857" spans="1:53">
      <c r="A857" t="s">
        <v>384</v>
      </c>
      <c r="B857" t="s">
        <v>385</v>
      </c>
      <c r="C857">
        <v>22001293</v>
      </c>
      <c r="D857">
        <v>1204</v>
      </c>
      <c r="E857" s="6">
        <v>44782</v>
      </c>
      <c r="F857" t="s">
        <v>70</v>
      </c>
      <c r="G857">
        <v>16.82</v>
      </c>
      <c r="H857">
        <v>16.82</v>
      </c>
      <c r="I857" t="s">
        <v>263</v>
      </c>
      <c r="J857" t="s">
        <v>263</v>
      </c>
      <c r="L857" s="29">
        <v>250000</v>
      </c>
      <c r="N857" s="29">
        <v>250000</v>
      </c>
      <c r="O857" t="s">
        <v>264</v>
      </c>
      <c r="Q857" t="s">
        <v>264</v>
      </c>
      <c r="R857" t="s">
        <v>265</v>
      </c>
      <c r="S857">
        <v>14860</v>
      </c>
      <c r="T857" t="s">
        <v>266</v>
      </c>
      <c r="U857" t="s">
        <v>267</v>
      </c>
      <c r="V857" t="s">
        <v>386</v>
      </c>
      <c r="W857" t="s">
        <v>387</v>
      </c>
      <c r="X857">
        <v>1929267</v>
      </c>
      <c r="Y857" s="6">
        <v>44782</v>
      </c>
      <c r="Z857" t="s">
        <v>264</v>
      </c>
      <c r="AA857">
        <v>1</v>
      </c>
      <c r="AB857" t="s">
        <v>264</v>
      </c>
      <c r="AD857" t="s">
        <v>264</v>
      </c>
      <c r="AE857" t="s">
        <v>264</v>
      </c>
      <c r="AF857" t="s">
        <v>264</v>
      </c>
      <c r="AH857" t="s">
        <v>264</v>
      </c>
      <c r="AL857" t="s">
        <v>264</v>
      </c>
      <c r="AM857" s="6">
        <v>44782</v>
      </c>
      <c r="AN857" t="s">
        <v>614</v>
      </c>
      <c r="AO857" t="s">
        <v>268</v>
      </c>
      <c r="AP857">
        <v>1204</v>
      </c>
      <c r="AQ857" t="s">
        <v>269</v>
      </c>
      <c r="AR857" t="s">
        <v>842</v>
      </c>
      <c r="AU857" t="s">
        <v>264</v>
      </c>
      <c r="AV857" t="s">
        <v>270</v>
      </c>
      <c r="AX857" t="s">
        <v>264</v>
      </c>
      <c r="AY857">
        <v>809100</v>
      </c>
      <c r="AZ857">
        <v>1204.8090999999999</v>
      </c>
      <c r="BA857" s="28" t="s">
        <v>202</v>
      </c>
    </row>
    <row r="858" spans="1:53">
      <c r="A858" t="s">
        <v>384</v>
      </c>
      <c r="B858" t="s">
        <v>385</v>
      </c>
      <c r="C858">
        <v>22001301</v>
      </c>
      <c r="D858">
        <v>1204</v>
      </c>
      <c r="E858" s="6">
        <v>44795</v>
      </c>
      <c r="F858" t="s">
        <v>70</v>
      </c>
      <c r="G858">
        <v>53.84</v>
      </c>
      <c r="H858">
        <v>53.84</v>
      </c>
      <c r="I858" t="s">
        <v>263</v>
      </c>
      <c r="J858" t="s">
        <v>263</v>
      </c>
      <c r="L858" s="29">
        <v>800000</v>
      </c>
      <c r="N858" s="29">
        <v>800000</v>
      </c>
      <c r="O858" t="s">
        <v>264</v>
      </c>
      <c r="Q858" t="s">
        <v>264</v>
      </c>
      <c r="R858" t="s">
        <v>265</v>
      </c>
      <c r="S858">
        <v>14860</v>
      </c>
      <c r="T858" t="s">
        <v>266</v>
      </c>
      <c r="U858" t="s">
        <v>267</v>
      </c>
      <c r="V858" t="s">
        <v>386</v>
      </c>
      <c r="W858" t="s">
        <v>387</v>
      </c>
      <c r="X858">
        <v>1934552</v>
      </c>
      <c r="Y858" s="6">
        <v>44796</v>
      </c>
      <c r="Z858" t="s">
        <v>264</v>
      </c>
      <c r="AA858">
        <v>1</v>
      </c>
      <c r="AB858" t="s">
        <v>264</v>
      </c>
      <c r="AD858" t="s">
        <v>264</v>
      </c>
      <c r="AE858" t="s">
        <v>264</v>
      </c>
      <c r="AF858" t="s">
        <v>264</v>
      </c>
      <c r="AH858" t="s">
        <v>264</v>
      </c>
      <c r="AL858" t="s">
        <v>264</v>
      </c>
      <c r="AM858" s="6">
        <v>44795</v>
      </c>
      <c r="AN858" t="s">
        <v>388</v>
      </c>
      <c r="AO858" t="s">
        <v>268</v>
      </c>
      <c r="AP858">
        <v>1204</v>
      </c>
      <c r="AQ858" t="s">
        <v>269</v>
      </c>
      <c r="AR858" t="s">
        <v>843</v>
      </c>
      <c r="AU858" t="s">
        <v>264</v>
      </c>
      <c r="AV858" t="s">
        <v>270</v>
      </c>
      <c r="AX858" t="s">
        <v>264</v>
      </c>
      <c r="AY858">
        <v>809100</v>
      </c>
      <c r="AZ858">
        <v>1204.8090999999999</v>
      </c>
      <c r="BA858" s="28" t="s">
        <v>202</v>
      </c>
    </row>
    <row r="859" spans="1:53">
      <c r="A859" t="s">
        <v>384</v>
      </c>
      <c r="B859" t="s">
        <v>385</v>
      </c>
      <c r="C859">
        <v>22001308</v>
      </c>
      <c r="D859">
        <v>1204</v>
      </c>
      <c r="E859" s="6">
        <v>44796</v>
      </c>
      <c r="F859" t="s">
        <v>70</v>
      </c>
      <c r="G859">
        <v>20.190000000000001</v>
      </c>
      <c r="H859">
        <v>20.190000000000001</v>
      </c>
      <c r="I859" t="s">
        <v>263</v>
      </c>
      <c r="J859" t="s">
        <v>263</v>
      </c>
      <c r="L859" s="29">
        <v>300000</v>
      </c>
      <c r="N859" s="29">
        <v>300000</v>
      </c>
      <c r="O859" t="s">
        <v>264</v>
      </c>
      <c r="Q859" t="s">
        <v>264</v>
      </c>
      <c r="R859" t="s">
        <v>265</v>
      </c>
      <c r="S859">
        <v>14860</v>
      </c>
      <c r="T859" t="s">
        <v>266</v>
      </c>
      <c r="U859" t="s">
        <v>267</v>
      </c>
      <c r="V859" t="s">
        <v>386</v>
      </c>
      <c r="W859" t="s">
        <v>387</v>
      </c>
      <c r="X859">
        <v>1934660</v>
      </c>
      <c r="Y859" s="6">
        <v>44797</v>
      </c>
      <c r="Z859" t="s">
        <v>264</v>
      </c>
      <c r="AA859">
        <v>1</v>
      </c>
      <c r="AB859" t="s">
        <v>264</v>
      </c>
      <c r="AD859" t="s">
        <v>264</v>
      </c>
      <c r="AE859" t="s">
        <v>264</v>
      </c>
      <c r="AF859" t="s">
        <v>264</v>
      </c>
      <c r="AH859" t="s">
        <v>264</v>
      </c>
      <c r="AL859" t="s">
        <v>264</v>
      </c>
      <c r="AM859" s="6">
        <v>44796</v>
      </c>
      <c r="AN859" t="s">
        <v>388</v>
      </c>
      <c r="AO859" t="s">
        <v>268</v>
      </c>
      <c r="AP859">
        <v>1204</v>
      </c>
      <c r="AQ859" t="s">
        <v>269</v>
      </c>
      <c r="AR859" t="s">
        <v>264</v>
      </c>
      <c r="AU859" t="s">
        <v>264</v>
      </c>
      <c r="AV859" t="s">
        <v>270</v>
      </c>
      <c r="AX859" t="s">
        <v>264</v>
      </c>
      <c r="AY859">
        <v>809100</v>
      </c>
      <c r="AZ859">
        <v>1204.8090999999999</v>
      </c>
      <c r="BA859" s="28" t="s">
        <v>202</v>
      </c>
    </row>
    <row r="860" spans="1:53">
      <c r="A860" t="s">
        <v>271</v>
      </c>
      <c r="B860" t="s">
        <v>272</v>
      </c>
      <c r="C860">
        <v>22002890</v>
      </c>
      <c r="D860">
        <v>1204</v>
      </c>
      <c r="E860" s="6">
        <v>44796</v>
      </c>
      <c r="F860" t="s">
        <v>844</v>
      </c>
      <c r="G860">
        <v>942.13</v>
      </c>
      <c r="H860">
        <v>942.13</v>
      </c>
      <c r="I860" t="s">
        <v>263</v>
      </c>
      <c r="J860" t="s">
        <v>263</v>
      </c>
      <c r="L860" s="29">
        <v>14000000</v>
      </c>
      <c r="N860" s="29">
        <v>14000000</v>
      </c>
      <c r="O860" t="s">
        <v>264</v>
      </c>
      <c r="Q860" t="s">
        <v>264</v>
      </c>
      <c r="R860" t="s">
        <v>265</v>
      </c>
      <c r="S860">
        <v>14860</v>
      </c>
      <c r="T860" t="s">
        <v>266</v>
      </c>
      <c r="U860" t="s">
        <v>267</v>
      </c>
      <c r="V860" t="s">
        <v>273</v>
      </c>
      <c r="W860" t="s">
        <v>274</v>
      </c>
      <c r="X860">
        <v>1934469</v>
      </c>
      <c r="Y860" s="6">
        <v>44796</v>
      </c>
      <c r="Z860" t="s">
        <v>264</v>
      </c>
      <c r="AA860">
        <v>1</v>
      </c>
      <c r="AB860" t="s">
        <v>264</v>
      </c>
      <c r="AD860" t="s">
        <v>264</v>
      </c>
      <c r="AE860" t="s">
        <v>264</v>
      </c>
      <c r="AF860" t="s">
        <v>264</v>
      </c>
      <c r="AG860">
        <v>1</v>
      </c>
      <c r="AH860" t="s">
        <v>264</v>
      </c>
      <c r="AI860">
        <v>55737771</v>
      </c>
      <c r="AJ860" t="s">
        <v>844</v>
      </c>
      <c r="AL860" t="s">
        <v>845</v>
      </c>
      <c r="AM860" s="6">
        <v>44789</v>
      </c>
      <c r="AN860" t="s">
        <v>275</v>
      </c>
      <c r="AO860" t="s">
        <v>268</v>
      </c>
      <c r="AP860">
        <v>1204</v>
      </c>
      <c r="AQ860" t="s">
        <v>269</v>
      </c>
      <c r="AR860" t="s">
        <v>846</v>
      </c>
      <c r="AU860" t="s">
        <v>264</v>
      </c>
      <c r="AV860" t="s">
        <v>270</v>
      </c>
      <c r="AX860">
        <v>22001407</v>
      </c>
      <c r="AY860">
        <v>809100</v>
      </c>
      <c r="AZ860">
        <v>1204.8090999999999</v>
      </c>
      <c r="BA860" s="28" t="s">
        <v>202</v>
      </c>
    </row>
    <row r="861" spans="1:53">
      <c r="A861" t="s">
        <v>384</v>
      </c>
      <c r="B861" t="s">
        <v>385</v>
      </c>
      <c r="C861">
        <v>22001601</v>
      </c>
      <c r="D861">
        <v>1201</v>
      </c>
      <c r="E861" s="6">
        <v>44802</v>
      </c>
      <c r="F861" t="s">
        <v>70</v>
      </c>
      <c r="G861" s="29">
        <v>6202.78</v>
      </c>
      <c r="H861" s="29">
        <v>6202.78</v>
      </c>
      <c r="I861" t="s">
        <v>263</v>
      </c>
      <c r="J861" t="s">
        <v>263</v>
      </c>
      <c r="L861" s="29">
        <v>92173355</v>
      </c>
      <c r="N861" s="29">
        <v>92173355</v>
      </c>
      <c r="O861" t="s">
        <v>264</v>
      </c>
      <c r="Q861" t="s">
        <v>264</v>
      </c>
      <c r="R861" t="s">
        <v>265</v>
      </c>
      <c r="S861">
        <v>14860</v>
      </c>
      <c r="T861" t="s">
        <v>266</v>
      </c>
      <c r="U861" t="s">
        <v>267</v>
      </c>
      <c r="V861" t="s">
        <v>386</v>
      </c>
      <c r="W861" t="s">
        <v>387</v>
      </c>
      <c r="X861">
        <v>1935899</v>
      </c>
      <c r="Y861" s="6">
        <v>44802</v>
      </c>
      <c r="Z861" t="s">
        <v>264</v>
      </c>
      <c r="AA861">
        <v>2</v>
      </c>
      <c r="AB861" t="s">
        <v>264</v>
      </c>
      <c r="AD861" t="s">
        <v>264</v>
      </c>
      <c r="AE861" t="s">
        <v>264</v>
      </c>
      <c r="AF861" t="s">
        <v>264</v>
      </c>
      <c r="AH861" t="s">
        <v>264</v>
      </c>
      <c r="AL861" t="s">
        <v>264</v>
      </c>
      <c r="AM861" s="6">
        <v>44802</v>
      </c>
      <c r="AN861" t="s">
        <v>388</v>
      </c>
      <c r="AO861" t="s">
        <v>268</v>
      </c>
      <c r="AP861">
        <v>1204</v>
      </c>
      <c r="AQ861" t="s">
        <v>269</v>
      </c>
      <c r="AR861" t="s">
        <v>1132</v>
      </c>
      <c r="AU861" t="s">
        <v>264</v>
      </c>
      <c r="AV861" t="s">
        <v>270</v>
      </c>
      <c r="AX861" t="s">
        <v>264</v>
      </c>
      <c r="AY861">
        <v>809100</v>
      </c>
      <c r="AZ861">
        <v>1204.8090999999999</v>
      </c>
      <c r="BA861" s="28" t="s">
        <v>202</v>
      </c>
    </row>
    <row r="862" spans="1:53">
      <c r="A862" t="s">
        <v>271</v>
      </c>
      <c r="B862" t="s">
        <v>272</v>
      </c>
      <c r="C862">
        <v>22010897</v>
      </c>
      <c r="D862">
        <v>1201</v>
      </c>
      <c r="E862" s="6">
        <v>44783</v>
      </c>
      <c r="F862" t="s">
        <v>847</v>
      </c>
      <c r="G862">
        <v>35.33</v>
      </c>
      <c r="H862">
        <v>35.33</v>
      </c>
      <c r="I862" t="s">
        <v>263</v>
      </c>
      <c r="J862" t="s">
        <v>263</v>
      </c>
      <c r="L862" s="29">
        <v>525000</v>
      </c>
      <c r="N862" s="29">
        <v>525000</v>
      </c>
      <c r="O862" t="s">
        <v>264</v>
      </c>
      <c r="Q862" t="s">
        <v>264</v>
      </c>
      <c r="R862" t="s">
        <v>265</v>
      </c>
      <c r="S862">
        <v>14860</v>
      </c>
      <c r="T862" t="s">
        <v>266</v>
      </c>
      <c r="U862" t="s">
        <v>267</v>
      </c>
      <c r="V862" t="s">
        <v>273</v>
      </c>
      <c r="W862" t="s">
        <v>274</v>
      </c>
      <c r="X862">
        <v>1929861</v>
      </c>
      <c r="Y862" s="6">
        <v>44783</v>
      </c>
      <c r="Z862" t="s">
        <v>264</v>
      </c>
      <c r="AA862">
        <v>1</v>
      </c>
      <c r="AB862" t="s">
        <v>264</v>
      </c>
      <c r="AD862" t="s">
        <v>264</v>
      </c>
      <c r="AE862" t="s">
        <v>264</v>
      </c>
      <c r="AF862" t="s">
        <v>264</v>
      </c>
      <c r="AG862">
        <v>1</v>
      </c>
      <c r="AH862" t="s">
        <v>264</v>
      </c>
      <c r="AI862">
        <v>55671830</v>
      </c>
      <c r="AJ862" t="s">
        <v>847</v>
      </c>
      <c r="AL862" t="s">
        <v>848</v>
      </c>
      <c r="AM862" s="6">
        <v>44779</v>
      </c>
      <c r="AN862" t="s">
        <v>275</v>
      </c>
      <c r="AO862" t="s">
        <v>268</v>
      </c>
      <c r="AP862">
        <v>1201</v>
      </c>
      <c r="AQ862" t="s">
        <v>269</v>
      </c>
      <c r="AR862" t="s">
        <v>849</v>
      </c>
      <c r="AU862" t="s">
        <v>264</v>
      </c>
      <c r="AV862" t="s">
        <v>270</v>
      </c>
      <c r="AX862">
        <v>22002745</v>
      </c>
      <c r="AY862">
        <v>810110</v>
      </c>
      <c r="AZ862">
        <v>1201.8101099999999</v>
      </c>
      <c r="BA862" s="28" t="s">
        <v>71</v>
      </c>
    </row>
    <row r="863" spans="1:53">
      <c r="A863" t="s">
        <v>271</v>
      </c>
      <c r="B863" t="s">
        <v>272</v>
      </c>
      <c r="C863">
        <v>22010918</v>
      </c>
      <c r="D863">
        <v>1201</v>
      </c>
      <c r="E863" s="6">
        <v>44784</v>
      </c>
      <c r="F863" t="s">
        <v>850</v>
      </c>
      <c r="G863">
        <v>242.6</v>
      </c>
      <c r="H863">
        <v>242.6</v>
      </c>
      <c r="I863" t="s">
        <v>263</v>
      </c>
      <c r="J863" t="s">
        <v>263</v>
      </c>
      <c r="L863" s="29">
        <v>3605000</v>
      </c>
      <c r="N863" s="29">
        <v>3605000</v>
      </c>
      <c r="O863" t="s">
        <v>264</v>
      </c>
      <c r="Q863" t="s">
        <v>264</v>
      </c>
      <c r="R863" t="s">
        <v>265</v>
      </c>
      <c r="S863">
        <v>14860</v>
      </c>
      <c r="T863" t="s">
        <v>266</v>
      </c>
      <c r="U863" t="s">
        <v>267</v>
      </c>
      <c r="V863" t="s">
        <v>273</v>
      </c>
      <c r="W863" t="s">
        <v>274</v>
      </c>
      <c r="X863">
        <v>1930460</v>
      </c>
      <c r="Y863" s="6">
        <v>44784</v>
      </c>
      <c r="Z863" t="s">
        <v>264</v>
      </c>
      <c r="AA863">
        <v>1</v>
      </c>
      <c r="AB863" t="s">
        <v>264</v>
      </c>
      <c r="AD863" t="s">
        <v>264</v>
      </c>
      <c r="AE863" t="s">
        <v>264</v>
      </c>
      <c r="AF863" t="s">
        <v>264</v>
      </c>
      <c r="AG863">
        <v>1</v>
      </c>
      <c r="AH863" t="s">
        <v>264</v>
      </c>
      <c r="AI863">
        <v>55117880</v>
      </c>
      <c r="AJ863" t="s">
        <v>850</v>
      </c>
      <c r="AL863">
        <v>22.373803890000001</v>
      </c>
      <c r="AM863" s="6">
        <v>44768</v>
      </c>
      <c r="AN863" t="s">
        <v>275</v>
      </c>
      <c r="AO863" t="s">
        <v>268</v>
      </c>
      <c r="AP863">
        <v>1201</v>
      </c>
      <c r="AQ863" t="s">
        <v>269</v>
      </c>
      <c r="AR863" t="s">
        <v>851</v>
      </c>
      <c r="AU863" t="s">
        <v>264</v>
      </c>
      <c r="AV863" t="s">
        <v>270</v>
      </c>
      <c r="AX863">
        <v>22002724</v>
      </c>
      <c r="AY863">
        <v>810110</v>
      </c>
      <c r="AZ863">
        <v>1201.8101099999999</v>
      </c>
      <c r="BA863" s="28" t="s">
        <v>71</v>
      </c>
    </row>
    <row r="864" spans="1:53">
      <c r="A864" t="s">
        <v>271</v>
      </c>
      <c r="B864" t="s">
        <v>272</v>
      </c>
      <c r="C864">
        <v>22011542</v>
      </c>
      <c r="D864">
        <v>1201</v>
      </c>
      <c r="E864" s="6">
        <v>44798</v>
      </c>
      <c r="F864" t="s">
        <v>847</v>
      </c>
      <c r="G864">
        <v>35.33</v>
      </c>
      <c r="H864">
        <v>35.33</v>
      </c>
      <c r="I864" t="s">
        <v>263</v>
      </c>
      <c r="J864" t="s">
        <v>263</v>
      </c>
      <c r="L864" s="29">
        <v>524999.34</v>
      </c>
      <c r="N864" s="29">
        <v>524999.34</v>
      </c>
      <c r="O864" t="s">
        <v>264</v>
      </c>
      <c r="Q864" t="s">
        <v>264</v>
      </c>
      <c r="R864" t="s">
        <v>265</v>
      </c>
      <c r="S864">
        <v>14860</v>
      </c>
      <c r="T864" t="s">
        <v>266</v>
      </c>
      <c r="U864" t="s">
        <v>267</v>
      </c>
      <c r="V864" t="s">
        <v>273</v>
      </c>
      <c r="W864" t="s">
        <v>274</v>
      </c>
      <c r="X864">
        <v>1935315</v>
      </c>
      <c r="Y864" s="6">
        <v>44798</v>
      </c>
      <c r="Z864" t="s">
        <v>264</v>
      </c>
      <c r="AA864">
        <v>1</v>
      </c>
      <c r="AB864" t="s">
        <v>264</v>
      </c>
      <c r="AD864" t="s">
        <v>264</v>
      </c>
      <c r="AE864" t="s">
        <v>264</v>
      </c>
      <c r="AF864" t="s">
        <v>264</v>
      </c>
      <c r="AG864">
        <v>1</v>
      </c>
      <c r="AH864" t="s">
        <v>264</v>
      </c>
      <c r="AI864">
        <v>55671830</v>
      </c>
      <c r="AJ864" t="s">
        <v>847</v>
      </c>
      <c r="AL864" t="s">
        <v>852</v>
      </c>
      <c r="AM864" s="6">
        <v>44798</v>
      </c>
      <c r="AN864" t="s">
        <v>275</v>
      </c>
      <c r="AO864" t="s">
        <v>268</v>
      </c>
      <c r="AP864">
        <v>1201</v>
      </c>
      <c r="AQ864" t="s">
        <v>269</v>
      </c>
      <c r="AR864" t="s">
        <v>853</v>
      </c>
      <c r="AU864" t="s">
        <v>264</v>
      </c>
      <c r="AV864" t="s">
        <v>270</v>
      </c>
      <c r="AX864">
        <v>22002847</v>
      </c>
      <c r="AY864">
        <v>810110</v>
      </c>
      <c r="AZ864">
        <v>1201.8101099999999</v>
      </c>
      <c r="BA864" s="28" t="s">
        <v>71</v>
      </c>
    </row>
    <row r="865" spans="1:53">
      <c r="A865" t="s">
        <v>271</v>
      </c>
      <c r="B865" t="s">
        <v>272</v>
      </c>
      <c r="C865">
        <v>22011543</v>
      </c>
      <c r="D865">
        <v>1201</v>
      </c>
      <c r="E865" s="6">
        <v>44798</v>
      </c>
      <c r="F865" t="s">
        <v>847</v>
      </c>
      <c r="G865">
        <v>104.31</v>
      </c>
      <c r="H865">
        <v>104.31</v>
      </c>
      <c r="I865" t="s">
        <v>263</v>
      </c>
      <c r="J865" t="s">
        <v>263</v>
      </c>
      <c r="L865" s="29">
        <v>1549999.04</v>
      </c>
      <c r="N865" s="29">
        <v>1549999.04</v>
      </c>
      <c r="O865" t="s">
        <v>264</v>
      </c>
      <c r="Q865" t="s">
        <v>264</v>
      </c>
      <c r="R865" t="s">
        <v>265</v>
      </c>
      <c r="S865">
        <v>14860</v>
      </c>
      <c r="T865" t="s">
        <v>266</v>
      </c>
      <c r="U865" t="s">
        <v>267</v>
      </c>
      <c r="V865" t="s">
        <v>273</v>
      </c>
      <c r="W865" t="s">
        <v>274</v>
      </c>
      <c r="X865">
        <v>1935317</v>
      </c>
      <c r="Y865" s="6">
        <v>44798</v>
      </c>
      <c r="Z865" t="s">
        <v>264</v>
      </c>
      <c r="AA865">
        <v>1</v>
      </c>
      <c r="AB865" t="s">
        <v>264</v>
      </c>
      <c r="AD865" t="s">
        <v>264</v>
      </c>
      <c r="AE865" t="s">
        <v>264</v>
      </c>
      <c r="AF865" t="s">
        <v>264</v>
      </c>
      <c r="AG865">
        <v>2</v>
      </c>
      <c r="AH865" t="s">
        <v>264</v>
      </c>
      <c r="AI865">
        <v>55671830</v>
      </c>
      <c r="AJ865" t="s">
        <v>847</v>
      </c>
      <c r="AL865" t="s">
        <v>852</v>
      </c>
      <c r="AM865" s="6">
        <v>44798</v>
      </c>
      <c r="AN865" t="s">
        <v>275</v>
      </c>
      <c r="AO865" t="s">
        <v>268</v>
      </c>
      <c r="AP865">
        <v>1201</v>
      </c>
      <c r="AQ865" t="s">
        <v>269</v>
      </c>
      <c r="AR865" t="s">
        <v>854</v>
      </c>
      <c r="AU865" t="s">
        <v>264</v>
      </c>
      <c r="AV865" t="s">
        <v>270</v>
      </c>
      <c r="AX865">
        <v>22002847</v>
      </c>
      <c r="AY865">
        <v>810110</v>
      </c>
      <c r="AZ865">
        <v>1201.8101099999999</v>
      </c>
      <c r="BA865" s="28" t="s">
        <v>71</v>
      </c>
    </row>
    <row r="866" spans="1:53">
      <c r="A866" t="s">
        <v>271</v>
      </c>
      <c r="B866" t="s">
        <v>272</v>
      </c>
      <c r="C866">
        <v>22002810</v>
      </c>
      <c r="D866">
        <v>1204</v>
      </c>
      <c r="E866" s="6">
        <v>44783</v>
      </c>
      <c r="F866" t="s">
        <v>847</v>
      </c>
      <c r="G866" s="29">
        <v>1762.11</v>
      </c>
      <c r="H866" s="29">
        <v>1762.11</v>
      </c>
      <c r="I866" t="s">
        <v>263</v>
      </c>
      <c r="J866" t="s">
        <v>263</v>
      </c>
      <c r="L866" s="29">
        <v>26185000</v>
      </c>
      <c r="N866" s="29">
        <v>26185000</v>
      </c>
      <c r="O866" t="s">
        <v>264</v>
      </c>
      <c r="Q866" t="s">
        <v>264</v>
      </c>
      <c r="R866" t="s">
        <v>265</v>
      </c>
      <c r="S866">
        <v>14860</v>
      </c>
      <c r="T866" t="s">
        <v>266</v>
      </c>
      <c r="U866" t="s">
        <v>267</v>
      </c>
      <c r="V866" t="s">
        <v>273</v>
      </c>
      <c r="W866" t="s">
        <v>274</v>
      </c>
      <c r="X866">
        <v>1929866</v>
      </c>
      <c r="Y866" s="6">
        <v>44783</v>
      </c>
      <c r="Z866" t="s">
        <v>264</v>
      </c>
      <c r="AA866">
        <v>1</v>
      </c>
      <c r="AB866" t="s">
        <v>264</v>
      </c>
      <c r="AD866" t="s">
        <v>264</v>
      </c>
      <c r="AE866" t="s">
        <v>264</v>
      </c>
      <c r="AF866" t="s">
        <v>264</v>
      </c>
      <c r="AG866">
        <v>1</v>
      </c>
      <c r="AH866" t="s">
        <v>264</v>
      </c>
      <c r="AI866">
        <v>55671830</v>
      </c>
      <c r="AJ866" t="s">
        <v>847</v>
      </c>
      <c r="AL866" t="s">
        <v>855</v>
      </c>
      <c r="AM866" s="6">
        <v>44778</v>
      </c>
      <c r="AN866" t="s">
        <v>275</v>
      </c>
      <c r="AO866" t="s">
        <v>268</v>
      </c>
      <c r="AP866">
        <v>1204</v>
      </c>
      <c r="AQ866" t="s">
        <v>269</v>
      </c>
      <c r="AR866" t="s">
        <v>856</v>
      </c>
      <c r="AU866" t="s">
        <v>264</v>
      </c>
      <c r="AV866" t="s">
        <v>270</v>
      </c>
      <c r="AX866">
        <v>22001381</v>
      </c>
      <c r="AY866">
        <v>810110</v>
      </c>
      <c r="AZ866">
        <v>1204.8101099999999</v>
      </c>
      <c r="BA866" s="28" t="s">
        <v>205</v>
      </c>
    </row>
    <row r="867" spans="1:53">
      <c r="A867" t="s">
        <v>271</v>
      </c>
      <c r="B867" t="s">
        <v>272</v>
      </c>
      <c r="C867">
        <v>22002820</v>
      </c>
      <c r="D867">
        <v>1204</v>
      </c>
      <c r="E867" s="6">
        <v>44784</v>
      </c>
      <c r="F867" t="s">
        <v>850</v>
      </c>
      <c r="G867">
        <v>148.05000000000001</v>
      </c>
      <c r="H867">
        <v>148.05000000000001</v>
      </c>
      <c r="I867" t="s">
        <v>263</v>
      </c>
      <c r="J867" t="s">
        <v>263</v>
      </c>
      <c r="L867" s="29">
        <v>2200000</v>
      </c>
      <c r="N867" s="29">
        <v>2200000</v>
      </c>
      <c r="O867" t="s">
        <v>264</v>
      </c>
      <c r="Q867" t="s">
        <v>264</v>
      </c>
      <c r="R867" t="s">
        <v>265</v>
      </c>
      <c r="S867">
        <v>14860</v>
      </c>
      <c r="T867" t="s">
        <v>266</v>
      </c>
      <c r="U867" t="s">
        <v>267</v>
      </c>
      <c r="V867" t="s">
        <v>273</v>
      </c>
      <c r="W867" t="s">
        <v>274</v>
      </c>
      <c r="X867">
        <v>1930452</v>
      </c>
      <c r="Y867" s="6">
        <v>44784</v>
      </c>
      <c r="Z867" t="s">
        <v>264</v>
      </c>
      <c r="AA867">
        <v>1</v>
      </c>
      <c r="AB867" t="s">
        <v>264</v>
      </c>
      <c r="AD867" t="s">
        <v>264</v>
      </c>
      <c r="AE867" t="s">
        <v>264</v>
      </c>
      <c r="AF867" t="s">
        <v>264</v>
      </c>
      <c r="AG867">
        <v>1</v>
      </c>
      <c r="AH867" t="s">
        <v>264</v>
      </c>
      <c r="AI867">
        <v>55117880</v>
      </c>
      <c r="AJ867" t="s">
        <v>850</v>
      </c>
      <c r="AL867">
        <v>22.373803909999999</v>
      </c>
      <c r="AM867" s="6">
        <v>44768</v>
      </c>
      <c r="AN867" t="s">
        <v>275</v>
      </c>
      <c r="AO867" t="s">
        <v>268</v>
      </c>
      <c r="AP867">
        <v>1204</v>
      </c>
      <c r="AQ867" t="s">
        <v>269</v>
      </c>
      <c r="AR867" t="s">
        <v>857</v>
      </c>
      <c r="AU867" t="s">
        <v>264</v>
      </c>
      <c r="AV867" t="s">
        <v>270</v>
      </c>
      <c r="AX867">
        <v>22001377</v>
      </c>
      <c r="AY867">
        <v>810110</v>
      </c>
      <c r="AZ867">
        <v>1204.8101099999999</v>
      </c>
      <c r="BA867" s="28" t="s">
        <v>205</v>
      </c>
    </row>
    <row r="868" spans="1:53">
      <c r="A868" t="s">
        <v>271</v>
      </c>
      <c r="B868" t="s">
        <v>272</v>
      </c>
      <c r="C868">
        <v>22002992</v>
      </c>
      <c r="D868">
        <v>1205</v>
      </c>
      <c r="E868" s="6">
        <v>44784</v>
      </c>
      <c r="F868" t="s">
        <v>850</v>
      </c>
      <c r="G868">
        <v>148.05000000000001</v>
      </c>
      <c r="H868">
        <v>148.05000000000001</v>
      </c>
      <c r="I868" t="s">
        <v>263</v>
      </c>
      <c r="J868" t="s">
        <v>263</v>
      </c>
      <c r="L868" s="29">
        <v>2200000</v>
      </c>
      <c r="N868" s="29">
        <v>2200000</v>
      </c>
      <c r="O868" t="s">
        <v>264</v>
      </c>
      <c r="Q868" t="s">
        <v>264</v>
      </c>
      <c r="R868" t="s">
        <v>265</v>
      </c>
      <c r="S868">
        <v>14860</v>
      </c>
      <c r="T868" t="s">
        <v>266</v>
      </c>
      <c r="U868" t="s">
        <v>267</v>
      </c>
      <c r="V868" t="s">
        <v>273</v>
      </c>
      <c r="W868" t="s">
        <v>274</v>
      </c>
      <c r="X868">
        <v>1930450</v>
      </c>
      <c r="Y868" s="6">
        <v>44784</v>
      </c>
      <c r="Z868" t="s">
        <v>264</v>
      </c>
      <c r="AA868">
        <v>1</v>
      </c>
      <c r="AB868" t="s">
        <v>264</v>
      </c>
      <c r="AD868" t="s">
        <v>264</v>
      </c>
      <c r="AE868" t="s">
        <v>264</v>
      </c>
      <c r="AF868" t="s">
        <v>264</v>
      </c>
      <c r="AG868">
        <v>1</v>
      </c>
      <c r="AH868" t="s">
        <v>264</v>
      </c>
      <c r="AI868">
        <v>55117880</v>
      </c>
      <c r="AJ868" t="s">
        <v>850</v>
      </c>
      <c r="AL868">
        <v>22.373803899999999</v>
      </c>
      <c r="AM868" s="6">
        <v>44784</v>
      </c>
      <c r="AN868" t="s">
        <v>275</v>
      </c>
      <c r="AO868" t="s">
        <v>268</v>
      </c>
      <c r="AP868">
        <v>1205</v>
      </c>
      <c r="AQ868" t="s">
        <v>269</v>
      </c>
      <c r="AR868" t="s">
        <v>858</v>
      </c>
      <c r="AU868" t="s">
        <v>264</v>
      </c>
      <c r="AV868" t="s">
        <v>270</v>
      </c>
      <c r="AX868">
        <v>22001353</v>
      </c>
      <c r="AY868">
        <v>810110</v>
      </c>
      <c r="AZ868">
        <v>1205.8101099999999</v>
      </c>
      <c r="BA868" s="28" t="s">
        <v>206</v>
      </c>
    </row>
    <row r="869" spans="1:53">
      <c r="A869" t="s">
        <v>271</v>
      </c>
      <c r="B869" t="s">
        <v>272</v>
      </c>
      <c r="C869">
        <v>22001533</v>
      </c>
      <c r="D869">
        <v>1206</v>
      </c>
      <c r="E869" s="6">
        <v>44784</v>
      </c>
      <c r="F869" t="s">
        <v>859</v>
      </c>
      <c r="G869">
        <v>114.4</v>
      </c>
      <c r="H869">
        <v>114.4</v>
      </c>
      <c r="I869" t="s">
        <v>263</v>
      </c>
      <c r="J869" t="s">
        <v>263</v>
      </c>
      <c r="L869" s="29">
        <v>1700000</v>
      </c>
      <c r="N869" s="29">
        <v>1700000</v>
      </c>
      <c r="O869" t="s">
        <v>264</v>
      </c>
      <c r="Q869" t="s">
        <v>264</v>
      </c>
      <c r="R869" t="s">
        <v>265</v>
      </c>
      <c r="S869">
        <v>14860</v>
      </c>
      <c r="T869" t="s">
        <v>266</v>
      </c>
      <c r="U869" t="s">
        <v>267</v>
      </c>
      <c r="V869" t="s">
        <v>273</v>
      </c>
      <c r="W869" t="s">
        <v>274</v>
      </c>
      <c r="X869">
        <v>1930462</v>
      </c>
      <c r="Y869" s="6">
        <v>44784</v>
      </c>
      <c r="Z869" t="s">
        <v>264</v>
      </c>
      <c r="AA869">
        <v>1</v>
      </c>
      <c r="AB869" t="s">
        <v>264</v>
      </c>
      <c r="AD869" t="s">
        <v>264</v>
      </c>
      <c r="AE869" t="s">
        <v>264</v>
      </c>
      <c r="AF869" t="s">
        <v>264</v>
      </c>
      <c r="AG869">
        <v>1</v>
      </c>
      <c r="AH869" t="s">
        <v>264</v>
      </c>
      <c r="AI869">
        <v>57357473</v>
      </c>
      <c r="AJ869" t="s">
        <v>859</v>
      </c>
      <c r="AL869">
        <v>22.373778229999999</v>
      </c>
      <c r="AM869" s="6">
        <v>44763</v>
      </c>
      <c r="AN869" t="s">
        <v>275</v>
      </c>
      <c r="AO869" t="s">
        <v>268</v>
      </c>
      <c r="AP869">
        <v>1206</v>
      </c>
      <c r="AQ869" t="s">
        <v>269</v>
      </c>
      <c r="AR869" t="s">
        <v>860</v>
      </c>
      <c r="AU869" t="s">
        <v>264</v>
      </c>
      <c r="AV869" t="s">
        <v>270</v>
      </c>
      <c r="AX869">
        <v>22001123</v>
      </c>
      <c r="AY869">
        <v>810110</v>
      </c>
      <c r="AZ869">
        <v>1206.8101099999999</v>
      </c>
      <c r="BA869" s="28" t="s">
        <v>207</v>
      </c>
    </row>
    <row r="870" spans="1:53">
      <c r="A870" t="s">
        <v>271</v>
      </c>
      <c r="B870" t="s">
        <v>272</v>
      </c>
      <c r="C870">
        <v>22001544</v>
      </c>
      <c r="D870">
        <v>1206</v>
      </c>
      <c r="E870" s="6">
        <v>44799</v>
      </c>
      <c r="F870" t="s">
        <v>859</v>
      </c>
      <c r="G870">
        <v>114.4</v>
      </c>
      <c r="H870">
        <v>114.4</v>
      </c>
      <c r="I870" t="s">
        <v>263</v>
      </c>
      <c r="J870" t="s">
        <v>263</v>
      </c>
      <c r="L870" s="29">
        <v>1700000</v>
      </c>
      <c r="N870" s="29">
        <v>1700000</v>
      </c>
      <c r="O870" t="s">
        <v>264</v>
      </c>
      <c r="Q870" t="s">
        <v>264</v>
      </c>
      <c r="R870" t="s">
        <v>265</v>
      </c>
      <c r="S870">
        <v>14860</v>
      </c>
      <c r="T870" t="s">
        <v>266</v>
      </c>
      <c r="U870" t="s">
        <v>267</v>
      </c>
      <c r="V870" t="s">
        <v>273</v>
      </c>
      <c r="W870" t="s">
        <v>274</v>
      </c>
      <c r="X870">
        <v>1935350</v>
      </c>
      <c r="Y870" s="6">
        <v>44799</v>
      </c>
      <c r="Z870" t="s">
        <v>264</v>
      </c>
      <c r="AA870">
        <v>1</v>
      </c>
      <c r="AB870" t="s">
        <v>264</v>
      </c>
      <c r="AD870" t="s">
        <v>264</v>
      </c>
      <c r="AE870" t="s">
        <v>264</v>
      </c>
      <c r="AF870" t="s">
        <v>264</v>
      </c>
      <c r="AG870">
        <v>1</v>
      </c>
      <c r="AH870" t="s">
        <v>264</v>
      </c>
      <c r="AI870">
        <v>57357473</v>
      </c>
      <c r="AJ870" t="s">
        <v>859</v>
      </c>
      <c r="AL870">
        <v>22.815512989999998</v>
      </c>
      <c r="AM870" s="6">
        <v>44796</v>
      </c>
      <c r="AN870" t="s">
        <v>275</v>
      </c>
      <c r="AO870" t="s">
        <v>268</v>
      </c>
      <c r="AP870">
        <v>1206</v>
      </c>
      <c r="AQ870" t="s">
        <v>269</v>
      </c>
      <c r="AR870" t="s">
        <v>860</v>
      </c>
      <c r="AU870" t="s">
        <v>264</v>
      </c>
      <c r="AV870" t="s">
        <v>270</v>
      </c>
      <c r="AX870">
        <v>22001140</v>
      </c>
      <c r="AY870">
        <v>810110</v>
      </c>
      <c r="AZ870">
        <v>1206.8101099999999</v>
      </c>
      <c r="BA870" s="28" t="s">
        <v>207</v>
      </c>
    </row>
    <row r="871" spans="1:53">
      <c r="A871" t="s">
        <v>271</v>
      </c>
      <c r="B871" t="s">
        <v>272</v>
      </c>
      <c r="C871">
        <v>22010799</v>
      </c>
      <c r="D871">
        <v>1201</v>
      </c>
      <c r="E871" s="6">
        <v>44778</v>
      </c>
      <c r="F871" t="s">
        <v>861</v>
      </c>
      <c r="G871">
        <v>467.7</v>
      </c>
      <c r="H871">
        <v>467.7</v>
      </c>
      <c r="I871" t="s">
        <v>263</v>
      </c>
      <c r="J871" t="s">
        <v>263</v>
      </c>
      <c r="L871" s="29">
        <v>6950000</v>
      </c>
      <c r="N871" s="29">
        <v>6950000</v>
      </c>
      <c r="O871" t="s">
        <v>264</v>
      </c>
      <c r="Q871" t="s">
        <v>264</v>
      </c>
      <c r="R871" t="s">
        <v>265</v>
      </c>
      <c r="S871">
        <v>14860</v>
      </c>
      <c r="T871" t="s">
        <v>266</v>
      </c>
      <c r="U871" t="s">
        <v>267</v>
      </c>
      <c r="V871" t="s">
        <v>273</v>
      </c>
      <c r="W871" t="s">
        <v>274</v>
      </c>
      <c r="X871">
        <v>1927665</v>
      </c>
      <c r="Y871" s="6">
        <v>44778</v>
      </c>
      <c r="Z871" t="s">
        <v>264</v>
      </c>
      <c r="AA871">
        <v>1</v>
      </c>
      <c r="AB871" t="s">
        <v>264</v>
      </c>
      <c r="AD871" t="s">
        <v>264</v>
      </c>
      <c r="AE871" t="s">
        <v>264</v>
      </c>
      <c r="AF871" t="s">
        <v>264</v>
      </c>
      <c r="AG871">
        <v>1</v>
      </c>
      <c r="AH871" t="s">
        <v>264</v>
      </c>
      <c r="AI871">
        <v>57339689</v>
      </c>
      <c r="AJ871" t="s">
        <v>861</v>
      </c>
      <c r="AL871" t="s">
        <v>862</v>
      </c>
      <c r="AM871" s="6">
        <v>44778</v>
      </c>
      <c r="AN871" t="s">
        <v>275</v>
      </c>
      <c r="AO871" t="s">
        <v>268</v>
      </c>
      <c r="AP871">
        <v>1201</v>
      </c>
      <c r="AQ871" t="s">
        <v>269</v>
      </c>
      <c r="AR871" t="s">
        <v>863</v>
      </c>
      <c r="AU871" t="s">
        <v>264</v>
      </c>
      <c r="AV871" t="s">
        <v>270</v>
      </c>
      <c r="AX871">
        <v>22002714</v>
      </c>
      <c r="AY871">
        <v>812100</v>
      </c>
      <c r="AZ871">
        <v>1201.8121000000001</v>
      </c>
      <c r="BA871" s="28" t="s">
        <v>77</v>
      </c>
    </row>
    <row r="872" spans="1:53">
      <c r="A872" t="s">
        <v>384</v>
      </c>
      <c r="B872" t="s">
        <v>385</v>
      </c>
      <c r="C872">
        <v>22001584</v>
      </c>
      <c r="D872">
        <v>1201</v>
      </c>
      <c r="E872" s="6">
        <v>44783</v>
      </c>
      <c r="F872" t="s">
        <v>864</v>
      </c>
      <c r="G872">
        <v>53.84</v>
      </c>
      <c r="H872">
        <v>53.84</v>
      </c>
      <c r="I872" t="s">
        <v>263</v>
      </c>
      <c r="J872" t="s">
        <v>263</v>
      </c>
      <c r="L872" s="29">
        <v>800000</v>
      </c>
      <c r="N872" s="29">
        <v>800000</v>
      </c>
      <c r="O872" t="s">
        <v>264</v>
      </c>
      <c r="Q872" t="s">
        <v>264</v>
      </c>
      <c r="R872" t="s">
        <v>265</v>
      </c>
      <c r="S872">
        <v>14860</v>
      </c>
      <c r="T872" t="s">
        <v>266</v>
      </c>
      <c r="U872" t="s">
        <v>267</v>
      </c>
      <c r="V872" t="s">
        <v>386</v>
      </c>
      <c r="W872" t="s">
        <v>387</v>
      </c>
      <c r="X872">
        <v>1930311</v>
      </c>
      <c r="Y872" s="6">
        <v>44783</v>
      </c>
      <c r="Z872" t="s">
        <v>264</v>
      </c>
      <c r="AA872">
        <v>1</v>
      </c>
      <c r="AB872" t="s">
        <v>264</v>
      </c>
      <c r="AD872" t="s">
        <v>264</v>
      </c>
      <c r="AE872" t="s">
        <v>264</v>
      </c>
      <c r="AF872" t="s">
        <v>264</v>
      </c>
      <c r="AH872" t="s">
        <v>264</v>
      </c>
      <c r="AL872" t="s">
        <v>264</v>
      </c>
      <c r="AM872" s="6">
        <v>44783</v>
      </c>
      <c r="AN872" t="s">
        <v>388</v>
      </c>
      <c r="AO872" t="s">
        <v>268</v>
      </c>
      <c r="AP872">
        <v>1201</v>
      </c>
      <c r="AQ872" t="s">
        <v>269</v>
      </c>
      <c r="AR872" t="s">
        <v>865</v>
      </c>
      <c r="AU872" t="s">
        <v>264</v>
      </c>
      <c r="AV872" t="s">
        <v>270</v>
      </c>
      <c r="AX872" t="s">
        <v>264</v>
      </c>
      <c r="AY872">
        <v>812100</v>
      </c>
      <c r="AZ872">
        <v>1201.8121000000001</v>
      </c>
      <c r="BA872" s="28" t="s">
        <v>77</v>
      </c>
    </row>
    <row r="873" spans="1:53">
      <c r="A873" t="s">
        <v>271</v>
      </c>
      <c r="B873" t="s">
        <v>272</v>
      </c>
      <c r="C873">
        <v>22010905</v>
      </c>
      <c r="D873">
        <v>1201</v>
      </c>
      <c r="E873" s="6">
        <v>44783</v>
      </c>
      <c r="F873" t="s">
        <v>866</v>
      </c>
      <c r="G873">
        <v>205.62</v>
      </c>
      <c r="H873">
        <v>205.62</v>
      </c>
      <c r="I873" t="s">
        <v>263</v>
      </c>
      <c r="J873" t="s">
        <v>263</v>
      </c>
      <c r="L873" s="29">
        <v>3055462</v>
      </c>
      <c r="N873" s="29">
        <v>3055462</v>
      </c>
      <c r="O873" t="s">
        <v>264</v>
      </c>
      <c r="Q873" t="s">
        <v>264</v>
      </c>
      <c r="R873" t="s">
        <v>265</v>
      </c>
      <c r="S873">
        <v>14860</v>
      </c>
      <c r="T873" t="s">
        <v>266</v>
      </c>
      <c r="U873" t="s">
        <v>267</v>
      </c>
      <c r="V873" t="s">
        <v>273</v>
      </c>
      <c r="W873" t="s">
        <v>274</v>
      </c>
      <c r="X873">
        <v>1930185</v>
      </c>
      <c r="Y873" s="6">
        <v>44783</v>
      </c>
      <c r="Z873" t="s">
        <v>264</v>
      </c>
      <c r="AA873">
        <v>1</v>
      </c>
      <c r="AB873" t="s">
        <v>264</v>
      </c>
      <c r="AD873" t="s">
        <v>264</v>
      </c>
      <c r="AE873" t="s">
        <v>264</v>
      </c>
      <c r="AF873" t="s">
        <v>264</v>
      </c>
      <c r="AH873" t="s">
        <v>264</v>
      </c>
      <c r="AI873">
        <v>55289497</v>
      </c>
      <c r="AJ873" t="s">
        <v>866</v>
      </c>
      <c r="AL873" s="6">
        <v>44842</v>
      </c>
      <c r="AM873" s="6">
        <v>44783</v>
      </c>
      <c r="AN873" t="s">
        <v>388</v>
      </c>
      <c r="AO873" t="s">
        <v>268</v>
      </c>
      <c r="AP873">
        <v>1201</v>
      </c>
      <c r="AQ873" t="s">
        <v>269</v>
      </c>
      <c r="AR873" t="s">
        <v>865</v>
      </c>
      <c r="AU873" t="s">
        <v>264</v>
      </c>
      <c r="AV873" t="s">
        <v>270</v>
      </c>
      <c r="AX873" t="s">
        <v>264</v>
      </c>
      <c r="AY873">
        <v>812100</v>
      </c>
      <c r="AZ873">
        <v>1201.8121000000001</v>
      </c>
      <c r="BA873" s="28" t="s">
        <v>77</v>
      </c>
    </row>
    <row r="874" spans="1:53">
      <c r="A874" t="s">
        <v>271</v>
      </c>
      <c r="B874" t="s">
        <v>272</v>
      </c>
      <c r="C874">
        <v>22010928</v>
      </c>
      <c r="D874">
        <v>1201</v>
      </c>
      <c r="E874" s="6">
        <v>44785</v>
      </c>
      <c r="F874" t="s">
        <v>861</v>
      </c>
      <c r="G874">
        <v>467.7</v>
      </c>
      <c r="H874">
        <v>467.7</v>
      </c>
      <c r="I874" t="s">
        <v>263</v>
      </c>
      <c r="J874" t="s">
        <v>263</v>
      </c>
      <c r="L874" s="29">
        <v>6950000</v>
      </c>
      <c r="N874" s="29">
        <v>6950000</v>
      </c>
      <c r="O874" t="s">
        <v>264</v>
      </c>
      <c r="Q874" t="s">
        <v>264</v>
      </c>
      <c r="R874" t="s">
        <v>265</v>
      </c>
      <c r="S874">
        <v>14860</v>
      </c>
      <c r="T874" t="s">
        <v>266</v>
      </c>
      <c r="U874" t="s">
        <v>267</v>
      </c>
      <c r="V874" t="s">
        <v>273</v>
      </c>
      <c r="W874" t="s">
        <v>274</v>
      </c>
      <c r="X874">
        <v>1930567</v>
      </c>
      <c r="Y874" s="6">
        <v>44785</v>
      </c>
      <c r="Z874" t="s">
        <v>264</v>
      </c>
      <c r="AA874">
        <v>1</v>
      </c>
      <c r="AB874" t="s">
        <v>264</v>
      </c>
      <c r="AD874" t="s">
        <v>264</v>
      </c>
      <c r="AE874" t="s">
        <v>264</v>
      </c>
      <c r="AF874" t="s">
        <v>264</v>
      </c>
      <c r="AG874">
        <v>1</v>
      </c>
      <c r="AH874" t="s">
        <v>264</v>
      </c>
      <c r="AI874">
        <v>57339689</v>
      </c>
      <c r="AJ874" t="s">
        <v>861</v>
      </c>
      <c r="AL874" t="s">
        <v>862</v>
      </c>
      <c r="AM874" s="6">
        <v>44785</v>
      </c>
      <c r="AN874" t="s">
        <v>275</v>
      </c>
      <c r="AO874" t="s">
        <v>268</v>
      </c>
      <c r="AP874">
        <v>1201</v>
      </c>
      <c r="AQ874" t="s">
        <v>269</v>
      </c>
      <c r="AR874" t="s">
        <v>867</v>
      </c>
      <c r="AU874" t="s">
        <v>264</v>
      </c>
      <c r="AV874" t="s">
        <v>270</v>
      </c>
      <c r="AX874">
        <v>22002759</v>
      </c>
      <c r="AY874">
        <v>812100</v>
      </c>
      <c r="AZ874">
        <v>1201.8121000000001</v>
      </c>
      <c r="BA874" s="28" t="s">
        <v>77</v>
      </c>
    </row>
    <row r="875" spans="1:53">
      <c r="A875" t="s">
        <v>271</v>
      </c>
      <c r="B875" t="s">
        <v>272</v>
      </c>
      <c r="C875">
        <v>22011386</v>
      </c>
      <c r="D875">
        <v>1201</v>
      </c>
      <c r="E875" s="6">
        <v>44791</v>
      </c>
      <c r="F875" t="s">
        <v>868</v>
      </c>
      <c r="G875">
        <v>594.72</v>
      </c>
      <c r="H875">
        <v>594.72</v>
      </c>
      <c r="I875" t="s">
        <v>263</v>
      </c>
      <c r="J875" t="s">
        <v>263</v>
      </c>
      <c r="L875" s="29">
        <v>8837600</v>
      </c>
      <c r="N875" s="29">
        <v>8837600</v>
      </c>
      <c r="O875" t="s">
        <v>264</v>
      </c>
      <c r="Q875" t="s">
        <v>264</v>
      </c>
      <c r="R875" t="s">
        <v>265</v>
      </c>
      <c r="S875">
        <v>14860</v>
      </c>
      <c r="T875" t="s">
        <v>266</v>
      </c>
      <c r="U875" t="s">
        <v>267</v>
      </c>
      <c r="V875" t="s">
        <v>273</v>
      </c>
      <c r="W875" t="s">
        <v>274</v>
      </c>
      <c r="X875">
        <v>1933184</v>
      </c>
      <c r="Y875" s="6">
        <v>44791</v>
      </c>
      <c r="Z875" t="s">
        <v>264</v>
      </c>
      <c r="AA875">
        <v>1</v>
      </c>
      <c r="AB875" t="s">
        <v>264</v>
      </c>
      <c r="AD875" t="s">
        <v>264</v>
      </c>
      <c r="AE875" t="s">
        <v>264</v>
      </c>
      <c r="AF875" t="s">
        <v>264</v>
      </c>
      <c r="AG875">
        <v>1</v>
      </c>
      <c r="AH875" t="s">
        <v>264</v>
      </c>
      <c r="AI875">
        <v>55342008</v>
      </c>
      <c r="AJ875" t="s">
        <v>868</v>
      </c>
      <c r="AL875" t="s">
        <v>869</v>
      </c>
      <c r="AM875" s="6">
        <v>44770</v>
      </c>
      <c r="AN875" t="s">
        <v>275</v>
      </c>
      <c r="AO875" t="s">
        <v>268</v>
      </c>
      <c r="AP875">
        <v>1201</v>
      </c>
      <c r="AQ875" t="s">
        <v>269</v>
      </c>
      <c r="AR875" t="s">
        <v>870</v>
      </c>
      <c r="AU875" t="s">
        <v>264</v>
      </c>
      <c r="AV875" t="s">
        <v>270</v>
      </c>
      <c r="AX875">
        <v>22002677</v>
      </c>
      <c r="AY875">
        <v>812100</v>
      </c>
      <c r="AZ875">
        <v>1201.8121000000001</v>
      </c>
      <c r="BA875" s="28" t="s">
        <v>77</v>
      </c>
    </row>
    <row r="876" spans="1:53">
      <c r="A876" t="s">
        <v>271</v>
      </c>
      <c r="B876" t="s">
        <v>272</v>
      </c>
      <c r="C876">
        <v>22011386</v>
      </c>
      <c r="D876">
        <v>1201</v>
      </c>
      <c r="E876" s="6">
        <v>44791</v>
      </c>
      <c r="F876" t="s">
        <v>868</v>
      </c>
      <c r="G876">
        <v>21.97</v>
      </c>
      <c r="H876">
        <v>21.97</v>
      </c>
      <c r="I876" t="s">
        <v>263</v>
      </c>
      <c r="J876" t="s">
        <v>263</v>
      </c>
      <c r="L876" s="29">
        <v>326487</v>
      </c>
      <c r="N876" s="29">
        <v>326487</v>
      </c>
      <c r="O876" t="s">
        <v>264</v>
      </c>
      <c r="Q876" t="s">
        <v>264</v>
      </c>
      <c r="R876" t="s">
        <v>265</v>
      </c>
      <c r="S876">
        <v>14860</v>
      </c>
      <c r="T876" t="s">
        <v>266</v>
      </c>
      <c r="U876" t="s">
        <v>267</v>
      </c>
      <c r="V876" t="s">
        <v>273</v>
      </c>
      <c r="W876" t="s">
        <v>274</v>
      </c>
      <c r="X876">
        <v>1933184</v>
      </c>
      <c r="Y876" s="6">
        <v>44791</v>
      </c>
      <c r="Z876" t="s">
        <v>264</v>
      </c>
      <c r="AA876">
        <v>3</v>
      </c>
      <c r="AB876" t="s">
        <v>264</v>
      </c>
      <c r="AD876" t="s">
        <v>264</v>
      </c>
      <c r="AE876" t="s">
        <v>264</v>
      </c>
      <c r="AF876" t="s">
        <v>264</v>
      </c>
      <c r="AG876">
        <v>1</v>
      </c>
      <c r="AH876" t="s">
        <v>264</v>
      </c>
      <c r="AI876">
        <v>55342008</v>
      </c>
      <c r="AJ876" t="s">
        <v>868</v>
      </c>
      <c r="AL876" t="s">
        <v>869</v>
      </c>
      <c r="AM876" s="6">
        <v>44770</v>
      </c>
      <c r="AN876" t="s">
        <v>275</v>
      </c>
      <c r="AO876" t="s">
        <v>268</v>
      </c>
      <c r="AP876">
        <v>1201</v>
      </c>
      <c r="AQ876" t="s">
        <v>269</v>
      </c>
      <c r="AR876" t="s">
        <v>870</v>
      </c>
      <c r="AU876" t="s">
        <v>264</v>
      </c>
      <c r="AV876" t="s">
        <v>270</v>
      </c>
      <c r="AX876">
        <v>22002677</v>
      </c>
      <c r="AY876">
        <v>812100</v>
      </c>
      <c r="AZ876">
        <v>1201.8121000000001</v>
      </c>
      <c r="BA876" s="28" t="s">
        <v>77</v>
      </c>
    </row>
    <row r="877" spans="1:53">
      <c r="A877" t="s">
        <v>271</v>
      </c>
      <c r="B877" t="s">
        <v>272</v>
      </c>
      <c r="C877">
        <v>22011387</v>
      </c>
      <c r="D877">
        <v>1201</v>
      </c>
      <c r="E877" s="6">
        <v>44791</v>
      </c>
      <c r="F877" t="s">
        <v>861</v>
      </c>
      <c r="G877">
        <v>346.57</v>
      </c>
      <c r="H877">
        <v>346.57</v>
      </c>
      <c r="I877" t="s">
        <v>263</v>
      </c>
      <c r="J877" t="s">
        <v>263</v>
      </c>
      <c r="L877" s="29">
        <v>5150000</v>
      </c>
      <c r="N877" s="29">
        <v>5150000</v>
      </c>
      <c r="O877" t="s">
        <v>264</v>
      </c>
      <c r="Q877" t="s">
        <v>264</v>
      </c>
      <c r="R877" t="s">
        <v>265</v>
      </c>
      <c r="S877">
        <v>14860</v>
      </c>
      <c r="T877" t="s">
        <v>266</v>
      </c>
      <c r="U877" t="s">
        <v>267</v>
      </c>
      <c r="V877" t="s">
        <v>273</v>
      </c>
      <c r="W877" t="s">
        <v>274</v>
      </c>
      <c r="X877">
        <v>1933187</v>
      </c>
      <c r="Y877" s="6">
        <v>44791</v>
      </c>
      <c r="Z877" t="s">
        <v>264</v>
      </c>
      <c r="AA877">
        <v>1</v>
      </c>
      <c r="AB877" t="s">
        <v>264</v>
      </c>
      <c r="AD877" t="s">
        <v>264</v>
      </c>
      <c r="AE877" t="s">
        <v>264</v>
      </c>
      <c r="AF877" t="s">
        <v>264</v>
      </c>
      <c r="AG877">
        <v>1</v>
      </c>
      <c r="AH877" t="s">
        <v>264</v>
      </c>
      <c r="AI877">
        <v>57339689</v>
      </c>
      <c r="AJ877" t="s">
        <v>861</v>
      </c>
      <c r="AL877" t="s">
        <v>862</v>
      </c>
      <c r="AM877" s="6">
        <v>44791</v>
      </c>
      <c r="AN877" t="s">
        <v>275</v>
      </c>
      <c r="AO877" t="s">
        <v>268</v>
      </c>
      <c r="AP877">
        <v>1201</v>
      </c>
      <c r="AQ877" t="s">
        <v>269</v>
      </c>
      <c r="AR877" t="s">
        <v>871</v>
      </c>
      <c r="AU877" t="s">
        <v>264</v>
      </c>
      <c r="AV877" t="s">
        <v>270</v>
      </c>
      <c r="AX877">
        <v>22002794</v>
      </c>
      <c r="AY877">
        <v>812100</v>
      </c>
      <c r="AZ877">
        <v>1201.8121000000001</v>
      </c>
      <c r="BA877" s="28" t="s">
        <v>77</v>
      </c>
    </row>
    <row r="878" spans="1:53">
      <c r="A878" t="s">
        <v>271</v>
      </c>
      <c r="B878" t="s">
        <v>272</v>
      </c>
      <c r="C878">
        <v>22011548</v>
      </c>
      <c r="D878">
        <v>1201</v>
      </c>
      <c r="E878" s="6">
        <v>44799</v>
      </c>
      <c r="F878" t="s">
        <v>861</v>
      </c>
      <c r="G878">
        <v>440.78</v>
      </c>
      <c r="H878">
        <v>440.78</v>
      </c>
      <c r="I878" t="s">
        <v>263</v>
      </c>
      <c r="J878" t="s">
        <v>263</v>
      </c>
      <c r="L878" s="29">
        <v>6550000</v>
      </c>
      <c r="N878" s="29">
        <v>6550000</v>
      </c>
      <c r="O878" t="s">
        <v>264</v>
      </c>
      <c r="Q878" t="s">
        <v>264</v>
      </c>
      <c r="R878" t="s">
        <v>265</v>
      </c>
      <c r="S878">
        <v>14860</v>
      </c>
      <c r="T878" t="s">
        <v>266</v>
      </c>
      <c r="U878" t="s">
        <v>267</v>
      </c>
      <c r="V878" t="s">
        <v>273</v>
      </c>
      <c r="W878" t="s">
        <v>274</v>
      </c>
      <c r="X878">
        <v>1935351</v>
      </c>
      <c r="Y878" s="6">
        <v>44799</v>
      </c>
      <c r="Z878" t="s">
        <v>264</v>
      </c>
      <c r="AA878">
        <v>1</v>
      </c>
      <c r="AB878" t="s">
        <v>264</v>
      </c>
      <c r="AD878" t="s">
        <v>264</v>
      </c>
      <c r="AE878" t="s">
        <v>264</v>
      </c>
      <c r="AF878" t="s">
        <v>264</v>
      </c>
      <c r="AG878">
        <v>1</v>
      </c>
      <c r="AH878" t="s">
        <v>264</v>
      </c>
      <c r="AI878">
        <v>57339689</v>
      </c>
      <c r="AJ878" t="s">
        <v>861</v>
      </c>
      <c r="AL878" t="s">
        <v>862</v>
      </c>
      <c r="AM878" s="6">
        <v>44799</v>
      </c>
      <c r="AN878" t="s">
        <v>275</v>
      </c>
      <c r="AO878" t="s">
        <v>268</v>
      </c>
      <c r="AP878">
        <v>1201</v>
      </c>
      <c r="AQ878" t="s">
        <v>269</v>
      </c>
      <c r="AR878" t="s">
        <v>872</v>
      </c>
      <c r="AU878" t="s">
        <v>264</v>
      </c>
      <c r="AV878" t="s">
        <v>270</v>
      </c>
      <c r="AX878">
        <v>22002851</v>
      </c>
      <c r="AY878">
        <v>812100</v>
      </c>
      <c r="AZ878">
        <v>1201.8121000000001</v>
      </c>
      <c r="BA878" s="28" t="s">
        <v>77</v>
      </c>
    </row>
    <row r="879" spans="1:53">
      <c r="A879" t="s">
        <v>384</v>
      </c>
      <c r="B879" t="s">
        <v>385</v>
      </c>
      <c r="C879">
        <v>22001600</v>
      </c>
      <c r="D879">
        <v>1201</v>
      </c>
      <c r="E879" s="6">
        <v>44802</v>
      </c>
      <c r="F879" t="s">
        <v>864</v>
      </c>
      <c r="G879">
        <v>423.24</v>
      </c>
      <c r="H879">
        <v>423.24</v>
      </c>
      <c r="I879" t="s">
        <v>263</v>
      </c>
      <c r="J879" t="s">
        <v>263</v>
      </c>
      <c r="L879" s="29">
        <v>6289400</v>
      </c>
      <c r="N879" s="29">
        <v>6289400</v>
      </c>
      <c r="O879" t="s">
        <v>264</v>
      </c>
      <c r="Q879" t="s">
        <v>264</v>
      </c>
      <c r="R879" t="s">
        <v>265</v>
      </c>
      <c r="S879">
        <v>14860</v>
      </c>
      <c r="T879" t="s">
        <v>266</v>
      </c>
      <c r="U879" t="s">
        <v>267</v>
      </c>
      <c r="V879" t="s">
        <v>386</v>
      </c>
      <c r="W879" t="s">
        <v>387</v>
      </c>
      <c r="X879">
        <v>1935899</v>
      </c>
      <c r="Y879" s="6">
        <v>44802</v>
      </c>
      <c r="Z879" t="s">
        <v>264</v>
      </c>
      <c r="AA879">
        <v>1</v>
      </c>
      <c r="AB879" t="s">
        <v>264</v>
      </c>
      <c r="AD879" t="s">
        <v>264</v>
      </c>
      <c r="AE879" t="s">
        <v>264</v>
      </c>
      <c r="AF879" t="s">
        <v>264</v>
      </c>
      <c r="AH879" t="s">
        <v>264</v>
      </c>
      <c r="AL879" t="s">
        <v>264</v>
      </c>
      <c r="AM879" s="6">
        <v>44802</v>
      </c>
      <c r="AN879" t="s">
        <v>388</v>
      </c>
      <c r="AO879" t="s">
        <v>268</v>
      </c>
      <c r="AP879">
        <v>1201</v>
      </c>
      <c r="AQ879" t="s">
        <v>269</v>
      </c>
      <c r="AR879" t="s">
        <v>1133</v>
      </c>
      <c r="AU879" t="s">
        <v>264</v>
      </c>
      <c r="AV879" t="s">
        <v>270</v>
      </c>
      <c r="AX879" t="s">
        <v>264</v>
      </c>
      <c r="AY879">
        <v>812100</v>
      </c>
      <c r="AZ879">
        <v>1201.8121000000001</v>
      </c>
      <c r="BA879" s="28" t="s">
        <v>77</v>
      </c>
    </row>
    <row r="880" spans="1:53">
      <c r="A880" t="s">
        <v>384</v>
      </c>
      <c r="B880" t="s">
        <v>385</v>
      </c>
      <c r="C880">
        <v>22001605</v>
      </c>
      <c r="D880">
        <v>1201</v>
      </c>
      <c r="E880" s="6">
        <v>44802</v>
      </c>
      <c r="F880" t="s">
        <v>864</v>
      </c>
      <c r="G880">
        <v>74.66</v>
      </c>
      <c r="H880">
        <v>74.66</v>
      </c>
      <c r="I880" t="s">
        <v>263</v>
      </c>
      <c r="J880" t="s">
        <v>263</v>
      </c>
      <c r="L880" s="29">
        <v>1109400</v>
      </c>
      <c r="N880" s="29">
        <v>1109400</v>
      </c>
      <c r="O880" t="s">
        <v>264</v>
      </c>
      <c r="Q880" t="s">
        <v>264</v>
      </c>
      <c r="R880" t="s">
        <v>265</v>
      </c>
      <c r="S880">
        <v>14860</v>
      </c>
      <c r="T880" t="s">
        <v>266</v>
      </c>
      <c r="U880" t="s">
        <v>267</v>
      </c>
      <c r="V880" t="s">
        <v>386</v>
      </c>
      <c r="W880" t="s">
        <v>387</v>
      </c>
      <c r="X880">
        <v>1935899</v>
      </c>
      <c r="Y880" s="6">
        <v>44802</v>
      </c>
      <c r="Z880" t="s">
        <v>264</v>
      </c>
      <c r="AA880">
        <v>1</v>
      </c>
      <c r="AB880" t="s">
        <v>264</v>
      </c>
      <c r="AD880" t="s">
        <v>264</v>
      </c>
      <c r="AE880" t="s">
        <v>264</v>
      </c>
      <c r="AF880" t="s">
        <v>264</v>
      </c>
      <c r="AH880" t="s">
        <v>264</v>
      </c>
      <c r="AL880" t="s">
        <v>264</v>
      </c>
      <c r="AM880" s="6">
        <v>44802</v>
      </c>
      <c r="AN880" t="s">
        <v>388</v>
      </c>
      <c r="AO880" t="s">
        <v>268</v>
      </c>
      <c r="AP880">
        <v>1201</v>
      </c>
      <c r="AQ880" t="s">
        <v>269</v>
      </c>
      <c r="AR880" t="s">
        <v>1133</v>
      </c>
      <c r="AU880" t="s">
        <v>264</v>
      </c>
      <c r="AV880" t="s">
        <v>270</v>
      </c>
      <c r="AX880" t="s">
        <v>264</v>
      </c>
      <c r="AY880">
        <v>812100</v>
      </c>
      <c r="AZ880">
        <v>1201.8121000000001</v>
      </c>
      <c r="BA880" s="28" t="s">
        <v>77</v>
      </c>
    </row>
    <row r="881" spans="1:53">
      <c r="A881" t="s">
        <v>384</v>
      </c>
      <c r="B881" t="s">
        <v>385</v>
      </c>
      <c r="C881">
        <v>22001290</v>
      </c>
      <c r="D881">
        <v>1204</v>
      </c>
      <c r="E881" s="6">
        <v>44782</v>
      </c>
      <c r="F881" t="s">
        <v>864</v>
      </c>
      <c r="G881">
        <v>953.49</v>
      </c>
      <c r="H881">
        <v>953.49</v>
      </c>
      <c r="I881" t="s">
        <v>263</v>
      </c>
      <c r="J881" t="s">
        <v>263</v>
      </c>
      <c r="L881" s="29">
        <v>14168878</v>
      </c>
      <c r="N881" s="29">
        <v>14168878</v>
      </c>
      <c r="O881" t="s">
        <v>264</v>
      </c>
      <c r="Q881" t="s">
        <v>264</v>
      </c>
      <c r="R881" t="s">
        <v>265</v>
      </c>
      <c r="S881">
        <v>14860</v>
      </c>
      <c r="T881" t="s">
        <v>266</v>
      </c>
      <c r="U881" t="s">
        <v>267</v>
      </c>
      <c r="V881" t="s">
        <v>386</v>
      </c>
      <c r="W881" t="s">
        <v>387</v>
      </c>
      <c r="X881">
        <v>1929267</v>
      </c>
      <c r="Y881" s="6">
        <v>44782</v>
      </c>
      <c r="Z881" t="s">
        <v>264</v>
      </c>
      <c r="AA881">
        <v>1</v>
      </c>
      <c r="AB881" t="s">
        <v>264</v>
      </c>
      <c r="AD881" t="s">
        <v>264</v>
      </c>
      <c r="AE881" t="s">
        <v>264</v>
      </c>
      <c r="AF881" t="s">
        <v>264</v>
      </c>
      <c r="AH881" t="s">
        <v>264</v>
      </c>
      <c r="AL881" t="s">
        <v>264</v>
      </c>
      <c r="AM881" s="6">
        <v>44782</v>
      </c>
      <c r="AN881" t="s">
        <v>614</v>
      </c>
      <c r="AO881" t="s">
        <v>268</v>
      </c>
      <c r="AP881">
        <v>1204</v>
      </c>
      <c r="AQ881" t="s">
        <v>269</v>
      </c>
      <c r="AR881" t="s">
        <v>873</v>
      </c>
      <c r="AU881" t="s">
        <v>264</v>
      </c>
      <c r="AV881" t="s">
        <v>270</v>
      </c>
      <c r="AX881" t="s">
        <v>264</v>
      </c>
      <c r="AY881">
        <v>812100</v>
      </c>
      <c r="AZ881">
        <v>1204.8121000000001</v>
      </c>
      <c r="BA881" s="28" t="s">
        <v>214</v>
      </c>
    </row>
    <row r="882" spans="1:53">
      <c r="A882" t="s">
        <v>384</v>
      </c>
      <c r="B882" t="s">
        <v>385</v>
      </c>
      <c r="C882">
        <v>22001585</v>
      </c>
      <c r="D882">
        <v>1201</v>
      </c>
      <c r="E882" s="6">
        <v>44783</v>
      </c>
      <c r="F882" t="s">
        <v>864</v>
      </c>
      <c r="G882">
        <v>26.24</v>
      </c>
      <c r="H882">
        <v>26.24</v>
      </c>
      <c r="I882" t="s">
        <v>263</v>
      </c>
      <c r="J882" t="s">
        <v>263</v>
      </c>
      <c r="L882" s="29">
        <v>390000</v>
      </c>
      <c r="N882" s="29">
        <v>390000</v>
      </c>
      <c r="O882" t="s">
        <v>264</v>
      </c>
      <c r="Q882" t="s">
        <v>264</v>
      </c>
      <c r="R882" t="s">
        <v>265</v>
      </c>
      <c r="S882">
        <v>14860</v>
      </c>
      <c r="T882" t="s">
        <v>266</v>
      </c>
      <c r="U882" t="s">
        <v>267</v>
      </c>
      <c r="V882" t="s">
        <v>386</v>
      </c>
      <c r="W882" t="s">
        <v>387</v>
      </c>
      <c r="X882">
        <v>1930311</v>
      </c>
      <c r="Y882" s="6">
        <v>44783</v>
      </c>
      <c r="Z882" t="s">
        <v>264</v>
      </c>
      <c r="AA882">
        <v>1</v>
      </c>
      <c r="AB882" t="s">
        <v>264</v>
      </c>
      <c r="AD882" t="s">
        <v>264</v>
      </c>
      <c r="AE882" t="s">
        <v>264</v>
      </c>
      <c r="AF882" t="s">
        <v>264</v>
      </c>
      <c r="AH882" t="s">
        <v>264</v>
      </c>
      <c r="AL882" t="s">
        <v>264</v>
      </c>
      <c r="AM882" s="6">
        <v>44783</v>
      </c>
      <c r="AN882" t="s">
        <v>388</v>
      </c>
      <c r="AO882" t="s">
        <v>268</v>
      </c>
      <c r="AP882">
        <v>1204</v>
      </c>
      <c r="AQ882" t="s">
        <v>269</v>
      </c>
      <c r="AR882" t="s">
        <v>873</v>
      </c>
      <c r="AU882" t="s">
        <v>264</v>
      </c>
      <c r="AV882" t="s">
        <v>270</v>
      </c>
      <c r="AX882" t="s">
        <v>264</v>
      </c>
      <c r="AY882">
        <v>812100</v>
      </c>
      <c r="AZ882">
        <v>1204.8121000000001</v>
      </c>
      <c r="BA882" s="28" t="s">
        <v>214</v>
      </c>
    </row>
    <row r="883" spans="1:53">
      <c r="A883" t="s">
        <v>384</v>
      </c>
      <c r="B883" t="s">
        <v>385</v>
      </c>
      <c r="C883">
        <v>22001304</v>
      </c>
      <c r="D883">
        <v>1204</v>
      </c>
      <c r="E883" s="6">
        <v>44795</v>
      </c>
      <c r="F883" t="s">
        <v>864</v>
      </c>
      <c r="G883">
        <v>835.67</v>
      </c>
      <c r="H883">
        <v>835.67</v>
      </c>
      <c r="I883" t="s">
        <v>263</v>
      </c>
      <c r="J883" t="s">
        <v>263</v>
      </c>
      <c r="L883" s="29">
        <v>12418000</v>
      </c>
      <c r="N883" s="29">
        <v>12418000</v>
      </c>
      <c r="O883" t="s">
        <v>264</v>
      </c>
      <c r="Q883" t="s">
        <v>264</v>
      </c>
      <c r="R883" t="s">
        <v>265</v>
      </c>
      <c r="S883">
        <v>14860</v>
      </c>
      <c r="T883" t="s">
        <v>266</v>
      </c>
      <c r="U883" t="s">
        <v>267</v>
      </c>
      <c r="V883" t="s">
        <v>386</v>
      </c>
      <c r="W883" t="s">
        <v>387</v>
      </c>
      <c r="X883">
        <v>1934552</v>
      </c>
      <c r="Y883" s="6">
        <v>44796</v>
      </c>
      <c r="Z883" t="s">
        <v>264</v>
      </c>
      <c r="AA883">
        <v>1</v>
      </c>
      <c r="AB883" t="s">
        <v>264</v>
      </c>
      <c r="AD883" t="s">
        <v>264</v>
      </c>
      <c r="AE883" t="s">
        <v>264</v>
      </c>
      <c r="AF883" t="s">
        <v>264</v>
      </c>
      <c r="AH883" t="s">
        <v>264</v>
      </c>
      <c r="AL883" t="s">
        <v>264</v>
      </c>
      <c r="AM883" s="6">
        <v>44795</v>
      </c>
      <c r="AN883" t="s">
        <v>388</v>
      </c>
      <c r="AO883" t="s">
        <v>268</v>
      </c>
      <c r="AP883">
        <v>1204</v>
      </c>
      <c r="AQ883" t="s">
        <v>269</v>
      </c>
      <c r="AR883" t="s">
        <v>873</v>
      </c>
      <c r="AU883" t="s">
        <v>264</v>
      </c>
      <c r="AV883" t="s">
        <v>270</v>
      </c>
      <c r="AX883" t="s">
        <v>264</v>
      </c>
      <c r="AY883">
        <v>812100</v>
      </c>
      <c r="AZ883">
        <v>1204.8121000000001</v>
      </c>
      <c r="BA883" s="28" t="s">
        <v>214</v>
      </c>
    </row>
    <row r="884" spans="1:53">
      <c r="A884" t="s">
        <v>384</v>
      </c>
      <c r="B884" t="s">
        <v>385</v>
      </c>
      <c r="C884">
        <v>22001312</v>
      </c>
      <c r="D884">
        <v>1204</v>
      </c>
      <c r="E884" s="6">
        <v>44796</v>
      </c>
      <c r="F884" t="s">
        <v>864</v>
      </c>
      <c r="G884">
        <v>703.33</v>
      </c>
      <c r="H884">
        <v>703.33</v>
      </c>
      <c r="I884" t="s">
        <v>263</v>
      </c>
      <c r="J884" t="s">
        <v>263</v>
      </c>
      <c r="L884" s="29">
        <v>10451483</v>
      </c>
      <c r="N884" s="29">
        <v>10451483</v>
      </c>
      <c r="O884" t="s">
        <v>264</v>
      </c>
      <c r="Q884" t="s">
        <v>264</v>
      </c>
      <c r="R884" t="s">
        <v>265</v>
      </c>
      <c r="S884">
        <v>14860</v>
      </c>
      <c r="T884" t="s">
        <v>266</v>
      </c>
      <c r="U884" t="s">
        <v>267</v>
      </c>
      <c r="V884" t="s">
        <v>386</v>
      </c>
      <c r="W884" t="s">
        <v>387</v>
      </c>
      <c r="X884">
        <v>1934660</v>
      </c>
      <c r="Y884" s="6">
        <v>44797</v>
      </c>
      <c r="Z884" t="s">
        <v>264</v>
      </c>
      <c r="AA884">
        <v>1</v>
      </c>
      <c r="AB884" t="s">
        <v>264</v>
      </c>
      <c r="AD884" t="s">
        <v>264</v>
      </c>
      <c r="AE884" t="s">
        <v>264</v>
      </c>
      <c r="AF884" t="s">
        <v>264</v>
      </c>
      <c r="AH884" t="s">
        <v>264</v>
      </c>
      <c r="AL884" t="s">
        <v>264</v>
      </c>
      <c r="AM884" s="6">
        <v>44796</v>
      </c>
      <c r="AN884" t="s">
        <v>388</v>
      </c>
      <c r="AO884" t="s">
        <v>268</v>
      </c>
      <c r="AP884">
        <v>1204</v>
      </c>
      <c r="AQ884" t="s">
        <v>269</v>
      </c>
      <c r="AR884" t="s">
        <v>873</v>
      </c>
      <c r="AU884" t="s">
        <v>264</v>
      </c>
      <c r="AV884" t="s">
        <v>270</v>
      </c>
      <c r="AX884" t="s">
        <v>264</v>
      </c>
      <c r="AY884">
        <v>812100</v>
      </c>
      <c r="AZ884">
        <v>1204.8121000000001</v>
      </c>
      <c r="BA884" s="28" t="s">
        <v>214</v>
      </c>
    </row>
    <row r="885" spans="1:53">
      <c r="A885" t="s">
        <v>384</v>
      </c>
      <c r="B885" t="s">
        <v>385</v>
      </c>
      <c r="C885">
        <v>22001600</v>
      </c>
      <c r="D885">
        <v>1201</v>
      </c>
      <c r="E885" s="6">
        <v>44802</v>
      </c>
      <c r="F885" t="s">
        <v>864</v>
      </c>
      <c r="G885">
        <v>75.37</v>
      </c>
      <c r="H885">
        <v>75.37</v>
      </c>
      <c r="I885" t="s">
        <v>263</v>
      </c>
      <c r="J885" t="s">
        <v>263</v>
      </c>
      <c r="L885" s="29">
        <v>1120000</v>
      </c>
      <c r="N885" s="29">
        <v>1120000</v>
      </c>
      <c r="O885" t="s">
        <v>264</v>
      </c>
      <c r="Q885" t="s">
        <v>264</v>
      </c>
      <c r="R885" t="s">
        <v>265</v>
      </c>
      <c r="S885">
        <v>14860</v>
      </c>
      <c r="T885" t="s">
        <v>266</v>
      </c>
      <c r="U885" t="s">
        <v>267</v>
      </c>
      <c r="V885" t="s">
        <v>386</v>
      </c>
      <c r="W885" t="s">
        <v>387</v>
      </c>
      <c r="X885">
        <v>1935899</v>
      </c>
      <c r="Y885" s="6">
        <v>44802</v>
      </c>
      <c r="Z885" t="s">
        <v>264</v>
      </c>
      <c r="AA885">
        <v>2</v>
      </c>
      <c r="AB885" t="s">
        <v>264</v>
      </c>
      <c r="AD885" t="s">
        <v>264</v>
      </c>
      <c r="AE885" t="s">
        <v>264</v>
      </c>
      <c r="AF885" t="s">
        <v>264</v>
      </c>
      <c r="AH885" t="s">
        <v>264</v>
      </c>
      <c r="AL885" t="s">
        <v>264</v>
      </c>
      <c r="AM885" s="6">
        <v>44802</v>
      </c>
      <c r="AN885" t="s">
        <v>388</v>
      </c>
      <c r="AO885" t="s">
        <v>268</v>
      </c>
      <c r="AP885">
        <v>1204</v>
      </c>
      <c r="AQ885" t="s">
        <v>269</v>
      </c>
      <c r="AR885" t="s">
        <v>873</v>
      </c>
      <c r="AU885" t="s">
        <v>264</v>
      </c>
      <c r="AV885" t="s">
        <v>270</v>
      </c>
      <c r="AX885" t="s">
        <v>264</v>
      </c>
      <c r="AY885">
        <v>812100</v>
      </c>
      <c r="AZ885">
        <v>1204.8121000000001</v>
      </c>
      <c r="BA885" s="28" t="s">
        <v>214</v>
      </c>
    </row>
    <row r="886" spans="1:53">
      <c r="A886" t="s">
        <v>384</v>
      </c>
      <c r="B886" t="s">
        <v>385</v>
      </c>
      <c r="C886">
        <v>22001593</v>
      </c>
      <c r="D886">
        <v>1201</v>
      </c>
      <c r="E886" s="6">
        <v>44802</v>
      </c>
      <c r="F886" t="s">
        <v>864</v>
      </c>
      <c r="G886">
        <v>484.25</v>
      </c>
      <c r="H886">
        <v>484.25</v>
      </c>
      <c r="I886" t="s">
        <v>263</v>
      </c>
      <c r="J886" t="s">
        <v>263</v>
      </c>
      <c r="L886" s="29">
        <v>7196000</v>
      </c>
      <c r="N886" s="29">
        <v>7196000</v>
      </c>
      <c r="O886" t="s">
        <v>264</v>
      </c>
      <c r="Q886" t="s">
        <v>264</v>
      </c>
      <c r="R886" t="s">
        <v>265</v>
      </c>
      <c r="S886">
        <v>14860</v>
      </c>
      <c r="T886" t="s">
        <v>266</v>
      </c>
      <c r="U886" t="s">
        <v>267</v>
      </c>
      <c r="V886" t="s">
        <v>386</v>
      </c>
      <c r="W886" t="s">
        <v>387</v>
      </c>
      <c r="X886">
        <v>1935899</v>
      </c>
      <c r="Y886" s="6">
        <v>44802</v>
      </c>
      <c r="Z886" t="s">
        <v>264</v>
      </c>
      <c r="AA886">
        <v>2</v>
      </c>
      <c r="AB886" t="s">
        <v>264</v>
      </c>
      <c r="AD886" t="s">
        <v>264</v>
      </c>
      <c r="AE886" t="s">
        <v>264</v>
      </c>
      <c r="AF886" t="s">
        <v>264</v>
      </c>
      <c r="AH886" t="s">
        <v>264</v>
      </c>
      <c r="AL886" t="s">
        <v>264</v>
      </c>
      <c r="AM886" s="6">
        <v>44802</v>
      </c>
      <c r="AN886" t="s">
        <v>388</v>
      </c>
      <c r="AO886" t="s">
        <v>268</v>
      </c>
      <c r="AP886">
        <v>1206</v>
      </c>
      <c r="AQ886" t="s">
        <v>269</v>
      </c>
      <c r="AR886" t="s">
        <v>1134</v>
      </c>
      <c r="AU886" t="s">
        <v>264</v>
      </c>
      <c r="AV886" t="s">
        <v>270</v>
      </c>
      <c r="AX886" t="s">
        <v>264</v>
      </c>
      <c r="AY886">
        <v>812100</v>
      </c>
      <c r="AZ886">
        <v>1206.8121000000001</v>
      </c>
      <c r="BA886" s="28" t="s">
        <v>216</v>
      </c>
    </row>
    <row r="887" spans="1:53">
      <c r="A887" t="s">
        <v>384</v>
      </c>
      <c r="B887" t="s">
        <v>385</v>
      </c>
      <c r="C887">
        <v>22001607</v>
      </c>
      <c r="D887">
        <v>1201</v>
      </c>
      <c r="E887" s="6">
        <v>44802</v>
      </c>
      <c r="F887" t="s">
        <v>864</v>
      </c>
      <c r="G887">
        <v>184.86</v>
      </c>
      <c r="H887">
        <v>184.86</v>
      </c>
      <c r="I887" t="s">
        <v>263</v>
      </c>
      <c r="J887" t="s">
        <v>263</v>
      </c>
      <c r="L887" s="29">
        <v>2747000</v>
      </c>
      <c r="N887" s="29">
        <v>2747000</v>
      </c>
      <c r="O887" t="s">
        <v>264</v>
      </c>
      <c r="Q887" t="s">
        <v>264</v>
      </c>
      <c r="R887" t="s">
        <v>265</v>
      </c>
      <c r="S887">
        <v>14860</v>
      </c>
      <c r="T887" t="s">
        <v>266</v>
      </c>
      <c r="U887" t="s">
        <v>267</v>
      </c>
      <c r="V887" t="s">
        <v>386</v>
      </c>
      <c r="W887" t="s">
        <v>387</v>
      </c>
      <c r="X887">
        <v>1935899</v>
      </c>
      <c r="Y887" s="6">
        <v>44802</v>
      </c>
      <c r="Z887" t="s">
        <v>264</v>
      </c>
      <c r="AA887">
        <v>2</v>
      </c>
      <c r="AB887" t="s">
        <v>264</v>
      </c>
      <c r="AD887" t="s">
        <v>264</v>
      </c>
      <c r="AE887" t="s">
        <v>264</v>
      </c>
      <c r="AF887" t="s">
        <v>264</v>
      </c>
      <c r="AH887" t="s">
        <v>264</v>
      </c>
      <c r="AL887" t="s">
        <v>264</v>
      </c>
      <c r="AM887" s="6">
        <v>44802</v>
      </c>
      <c r="AN887" t="s">
        <v>388</v>
      </c>
      <c r="AO887" t="s">
        <v>268</v>
      </c>
      <c r="AP887">
        <v>1206</v>
      </c>
      <c r="AQ887" t="s">
        <v>269</v>
      </c>
      <c r="AR887" t="s">
        <v>1135</v>
      </c>
      <c r="AU887" t="s">
        <v>264</v>
      </c>
      <c r="AV887" t="s">
        <v>270</v>
      </c>
      <c r="AX887" t="s">
        <v>264</v>
      </c>
      <c r="AY887">
        <v>812100</v>
      </c>
      <c r="AZ887">
        <v>1206.8121000000001</v>
      </c>
      <c r="BA887" s="28" t="s">
        <v>216</v>
      </c>
    </row>
    <row r="888" spans="1:53">
      <c r="A888" t="s">
        <v>384</v>
      </c>
      <c r="B888" t="s">
        <v>385</v>
      </c>
      <c r="C888">
        <v>22001582</v>
      </c>
      <c r="D888">
        <v>1201</v>
      </c>
      <c r="E888" s="6">
        <v>44783</v>
      </c>
      <c r="F888" t="s">
        <v>80</v>
      </c>
      <c r="G888">
        <v>59.32</v>
      </c>
      <c r="H888">
        <v>59.32</v>
      </c>
      <c r="I888" t="s">
        <v>263</v>
      </c>
      <c r="J888" t="s">
        <v>263</v>
      </c>
      <c r="L888" s="29">
        <v>881500</v>
      </c>
      <c r="N888" s="29">
        <v>881500</v>
      </c>
      <c r="O888" t="s">
        <v>264</v>
      </c>
      <c r="Q888" t="s">
        <v>264</v>
      </c>
      <c r="R888" t="s">
        <v>265</v>
      </c>
      <c r="S888">
        <v>14860</v>
      </c>
      <c r="T888" t="s">
        <v>266</v>
      </c>
      <c r="U888" t="s">
        <v>267</v>
      </c>
      <c r="V888" t="s">
        <v>386</v>
      </c>
      <c r="W888" t="s">
        <v>387</v>
      </c>
      <c r="X888">
        <v>1930273</v>
      </c>
      <c r="Y888" s="6">
        <v>44783</v>
      </c>
      <c r="Z888" t="s">
        <v>264</v>
      </c>
      <c r="AA888">
        <v>1</v>
      </c>
      <c r="AB888" t="s">
        <v>264</v>
      </c>
      <c r="AD888" t="s">
        <v>264</v>
      </c>
      <c r="AE888" t="s">
        <v>264</v>
      </c>
      <c r="AF888" t="s">
        <v>264</v>
      </c>
      <c r="AH888" t="s">
        <v>264</v>
      </c>
      <c r="AL888" t="s">
        <v>264</v>
      </c>
      <c r="AM888" s="6">
        <v>44783</v>
      </c>
      <c r="AN888" t="s">
        <v>388</v>
      </c>
      <c r="AO888" t="s">
        <v>268</v>
      </c>
      <c r="AP888">
        <v>1201</v>
      </c>
      <c r="AQ888" t="s">
        <v>269</v>
      </c>
      <c r="AR888" t="s">
        <v>874</v>
      </c>
      <c r="AU888" t="s">
        <v>264</v>
      </c>
      <c r="AV888" t="s">
        <v>270</v>
      </c>
      <c r="AX888" t="s">
        <v>264</v>
      </c>
      <c r="AY888">
        <v>813100</v>
      </c>
      <c r="AZ888">
        <v>1201.8131000000001</v>
      </c>
      <c r="BA888" s="28" t="s">
        <v>79</v>
      </c>
    </row>
    <row r="889" spans="1:53">
      <c r="A889" t="s">
        <v>384</v>
      </c>
      <c r="B889" t="s">
        <v>385</v>
      </c>
      <c r="C889">
        <v>22001590</v>
      </c>
      <c r="D889">
        <v>1201</v>
      </c>
      <c r="E889" s="6">
        <v>44788</v>
      </c>
      <c r="F889" t="s">
        <v>875</v>
      </c>
      <c r="G889">
        <v>201.88</v>
      </c>
      <c r="H889">
        <v>201.88</v>
      </c>
      <c r="I889" t="s">
        <v>263</v>
      </c>
      <c r="J889" t="s">
        <v>263</v>
      </c>
      <c r="L889" s="29">
        <v>3000000</v>
      </c>
      <c r="N889" s="29">
        <v>3000000</v>
      </c>
      <c r="O889" t="s">
        <v>264</v>
      </c>
      <c r="Q889" t="s">
        <v>264</v>
      </c>
      <c r="R889" t="s">
        <v>265</v>
      </c>
      <c r="S889">
        <v>14860</v>
      </c>
      <c r="T889" t="s">
        <v>266</v>
      </c>
      <c r="U889" t="s">
        <v>267</v>
      </c>
      <c r="V889" t="s">
        <v>386</v>
      </c>
      <c r="W889" t="s">
        <v>387</v>
      </c>
      <c r="X889">
        <v>1931513</v>
      </c>
      <c r="Y889" s="6">
        <v>44788</v>
      </c>
      <c r="Z889" t="s">
        <v>264</v>
      </c>
      <c r="AA889">
        <v>1</v>
      </c>
      <c r="AB889" t="s">
        <v>264</v>
      </c>
      <c r="AD889" t="s">
        <v>264</v>
      </c>
      <c r="AE889" t="s">
        <v>264</v>
      </c>
      <c r="AF889" t="s">
        <v>264</v>
      </c>
      <c r="AH889" t="s">
        <v>264</v>
      </c>
      <c r="AL889" t="s">
        <v>264</v>
      </c>
      <c r="AM889" s="6">
        <v>44788</v>
      </c>
      <c r="AN889" t="s">
        <v>388</v>
      </c>
      <c r="AO889" t="s">
        <v>268</v>
      </c>
      <c r="AP889">
        <v>1201</v>
      </c>
      <c r="AQ889" t="s">
        <v>269</v>
      </c>
      <c r="AR889" t="s">
        <v>876</v>
      </c>
      <c r="AU889" t="s">
        <v>264</v>
      </c>
      <c r="AV889" t="s">
        <v>270</v>
      </c>
      <c r="AX889" t="s">
        <v>264</v>
      </c>
      <c r="AY889">
        <v>813100</v>
      </c>
      <c r="AZ889">
        <v>1201.8131000000001</v>
      </c>
      <c r="BA889" s="28" t="s">
        <v>79</v>
      </c>
    </row>
    <row r="890" spans="1:53">
      <c r="A890" t="s">
        <v>384</v>
      </c>
      <c r="B890" t="s">
        <v>385</v>
      </c>
      <c r="C890">
        <v>22001604</v>
      </c>
      <c r="D890">
        <v>1201</v>
      </c>
      <c r="E890" s="6">
        <v>44802</v>
      </c>
      <c r="F890" t="s">
        <v>80</v>
      </c>
      <c r="G890">
        <v>225.62</v>
      </c>
      <c r="H890">
        <v>225.62</v>
      </c>
      <c r="I890" t="s">
        <v>263</v>
      </c>
      <c r="J890" t="s">
        <v>263</v>
      </c>
      <c r="L890" s="29">
        <v>3352650</v>
      </c>
      <c r="N890" s="29">
        <v>3352650</v>
      </c>
      <c r="O890" t="s">
        <v>264</v>
      </c>
      <c r="Q890" t="s">
        <v>264</v>
      </c>
      <c r="R890" t="s">
        <v>265</v>
      </c>
      <c r="S890">
        <v>14860</v>
      </c>
      <c r="T890" t="s">
        <v>266</v>
      </c>
      <c r="U890" t="s">
        <v>267</v>
      </c>
      <c r="V890" t="s">
        <v>386</v>
      </c>
      <c r="W890" t="s">
        <v>387</v>
      </c>
      <c r="X890">
        <v>1935899</v>
      </c>
      <c r="Y890" s="6">
        <v>44802</v>
      </c>
      <c r="Z890" t="s">
        <v>264</v>
      </c>
      <c r="AA890">
        <v>1</v>
      </c>
      <c r="AB890" t="s">
        <v>264</v>
      </c>
      <c r="AD890" t="s">
        <v>264</v>
      </c>
      <c r="AE890" t="s">
        <v>264</v>
      </c>
      <c r="AF890" t="s">
        <v>264</v>
      </c>
      <c r="AH890" t="s">
        <v>264</v>
      </c>
      <c r="AL890" t="s">
        <v>264</v>
      </c>
      <c r="AM890" s="6">
        <v>44802</v>
      </c>
      <c r="AN890" t="s">
        <v>388</v>
      </c>
      <c r="AO890" t="s">
        <v>268</v>
      </c>
      <c r="AP890">
        <v>1201</v>
      </c>
      <c r="AQ890" t="s">
        <v>269</v>
      </c>
      <c r="AR890" t="s">
        <v>874</v>
      </c>
      <c r="AU890" t="s">
        <v>264</v>
      </c>
      <c r="AV890" t="s">
        <v>270</v>
      </c>
      <c r="AX890" t="s">
        <v>264</v>
      </c>
      <c r="AY890">
        <v>813100</v>
      </c>
      <c r="AZ890">
        <v>1201.8131000000001</v>
      </c>
      <c r="BA890" s="28" t="s">
        <v>79</v>
      </c>
    </row>
    <row r="891" spans="1:53">
      <c r="A891" t="s">
        <v>384</v>
      </c>
      <c r="B891" t="s">
        <v>385</v>
      </c>
      <c r="C891">
        <v>22001578</v>
      </c>
      <c r="D891">
        <v>1201</v>
      </c>
      <c r="E891" s="6">
        <v>44781</v>
      </c>
      <c r="F891" t="s">
        <v>875</v>
      </c>
      <c r="G891">
        <v>201.88</v>
      </c>
      <c r="H891">
        <v>201.88</v>
      </c>
      <c r="I891" t="s">
        <v>263</v>
      </c>
      <c r="J891" t="s">
        <v>263</v>
      </c>
      <c r="L891" s="29">
        <v>3000000</v>
      </c>
      <c r="N891" s="29">
        <v>3000000</v>
      </c>
      <c r="O891" t="s">
        <v>264</v>
      </c>
      <c r="Q891" t="s">
        <v>264</v>
      </c>
      <c r="R891" t="s">
        <v>265</v>
      </c>
      <c r="S891">
        <v>14860</v>
      </c>
      <c r="T891" t="s">
        <v>266</v>
      </c>
      <c r="U891" t="s">
        <v>267</v>
      </c>
      <c r="V891" t="s">
        <v>386</v>
      </c>
      <c r="W891" t="s">
        <v>387</v>
      </c>
      <c r="X891">
        <v>1928835</v>
      </c>
      <c r="Y891" s="6">
        <v>44781</v>
      </c>
      <c r="Z891" t="s">
        <v>264</v>
      </c>
      <c r="AA891">
        <v>2</v>
      </c>
      <c r="AB891" t="s">
        <v>264</v>
      </c>
      <c r="AD891" t="s">
        <v>264</v>
      </c>
      <c r="AE891" t="s">
        <v>264</v>
      </c>
      <c r="AF891" t="s">
        <v>264</v>
      </c>
      <c r="AH891" t="s">
        <v>264</v>
      </c>
      <c r="AL891" t="s">
        <v>264</v>
      </c>
      <c r="AM891" s="6">
        <v>44781</v>
      </c>
      <c r="AN891" t="s">
        <v>388</v>
      </c>
      <c r="AO891" t="s">
        <v>268</v>
      </c>
      <c r="AP891">
        <v>1204</v>
      </c>
      <c r="AQ891" t="s">
        <v>269</v>
      </c>
      <c r="AR891" t="s">
        <v>876</v>
      </c>
      <c r="AU891" t="s">
        <v>264</v>
      </c>
      <c r="AV891" t="s">
        <v>270</v>
      </c>
      <c r="AX891" t="s">
        <v>264</v>
      </c>
      <c r="AY891">
        <v>813100</v>
      </c>
      <c r="AZ891">
        <v>1204.8131000000001</v>
      </c>
      <c r="BA891" s="28" t="s">
        <v>217</v>
      </c>
    </row>
    <row r="892" spans="1:53">
      <c r="A892" t="s">
        <v>384</v>
      </c>
      <c r="B892" t="s">
        <v>385</v>
      </c>
      <c r="C892">
        <v>22001291</v>
      </c>
      <c r="D892">
        <v>1204</v>
      </c>
      <c r="E892" s="6">
        <v>44782</v>
      </c>
      <c r="F892" t="s">
        <v>80</v>
      </c>
      <c r="G892">
        <v>65.349999999999994</v>
      </c>
      <c r="H892">
        <v>65.349999999999994</v>
      </c>
      <c r="I892" t="s">
        <v>263</v>
      </c>
      <c r="J892" t="s">
        <v>263</v>
      </c>
      <c r="L892" s="29">
        <v>971100</v>
      </c>
      <c r="N892" s="29">
        <v>971100</v>
      </c>
      <c r="O892" t="s">
        <v>264</v>
      </c>
      <c r="Q892" t="s">
        <v>264</v>
      </c>
      <c r="R892" t="s">
        <v>265</v>
      </c>
      <c r="S892">
        <v>14860</v>
      </c>
      <c r="T892" t="s">
        <v>266</v>
      </c>
      <c r="U892" t="s">
        <v>267</v>
      </c>
      <c r="V892" t="s">
        <v>386</v>
      </c>
      <c r="W892" t="s">
        <v>387</v>
      </c>
      <c r="X892">
        <v>1929267</v>
      </c>
      <c r="Y892" s="6">
        <v>44782</v>
      </c>
      <c r="Z892" t="s">
        <v>264</v>
      </c>
      <c r="AA892">
        <v>1</v>
      </c>
      <c r="AB892" t="s">
        <v>264</v>
      </c>
      <c r="AD892" t="s">
        <v>264</v>
      </c>
      <c r="AE892" t="s">
        <v>264</v>
      </c>
      <c r="AF892" t="s">
        <v>264</v>
      </c>
      <c r="AH892" t="s">
        <v>264</v>
      </c>
      <c r="AL892" t="s">
        <v>264</v>
      </c>
      <c r="AM892" s="6">
        <v>44782</v>
      </c>
      <c r="AN892" t="s">
        <v>614</v>
      </c>
      <c r="AO892" t="s">
        <v>268</v>
      </c>
      <c r="AP892">
        <v>1204</v>
      </c>
      <c r="AQ892" t="s">
        <v>269</v>
      </c>
      <c r="AR892" t="s">
        <v>877</v>
      </c>
      <c r="AU892" t="s">
        <v>264</v>
      </c>
      <c r="AV892" t="s">
        <v>270</v>
      </c>
      <c r="AX892" t="s">
        <v>264</v>
      </c>
      <c r="AY892">
        <v>813100</v>
      </c>
      <c r="AZ892">
        <v>1204.8131000000001</v>
      </c>
      <c r="BA892" s="28" t="s">
        <v>217</v>
      </c>
    </row>
    <row r="893" spans="1:53">
      <c r="A893" t="s">
        <v>384</v>
      </c>
      <c r="B893" t="s">
        <v>385</v>
      </c>
      <c r="C893">
        <v>22001296</v>
      </c>
      <c r="D893">
        <v>1204</v>
      </c>
      <c r="E893" s="6">
        <v>44795</v>
      </c>
      <c r="F893" t="s">
        <v>80</v>
      </c>
      <c r="G893">
        <v>179.74</v>
      </c>
      <c r="H893">
        <v>179.74</v>
      </c>
      <c r="I893" t="s">
        <v>263</v>
      </c>
      <c r="J893" t="s">
        <v>263</v>
      </c>
      <c r="L893" s="29">
        <v>2671000</v>
      </c>
      <c r="N893" s="29">
        <v>2671000</v>
      </c>
      <c r="O893" t="s">
        <v>264</v>
      </c>
      <c r="Q893" t="s">
        <v>264</v>
      </c>
      <c r="R893" t="s">
        <v>265</v>
      </c>
      <c r="S893">
        <v>14860</v>
      </c>
      <c r="T893" t="s">
        <v>266</v>
      </c>
      <c r="U893" t="s">
        <v>267</v>
      </c>
      <c r="V893" t="s">
        <v>386</v>
      </c>
      <c r="W893" t="s">
        <v>387</v>
      </c>
      <c r="X893">
        <v>1934552</v>
      </c>
      <c r="Y893" s="6">
        <v>44796</v>
      </c>
      <c r="Z893" t="s">
        <v>264</v>
      </c>
      <c r="AA893">
        <v>1</v>
      </c>
      <c r="AB893" t="s">
        <v>264</v>
      </c>
      <c r="AD893" t="s">
        <v>264</v>
      </c>
      <c r="AE893" t="s">
        <v>264</v>
      </c>
      <c r="AF893" t="s">
        <v>264</v>
      </c>
      <c r="AH893" t="s">
        <v>264</v>
      </c>
      <c r="AL893" t="s">
        <v>264</v>
      </c>
      <c r="AM893" s="6">
        <v>44795</v>
      </c>
      <c r="AN893" t="s">
        <v>388</v>
      </c>
      <c r="AO893" t="s">
        <v>268</v>
      </c>
      <c r="AP893">
        <v>1204</v>
      </c>
      <c r="AQ893" t="s">
        <v>269</v>
      </c>
      <c r="AR893" t="s">
        <v>878</v>
      </c>
      <c r="AU893" t="s">
        <v>264</v>
      </c>
      <c r="AV893" t="s">
        <v>270</v>
      </c>
      <c r="AX893" t="s">
        <v>264</v>
      </c>
      <c r="AY893">
        <v>813100</v>
      </c>
      <c r="AZ893">
        <v>1204.8131000000001</v>
      </c>
      <c r="BA893" s="28" t="s">
        <v>217</v>
      </c>
    </row>
    <row r="894" spans="1:53">
      <c r="A894" t="s">
        <v>384</v>
      </c>
      <c r="B894" t="s">
        <v>385</v>
      </c>
      <c r="C894">
        <v>22001311</v>
      </c>
      <c r="D894">
        <v>1204</v>
      </c>
      <c r="E894" s="6">
        <v>44796</v>
      </c>
      <c r="F894" t="s">
        <v>80</v>
      </c>
      <c r="G894">
        <v>116.24</v>
      </c>
      <c r="H894">
        <v>116.24</v>
      </c>
      <c r="I894" t="s">
        <v>263</v>
      </c>
      <c r="J894" t="s">
        <v>263</v>
      </c>
      <c r="L894" s="29">
        <v>1727300</v>
      </c>
      <c r="N894" s="29">
        <v>1727300</v>
      </c>
      <c r="O894" t="s">
        <v>264</v>
      </c>
      <c r="Q894" t="s">
        <v>264</v>
      </c>
      <c r="R894" t="s">
        <v>265</v>
      </c>
      <c r="S894">
        <v>14860</v>
      </c>
      <c r="T894" t="s">
        <v>266</v>
      </c>
      <c r="U894" t="s">
        <v>267</v>
      </c>
      <c r="V894" t="s">
        <v>386</v>
      </c>
      <c r="W894" t="s">
        <v>387</v>
      </c>
      <c r="X894">
        <v>1934660</v>
      </c>
      <c r="Y894" s="6">
        <v>44797</v>
      </c>
      <c r="Z894" t="s">
        <v>264</v>
      </c>
      <c r="AA894">
        <v>1</v>
      </c>
      <c r="AB894" t="s">
        <v>264</v>
      </c>
      <c r="AD894" t="s">
        <v>264</v>
      </c>
      <c r="AE894" t="s">
        <v>264</v>
      </c>
      <c r="AF894" t="s">
        <v>264</v>
      </c>
      <c r="AH894" t="s">
        <v>264</v>
      </c>
      <c r="AL894" t="s">
        <v>264</v>
      </c>
      <c r="AM894" s="6">
        <v>44796</v>
      </c>
      <c r="AN894" t="s">
        <v>388</v>
      </c>
      <c r="AO894" t="s">
        <v>268</v>
      </c>
      <c r="AP894">
        <v>1204</v>
      </c>
      <c r="AQ894" t="s">
        <v>269</v>
      </c>
      <c r="AR894" t="s">
        <v>878</v>
      </c>
      <c r="AU894" t="s">
        <v>264</v>
      </c>
      <c r="AV894" t="s">
        <v>270</v>
      </c>
      <c r="AX894" t="s">
        <v>264</v>
      </c>
      <c r="AY894">
        <v>813100</v>
      </c>
      <c r="AZ894">
        <v>1204.8131000000001</v>
      </c>
      <c r="BA894" s="28" t="s">
        <v>217</v>
      </c>
    </row>
    <row r="895" spans="1:53">
      <c r="A895" t="s">
        <v>271</v>
      </c>
      <c r="B895" t="s">
        <v>272</v>
      </c>
      <c r="C895">
        <v>22002828</v>
      </c>
      <c r="D895">
        <v>1204</v>
      </c>
      <c r="E895" s="6">
        <v>44785</v>
      </c>
      <c r="F895" t="s">
        <v>879</v>
      </c>
      <c r="G895">
        <v>436.74</v>
      </c>
      <c r="H895">
        <v>436.74</v>
      </c>
      <c r="I895" t="s">
        <v>263</v>
      </c>
      <c r="J895" t="s">
        <v>263</v>
      </c>
      <c r="L895" s="29">
        <v>6490000</v>
      </c>
      <c r="N895" s="29">
        <v>6490000</v>
      </c>
      <c r="O895" t="s">
        <v>264</v>
      </c>
      <c r="Q895" t="s">
        <v>264</v>
      </c>
      <c r="R895" t="s">
        <v>265</v>
      </c>
      <c r="S895">
        <v>14860</v>
      </c>
      <c r="T895" t="s">
        <v>266</v>
      </c>
      <c r="U895" t="s">
        <v>267</v>
      </c>
      <c r="V895" t="s">
        <v>273</v>
      </c>
      <c r="W895" t="s">
        <v>274</v>
      </c>
      <c r="X895">
        <v>1930566</v>
      </c>
      <c r="Y895" s="6">
        <v>44785</v>
      </c>
      <c r="Z895" t="s">
        <v>264</v>
      </c>
      <c r="AA895">
        <v>1</v>
      </c>
      <c r="AB895" t="s">
        <v>264</v>
      </c>
      <c r="AD895" t="s">
        <v>264</v>
      </c>
      <c r="AE895" t="s">
        <v>264</v>
      </c>
      <c r="AF895" t="s">
        <v>264</v>
      </c>
      <c r="AG895">
        <v>3</v>
      </c>
      <c r="AH895" t="s">
        <v>264</v>
      </c>
      <c r="AI895">
        <v>55376507</v>
      </c>
      <c r="AJ895" t="s">
        <v>879</v>
      </c>
      <c r="AL895" t="s">
        <v>880</v>
      </c>
      <c r="AM895" s="6">
        <v>44785</v>
      </c>
      <c r="AN895" t="s">
        <v>275</v>
      </c>
      <c r="AO895" t="s">
        <v>268</v>
      </c>
      <c r="AP895">
        <v>1204</v>
      </c>
      <c r="AQ895" t="s">
        <v>269</v>
      </c>
      <c r="AR895" t="s">
        <v>881</v>
      </c>
      <c r="AU895" t="s">
        <v>264</v>
      </c>
      <c r="AV895" t="s">
        <v>270</v>
      </c>
      <c r="AX895">
        <v>22001395</v>
      </c>
      <c r="AY895">
        <v>814110</v>
      </c>
      <c r="AZ895">
        <v>1204.81411</v>
      </c>
      <c r="BA895" s="28" t="s">
        <v>220</v>
      </c>
    </row>
    <row r="896" spans="1:53">
      <c r="A896" t="s">
        <v>1115</v>
      </c>
      <c r="B896" t="s">
        <v>1116</v>
      </c>
      <c r="C896">
        <v>4632274</v>
      </c>
      <c r="D896">
        <v>1201</v>
      </c>
      <c r="E896" s="6">
        <v>44804</v>
      </c>
      <c r="F896" t="s">
        <v>1136</v>
      </c>
      <c r="G896">
        <v>221.14</v>
      </c>
      <c r="H896">
        <v>221.14</v>
      </c>
      <c r="I896" t="s">
        <v>263</v>
      </c>
      <c r="O896" t="s">
        <v>264</v>
      </c>
      <c r="Q896" t="s">
        <v>264</v>
      </c>
      <c r="R896" t="s">
        <v>524</v>
      </c>
      <c r="T896" t="s">
        <v>266</v>
      </c>
      <c r="U896" t="s">
        <v>267</v>
      </c>
      <c r="V896" t="s">
        <v>386</v>
      </c>
      <c r="W896" t="s">
        <v>387</v>
      </c>
      <c r="X896">
        <v>1935673</v>
      </c>
      <c r="Y896" s="6">
        <v>44802</v>
      </c>
      <c r="Z896" t="s">
        <v>264</v>
      </c>
      <c r="AA896">
        <v>2</v>
      </c>
      <c r="AB896" t="s">
        <v>264</v>
      </c>
      <c r="AD896" t="s">
        <v>264</v>
      </c>
      <c r="AE896" t="s">
        <v>264</v>
      </c>
      <c r="AF896" t="s">
        <v>264</v>
      </c>
      <c r="AH896" t="s">
        <v>264</v>
      </c>
      <c r="AL896" t="s">
        <v>264</v>
      </c>
      <c r="AM896" s="6">
        <v>44804</v>
      </c>
      <c r="AN896" t="s">
        <v>393</v>
      </c>
      <c r="AO896" t="s">
        <v>268</v>
      </c>
      <c r="AP896">
        <v>1201</v>
      </c>
      <c r="AQ896" t="s">
        <v>269</v>
      </c>
      <c r="AR896" t="s">
        <v>264</v>
      </c>
      <c r="AU896" t="s">
        <v>264</v>
      </c>
      <c r="AV896" t="s">
        <v>270</v>
      </c>
      <c r="AX896" t="s">
        <v>264</v>
      </c>
      <c r="AY896">
        <v>815110</v>
      </c>
      <c r="AZ896">
        <v>1201.81511</v>
      </c>
      <c r="BA896" s="28" t="s">
        <v>83</v>
      </c>
    </row>
    <row r="897" spans="1:53">
      <c r="A897" t="s">
        <v>1115</v>
      </c>
      <c r="B897" t="s">
        <v>1116</v>
      </c>
      <c r="C897">
        <v>4632259</v>
      </c>
      <c r="D897">
        <v>1201</v>
      </c>
      <c r="E897" s="6">
        <v>44804</v>
      </c>
      <c r="F897" t="s">
        <v>1137</v>
      </c>
      <c r="G897">
        <v>64.25</v>
      </c>
      <c r="H897">
        <v>64.25</v>
      </c>
      <c r="I897" t="s">
        <v>263</v>
      </c>
      <c r="O897" t="s">
        <v>264</v>
      </c>
      <c r="Q897" t="s">
        <v>264</v>
      </c>
      <c r="R897" t="s">
        <v>524</v>
      </c>
      <c r="T897" t="s">
        <v>266</v>
      </c>
      <c r="U897" t="s">
        <v>267</v>
      </c>
      <c r="V897" t="s">
        <v>386</v>
      </c>
      <c r="W897" t="s">
        <v>387</v>
      </c>
      <c r="X897">
        <v>1935653</v>
      </c>
      <c r="Y897" s="6">
        <v>44802</v>
      </c>
      <c r="Z897" t="s">
        <v>264</v>
      </c>
      <c r="AA897">
        <v>2</v>
      </c>
      <c r="AB897" t="s">
        <v>264</v>
      </c>
      <c r="AD897" t="s">
        <v>264</v>
      </c>
      <c r="AE897" t="s">
        <v>264</v>
      </c>
      <c r="AF897" t="s">
        <v>264</v>
      </c>
      <c r="AH897" t="s">
        <v>264</v>
      </c>
      <c r="AL897" t="s">
        <v>264</v>
      </c>
      <c r="AM897" s="6">
        <v>44804</v>
      </c>
      <c r="AN897" t="s">
        <v>393</v>
      </c>
      <c r="AO897" t="s">
        <v>268</v>
      </c>
      <c r="AP897">
        <v>1204</v>
      </c>
      <c r="AQ897" t="s">
        <v>269</v>
      </c>
      <c r="AR897" t="s">
        <v>264</v>
      </c>
      <c r="AU897" t="s">
        <v>264</v>
      </c>
      <c r="AV897" t="s">
        <v>270</v>
      </c>
      <c r="AX897" t="s">
        <v>264</v>
      </c>
      <c r="AY897">
        <v>815110</v>
      </c>
      <c r="AZ897">
        <v>1204.81511</v>
      </c>
      <c r="BA897" s="28" t="s">
        <v>223</v>
      </c>
    </row>
    <row r="898" spans="1:53">
      <c r="A898" t="s">
        <v>1115</v>
      </c>
      <c r="B898" t="s">
        <v>1116</v>
      </c>
      <c r="C898">
        <v>4632260</v>
      </c>
      <c r="D898">
        <v>1201</v>
      </c>
      <c r="E898" s="6">
        <v>44804</v>
      </c>
      <c r="F898" t="s">
        <v>1137</v>
      </c>
      <c r="G898">
        <v>63.55</v>
      </c>
      <c r="H898">
        <v>63.55</v>
      </c>
      <c r="I898" t="s">
        <v>263</v>
      </c>
      <c r="O898" t="s">
        <v>264</v>
      </c>
      <c r="Q898" t="s">
        <v>264</v>
      </c>
      <c r="R898" t="s">
        <v>524</v>
      </c>
      <c r="T898" t="s">
        <v>266</v>
      </c>
      <c r="U898" t="s">
        <v>267</v>
      </c>
      <c r="V898" t="s">
        <v>386</v>
      </c>
      <c r="W898" t="s">
        <v>387</v>
      </c>
      <c r="X898">
        <v>1935654</v>
      </c>
      <c r="Y898" s="6">
        <v>44802</v>
      </c>
      <c r="Z898" t="s">
        <v>264</v>
      </c>
      <c r="AA898">
        <v>2</v>
      </c>
      <c r="AB898" t="s">
        <v>264</v>
      </c>
      <c r="AD898" t="s">
        <v>264</v>
      </c>
      <c r="AE898" t="s">
        <v>264</v>
      </c>
      <c r="AF898" t="s">
        <v>264</v>
      </c>
      <c r="AH898" t="s">
        <v>264</v>
      </c>
      <c r="AL898" t="s">
        <v>264</v>
      </c>
      <c r="AM898" s="6">
        <v>44804</v>
      </c>
      <c r="AN898" t="s">
        <v>393</v>
      </c>
      <c r="AO898" t="s">
        <v>268</v>
      </c>
      <c r="AP898">
        <v>1204</v>
      </c>
      <c r="AQ898" t="s">
        <v>269</v>
      </c>
      <c r="AR898" t="s">
        <v>264</v>
      </c>
      <c r="AU898" t="s">
        <v>264</v>
      </c>
      <c r="AV898" t="s">
        <v>270</v>
      </c>
      <c r="AX898" t="s">
        <v>264</v>
      </c>
      <c r="AY898">
        <v>815110</v>
      </c>
      <c r="AZ898">
        <v>1204.81511</v>
      </c>
      <c r="BA898" s="28" t="s">
        <v>223</v>
      </c>
    </row>
    <row r="899" spans="1:53">
      <c r="A899" t="s">
        <v>1115</v>
      </c>
      <c r="B899" t="s">
        <v>1116</v>
      </c>
      <c r="C899">
        <v>4632261</v>
      </c>
      <c r="D899">
        <v>1201</v>
      </c>
      <c r="E899" s="6">
        <v>44804</v>
      </c>
      <c r="F899" t="s">
        <v>1138</v>
      </c>
      <c r="G899">
        <v>67.209999999999994</v>
      </c>
      <c r="H899">
        <v>67.209999999999994</v>
      </c>
      <c r="I899" t="s">
        <v>263</v>
      </c>
      <c r="O899" t="s">
        <v>264</v>
      </c>
      <c r="Q899" t="s">
        <v>264</v>
      </c>
      <c r="R899" t="s">
        <v>524</v>
      </c>
      <c r="T899" t="s">
        <v>266</v>
      </c>
      <c r="U899" t="s">
        <v>267</v>
      </c>
      <c r="V899" t="s">
        <v>386</v>
      </c>
      <c r="W899" t="s">
        <v>387</v>
      </c>
      <c r="X899">
        <v>1935657</v>
      </c>
      <c r="Y899" s="6">
        <v>44802</v>
      </c>
      <c r="Z899" t="s">
        <v>264</v>
      </c>
      <c r="AA899">
        <v>2</v>
      </c>
      <c r="AB899" t="s">
        <v>264</v>
      </c>
      <c r="AD899" t="s">
        <v>264</v>
      </c>
      <c r="AE899" t="s">
        <v>264</v>
      </c>
      <c r="AF899" t="s">
        <v>264</v>
      </c>
      <c r="AH899" t="s">
        <v>264</v>
      </c>
      <c r="AL899" t="s">
        <v>264</v>
      </c>
      <c r="AM899" s="6">
        <v>44804</v>
      </c>
      <c r="AN899" t="s">
        <v>393</v>
      </c>
      <c r="AO899" t="s">
        <v>268</v>
      </c>
      <c r="AP899">
        <v>1204</v>
      </c>
      <c r="AQ899" t="s">
        <v>269</v>
      </c>
      <c r="AR899" t="s">
        <v>264</v>
      </c>
      <c r="AU899" t="s">
        <v>264</v>
      </c>
      <c r="AV899" t="s">
        <v>270</v>
      </c>
      <c r="AX899" t="s">
        <v>264</v>
      </c>
      <c r="AY899">
        <v>815110</v>
      </c>
      <c r="AZ899">
        <v>1204.81511</v>
      </c>
      <c r="BA899" s="28" t="s">
        <v>223</v>
      </c>
    </row>
    <row r="900" spans="1:53">
      <c r="A900" t="s">
        <v>1115</v>
      </c>
      <c r="B900" t="s">
        <v>1116</v>
      </c>
      <c r="C900">
        <v>4632263</v>
      </c>
      <c r="D900">
        <v>1201</v>
      </c>
      <c r="E900" s="6">
        <v>44804</v>
      </c>
      <c r="F900" t="s">
        <v>1137</v>
      </c>
      <c r="G900">
        <v>67.430000000000007</v>
      </c>
      <c r="H900">
        <v>67.430000000000007</v>
      </c>
      <c r="I900" t="s">
        <v>263</v>
      </c>
      <c r="O900" t="s">
        <v>264</v>
      </c>
      <c r="Q900" t="s">
        <v>264</v>
      </c>
      <c r="R900" t="s">
        <v>524</v>
      </c>
      <c r="T900" t="s">
        <v>266</v>
      </c>
      <c r="U900" t="s">
        <v>267</v>
      </c>
      <c r="V900" t="s">
        <v>386</v>
      </c>
      <c r="W900" t="s">
        <v>387</v>
      </c>
      <c r="X900">
        <v>1935660</v>
      </c>
      <c r="Y900" s="6">
        <v>44802</v>
      </c>
      <c r="Z900" t="s">
        <v>264</v>
      </c>
      <c r="AA900">
        <v>2</v>
      </c>
      <c r="AB900" t="s">
        <v>264</v>
      </c>
      <c r="AD900" t="s">
        <v>264</v>
      </c>
      <c r="AE900" t="s">
        <v>264</v>
      </c>
      <c r="AF900" t="s">
        <v>264</v>
      </c>
      <c r="AH900" t="s">
        <v>264</v>
      </c>
      <c r="AL900" t="s">
        <v>264</v>
      </c>
      <c r="AM900" s="6">
        <v>44804</v>
      </c>
      <c r="AN900" t="s">
        <v>393</v>
      </c>
      <c r="AO900" t="s">
        <v>268</v>
      </c>
      <c r="AP900">
        <v>1204</v>
      </c>
      <c r="AQ900" t="s">
        <v>269</v>
      </c>
      <c r="AR900" t="s">
        <v>264</v>
      </c>
      <c r="AU900" t="s">
        <v>264</v>
      </c>
      <c r="AV900" t="s">
        <v>270</v>
      </c>
      <c r="AX900" t="s">
        <v>264</v>
      </c>
      <c r="AY900">
        <v>815110</v>
      </c>
      <c r="AZ900">
        <v>1204.81511</v>
      </c>
      <c r="BA900" s="28" t="s">
        <v>223</v>
      </c>
    </row>
    <row r="901" spans="1:53">
      <c r="A901" t="s">
        <v>1115</v>
      </c>
      <c r="B901" t="s">
        <v>1116</v>
      </c>
      <c r="C901">
        <v>4632264</v>
      </c>
      <c r="D901">
        <v>1201</v>
      </c>
      <c r="E901" s="6">
        <v>44804</v>
      </c>
      <c r="F901" t="s">
        <v>1139</v>
      </c>
      <c r="G901">
        <v>0.01</v>
      </c>
      <c r="H901">
        <v>0.01</v>
      </c>
      <c r="I901" t="s">
        <v>263</v>
      </c>
      <c r="O901" t="s">
        <v>264</v>
      </c>
      <c r="Q901" t="s">
        <v>264</v>
      </c>
      <c r="R901" t="s">
        <v>524</v>
      </c>
      <c r="T901" t="s">
        <v>266</v>
      </c>
      <c r="U901" t="s">
        <v>267</v>
      </c>
      <c r="V901" t="s">
        <v>386</v>
      </c>
      <c r="W901" t="s">
        <v>387</v>
      </c>
      <c r="X901">
        <v>1935662</v>
      </c>
      <c r="Y901" s="6">
        <v>44802</v>
      </c>
      <c r="Z901" t="s">
        <v>264</v>
      </c>
      <c r="AA901">
        <v>2</v>
      </c>
      <c r="AB901" t="s">
        <v>264</v>
      </c>
      <c r="AD901" t="s">
        <v>264</v>
      </c>
      <c r="AE901" t="s">
        <v>264</v>
      </c>
      <c r="AF901" t="s">
        <v>264</v>
      </c>
      <c r="AH901" t="s">
        <v>264</v>
      </c>
      <c r="AL901" t="s">
        <v>264</v>
      </c>
      <c r="AM901" s="6">
        <v>44804</v>
      </c>
      <c r="AN901" t="s">
        <v>393</v>
      </c>
      <c r="AO901" t="s">
        <v>268</v>
      </c>
      <c r="AP901">
        <v>1204</v>
      </c>
      <c r="AQ901" t="s">
        <v>269</v>
      </c>
      <c r="AR901" t="s">
        <v>264</v>
      </c>
      <c r="AU901" t="s">
        <v>264</v>
      </c>
      <c r="AV901" t="s">
        <v>270</v>
      </c>
      <c r="AX901" t="s">
        <v>264</v>
      </c>
      <c r="AY901">
        <v>815110</v>
      </c>
      <c r="AZ901">
        <v>1204.81511</v>
      </c>
      <c r="BA901" s="28" t="s">
        <v>223</v>
      </c>
    </row>
    <row r="902" spans="1:53">
      <c r="A902" t="s">
        <v>1115</v>
      </c>
      <c r="B902" t="s">
        <v>1116</v>
      </c>
      <c r="C902">
        <v>4632268</v>
      </c>
      <c r="D902">
        <v>1201</v>
      </c>
      <c r="E902" s="6">
        <v>44804</v>
      </c>
      <c r="F902" t="s">
        <v>1140</v>
      </c>
      <c r="G902">
        <v>46.16</v>
      </c>
      <c r="H902">
        <v>46.16</v>
      </c>
      <c r="I902" t="s">
        <v>263</v>
      </c>
      <c r="O902" t="s">
        <v>264</v>
      </c>
      <c r="Q902" t="s">
        <v>264</v>
      </c>
      <c r="R902" t="s">
        <v>524</v>
      </c>
      <c r="T902" t="s">
        <v>266</v>
      </c>
      <c r="U902" t="s">
        <v>267</v>
      </c>
      <c r="V902" t="s">
        <v>386</v>
      </c>
      <c r="W902" t="s">
        <v>387</v>
      </c>
      <c r="X902">
        <v>1935667</v>
      </c>
      <c r="Y902" s="6">
        <v>44802</v>
      </c>
      <c r="Z902" t="s">
        <v>264</v>
      </c>
      <c r="AA902">
        <v>2</v>
      </c>
      <c r="AB902" t="s">
        <v>264</v>
      </c>
      <c r="AD902" t="s">
        <v>264</v>
      </c>
      <c r="AE902" t="s">
        <v>264</v>
      </c>
      <c r="AF902" t="s">
        <v>264</v>
      </c>
      <c r="AH902" t="s">
        <v>264</v>
      </c>
      <c r="AL902" t="s">
        <v>264</v>
      </c>
      <c r="AM902" s="6">
        <v>44804</v>
      </c>
      <c r="AN902" t="s">
        <v>393</v>
      </c>
      <c r="AO902" t="s">
        <v>268</v>
      </c>
      <c r="AP902">
        <v>1204</v>
      </c>
      <c r="AQ902" t="s">
        <v>269</v>
      </c>
      <c r="AR902" t="s">
        <v>264</v>
      </c>
      <c r="AU902" t="s">
        <v>264</v>
      </c>
      <c r="AV902" t="s">
        <v>270</v>
      </c>
      <c r="AX902" t="s">
        <v>264</v>
      </c>
      <c r="AY902">
        <v>815110</v>
      </c>
      <c r="AZ902">
        <v>1204.81511</v>
      </c>
      <c r="BA902" s="28" t="s">
        <v>223</v>
      </c>
    </row>
    <row r="903" spans="1:53">
      <c r="A903" t="s">
        <v>1115</v>
      </c>
      <c r="B903" t="s">
        <v>1116</v>
      </c>
      <c r="C903">
        <v>4632269</v>
      </c>
      <c r="D903">
        <v>1201</v>
      </c>
      <c r="E903" s="6">
        <v>44804</v>
      </c>
      <c r="F903" t="s">
        <v>1137</v>
      </c>
      <c r="G903">
        <v>57.37</v>
      </c>
      <c r="H903">
        <v>57.37</v>
      </c>
      <c r="I903" t="s">
        <v>263</v>
      </c>
      <c r="O903" t="s">
        <v>264</v>
      </c>
      <c r="Q903" t="s">
        <v>264</v>
      </c>
      <c r="R903" t="s">
        <v>524</v>
      </c>
      <c r="T903" t="s">
        <v>266</v>
      </c>
      <c r="U903" t="s">
        <v>267</v>
      </c>
      <c r="V903" t="s">
        <v>386</v>
      </c>
      <c r="W903" t="s">
        <v>387</v>
      </c>
      <c r="X903">
        <v>1935668</v>
      </c>
      <c r="Y903" s="6">
        <v>44802</v>
      </c>
      <c r="Z903" t="s">
        <v>264</v>
      </c>
      <c r="AA903">
        <v>2</v>
      </c>
      <c r="AB903" t="s">
        <v>264</v>
      </c>
      <c r="AD903" t="s">
        <v>264</v>
      </c>
      <c r="AE903" t="s">
        <v>264</v>
      </c>
      <c r="AF903" t="s">
        <v>264</v>
      </c>
      <c r="AH903" t="s">
        <v>264</v>
      </c>
      <c r="AL903" t="s">
        <v>264</v>
      </c>
      <c r="AM903" s="6">
        <v>44804</v>
      </c>
      <c r="AN903" t="s">
        <v>393</v>
      </c>
      <c r="AO903" t="s">
        <v>268</v>
      </c>
      <c r="AP903">
        <v>1204</v>
      </c>
      <c r="AQ903" t="s">
        <v>269</v>
      </c>
      <c r="AR903" t="s">
        <v>264</v>
      </c>
      <c r="AU903" t="s">
        <v>264</v>
      </c>
      <c r="AV903" t="s">
        <v>270</v>
      </c>
      <c r="AX903" t="s">
        <v>264</v>
      </c>
      <c r="AY903">
        <v>815110</v>
      </c>
      <c r="AZ903">
        <v>1204.81511</v>
      </c>
      <c r="BA903" s="28" t="s">
        <v>223</v>
      </c>
    </row>
    <row r="904" spans="1:53">
      <c r="A904" t="s">
        <v>1115</v>
      </c>
      <c r="B904" t="s">
        <v>1116</v>
      </c>
      <c r="C904">
        <v>4632270</v>
      </c>
      <c r="D904">
        <v>1201</v>
      </c>
      <c r="E904" s="6">
        <v>44804</v>
      </c>
      <c r="F904" t="s">
        <v>1141</v>
      </c>
      <c r="G904">
        <v>48.54</v>
      </c>
      <c r="H904">
        <v>48.54</v>
      </c>
      <c r="I904" t="s">
        <v>263</v>
      </c>
      <c r="O904" t="s">
        <v>264</v>
      </c>
      <c r="Q904" t="s">
        <v>264</v>
      </c>
      <c r="R904" t="s">
        <v>524</v>
      </c>
      <c r="T904" t="s">
        <v>266</v>
      </c>
      <c r="U904" t="s">
        <v>267</v>
      </c>
      <c r="V904" t="s">
        <v>386</v>
      </c>
      <c r="W904" t="s">
        <v>387</v>
      </c>
      <c r="X904">
        <v>1935669</v>
      </c>
      <c r="Y904" s="6">
        <v>44802</v>
      </c>
      <c r="Z904" t="s">
        <v>264</v>
      </c>
      <c r="AA904">
        <v>2</v>
      </c>
      <c r="AB904" t="s">
        <v>264</v>
      </c>
      <c r="AD904" t="s">
        <v>264</v>
      </c>
      <c r="AE904" t="s">
        <v>264</v>
      </c>
      <c r="AF904" t="s">
        <v>264</v>
      </c>
      <c r="AH904" t="s">
        <v>264</v>
      </c>
      <c r="AL904" t="s">
        <v>264</v>
      </c>
      <c r="AM904" s="6">
        <v>44804</v>
      </c>
      <c r="AN904" t="s">
        <v>393</v>
      </c>
      <c r="AO904" t="s">
        <v>268</v>
      </c>
      <c r="AP904">
        <v>1204</v>
      </c>
      <c r="AQ904" t="s">
        <v>269</v>
      </c>
      <c r="AR904" t="s">
        <v>264</v>
      </c>
      <c r="AU904" t="s">
        <v>264</v>
      </c>
      <c r="AV904" t="s">
        <v>270</v>
      </c>
      <c r="AX904" t="s">
        <v>264</v>
      </c>
      <c r="AY904">
        <v>815110</v>
      </c>
      <c r="AZ904">
        <v>1204.81511</v>
      </c>
      <c r="BA904" s="28" t="s">
        <v>223</v>
      </c>
    </row>
    <row r="905" spans="1:53">
      <c r="A905" t="s">
        <v>1115</v>
      </c>
      <c r="B905" t="s">
        <v>1116</v>
      </c>
      <c r="C905">
        <v>4632271</v>
      </c>
      <c r="D905">
        <v>1201</v>
      </c>
      <c r="E905" s="6">
        <v>44804</v>
      </c>
      <c r="F905" t="s">
        <v>1142</v>
      </c>
      <c r="G905">
        <v>32.33</v>
      </c>
      <c r="H905">
        <v>32.33</v>
      </c>
      <c r="I905" t="s">
        <v>263</v>
      </c>
      <c r="O905" t="s">
        <v>264</v>
      </c>
      <c r="Q905" t="s">
        <v>264</v>
      </c>
      <c r="R905" t="s">
        <v>524</v>
      </c>
      <c r="T905" t="s">
        <v>266</v>
      </c>
      <c r="U905" t="s">
        <v>267</v>
      </c>
      <c r="V905" t="s">
        <v>386</v>
      </c>
      <c r="W905" t="s">
        <v>387</v>
      </c>
      <c r="X905">
        <v>1935670</v>
      </c>
      <c r="Y905" s="6">
        <v>44802</v>
      </c>
      <c r="Z905" t="s">
        <v>264</v>
      </c>
      <c r="AA905">
        <v>2</v>
      </c>
      <c r="AB905" t="s">
        <v>264</v>
      </c>
      <c r="AD905" t="s">
        <v>264</v>
      </c>
      <c r="AE905" t="s">
        <v>264</v>
      </c>
      <c r="AF905" t="s">
        <v>264</v>
      </c>
      <c r="AH905" t="s">
        <v>264</v>
      </c>
      <c r="AL905" t="s">
        <v>264</v>
      </c>
      <c r="AM905" s="6">
        <v>44804</v>
      </c>
      <c r="AN905" t="s">
        <v>393</v>
      </c>
      <c r="AO905" t="s">
        <v>268</v>
      </c>
      <c r="AP905">
        <v>1204</v>
      </c>
      <c r="AQ905" t="s">
        <v>269</v>
      </c>
      <c r="AR905" t="s">
        <v>264</v>
      </c>
      <c r="AU905" t="s">
        <v>264</v>
      </c>
      <c r="AV905" t="s">
        <v>270</v>
      </c>
      <c r="AX905" t="s">
        <v>264</v>
      </c>
      <c r="AY905">
        <v>815110</v>
      </c>
      <c r="AZ905">
        <v>1204.81511</v>
      </c>
      <c r="BA905" s="28" t="s">
        <v>223</v>
      </c>
    </row>
    <row r="906" spans="1:53">
      <c r="A906" t="s">
        <v>1115</v>
      </c>
      <c r="B906" t="s">
        <v>1116</v>
      </c>
      <c r="C906">
        <v>4632272</v>
      </c>
      <c r="D906">
        <v>1201</v>
      </c>
      <c r="E906" s="6">
        <v>44804</v>
      </c>
      <c r="F906" t="s">
        <v>1143</v>
      </c>
      <c r="G906">
        <v>103.46</v>
      </c>
      <c r="H906">
        <v>103.46</v>
      </c>
      <c r="I906" t="s">
        <v>263</v>
      </c>
      <c r="O906" t="s">
        <v>264</v>
      </c>
      <c r="Q906" t="s">
        <v>264</v>
      </c>
      <c r="R906" t="s">
        <v>524</v>
      </c>
      <c r="T906" t="s">
        <v>266</v>
      </c>
      <c r="U906" t="s">
        <v>267</v>
      </c>
      <c r="V906" t="s">
        <v>386</v>
      </c>
      <c r="W906" t="s">
        <v>387</v>
      </c>
      <c r="X906">
        <v>1935671</v>
      </c>
      <c r="Y906" s="6">
        <v>44802</v>
      </c>
      <c r="Z906" t="s">
        <v>264</v>
      </c>
      <c r="AA906">
        <v>2</v>
      </c>
      <c r="AB906" t="s">
        <v>264</v>
      </c>
      <c r="AD906" t="s">
        <v>264</v>
      </c>
      <c r="AE906" t="s">
        <v>264</v>
      </c>
      <c r="AF906" t="s">
        <v>264</v>
      </c>
      <c r="AH906" t="s">
        <v>264</v>
      </c>
      <c r="AL906" t="s">
        <v>264</v>
      </c>
      <c r="AM906" s="6">
        <v>44804</v>
      </c>
      <c r="AN906" t="s">
        <v>393</v>
      </c>
      <c r="AO906" t="s">
        <v>268</v>
      </c>
      <c r="AP906">
        <v>1205</v>
      </c>
      <c r="AQ906" t="s">
        <v>269</v>
      </c>
      <c r="AR906" t="s">
        <v>264</v>
      </c>
      <c r="AU906" t="s">
        <v>264</v>
      </c>
      <c r="AV906" t="s">
        <v>270</v>
      </c>
      <c r="AX906" t="s">
        <v>264</v>
      </c>
      <c r="AY906">
        <v>815110</v>
      </c>
      <c r="AZ906">
        <v>1205.81511</v>
      </c>
      <c r="BA906" s="28" t="s">
        <v>224</v>
      </c>
    </row>
    <row r="907" spans="1:53">
      <c r="A907" t="s">
        <v>1115</v>
      </c>
      <c r="B907" t="s">
        <v>1116</v>
      </c>
      <c r="C907">
        <v>4632265</v>
      </c>
      <c r="D907">
        <v>1201</v>
      </c>
      <c r="E907" s="6">
        <v>44804</v>
      </c>
      <c r="F907" t="s">
        <v>1144</v>
      </c>
      <c r="G907">
        <v>40.97</v>
      </c>
      <c r="H907">
        <v>40.97</v>
      </c>
      <c r="I907" t="s">
        <v>263</v>
      </c>
      <c r="O907" t="s">
        <v>264</v>
      </c>
      <c r="Q907" t="s">
        <v>264</v>
      </c>
      <c r="R907" t="s">
        <v>524</v>
      </c>
      <c r="T907" t="s">
        <v>266</v>
      </c>
      <c r="U907" t="s">
        <v>267</v>
      </c>
      <c r="V907" t="s">
        <v>386</v>
      </c>
      <c r="W907" t="s">
        <v>387</v>
      </c>
      <c r="X907">
        <v>1935663</v>
      </c>
      <c r="Y907" s="6">
        <v>44802</v>
      </c>
      <c r="Z907" t="s">
        <v>264</v>
      </c>
      <c r="AA907">
        <v>1</v>
      </c>
      <c r="AB907" t="s">
        <v>264</v>
      </c>
      <c r="AD907" t="s">
        <v>264</v>
      </c>
      <c r="AE907" t="s">
        <v>264</v>
      </c>
      <c r="AF907" t="s">
        <v>264</v>
      </c>
      <c r="AH907" t="s">
        <v>264</v>
      </c>
      <c r="AL907" t="s">
        <v>264</v>
      </c>
      <c r="AM907" s="6">
        <v>44804</v>
      </c>
      <c r="AN907" t="s">
        <v>393</v>
      </c>
      <c r="AO907" t="s">
        <v>268</v>
      </c>
      <c r="AP907">
        <v>1206</v>
      </c>
      <c r="AQ907" t="s">
        <v>269</v>
      </c>
      <c r="AR907" t="s">
        <v>264</v>
      </c>
      <c r="AU907" t="s">
        <v>264</v>
      </c>
      <c r="AV907" t="s">
        <v>270</v>
      </c>
      <c r="AX907" t="s">
        <v>264</v>
      </c>
      <c r="AY907">
        <v>815110</v>
      </c>
      <c r="AZ907">
        <v>1206.81511</v>
      </c>
      <c r="BA907" s="28" t="s">
        <v>225</v>
      </c>
    </row>
    <row r="908" spans="1:53">
      <c r="A908" t="s">
        <v>1115</v>
      </c>
      <c r="B908" t="s">
        <v>1116</v>
      </c>
      <c r="C908">
        <v>4632266</v>
      </c>
      <c r="D908">
        <v>1201</v>
      </c>
      <c r="E908" s="6">
        <v>44804</v>
      </c>
      <c r="F908" t="s">
        <v>1145</v>
      </c>
      <c r="G908">
        <v>43.99</v>
      </c>
      <c r="H908">
        <v>43.99</v>
      </c>
      <c r="I908" t="s">
        <v>263</v>
      </c>
      <c r="O908" t="s">
        <v>264</v>
      </c>
      <c r="Q908" t="s">
        <v>264</v>
      </c>
      <c r="R908" t="s">
        <v>524</v>
      </c>
      <c r="T908" t="s">
        <v>266</v>
      </c>
      <c r="U908" t="s">
        <v>267</v>
      </c>
      <c r="V908" t="s">
        <v>386</v>
      </c>
      <c r="W908" t="s">
        <v>387</v>
      </c>
      <c r="X908">
        <v>1935664</v>
      </c>
      <c r="Y908" s="6">
        <v>44802</v>
      </c>
      <c r="Z908" t="s">
        <v>264</v>
      </c>
      <c r="AA908">
        <v>1</v>
      </c>
      <c r="AB908" t="s">
        <v>264</v>
      </c>
      <c r="AD908" t="s">
        <v>264</v>
      </c>
      <c r="AE908" t="s">
        <v>264</v>
      </c>
      <c r="AF908" t="s">
        <v>264</v>
      </c>
      <c r="AH908" t="s">
        <v>264</v>
      </c>
      <c r="AL908" t="s">
        <v>264</v>
      </c>
      <c r="AM908" s="6">
        <v>44804</v>
      </c>
      <c r="AN908" t="s">
        <v>393</v>
      </c>
      <c r="AO908" t="s">
        <v>268</v>
      </c>
      <c r="AP908">
        <v>1206</v>
      </c>
      <c r="AQ908" t="s">
        <v>269</v>
      </c>
      <c r="AR908" t="s">
        <v>264</v>
      </c>
      <c r="AU908" t="s">
        <v>264</v>
      </c>
      <c r="AV908" t="s">
        <v>270</v>
      </c>
      <c r="AX908" t="s">
        <v>264</v>
      </c>
      <c r="AY908">
        <v>815110</v>
      </c>
      <c r="AZ908">
        <v>1206.81511</v>
      </c>
      <c r="BA908" s="28" t="s">
        <v>225</v>
      </c>
    </row>
    <row r="909" spans="1:53">
      <c r="A909" t="s">
        <v>1115</v>
      </c>
      <c r="B909" t="s">
        <v>1116</v>
      </c>
      <c r="C909">
        <v>4632267</v>
      </c>
      <c r="D909">
        <v>1201</v>
      </c>
      <c r="E909" s="6">
        <v>44804</v>
      </c>
      <c r="F909" t="s">
        <v>1146</v>
      </c>
      <c r="G909">
        <v>749.23</v>
      </c>
      <c r="H909">
        <v>749.23</v>
      </c>
      <c r="I909" t="s">
        <v>263</v>
      </c>
      <c r="O909" t="s">
        <v>264</v>
      </c>
      <c r="Q909" t="s">
        <v>264</v>
      </c>
      <c r="R909" t="s">
        <v>524</v>
      </c>
      <c r="T909" t="s">
        <v>266</v>
      </c>
      <c r="U909" t="s">
        <v>267</v>
      </c>
      <c r="V909" t="s">
        <v>386</v>
      </c>
      <c r="W909" t="s">
        <v>387</v>
      </c>
      <c r="X909">
        <v>1935665</v>
      </c>
      <c r="Y909" s="6">
        <v>44802</v>
      </c>
      <c r="Z909" t="s">
        <v>264</v>
      </c>
      <c r="AA909">
        <v>1</v>
      </c>
      <c r="AB909" t="s">
        <v>264</v>
      </c>
      <c r="AD909" t="s">
        <v>264</v>
      </c>
      <c r="AE909" t="s">
        <v>264</v>
      </c>
      <c r="AF909" t="s">
        <v>264</v>
      </c>
      <c r="AH909" t="s">
        <v>264</v>
      </c>
      <c r="AL909" t="s">
        <v>264</v>
      </c>
      <c r="AM909" s="6">
        <v>44804</v>
      </c>
      <c r="AN909" t="s">
        <v>393</v>
      </c>
      <c r="AO909" t="s">
        <v>268</v>
      </c>
      <c r="AP909">
        <v>1206</v>
      </c>
      <c r="AQ909" t="s">
        <v>269</v>
      </c>
      <c r="AR909" t="s">
        <v>264</v>
      </c>
      <c r="AU909" t="s">
        <v>264</v>
      </c>
      <c r="AV909" t="s">
        <v>270</v>
      </c>
      <c r="AX909" t="s">
        <v>264</v>
      </c>
      <c r="AY909">
        <v>815110</v>
      </c>
      <c r="AZ909">
        <v>1206.81511</v>
      </c>
      <c r="BA909" s="28" t="s">
        <v>225</v>
      </c>
    </row>
    <row r="910" spans="1:53">
      <c r="A910" t="s">
        <v>1115</v>
      </c>
      <c r="B910" t="s">
        <v>1116</v>
      </c>
      <c r="C910">
        <v>4632278</v>
      </c>
      <c r="D910">
        <v>1201</v>
      </c>
      <c r="E910" s="6">
        <v>44804</v>
      </c>
      <c r="F910" t="s">
        <v>1147</v>
      </c>
      <c r="G910">
        <v>42.05</v>
      </c>
      <c r="H910">
        <v>42.05</v>
      </c>
      <c r="I910" t="s">
        <v>263</v>
      </c>
      <c r="O910" t="s">
        <v>264</v>
      </c>
      <c r="Q910" t="s">
        <v>264</v>
      </c>
      <c r="R910" t="s">
        <v>524</v>
      </c>
      <c r="T910" t="s">
        <v>266</v>
      </c>
      <c r="U910" t="s">
        <v>267</v>
      </c>
      <c r="V910" t="s">
        <v>386</v>
      </c>
      <c r="W910" t="s">
        <v>387</v>
      </c>
      <c r="X910">
        <v>1935677</v>
      </c>
      <c r="Y910" s="6">
        <v>44802</v>
      </c>
      <c r="Z910" t="s">
        <v>264</v>
      </c>
      <c r="AA910">
        <v>1</v>
      </c>
      <c r="AB910" t="s">
        <v>264</v>
      </c>
      <c r="AD910" t="s">
        <v>264</v>
      </c>
      <c r="AE910" t="s">
        <v>264</v>
      </c>
      <c r="AF910" t="s">
        <v>264</v>
      </c>
      <c r="AH910" t="s">
        <v>264</v>
      </c>
      <c r="AL910" t="s">
        <v>264</v>
      </c>
      <c r="AM910" s="6">
        <v>44804</v>
      </c>
      <c r="AN910" t="s">
        <v>393</v>
      </c>
      <c r="AO910" t="s">
        <v>268</v>
      </c>
      <c r="AP910">
        <v>1206</v>
      </c>
      <c r="AQ910" t="s">
        <v>269</v>
      </c>
      <c r="AR910" t="s">
        <v>264</v>
      </c>
      <c r="AU910" t="s">
        <v>264</v>
      </c>
      <c r="AV910" t="s">
        <v>270</v>
      </c>
      <c r="AX910" t="s">
        <v>264</v>
      </c>
      <c r="AY910">
        <v>815110</v>
      </c>
      <c r="AZ910">
        <v>1206.81511</v>
      </c>
      <c r="BA910" s="28" t="s">
        <v>225</v>
      </c>
    </row>
    <row r="911" spans="1:53">
      <c r="A911" t="s">
        <v>1115</v>
      </c>
      <c r="B911" t="s">
        <v>1116</v>
      </c>
      <c r="C911">
        <v>4632279</v>
      </c>
      <c r="D911">
        <v>1201</v>
      </c>
      <c r="E911" s="6">
        <v>44804</v>
      </c>
      <c r="F911" t="s">
        <v>1148</v>
      </c>
      <c r="G911">
        <v>82.68</v>
      </c>
      <c r="H911">
        <v>82.68</v>
      </c>
      <c r="I911" t="s">
        <v>263</v>
      </c>
      <c r="O911" t="s">
        <v>264</v>
      </c>
      <c r="Q911" t="s">
        <v>264</v>
      </c>
      <c r="R911" t="s">
        <v>524</v>
      </c>
      <c r="T911" t="s">
        <v>266</v>
      </c>
      <c r="U911" t="s">
        <v>267</v>
      </c>
      <c r="V911" t="s">
        <v>386</v>
      </c>
      <c r="W911" t="s">
        <v>387</v>
      </c>
      <c r="X911">
        <v>1935678</v>
      </c>
      <c r="Y911" s="6">
        <v>44802</v>
      </c>
      <c r="Z911" t="s">
        <v>264</v>
      </c>
      <c r="AA911">
        <v>1</v>
      </c>
      <c r="AB911" t="s">
        <v>264</v>
      </c>
      <c r="AD911" t="s">
        <v>264</v>
      </c>
      <c r="AE911" t="s">
        <v>264</v>
      </c>
      <c r="AF911" t="s">
        <v>264</v>
      </c>
      <c r="AH911" t="s">
        <v>264</v>
      </c>
      <c r="AL911" t="s">
        <v>264</v>
      </c>
      <c r="AM911" s="6">
        <v>44804</v>
      </c>
      <c r="AN911" t="s">
        <v>393</v>
      </c>
      <c r="AO911" t="s">
        <v>268</v>
      </c>
      <c r="AP911">
        <v>1206</v>
      </c>
      <c r="AQ911" t="s">
        <v>269</v>
      </c>
      <c r="AR911" t="s">
        <v>264</v>
      </c>
      <c r="AU911" t="s">
        <v>264</v>
      </c>
      <c r="AV911" t="s">
        <v>270</v>
      </c>
      <c r="AX911" t="s">
        <v>264</v>
      </c>
      <c r="AY911">
        <v>815110</v>
      </c>
      <c r="AZ911">
        <v>1206.81511</v>
      </c>
      <c r="BA911" s="28" t="s">
        <v>225</v>
      </c>
    </row>
    <row r="912" spans="1:53">
      <c r="A912" t="s">
        <v>1115</v>
      </c>
      <c r="B912" t="s">
        <v>1116</v>
      </c>
      <c r="C912">
        <v>4632256</v>
      </c>
      <c r="D912">
        <v>1201</v>
      </c>
      <c r="E912" s="6">
        <v>44804</v>
      </c>
      <c r="F912" t="s">
        <v>1149</v>
      </c>
      <c r="G912">
        <v>311.81</v>
      </c>
      <c r="H912">
        <v>311.81</v>
      </c>
      <c r="I912" t="s">
        <v>263</v>
      </c>
      <c r="O912" t="s">
        <v>264</v>
      </c>
      <c r="Q912" t="s">
        <v>264</v>
      </c>
      <c r="R912" t="s">
        <v>524</v>
      </c>
      <c r="T912" t="s">
        <v>266</v>
      </c>
      <c r="U912" t="s">
        <v>267</v>
      </c>
      <c r="V912" t="s">
        <v>386</v>
      </c>
      <c r="W912" t="s">
        <v>387</v>
      </c>
      <c r="X912">
        <v>1935650</v>
      </c>
      <c r="Y912" s="6">
        <v>44802</v>
      </c>
      <c r="Z912" t="s">
        <v>264</v>
      </c>
      <c r="AA912">
        <v>2</v>
      </c>
      <c r="AB912" t="s">
        <v>264</v>
      </c>
      <c r="AD912" t="s">
        <v>264</v>
      </c>
      <c r="AE912" t="s">
        <v>264</v>
      </c>
      <c r="AF912" t="s">
        <v>264</v>
      </c>
      <c r="AH912" t="s">
        <v>264</v>
      </c>
      <c r="AL912" t="s">
        <v>264</v>
      </c>
      <c r="AM912" s="6">
        <v>44804</v>
      </c>
      <c r="AN912" t="s">
        <v>393</v>
      </c>
      <c r="AO912" t="s">
        <v>268</v>
      </c>
      <c r="AP912">
        <v>1201</v>
      </c>
      <c r="AQ912" t="s">
        <v>269</v>
      </c>
      <c r="AR912" t="s">
        <v>264</v>
      </c>
      <c r="AU912" t="s">
        <v>264</v>
      </c>
      <c r="AV912" t="s">
        <v>270</v>
      </c>
      <c r="AX912" t="s">
        <v>264</v>
      </c>
      <c r="AY912">
        <v>815120</v>
      </c>
      <c r="AZ912">
        <v>1201.81512</v>
      </c>
      <c r="BA912" s="28" t="s">
        <v>85</v>
      </c>
    </row>
    <row r="913" spans="1:53">
      <c r="A913" t="s">
        <v>1115</v>
      </c>
      <c r="B913" t="s">
        <v>1116</v>
      </c>
      <c r="C913">
        <v>4632257</v>
      </c>
      <c r="D913">
        <v>1201</v>
      </c>
      <c r="E913" s="6">
        <v>44804</v>
      </c>
      <c r="F913" t="s">
        <v>1150</v>
      </c>
      <c r="G913">
        <v>452.59</v>
      </c>
      <c r="H913">
        <v>452.59</v>
      </c>
      <c r="I913" t="s">
        <v>263</v>
      </c>
      <c r="O913" t="s">
        <v>264</v>
      </c>
      <c r="Q913" t="s">
        <v>264</v>
      </c>
      <c r="R913" t="s">
        <v>524</v>
      </c>
      <c r="T913" t="s">
        <v>266</v>
      </c>
      <c r="U913" t="s">
        <v>267</v>
      </c>
      <c r="V913" t="s">
        <v>386</v>
      </c>
      <c r="W913" t="s">
        <v>387</v>
      </c>
      <c r="X913">
        <v>1935651</v>
      </c>
      <c r="Y913" s="6">
        <v>44802</v>
      </c>
      <c r="Z913" t="s">
        <v>264</v>
      </c>
      <c r="AA913">
        <v>2</v>
      </c>
      <c r="AB913" t="s">
        <v>264</v>
      </c>
      <c r="AD913" t="s">
        <v>264</v>
      </c>
      <c r="AE913" t="s">
        <v>264</v>
      </c>
      <c r="AF913" t="s">
        <v>264</v>
      </c>
      <c r="AH913" t="s">
        <v>264</v>
      </c>
      <c r="AL913" t="s">
        <v>264</v>
      </c>
      <c r="AM913" s="6">
        <v>44804</v>
      </c>
      <c r="AN913" t="s">
        <v>393</v>
      </c>
      <c r="AO913" t="s">
        <v>268</v>
      </c>
      <c r="AP913">
        <v>1201</v>
      </c>
      <c r="AQ913" t="s">
        <v>269</v>
      </c>
      <c r="AR913" t="s">
        <v>264</v>
      </c>
      <c r="AU913" t="s">
        <v>264</v>
      </c>
      <c r="AV913" t="s">
        <v>270</v>
      </c>
      <c r="AX913" t="s">
        <v>264</v>
      </c>
      <c r="AY913">
        <v>815120</v>
      </c>
      <c r="AZ913">
        <v>1201.81512</v>
      </c>
      <c r="BA913" s="28" t="s">
        <v>85</v>
      </c>
    </row>
    <row r="914" spans="1:53">
      <c r="A914" t="s">
        <v>1115</v>
      </c>
      <c r="B914" t="s">
        <v>1116</v>
      </c>
      <c r="C914">
        <v>4632275</v>
      </c>
      <c r="D914">
        <v>1201</v>
      </c>
      <c r="E914" s="6">
        <v>44804</v>
      </c>
      <c r="F914" t="s">
        <v>1151</v>
      </c>
      <c r="G914">
        <v>50.08</v>
      </c>
      <c r="H914">
        <v>50.08</v>
      </c>
      <c r="I914" t="s">
        <v>263</v>
      </c>
      <c r="O914" t="s">
        <v>264</v>
      </c>
      <c r="Q914" t="s">
        <v>264</v>
      </c>
      <c r="R914" t="s">
        <v>524</v>
      </c>
      <c r="T914" t="s">
        <v>266</v>
      </c>
      <c r="U914" t="s">
        <v>267</v>
      </c>
      <c r="V914" t="s">
        <v>386</v>
      </c>
      <c r="W914" t="s">
        <v>387</v>
      </c>
      <c r="X914">
        <v>1935674</v>
      </c>
      <c r="Y914" s="6">
        <v>44802</v>
      </c>
      <c r="Z914" t="s">
        <v>264</v>
      </c>
      <c r="AA914">
        <v>2</v>
      </c>
      <c r="AB914" t="s">
        <v>264</v>
      </c>
      <c r="AD914" t="s">
        <v>264</v>
      </c>
      <c r="AE914" t="s">
        <v>264</v>
      </c>
      <c r="AF914" t="s">
        <v>264</v>
      </c>
      <c r="AH914" t="s">
        <v>264</v>
      </c>
      <c r="AL914" t="s">
        <v>264</v>
      </c>
      <c r="AM914" s="6">
        <v>44804</v>
      </c>
      <c r="AN914" t="s">
        <v>393</v>
      </c>
      <c r="AO914" t="s">
        <v>268</v>
      </c>
      <c r="AP914">
        <v>1201</v>
      </c>
      <c r="AQ914" t="s">
        <v>269</v>
      </c>
      <c r="AR914" t="s">
        <v>264</v>
      </c>
      <c r="AU914" t="s">
        <v>264</v>
      </c>
      <c r="AV914" t="s">
        <v>270</v>
      </c>
      <c r="AX914" t="s">
        <v>264</v>
      </c>
      <c r="AY914">
        <v>815120</v>
      </c>
      <c r="AZ914">
        <v>1201.81512</v>
      </c>
      <c r="BA914" s="28" t="s">
        <v>85</v>
      </c>
    </row>
    <row r="915" spans="1:53">
      <c r="A915" t="s">
        <v>1115</v>
      </c>
      <c r="B915" t="s">
        <v>1116</v>
      </c>
      <c r="C915">
        <v>4632276</v>
      </c>
      <c r="D915">
        <v>1201</v>
      </c>
      <c r="E915" s="6">
        <v>44804</v>
      </c>
      <c r="F915" t="s">
        <v>1152</v>
      </c>
      <c r="G915">
        <v>40.85</v>
      </c>
      <c r="H915">
        <v>40.85</v>
      </c>
      <c r="I915" t="s">
        <v>263</v>
      </c>
      <c r="O915" t="s">
        <v>264</v>
      </c>
      <c r="Q915" t="s">
        <v>264</v>
      </c>
      <c r="R915" t="s">
        <v>524</v>
      </c>
      <c r="T915" t="s">
        <v>266</v>
      </c>
      <c r="U915" t="s">
        <v>267</v>
      </c>
      <c r="V915" t="s">
        <v>386</v>
      </c>
      <c r="W915" t="s">
        <v>387</v>
      </c>
      <c r="X915">
        <v>1935675</v>
      </c>
      <c r="Y915" s="6">
        <v>44802</v>
      </c>
      <c r="Z915" t="s">
        <v>264</v>
      </c>
      <c r="AA915">
        <v>2</v>
      </c>
      <c r="AB915" t="s">
        <v>264</v>
      </c>
      <c r="AD915" t="s">
        <v>264</v>
      </c>
      <c r="AE915" t="s">
        <v>264</v>
      </c>
      <c r="AF915" t="s">
        <v>264</v>
      </c>
      <c r="AH915" t="s">
        <v>264</v>
      </c>
      <c r="AL915" t="s">
        <v>264</v>
      </c>
      <c r="AM915" s="6">
        <v>44804</v>
      </c>
      <c r="AN915" t="s">
        <v>393</v>
      </c>
      <c r="AO915" t="s">
        <v>268</v>
      </c>
      <c r="AP915">
        <v>1201</v>
      </c>
      <c r="AQ915" t="s">
        <v>269</v>
      </c>
      <c r="AR915" t="s">
        <v>264</v>
      </c>
      <c r="AU915" t="s">
        <v>264</v>
      </c>
      <c r="AV915" t="s">
        <v>270</v>
      </c>
      <c r="AX915" t="s">
        <v>264</v>
      </c>
      <c r="AY915">
        <v>815120</v>
      </c>
      <c r="AZ915">
        <v>1201.81512</v>
      </c>
      <c r="BA915" s="28" t="s">
        <v>85</v>
      </c>
    </row>
    <row r="916" spans="1:53">
      <c r="A916" t="s">
        <v>1115</v>
      </c>
      <c r="B916" t="s">
        <v>1116</v>
      </c>
      <c r="C916">
        <v>4632277</v>
      </c>
      <c r="D916">
        <v>1201</v>
      </c>
      <c r="E916" s="6">
        <v>44804</v>
      </c>
      <c r="F916" t="s">
        <v>1153</v>
      </c>
      <c r="G916">
        <v>37.64</v>
      </c>
      <c r="H916">
        <v>37.64</v>
      </c>
      <c r="I916" t="s">
        <v>263</v>
      </c>
      <c r="O916" t="s">
        <v>264</v>
      </c>
      <c r="Q916" t="s">
        <v>264</v>
      </c>
      <c r="R916" t="s">
        <v>524</v>
      </c>
      <c r="T916" t="s">
        <v>266</v>
      </c>
      <c r="U916" t="s">
        <v>267</v>
      </c>
      <c r="V916" t="s">
        <v>386</v>
      </c>
      <c r="W916" t="s">
        <v>387</v>
      </c>
      <c r="X916">
        <v>1935676</v>
      </c>
      <c r="Y916" s="6">
        <v>44802</v>
      </c>
      <c r="Z916" t="s">
        <v>264</v>
      </c>
      <c r="AA916">
        <v>2</v>
      </c>
      <c r="AB916" t="s">
        <v>264</v>
      </c>
      <c r="AD916" t="s">
        <v>264</v>
      </c>
      <c r="AE916" t="s">
        <v>264</v>
      </c>
      <c r="AF916" t="s">
        <v>264</v>
      </c>
      <c r="AH916" t="s">
        <v>264</v>
      </c>
      <c r="AL916" t="s">
        <v>264</v>
      </c>
      <c r="AM916" s="6">
        <v>44804</v>
      </c>
      <c r="AN916" t="s">
        <v>393</v>
      </c>
      <c r="AO916" t="s">
        <v>268</v>
      </c>
      <c r="AP916">
        <v>1201</v>
      </c>
      <c r="AQ916" t="s">
        <v>269</v>
      </c>
      <c r="AR916" t="s">
        <v>264</v>
      </c>
      <c r="AU916" t="s">
        <v>264</v>
      </c>
      <c r="AV916" t="s">
        <v>270</v>
      </c>
      <c r="AX916" t="s">
        <v>264</v>
      </c>
      <c r="AY916">
        <v>815120</v>
      </c>
      <c r="AZ916">
        <v>1201.81512</v>
      </c>
      <c r="BA916" s="28" t="s">
        <v>85</v>
      </c>
    </row>
    <row r="917" spans="1:53">
      <c r="A917" t="s">
        <v>1115</v>
      </c>
      <c r="B917" t="s">
        <v>1116</v>
      </c>
      <c r="C917">
        <v>4632281</v>
      </c>
      <c r="D917">
        <v>1201</v>
      </c>
      <c r="E917" s="6">
        <v>44804</v>
      </c>
      <c r="F917" t="s">
        <v>1154</v>
      </c>
      <c r="G917">
        <v>31.92</v>
      </c>
      <c r="H917">
        <v>31.92</v>
      </c>
      <c r="I917" t="s">
        <v>263</v>
      </c>
      <c r="O917" t="s">
        <v>264</v>
      </c>
      <c r="Q917" t="s">
        <v>264</v>
      </c>
      <c r="R917" t="s">
        <v>524</v>
      </c>
      <c r="T917" t="s">
        <v>266</v>
      </c>
      <c r="U917" t="s">
        <v>267</v>
      </c>
      <c r="V917" t="s">
        <v>386</v>
      </c>
      <c r="W917" t="s">
        <v>387</v>
      </c>
      <c r="X917">
        <v>1935681</v>
      </c>
      <c r="Y917" s="6">
        <v>44802</v>
      </c>
      <c r="Z917" t="s">
        <v>264</v>
      </c>
      <c r="AA917">
        <v>2</v>
      </c>
      <c r="AB917" t="s">
        <v>264</v>
      </c>
      <c r="AD917" t="s">
        <v>264</v>
      </c>
      <c r="AE917" t="s">
        <v>264</v>
      </c>
      <c r="AF917" t="s">
        <v>264</v>
      </c>
      <c r="AH917" t="s">
        <v>264</v>
      </c>
      <c r="AL917" t="s">
        <v>264</v>
      </c>
      <c r="AM917" s="6">
        <v>44804</v>
      </c>
      <c r="AN917" t="s">
        <v>393</v>
      </c>
      <c r="AO917" t="s">
        <v>268</v>
      </c>
      <c r="AP917">
        <v>1201</v>
      </c>
      <c r="AQ917" t="s">
        <v>269</v>
      </c>
      <c r="AR917" t="s">
        <v>264</v>
      </c>
      <c r="AU917" t="s">
        <v>264</v>
      </c>
      <c r="AV917" t="s">
        <v>270</v>
      </c>
      <c r="AX917" t="s">
        <v>264</v>
      </c>
      <c r="AY917">
        <v>815120</v>
      </c>
      <c r="AZ917">
        <v>1201.81512</v>
      </c>
      <c r="BA917" s="28" t="s">
        <v>85</v>
      </c>
    </row>
    <row r="918" spans="1:53">
      <c r="A918" t="s">
        <v>1115</v>
      </c>
      <c r="B918" t="s">
        <v>1116</v>
      </c>
      <c r="C918">
        <v>4632283</v>
      </c>
      <c r="D918">
        <v>1201</v>
      </c>
      <c r="E918" s="6">
        <v>44804</v>
      </c>
      <c r="F918" t="s">
        <v>1155</v>
      </c>
      <c r="G918">
        <v>44.86</v>
      </c>
      <c r="H918">
        <v>44.86</v>
      </c>
      <c r="I918" t="s">
        <v>263</v>
      </c>
      <c r="O918" t="s">
        <v>264</v>
      </c>
      <c r="Q918" t="s">
        <v>264</v>
      </c>
      <c r="R918" t="s">
        <v>524</v>
      </c>
      <c r="T918" t="s">
        <v>266</v>
      </c>
      <c r="U918" t="s">
        <v>267</v>
      </c>
      <c r="V918" t="s">
        <v>386</v>
      </c>
      <c r="W918" t="s">
        <v>387</v>
      </c>
      <c r="X918">
        <v>1935683</v>
      </c>
      <c r="Y918" s="6">
        <v>44802</v>
      </c>
      <c r="Z918" t="s">
        <v>264</v>
      </c>
      <c r="AA918">
        <v>2</v>
      </c>
      <c r="AB918" t="s">
        <v>264</v>
      </c>
      <c r="AD918" t="s">
        <v>264</v>
      </c>
      <c r="AE918" t="s">
        <v>264</v>
      </c>
      <c r="AF918" t="s">
        <v>264</v>
      </c>
      <c r="AH918" t="s">
        <v>264</v>
      </c>
      <c r="AL918" t="s">
        <v>264</v>
      </c>
      <c r="AM918" s="6">
        <v>44804</v>
      </c>
      <c r="AN918" t="s">
        <v>393</v>
      </c>
      <c r="AO918" t="s">
        <v>268</v>
      </c>
      <c r="AP918">
        <v>1201</v>
      </c>
      <c r="AQ918" t="s">
        <v>269</v>
      </c>
      <c r="AR918" t="s">
        <v>264</v>
      </c>
      <c r="AU918" t="s">
        <v>264</v>
      </c>
      <c r="AV918" t="s">
        <v>270</v>
      </c>
      <c r="AX918" t="s">
        <v>264</v>
      </c>
      <c r="AY918">
        <v>815120</v>
      </c>
      <c r="AZ918">
        <v>1201.81512</v>
      </c>
      <c r="BA918" s="28" t="s">
        <v>85</v>
      </c>
    </row>
    <row r="919" spans="1:53">
      <c r="A919" t="s">
        <v>271</v>
      </c>
      <c r="B919" t="s">
        <v>272</v>
      </c>
      <c r="C919">
        <v>22011272</v>
      </c>
      <c r="D919">
        <v>1201</v>
      </c>
      <c r="E919" s="6">
        <v>44789</v>
      </c>
      <c r="F919" t="s">
        <v>809</v>
      </c>
      <c r="G919" s="29">
        <v>1479.66</v>
      </c>
      <c r="H919" s="29">
        <v>1479.66</v>
      </c>
      <c r="I919" t="s">
        <v>263</v>
      </c>
      <c r="J919" t="s">
        <v>263</v>
      </c>
      <c r="L919" s="29">
        <v>21987542</v>
      </c>
      <c r="N919" s="29">
        <v>21987542</v>
      </c>
      <c r="O919" t="s">
        <v>264</v>
      </c>
      <c r="Q919" t="s">
        <v>264</v>
      </c>
      <c r="R919" t="s">
        <v>265</v>
      </c>
      <c r="S919">
        <v>14860</v>
      </c>
      <c r="T919" t="s">
        <v>266</v>
      </c>
      <c r="U919" t="s">
        <v>267</v>
      </c>
      <c r="V919" t="s">
        <v>273</v>
      </c>
      <c r="W919" t="s">
        <v>274</v>
      </c>
      <c r="X919">
        <v>1932973</v>
      </c>
      <c r="Y919" s="6">
        <v>44789</v>
      </c>
      <c r="Z919" t="s">
        <v>264</v>
      </c>
      <c r="AA919">
        <v>1</v>
      </c>
      <c r="AB919" t="s">
        <v>264</v>
      </c>
      <c r="AD919" t="s">
        <v>264</v>
      </c>
      <c r="AE919" t="s">
        <v>264</v>
      </c>
      <c r="AF919" t="s">
        <v>264</v>
      </c>
      <c r="AG919">
        <v>26</v>
      </c>
      <c r="AH919" t="s">
        <v>264</v>
      </c>
      <c r="AI919">
        <v>55326825</v>
      </c>
      <c r="AJ919" t="s">
        <v>809</v>
      </c>
      <c r="AL919" t="s">
        <v>882</v>
      </c>
      <c r="AM919" s="6">
        <v>44775</v>
      </c>
      <c r="AN919" t="s">
        <v>533</v>
      </c>
      <c r="AO919" t="s">
        <v>268</v>
      </c>
      <c r="AP919">
        <v>1201</v>
      </c>
      <c r="AQ919" t="s">
        <v>269</v>
      </c>
      <c r="AR919" t="s">
        <v>883</v>
      </c>
      <c r="AU919" t="s">
        <v>264</v>
      </c>
      <c r="AV919" t="s">
        <v>270</v>
      </c>
      <c r="AX919">
        <v>22002756</v>
      </c>
      <c r="AY919">
        <v>816110</v>
      </c>
      <c r="AZ919">
        <v>1201.81611</v>
      </c>
      <c r="BA919" s="28" t="s">
        <v>87</v>
      </c>
    </row>
    <row r="920" spans="1:53">
      <c r="A920" t="s">
        <v>271</v>
      </c>
      <c r="B920" t="s">
        <v>272</v>
      </c>
      <c r="C920">
        <v>22002960</v>
      </c>
      <c r="D920">
        <v>1205</v>
      </c>
      <c r="E920" s="6">
        <v>44782</v>
      </c>
      <c r="F920" t="s">
        <v>809</v>
      </c>
      <c r="G920">
        <v>160.85</v>
      </c>
      <c r="H920">
        <v>160.85</v>
      </c>
      <c r="I920" t="s">
        <v>263</v>
      </c>
      <c r="J920" t="s">
        <v>263</v>
      </c>
      <c r="L920" s="29">
        <v>2390211</v>
      </c>
      <c r="N920" s="29">
        <v>2390211</v>
      </c>
      <c r="O920" t="s">
        <v>264</v>
      </c>
      <c r="Q920" t="s">
        <v>264</v>
      </c>
      <c r="R920" t="s">
        <v>265</v>
      </c>
      <c r="S920">
        <v>14860</v>
      </c>
      <c r="T920" t="s">
        <v>266</v>
      </c>
      <c r="U920" t="s">
        <v>267</v>
      </c>
      <c r="V920" t="s">
        <v>273</v>
      </c>
      <c r="W920" t="s">
        <v>274</v>
      </c>
      <c r="X920">
        <v>1928988</v>
      </c>
      <c r="Y920" s="6">
        <v>44782</v>
      </c>
      <c r="Z920" t="s">
        <v>264</v>
      </c>
      <c r="AA920">
        <v>1</v>
      </c>
      <c r="AB920" t="s">
        <v>264</v>
      </c>
      <c r="AD920" t="s">
        <v>264</v>
      </c>
      <c r="AE920" t="s">
        <v>264</v>
      </c>
      <c r="AF920" t="s">
        <v>264</v>
      </c>
      <c r="AG920">
        <v>2</v>
      </c>
      <c r="AH920" t="s">
        <v>264</v>
      </c>
      <c r="AI920">
        <v>55326825</v>
      </c>
      <c r="AJ920" t="s">
        <v>809</v>
      </c>
      <c r="AL920" t="s">
        <v>884</v>
      </c>
      <c r="AM920" s="6">
        <v>44776</v>
      </c>
      <c r="AN920" t="s">
        <v>533</v>
      </c>
      <c r="AO920" t="s">
        <v>268</v>
      </c>
      <c r="AP920">
        <v>1205</v>
      </c>
      <c r="AQ920" t="s">
        <v>269</v>
      </c>
      <c r="AR920" t="s">
        <v>885</v>
      </c>
      <c r="AU920" t="s">
        <v>264</v>
      </c>
      <c r="AV920" t="s">
        <v>270</v>
      </c>
      <c r="AX920">
        <v>22001355</v>
      </c>
      <c r="AY920">
        <v>816110</v>
      </c>
      <c r="AZ920">
        <v>1205.81611</v>
      </c>
      <c r="BA920" s="28" t="s">
        <v>230</v>
      </c>
    </row>
    <row r="921" spans="1:53">
      <c r="A921" t="s">
        <v>271</v>
      </c>
      <c r="B921" t="s">
        <v>272</v>
      </c>
      <c r="C921">
        <v>22011515</v>
      </c>
      <c r="D921">
        <v>1201</v>
      </c>
      <c r="E921" s="6">
        <v>44796</v>
      </c>
      <c r="F921" t="s">
        <v>886</v>
      </c>
      <c r="G921">
        <v>504.71</v>
      </c>
      <c r="H921">
        <v>504.71</v>
      </c>
      <c r="I921" t="s">
        <v>263</v>
      </c>
      <c r="J921" t="s">
        <v>263</v>
      </c>
      <c r="L921" s="29">
        <v>7500000</v>
      </c>
      <c r="N921" s="29">
        <v>7500000</v>
      </c>
      <c r="O921" t="s">
        <v>264</v>
      </c>
      <c r="Q921" t="s">
        <v>264</v>
      </c>
      <c r="R921" t="s">
        <v>265</v>
      </c>
      <c r="S921">
        <v>14860</v>
      </c>
      <c r="T921" t="s">
        <v>266</v>
      </c>
      <c r="U921" t="s">
        <v>267</v>
      </c>
      <c r="V921" t="s">
        <v>273</v>
      </c>
      <c r="W921" t="s">
        <v>274</v>
      </c>
      <c r="X921">
        <v>1934548</v>
      </c>
      <c r="Y921" s="6">
        <v>44796</v>
      </c>
      <c r="Z921" t="s">
        <v>264</v>
      </c>
      <c r="AA921">
        <v>1</v>
      </c>
      <c r="AB921" t="s">
        <v>264</v>
      </c>
      <c r="AD921" t="s">
        <v>264</v>
      </c>
      <c r="AE921" t="s">
        <v>264</v>
      </c>
      <c r="AF921" t="s">
        <v>264</v>
      </c>
      <c r="AG921">
        <v>1</v>
      </c>
      <c r="AH921" t="s">
        <v>264</v>
      </c>
      <c r="AI921">
        <v>55733210</v>
      </c>
      <c r="AJ921" t="s">
        <v>886</v>
      </c>
      <c r="AL921" t="s">
        <v>887</v>
      </c>
      <c r="AM921" s="6">
        <v>44785</v>
      </c>
      <c r="AN921" t="s">
        <v>275</v>
      </c>
      <c r="AO921" t="s">
        <v>268</v>
      </c>
      <c r="AP921">
        <v>1201</v>
      </c>
      <c r="AQ921" t="s">
        <v>269</v>
      </c>
      <c r="AR921" t="s">
        <v>888</v>
      </c>
      <c r="AU921" t="s">
        <v>264</v>
      </c>
      <c r="AV921" t="s">
        <v>270</v>
      </c>
      <c r="AX921">
        <v>22002829</v>
      </c>
      <c r="AY921">
        <v>816120</v>
      </c>
      <c r="AZ921">
        <v>1201.81612</v>
      </c>
      <c r="BA921" s="28" t="s">
        <v>89</v>
      </c>
    </row>
    <row r="922" spans="1:53">
      <c r="A922" t="s">
        <v>424</v>
      </c>
      <c r="B922" t="s">
        <v>425</v>
      </c>
      <c r="C922">
        <v>22009473</v>
      </c>
      <c r="D922">
        <v>1201</v>
      </c>
      <c r="E922" s="6">
        <v>44774</v>
      </c>
      <c r="F922" t="s">
        <v>889</v>
      </c>
      <c r="G922">
        <v>328.42</v>
      </c>
      <c r="H922">
        <v>328.42</v>
      </c>
      <c r="I922" t="s">
        <v>263</v>
      </c>
      <c r="J922" t="s">
        <v>263</v>
      </c>
      <c r="L922" s="29">
        <v>4887500</v>
      </c>
      <c r="N922" s="29">
        <v>4887500</v>
      </c>
      <c r="O922" t="s">
        <v>264</v>
      </c>
      <c r="Q922" t="s">
        <v>264</v>
      </c>
      <c r="R922" t="s">
        <v>265</v>
      </c>
      <c r="S922">
        <v>14882</v>
      </c>
      <c r="T922" t="s">
        <v>266</v>
      </c>
      <c r="U922" t="s">
        <v>267</v>
      </c>
      <c r="V922" t="s">
        <v>427</v>
      </c>
      <c r="W922" t="s">
        <v>428</v>
      </c>
      <c r="X922">
        <v>1925559</v>
      </c>
      <c r="Y922" s="6">
        <v>44774</v>
      </c>
      <c r="Z922" t="s">
        <v>264</v>
      </c>
      <c r="AA922">
        <v>1</v>
      </c>
      <c r="AB922" t="s">
        <v>264</v>
      </c>
      <c r="AD922" t="s">
        <v>264</v>
      </c>
      <c r="AE922" t="s">
        <v>264</v>
      </c>
      <c r="AF922" t="s">
        <v>264</v>
      </c>
      <c r="AG922">
        <v>114</v>
      </c>
      <c r="AH922" t="s">
        <v>264</v>
      </c>
      <c r="AI922">
        <v>55040026</v>
      </c>
      <c r="AJ922" t="s">
        <v>889</v>
      </c>
      <c r="AL922" t="s">
        <v>264</v>
      </c>
      <c r="AM922" s="6">
        <v>44774</v>
      </c>
      <c r="AN922" t="s">
        <v>516</v>
      </c>
      <c r="AO922" t="s">
        <v>268</v>
      </c>
      <c r="AP922">
        <v>1201</v>
      </c>
      <c r="AQ922" t="s">
        <v>269</v>
      </c>
      <c r="AR922" t="s">
        <v>890</v>
      </c>
      <c r="AU922" t="s">
        <v>264</v>
      </c>
      <c r="AV922" t="s">
        <v>270</v>
      </c>
      <c r="AX922">
        <v>22002675</v>
      </c>
      <c r="AY922">
        <v>816130</v>
      </c>
      <c r="AZ922">
        <v>1201.8161299999999</v>
      </c>
      <c r="BA922" s="28" t="s">
        <v>91</v>
      </c>
    </row>
    <row r="923" spans="1:53">
      <c r="A923" t="s">
        <v>424</v>
      </c>
      <c r="B923" t="s">
        <v>425</v>
      </c>
      <c r="C923">
        <v>22009474</v>
      </c>
      <c r="D923">
        <v>1201</v>
      </c>
      <c r="E923" s="6">
        <v>44774</v>
      </c>
      <c r="F923" t="s">
        <v>889</v>
      </c>
      <c r="G923">
        <v>43.52</v>
      </c>
      <c r="H923">
        <v>43.52</v>
      </c>
      <c r="I923" t="s">
        <v>263</v>
      </c>
      <c r="J923" t="s">
        <v>263</v>
      </c>
      <c r="L923" s="29">
        <v>647500</v>
      </c>
      <c r="N923" s="29">
        <v>647500</v>
      </c>
      <c r="O923" t="s">
        <v>264</v>
      </c>
      <c r="Q923" t="s">
        <v>264</v>
      </c>
      <c r="R923" t="s">
        <v>265</v>
      </c>
      <c r="S923">
        <v>14882</v>
      </c>
      <c r="T923" t="s">
        <v>266</v>
      </c>
      <c r="U923" t="s">
        <v>267</v>
      </c>
      <c r="V923" t="s">
        <v>427</v>
      </c>
      <c r="W923" t="s">
        <v>428</v>
      </c>
      <c r="X923">
        <v>1925559</v>
      </c>
      <c r="Y923" s="6">
        <v>44774</v>
      </c>
      <c r="Z923" t="s">
        <v>264</v>
      </c>
      <c r="AA923">
        <v>1</v>
      </c>
      <c r="AB923" t="s">
        <v>264</v>
      </c>
      <c r="AD923" t="s">
        <v>264</v>
      </c>
      <c r="AE923" t="s">
        <v>264</v>
      </c>
      <c r="AF923" t="s">
        <v>264</v>
      </c>
      <c r="AG923">
        <v>18</v>
      </c>
      <c r="AH923" t="s">
        <v>264</v>
      </c>
      <c r="AI923">
        <v>55040026</v>
      </c>
      <c r="AJ923" t="s">
        <v>889</v>
      </c>
      <c r="AL923" t="s">
        <v>264</v>
      </c>
      <c r="AM923" s="6">
        <v>44774</v>
      </c>
      <c r="AN923" t="s">
        <v>516</v>
      </c>
      <c r="AO923" t="s">
        <v>268</v>
      </c>
      <c r="AP923">
        <v>1201</v>
      </c>
      <c r="AQ923" t="s">
        <v>269</v>
      </c>
      <c r="AR923" t="s">
        <v>890</v>
      </c>
      <c r="AU923" t="s">
        <v>264</v>
      </c>
      <c r="AV923" t="s">
        <v>270</v>
      </c>
      <c r="AX923">
        <v>22002674</v>
      </c>
      <c r="AY923">
        <v>816130</v>
      </c>
      <c r="AZ923">
        <v>1201.8161299999999</v>
      </c>
      <c r="BA923" s="28" t="s">
        <v>91</v>
      </c>
    </row>
    <row r="924" spans="1:53">
      <c r="A924" t="s">
        <v>424</v>
      </c>
      <c r="B924" t="s">
        <v>425</v>
      </c>
      <c r="C924">
        <v>22009475</v>
      </c>
      <c r="D924">
        <v>1201</v>
      </c>
      <c r="E924" s="6">
        <v>44774</v>
      </c>
      <c r="F924" t="s">
        <v>889</v>
      </c>
      <c r="G924">
        <v>50.39</v>
      </c>
      <c r="H924">
        <v>50.39</v>
      </c>
      <c r="I924" t="s">
        <v>263</v>
      </c>
      <c r="J924" t="s">
        <v>263</v>
      </c>
      <c r="L924" s="29">
        <v>750000</v>
      </c>
      <c r="N924" s="29">
        <v>750000</v>
      </c>
      <c r="O924" t="s">
        <v>264</v>
      </c>
      <c r="Q924" t="s">
        <v>264</v>
      </c>
      <c r="R924" t="s">
        <v>265</v>
      </c>
      <c r="S924">
        <v>14882</v>
      </c>
      <c r="T924" t="s">
        <v>266</v>
      </c>
      <c r="U924" t="s">
        <v>267</v>
      </c>
      <c r="V924" t="s">
        <v>427</v>
      </c>
      <c r="W924" t="s">
        <v>428</v>
      </c>
      <c r="X924">
        <v>1925559</v>
      </c>
      <c r="Y924" s="6">
        <v>44774</v>
      </c>
      <c r="Z924" t="s">
        <v>264</v>
      </c>
      <c r="AA924">
        <v>1</v>
      </c>
      <c r="AB924" t="s">
        <v>264</v>
      </c>
      <c r="AD924" t="s">
        <v>264</v>
      </c>
      <c r="AE924" t="s">
        <v>264</v>
      </c>
      <c r="AF924" t="s">
        <v>264</v>
      </c>
      <c r="AG924">
        <v>16</v>
      </c>
      <c r="AH924" t="s">
        <v>264</v>
      </c>
      <c r="AI924">
        <v>55040026</v>
      </c>
      <c r="AJ924" t="s">
        <v>889</v>
      </c>
      <c r="AL924" t="s">
        <v>264</v>
      </c>
      <c r="AM924" s="6">
        <v>44774</v>
      </c>
      <c r="AN924" t="s">
        <v>516</v>
      </c>
      <c r="AO924" t="s">
        <v>268</v>
      </c>
      <c r="AP924">
        <v>1201</v>
      </c>
      <c r="AQ924" t="s">
        <v>269</v>
      </c>
      <c r="AR924" t="s">
        <v>891</v>
      </c>
      <c r="AU924" t="s">
        <v>264</v>
      </c>
      <c r="AV924" t="s">
        <v>270</v>
      </c>
      <c r="AX924">
        <v>22002673</v>
      </c>
      <c r="AY924">
        <v>816130</v>
      </c>
      <c r="AZ924">
        <v>1201.8161299999999</v>
      </c>
      <c r="BA924" s="28" t="s">
        <v>91</v>
      </c>
    </row>
    <row r="925" spans="1:53">
      <c r="A925" t="s">
        <v>424</v>
      </c>
      <c r="B925" t="s">
        <v>425</v>
      </c>
      <c r="C925">
        <v>22009476</v>
      </c>
      <c r="D925">
        <v>1201</v>
      </c>
      <c r="E925" s="6">
        <v>44774</v>
      </c>
      <c r="F925" t="s">
        <v>889</v>
      </c>
      <c r="G925">
        <v>66.36</v>
      </c>
      <c r="H925">
        <v>66.36</v>
      </c>
      <c r="I925" t="s">
        <v>263</v>
      </c>
      <c r="J925" t="s">
        <v>263</v>
      </c>
      <c r="L925" s="29">
        <v>987500</v>
      </c>
      <c r="N925" s="29">
        <v>987500</v>
      </c>
      <c r="O925" t="s">
        <v>264</v>
      </c>
      <c r="Q925" t="s">
        <v>264</v>
      </c>
      <c r="R925" t="s">
        <v>265</v>
      </c>
      <c r="S925">
        <v>14882</v>
      </c>
      <c r="T925" t="s">
        <v>266</v>
      </c>
      <c r="U925" t="s">
        <v>267</v>
      </c>
      <c r="V925" t="s">
        <v>427</v>
      </c>
      <c r="W925" t="s">
        <v>428</v>
      </c>
      <c r="X925">
        <v>1925559</v>
      </c>
      <c r="Y925" s="6">
        <v>44774</v>
      </c>
      <c r="Z925" t="s">
        <v>264</v>
      </c>
      <c r="AA925">
        <v>1</v>
      </c>
      <c r="AB925" t="s">
        <v>264</v>
      </c>
      <c r="AD925" t="s">
        <v>264</v>
      </c>
      <c r="AE925" t="s">
        <v>264</v>
      </c>
      <c r="AF925" t="s">
        <v>264</v>
      </c>
      <c r="AG925">
        <v>17</v>
      </c>
      <c r="AH925" t="s">
        <v>264</v>
      </c>
      <c r="AI925">
        <v>55040026</v>
      </c>
      <c r="AJ925" t="s">
        <v>889</v>
      </c>
      <c r="AL925" t="s">
        <v>264</v>
      </c>
      <c r="AM925" s="6">
        <v>44774</v>
      </c>
      <c r="AN925" t="s">
        <v>516</v>
      </c>
      <c r="AO925" t="s">
        <v>268</v>
      </c>
      <c r="AP925">
        <v>1201</v>
      </c>
      <c r="AQ925" t="s">
        <v>269</v>
      </c>
      <c r="AR925" t="s">
        <v>890</v>
      </c>
      <c r="AU925" t="s">
        <v>264</v>
      </c>
      <c r="AV925" t="s">
        <v>270</v>
      </c>
      <c r="AX925">
        <v>22002672</v>
      </c>
      <c r="AY925">
        <v>816130</v>
      </c>
      <c r="AZ925">
        <v>1201.8161299999999</v>
      </c>
      <c r="BA925" s="28" t="s">
        <v>91</v>
      </c>
    </row>
    <row r="926" spans="1:53">
      <c r="A926" t="s">
        <v>271</v>
      </c>
      <c r="B926" t="s">
        <v>272</v>
      </c>
      <c r="C926">
        <v>22010617</v>
      </c>
      <c r="D926">
        <v>1201</v>
      </c>
      <c r="E926" s="6">
        <v>44774</v>
      </c>
      <c r="F926" t="s">
        <v>892</v>
      </c>
      <c r="G926">
        <v>403.17</v>
      </c>
      <c r="H926">
        <v>403.17</v>
      </c>
      <c r="I926" t="s">
        <v>263</v>
      </c>
      <c r="J926" t="s">
        <v>263</v>
      </c>
      <c r="L926" s="29">
        <v>6000000</v>
      </c>
      <c r="N926" s="29">
        <v>6000000</v>
      </c>
      <c r="O926" t="s">
        <v>264</v>
      </c>
      <c r="Q926" t="s">
        <v>264</v>
      </c>
      <c r="R926" t="s">
        <v>265</v>
      </c>
      <c r="S926">
        <v>14882</v>
      </c>
      <c r="T926" t="s">
        <v>266</v>
      </c>
      <c r="U926" t="s">
        <v>267</v>
      </c>
      <c r="V926" t="s">
        <v>273</v>
      </c>
      <c r="W926" t="s">
        <v>274</v>
      </c>
      <c r="X926">
        <v>1925401</v>
      </c>
      <c r="Y926" s="6">
        <v>44774</v>
      </c>
      <c r="Z926" t="s">
        <v>264</v>
      </c>
      <c r="AA926">
        <v>1</v>
      </c>
      <c r="AB926" t="s">
        <v>264</v>
      </c>
      <c r="AD926" t="s">
        <v>264</v>
      </c>
      <c r="AE926" t="s">
        <v>264</v>
      </c>
      <c r="AF926" t="s">
        <v>264</v>
      </c>
      <c r="AG926">
        <v>1</v>
      </c>
      <c r="AH926" t="s">
        <v>264</v>
      </c>
      <c r="AI926">
        <v>57303900</v>
      </c>
      <c r="AJ926" t="s">
        <v>892</v>
      </c>
      <c r="AL926" t="s">
        <v>893</v>
      </c>
      <c r="AM926" s="6">
        <v>44770</v>
      </c>
      <c r="AN926" t="s">
        <v>533</v>
      </c>
      <c r="AO926" t="s">
        <v>268</v>
      </c>
      <c r="AP926">
        <v>1201</v>
      </c>
      <c r="AQ926" t="s">
        <v>269</v>
      </c>
      <c r="AR926" t="s">
        <v>894</v>
      </c>
      <c r="AU926" t="s">
        <v>264</v>
      </c>
      <c r="AV926" t="s">
        <v>270</v>
      </c>
      <c r="AX926">
        <v>22002658</v>
      </c>
      <c r="AY926">
        <v>816130</v>
      </c>
      <c r="AZ926">
        <v>1201.8161299999999</v>
      </c>
      <c r="BA926" s="28" t="s">
        <v>91</v>
      </c>
    </row>
    <row r="927" spans="1:53">
      <c r="A927" t="s">
        <v>271</v>
      </c>
      <c r="B927" t="s">
        <v>272</v>
      </c>
      <c r="C927">
        <v>22010664</v>
      </c>
      <c r="D927">
        <v>1201</v>
      </c>
      <c r="E927" s="6">
        <v>44775</v>
      </c>
      <c r="F927" t="s">
        <v>895</v>
      </c>
      <c r="G927">
        <v>79.22</v>
      </c>
      <c r="H927">
        <v>79.22</v>
      </c>
      <c r="I927" t="s">
        <v>263</v>
      </c>
      <c r="J927" t="s">
        <v>263</v>
      </c>
      <c r="L927" s="29">
        <v>1179000</v>
      </c>
      <c r="N927" s="29">
        <v>1179000</v>
      </c>
      <c r="O927" t="s">
        <v>264</v>
      </c>
      <c r="Q927" t="s">
        <v>264</v>
      </c>
      <c r="R927" t="s">
        <v>265</v>
      </c>
      <c r="S927">
        <v>14882</v>
      </c>
      <c r="T927" t="s">
        <v>266</v>
      </c>
      <c r="U927" t="s">
        <v>267</v>
      </c>
      <c r="V927" t="s">
        <v>273</v>
      </c>
      <c r="W927" t="s">
        <v>274</v>
      </c>
      <c r="X927">
        <v>1925610</v>
      </c>
      <c r="Y927" s="6">
        <v>44775</v>
      </c>
      <c r="Z927" t="s">
        <v>264</v>
      </c>
      <c r="AA927">
        <v>1</v>
      </c>
      <c r="AB927" t="s">
        <v>264</v>
      </c>
      <c r="AD927" t="s">
        <v>264</v>
      </c>
      <c r="AE927" t="s">
        <v>264</v>
      </c>
      <c r="AF927" t="s">
        <v>264</v>
      </c>
      <c r="AG927">
        <v>1</v>
      </c>
      <c r="AH927" t="s">
        <v>264</v>
      </c>
      <c r="AI927">
        <v>56596413</v>
      </c>
      <c r="AJ927" t="s">
        <v>895</v>
      </c>
      <c r="AL927" t="s">
        <v>896</v>
      </c>
      <c r="AM927" s="6">
        <v>44772</v>
      </c>
      <c r="AN927" t="s">
        <v>275</v>
      </c>
      <c r="AO927" t="s">
        <v>268</v>
      </c>
      <c r="AP927">
        <v>1201</v>
      </c>
      <c r="AQ927" t="s">
        <v>269</v>
      </c>
      <c r="AR927" t="s">
        <v>897</v>
      </c>
      <c r="AU927" t="s">
        <v>264</v>
      </c>
      <c r="AV927" t="s">
        <v>270</v>
      </c>
      <c r="AX927">
        <v>22002671</v>
      </c>
      <c r="AY927">
        <v>816130</v>
      </c>
      <c r="AZ927">
        <v>1201.8161299999999</v>
      </c>
      <c r="BA927" s="28" t="s">
        <v>91</v>
      </c>
    </row>
    <row r="928" spans="1:53">
      <c r="A928" t="s">
        <v>271</v>
      </c>
      <c r="B928" t="s">
        <v>272</v>
      </c>
      <c r="C928">
        <v>22010766</v>
      </c>
      <c r="D928">
        <v>1201</v>
      </c>
      <c r="E928" s="6">
        <v>44777</v>
      </c>
      <c r="F928" t="s">
        <v>889</v>
      </c>
      <c r="G928">
        <v>0.09</v>
      </c>
      <c r="H928">
        <v>0.09</v>
      </c>
      <c r="I928" t="s">
        <v>263</v>
      </c>
      <c r="J928" t="s">
        <v>263</v>
      </c>
      <c r="O928" t="s">
        <v>264</v>
      </c>
      <c r="Q928" t="s">
        <v>264</v>
      </c>
      <c r="R928" t="s">
        <v>265</v>
      </c>
      <c r="S928">
        <v>14860</v>
      </c>
      <c r="T928" t="s">
        <v>266</v>
      </c>
      <c r="U928" t="s">
        <v>267</v>
      </c>
      <c r="V928" t="s">
        <v>273</v>
      </c>
      <c r="W928" t="s">
        <v>274</v>
      </c>
      <c r="X928">
        <v>1927144</v>
      </c>
      <c r="Y928" s="6">
        <v>44777</v>
      </c>
      <c r="Z928" t="s">
        <v>264</v>
      </c>
      <c r="AA928">
        <v>2</v>
      </c>
      <c r="AB928" t="s">
        <v>264</v>
      </c>
      <c r="AD928" t="s">
        <v>264</v>
      </c>
      <c r="AE928" t="s">
        <v>264</v>
      </c>
      <c r="AF928" t="s">
        <v>264</v>
      </c>
      <c r="AH928" t="s">
        <v>264</v>
      </c>
      <c r="AI928">
        <v>55040026</v>
      </c>
      <c r="AJ928" t="s">
        <v>889</v>
      </c>
      <c r="AL928" t="s">
        <v>898</v>
      </c>
      <c r="AM928" s="6">
        <v>44770</v>
      </c>
      <c r="AN928" t="s">
        <v>275</v>
      </c>
      <c r="AO928" t="s">
        <v>268</v>
      </c>
      <c r="AP928">
        <v>1201</v>
      </c>
      <c r="AQ928" t="s">
        <v>269</v>
      </c>
      <c r="AR928" t="s">
        <v>890</v>
      </c>
      <c r="AU928" t="s">
        <v>264</v>
      </c>
      <c r="AV928" t="s">
        <v>270</v>
      </c>
      <c r="AX928">
        <v>22002672</v>
      </c>
      <c r="AY928">
        <v>816130</v>
      </c>
      <c r="AZ928">
        <v>1201.8161299999999</v>
      </c>
      <c r="BA928" s="28" t="s">
        <v>91</v>
      </c>
    </row>
    <row r="929" spans="1:53">
      <c r="A929" t="s">
        <v>271</v>
      </c>
      <c r="B929" t="s">
        <v>272</v>
      </c>
      <c r="C929">
        <v>22010767</v>
      </c>
      <c r="D929">
        <v>1201</v>
      </c>
      <c r="E929" s="6">
        <v>44777</v>
      </c>
      <c r="F929" t="s">
        <v>889</v>
      </c>
      <c r="G929">
        <v>0.04</v>
      </c>
      <c r="H929">
        <v>0.04</v>
      </c>
      <c r="I929" t="s">
        <v>263</v>
      </c>
      <c r="J929" t="s">
        <v>263</v>
      </c>
      <c r="O929" t="s">
        <v>264</v>
      </c>
      <c r="Q929" t="s">
        <v>264</v>
      </c>
      <c r="R929" t="s">
        <v>265</v>
      </c>
      <c r="S929">
        <v>14860</v>
      </c>
      <c r="T929" t="s">
        <v>266</v>
      </c>
      <c r="U929" t="s">
        <v>267</v>
      </c>
      <c r="V929" t="s">
        <v>273</v>
      </c>
      <c r="W929" t="s">
        <v>274</v>
      </c>
      <c r="X929">
        <v>1927144</v>
      </c>
      <c r="Y929" s="6">
        <v>44777</v>
      </c>
      <c r="Z929" t="s">
        <v>264</v>
      </c>
      <c r="AA929">
        <v>2</v>
      </c>
      <c r="AB929" t="s">
        <v>264</v>
      </c>
      <c r="AD929" t="s">
        <v>264</v>
      </c>
      <c r="AE929" t="s">
        <v>264</v>
      </c>
      <c r="AF929" t="s">
        <v>264</v>
      </c>
      <c r="AH929" t="s">
        <v>264</v>
      </c>
      <c r="AI929">
        <v>55040026</v>
      </c>
      <c r="AJ929" t="s">
        <v>889</v>
      </c>
      <c r="AL929" t="s">
        <v>899</v>
      </c>
      <c r="AM929" s="6">
        <v>44770</v>
      </c>
      <c r="AN929" t="s">
        <v>275</v>
      </c>
      <c r="AO929" t="s">
        <v>268</v>
      </c>
      <c r="AP929">
        <v>1201</v>
      </c>
      <c r="AQ929" t="s">
        <v>269</v>
      </c>
      <c r="AR929" t="s">
        <v>890</v>
      </c>
      <c r="AU929" t="s">
        <v>264</v>
      </c>
      <c r="AV929" t="s">
        <v>270</v>
      </c>
      <c r="AX929">
        <v>22002674</v>
      </c>
      <c r="AY929">
        <v>816130</v>
      </c>
      <c r="AZ929">
        <v>1201.8161299999999</v>
      </c>
      <c r="BA929" s="28" t="s">
        <v>91</v>
      </c>
    </row>
    <row r="930" spans="1:53">
      <c r="A930" t="s">
        <v>271</v>
      </c>
      <c r="B930" t="s">
        <v>272</v>
      </c>
      <c r="C930">
        <v>22010768</v>
      </c>
      <c r="D930">
        <v>1201</v>
      </c>
      <c r="E930" s="6">
        <v>44777</v>
      </c>
      <c r="F930" t="s">
        <v>889</v>
      </c>
      <c r="G930">
        <v>0.48</v>
      </c>
      <c r="H930">
        <v>0.48</v>
      </c>
      <c r="I930" t="s">
        <v>263</v>
      </c>
      <c r="J930" t="s">
        <v>263</v>
      </c>
      <c r="O930" t="s">
        <v>264</v>
      </c>
      <c r="Q930" t="s">
        <v>264</v>
      </c>
      <c r="R930" t="s">
        <v>265</v>
      </c>
      <c r="S930">
        <v>14860</v>
      </c>
      <c r="T930" t="s">
        <v>266</v>
      </c>
      <c r="U930" t="s">
        <v>267</v>
      </c>
      <c r="V930" t="s">
        <v>273</v>
      </c>
      <c r="W930" t="s">
        <v>274</v>
      </c>
      <c r="X930">
        <v>1927144</v>
      </c>
      <c r="Y930" s="6">
        <v>44777</v>
      </c>
      <c r="Z930" t="s">
        <v>264</v>
      </c>
      <c r="AA930">
        <v>2</v>
      </c>
      <c r="AB930" t="s">
        <v>264</v>
      </c>
      <c r="AD930" t="s">
        <v>264</v>
      </c>
      <c r="AE930" t="s">
        <v>264</v>
      </c>
      <c r="AF930" t="s">
        <v>264</v>
      </c>
      <c r="AH930" t="s">
        <v>264</v>
      </c>
      <c r="AI930">
        <v>55040026</v>
      </c>
      <c r="AJ930" t="s">
        <v>889</v>
      </c>
      <c r="AL930" t="s">
        <v>900</v>
      </c>
      <c r="AM930" s="6">
        <v>44770</v>
      </c>
      <c r="AN930" t="s">
        <v>275</v>
      </c>
      <c r="AO930" t="s">
        <v>268</v>
      </c>
      <c r="AP930">
        <v>1201</v>
      </c>
      <c r="AQ930" t="s">
        <v>269</v>
      </c>
      <c r="AR930" t="s">
        <v>890</v>
      </c>
      <c r="AU930" t="s">
        <v>264</v>
      </c>
      <c r="AV930" t="s">
        <v>270</v>
      </c>
      <c r="AX930">
        <v>22002675</v>
      </c>
      <c r="AY930">
        <v>816130</v>
      </c>
      <c r="AZ930">
        <v>1201.8161299999999</v>
      </c>
      <c r="BA930" s="28" t="s">
        <v>91</v>
      </c>
    </row>
    <row r="931" spans="1:53">
      <c r="A931" t="s">
        <v>271</v>
      </c>
      <c r="B931" t="s">
        <v>272</v>
      </c>
      <c r="C931">
        <v>22010773</v>
      </c>
      <c r="D931">
        <v>1201</v>
      </c>
      <c r="E931" s="6">
        <v>44777</v>
      </c>
      <c r="F931" t="s">
        <v>901</v>
      </c>
      <c r="G931">
        <v>0.02</v>
      </c>
      <c r="H931">
        <v>0.02</v>
      </c>
      <c r="I931" t="s">
        <v>263</v>
      </c>
      <c r="J931" t="s">
        <v>263</v>
      </c>
      <c r="O931" t="s">
        <v>264</v>
      </c>
      <c r="Q931" t="s">
        <v>264</v>
      </c>
      <c r="R931" t="s">
        <v>265</v>
      </c>
      <c r="S931">
        <v>14860</v>
      </c>
      <c r="T931" t="s">
        <v>266</v>
      </c>
      <c r="U931" t="s">
        <v>267</v>
      </c>
      <c r="V931" t="s">
        <v>273</v>
      </c>
      <c r="W931" t="s">
        <v>274</v>
      </c>
      <c r="X931">
        <v>1927150</v>
      </c>
      <c r="Y931" s="6">
        <v>44777</v>
      </c>
      <c r="Z931" t="s">
        <v>264</v>
      </c>
      <c r="AA931">
        <v>2</v>
      </c>
      <c r="AB931" t="s">
        <v>264</v>
      </c>
      <c r="AD931" t="s">
        <v>264</v>
      </c>
      <c r="AE931" t="s">
        <v>264</v>
      </c>
      <c r="AF931" t="s">
        <v>264</v>
      </c>
      <c r="AH931" t="s">
        <v>264</v>
      </c>
      <c r="AI931">
        <v>55120333</v>
      </c>
      <c r="AJ931" t="s">
        <v>901</v>
      </c>
      <c r="AL931" t="s">
        <v>902</v>
      </c>
      <c r="AM931" s="6">
        <v>44761</v>
      </c>
      <c r="AN931" t="s">
        <v>275</v>
      </c>
      <c r="AO931" t="s">
        <v>268</v>
      </c>
      <c r="AP931">
        <v>1201</v>
      </c>
      <c r="AQ931" t="s">
        <v>269</v>
      </c>
      <c r="AR931" t="s">
        <v>903</v>
      </c>
      <c r="AU931" t="s">
        <v>264</v>
      </c>
      <c r="AV931" t="s">
        <v>270</v>
      </c>
      <c r="AX931">
        <v>22002555</v>
      </c>
      <c r="AY931">
        <v>816130</v>
      </c>
      <c r="AZ931">
        <v>1201.8161299999999</v>
      </c>
      <c r="BA931" s="28" t="s">
        <v>91</v>
      </c>
    </row>
    <row r="932" spans="1:53">
      <c r="A932" t="s">
        <v>424</v>
      </c>
      <c r="B932" t="s">
        <v>425</v>
      </c>
      <c r="C932">
        <v>22009727</v>
      </c>
      <c r="D932">
        <v>1201</v>
      </c>
      <c r="E932" s="6">
        <v>44782</v>
      </c>
      <c r="F932" t="s">
        <v>904</v>
      </c>
      <c r="G932">
        <v>84.12</v>
      </c>
      <c r="H932">
        <v>84.12</v>
      </c>
      <c r="I932" t="s">
        <v>263</v>
      </c>
      <c r="J932" t="s">
        <v>263</v>
      </c>
      <c r="L932" s="29">
        <v>1250000</v>
      </c>
      <c r="N932" s="29">
        <v>1250000</v>
      </c>
      <c r="O932" t="s">
        <v>264</v>
      </c>
      <c r="Q932" t="s">
        <v>264</v>
      </c>
      <c r="R932" t="s">
        <v>265</v>
      </c>
      <c r="S932">
        <v>14860</v>
      </c>
      <c r="T932" t="s">
        <v>266</v>
      </c>
      <c r="U932" t="s">
        <v>267</v>
      </c>
      <c r="V932" t="s">
        <v>427</v>
      </c>
      <c r="W932" t="s">
        <v>428</v>
      </c>
      <c r="X932">
        <v>1929145</v>
      </c>
      <c r="Y932" s="6">
        <v>44782</v>
      </c>
      <c r="Z932" t="s">
        <v>264</v>
      </c>
      <c r="AA932">
        <v>1</v>
      </c>
      <c r="AB932" t="s">
        <v>264</v>
      </c>
      <c r="AD932" t="s">
        <v>264</v>
      </c>
      <c r="AE932" t="s">
        <v>264</v>
      </c>
      <c r="AF932" t="s">
        <v>264</v>
      </c>
      <c r="AG932">
        <v>1</v>
      </c>
      <c r="AH932" t="s">
        <v>264</v>
      </c>
      <c r="AI932">
        <v>55247019</v>
      </c>
      <c r="AJ932" t="s">
        <v>904</v>
      </c>
      <c r="AL932" t="s">
        <v>264</v>
      </c>
      <c r="AM932" s="6">
        <v>44782</v>
      </c>
      <c r="AN932" t="s">
        <v>516</v>
      </c>
      <c r="AO932" t="s">
        <v>268</v>
      </c>
      <c r="AP932">
        <v>1201</v>
      </c>
      <c r="AQ932" t="s">
        <v>269</v>
      </c>
      <c r="AR932" t="s">
        <v>905</v>
      </c>
      <c r="AU932" t="s">
        <v>264</v>
      </c>
      <c r="AV932" t="s">
        <v>270</v>
      </c>
      <c r="AX932">
        <v>22002702</v>
      </c>
      <c r="AY932">
        <v>816130</v>
      </c>
      <c r="AZ932">
        <v>1201.8161299999999</v>
      </c>
      <c r="BA932" s="28" t="s">
        <v>91</v>
      </c>
    </row>
    <row r="933" spans="1:53">
      <c r="A933" t="s">
        <v>424</v>
      </c>
      <c r="B933" t="s">
        <v>425</v>
      </c>
      <c r="C933">
        <v>22009728</v>
      </c>
      <c r="D933">
        <v>1201</v>
      </c>
      <c r="E933" s="6">
        <v>44782</v>
      </c>
      <c r="F933" t="s">
        <v>904</v>
      </c>
      <c r="G933">
        <v>400.41</v>
      </c>
      <c r="H933">
        <v>400.41</v>
      </c>
      <c r="I933" t="s">
        <v>263</v>
      </c>
      <c r="J933" t="s">
        <v>263</v>
      </c>
      <c r="L933" s="29">
        <v>5950000</v>
      </c>
      <c r="N933" s="29">
        <v>5950000</v>
      </c>
      <c r="O933" t="s">
        <v>264</v>
      </c>
      <c r="Q933" t="s">
        <v>264</v>
      </c>
      <c r="R933" t="s">
        <v>265</v>
      </c>
      <c r="S933">
        <v>14860</v>
      </c>
      <c r="T933" t="s">
        <v>266</v>
      </c>
      <c r="U933" t="s">
        <v>267</v>
      </c>
      <c r="V933" t="s">
        <v>427</v>
      </c>
      <c r="W933" t="s">
        <v>428</v>
      </c>
      <c r="X933">
        <v>1929145</v>
      </c>
      <c r="Y933" s="6">
        <v>44782</v>
      </c>
      <c r="Z933" t="s">
        <v>264</v>
      </c>
      <c r="AA933">
        <v>1</v>
      </c>
      <c r="AB933" t="s">
        <v>264</v>
      </c>
      <c r="AD933" t="s">
        <v>264</v>
      </c>
      <c r="AE933" t="s">
        <v>264</v>
      </c>
      <c r="AF933" t="s">
        <v>264</v>
      </c>
      <c r="AG933">
        <v>10</v>
      </c>
      <c r="AH933" t="s">
        <v>264</v>
      </c>
      <c r="AI933">
        <v>55247019</v>
      </c>
      <c r="AJ933" t="s">
        <v>904</v>
      </c>
      <c r="AL933" t="s">
        <v>264</v>
      </c>
      <c r="AM933" s="6">
        <v>44782</v>
      </c>
      <c r="AN933" t="s">
        <v>516</v>
      </c>
      <c r="AO933" t="s">
        <v>268</v>
      </c>
      <c r="AP933">
        <v>1201</v>
      </c>
      <c r="AQ933" t="s">
        <v>269</v>
      </c>
      <c r="AR933" t="s">
        <v>906</v>
      </c>
      <c r="AU933" t="s">
        <v>264</v>
      </c>
      <c r="AV933" t="s">
        <v>270</v>
      </c>
      <c r="AX933">
        <v>22002703</v>
      </c>
      <c r="AY933">
        <v>816130</v>
      </c>
      <c r="AZ933">
        <v>1201.8161299999999</v>
      </c>
      <c r="BA933" s="28" t="s">
        <v>91</v>
      </c>
    </row>
    <row r="934" spans="1:53">
      <c r="A934" t="s">
        <v>424</v>
      </c>
      <c r="B934" t="s">
        <v>425</v>
      </c>
      <c r="C934">
        <v>22009801</v>
      </c>
      <c r="D934">
        <v>1201</v>
      </c>
      <c r="E934" s="6">
        <v>44782</v>
      </c>
      <c r="F934" t="s">
        <v>901</v>
      </c>
      <c r="G934">
        <v>33.64</v>
      </c>
      <c r="H934">
        <v>33.64</v>
      </c>
      <c r="I934" t="s">
        <v>263</v>
      </c>
      <c r="J934" t="s">
        <v>263</v>
      </c>
      <c r="L934" s="29">
        <v>500000</v>
      </c>
      <c r="N934" s="29">
        <v>500000</v>
      </c>
      <c r="O934" t="s">
        <v>264</v>
      </c>
      <c r="Q934" t="s">
        <v>264</v>
      </c>
      <c r="R934" t="s">
        <v>265</v>
      </c>
      <c r="S934">
        <v>14860</v>
      </c>
      <c r="T934" t="s">
        <v>266</v>
      </c>
      <c r="U934" t="s">
        <v>267</v>
      </c>
      <c r="V934" t="s">
        <v>427</v>
      </c>
      <c r="W934" t="s">
        <v>428</v>
      </c>
      <c r="X934">
        <v>1929212</v>
      </c>
      <c r="Y934" s="6">
        <v>44782</v>
      </c>
      <c r="Z934" t="s">
        <v>264</v>
      </c>
      <c r="AA934">
        <v>1</v>
      </c>
      <c r="AB934" t="s">
        <v>264</v>
      </c>
      <c r="AD934" t="s">
        <v>264</v>
      </c>
      <c r="AE934" t="s">
        <v>264</v>
      </c>
      <c r="AF934" t="s">
        <v>264</v>
      </c>
      <c r="AG934">
        <v>10</v>
      </c>
      <c r="AH934" t="s">
        <v>264</v>
      </c>
      <c r="AI934">
        <v>55120333</v>
      </c>
      <c r="AJ934" t="s">
        <v>901</v>
      </c>
      <c r="AL934" t="s">
        <v>264</v>
      </c>
      <c r="AM934" s="6">
        <v>44782</v>
      </c>
      <c r="AN934" t="s">
        <v>907</v>
      </c>
      <c r="AO934" t="s">
        <v>268</v>
      </c>
      <c r="AP934">
        <v>1201</v>
      </c>
      <c r="AQ934" t="s">
        <v>269</v>
      </c>
      <c r="AR934" t="s">
        <v>908</v>
      </c>
      <c r="AU934" t="s">
        <v>264</v>
      </c>
      <c r="AV934" t="s">
        <v>270</v>
      </c>
      <c r="AX934">
        <v>22002713</v>
      </c>
      <c r="AY934">
        <v>816130</v>
      </c>
      <c r="AZ934">
        <v>1201.8161299999999</v>
      </c>
      <c r="BA934" s="28" t="s">
        <v>91</v>
      </c>
    </row>
    <row r="935" spans="1:53">
      <c r="A935" t="s">
        <v>271</v>
      </c>
      <c r="B935" t="s">
        <v>272</v>
      </c>
      <c r="C935">
        <v>22010870</v>
      </c>
      <c r="D935">
        <v>1201</v>
      </c>
      <c r="E935" s="6">
        <v>44782</v>
      </c>
      <c r="F935" t="s">
        <v>904</v>
      </c>
      <c r="G935">
        <v>0.54</v>
      </c>
      <c r="H935">
        <v>0.54</v>
      </c>
      <c r="I935" t="s">
        <v>263</v>
      </c>
      <c r="J935" t="s">
        <v>263</v>
      </c>
      <c r="O935" t="s">
        <v>264</v>
      </c>
      <c r="Q935" t="s">
        <v>264</v>
      </c>
      <c r="R935" t="s">
        <v>265</v>
      </c>
      <c r="S935">
        <v>14860</v>
      </c>
      <c r="T935" t="s">
        <v>266</v>
      </c>
      <c r="U935" t="s">
        <v>267</v>
      </c>
      <c r="V935" t="s">
        <v>273</v>
      </c>
      <c r="W935" t="s">
        <v>274</v>
      </c>
      <c r="X935">
        <v>1929148</v>
      </c>
      <c r="Y935" s="6">
        <v>44782</v>
      </c>
      <c r="Z935" t="s">
        <v>264</v>
      </c>
      <c r="AA935">
        <v>2</v>
      </c>
      <c r="AB935" t="s">
        <v>264</v>
      </c>
      <c r="AD935" t="s">
        <v>264</v>
      </c>
      <c r="AE935" t="s">
        <v>264</v>
      </c>
      <c r="AF935" t="s">
        <v>264</v>
      </c>
      <c r="AH935" t="s">
        <v>264</v>
      </c>
      <c r="AI935">
        <v>55247019</v>
      </c>
      <c r="AJ935" t="s">
        <v>904</v>
      </c>
      <c r="AL935">
        <v>18499</v>
      </c>
      <c r="AM935" s="6">
        <v>44768</v>
      </c>
      <c r="AN935" t="s">
        <v>275</v>
      </c>
      <c r="AO935" t="s">
        <v>268</v>
      </c>
      <c r="AP935">
        <v>1201</v>
      </c>
      <c r="AQ935" t="s">
        <v>269</v>
      </c>
      <c r="AR935" t="s">
        <v>909</v>
      </c>
      <c r="AU935" t="s">
        <v>264</v>
      </c>
      <c r="AV935" t="s">
        <v>270</v>
      </c>
      <c r="AX935">
        <v>22002614</v>
      </c>
      <c r="AY935">
        <v>816130</v>
      </c>
      <c r="AZ935">
        <v>1201.8161299999999</v>
      </c>
      <c r="BA935" s="28" t="s">
        <v>91</v>
      </c>
    </row>
    <row r="936" spans="1:53">
      <c r="A936" t="s">
        <v>384</v>
      </c>
      <c r="B936" t="s">
        <v>385</v>
      </c>
      <c r="C936">
        <v>22001587</v>
      </c>
      <c r="D936">
        <v>1201</v>
      </c>
      <c r="E936" s="6">
        <v>44783</v>
      </c>
      <c r="F936" t="s">
        <v>92</v>
      </c>
      <c r="G936">
        <v>31.29</v>
      </c>
      <c r="H936">
        <v>31.29</v>
      </c>
      <c r="I936" t="s">
        <v>263</v>
      </c>
      <c r="J936" t="s">
        <v>263</v>
      </c>
      <c r="L936" s="29">
        <v>465000</v>
      </c>
      <c r="N936" s="29">
        <v>465000</v>
      </c>
      <c r="O936" t="s">
        <v>264</v>
      </c>
      <c r="Q936" t="s">
        <v>264</v>
      </c>
      <c r="R936" t="s">
        <v>265</v>
      </c>
      <c r="S936">
        <v>14860</v>
      </c>
      <c r="T936" t="s">
        <v>266</v>
      </c>
      <c r="U936" t="s">
        <v>267</v>
      </c>
      <c r="V936" t="s">
        <v>386</v>
      </c>
      <c r="W936" t="s">
        <v>387</v>
      </c>
      <c r="X936">
        <v>1930311</v>
      </c>
      <c r="Y936" s="6">
        <v>44783</v>
      </c>
      <c r="Z936" t="s">
        <v>264</v>
      </c>
      <c r="AA936">
        <v>1</v>
      </c>
      <c r="AB936" t="s">
        <v>264</v>
      </c>
      <c r="AD936" t="s">
        <v>264</v>
      </c>
      <c r="AE936" t="s">
        <v>264</v>
      </c>
      <c r="AF936" t="s">
        <v>264</v>
      </c>
      <c r="AH936" t="s">
        <v>264</v>
      </c>
      <c r="AL936" t="s">
        <v>264</v>
      </c>
      <c r="AM936" s="6">
        <v>44783</v>
      </c>
      <c r="AN936" t="s">
        <v>388</v>
      </c>
      <c r="AO936" t="s">
        <v>268</v>
      </c>
      <c r="AP936">
        <v>1201</v>
      </c>
      <c r="AQ936" t="s">
        <v>269</v>
      </c>
      <c r="AR936" t="s">
        <v>910</v>
      </c>
      <c r="AU936" t="s">
        <v>264</v>
      </c>
      <c r="AV936" t="s">
        <v>270</v>
      </c>
      <c r="AX936" t="s">
        <v>264</v>
      </c>
      <c r="AY936">
        <v>816130</v>
      </c>
      <c r="AZ936">
        <v>1201.8161299999999</v>
      </c>
      <c r="BA936" s="28" t="s">
        <v>91</v>
      </c>
    </row>
    <row r="937" spans="1:53">
      <c r="A937" t="s">
        <v>384</v>
      </c>
      <c r="B937" t="s">
        <v>385</v>
      </c>
      <c r="C937">
        <v>22001589</v>
      </c>
      <c r="D937">
        <v>1201</v>
      </c>
      <c r="E937" s="6">
        <v>44783</v>
      </c>
      <c r="F937" t="s">
        <v>92</v>
      </c>
      <c r="G937">
        <v>269.18</v>
      </c>
      <c r="H937">
        <v>269.18</v>
      </c>
      <c r="I937" t="s">
        <v>263</v>
      </c>
      <c r="J937" t="s">
        <v>263</v>
      </c>
      <c r="L937" s="29">
        <v>4000000</v>
      </c>
      <c r="N937" s="29">
        <v>4000000</v>
      </c>
      <c r="O937" t="s">
        <v>264</v>
      </c>
      <c r="Q937" t="s">
        <v>264</v>
      </c>
      <c r="R937" t="s">
        <v>265</v>
      </c>
      <c r="S937">
        <v>14860</v>
      </c>
      <c r="T937" t="s">
        <v>266</v>
      </c>
      <c r="U937" t="s">
        <v>267</v>
      </c>
      <c r="V937" t="s">
        <v>386</v>
      </c>
      <c r="W937" t="s">
        <v>387</v>
      </c>
      <c r="X937">
        <v>1930311</v>
      </c>
      <c r="Y937" s="6">
        <v>44783</v>
      </c>
      <c r="Z937" t="s">
        <v>264</v>
      </c>
      <c r="AA937">
        <v>1</v>
      </c>
      <c r="AB937" t="s">
        <v>264</v>
      </c>
      <c r="AD937" t="s">
        <v>264</v>
      </c>
      <c r="AE937" t="s">
        <v>264</v>
      </c>
      <c r="AF937" t="s">
        <v>264</v>
      </c>
      <c r="AH937" t="s">
        <v>264</v>
      </c>
      <c r="AL937" t="s">
        <v>264</v>
      </c>
      <c r="AM937" s="6">
        <v>44783</v>
      </c>
      <c r="AN937" t="s">
        <v>388</v>
      </c>
      <c r="AO937" t="s">
        <v>268</v>
      </c>
      <c r="AP937">
        <v>1201</v>
      </c>
      <c r="AQ937" t="s">
        <v>269</v>
      </c>
      <c r="AR937" t="s">
        <v>911</v>
      </c>
      <c r="AU937" t="s">
        <v>264</v>
      </c>
      <c r="AV937" t="s">
        <v>270</v>
      </c>
      <c r="AX937" t="s">
        <v>264</v>
      </c>
      <c r="AY937">
        <v>816130</v>
      </c>
      <c r="AZ937">
        <v>1201.8161299999999</v>
      </c>
      <c r="BA937" s="28" t="s">
        <v>91</v>
      </c>
    </row>
    <row r="938" spans="1:53">
      <c r="A938" t="s">
        <v>424</v>
      </c>
      <c r="B938" t="s">
        <v>425</v>
      </c>
      <c r="C938">
        <v>22009966</v>
      </c>
      <c r="D938">
        <v>1201</v>
      </c>
      <c r="E938" s="6">
        <v>44783</v>
      </c>
      <c r="F938" t="s">
        <v>912</v>
      </c>
      <c r="G938">
        <v>85.87</v>
      </c>
      <c r="H938">
        <v>85.87</v>
      </c>
      <c r="I938" t="s">
        <v>263</v>
      </c>
      <c r="J938" t="s">
        <v>263</v>
      </c>
      <c r="L938" s="29">
        <v>1276000</v>
      </c>
      <c r="N938" s="29">
        <v>1276000</v>
      </c>
      <c r="O938" t="s">
        <v>264</v>
      </c>
      <c r="Q938" t="s">
        <v>264</v>
      </c>
      <c r="R938" t="s">
        <v>265</v>
      </c>
      <c r="S938">
        <v>14860</v>
      </c>
      <c r="T938" t="s">
        <v>266</v>
      </c>
      <c r="U938" t="s">
        <v>267</v>
      </c>
      <c r="V938" t="s">
        <v>427</v>
      </c>
      <c r="W938" t="s">
        <v>428</v>
      </c>
      <c r="X938">
        <v>1930274</v>
      </c>
      <c r="Y938" s="6">
        <v>44783</v>
      </c>
      <c r="Z938" t="s">
        <v>264</v>
      </c>
      <c r="AA938">
        <v>1</v>
      </c>
      <c r="AB938" t="s">
        <v>264</v>
      </c>
      <c r="AD938" t="s">
        <v>264</v>
      </c>
      <c r="AE938" t="s">
        <v>264</v>
      </c>
      <c r="AF938" t="s">
        <v>264</v>
      </c>
      <c r="AG938">
        <v>1</v>
      </c>
      <c r="AH938" t="s">
        <v>264</v>
      </c>
      <c r="AI938">
        <v>56165162</v>
      </c>
      <c r="AJ938" t="s">
        <v>912</v>
      </c>
      <c r="AL938" t="s">
        <v>264</v>
      </c>
      <c r="AM938" s="6">
        <v>44783</v>
      </c>
      <c r="AN938" t="s">
        <v>516</v>
      </c>
      <c r="AO938" t="s">
        <v>268</v>
      </c>
      <c r="AP938">
        <v>1201</v>
      </c>
      <c r="AQ938" t="s">
        <v>269</v>
      </c>
      <c r="AR938" t="s">
        <v>913</v>
      </c>
      <c r="AU938" t="s">
        <v>264</v>
      </c>
      <c r="AV938" t="s">
        <v>270</v>
      </c>
      <c r="AX938">
        <v>22002667</v>
      </c>
      <c r="AY938">
        <v>816130</v>
      </c>
      <c r="AZ938">
        <v>1201.8161299999999</v>
      </c>
      <c r="BA938" s="28" t="s">
        <v>91</v>
      </c>
    </row>
    <row r="939" spans="1:53">
      <c r="A939" t="s">
        <v>271</v>
      </c>
      <c r="B939" t="s">
        <v>272</v>
      </c>
      <c r="C939">
        <v>22010922</v>
      </c>
      <c r="D939">
        <v>1201</v>
      </c>
      <c r="E939" s="6">
        <v>44784</v>
      </c>
      <c r="F939" t="s">
        <v>914</v>
      </c>
      <c r="G939">
        <v>40.380000000000003</v>
      </c>
      <c r="H939">
        <v>40.380000000000003</v>
      </c>
      <c r="I939" t="s">
        <v>263</v>
      </c>
      <c r="J939" t="s">
        <v>263</v>
      </c>
      <c r="L939" s="29">
        <v>600000</v>
      </c>
      <c r="N939" s="29">
        <v>600000</v>
      </c>
      <c r="O939" t="s">
        <v>264</v>
      </c>
      <c r="Q939" t="s">
        <v>264</v>
      </c>
      <c r="R939" t="s">
        <v>265</v>
      </c>
      <c r="S939">
        <v>14860</v>
      </c>
      <c r="T939" t="s">
        <v>266</v>
      </c>
      <c r="U939" t="s">
        <v>267</v>
      </c>
      <c r="V939" t="s">
        <v>273</v>
      </c>
      <c r="W939" t="s">
        <v>274</v>
      </c>
      <c r="X939">
        <v>1930491</v>
      </c>
      <c r="Y939" s="6">
        <v>44784</v>
      </c>
      <c r="Z939" t="s">
        <v>264</v>
      </c>
      <c r="AA939">
        <v>1</v>
      </c>
      <c r="AB939" t="s">
        <v>264</v>
      </c>
      <c r="AD939" t="s">
        <v>264</v>
      </c>
      <c r="AE939" t="s">
        <v>264</v>
      </c>
      <c r="AF939" t="s">
        <v>264</v>
      </c>
      <c r="AG939">
        <v>1</v>
      </c>
      <c r="AH939" t="s">
        <v>264</v>
      </c>
      <c r="AI939">
        <v>56343301</v>
      </c>
      <c r="AJ939" t="s">
        <v>914</v>
      </c>
      <c r="AL939" t="s">
        <v>915</v>
      </c>
      <c r="AM939" s="6">
        <v>44761</v>
      </c>
      <c r="AN939" t="s">
        <v>275</v>
      </c>
      <c r="AO939" t="s">
        <v>268</v>
      </c>
      <c r="AP939">
        <v>1201</v>
      </c>
      <c r="AQ939" t="s">
        <v>269</v>
      </c>
      <c r="AR939" t="s">
        <v>916</v>
      </c>
      <c r="AU939" t="s">
        <v>264</v>
      </c>
      <c r="AV939" t="s">
        <v>270</v>
      </c>
      <c r="AX939">
        <v>22002725</v>
      </c>
      <c r="AY939">
        <v>816130</v>
      </c>
      <c r="AZ939">
        <v>1201.8161299999999</v>
      </c>
      <c r="BA939" s="28" t="s">
        <v>91</v>
      </c>
    </row>
    <row r="940" spans="1:53">
      <c r="A940" t="s">
        <v>271</v>
      </c>
      <c r="B940" t="s">
        <v>272</v>
      </c>
      <c r="C940">
        <v>22010923</v>
      </c>
      <c r="D940">
        <v>1201</v>
      </c>
      <c r="E940" s="6">
        <v>44784</v>
      </c>
      <c r="F940" t="s">
        <v>914</v>
      </c>
      <c r="G940">
        <v>40.380000000000003</v>
      </c>
      <c r="H940">
        <v>40.380000000000003</v>
      </c>
      <c r="I940" t="s">
        <v>263</v>
      </c>
      <c r="J940" t="s">
        <v>263</v>
      </c>
      <c r="L940" s="29">
        <v>600000</v>
      </c>
      <c r="N940" s="29">
        <v>600000</v>
      </c>
      <c r="O940" t="s">
        <v>264</v>
      </c>
      <c r="Q940" t="s">
        <v>264</v>
      </c>
      <c r="R940" t="s">
        <v>265</v>
      </c>
      <c r="S940">
        <v>14860</v>
      </c>
      <c r="T940" t="s">
        <v>266</v>
      </c>
      <c r="U940" t="s">
        <v>267</v>
      </c>
      <c r="V940" t="s">
        <v>273</v>
      </c>
      <c r="W940" t="s">
        <v>274</v>
      </c>
      <c r="X940">
        <v>1930491</v>
      </c>
      <c r="Y940" s="6">
        <v>44784</v>
      </c>
      <c r="Z940" t="s">
        <v>264</v>
      </c>
      <c r="AA940">
        <v>1</v>
      </c>
      <c r="AB940" t="s">
        <v>264</v>
      </c>
      <c r="AD940" t="s">
        <v>264</v>
      </c>
      <c r="AE940" t="s">
        <v>264</v>
      </c>
      <c r="AF940" t="s">
        <v>264</v>
      </c>
      <c r="AG940">
        <v>1</v>
      </c>
      <c r="AH940" t="s">
        <v>264</v>
      </c>
      <c r="AI940">
        <v>56343301</v>
      </c>
      <c r="AJ940" t="s">
        <v>914</v>
      </c>
      <c r="AL940" t="s">
        <v>917</v>
      </c>
      <c r="AM940" s="6">
        <v>44761</v>
      </c>
      <c r="AN940" t="s">
        <v>275</v>
      </c>
      <c r="AO940" t="s">
        <v>268</v>
      </c>
      <c r="AP940">
        <v>1201</v>
      </c>
      <c r="AQ940" t="s">
        <v>269</v>
      </c>
      <c r="AR940" t="s">
        <v>918</v>
      </c>
      <c r="AU940" t="s">
        <v>264</v>
      </c>
      <c r="AV940" t="s">
        <v>270</v>
      </c>
      <c r="AX940">
        <v>22002725</v>
      </c>
      <c r="AY940">
        <v>816130</v>
      </c>
      <c r="AZ940">
        <v>1201.8161299999999</v>
      </c>
      <c r="BA940" s="28" t="s">
        <v>91</v>
      </c>
    </row>
    <row r="941" spans="1:53">
      <c r="A941" t="s">
        <v>424</v>
      </c>
      <c r="B941" t="s">
        <v>425</v>
      </c>
      <c r="C941">
        <v>22010214</v>
      </c>
      <c r="D941">
        <v>1201</v>
      </c>
      <c r="E941" s="6">
        <v>44788</v>
      </c>
      <c r="F941" t="s">
        <v>901</v>
      </c>
      <c r="G941">
        <v>26.92</v>
      </c>
      <c r="H941">
        <v>26.92</v>
      </c>
      <c r="I941" t="s">
        <v>263</v>
      </c>
      <c r="J941" t="s">
        <v>263</v>
      </c>
      <c r="L941" s="29">
        <v>400000</v>
      </c>
      <c r="N941" s="29">
        <v>400000</v>
      </c>
      <c r="O941" t="s">
        <v>264</v>
      </c>
      <c r="Q941" t="s">
        <v>264</v>
      </c>
      <c r="R941" t="s">
        <v>265</v>
      </c>
      <c r="S941">
        <v>14860</v>
      </c>
      <c r="T941" t="s">
        <v>266</v>
      </c>
      <c r="U941" t="s">
        <v>267</v>
      </c>
      <c r="V941" t="s">
        <v>427</v>
      </c>
      <c r="W941" t="s">
        <v>428</v>
      </c>
      <c r="X941">
        <v>1933464</v>
      </c>
      <c r="Y941" s="6">
        <v>44791</v>
      </c>
      <c r="Z941" t="s">
        <v>264</v>
      </c>
      <c r="AA941">
        <v>1</v>
      </c>
      <c r="AB941" t="s">
        <v>264</v>
      </c>
      <c r="AD941" t="s">
        <v>264</v>
      </c>
      <c r="AE941" t="s">
        <v>264</v>
      </c>
      <c r="AF941" t="s">
        <v>264</v>
      </c>
      <c r="AG941">
        <v>4</v>
      </c>
      <c r="AH941" t="s">
        <v>264</v>
      </c>
      <c r="AI941">
        <v>55120333</v>
      </c>
      <c r="AJ941" t="s">
        <v>901</v>
      </c>
      <c r="AL941" t="s">
        <v>264</v>
      </c>
      <c r="AM941" s="6">
        <v>44788</v>
      </c>
      <c r="AN941" t="s">
        <v>907</v>
      </c>
      <c r="AO941" t="s">
        <v>268</v>
      </c>
      <c r="AP941">
        <v>1201</v>
      </c>
      <c r="AQ941" t="s">
        <v>269</v>
      </c>
      <c r="AR941" t="s">
        <v>919</v>
      </c>
      <c r="AU941" t="s">
        <v>264</v>
      </c>
      <c r="AV941" t="s">
        <v>270</v>
      </c>
      <c r="AX941">
        <v>22002760</v>
      </c>
      <c r="AY941">
        <v>816130</v>
      </c>
      <c r="AZ941">
        <v>1201.8161299999999</v>
      </c>
      <c r="BA941" s="28" t="s">
        <v>91</v>
      </c>
    </row>
    <row r="942" spans="1:53">
      <c r="A942" t="s">
        <v>424</v>
      </c>
      <c r="B942" t="s">
        <v>425</v>
      </c>
      <c r="C942">
        <v>22010455</v>
      </c>
      <c r="D942">
        <v>1201</v>
      </c>
      <c r="E942" s="6">
        <v>44797</v>
      </c>
      <c r="F942" t="s">
        <v>901</v>
      </c>
      <c r="G942">
        <v>40.380000000000003</v>
      </c>
      <c r="H942">
        <v>40.380000000000003</v>
      </c>
      <c r="I942" t="s">
        <v>263</v>
      </c>
      <c r="J942" t="s">
        <v>263</v>
      </c>
      <c r="L942" s="29">
        <v>600000</v>
      </c>
      <c r="N942" s="29">
        <v>600000</v>
      </c>
      <c r="O942" t="s">
        <v>264</v>
      </c>
      <c r="Q942" t="s">
        <v>264</v>
      </c>
      <c r="R942" t="s">
        <v>265</v>
      </c>
      <c r="S942">
        <v>14860</v>
      </c>
      <c r="T942" t="s">
        <v>266</v>
      </c>
      <c r="U942" t="s">
        <v>267</v>
      </c>
      <c r="V942" t="s">
        <v>427</v>
      </c>
      <c r="W942" t="s">
        <v>428</v>
      </c>
      <c r="X942">
        <v>1934626</v>
      </c>
      <c r="Y942" s="6">
        <v>44797</v>
      </c>
      <c r="Z942" t="s">
        <v>264</v>
      </c>
      <c r="AA942">
        <v>1</v>
      </c>
      <c r="AB942" t="s">
        <v>264</v>
      </c>
      <c r="AD942" t="s">
        <v>264</v>
      </c>
      <c r="AE942" t="s">
        <v>264</v>
      </c>
      <c r="AF942" t="s">
        <v>264</v>
      </c>
      <c r="AG942">
        <v>6</v>
      </c>
      <c r="AH942" t="s">
        <v>264</v>
      </c>
      <c r="AI942">
        <v>55120333</v>
      </c>
      <c r="AJ942" t="s">
        <v>901</v>
      </c>
      <c r="AL942" t="s">
        <v>264</v>
      </c>
      <c r="AM942" s="6">
        <v>44797</v>
      </c>
      <c r="AN942" t="s">
        <v>516</v>
      </c>
      <c r="AO942" t="s">
        <v>268</v>
      </c>
      <c r="AP942">
        <v>1201</v>
      </c>
      <c r="AQ942" t="s">
        <v>269</v>
      </c>
      <c r="AR942" t="s">
        <v>920</v>
      </c>
      <c r="AU942" t="s">
        <v>264</v>
      </c>
      <c r="AV942" t="s">
        <v>270</v>
      </c>
      <c r="AX942">
        <v>22002834</v>
      </c>
      <c r="AY942">
        <v>816130</v>
      </c>
      <c r="AZ942">
        <v>1201.8161299999999</v>
      </c>
      <c r="BA942" s="28" t="s">
        <v>91</v>
      </c>
    </row>
    <row r="943" spans="1:53">
      <c r="A943" t="s">
        <v>424</v>
      </c>
      <c r="B943" t="s">
        <v>425</v>
      </c>
      <c r="C943">
        <v>22010456</v>
      </c>
      <c r="D943">
        <v>1201</v>
      </c>
      <c r="E943" s="6">
        <v>44797</v>
      </c>
      <c r="F943" t="s">
        <v>904</v>
      </c>
      <c r="G943">
        <v>109.35</v>
      </c>
      <c r="H943">
        <v>109.35</v>
      </c>
      <c r="I943" t="s">
        <v>263</v>
      </c>
      <c r="J943" t="s">
        <v>263</v>
      </c>
      <c r="L943" s="29">
        <v>1625000</v>
      </c>
      <c r="N943" s="29">
        <v>1625000</v>
      </c>
      <c r="O943" t="s">
        <v>264</v>
      </c>
      <c r="Q943" t="s">
        <v>264</v>
      </c>
      <c r="R943" t="s">
        <v>265</v>
      </c>
      <c r="S943">
        <v>14860</v>
      </c>
      <c r="T943" t="s">
        <v>266</v>
      </c>
      <c r="U943" t="s">
        <v>267</v>
      </c>
      <c r="V943" t="s">
        <v>427</v>
      </c>
      <c r="W943" t="s">
        <v>428</v>
      </c>
      <c r="X943">
        <v>1934626</v>
      </c>
      <c r="Y943" s="6">
        <v>44797</v>
      </c>
      <c r="Z943" t="s">
        <v>264</v>
      </c>
      <c r="AA943">
        <v>1</v>
      </c>
      <c r="AB943" t="s">
        <v>264</v>
      </c>
      <c r="AD943" t="s">
        <v>264</v>
      </c>
      <c r="AE943" t="s">
        <v>264</v>
      </c>
      <c r="AF943" t="s">
        <v>264</v>
      </c>
      <c r="AG943">
        <v>11</v>
      </c>
      <c r="AH943" t="s">
        <v>264</v>
      </c>
      <c r="AI943">
        <v>55247019</v>
      </c>
      <c r="AJ943" t="s">
        <v>904</v>
      </c>
      <c r="AL943" t="s">
        <v>264</v>
      </c>
      <c r="AM943" s="6">
        <v>44797</v>
      </c>
      <c r="AN943" t="s">
        <v>516</v>
      </c>
      <c r="AO943" t="s">
        <v>268</v>
      </c>
      <c r="AP943">
        <v>1201</v>
      </c>
      <c r="AQ943" t="s">
        <v>269</v>
      </c>
      <c r="AR943" t="s">
        <v>921</v>
      </c>
      <c r="AU943" t="s">
        <v>264</v>
      </c>
      <c r="AV943" t="s">
        <v>270</v>
      </c>
      <c r="AX943">
        <v>22002792</v>
      </c>
      <c r="AY943">
        <v>816130</v>
      </c>
      <c r="AZ943">
        <v>1201.8161299999999</v>
      </c>
      <c r="BA943" s="28" t="s">
        <v>91</v>
      </c>
    </row>
    <row r="944" spans="1:53">
      <c r="A944" t="s">
        <v>271</v>
      </c>
      <c r="B944" t="s">
        <v>272</v>
      </c>
      <c r="C944">
        <v>22011520</v>
      </c>
      <c r="D944">
        <v>1201</v>
      </c>
      <c r="E944" s="6">
        <v>44797</v>
      </c>
      <c r="F944" t="s">
        <v>922</v>
      </c>
      <c r="G944">
        <v>117.09</v>
      </c>
      <c r="H944">
        <v>117.09</v>
      </c>
      <c r="I944" t="s">
        <v>263</v>
      </c>
      <c r="J944" t="s">
        <v>263</v>
      </c>
      <c r="L944" s="29">
        <v>1740000</v>
      </c>
      <c r="N944" s="29">
        <v>1740000</v>
      </c>
      <c r="O944" t="s">
        <v>264</v>
      </c>
      <c r="Q944" t="s">
        <v>264</v>
      </c>
      <c r="R944" t="s">
        <v>265</v>
      </c>
      <c r="S944">
        <v>14860</v>
      </c>
      <c r="T944" t="s">
        <v>266</v>
      </c>
      <c r="U944" t="s">
        <v>267</v>
      </c>
      <c r="V944" t="s">
        <v>273</v>
      </c>
      <c r="W944" t="s">
        <v>274</v>
      </c>
      <c r="X944">
        <v>1934615</v>
      </c>
      <c r="Y944" s="6">
        <v>44797</v>
      </c>
      <c r="Z944" t="s">
        <v>264</v>
      </c>
      <c r="AA944">
        <v>1</v>
      </c>
      <c r="AB944" t="s">
        <v>264</v>
      </c>
      <c r="AD944" t="s">
        <v>264</v>
      </c>
      <c r="AE944" t="s">
        <v>264</v>
      </c>
      <c r="AF944" t="s">
        <v>264</v>
      </c>
      <c r="AG944">
        <v>1</v>
      </c>
      <c r="AH944" t="s">
        <v>264</v>
      </c>
      <c r="AI944">
        <v>57341578</v>
      </c>
      <c r="AJ944" t="s">
        <v>922</v>
      </c>
      <c r="AL944" t="s">
        <v>923</v>
      </c>
      <c r="AM944" s="6">
        <v>44797</v>
      </c>
      <c r="AN944" t="s">
        <v>275</v>
      </c>
      <c r="AO944" t="s">
        <v>268</v>
      </c>
      <c r="AP944">
        <v>1201</v>
      </c>
      <c r="AQ944" t="s">
        <v>269</v>
      </c>
      <c r="AR944" t="s">
        <v>924</v>
      </c>
      <c r="AU944" t="s">
        <v>264</v>
      </c>
      <c r="AV944" t="s">
        <v>270</v>
      </c>
      <c r="AX944">
        <v>22002836</v>
      </c>
      <c r="AY944">
        <v>816130</v>
      </c>
      <c r="AZ944">
        <v>1201.8161299999999</v>
      </c>
      <c r="BA944" s="28" t="s">
        <v>91</v>
      </c>
    </row>
    <row r="945" spans="1:53">
      <c r="A945" t="s">
        <v>271</v>
      </c>
      <c r="B945" t="s">
        <v>272</v>
      </c>
      <c r="C945">
        <v>22011533</v>
      </c>
      <c r="D945">
        <v>1201</v>
      </c>
      <c r="E945" s="6">
        <v>44797</v>
      </c>
      <c r="F945" t="s">
        <v>925</v>
      </c>
      <c r="G945">
        <v>818.47</v>
      </c>
      <c r="H945">
        <v>818.47</v>
      </c>
      <c r="I945" t="s">
        <v>263</v>
      </c>
      <c r="J945" t="s">
        <v>263</v>
      </c>
      <c r="L945" s="29">
        <v>12162506.83</v>
      </c>
      <c r="N945" s="29">
        <v>12162506.83</v>
      </c>
      <c r="O945" t="s">
        <v>264</v>
      </c>
      <c r="Q945" t="s">
        <v>264</v>
      </c>
      <c r="R945" t="s">
        <v>265</v>
      </c>
      <c r="S945">
        <v>14860</v>
      </c>
      <c r="T945" t="s">
        <v>266</v>
      </c>
      <c r="U945" t="s">
        <v>267</v>
      </c>
      <c r="V945" t="s">
        <v>273</v>
      </c>
      <c r="W945" t="s">
        <v>274</v>
      </c>
      <c r="X945">
        <v>1934823</v>
      </c>
      <c r="Y945" s="6">
        <v>44797</v>
      </c>
      <c r="Z945" t="s">
        <v>264</v>
      </c>
      <c r="AA945">
        <v>1</v>
      </c>
      <c r="AB945" t="s">
        <v>264</v>
      </c>
      <c r="AD945" t="s">
        <v>264</v>
      </c>
      <c r="AE945" t="s">
        <v>264</v>
      </c>
      <c r="AF945" t="s">
        <v>264</v>
      </c>
      <c r="AG945">
        <v>1</v>
      </c>
      <c r="AH945" t="s">
        <v>264</v>
      </c>
      <c r="AI945">
        <v>57369351</v>
      </c>
      <c r="AJ945" t="s">
        <v>925</v>
      </c>
      <c r="AL945" t="s">
        <v>926</v>
      </c>
      <c r="AM945" s="6">
        <v>44797</v>
      </c>
      <c r="AN945" t="s">
        <v>275</v>
      </c>
      <c r="AO945" t="s">
        <v>268</v>
      </c>
      <c r="AP945">
        <v>1201</v>
      </c>
      <c r="AQ945" t="s">
        <v>269</v>
      </c>
      <c r="AR945" t="s">
        <v>926</v>
      </c>
      <c r="AU945" t="s">
        <v>264</v>
      </c>
      <c r="AV945" t="s">
        <v>270</v>
      </c>
      <c r="AX945">
        <v>22002843</v>
      </c>
      <c r="AY945">
        <v>816130</v>
      </c>
      <c r="AZ945">
        <v>1201.8161299999999</v>
      </c>
      <c r="BA945" s="28" t="s">
        <v>91</v>
      </c>
    </row>
    <row r="946" spans="1:53">
      <c r="A946" t="s">
        <v>271</v>
      </c>
      <c r="B946" t="s">
        <v>272</v>
      </c>
      <c r="C946">
        <v>22011550</v>
      </c>
      <c r="D946">
        <v>1201</v>
      </c>
      <c r="E946" s="6">
        <v>44799</v>
      </c>
      <c r="F946" t="s">
        <v>927</v>
      </c>
      <c r="G946">
        <v>202.11</v>
      </c>
      <c r="H946">
        <v>202.11</v>
      </c>
      <c r="I946" t="s">
        <v>263</v>
      </c>
      <c r="J946" t="s">
        <v>263</v>
      </c>
      <c r="L946" s="29">
        <v>3003314</v>
      </c>
      <c r="N946" s="29">
        <v>3003314</v>
      </c>
      <c r="O946" t="s">
        <v>264</v>
      </c>
      <c r="Q946" t="s">
        <v>264</v>
      </c>
      <c r="R946" t="s">
        <v>265</v>
      </c>
      <c r="S946">
        <v>14860</v>
      </c>
      <c r="T946" t="s">
        <v>266</v>
      </c>
      <c r="U946" t="s">
        <v>267</v>
      </c>
      <c r="V946" t="s">
        <v>273</v>
      </c>
      <c r="W946" t="s">
        <v>274</v>
      </c>
      <c r="X946">
        <v>1935354</v>
      </c>
      <c r="Y946" s="6">
        <v>44799</v>
      </c>
      <c r="Z946" t="s">
        <v>264</v>
      </c>
      <c r="AA946">
        <v>1</v>
      </c>
      <c r="AB946" t="s">
        <v>264</v>
      </c>
      <c r="AD946" t="s">
        <v>264</v>
      </c>
      <c r="AE946" t="s">
        <v>264</v>
      </c>
      <c r="AF946" t="s">
        <v>264</v>
      </c>
      <c r="AG946">
        <v>1</v>
      </c>
      <c r="AH946" t="s">
        <v>264</v>
      </c>
      <c r="AI946">
        <v>57311619</v>
      </c>
      <c r="AJ946" t="s">
        <v>927</v>
      </c>
      <c r="AL946" t="s">
        <v>928</v>
      </c>
      <c r="AM946" s="6">
        <v>44797</v>
      </c>
      <c r="AN946" t="s">
        <v>275</v>
      </c>
      <c r="AO946" t="s">
        <v>268</v>
      </c>
      <c r="AP946">
        <v>1201</v>
      </c>
      <c r="AQ946" t="s">
        <v>269</v>
      </c>
      <c r="AR946" t="s">
        <v>929</v>
      </c>
      <c r="AU946" t="s">
        <v>264</v>
      </c>
      <c r="AV946" t="s">
        <v>270</v>
      </c>
      <c r="AX946">
        <v>22002852</v>
      </c>
      <c r="AY946">
        <v>816130</v>
      </c>
      <c r="AZ946">
        <v>1201.8161299999999</v>
      </c>
      <c r="BA946" s="28" t="s">
        <v>91</v>
      </c>
    </row>
    <row r="947" spans="1:53">
      <c r="A947" t="s">
        <v>424</v>
      </c>
      <c r="B947" t="s">
        <v>425</v>
      </c>
      <c r="C947">
        <v>22003413</v>
      </c>
      <c r="D947">
        <v>1204</v>
      </c>
      <c r="E947" s="6">
        <v>44777</v>
      </c>
      <c r="F947" t="s">
        <v>930</v>
      </c>
      <c r="G947">
        <v>3.77</v>
      </c>
      <c r="H947">
        <v>3.77</v>
      </c>
      <c r="I947" t="s">
        <v>263</v>
      </c>
      <c r="J947" t="s">
        <v>263</v>
      </c>
      <c r="L947" s="29">
        <v>56000</v>
      </c>
      <c r="N947" s="29">
        <v>56000</v>
      </c>
      <c r="O947" t="s">
        <v>264</v>
      </c>
      <c r="Q947" t="s">
        <v>264</v>
      </c>
      <c r="R947" t="s">
        <v>265</v>
      </c>
      <c r="S947">
        <v>14860</v>
      </c>
      <c r="T947" t="s">
        <v>266</v>
      </c>
      <c r="U947" t="s">
        <v>267</v>
      </c>
      <c r="V947" t="s">
        <v>427</v>
      </c>
      <c r="W947" t="s">
        <v>428</v>
      </c>
      <c r="X947">
        <v>1927107</v>
      </c>
      <c r="Y947" s="6">
        <v>44777</v>
      </c>
      <c r="Z947" t="s">
        <v>264</v>
      </c>
      <c r="AA947">
        <v>1</v>
      </c>
      <c r="AB947" t="s">
        <v>264</v>
      </c>
      <c r="AD947" t="s">
        <v>264</v>
      </c>
      <c r="AE947" t="s">
        <v>264</v>
      </c>
      <c r="AF947" t="s">
        <v>264</v>
      </c>
      <c r="AG947">
        <v>2</v>
      </c>
      <c r="AH947" t="s">
        <v>264</v>
      </c>
      <c r="AI947">
        <v>57082431</v>
      </c>
      <c r="AJ947" t="s">
        <v>930</v>
      </c>
      <c r="AL947" t="s">
        <v>264</v>
      </c>
      <c r="AM947" s="6">
        <v>44777</v>
      </c>
      <c r="AN947" t="s">
        <v>931</v>
      </c>
      <c r="AO947" t="s">
        <v>268</v>
      </c>
      <c r="AP947">
        <v>1204</v>
      </c>
      <c r="AQ947" t="s">
        <v>269</v>
      </c>
      <c r="AR947" t="s">
        <v>932</v>
      </c>
      <c r="AU947" t="s">
        <v>264</v>
      </c>
      <c r="AV947" t="s">
        <v>270</v>
      </c>
      <c r="AX947">
        <v>22001356</v>
      </c>
      <c r="AY947">
        <v>816130</v>
      </c>
      <c r="AZ947">
        <v>1204.8161299999999</v>
      </c>
      <c r="BA947" s="28" t="s">
        <v>235</v>
      </c>
    </row>
    <row r="948" spans="1:53">
      <c r="A948" t="s">
        <v>271</v>
      </c>
      <c r="B948" t="s">
        <v>272</v>
      </c>
      <c r="C948">
        <v>22002784</v>
      </c>
      <c r="D948">
        <v>1204</v>
      </c>
      <c r="E948" s="6">
        <v>44777</v>
      </c>
      <c r="F948" t="s">
        <v>901</v>
      </c>
      <c r="G948">
        <v>0.08</v>
      </c>
      <c r="H948">
        <v>0.08</v>
      </c>
      <c r="I948" t="s">
        <v>263</v>
      </c>
      <c r="J948" t="s">
        <v>263</v>
      </c>
      <c r="O948" t="s">
        <v>264</v>
      </c>
      <c r="Q948" t="s">
        <v>264</v>
      </c>
      <c r="R948" t="s">
        <v>265</v>
      </c>
      <c r="S948">
        <v>14860</v>
      </c>
      <c r="T948" t="s">
        <v>266</v>
      </c>
      <c r="U948" t="s">
        <v>267</v>
      </c>
      <c r="V948" t="s">
        <v>273</v>
      </c>
      <c r="W948" t="s">
        <v>274</v>
      </c>
      <c r="X948">
        <v>1927150</v>
      </c>
      <c r="Y948" s="6">
        <v>44777</v>
      </c>
      <c r="Z948" t="s">
        <v>264</v>
      </c>
      <c r="AA948">
        <v>2</v>
      </c>
      <c r="AB948" t="s">
        <v>264</v>
      </c>
      <c r="AD948" t="s">
        <v>264</v>
      </c>
      <c r="AE948" t="s">
        <v>264</v>
      </c>
      <c r="AF948" t="s">
        <v>264</v>
      </c>
      <c r="AH948" t="s">
        <v>264</v>
      </c>
      <c r="AI948">
        <v>55120333</v>
      </c>
      <c r="AJ948" t="s">
        <v>901</v>
      </c>
      <c r="AL948" t="s">
        <v>933</v>
      </c>
      <c r="AM948" s="6">
        <v>44761</v>
      </c>
      <c r="AN948" t="s">
        <v>275</v>
      </c>
      <c r="AO948" t="s">
        <v>268</v>
      </c>
      <c r="AP948">
        <v>1204</v>
      </c>
      <c r="AQ948" t="s">
        <v>269</v>
      </c>
      <c r="AR948" t="s">
        <v>934</v>
      </c>
      <c r="AU948" t="s">
        <v>264</v>
      </c>
      <c r="AV948" t="s">
        <v>270</v>
      </c>
      <c r="AX948">
        <v>22001311</v>
      </c>
      <c r="AY948">
        <v>816130</v>
      </c>
      <c r="AZ948">
        <v>1204.8161299999999</v>
      </c>
      <c r="BA948" s="28" t="s">
        <v>235</v>
      </c>
    </row>
    <row r="949" spans="1:53">
      <c r="A949" t="s">
        <v>384</v>
      </c>
      <c r="B949" t="s">
        <v>385</v>
      </c>
      <c r="C949">
        <v>22001294</v>
      </c>
      <c r="D949">
        <v>1204</v>
      </c>
      <c r="E949" s="6">
        <v>44782</v>
      </c>
      <c r="F949" t="s">
        <v>92</v>
      </c>
      <c r="G949">
        <v>465.9</v>
      </c>
      <c r="H949">
        <v>465.9</v>
      </c>
      <c r="I949" t="s">
        <v>263</v>
      </c>
      <c r="J949" t="s">
        <v>263</v>
      </c>
      <c r="L949" s="29">
        <v>6923300</v>
      </c>
      <c r="N949" s="29">
        <v>6923300</v>
      </c>
      <c r="O949" t="s">
        <v>264</v>
      </c>
      <c r="Q949" t="s">
        <v>264</v>
      </c>
      <c r="R949" t="s">
        <v>265</v>
      </c>
      <c r="S949">
        <v>14860</v>
      </c>
      <c r="T949" t="s">
        <v>266</v>
      </c>
      <c r="U949" t="s">
        <v>267</v>
      </c>
      <c r="V949" t="s">
        <v>386</v>
      </c>
      <c r="W949" t="s">
        <v>387</v>
      </c>
      <c r="X949">
        <v>1929267</v>
      </c>
      <c r="Y949" s="6">
        <v>44782</v>
      </c>
      <c r="Z949" t="s">
        <v>264</v>
      </c>
      <c r="AA949">
        <v>1</v>
      </c>
      <c r="AB949" t="s">
        <v>264</v>
      </c>
      <c r="AD949" t="s">
        <v>264</v>
      </c>
      <c r="AE949" t="s">
        <v>264</v>
      </c>
      <c r="AF949" t="s">
        <v>264</v>
      </c>
      <c r="AH949" t="s">
        <v>264</v>
      </c>
      <c r="AL949" t="s">
        <v>264</v>
      </c>
      <c r="AM949" s="6">
        <v>44782</v>
      </c>
      <c r="AN949" t="s">
        <v>614</v>
      </c>
      <c r="AO949" t="s">
        <v>268</v>
      </c>
      <c r="AP949">
        <v>1204</v>
      </c>
      <c r="AQ949" t="s">
        <v>269</v>
      </c>
      <c r="AR949" t="s">
        <v>935</v>
      </c>
      <c r="AU949" t="s">
        <v>264</v>
      </c>
      <c r="AV949" t="s">
        <v>270</v>
      </c>
      <c r="AX949" t="s">
        <v>264</v>
      </c>
      <c r="AY949">
        <v>816130</v>
      </c>
      <c r="AZ949">
        <v>1204.8161299999999</v>
      </c>
      <c r="BA949" s="28" t="s">
        <v>235</v>
      </c>
    </row>
    <row r="950" spans="1:53">
      <c r="A950" t="s">
        <v>271</v>
      </c>
      <c r="B950" t="s">
        <v>272</v>
      </c>
      <c r="C950">
        <v>22002879</v>
      </c>
      <c r="D950">
        <v>1204</v>
      </c>
      <c r="E950" s="6">
        <v>44783</v>
      </c>
      <c r="F950" t="s">
        <v>912</v>
      </c>
      <c r="G950">
        <v>85.87</v>
      </c>
      <c r="H950">
        <v>85.87</v>
      </c>
      <c r="I950" t="s">
        <v>263</v>
      </c>
      <c r="J950" t="s">
        <v>263</v>
      </c>
      <c r="L950" s="29">
        <v>1276000</v>
      </c>
      <c r="N950" s="29">
        <v>1276000</v>
      </c>
      <c r="O950" t="s">
        <v>264</v>
      </c>
      <c r="Q950" t="s">
        <v>264</v>
      </c>
      <c r="R950" t="s">
        <v>265</v>
      </c>
      <c r="S950">
        <v>14860</v>
      </c>
      <c r="T950" t="s">
        <v>266</v>
      </c>
      <c r="U950" t="s">
        <v>267</v>
      </c>
      <c r="V950" t="s">
        <v>273</v>
      </c>
      <c r="W950" t="s">
        <v>274</v>
      </c>
      <c r="X950">
        <v>1934280</v>
      </c>
      <c r="Y950" s="6">
        <v>44795</v>
      </c>
      <c r="Z950" t="s">
        <v>264</v>
      </c>
      <c r="AA950">
        <v>1</v>
      </c>
      <c r="AB950" t="s">
        <v>264</v>
      </c>
      <c r="AD950" t="s">
        <v>264</v>
      </c>
      <c r="AE950" t="s">
        <v>264</v>
      </c>
      <c r="AF950" t="s">
        <v>264</v>
      </c>
      <c r="AG950">
        <v>1</v>
      </c>
      <c r="AH950" t="s">
        <v>264</v>
      </c>
      <c r="AI950">
        <v>56165162</v>
      </c>
      <c r="AJ950" t="s">
        <v>912</v>
      </c>
      <c r="AL950" t="s">
        <v>936</v>
      </c>
      <c r="AM950" s="6">
        <v>44783</v>
      </c>
      <c r="AN950" t="s">
        <v>388</v>
      </c>
      <c r="AO950" t="s">
        <v>268</v>
      </c>
      <c r="AP950">
        <v>1204</v>
      </c>
      <c r="AQ950" t="s">
        <v>269</v>
      </c>
      <c r="AR950" t="s">
        <v>913</v>
      </c>
      <c r="AU950" t="s">
        <v>264</v>
      </c>
      <c r="AV950" t="s">
        <v>270</v>
      </c>
      <c r="AX950">
        <v>22001406</v>
      </c>
      <c r="AY950">
        <v>816130</v>
      </c>
      <c r="AZ950">
        <v>1204.8161299999999</v>
      </c>
      <c r="BA950" s="28" t="s">
        <v>235</v>
      </c>
    </row>
    <row r="951" spans="1:53">
      <c r="A951" t="s">
        <v>271</v>
      </c>
      <c r="B951" t="s">
        <v>272</v>
      </c>
      <c r="C951">
        <v>22002825</v>
      </c>
      <c r="D951">
        <v>1204</v>
      </c>
      <c r="E951" s="6">
        <v>44784</v>
      </c>
      <c r="F951" t="s">
        <v>914</v>
      </c>
      <c r="G951">
        <v>43.74</v>
      </c>
      <c r="H951">
        <v>43.74</v>
      </c>
      <c r="I951" t="s">
        <v>263</v>
      </c>
      <c r="J951" t="s">
        <v>263</v>
      </c>
      <c r="L951" s="29">
        <v>650000</v>
      </c>
      <c r="N951" s="29">
        <v>650000</v>
      </c>
      <c r="O951" t="s">
        <v>264</v>
      </c>
      <c r="Q951" t="s">
        <v>264</v>
      </c>
      <c r="R951" t="s">
        <v>265</v>
      </c>
      <c r="S951">
        <v>14860</v>
      </c>
      <c r="T951" t="s">
        <v>266</v>
      </c>
      <c r="U951" t="s">
        <v>267</v>
      </c>
      <c r="V951" t="s">
        <v>273</v>
      </c>
      <c r="W951" t="s">
        <v>274</v>
      </c>
      <c r="X951">
        <v>1930488</v>
      </c>
      <c r="Y951" s="6">
        <v>44784</v>
      </c>
      <c r="Z951" t="s">
        <v>264</v>
      </c>
      <c r="AA951">
        <v>1</v>
      </c>
      <c r="AB951" t="s">
        <v>264</v>
      </c>
      <c r="AD951" t="s">
        <v>264</v>
      </c>
      <c r="AE951" t="s">
        <v>264</v>
      </c>
      <c r="AF951" t="s">
        <v>264</v>
      </c>
      <c r="AG951">
        <v>1</v>
      </c>
      <c r="AH951" t="s">
        <v>264</v>
      </c>
      <c r="AI951">
        <v>56343301</v>
      </c>
      <c r="AJ951" t="s">
        <v>914</v>
      </c>
      <c r="AL951" t="s">
        <v>937</v>
      </c>
      <c r="AM951" s="6">
        <v>44749</v>
      </c>
      <c r="AN951" t="s">
        <v>275</v>
      </c>
      <c r="AO951" t="s">
        <v>268</v>
      </c>
      <c r="AP951">
        <v>1204</v>
      </c>
      <c r="AQ951" t="s">
        <v>269</v>
      </c>
      <c r="AR951" t="s">
        <v>938</v>
      </c>
      <c r="AU951" t="s">
        <v>264</v>
      </c>
      <c r="AV951" t="s">
        <v>270</v>
      </c>
      <c r="AX951">
        <v>22001375</v>
      </c>
      <c r="AY951">
        <v>816130</v>
      </c>
      <c r="AZ951">
        <v>1204.8161299999999</v>
      </c>
      <c r="BA951" s="28" t="s">
        <v>235</v>
      </c>
    </row>
    <row r="952" spans="1:53">
      <c r="A952" t="s">
        <v>271</v>
      </c>
      <c r="B952" t="s">
        <v>272</v>
      </c>
      <c r="C952">
        <v>22002895</v>
      </c>
      <c r="D952">
        <v>1204</v>
      </c>
      <c r="E952" s="6">
        <v>44789</v>
      </c>
      <c r="F952" t="s">
        <v>939</v>
      </c>
      <c r="G952">
        <v>292.73</v>
      </c>
      <c r="H952">
        <v>292.73</v>
      </c>
      <c r="I952" t="s">
        <v>263</v>
      </c>
      <c r="J952" t="s">
        <v>263</v>
      </c>
      <c r="L952" s="29">
        <v>4350000</v>
      </c>
      <c r="N952" s="29">
        <v>4350000</v>
      </c>
      <c r="O952" t="s">
        <v>264</v>
      </c>
      <c r="Q952" t="s">
        <v>264</v>
      </c>
      <c r="R952" t="s">
        <v>265</v>
      </c>
      <c r="S952">
        <v>14860</v>
      </c>
      <c r="T952" t="s">
        <v>266</v>
      </c>
      <c r="U952" t="s">
        <v>267</v>
      </c>
      <c r="V952" t="s">
        <v>273</v>
      </c>
      <c r="W952" t="s">
        <v>274</v>
      </c>
      <c r="X952">
        <v>1934718</v>
      </c>
      <c r="Y952" s="6">
        <v>44797</v>
      </c>
      <c r="Z952" t="s">
        <v>264</v>
      </c>
      <c r="AA952">
        <v>1</v>
      </c>
      <c r="AB952" t="s">
        <v>264</v>
      </c>
      <c r="AD952" t="s">
        <v>264</v>
      </c>
      <c r="AE952" t="s">
        <v>264</v>
      </c>
      <c r="AF952" t="s">
        <v>264</v>
      </c>
      <c r="AG952">
        <v>1</v>
      </c>
      <c r="AH952" t="s">
        <v>264</v>
      </c>
      <c r="AI952">
        <v>55833077</v>
      </c>
      <c r="AJ952" t="s">
        <v>939</v>
      </c>
      <c r="AL952" t="s">
        <v>940</v>
      </c>
      <c r="AM952" s="6">
        <v>44789</v>
      </c>
      <c r="AN952" t="s">
        <v>275</v>
      </c>
      <c r="AO952" t="s">
        <v>268</v>
      </c>
      <c r="AP952">
        <v>1204</v>
      </c>
      <c r="AQ952" t="s">
        <v>269</v>
      </c>
      <c r="AR952" t="s">
        <v>941</v>
      </c>
      <c r="AU952" t="s">
        <v>264</v>
      </c>
      <c r="AV952" t="s">
        <v>270</v>
      </c>
      <c r="AX952">
        <v>22001396</v>
      </c>
      <c r="AY952">
        <v>816130</v>
      </c>
      <c r="AZ952">
        <v>1204.8161299999999</v>
      </c>
      <c r="BA952" s="28" t="s">
        <v>235</v>
      </c>
    </row>
    <row r="953" spans="1:53">
      <c r="A953" t="s">
        <v>424</v>
      </c>
      <c r="B953" t="s">
        <v>425</v>
      </c>
      <c r="C953">
        <v>22003584</v>
      </c>
      <c r="D953">
        <v>1204</v>
      </c>
      <c r="E953" s="6">
        <v>44792</v>
      </c>
      <c r="F953" t="s">
        <v>930</v>
      </c>
      <c r="G953">
        <v>47.11</v>
      </c>
      <c r="H953">
        <v>47.11</v>
      </c>
      <c r="I953" t="s">
        <v>263</v>
      </c>
      <c r="J953" t="s">
        <v>263</v>
      </c>
      <c r="L953" s="29">
        <v>700000</v>
      </c>
      <c r="N953" s="29">
        <v>700000</v>
      </c>
      <c r="O953" t="s">
        <v>264</v>
      </c>
      <c r="Q953" t="s">
        <v>264</v>
      </c>
      <c r="R953" t="s">
        <v>265</v>
      </c>
      <c r="S953">
        <v>14860</v>
      </c>
      <c r="T953" t="s">
        <v>266</v>
      </c>
      <c r="U953" t="s">
        <v>267</v>
      </c>
      <c r="V953" t="s">
        <v>427</v>
      </c>
      <c r="W953" t="s">
        <v>428</v>
      </c>
      <c r="X953">
        <v>1933577</v>
      </c>
      <c r="Y953" s="6">
        <v>44792</v>
      </c>
      <c r="Z953" t="s">
        <v>264</v>
      </c>
      <c r="AA953">
        <v>1</v>
      </c>
      <c r="AB953" t="s">
        <v>264</v>
      </c>
      <c r="AD953" t="s">
        <v>264</v>
      </c>
      <c r="AE953" t="s">
        <v>264</v>
      </c>
      <c r="AF953" t="s">
        <v>264</v>
      </c>
      <c r="AG953">
        <v>25</v>
      </c>
      <c r="AH953" t="s">
        <v>264</v>
      </c>
      <c r="AI953">
        <v>57082431</v>
      </c>
      <c r="AJ953" t="s">
        <v>930</v>
      </c>
      <c r="AL953" t="s">
        <v>264</v>
      </c>
      <c r="AM953" s="6">
        <v>44792</v>
      </c>
      <c r="AN953" t="s">
        <v>931</v>
      </c>
      <c r="AO953" t="s">
        <v>268</v>
      </c>
      <c r="AP953">
        <v>1204</v>
      </c>
      <c r="AQ953" t="s">
        <v>269</v>
      </c>
      <c r="AR953" t="s">
        <v>932</v>
      </c>
      <c r="AU953" t="s">
        <v>264</v>
      </c>
      <c r="AV953" t="s">
        <v>270</v>
      </c>
      <c r="AX953">
        <v>22001366</v>
      </c>
      <c r="AY953">
        <v>816130</v>
      </c>
      <c r="AZ953">
        <v>1204.8161299999999</v>
      </c>
      <c r="BA953" s="28" t="s">
        <v>235</v>
      </c>
    </row>
    <row r="954" spans="1:53">
      <c r="A954" t="s">
        <v>271</v>
      </c>
      <c r="B954" t="s">
        <v>272</v>
      </c>
      <c r="C954">
        <v>22002896</v>
      </c>
      <c r="D954">
        <v>1204</v>
      </c>
      <c r="E954" s="6">
        <v>44797</v>
      </c>
      <c r="F954" t="s">
        <v>925</v>
      </c>
      <c r="G954">
        <v>409.24</v>
      </c>
      <c r="H954">
        <v>409.24</v>
      </c>
      <c r="I954" t="s">
        <v>263</v>
      </c>
      <c r="J954" t="s">
        <v>263</v>
      </c>
      <c r="L954" s="29">
        <v>6081248</v>
      </c>
      <c r="N954" s="29">
        <v>6081248</v>
      </c>
      <c r="O954" t="s">
        <v>264</v>
      </c>
      <c r="Q954" t="s">
        <v>264</v>
      </c>
      <c r="R954" t="s">
        <v>265</v>
      </c>
      <c r="S954">
        <v>14860</v>
      </c>
      <c r="T954" t="s">
        <v>266</v>
      </c>
      <c r="U954" t="s">
        <v>267</v>
      </c>
      <c r="V954" t="s">
        <v>273</v>
      </c>
      <c r="W954" t="s">
        <v>274</v>
      </c>
      <c r="X954">
        <v>1934829</v>
      </c>
      <c r="Y954" s="6">
        <v>44797</v>
      </c>
      <c r="Z954" t="s">
        <v>264</v>
      </c>
      <c r="AA954">
        <v>1</v>
      </c>
      <c r="AB954" t="s">
        <v>264</v>
      </c>
      <c r="AD954" t="s">
        <v>264</v>
      </c>
      <c r="AE954" t="s">
        <v>264</v>
      </c>
      <c r="AF954" t="s">
        <v>264</v>
      </c>
      <c r="AG954">
        <v>1</v>
      </c>
      <c r="AH954" t="s">
        <v>264</v>
      </c>
      <c r="AI954">
        <v>57369351</v>
      </c>
      <c r="AJ954" t="s">
        <v>925</v>
      </c>
      <c r="AL954" t="s">
        <v>942</v>
      </c>
      <c r="AM954" s="6">
        <v>44797</v>
      </c>
      <c r="AN954" t="s">
        <v>275</v>
      </c>
      <c r="AO954" t="s">
        <v>268</v>
      </c>
      <c r="AP954">
        <v>1204</v>
      </c>
      <c r="AQ954" t="s">
        <v>269</v>
      </c>
      <c r="AR954" t="s">
        <v>942</v>
      </c>
      <c r="AU954" t="s">
        <v>264</v>
      </c>
      <c r="AV954" t="s">
        <v>270</v>
      </c>
      <c r="AX954">
        <v>22001412</v>
      </c>
      <c r="AY954">
        <v>816130</v>
      </c>
      <c r="AZ954">
        <v>1204.8161299999999</v>
      </c>
      <c r="BA954" s="28" t="s">
        <v>235</v>
      </c>
    </row>
    <row r="955" spans="1:53">
      <c r="A955" t="s">
        <v>424</v>
      </c>
      <c r="B955" t="s">
        <v>425</v>
      </c>
      <c r="C955">
        <v>22004290</v>
      </c>
      <c r="D955">
        <v>1205</v>
      </c>
      <c r="E955" s="6">
        <v>44781</v>
      </c>
      <c r="F955" t="s">
        <v>904</v>
      </c>
      <c r="G955">
        <v>205.25</v>
      </c>
      <c r="H955">
        <v>205.25</v>
      </c>
      <c r="I955" t="s">
        <v>263</v>
      </c>
      <c r="J955" t="s">
        <v>263</v>
      </c>
      <c r="L955" s="29">
        <v>3050000</v>
      </c>
      <c r="N955" s="29">
        <v>3050000</v>
      </c>
      <c r="O955" t="s">
        <v>264</v>
      </c>
      <c r="Q955" t="s">
        <v>264</v>
      </c>
      <c r="R955" t="s">
        <v>265</v>
      </c>
      <c r="S955">
        <v>14860</v>
      </c>
      <c r="T955" t="s">
        <v>266</v>
      </c>
      <c r="U955" t="s">
        <v>267</v>
      </c>
      <c r="V955" t="s">
        <v>427</v>
      </c>
      <c r="W955" t="s">
        <v>428</v>
      </c>
      <c r="X955">
        <v>1928910</v>
      </c>
      <c r="Y955" s="6">
        <v>44781</v>
      </c>
      <c r="Z955" t="s">
        <v>264</v>
      </c>
      <c r="AA955">
        <v>5</v>
      </c>
      <c r="AB955" t="s">
        <v>264</v>
      </c>
      <c r="AD955" t="s">
        <v>264</v>
      </c>
      <c r="AE955" t="s">
        <v>264</v>
      </c>
      <c r="AF955" t="s">
        <v>264</v>
      </c>
      <c r="AG955">
        <v>5</v>
      </c>
      <c r="AH955" t="s">
        <v>264</v>
      </c>
      <c r="AI955">
        <v>55247019</v>
      </c>
      <c r="AJ955" t="s">
        <v>904</v>
      </c>
      <c r="AL955" t="s">
        <v>264</v>
      </c>
      <c r="AM955" s="6">
        <v>44781</v>
      </c>
      <c r="AN955" t="s">
        <v>497</v>
      </c>
      <c r="AO955" t="s">
        <v>268</v>
      </c>
      <c r="AP955">
        <v>1205</v>
      </c>
      <c r="AQ955" t="s">
        <v>269</v>
      </c>
      <c r="AR955" t="s">
        <v>943</v>
      </c>
      <c r="AU955" t="s">
        <v>264</v>
      </c>
      <c r="AV955" t="s">
        <v>270</v>
      </c>
      <c r="AX955">
        <v>22001343</v>
      </c>
      <c r="AY955">
        <v>816130</v>
      </c>
      <c r="AZ955">
        <v>1205.8161299999999</v>
      </c>
      <c r="BA955" s="28" t="s">
        <v>236</v>
      </c>
    </row>
    <row r="956" spans="1:53">
      <c r="A956" t="s">
        <v>424</v>
      </c>
      <c r="B956" t="s">
        <v>425</v>
      </c>
      <c r="C956">
        <v>22004390</v>
      </c>
      <c r="D956">
        <v>1205</v>
      </c>
      <c r="E956" s="6">
        <v>44783</v>
      </c>
      <c r="F956" t="s">
        <v>901</v>
      </c>
      <c r="G956">
        <v>13.46</v>
      </c>
      <c r="H956">
        <v>13.46</v>
      </c>
      <c r="I956" t="s">
        <v>263</v>
      </c>
      <c r="J956" t="s">
        <v>263</v>
      </c>
      <c r="L956" s="29">
        <v>200000</v>
      </c>
      <c r="N956" s="29">
        <v>200000</v>
      </c>
      <c r="O956" t="s">
        <v>264</v>
      </c>
      <c r="Q956" t="s">
        <v>264</v>
      </c>
      <c r="R956" t="s">
        <v>265</v>
      </c>
      <c r="S956">
        <v>14860</v>
      </c>
      <c r="T956" t="s">
        <v>266</v>
      </c>
      <c r="U956" t="s">
        <v>267</v>
      </c>
      <c r="V956" t="s">
        <v>427</v>
      </c>
      <c r="W956" t="s">
        <v>428</v>
      </c>
      <c r="X956">
        <v>1930266</v>
      </c>
      <c r="Y956" s="6">
        <v>44783</v>
      </c>
      <c r="Z956" t="s">
        <v>264</v>
      </c>
      <c r="AA956">
        <v>1</v>
      </c>
      <c r="AB956" t="s">
        <v>264</v>
      </c>
      <c r="AD956" t="s">
        <v>264</v>
      </c>
      <c r="AE956" t="s">
        <v>264</v>
      </c>
      <c r="AF956" t="s">
        <v>264</v>
      </c>
      <c r="AG956">
        <v>4</v>
      </c>
      <c r="AH956" t="s">
        <v>264</v>
      </c>
      <c r="AI956">
        <v>55120333</v>
      </c>
      <c r="AJ956" t="s">
        <v>901</v>
      </c>
      <c r="AL956" t="s">
        <v>264</v>
      </c>
      <c r="AM956" s="6">
        <v>44783</v>
      </c>
      <c r="AN956" t="s">
        <v>497</v>
      </c>
      <c r="AO956" t="s">
        <v>268</v>
      </c>
      <c r="AP956">
        <v>1205</v>
      </c>
      <c r="AQ956" t="s">
        <v>269</v>
      </c>
      <c r="AR956" t="s">
        <v>944</v>
      </c>
      <c r="AU956" t="s">
        <v>264</v>
      </c>
      <c r="AV956" t="s">
        <v>270</v>
      </c>
      <c r="AX956">
        <v>22001342</v>
      </c>
      <c r="AY956">
        <v>816130</v>
      </c>
      <c r="AZ956">
        <v>1205.8161299999999</v>
      </c>
      <c r="BA956" s="28" t="s">
        <v>236</v>
      </c>
    </row>
    <row r="957" spans="1:53">
      <c r="A957" t="s">
        <v>424</v>
      </c>
      <c r="B957" t="s">
        <v>425</v>
      </c>
      <c r="C957">
        <v>22004391</v>
      </c>
      <c r="D957">
        <v>1205</v>
      </c>
      <c r="E957" s="6">
        <v>44783</v>
      </c>
      <c r="F957" t="s">
        <v>901</v>
      </c>
      <c r="G957">
        <v>3.36</v>
      </c>
      <c r="H957">
        <v>3.36</v>
      </c>
      <c r="I957" t="s">
        <v>263</v>
      </c>
      <c r="J957" t="s">
        <v>263</v>
      </c>
      <c r="L957" s="29">
        <v>50000</v>
      </c>
      <c r="N957" s="29">
        <v>50000</v>
      </c>
      <c r="O957" t="s">
        <v>264</v>
      </c>
      <c r="Q957" t="s">
        <v>264</v>
      </c>
      <c r="R957" t="s">
        <v>265</v>
      </c>
      <c r="S957">
        <v>14860</v>
      </c>
      <c r="T957" t="s">
        <v>266</v>
      </c>
      <c r="U957" t="s">
        <v>267</v>
      </c>
      <c r="V957" t="s">
        <v>427</v>
      </c>
      <c r="W957" t="s">
        <v>428</v>
      </c>
      <c r="X957">
        <v>1930267</v>
      </c>
      <c r="Y957" s="6">
        <v>44783</v>
      </c>
      <c r="Z957" t="s">
        <v>264</v>
      </c>
      <c r="AA957">
        <v>1</v>
      </c>
      <c r="AB957" t="s">
        <v>264</v>
      </c>
      <c r="AD957" t="s">
        <v>264</v>
      </c>
      <c r="AE957" t="s">
        <v>264</v>
      </c>
      <c r="AF957" t="s">
        <v>264</v>
      </c>
      <c r="AG957">
        <v>1</v>
      </c>
      <c r="AH957" t="s">
        <v>264</v>
      </c>
      <c r="AI957">
        <v>55120333</v>
      </c>
      <c r="AJ957" t="s">
        <v>901</v>
      </c>
      <c r="AL957" t="s">
        <v>264</v>
      </c>
      <c r="AM957" s="6">
        <v>44783</v>
      </c>
      <c r="AN957" t="s">
        <v>497</v>
      </c>
      <c r="AO957" t="s">
        <v>268</v>
      </c>
      <c r="AP957">
        <v>1205</v>
      </c>
      <c r="AQ957" t="s">
        <v>269</v>
      </c>
      <c r="AR957" t="s">
        <v>945</v>
      </c>
      <c r="AU957" t="s">
        <v>264</v>
      </c>
      <c r="AV957" t="s">
        <v>270</v>
      </c>
      <c r="AX957">
        <v>22001341</v>
      </c>
      <c r="AY957">
        <v>816130</v>
      </c>
      <c r="AZ957">
        <v>1205.8161299999999</v>
      </c>
      <c r="BA957" s="28" t="s">
        <v>236</v>
      </c>
    </row>
    <row r="958" spans="1:53">
      <c r="A958" t="s">
        <v>271</v>
      </c>
      <c r="B958" t="s">
        <v>272</v>
      </c>
      <c r="C958">
        <v>22002994</v>
      </c>
      <c r="D958">
        <v>1205</v>
      </c>
      <c r="E958" s="6">
        <v>44784</v>
      </c>
      <c r="F958" t="s">
        <v>914</v>
      </c>
      <c r="G958">
        <v>40.81</v>
      </c>
      <c r="H958">
        <v>40.81</v>
      </c>
      <c r="I958" t="s">
        <v>263</v>
      </c>
      <c r="J958" t="s">
        <v>263</v>
      </c>
      <c r="L958" s="29">
        <v>606450</v>
      </c>
      <c r="N958" s="29">
        <v>606450</v>
      </c>
      <c r="O958" t="s">
        <v>264</v>
      </c>
      <c r="Q958" t="s">
        <v>264</v>
      </c>
      <c r="R958" t="s">
        <v>265</v>
      </c>
      <c r="S958">
        <v>14860</v>
      </c>
      <c r="T958" t="s">
        <v>266</v>
      </c>
      <c r="U958" t="s">
        <v>267</v>
      </c>
      <c r="V958" t="s">
        <v>273</v>
      </c>
      <c r="W958" t="s">
        <v>274</v>
      </c>
      <c r="X958">
        <v>1930484</v>
      </c>
      <c r="Y958" s="6">
        <v>44784</v>
      </c>
      <c r="Z958" t="s">
        <v>264</v>
      </c>
      <c r="AA958">
        <v>1</v>
      </c>
      <c r="AB958" t="s">
        <v>264</v>
      </c>
      <c r="AD958" t="s">
        <v>264</v>
      </c>
      <c r="AE958" t="s">
        <v>264</v>
      </c>
      <c r="AF958" t="s">
        <v>264</v>
      </c>
      <c r="AG958">
        <v>1</v>
      </c>
      <c r="AH958" t="s">
        <v>264</v>
      </c>
      <c r="AI958">
        <v>56343301</v>
      </c>
      <c r="AJ958" t="s">
        <v>914</v>
      </c>
      <c r="AL958" t="s">
        <v>946</v>
      </c>
      <c r="AM958" s="6">
        <v>44749</v>
      </c>
      <c r="AN958" t="s">
        <v>275</v>
      </c>
      <c r="AO958" t="s">
        <v>268</v>
      </c>
      <c r="AP958">
        <v>1205</v>
      </c>
      <c r="AQ958" t="s">
        <v>269</v>
      </c>
      <c r="AR958" t="s">
        <v>947</v>
      </c>
      <c r="AU958" t="s">
        <v>264</v>
      </c>
      <c r="AV958" t="s">
        <v>270</v>
      </c>
      <c r="AX958">
        <v>22001354</v>
      </c>
      <c r="AY958">
        <v>816130</v>
      </c>
      <c r="AZ958">
        <v>1205.8161299999999</v>
      </c>
      <c r="BA958" s="28" t="s">
        <v>236</v>
      </c>
    </row>
    <row r="959" spans="1:53">
      <c r="A959" t="s">
        <v>271</v>
      </c>
      <c r="B959" t="s">
        <v>272</v>
      </c>
      <c r="C959">
        <v>22003021</v>
      </c>
      <c r="D959">
        <v>1205</v>
      </c>
      <c r="E959" s="6">
        <v>44789</v>
      </c>
      <c r="F959" t="s">
        <v>948</v>
      </c>
      <c r="G959">
        <v>504.71</v>
      </c>
      <c r="H959">
        <v>504.71</v>
      </c>
      <c r="I959" t="s">
        <v>263</v>
      </c>
      <c r="J959" t="s">
        <v>263</v>
      </c>
      <c r="L959" s="29">
        <v>7500000</v>
      </c>
      <c r="N959" s="29">
        <v>7500000</v>
      </c>
      <c r="O959" t="s">
        <v>264</v>
      </c>
      <c r="Q959" t="s">
        <v>264</v>
      </c>
      <c r="R959" t="s">
        <v>265</v>
      </c>
      <c r="S959">
        <v>14860</v>
      </c>
      <c r="T959" t="s">
        <v>266</v>
      </c>
      <c r="U959" t="s">
        <v>267</v>
      </c>
      <c r="V959" t="s">
        <v>273</v>
      </c>
      <c r="W959" t="s">
        <v>274</v>
      </c>
      <c r="X959">
        <v>1932881</v>
      </c>
      <c r="Y959" s="6">
        <v>44789</v>
      </c>
      <c r="Z959" t="s">
        <v>264</v>
      </c>
      <c r="AA959">
        <v>1</v>
      </c>
      <c r="AB959" t="s">
        <v>264</v>
      </c>
      <c r="AD959" t="s">
        <v>264</v>
      </c>
      <c r="AE959" t="s">
        <v>264</v>
      </c>
      <c r="AF959" t="s">
        <v>264</v>
      </c>
      <c r="AG959">
        <v>1</v>
      </c>
      <c r="AH959" t="s">
        <v>264</v>
      </c>
      <c r="AI959">
        <v>57366548</v>
      </c>
      <c r="AJ959" t="s">
        <v>948</v>
      </c>
      <c r="AL959" t="s">
        <v>949</v>
      </c>
      <c r="AM959" s="6">
        <v>44789</v>
      </c>
      <c r="AN959" t="s">
        <v>275</v>
      </c>
      <c r="AO959" t="s">
        <v>268</v>
      </c>
      <c r="AP959">
        <v>1205</v>
      </c>
      <c r="AQ959" t="s">
        <v>269</v>
      </c>
      <c r="AR959" t="s">
        <v>950</v>
      </c>
      <c r="AU959" t="s">
        <v>264</v>
      </c>
      <c r="AV959" t="s">
        <v>270</v>
      </c>
      <c r="AX959">
        <v>22001363</v>
      </c>
      <c r="AY959">
        <v>816130</v>
      </c>
      <c r="AZ959">
        <v>1205.8161299999999</v>
      </c>
      <c r="BA959" s="28" t="s">
        <v>236</v>
      </c>
    </row>
    <row r="960" spans="1:53">
      <c r="A960" t="s">
        <v>384</v>
      </c>
      <c r="B960" t="s">
        <v>385</v>
      </c>
      <c r="C960">
        <v>22001608</v>
      </c>
      <c r="D960">
        <v>1201</v>
      </c>
      <c r="E960" s="6">
        <v>44802</v>
      </c>
      <c r="F960" t="s">
        <v>1156</v>
      </c>
      <c r="G960">
        <v>-190.78</v>
      </c>
      <c r="I960" t="s">
        <v>263</v>
      </c>
      <c r="J960" t="s">
        <v>263</v>
      </c>
      <c r="K960">
        <v>-190.78</v>
      </c>
      <c r="M960" s="29">
        <v>-2835000</v>
      </c>
      <c r="N960" s="29">
        <v>-2835000</v>
      </c>
      <c r="O960" t="s">
        <v>264</v>
      </c>
      <c r="Q960" t="s">
        <v>264</v>
      </c>
      <c r="R960" t="s">
        <v>265</v>
      </c>
      <c r="S960">
        <v>14860</v>
      </c>
      <c r="T960" t="s">
        <v>266</v>
      </c>
      <c r="U960" t="s">
        <v>267</v>
      </c>
      <c r="V960" t="s">
        <v>386</v>
      </c>
      <c r="W960" t="s">
        <v>387</v>
      </c>
      <c r="X960">
        <v>1935899</v>
      </c>
      <c r="Y960" s="6">
        <v>44802</v>
      </c>
      <c r="Z960" t="s">
        <v>264</v>
      </c>
      <c r="AA960">
        <v>1</v>
      </c>
      <c r="AB960" t="s">
        <v>264</v>
      </c>
      <c r="AD960" t="s">
        <v>264</v>
      </c>
      <c r="AE960" t="s">
        <v>264</v>
      </c>
      <c r="AF960" t="s">
        <v>264</v>
      </c>
      <c r="AH960" t="s">
        <v>264</v>
      </c>
      <c r="AL960" t="s">
        <v>264</v>
      </c>
      <c r="AM960" s="6">
        <v>44802</v>
      </c>
      <c r="AN960" t="s">
        <v>388</v>
      </c>
      <c r="AO960" t="s">
        <v>268</v>
      </c>
      <c r="AP960">
        <v>1201</v>
      </c>
      <c r="AQ960" t="s">
        <v>269</v>
      </c>
      <c r="AR960" t="s">
        <v>1156</v>
      </c>
      <c r="AU960" t="s">
        <v>264</v>
      </c>
      <c r="AV960" t="s">
        <v>270</v>
      </c>
      <c r="AX960" t="s">
        <v>264</v>
      </c>
      <c r="AY960">
        <v>911000</v>
      </c>
      <c r="AZ960">
        <v>1201.9110000000001</v>
      </c>
      <c r="BA960" s="28" t="s">
        <v>1167</v>
      </c>
    </row>
    <row r="961" spans="1:53">
      <c r="A961" t="s">
        <v>951</v>
      </c>
      <c r="B961" t="s">
        <v>952</v>
      </c>
      <c r="C961">
        <v>14370661</v>
      </c>
      <c r="D961">
        <v>1201</v>
      </c>
      <c r="E961" s="6">
        <v>44785</v>
      </c>
      <c r="F961" t="s">
        <v>953</v>
      </c>
      <c r="I961" t="s">
        <v>263</v>
      </c>
      <c r="O961" t="s">
        <v>264</v>
      </c>
      <c r="Q961" t="s">
        <v>264</v>
      </c>
      <c r="R961" t="s">
        <v>524</v>
      </c>
      <c r="T961" t="s">
        <v>266</v>
      </c>
      <c r="U961" t="s">
        <v>267</v>
      </c>
      <c r="V961" t="s">
        <v>525</v>
      </c>
      <c r="W961" t="s">
        <v>526</v>
      </c>
      <c r="X961">
        <v>1933485</v>
      </c>
      <c r="Y961" s="6">
        <v>44791</v>
      </c>
      <c r="Z961" t="s">
        <v>264</v>
      </c>
      <c r="AA961">
        <v>10</v>
      </c>
      <c r="AB961" t="s">
        <v>264</v>
      </c>
      <c r="AD961" t="s">
        <v>264</v>
      </c>
      <c r="AE961" t="s">
        <v>264</v>
      </c>
      <c r="AF961" t="s">
        <v>264</v>
      </c>
      <c r="AG961">
        <v>45</v>
      </c>
      <c r="AH961" t="s">
        <v>264</v>
      </c>
      <c r="AL961" t="s">
        <v>264</v>
      </c>
      <c r="AM961" s="6">
        <v>44785</v>
      </c>
      <c r="AN961" t="s">
        <v>527</v>
      </c>
      <c r="AO961" t="s">
        <v>268</v>
      </c>
      <c r="AP961">
        <v>1201</v>
      </c>
      <c r="AQ961" t="s">
        <v>269</v>
      </c>
      <c r="AR961">
        <v>278162</v>
      </c>
      <c r="AU961" t="s">
        <v>264</v>
      </c>
      <c r="AV961" t="s">
        <v>270</v>
      </c>
      <c r="AX961" t="s">
        <v>264</v>
      </c>
      <c r="AY961">
        <v>920600</v>
      </c>
      <c r="AZ961">
        <v>1201.9205999999999</v>
      </c>
      <c r="BA961" s="28" t="s">
        <v>97</v>
      </c>
    </row>
    <row r="962" spans="1:53">
      <c r="A962" t="s">
        <v>951</v>
      </c>
      <c r="B962" t="s">
        <v>952</v>
      </c>
      <c r="C962">
        <v>14370661</v>
      </c>
      <c r="D962">
        <v>1201</v>
      </c>
      <c r="E962" s="6">
        <v>44785</v>
      </c>
      <c r="F962" t="s">
        <v>953</v>
      </c>
      <c r="I962" t="s">
        <v>263</v>
      </c>
      <c r="O962" t="s">
        <v>264</v>
      </c>
      <c r="Q962" t="s">
        <v>264</v>
      </c>
      <c r="R962" t="s">
        <v>524</v>
      </c>
      <c r="T962" t="s">
        <v>266</v>
      </c>
      <c r="U962" t="s">
        <v>267</v>
      </c>
      <c r="V962" t="s">
        <v>525</v>
      </c>
      <c r="W962" t="s">
        <v>526</v>
      </c>
      <c r="X962">
        <v>1933485</v>
      </c>
      <c r="Y962" s="6">
        <v>44791</v>
      </c>
      <c r="Z962" t="s">
        <v>264</v>
      </c>
      <c r="AA962">
        <v>12</v>
      </c>
      <c r="AB962" t="s">
        <v>264</v>
      </c>
      <c r="AD962" t="s">
        <v>264</v>
      </c>
      <c r="AE962" t="s">
        <v>264</v>
      </c>
      <c r="AF962" t="s">
        <v>264</v>
      </c>
      <c r="AG962">
        <v>10</v>
      </c>
      <c r="AH962" t="s">
        <v>264</v>
      </c>
      <c r="AL962" t="s">
        <v>264</v>
      </c>
      <c r="AM962" s="6">
        <v>44785</v>
      </c>
      <c r="AN962" t="s">
        <v>527</v>
      </c>
      <c r="AO962" t="s">
        <v>268</v>
      </c>
      <c r="AP962">
        <v>1201</v>
      </c>
      <c r="AQ962" t="s">
        <v>269</v>
      </c>
      <c r="AR962">
        <v>278162</v>
      </c>
      <c r="AU962" t="s">
        <v>264</v>
      </c>
      <c r="AV962" t="s">
        <v>270</v>
      </c>
      <c r="AX962" t="s">
        <v>264</v>
      </c>
      <c r="AY962">
        <v>920600</v>
      </c>
      <c r="AZ962">
        <v>1201.9205999999999</v>
      </c>
      <c r="BA962" s="28" t="s">
        <v>97</v>
      </c>
    </row>
    <row r="963" spans="1:53">
      <c r="A963" t="s">
        <v>951</v>
      </c>
      <c r="B963" t="s">
        <v>952</v>
      </c>
      <c r="C963">
        <v>14370661</v>
      </c>
      <c r="D963">
        <v>1201</v>
      </c>
      <c r="E963" s="6">
        <v>44785</v>
      </c>
      <c r="F963" t="s">
        <v>953</v>
      </c>
      <c r="I963" t="s">
        <v>263</v>
      </c>
      <c r="O963" t="s">
        <v>264</v>
      </c>
      <c r="Q963" t="s">
        <v>264</v>
      </c>
      <c r="R963" t="s">
        <v>524</v>
      </c>
      <c r="T963" t="s">
        <v>266</v>
      </c>
      <c r="U963" t="s">
        <v>267</v>
      </c>
      <c r="V963" t="s">
        <v>525</v>
      </c>
      <c r="W963" t="s">
        <v>526</v>
      </c>
      <c r="X963">
        <v>1933485</v>
      </c>
      <c r="Y963" s="6">
        <v>44791</v>
      </c>
      <c r="Z963" t="s">
        <v>264</v>
      </c>
      <c r="AA963">
        <v>20</v>
      </c>
      <c r="AB963" t="s">
        <v>264</v>
      </c>
      <c r="AD963" t="s">
        <v>264</v>
      </c>
      <c r="AE963" t="s">
        <v>264</v>
      </c>
      <c r="AF963" t="s">
        <v>264</v>
      </c>
      <c r="AG963">
        <v>12</v>
      </c>
      <c r="AH963" t="s">
        <v>264</v>
      </c>
      <c r="AL963" t="s">
        <v>264</v>
      </c>
      <c r="AM963" s="6">
        <v>44785</v>
      </c>
      <c r="AN963" t="s">
        <v>527</v>
      </c>
      <c r="AO963" t="s">
        <v>268</v>
      </c>
      <c r="AP963">
        <v>1201</v>
      </c>
      <c r="AQ963" t="s">
        <v>269</v>
      </c>
      <c r="AR963">
        <v>278163</v>
      </c>
      <c r="AU963" t="s">
        <v>264</v>
      </c>
      <c r="AV963" t="s">
        <v>270</v>
      </c>
      <c r="AX963" t="s">
        <v>264</v>
      </c>
      <c r="AY963">
        <v>920600</v>
      </c>
      <c r="AZ963">
        <v>1201.9205999999999</v>
      </c>
      <c r="BA963" s="28" t="s">
        <v>97</v>
      </c>
    </row>
    <row r="964" spans="1:53">
      <c r="A964" t="s">
        <v>951</v>
      </c>
      <c r="B964" t="s">
        <v>952</v>
      </c>
      <c r="C964">
        <v>14370661</v>
      </c>
      <c r="D964">
        <v>1201</v>
      </c>
      <c r="E964" s="6">
        <v>44785</v>
      </c>
      <c r="F964" t="s">
        <v>953</v>
      </c>
      <c r="I964" t="s">
        <v>263</v>
      </c>
      <c r="O964" t="s">
        <v>264</v>
      </c>
      <c r="Q964" t="s">
        <v>264</v>
      </c>
      <c r="R964" t="s">
        <v>524</v>
      </c>
      <c r="T964" t="s">
        <v>266</v>
      </c>
      <c r="U964" t="s">
        <v>267</v>
      </c>
      <c r="V964" t="s">
        <v>525</v>
      </c>
      <c r="W964" t="s">
        <v>526</v>
      </c>
      <c r="X964">
        <v>1933485</v>
      </c>
      <c r="Y964" s="6">
        <v>44791</v>
      </c>
      <c r="Z964" t="s">
        <v>264</v>
      </c>
      <c r="AA964">
        <v>22</v>
      </c>
      <c r="AB964" t="s">
        <v>264</v>
      </c>
      <c r="AD964" t="s">
        <v>264</v>
      </c>
      <c r="AE964" t="s">
        <v>264</v>
      </c>
      <c r="AF964" t="s">
        <v>264</v>
      </c>
      <c r="AG964">
        <v>935</v>
      </c>
      <c r="AH964" t="s">
        <v>264</v>
      </c>
      <c r="AL964" t="s">
        <v>264</v>
      </c>
      <c r="AM964" s="6">
        <v>44785</v>
      </c>
      <c r="AN964" t="s">
        <v>527</v>
      </c>
      <c r="AO964" t="s">
        <v>268</v>
      </c>
      <c r="AP964">
        <v>1201</v>
      </c>
      <c r="AQ964" t="s">
        <v>269</v>
      </c>
      <c r="AR964">
        <v>278163</v>
      </c>
      <c r="AU964" t="s">
        <v>264</v>
      </c>
      <c r="AV964" t="s">
        <v>270</v>
      </c>
      <c r="AX964" t="s">
        <v>264</v>
      </c>
      <c r="AY964">
        <v>920600</v>
      </c>
      <c r="AZ964">
        <v>1201.9205999999999</v>
      </c>
      <c r="BA964" s="28" t="s">
        <v>97</v>
      </c>
    </row>
    <row r="965" spans="1:53">
      <c r="A965" t="s">
        <v>951</v>
      </c>
      <c r="B965" t="s">
        <v>952</v>
      </c>
      <c r="C965">
        <v>14370661</v>
      </c>
      <c r="D965">
        <v>1201</v>
      </c>
      <c r="E965" s="6">
        <v>44785</v>
      </c>
      <c r="F965" t="s">
        <v>953</v>
      </c>
      <c r="I965" t="s">
        <v>263</v>
      </c>
      <c r="O965" t="s">
        <v>264</v>
      </c>
      <c r="Q965" t="s">
        <v>264</v>
      </c>
      <c r="R965" t="s">
        <v>524</v>
      </c>
      <c r="T965" t="s">
        <v>266</v>
      </c>
      <c r="U965" t="s">
        <v>267</v>
      </c>
      <c r="V965" t="s">
        <v>525</v>
      </c>
      <c r="W965" t="s">
        <v>526</v>
      </c>
      <c r="X965">
        <v>1933485</v>
      </c>
      <c r="Y965" s="6">
        <v>44791</v>
      </c>
      <c r="Z965" t="s">
        <v>264</v>
      </c>
      <c r="AA965">
        <v>40</v>
      </c>
      <c r="AB965" t="s">
        <v>264</v>
      </c>
      <c r="AD965" t="s">
        <v>264</v>
      </c>
      <c r="AE965" t="s">
        <v>264</v>
      </c>
      <c r="AF965" t="s">
        <v>264</v>
      </c>
      <c r="AG965">
        <v>14</v>
      </c>
      <c r="AH965" t="s">
        <v>264</v>
      </c>
      <c r="AL965" t="s">
        <v>264</v>
      </c>
      <c r="AM965" s="6">
        <v>44785</v>
      </c>
      <c r="AN965" t="s">
        <v>527</v>
      </c>
      <c r="AO965" t="s">
        <v>268</v>
      </c>
      <c r="AP965">
        <v>1201</v>
      </c>
      <c r="AQ965" t="s">
        <v>269</v>
      </c>
      <c r="AR965">
        <v>278164</v>
      </c>
      <c r="AU965" t="s">
        <v>264</v>
      </c>
      <c r="AV965" t="s">
        <v>270</v>
      </c>
      <c r="AX965" t="s">
        <v>264</v>
      </c>
      <c r="AY965">
        <v>920600</v>
      </c>
      <c r="AZ965">
        <v>1201.9205999999999</v>
      </c>
      <c r="BA965" s="28" t="s">
        <v>97</v>
      </c>
    </row>
    <row r="966" spans="1:53">
      <c r="A966" t="s">
        <v>951</v>
      </c>
      <c r="B966" t="s">
        <v>952</v>
      </c>
      <c r="C966">
        <v>14370661</v>
      </c>
      <c r="D966">
        <v>1201</v>
      </c>
      <c r="E966" s="6">
        <v>44785</v>
      </c>
      <c r="F966" t="s">
        <v>953</v>
      </c>
      <c r="I966" t="s">
        <v>263</v>
      </c>
      <c r="O966" t="s">
        <v>264</v>
      </c>
      <c r="Q966" t="s">
        <v>264</v>
      </c>
      <c r="R966" t="s">
        <v>524</v>
      </c>
      <c r="T966" t="s">
        <v>266</v>
      </c>
      <c r="U966" t="s">
        <v>267</v>
      </c>
      <c r="V966" t="s">
        <v>525</v>
      </c>
      <c r="W966" t="s">
        <v>526</v>
      </c>
      <c r="X966">
        <v>1933485</v>
      </c>
      <c r="Y966" s="6">
        <v>44791</v>
      </c>
      <c r="Z966" t="s">
        <v>264</v>
      </c>
      <c r="AA966">
        <v>42</v>
      </c>
      <c r="AB966" t="s">
        <v>264</v>
      </c>
      <c r="AD966" t="s">
        <v>264</v>
      </c>
      <c r="AE966" t="s">
        <v>264</v>
      </c>
      <c r="AF966" t="s">
        <v>264</v>
      </c>
      <c r="AG966">
        <v>111</v>
      </c>
      <c r="AH966" t="s">
        <v>264</v>
      </c>
      <c r="AL966" t="s">
        <v>264</v>
      </c>
      <c r="AM966" s="6">
        <v>44785</v>
      </c>
      <c r="AN966" t="s">
        <v>527</v>
      </c>
      <c r="AO966" t="s">
        <v>268</v>
      </c>
      <c r="AP966">
        <v>1201</v>
      </c>
      <c r="AQ966" t="s">
        <v>269</v>
      </c>
      <c r="AR966">
        <v>278165</v>
      </c>
      <c r="AU966" t="s">
        <v>264</v>
      </c>
      <c r="AV966" t="s">
        <v>270</v>
      </c>
      <c r="AX966" t="s">
        <v>264</v>
      </c>
      <c r="AY966">
        <v>920600</v>
      </c>
      <c r="AZ966">
        <v>1201.9205999999999</v>
      </c>
      <c r="BA966" s="28" t="s">
        <v>97</v>
      </c>
    </row>
    <row r="967" spans="1:53">
      <c r="A967" t="s">
        <v>951</v>
      </c>
      <c r="B967" t="s">
        <v>952</v>
      </c>
      <c r="C967">
        <v>14370661</v>
      </c>
      <c r="D967">
        <v>1201</v>
      </c>
      <c r="E967" s="6">
        <v>44785</v>
      </c>
      <c r="F967" t="s">
        <v>953</v>
      </c>
      <c r="I967" t="s">
        <v>263</v>
      </c>
      <c r="O967" t="s">
        <v>264</v>
      </c>
      <c r="Q967" t="s">
        <v>264</v>
      </c>
      <c r="R967" t="s">
        <v>524</v>
      </c>
      <c r="T967" t="s">
        <v>266</v>
      </c>
      <c r="U967" t="s">
        <v>267</v>
      </c>
      <c r="V967" t="s">
        <v>525</v>
      </c>
      <c r="W967" t="s">
        <v>526</v>
      </c>
      <c r="X967">
        <v>1933485</v>
      </c>
      <c r="Y967" s="6">
        <v>44791</v>
      </c>
      <c r="Z967" t="s">
        <v>264</v>
      </c>
      <c r="AA967">
        <v>44</v>
      </c>
      <c r="AB967" t="s">
        <v>264</v>
      </c>
      <c r="AD967" t="s">
        <v>264</v>
      </c>
      <c r="AE967" t="s">
        <v>264</v>
      </c>
      <c r="AF967" t="s">
        <v>264</v>
      </c>
      <c r="AG967">
        <v>11</v>
      </c>
      <c r="AH967" t="s">
        <v>264</v>
      </c>
      <c r="AL967" t="s">
        <v>264</v>
      </c>
      <c r="AM967" s="6">
        <v>44785</v>
      </c>
      <c r="AN967" t="s">
        <v>527</v>
      </c>
      <c r="AO967" t="s">
        <v>268</v>
      </c>
      <c r="AP967">
        <v>1201</v>
      </c>
      <c r="AQ967" t="s">
        <v>269</v>
      </c>
      <c r="AR967">
        <v>278165</v>
      </c>
      <c r="AU967" t="s">
        <v>264</v>
      </c>
      <c r="AV967" t="s">
        <v>270</v>
      </c>
      <c r="AX967" t="s">
        <v>264</v>
      </c>
      <c r="AY967">
        <v>920600</v>
      </c>
      <c r="AZ967">
        <v>1201.9205999999999</v>
      </c>
      <c r="BA967" s="28" t="s">
        <v>97</v>
      </c>
    </row>
    <row r="968" spans="1:53">
      <c r="A968" t="s">
        <v>951</v>
      </c>
      <c r="B968" t="s">
        <v>952</v>
      </c>
      <c r="C968">
        <v>14370661</v>
      </c>
      <c r="D968">
        <v>1201</v>
      </c>
      <c r="E968" s="6">
        <v>44785</v>
      </c>
      <c r="F968" t="s">
        <v>953</v>
      </c>
      <c r="I968" t="s">
        <v>263</v>
      </c>
      <c r="O968" t="s">
        <v>264</v>
      </c>
      <c r="Q968" t="s">
        <v>264</v>
      </c>
      <c r="R968" t="s">
        <v>524</v>
      </c>
      <c r="T968" t="s">
        <v>266</v>
      </c>
      <c r="U968" t="s">
        <v>267</v>
      </c>
      <c r="V968" t="s">
        <v>525</v>
      </c>
      <c r="W968" t="s">
        <v>526</v>
      </c>
      <c r="X968">
        <v>1933485</v>
      </c>
      <c r="Y968" s="6">
        <v>44791</v>
      </c>
      <c r="Z968" t="s">
        <v>264</v>
      </c>
      <c r="AA968">
        <v>46</v>
      </c>
      <c r="AB968" t="s">
        <v>264</v>
      </c>
      <c r="AD968" t="s">
        <v>264</v>
      </c>
      <c r="AE968" t="s">
        <v>264</v>
      </c>
      <c r="AF968" t="s">
        <v>264</v>
      </c>
      <c r="AG968">
        <v>50</v>
      </c>
      <c r="AH968" t="s">
        <v>264</v>
      </c>
      <c r="AL968" t="s">
        <v>264</v>
      </c>
      <c r="AM968" s="6">
        <v>44785</v>
      </c>
      <c r="AN968" t="s">
        <v>527</v>
      </c>
      <c r="AO968" t="s">
        <v>268</v>
      </c>
      <c r="AP968">
        <v>1201</v>
      </c>
      <c r="AQ968" t="s">
        <v>269</v>
      </c>
      <c r="AR968">
        <v>278165</v>
      </c>
      <c r="AU968" t="s">
        <v>264</v>
      </c>
      <c r="AV968" t="s">
        <v>270</v>
      </c>
      <c r="AX968" t="s">
        <v>264</v>
      </c>
      <c r="AY968">
        <v>920600</v>
      </c>
      <c r="AZ968">
        <v>1201.9205999999999</v>
      </c>
      <c r="BA968" s="28" t="s">
        <v>97</v>
      </c>
    </row>
    <row r="969" spans="1:53">
      <c r="A969" t="s">
        <v>951</v>
      </c>
      <c r="B969" t="s">
        <v>952</v>
      </c>
      <c r="C969">
        <v>14370661</v>
      </c>
      <c r="D969">
        <v>1201</v>
      </c>
      <c r="E969" s="6">
        <v>44785</v>
      </c>
      <c r="F969" t="s">
        <v>953</v>
      </c>
      <c r="I969" t="s">
        <v>263</v>
      </c>
      <c r="O969" t="s">
        <v>264</v>
      </c>
      <c r="Q969" t="s">
        <v>264</v>
      </c>
      <c r="R969" t="s">
        <v>524</v>
      </c>
      <c r="T969" t="s">
        <v>266</v>
      </c>
      <c r="U969" t="s">
        <v>267</v>
      </c>
      <c r="V969" t="s">
        <v>525</v>
      </c>
      <c r="W969" t="s">
        <v>526</v>
      </c>
      <c r="X969">
        <v>1933485</v>
      </c>
      <c r="Y969" s="6">
        <v>44791</v>
      </c>
      <c r="Z969" t="s">
        <v>264</v>
      </c>
      <c r="AA969">
        <v>50</v>
      </c>
      <c r="AB969" t="s">
        <v>264</v>
      </c>
      <c r="AD969" t="s">
        <v>264</v>
      </c>
      <c r="AE969" t="s">
        <v>264</v>
      </c>
      <c r="AF969" t="s">
        <v>264</v>
      </c>
      <c r="AG969">
        <v>79</v>
      </c>
      <c r="AH969" t="s">
        <v>264</v>
      </c>
      <c r="AL969" t="s">
        <v>264</v>
      </c>
      <c r="AM969" s="6">
        <v>44785</v>
      </c>
      <c r="AN969" t="s">
        <v>527</v>
      </c>
      <c r="AO969" t="s">
        <v>268</v>
      </c>
      <c r="AP969">
        <v>1201</v>
      </c>
      <c r="AQ969" t="s">
        <v>269</v>
      </c>
      <c r="AR969">
        <v>278166</v>
      </c>
      <c r="AU969" t="s">
        <v>264</v>
      </c>
      <c r="AV969" t="s">
        <v>270</v>
      </c>
      <c r="AX969" t="s">
        <v>264</v>
      </c>
      <c r="AY969">
        <v>920600</v>
      </c>
      <c r="AZ969">
        <v>1201.9205999999999</v>
      </c>
      <c r="BA969" s="28" t="s">
        <v>97</v>
      </c>
    </row>
    <row r="970" spans="1:53">
      <c r="A970" t="s">
        <v>951</v>
      </c>
      <c r="B970" t="s">
        <v>952</v>
      </c>
      <c r="C970">
        <v>14370661</v>
      </c>
      <c r="D970">
        <v>1201</v>
      </c>
      <c r="E970" s="6">
        <v>44785</v>
      </c>
      <c r="F970" t="s">
        <v>953</v>
      </c>
      <c r="I970" t="s">
        <v>263</v>
      </c>
      <c r="O970" t="s">
        <v>264</v>
      </c>
      <c r="Q970" t="s">
        <v>264</v>
      </c>
      <c r="R970" t="s">
        <v>524</v>
      </c>
      <c r="T970" t="s">
        <v>266</v>
      </c>
      <c r="U970" t="s">
        <v>267</v>
      </c>
      <c r="V970" t="s">
        <v>525</v>
      </c>
      <c r="W970" t="s">
        <v>526</v>
      </c>
      <c r="X970">
        <v>1933485</v>
      </c>
      <c r="Y970" s="6">
        <v>44791</v>
      </c>
      <c r="Z970" t="s">
        <v>264</v>
      </c>
      <c r="AA970">
        <v>52</v>
      </c>
      <c r="AB970" t="s">
        <v>264</v>
      </c>
      <c r="AD970" t="s">
        <v>264</v>
      </c>
      <c r="AE970" t="s">
        <v>264</v>
      </c>
      <c r="AF970" t="s">
        <v>264</v>
      </c>
      <c r="AG970">
        <v>800</v>
      </c>
      <c r="AH970" t="s">
        <v>264</v>
      </c>
      <c r="AL970" t="s">
        <v>264</v>
      </c>
      <c r="AM970" s="6">
        <v>44785</v>
      </c>
      <c r="AN970" t="s">
        <v>527</v>
      </c>
      <c r="AO970" t="s">
        <v>268</v>
      </c>
      <c r="AP970">
        <v>1201</v>
      </c>
      <c r="AQ970" t="s">
        <v>269</v>
      </c>
      <c r="AR970">
        <v>278166</v>
      </c>
      <c r="AU970" t="s">
        <v>264</v>
      </c>
      <c r="AV970" t="s">
        <v>270</v>
      </c>
      <c r="AX970" t="s">
        <v>264</v>
      </c>
      <c r="AY970">
        <v>920600</v>
      </c>
      <c r="AZ970">
        <v>1201.9205999999999</v>
      </c>
      <c r="BA970" s="28" t="s">
        <v>97</v>
      </c>
    </row>
    <row r="971" spans="1:53">
      <c r="A971" t="s">
        <v>951</v>
      </c>
      <c r="B971" t="s">
        <v>952</v>
      </c>
      <c r="C971">
        <v>14370661</v>
      </c>
      <c r="D971">
        <v>1201</v>
      </c>
      <c r="E971" s="6">
        <v>44785</v>
      </c>
      <c r="F971" t="s">
        <v>953</v>
      </c>
      <c r="I971" t="s">
        <v>263</v>
      </c>
      <c r="O971" t="s">
        <v>264</v>
      </c>
      <c r="Q971" t="s">
        <v>264</v>
      </c>
      <c r="R971" t="s">
        <v>524</v>
      </c>
      <c r="T971" t="s">
        <v>266</v>
      </c>
      <c r="U971" t="s">
        <v>267</v>
      </c>
      <c r="V971" t="s">
        <v>525</v>
      </c>
      <c r="W971" t="s">
        <v>526</v>
      </c>
      <c r="X971">
        <v>1933485</v>
      </c>
      <c r="Y971" s="6">
        <v>44791</v>
      </c>
      <c r="Z971" t="s">
        <v>264</v>
      </c>
      <c r="AA971">
        <v>54</v>
      </c>
      <c r="AB971" t="s">
        <v>264</v>
      </c>
      <c r="AD971" t="s">
        <v>264</v>
      </c>
      <c r="AE971" t="s">
        <v>264</v>
      </c>
      <c r="AF971" t="s">
        <v>264</v>
      </c>
      <c r="AG971">
        <v>8</v>
      </c>
      <c r="AH971" t="s">
        <v>264</v>
      </c>
      <c r="AL971" t="s">
        <v>264</v>
      </c>
      <c r="AM971" s="6">
        <v>44785</v>
      </c>
      <c r="AN971" t="s">
        <v>527</v>
      </c>
      <c r="AO971" t="s">
        <v>268</v>
      </c>
      <c r="AP971">
        <v>1201</v>
      </c>
      <c r="AQ971" t="s">
        <v>269</v>
      </c>
      <c r="AR971">
        <v>278166</v>
      </c>
      <c r="AU971" t="s">
        <v>264</v>
      </c>
      <c r="AV971" t="s">
        <v>270</v>
      </c>
      <c r="AX971" t="s">
        <v>264</v>
      </c>
      <c r="AY971">
        <v>920600</v>
      </c>
      <c r="AZ971">
        <v>1201.9205999999999</v>
      </c>
      <c r="BA971" s="28" t="s">
        <v>97</v>
      </c>
    </row>
    <row r="972" spans="1:53">
      <c r="A972" t="s">
        <v>951</v>
      </c>
      <c r="B972" t="s">
        <v>952</v>
      </c>
      <c r="C972">
        <v>14370661</v>
      </c>
      <c r="D972">
        <v>1201</v>
      </c>
      <c r="E972" s="6">
        <v>44785</v>
      </c>
      <c r="F972" t="s">
        <v>953</v>
      </c>
      <c r="I972" t="s">
        <v>263</v>
      </c>
      <c r="O972" t="s">
        <v>264</v>
      </c>
      <c r="Q972" t="s">
        <v>264</v>
      </c>
      <c r="R972" t="s">
        <v>524</v>
      </c>
      <c r="T972" t="s">
        <v>266</v>
      </c>
      <c r="U972" t="s">
        <v>267</v>
      </c>
      <c r="V972" t="s">
        <v>525</v>
      </c>
      <c r="W972" t="s">
        <v>526</v>
      </c>
      <c r="X972">
        <v>1933485</v>
      </c>
      <c r="Y972" s="6">
        <v>44791</v>
      </c>
      <c r="Z972" t="s">
        <v>264</v>
      </c>
      <c r="AA972">
        <v>60</v>
      </c>
      <c r="AB972" t="s">
        <v>264</v>
      </c>
      <c r="AD972" t="s">
        <v>264</v>
      </c>
      <c r="AE972" t="s">
        <v>264</v>
      </c>
      <c r="AF972" t="s">
        <v>264</v>
      </c>
      <c r="AG972">
        <v>111</v>
      </c>
      <c r="AH972" t="s">
        <v>264</v>
      </c>
      <c r="AL972" t="s">
        <v>264</v>
      </c>
      <c r="AM972" s="6">
        <v>44785</v>
      </c>
      <c r="AN972" t="s">
        <v>527</v>
      </c>
      <c r="AO972" t="s">
        <v>268</v>
      </c>
      <c r="AP972">
        <v>1201</v>
      </c>
      <c r="AQ972" t="s">
        <v>269</v>
      </c>
      <c r="AR972">
        <v>278167</v>
      </c>
      <c r="AU972" t="s">
        <v>264</v>
      </c>
      <c r="AV972" t="s">
        <v>270</v>
      </c>
      <c r="AX972" t="s">
        <v>264</v>
      </c>
      <c r="AY972">
        <v>920600</v>
      </c>
      <c r="AZ972">
        <v>1201.9205999999999</v>
      </c>
      <c r="BA972" s="28" t="s">
        <v>97</v>
      </c>
    </row>
    <row r="973" spans="1:53">
      <c r="A973" t="s">
        <v>951</v>
      </c>
      <c r="B973" t="s">
        <v>952</v>
      </c>
      <c r="C973">
        <v>14370661</v>
      </c>
      <c r="D973">
        <v>1201</v>
      </c>
      <c r="E973" s="6">
        <v>44785</v>
      </c>
      <c r="F973" t="s">
        <v>953</v>
      </c>
      <c r="I973" t="s">
        <v>263</v>
      </c>
      <c r="O973" t="s">
        <v>264</v>
      </c>
      <c r="Q973" t="s">
        <v>264</v>
      </c>
      <c r="R973" t="s">
        <v>524</v>
      </c>
      <c r="T973" t="s">
        <v>266</v>
      </c>
      <c r="U973" t="s">
        <v>267</v>
      </c>
      <c r="V973" t="s">
        <v>525</v>
      </c>
      <c r="W973" t="s">
        <v>526</v>
      </c>
      <c r="X973">
        <v>1933485</v>
      </c>
      <c r="Y973" s="6">
        <v>44791</v>
      </c>
      <c r="Z973" t="s">
        <v>264</v>
      </c>
      <c r="AA973">
        <v>62</v>
      </c>
      <c r="AB973" t="s">
        <v>264</v>
      </c>
      <c r="AD973" t="s">
        <v>264</v>
      </c>
      <c r="AE973" t="s">
        <v>264</v>
      </c>
      <c r="AF973" t="s">
        <v>264</v>
      </c>
      <c r="AG973">
        <v>18</v>
      </c>
      <c r="AH973" t="s">
        <v>264</v>
      </c>
      <c r="AL973" t="s">
        <v>264</v>
      </c>
      <c r="AM973" s="6">
        <v>44785</v>
      </c>
      <c r="AN973" t="s">
        <v>527</v>
      </c>
      <c r="AO973" t="s">
        <v>268</v>
      </c>
      <c r="AP973">
        <v>1201</v>
      </c>
      <c r="AQ973" t="s">
        <v>269</v>
      </c>
      <c r="AR973">
        <v>278167</v>
      </c>
      <c r="AU973" t="s">
        <v>264</v>
      </c>
      <c r="AV973" t="s">
        <v>270</v>
      </c>
      <c r="AX973" t="s">
        <v>264</v>
      </c>
      <c r="AY973">
        <v>920600</v>
      </c>
      <c r="AZ973">
        <v>1201.9205999999999</v>
      </c>
      <c r="BA973" s="28" t="s">
        <v>97</v>
      </c>
    </row>
    <row r="974" spans="1:53">
      <c r="A974" t="s">
        <v>951</v>
      </c>
      <c r="B974" t="s">
        <v>952</v>
      </c>
      <c r="C974">
        <v>14370661</v>
      </c>
      <c r="D974">
        <v>1201</v>
      </c>
      <c r="E974" s="6">
        <v>44785</v>
      </c>
      <c r="F974" t="s">
        <v>953</v>
      </c>
      <c r="I974" t="s">
        <v>263</v>
      </c>
      <c r="O974" t="s">
        <v>264</v>
      </c>
      <c r="Q974" t="s">
        <v>264</v>
      </c>
      <c r="R974" t="s">
        <v>524</v>
      </c>
      <c r="T974" t="s">
        <v>266</v>
      </c>
      <c r="U974" t="s">
        <v>267</v>
      </c>
      <c r="V974" t="s">
        <v>525</v>
      </c>
      <c r="W974" t="s">
        <v>526</v>
      </c>
      <c r="X974">
        <v>1933485</v>
      </c>
      <c r="Y974" s="6">
        <v>44791</v>
      </c>
      <c r="Z974" t="s">
        <v>264</v>
      </c>
      <c r="AA974">
        <v>64</v>
      </c>
      <c r="AB974" t="s">
        <v>264</v>
      </c>
      <c r="AD974" t="s">
        <v>264</v>
      </c>
      <c r="AE974" t="s">
        <v>264</v>
      </c>
      <c r="AF974" t="s">
        <v>264</v>
      </c>
      <c r="AG974">
        <v>38</v>
      </c>
      <c r="AH974" t="s">
        <v>264</v>
      </c>
      <c r="AL974" t="s">
        <v>264</v>
      </c>
      <c r="AM974" s="6">
        <v>44785</v>
      </c>
      <c r="AN974" t="s">
        <v>527</v>
      </c>
      <c r="AO974" t="s">
        <v>268</v>
      </c>
      <c r="AP974">
        <v>1201</v>
      </c>
      <c r="AQ974" t="s">
        <v>269</v>
      </c>
      <c r="AR974">
        <v>278167</v>
      </c>
      <c r="AU974" t="s">
        <v>264</v>
      </c>
      <c r="AV974" t="s">
        <v>270</v>
      </c>
      <c r="AX974" t="s">
        <v>264</v>
      </c>
      <c r="AY974">
        <v>920600</v>
      </c>
      <c r="AZ974">
        <v>1201.9205999999999</v>
      </c>
      <c r="BA974" s="28" t="s">
        <v>97</v>
      </c>
    </row>
    <row r="975" spans="1:53">
      <c r="A975" t="s">
        <v>951</v>
      </c>
      <c r="B975" t="s">
        <v>952</v>
      </c>
      <c r="C975">
        <v>14370661</v>
      </c>
      <c r="D975">
        <v>1201</v>
      </c>
      <c r="E975" s="6">
        <v>44785</v>
      </c>
      <c r="F975" t="s">
        <v>953</v>
      </c>
      <c r="I975" t="s">
        <v>263</v>
      </c>
      <c r="O975" t="s">
        <v>264</v>
      </c>
      <c r="Q975" t="s">
        <v>264</v>
      </c>
      <c r="R975" t="s">
        <v>524</v>
      </c>
      <c r="T975" t="s">
        <v>266</v>
      </c>
      <c r="U975" t="s">
        <v>267</v>
      </c>
      <c r="V975" t="s">
        <v>525</v>
      </c>
      <c r="W975" t="s">
        <v>526</v>
      </c>
      <c r="X975">
        <v>1933485</v>
      </c>
      <c r="Y975" s="6">
        <v>44791</v>
      </c>
      <c r="Z975" t="s">
        <v>264</v>
      </c>
      <c r="AA975">
        <v>48</v>
      </c>
      <c r="AB975" t="s">
        <v>264</v>
      </c>
      <c r="AD975" t="s">
        <v>264</v>
      </c>
      <c r="AE975" t="s">
        <v>264</v>
      </c>
      <c r="AF975" t="s">
        <v>264</v>
      </c>
      <c r="AG975">
        <v>5</v>
      </c>
      <c r="AH975" t="s">
        <v>264</v>
      </c>
      <c r="AL975" t="s">
        <v>264</v>
      </c>
      <c r="AM975" s="6">
        <v>44785</v>
      </c>
      <c r="AN975" t="s">
        <v>527</v>
      </c>
      <c r="AO975" t="s">
        <v>268</v>
      </c>
      <c r="AP975">
        <v>1201</v>
      </c>
      <c r="AQ975" t="s">
        <v>269</v>
      </c>
      <c r="AR975">
        <v>278165</v>
      </c>
      <c r="AU975" t="s">
        <v>264</v>
      </c>
      <c r="AV975" t="s">
        <v>270</v>
      </c>
      <c r="AX975" t="s">
        <v>264</v>
      </c>
      <c r="AY975">
        <v>920600</v>
      </c>
      <c r="AZ975">
        <v>1201.9205999999999</v>
      </c>
      <c r="BA975" s="28" t="s">
        <v>97</v>
      </c>
    </row>
    <row r="976" spans="1:53">
      <c r="A976" t="s">
        <v>951</v>
      </c>
      <c r="B976" t="s">
        <v>952</v>
      </c>
      <c r="C976">
        <v>14370661</v>
      </c>
      <c r="D976">
        <v>1201</v>
      </c>
      <c r="E976" s="6">
        <v>44785</v>
      </c>
      <c r="F976" t="s">
        <v>953</v>
      </c>
      <c r="I976" t="s">
        <v>263</v>
      </c>
      <c r="O976" t="s">
        <v>264</v>
      </c>
      <c r="Q976" t="s">
        <v>264</v>
      </c>
      <c r="R976" t="s">
        <v>524</v>
      </c>
      <c r="T976" t="s">
        <v>266</v>
      </c>
      <c r="U976" t="s">
        <v>267</v>
      </c>
      <c r="V976" t="s">
        <v>525</v>
      </c>
      <c r="W976" t="s">
        <v>526</v>
      </c>
      <c r="X976">
        <v>1933485</v>
      </c>
      <c r="Y976" s="6">
        <v>44791</v>
      </c>
      <c r="Z976" t="s">
        <v>264</v>
      </c>
      <c r="AA976">
        <v>56</v>
      </c>
      <c r="AB976" t="s">
        <v>264</v>
      </c>
      <c r="AD976" t="s">
        <v>264</v>
      </c>
      <c r="AE976" t="s">
        <v>264</v>
      </c>
      <c r="AF976" t="s">
        <v>264</v>
      </c>
      <c r="AG976">
        <v>17</v>
      </c>
      <c r="AH976" t="s">
        <v>264</v>
      </c>
      <c r="AL976" t="s">
        <v>264</v>
      </c>
      <c r="AM976" s="6">
        <v>44785</v>
      </c>
      <c r="AN976" t="s">
        <v>527</v>
      </c>
      <c r="AO976" t="s">
        <v>268</v>
      </c>
      <c r="AP976">
        <v>1201</v>
      </c>
      <c r="AQ976" t="s">
        <v>269</v>
      </c>
      <c r="AR976">
        <v>278167</v>
      </c>
      <c r="AU976" t="s">
        <v>264</v>
      </c>
      <c r="AV976" t="s">
        <v>270</v>
      </c>
      <c r="AX976" t="s">
        <v>264</v>
      </c>
      <c r="AY976">
        <v>920600</v>
      </c>
      <c r="AZ976">
        <v>1201.9205999999999</v>
      </c>
      <c r="BA976" s="28" t="s">
        <v>97</v>
      </c>
    </row>
    <row r="977" spans="1:53">
      <c r="A977" t="s">
        <v>951</v>
      </c>
      <c r="B977" t="s">
        <v>952</v>
      </c>
      <c r="C977">
        <v>14370661</v>
      </c>
      <c r="D977">
        <v>1201</v>
      </c>
      <c r="E977" s="6">
        <v>44785</v>
      </c>
      <c r="F977" t="s">
        <v>953</v>
      </c>
      <c r="I977" t="s">
        <v>263</v>
      </c>
      <c r="O977" t="s">
        <v>264</v>
      </c>
      <c r="Q977" t="s">
        <v>264</v>
      </c>
      <c r="R977" t="s">
        <v>524</v>
      </c>
      <c r="T977" t="s">
        <v>266</v>
      </c>
      <c r="U977" t="s">
        <v>267</v>
      </c>
      <c r="V977" t="s">
        <v>525</v>
      </c>
      <c r="W977" t="s">
        <v>526</v>
      </c>
      <c r="X977">
        <v>1933485</v>
      </c>
      <c r="Y977" s="6">
        <v>44791</v>
      </c>
      <c r="Z977" t="s">
        <v>264</v>
      </c>
      <c r="AA977">
        <v>58</v>
      </c>
      <c r="AB977" t="s">
        <v>264</v>
      </c>
      <c r="AD977" t="s">
        <v>264</v>
      </c>
      <c r="AE977" t="s">
        <v>264</v>
      </c>
      <c r="AF977" t="s">
        <v>264</v>
      </c>
      <c r="AG977">
        <v>3</v>
      </c>
      <c r="AH977" t="s">
        <v>264</v>
      </c>
      <c r="AL977" t="s">
        <v>264</v>
      </c>
      <c r="AM977" s="6">
        <v>44785</v>
      </c>
      <c r="AN977" t="s">
        <v>527</v>
      </c>
      <c r="AO977" t="s">
        <v>268</v>
      </c>
      <c r="AP977">
        <v>1201</v>
      </c>
      <c r="AQ977" t="s">
        <v>269</v>
      </c>
      <c r="AR977">
        <v>278167</v>
      </c>
      <c r="AU977" t="s">
        <v>264</v>
      </c>
      <c r="AV977" t="s">
        <v>270</v>
      </c>
      <c r="AX977" t="s">
        <v>264</v>
      </c>
      <c r="AY977">
        <v>920600</v>
      </c>
      <c r="AZ977">
        <v>1201.9205999999999</v>
      </c>
      <c r="BA977" s="28" t="s">
        <v>97</v>
      </c>
    </row>
    <row r="978" spans="1:53">
      <c r="A978" t="s">
        <v>951</v>
      </c>
      <c r="B978" t="s">
        <v>952</v>
      </c>
      <c r="C978">
        <v>14370661</v>
      </c>
      <c r="D978">
        <v>1201</v>
      </c>
      <c r="E978" s="6">
        <v>44785</v>
      </c>
      <c r="F978" t="s">
        <v>953</v>
      </c>
      <c r="I978" t="s">
        <v>263</v>
      </c>
      <c r="O978" t="s">
        <v>264</v>
      </c>
      <c r="Q978" t="s">
        <v>264</v>
      </c>
      <c r="R978" t="s">
        <v>524</v>
      </c>
      <c r="T978" t="s">
        <v>266</v>
      </c>
      <c r="U978" t="s">
        <v>267</v>
      </c>
      <c r="V978" t="s">
        <v>525</v>
      </c>
      <c r="W978" t="s">
        <v>526</v>
      </c>
      <c r="X978">
        <v>1933485</v>
      </c>
      <c r="Y978" s="6">
        <v>44791</v>
      </c>
      <c r="Z978" t="s">
        <v>264</v>
      </c>
      <c r="AA978">
        <v>66</v>
      </c>
      <c r="AB978" t="s">
        <v>264</v>
      </c>
      <c r="AD978" t="s">
        <v>264</v>
      </c>
      <c r="AE978" t="s">
        <v>264</v>
      </c>
      <c r="AF978" t="s">
        <v>264</v>
      </c>
      <c r="AG978">
        <v>18</v>
      </c>
      <c r="AH978" t="s">
        <v>264</v>
      </c>
      <c r="AL978" t="s">
        <v>264</v>
      </c>
      <c r="AM978" s="6">
        <v>44785</v>
      </c>
      <c r="AN978" t="s">
        <v>527</v>
      </c>
      <c r="AO978" t="s">
        <v>268</v>
      </c>
      <c r="AP978">
        <v>1201</v>
      </c>
      <c r="AQ978" t="s">
        <v>269</v>
      </c>
      <c r="AR978">
        <v>278167</v>
      </c>
      <c r="AU978" t="s">
        <v>264</v>
      </c>
      <c r="AV978" t="s">
        <v>270</v>
      </c>
      <c r="AX978" t="s">
        <v>264</v>
      </c>
      <c r="AY978">
        <v>920600</v>
      </c>
      <c r="AZ978">
        <v>1201.9205999999999</v>
      </c>
      <c r="BA978" s="28" t="s">
        <v>97</v>
      </c>
    </row>
    <row r="979" spans="1:53">
      <c r="A979" t="s">
        <v>951</v>
      </c>
      <c r="B979" t="s">
        <v>952</v>
      </c>
      <c r="C979">
        <v>14370661</v>
      </c>
      <c r="D979">
        <v>1201</v>
      </c>
      <c r="E979" s="6">
        <v>44785</v>
      </c>
      <c r="F979" t="s">
        <v>953</v>
      </c>
      <c r="I979" t="s">
        <v>263</v>
      </c>
      <c r="O979" t="s">
        <v>264</v>
      </c>
      <c r="Q979" t="s">
        <v>264</v>
      </c>
      <c r="R979" t="s">
        <v>524</v>
      </c>
      <c r="T979" t="s">
        <v>266</v>
      </c>
      <c r="U979" t="s">
        <v>267</v>
      </c>
      <c r="V979" t="s">
        <v>525</v>
      </c>
      <c r="W979" t="s">
        <v>526</v>
      </c>
      <c r="X979">
        <v>1933485</v>
      </c>
      <c r="Y979" s="6">
        <v>44791</v>
      </c>
      <c r="Z979" t="s">
        <v>264</v>
      </c>
      <c r="AA979">
        <v>2</v>
      </c>
      <c r="AB979" t="s">
        <v>264</v>
      </c>
      <c r="AD979" t="s">
        <v>264</v>
      </c>
      <c r="AE979" t="s">
        <v>264</v>
      </c>
      <c r="AF979" t="s">
        <v>264</v>
      </c>
      <c r="AG979">
        <v>88</v>
      </c>
      <c r="AH979" t="s">
        <v>264</v>
      </c>
      <c r="AL979" t="s">
        <v>264</v>
      </c>
      <c r="AM979" s="6">
        <v>44785</v>
      </c>
      <c r="AN979" t="s">
        <v>527</v>
      </c>
      <c r="AO979" t="s">
        <v>268</v>
      </c>
      <c r="AP979">
        <v>1201</v>
      </c>
      <c r="AQ979" t="s">
        <v>269</v>
      </c>
      <c r="AR979">
        <v>278162</v>
      </c>
      <c r="AU979" t="s">
        <v>264</v>
      </c>
      <c r="AV979" t="s">
        <v>270</v>
      </c>
      <c r="AX979" t="s">
        <v>264</v>
      </c>
      <c r="AY979">
        <v>920600</v>
      </c>
      <c r="AZ979">
        <v>1201.9205999999999</v>
      </c>
      <c r="BA979" s="28" t="s">
        <v>97</v>
      </c>
    </row>
    <row r="980" spans="1:53">
      <c r="A980" t="s">
        <v>951</v>
      </c>
      <c r="B980" t="s">
        <v>952</v>
      </c>
      <c r="C980">
        <v>14370661</v>
      </c>
      <c r="D980">
        <v>1201</v>
      </c>
      <c r="E980" s="6">
        <v>44785</v>
      </c>
      <c r="F980" t="s">
        <v>953</v>
      </c>
      <c r="I980" t="s">
        <v>263</v>
      </c>
      <c r="O980" t="s">
        <v>264</v>
      </c>
      <c r="Q980" t="s">
        <v>264</v>
      </c>
      <c r="R980" t="s">
        <v>524</v>
      </c>
      <c r="T980" t="s">
        <v>266</v>
      </c>
      <c r="U980" t="s">
        <v>267</v>
      </c>
      <c r="V980" t="s">
        <v>525</v>
      </c>
      <c r="W980" t="s">
        <v>526</v>
      </c>
      <c r="X980">
        <v>1933485</v>
      </c>
      <c r="Y980" s="6">
        <v>44791</v>
      </c>
      <c r="Z980" t="s">
        <v>264</v>
      </c>
      <c r="AA980">
        <v>4</v>
      </c>
      <c r="AB980" t="s">
        <v>264</v>
      </c>
      <c r="AD980" t="s">
        <v>264</v>
      </c>
      <c r="AE980" t="s">
        <v>264</v>
      </c>
      <c r="AF980" t="s">
        <v>264</v>
      </c>
      <c r="AG980">
        <v>2</v>
      </c>
      <c r="AH980" t="s">
        <v>264</v>
      </c>
      <c r="AL980" t="s">
        <v>264</v>
      </c>
      <c r="AM980" s="6">
        <v>44785</v>
      </c>
      <c r="AN980" t="s">
        <v>527</v>
      </c>
      <c r="AO980" t="s">
        <v>268</v>
      </c>
      <c r="AP980">
        <v>1201</v>
      </c>
      <c r="AQ980" t="s">
        <v>269</v>
      </c>
      <c r="AR980">
        <v>278162</v>
      </c>
      <c r="AU980" t="s">
        <v>264</v>
      </c>
      <c r="AV980" t="s">
        <v>270</v>
      </c>
      <c r="AX980" t="s">
        <v>264</v>
      </c>
      <c r="AY980">
        <v>920600</v>
      </c>
      <c r="AZ980">
        <v>1201.9205999999999</v>
      </c>
      <c r="BA980" s="28" t="s">
        <v>97</v>
      </c>
    </row>
    <row r="981" spans="1:53">
      <c r="A981" t="s">
        <v>951</v>
      </c>
      <c r="B981" t="s">
        <v>952</v>
      </c>
      <c r="C981">
        <v>14370661</v>
      </c>
      <c r="D981">
        <v>1201</v>
      </c>
      <c r="E981" s="6">
        <v>44785</v>
      </c>
      <c r="F981" t="s">
        <v>953</v>
      </c>
      <c r="I981" t="s">
        <v>263</v>
      </c>
      <c r="O981" t="s">
        <v>264</v>
      </c>
      <c r="Q981" t="s">
        <v>264</v>
      </c>
      <c r="R981" t="s">
        <v>524</v>
      </c>
      <c r="T981" t="s">
        <v>266</v>
      </c>
      <c r="U981" t="s">
        <v>267</v>
      </c>
      <c r="V981" t="s">
        <v>525</v>
      </c>
      <c r="W981" t="s">
        <v>526</v>
      </c>
      <c r="X981">
        <v>1933485</v>
      </c>
      <c r="Y981" s="6">
        <v>44791</v>
      </c>
      <c r="Z981" t="s">
        <v>264</v>
      </c>
      <c r="AA981">
        <v>6</v>
      </c>
      <c r="AB981" t="s">
        <v>264</v>
      </c>
      <c r="AD981" t="s">
        <v>264</v>
      </c>
      <c r="AE981" t="s">
        <v>264</v>
      </c>
      <c r="AF981" t="s">
        <v>264</v>
      </c>
      <c r="AG981">
        <v>85</v>
      </c>
      <c r="AH981" t="s">
        <v>264</v>
      </c>
      <c r="AL981" t="s">
        <v>264</v>
      </c>
      <c r="AM981" s="6">
        <v>44785</v>
      </c>
      <c r="AN981" t="s">
        <v>527</v>
      </c>
      <c r="AO981" t="s">
        <v>268</v>
      </c>
      <c r="AP981">
        <v>1201</v>
      </c>
      <c r="AQ981" t="s">
        <v>269</v>
      </c>
      <c r="AR981">
        <v>278162</v>
      </c>
      <c r="AU981" t="s">
        <v>264</v>
      </c>
      <c r="AV981" t="s">
        <v>270</v>
      </c>
      <c r="AX981" t="s">
        <v>264</v>
      </c>
      <c r="AY981">
        <v>920600</v>
      </c>
      <c r="AZ981">
        <v>1201.9205999999999</v>
      </c>
      <c r="BA981" s="28" t="s">
        <v>97</v>
      </c>
    </row>
    <row r="982" spans="1:53">
      <c r="A982" t="s">
        <v>951</v>
      </c>
      <c r="B982" t="s">
        <v>952</v>
      </c>
      <c r="C982">
        <v>14370661</v>
      </c>
      <c r="D982">
        <v>1201</v>
      </c>
      <c r="E982" s="6">
        <v>44785</v>
      </c>
      <c r="F982" t="s">
        <v>953</v>
      </c>
      <c r="I982" t="s">
        <v>263</v>
      </c>
      <c r="O982" t="s">
        <v>264</v>
      </c>
      <c r="Q982" t="s">
        <v>264</v>
      </c>
      <c r="R982" t="s">
        <v>524</v>
      </c>
      <c r="T982" t="s">
        <v>266</v>
      </c>
      <c r="U982" t="s">
        <v>267</v>
      </c>
      <c r="V982" t="s">
        <v>525</v>
      </c>
      <c r="W982" t="s">
        <v>526</v>
      </c>
      <c r="X982">
        <v>1933485</v>
      </c>
      <c r="Y982" s="6">
        <v>44791</v>
      </c>
      <c r="Z982" t="s">
        <v>264</v>
      </c>
      <c r="AA982">
        <v>8</v>
      </c>
      <c r="AB982" t="s">
        <v>264</v>
      </c>
      <c r="AD982" t="s">
        <v>264</v>
      </c>
      <c r="AE982" t="s">
        <v>264</v>
      </c>
      <c r="AF982" t="s">
        <v>264</v>
      </c>
      <c r="AG982">
        <v>77</v>
      </c>
      <c r="AH982" t="s">
        <v>264</v>
      </c>
      <c r="AL982" t="s">
        <v>264</v>
      </c>
      <c r="AM982" s="6">
        <v>44785</v>
      </c>
      <c r="AN982" t="s">
        <v>527</v>
      </c>
      <c r="AO982" t="s">
        <v>268</v>
      </c>
      <c r="AP982">
        <v>1201</v>
      </c>
      <c r="AQ982" t="s">
        <v>269</v>
      </c>
      <c r="AR982">
        <v>278162</v>
      </c>
      <c r="AU982" t="s">
        <v>264</v>
      </c>
      <c r="AV982" t="s">
        <v>270</v>
      </c>
      <c r="AX982" t="s">
        <v>264</v>
      </c>
      <c r="AY982">
        <v>920600</v>
      </c>
      <c r="AZ982">
        <v>1201.9205999999999</v>
      </c>
      <c r="BA982" s="28" t="s">
        <v>97</v>
      </c>
    </row>
    <row r="983" spans="1:53">
      <c r="A983" t="s">
        <v>951</v>
      </c>
      <c r="B983" t="s">
        <v>952</v>
      </c>
      <c r="C983">
        <v>14370661</v>
      </c>
      <c r="D983">
        <v>1201</v>
      </c>
      <c r="E983" s="6">
        <v>44785</v>
      </c>
      <c r="F983" t="s">
        <v>953</v>
      </c>
      <c r="I983" t="s">
        <v>263</v>
      </c>
      <c r="O983" t="s">
        <v>264</v>
      </c>
      <c r="Q983" t="s">
        <v>264</v>
      </c>
      <c r="R983" t="s">
        <v>524</v>
      </c>
      <c r="T983" t="s">
        <v>266</v>
      </c>
      <c r="U983" t="s">
        <v>267</v>
      </c>
      <c r="V983" t="s">
        <v>525</v>
      </c>
      <c r="W983" t="s">
        <v>526</v>
      </c>
      <c r="X983">
        <v>1933485</v>
      </c>
      <c r="Y983" s="6">
        <v>44791</v>
      </c>
      <c r="Z983" t="s">
        <v>264</v>
      </c>
      <c r="AA983">
        <v>14</v>
      </c>
      <c r="AB983" t="s">
        <v>264</v>
      </c>
      <c r="AD983" t="s">
        <v>264</v>
      </c>
      <c r="AE983" t="s">
        <v>264</v>
      </c>
      <c r="AF983" t="s">
        <v>264</v>
      </c>
      <c r="AG983">
        <v>56</v>
      </c>
      <c r="AH983" t="s">
        <v>264</v>
      </c>
      <c r="AL983" t="s">
        <v>264</v>
      </c>
      <c r="AM983" s="6">
        <v>44785</v>
      </c>
      <c r="AN983" t="s">
        <v>527</v>
      </c>
      <c r="AO983" t="s">
        <v>268</v>
      </c>
      <c r="AP983">
        <v>1201</v>
      </c>
      <c r="AQ983" t="s">
        <v>269</v>
      </c>
      <c r="AR983">
        <v>278163</v>
      </c>
      <c r="AU983" t="s">
        <v>264</v>
      </c>
      <c r="AV983" t="s">
        <v>270</v>
      </c>
      <c r="AX983" t="s">
        <v>264</v>
      </c>
      <c r="AY983">
        <v>920600</v>
      </c>
      <c r="AZ983">
        <v>1201.9205999999999</v>
      </c>
      <c r="BA983" s="28" t="s">
        <v>97</v>
      </c>
    </row>
    <row r="984" spans="1:53">
      <c r="A984" t="s">
        <v>951</v>
      </c>
      <c r="B984" t="s">
        <v>952</v>
      </c>
      <c r="C984">
        <v>14370661</v>
      </c>
      <c r="D984">
        <v>1201</v>
      </c>
      <c r="E984" s="6">
        <v>44785</v>
      </c>
      <c r="F984" t="s">
        <v>953</v>
      </c>
      <c r="I984" t="s">
        <v>263</v>
      </c>
      <c r="O984" t="s">
        <v>264</v>
      </c>
      <c r="Q984" t="s">
        <v>264</v>
      </c>
      <c r="R984" t="s">
        <v>524</v>
      </c>
      <c r="T984" t="s">
        <v>266</v>
      </c>
      <c r="U984" t="s">
        <v>267</v>
      </c>
      <c r="V984" t="s">
        <v>525</v>
      </c>
      <c r="W984" t="s">
        <v>526</v>
      </c>
      <c r="X984">
        <v>1933485</v>
      </c>
      <c r="Y984" s="6">
        <v>44791</v>
      </c>
      <c r="Z984" t="s">
        <v>264</v>
      </c>
      <c r="AA984">
        <v>16</v>
      </c>
      <c r="AB984" t="s">
        <v>264</v>
      </c>
      <c r="AD984" t="s">
        <v>264</v>
      </c>
      <c r="AE984" t="s">
        <v>264</v>
      </c>
      <c r="AF984" t="s">
        <v>264</v>
      </c>
      <c r="AG984">
        <v>10</v>
      </c>
      <c r="AH984" t="s">
        <v>264</v>
      </c>
      <c r="AL984" t="s">
        <v>264</v>
      </c>
      <c r="AM984" s="6">
        <v>44785</v>
      </c>
      <c r="AN984" t="s">
        <v>527</v>
      </c>
      <c r="AO984" t="s">
        <v>268</v>
      </c>
      <c r="AP984">
        <v>1201</v>
      </c>
      <c r="AQ984" t="s">
        <v>269</v>
      </c>
      <c r="AR984">
        <v>278163</v>
      </c>
      <c r="AU984" t="s">
        <v>264</v>
      </c>
      <c r="AV984" t="s">
        <v>270</v>
      </c>
      <c r="AX984" t="s">
        <v>264</v>
      </c>
      <c r="AY984">
        <v>920600</v>
      </c>
      <c r="AZ984">
        <v>1201.9205999999999</v>
      </c>
      <c r="BA984" s="28" t="s">
        <v>97</v>
      </c>
    </row>
    <row r="985" spans="1:53">
      <c r="A985" t="s">
        <v>951</v>
      </c>
      <c r="B985" t="s">
        <v>952</v>
      </c>
      <c r="C985">
        <v>14370661</v>
      </c>
      <c r="D985">
        <v>1201</v>
      </c>
      <c r="E985" s="6">
        <v>44785</v>
      </c>
      <c r="F985" t="s">
        <v>953</v>
      </c>
      <c r="I985" t="s">
        <v>263</v>
      </c>
      <c r="O985" t="s">
        <v>264</v>
      </c>
      <c r="Q985" t="s">
        <v>264</v>
      </c>
      <c r="R985" t="s">
        <v>524</v>
      </c>
      <c r="T985" t="s">
        <v>266</v>
      </c>
      <c r="U985" t="s">
        <v>267</v>
      </c>
      <c r="V985" t="s">
        <v>525</v>
      </c>
      <c r="W985" t="s">
        <v>526</v>
      </c>
      <c r="X985">
        <v>1933485</v>
      </c>
      <c r="Y985" s="6">
        <v>44791</v>
      </c>
      <c r="Z985" t="s">
        <v>264</v>
      </c>
      <c r="AA985">
        <v>18</v>
      </c>
      <c r="AB985" t="s">
        <v>264</v>
      </c>
      <c r="AD985" t="s">
        <v>264</v>
      </c>
      <c r="AE985" t="s">
        <v>264</v>
      </c>
      <c r="AF985" t="s">
        <v>264</v>
      </c>
      <c r="AG985">
        <v>112</v>
      </c>
      <c r="AH985" t="s">
        <v>264</v>
      </c>
      <c r="AL985" t="s">
        <v>264</v>
      </c>
      <c r="AM985" s="6">
        <v>44785</v>
      </c>
      <c r="AN985" t="s">
        <v>527</v>
      </c>
      <c r="AO985" t="s">
        <v>268</v>
      </c>
      <c r="AP985">
        <v>1201</v>
      </c>
      <c r="AQ985" t="s">
        <v>269</v>
      </c>
      <c r="AR985">
        <v>278163</v>
      </c>
      <c r="AU985" t="s">
        <v>264</v>
      </c>
      <c r="AV985" t="s">
        <v>270</v>
      </c>
      <c r="AX985" t="s">
        <v>264</v>
      </c>
      <c r="AY985">
        <v>920600</v>
      </c>
      <c r="AZ985">
        <v>1201.9205999999999</v>
      </c>
      <c r="BA985" s="28" t="s">
        <v>97</v>
      </c>
    </row>
    <row r="986" spans="1:53">
      <c r="A986" t="s">
        <v>951</v>
      </c>
      <c r="B986" t="s">
        <v>952</v>
      </c>
      <c r="C986">
        <v>14370661</v>
      </c>
      <c r="D986">
        <v>1201</v>
      </c>
      <c r="E986" s="6">
        <v>44785</v>
      </c>
      <c r="F986" t="s">
        <v>953</v>
      </c>
      <c r="I986" t="s">
        <v>263</v>
      </c>
      <c r="O986" t="s">
        <v>264</v>
      </c>
      <c r="Q986" t="s">
        <v>264</v>
      </c>
      <c r="R986" t="s">
        <v>524</v>
      </c>
      <c r="T986" t="s">
        <v>266</v>
      </c>
      <c r="U986" t="s">
        <v>267</v>
      </c>
      <c r="V986" t="s">
        <v>525</v>
      </c>
      <c r="W986" t="s">
        <v>526</v>
      </c>
      <c r="X986">
        <v>1933485</v>
      </c>
      <c r="Y986" s="6">
        <v>44791</v>
      </c>
      <c r="Z986" t="s">
        <v>264</v>
      </c>
      <c r="AA986">
        <v>24</v>
      </c>
      <c r="AB986" t="s">
        <v>264</v>
      </c>
      <c r="AD986" t="s">
        <v>264</v>
      </c>
      <c r="AE986" t="s">
        <v>264</v>
      </c>
      <c r="AF986" t="s">
        <v>264</v>
      </c>
      <c r="AG986">
        <v>1</v>
      </c>
      <c r="AH986" t="s">
        <v>264</v>
      </c>
      <c r="AL986" t="s">
        <v>264</v>
      </c>
      <c r="AM986" s="6">
        <v>44785</v>
      </c>
      <c r="AN986" t="s">
        <v>527</v>
      </c>
      <c r="AO986" t="s">
        <v>268</v>
      </c>
      <c r="AP986">
        <v>1201</v>
      </c>
      <c r="AQ986" t="s">
        <v>269</v>
      </c>
      <c r="AR986">
        <v>278163</v>
      </c>
      <c r="AU986" t="s">
        <v>264</v>
      </c>
      <c r="AV986" t="s">
        <v>270</v>
      </c>
      <c r="AX986" t="s">
        <v>264</v>
      </c>
      <c r="AY986">
        <v>920600</v>
      </c>
      <c r="AZ986">
        <v>1201.9205999999999</v>
      </c>
      <c r="BA986" s="28" t="s">
        <v>97</v>
      </c>
    </row>
    <row r="987" spans="1:53">
      <c r="A987" t="s">
        <v>951</v>
      </c>
      <c r="B987" t="s">
        <v>952</v>
      </c>
      <c r="C987">
        <v>14370661</v>
      </c>
      <c r="D987">
        <v>1201</v>
      </c>
      <c r="E987" s="6">
        <v>44785</v>
      </c>
      <c r="F987" t="s">
        <v>953</v>
      </c>
      <c r="I987" t="s">
        <v>263</v>
      </c>
      <c r="O987" t="s">
        <v>264</v>
      </c>
      <c r="Q987" t="s">
        <v>264</v>
      </c>
      <c r="R987" t="s">
        <v>524</v>
      </c>
      <c r="T987" t="s">
        <v>266</v>
      </c>
      <c r="U987" t="s">
        <v>267</v>
      </c>
      <c r="V987" t="s">
        <v>525</v>
      </c>
      <c r="W987" t="s">
        <v>526</v>
      </c>
      <c r="X987">
        <v>1933485</v>
      </c>
      <c r="Y987" s="6">
        <v>44791</v>
      </c>
      <c r="Z987" t="s">
        <v>264</v>
      </c>
      <c r="AA987">
        <v>26</v>
      </c>
      <c r="AB987" t="s">
        <v>264</v>
      </c>
      <c r="AD987" t="s">
        <v>264</v>
      </c>
      <c r="AE987" t="s">
        <v>264</v>
      </c>
      <c r="AF987" t="s">
        <v>264</v>
      </c>
      <c r="AG987">
        <v>74</v>
      </c>
      <c r="AH987" t="s">
        <v>264</v>
      </c>
      <c r="AL987" t="s">
        <v>264</v>
      </c>
      <c r="AM987" s="6">
        <v>44785</v>
      </c>
      <c r="AN987" t="s">
        <v>527</v>
      </c>
      <c r="AO987" t="s">
        <v>268</v>
      </c>
      <c r="AP987">
        <v>1201</v>
      </c>
      <c r="AQ987" t="s">
        <v>269</v>
      </c>
      <c r="AR987">
        <v>278164</v>
      </c>
      <c r="AU987" t="s">
        <v>264</v>
      </c>
      <c r="AV987" t="s">
        <v>270</v>
      </c>
      <c r="AX987" t="s">
        <v>264</v>
      </c>
      <c r="AY987">
        <v>920600</v>
      </c>
      <c r="AZ987">
        <v>1201.9205999999999</v>
      </c>
      <c r="BA987" s="28" t="s">
        <v>97</v>
      </c>
    </row>
    <row r="988" spans="1:53">
      <c r="A988" t="s">
        <v>951</v>
      </c>
      <c r="B988" t="s">
        <v>952</v>
      </c>
      <c r="C988">
        <v>14370661</v>
      </c>
      <c r="D988">
        <v>1201</v>
      </c>
      <c r="E988" s="6">
        <v>44785</v>
      </c>
      <c r="F988" t="s">
        <v>953</v>
      </c>
      <c r="I988" t="s">
        <v>263</v>
      </c>
      <c r="O988" t="s">
        <v>264</v>
      </c>
      <c r="Q988" t="s">
        <v>264</v>
      </c>
      <c r="R988" t="s">
        <v>524</v>
      </c>
      <c r="T988" t="s">
        <v>266</v>
      </c>
      <c r="U988" t="s">
        <v>267</v>
      </c>
      <c r="V988" t="s">
        <v>525</v>
      </c>
      <c r="W988" t="s">
        <v>526</v>
      </c>
      <c r="X988">
        <v>1933485</v>
      </c>
      <c r="Y988" s="6">
        <v>44791</v>
      </c>
      <c r="Z988" t="s">
        <v>264</v>
      </c>
      <c r="AA988">
        <v>28</v>
      </c>
      <c r="AB988" t="s">
        <v>264</v>
      </c>
      <c r="AD988" t="s">
        <v>264</v>
      </c>
      <c r="AE988" t="s">
        <v>264</v>
      </c>
      <c r="AF988" t="s">
        <v>264</v>
      </c>
      <c r="AG988">
        <v>107</v>
      </c>
      <c r="AH988" t="s">
        <v>264</v>
      </c>
      <c r="AL988" t="s">
        <v>264</v>
      </c>
      <c r="AM988" s="6">
        <v>44785</v>
      </c>
      <c r="AN988" t="s">
        <v>527</v>
      </c>
      <c r="AO988" t="s">
        <v>268</v>
      </c>
      <c r="AP988">
        <v>1201</v>
      </c>
      <c r="AQ988" t="s">
        <v>269</v>
      </c>
      <c r="AR988">
        <v>278164</v>
      </c>
      <c r="AU988" t="s">
        <v>264</v>
      </c>
      <c r="AV988" t="s">
        <v>270</v>
      </c>
      <c r="AX988" t="s">
        <v>264</v>
      </c>
      <c r="AY988">
        <v>920600</v>
      </c>
      <c r="AZ988">
        <v>1201.9205999999999</v>
      </c>
      <c r="BA988" s="28" t="s">
        <v>97</v>
      </c>
    </row>
    <row r="989" spans="1:53">
      <c r="A989" t="s">
        <v>951</v>
      </c>
      <c r="B989" t="s">
        <v>952</v>
      </c>
      <c r="C989">
        <v>14370661</v>
      </c>
      <c r="D989">
        <v>1201</v>
      </c>
      <c r="E989" s="6">
        <v>44785</v>
      </c>
      <c r="F989" t="s">
        <v>953</v>
      </c>
      <c r="I989" t="s">
        <v>263</v>
      </c>
      <c r="O989" t="s">
        <v>264</v>
      </c>
      <c r="Q989" t="s">
        <v>264</v>
      </c>
      <c r="R989" t="s">
        <v>524</v>
      </c>
      <c r="T989" t="s">
        <v>266</v>
      </c>
      <c r="U989" t="s">
        <v>267</v>
      </c>
      <c r="V989" t="s">
        <v>525</v>
      </c>
      <c r="W989" t="s">
        <v>526</v>
      </c>
      <c r="X989">
        <v>1933485</v>
      </c>
      <c r="Y989" s="6">
        <v>44791</v>
      </c>
      <c r="Z989" t="s">
        <v>264</v>
      </c>
      <c r="AA989">
        <v>30</v>
      </c>
      <c r="AB989" t="s">
        <v>264</v>
      </c>
      <c r="AD989" t="s">
        <v>264</v>
      </c>
      <c r="AE989" t="s">
        <v>264</v>
      </c>
      <c r="AF989" t="s">
        <v>264</v>
      </c>
      <c r="AG989">
        <v>6</v>
      </c>
      <c r="AH989" t="s">
        <v>264</v>
      </c>
      <c r="AL989" t="s">
        <v>264</v>
      </c>
      <c r="AM989" s="6">
        <v>44785</v>
      </c>
      <c r="AN989" t="s">
        <v>527</v>
      </c>
      <c r="AO989" t="s">
        <v>268</v>
      </c>
      <c r="AP989">
        <v>1201</v>
      </c>
      <c r="AQ989" t="s">
        <v>269</v>
      </c>
      <c r="AR989">
        <v>278164</v>
      </c>
      <c r="AU989" t="s">
        <v>264</v>
      </c>
      <c r="AV989" t="s">
        <v>270</v>
      </c>
      <c r="AX989" t="s">
        <v>264</v>
      </c>
      <c r="AY989">
        <v>920600</v>
      </c>
      <c r="AZ989">
        <v>1201.9205999999999</v>
      </c>
      <c r="BA989" s="28" t="s">
        <v>97</v>
      </c>
    </row>
    <row r="990" spans="1:53">
      <c r="A990" t="s">
        <v>951</v>
      </c>
      <c r="B990" t="s">
        <v>952</v>
      </c>
      <c r="C990">
        <v>14370661</v>
      </c>
      <c r="D990">
        <v>1201</v>
      </c>
      <c r="E990" s="6">
        <v>44785</v>
      </c>
      <c r="F990" t="s">
        <v>953</v>
      </c>
      <c r="I990" t="s">
        <v>263</v>
      </c>
      <c r="O990" t="s">
        <v>264</v>
      </c>
      <c r="Q990" t="s">
        <v>264</v>
      </c>
      <c r="R990" t="s">
        <v>524</v>
      </c>
      <c r="T990" t="s">
        <v>266</v>
      </c>
      <c r="U990" t="s">
        <v>267</v>
      </c>
      <c r="V990" t="s">
        <v>525</v>
      </c>
      <c r="W990" t="s">
        <v>526</v>
      </c>
      <c r="X990">
        <v>1933485</v>
      </c>
      <c r="Y990" s="6">
        <v>44791</v>
      </c>
      <c r="Z990" t="s">
        <v>264</v>
      </c>
      <c r="AA990">
        <v>32</v>
      </c>
      <c r="AB990" t="s">
        <v>264</v>
      </c>
      <c r="AD990" t="s">
        <v>264</v>
      </c>
      <c r="AE990" t="s">
        <v>264</v>
      </c>
      <c r="AF990" t="s">
        <v>264</v>
      </c>
      <c r="AG990">
        <v>37</v>
      </c>
      <c r="AH990" t="s">
        <v>264</v>
      </c>
      <c r="AL990" t="s">
        <v>264</v>
      </c>
      <c r="AM990" s="6">
        <v>44785</v>
      </c>
      <c r="AN990" t="s">
        <v>527</v>
      </c>
      <c r="AO990" t="s">
        <v>268</v>
      </c>
      <c r="AP990">
        <v>1201</v>
      </c>
      <c r="AQ990" t="s">
        <v>269</v>
      </c>
      <c r="AR990">
        <v>278164</v>
      </c>
      <c r="AU990" t="s">
        <v>264</v>
      </c>
      <c r="AV990" t="s">
        <v>270</v>
      </c>
      <c r="AX990" t="s">
        <v>264</v>
      </c>
      <c r="AY990">
        <v>920600</v>
      </c>
      <c r="AZ990">
        <v>1201.9205999999999</v>
      </c>
      <c r="BA990" s="28" t="s">
        <v>97</v>
      </c>
    </row>
    <row r="991" spans="1:53">
      <c r="A991" t="s">
        <v>951</v>
      </c>
      <c r="B991" t="s">
        <v>952</v>
      </c>
      <c r="C991">
        <v>14370661</v>
      </c>
      <c r="D991">
        <v>1201</v>
      </c>
      <c r="E991" s="6">
        <v>44785</v>
      </c>
      <c r="F991" t="s">
        <v>953</v>
      </c>
      <c r="I991" t="s">
        <v>263</v>
      </c>
      <c r="O991" t="s">
        <v>264</v>
      </c>
      <c r="Q991" t="s">
        <v>264</v>
      </c>
      <c r="R991" t="s">
        <v>524</v>
      </c>
      <c r="T991" t="s">
        <v>266</v>
      </c>
      <c r="U991" t="s">
        <v>267</v>
      </c>
      <c r="V991" t="s">
        <v>525</v>
      </c>
      <c r="W991" t="s">
        <v>526</v>
      </c>
      <c r="X991">
        <v>1933485</v>
      </c>
      <c r="Y991" s="6">
        <v>44791</v>
      </c>
      <c r="Z991" t="s">
        <v>264</v>
      </c>
      <c r="AA991">
        <v>34</v>
      </c>
      <c r="AB991" t="s">
        <v>264</v>
      </c>
      <c r="AD991" t="s">
        <v>264</v>
      </c>
      <c r="AE991" t="s">
        <v>264</v>
      </c>
      <c r="AF991" t="s">
        <v>264</v>
      </c>
      <c r="AG991">
        <v>4</v>
      </c>
      <c r="AH991" t="s">
        <v>264</v>
      </c>
      <c r="AL991" t="s">
        <v>264</v>
      </c>
      <c r="AM991" s="6">
        <v>44785</v>
      </c>
      <c r="AN991" t="s">
        <v>527</v>
      </c>
      <c r="AO991" t="s">
        <v>268</v>
      </c>
      <c r="AP991">
        <v>1201</v>
      </c>
      <c r="AQ991" t="s">
        <v>269</v>
      </c>
      <c r="AR991">
        <v>278164</v>
      </c>
      <c r="AU991" t="s">
        <v>264</v>
      </c>
      <c r="AV991" t="s">
        <v>270</v>
      </c>
      <c r="AX991" t="s">
        <v>264</v>
      </c>
      <c r="AY991">
        <v>920600</v>
      </c>
      <c r="AZ991">
        <v>1201.9205999999999</v>
      </c>
      <c r="BA991" s="28" t="s">
        <v>97</v>
      </c>
    </row>
    <row r="992" spans="1:53">
      <c r="A992" t="s">
        <v>951</v>
      </c>
      <c r="B992" t="s">
        <v>952</v>
      </c>
      <c r="C992">
        <v>14370661</v>
      </c>
      <c r="D992">
        <v>1201</v>
      </c>
      <c r="E992" s="6">
        <v>44785</v>
      </c>
      <c r="F992" t="s">
        <v>953</v>
      </c>
      <c r="I992" t="s">
        <v>263</v>
      </c>
      <c r="O992" t="s">
        <v>264</v>
      </c>
      <c r="Q992" t="s">
        <v>264</v>
      </c>
      <c r="R992" t="s">
        <v>524</v>
      </c>
      <c r="T992" t="s">
        <v>266</v>
      </c>
      <c r="U992" t="s">
        <v>267</v>
      </c>
      <c r="V992" t="s">
        <v>525</v>
      </c>
      <c r="W992" t="s">
        <v>526</v>
      </c>
      <c r="X992">
        <v>1933485</v>
      </c>
      <c r="Y992" s="6">
        <v>44791</v>
      </c>
      <c r="Z992" t="s">
        <v>264</v>
      </c>
      <c r="AA992">
        <v>36</v>
      </c>
      <c r="AB992" t="s">
        <v>264</v>
      </c>
      <c r="AD992" t="s">
        <v>264</v>
      </c>
      <c r="AE992" t="s">
        <v>264</v>
      </c>
      <c r="AF992" t="s">
        <v>264</v>
      </c>
      <c r="AG992">
        <v>66</v>
      </c>
      <c r="AH992" t="s">
        <v>264</v>
      </c>
      <c r="AL992" t="s">
        <v>264</v>
      </c>
      <c r="AM992" s="6">
        <v>44785</v>
      </c>
      <c r="AN992" t="s">
        <v>527</v>
      </c>
      <c r="AO992" t="s">
        <v>268</v>
      </c>
      <c r="AP992">
        <v>1201</v>
      </c>
      <c r="AQ992" t="s">
        <v>269</v>
      </c>
      <c r="AR992">
        <v>278165</v>
      </c>
      <c r="AU992" t="s">
        <v>264</v>
      </c>
      <c r="AV992" t="s">
        <v>270</v>
      </c>
      <c r="AX992" t="s">
        <v>264</v>
      </c>
      <c r="AY992">
        <v>920600</v>
      </c>
      <c r="AZ992">
        <v>1201.9205999999999</v>
      </c>
      <c r="BA992" s="28" t="s">
        <v>97</v>
      </c>
    </row>
    <row r="993" spans="1:53">
      <c r="A993" t="s">
        <v>951</v>
      </c>
      <c r="B993" t="s">
        <v>952</v>
      </c>
      <c r="C993">
        <v>14370661</v>
      </c>
      <c r="D993">
        <v>1201</v>
      </c>
      <c r="E993" s="6">
        <v>44785</v>
      </c>
      <c r="F993" t="s">
        <v>953</v>
      </c>
      <c r="I993" t="s">
        <v>263</v>
      </c>
      <c r="O993" t="s">
        <v>264</v>
      </c>
      <c r="Q993" t="s">
        <v>264</v>
      </c>
      <c r="R993" t="s">
        <v>524</v>
      </c>
      <c r="T993" t="s">
        <v>266</v>
      </c>
      <c r="U993" t="s">
        <v>267</v>
      </c>
      <c r="V993" t="s">
        <v>525</v>
      </c>
      <c r="W993" t="s">
        <v>526</v>
      </c>
      <c r="X993">
        <v>1933485</v>
      </c>
      <c r="Y993" s="6">
        <v>44791</v>
      </c>
      <c r="Z993" t="s">
        <v>264</v>
      </c>
      <c r="AA993">
        <v>38</v>
      </c>
      <c r="AB993" t="s">
        <v>264</v>
      </c>
      <c r="AD993" t="s">
        <v>264</v>
      </c>
      <c r="AE993" t="s">
        <v>264</v>
      </c>
      <c r="AF993" t="s">
        <v>264</v>
      </c>
      <c r="AG993">
        <v>13</v>
      </c>
      <c r="AH993" t="s">
        <v>264</v>
      </c>
      <c r="AL993" t="s">
        <v>264</v>
      </c>
      <c r="AM993" s="6">
        <v>44785</v>
      </c>
      <c r="AN993" t="s">
        <v>527</v>
      </c>
      <c r="AO993" t="s">
        <v>268</v>
      </c>
      <c r="AP993">
        <v>1201</v>
      </c>
      <c r="AQ993" t="s">
        <v>269</v>
      </c>
      <c r="AR993">
        <v>278165</v>
      </c>
      <c r="AU993" t="s">
        <v>264</v>
      </c>
      <c r="AV993" t="s">
        <v>270</v>
      </c>
      <c r="AX993" t="s">
        <v>264</v>
      </c>
      <c r="AY993">
        <v>920600</v>
      </c>
      <c r="AZ993">
        <v>1201.9205999999999</v>
      </c>
      <c r="BA993" s="28" t="s">
        <v>97</v>
      </c>
    </row>
    <row r="994" spans="1:53">
      <c r="A994" t="s">
        <v>951</v>
      </c>
      <c r="B994" t="s">
        <v>952</v>
      </c>
      <c r="C994">
        <v>14370661</v>
      </c>
      <c r="D994">
        <v>1201</v>
      </c>
      <c r="E994" s="6">
        <v>44785</v>
      </c>
      <c r="F994" t="s">
        <v>953</v>
      </c>
      <c r="I994" t="s">
        <v>263</v>
      </c>
      <c r="O994" t="s">
        <v>264</v>
      </c>
      <c r="Q994" t="s">
        <v>264</v>
      </c>
      <c r="R994" t="s">
        <v>524</v>
      </c>
      <c r="T994" t="s">
        <v>266</v>
      </c>
      <c r="U994" t="s">
        <v>267</v>
      </c>
      <c r="V994" t="s">
        <v>525</v>
      </c>
      <c r="W994" t="s">
        <v>526</v>
      </c>
      <c r="X994">
        <v>1933485</v>
      </c>
      <c r="Y994" s="6">
        <v>44791</v>
      </c>
      <c r="Z994" t="s">
        <v>264</v>
      </c>
      <c r="AA994">
        <v>186</v>
      </c>
      <c r="AB994" t="s">
        <v>264</v>
      </c>
      <c r="AD994" t="s">
        <v>264</v>
      </c>
      <c r="AE994" t="s">
        <v>264</v>
      </c>
      <c r="AF994" t="s">
        <v>264</v>
      </c>
      <c r="AG994">
        <v>93</v>
      </c>
      <c r="AH994" t="s">
        <v>264</v>
      </c>
      <c r="AL994" t="s">
        <v>264</v>
      </c>
      <c r="AM994" s="6">
        <v>44785</v>
      </c>
      <c r="AN994" t="s">
        <v>527</v>
      </c>
      <c r="AO994" t="s">
        <v>268</v>
      </c>
      <c r="AP994">
        <v>1201</v>
      </c>
      <c r="AQ994" t="s">
        <v>269</v>
      </c>
      <c r="AR994">
        <v>278203</v>
      </c>
      <c r="AU994" t="s">
        <v>264</v>
      </c>
      <c r="AV994" t="s">
        <v>270</v>
      </c>
      <c r="AX994" t="s">
        <v>264</v>
      </c>
      <c r="AY994">
        <v>920600</v>
      </c>
      <c r="AZ994">
        <v>1201.9205999999999</v>
      </c>
      <c r="BA994" s="28" t="s">
        <v>97</v>
      </c>
    </row>
    <row r="995" spans="1:53">
      <c r="A995" t="s">
        <v>951</v>
      </c>
      <c r="B995" t="s">
        <v>952</v>
      </c>
      <c r="C995">
        <v>14370661</v>
      </c>
      <c r="D995">
        <v>1201</v>
      </c>
      <c r="E995" s="6">
        <v>44785</v>
      </c>
      <c r="F995" t="s">
        <v>953</v>
      </c>
      <c r="I995" t="s">
        <v>263</v>
      </c>
      <c r="O995" t="s">
        <v>264</v>
      </c>
      <c r="Q995" t="s">
        <v>264</v>
      </c>
      <c r="R995" t="s">
        <v>524</v>
      </c>
      <c r="T995" t="s">
        <v>266</v>
      </c>
      <c r="U995" t="s">
        <v>267</v>
      </c>
      <c r="V995" t="s">
        <v>525</v>
      </c>
      <c r="W995" t="s">
        <v>526</v>
      </c>
      <c r="X995">
        <v>1933485</v>
      </c>
      <c r="Y995" s="6">
        <v>44791</v>
      </c>
      <c r="Z995" t="s">
        <v>264</v>
      </c>
      <c r="AA995">
        <v>152</v>
      </c>
      <c r="AB995" t="s">
        <v>264</v>
      </c>
      <c r="AD995" t="s">
        <v>264</v>
      </c>
      <c r="AE995" t="s">
        <v>264</v>
      </c>
      <c r="AF995" t="s">
        <v>264</v>
      </c>
      <c r="AG995">
        <v>39</v>
      </c>
      <c r="AH995" t="s">
        <v>264</v>
      </c>
      <c r="AL995" t="s">
        <v>264</v>
      </c>
      <c r="AM995" s="6">
        <v>44785</v>
      </c>
      <c r="AN995" t="s">
        <v>527</v>
      </c>
      <c r="AO995" t="s">
        <v>268</v>
      </c>
      <c r="AP995">
        <v>1201</v>
      </c>
      <c r="AQ995" t="s">
        <v>269</v>
      </c>
      <c r="AR995">
        <v>278178</v>
      </c>
      <c r="AU995" t="s">
        <v>264</v>
      </c>
      <c r="AV995" t="s">
        <v>270</v>
      </c>
      <c r="AX995" t="s">
        <v>264</v>
      </c>
      <c r="AY995">
        <v>920600</v>
      </c>
      <c r="AZ995">
        <v>1201.9205999999999</v>
      </c>
      <c r="BA995" s="28" t="s">
        <v>97</v>
      </c>
    </row>
    <row r="996" spans="1:53">
      <c r="A996" t="s">
        <v>951</v>
      </c>
      <c r="B996" t="s">
        <v>952</v>
      </c>
      <c r="C996">
        <v>14370661</v>
      </c>
      <c r="D996">
        <v>1201</v>
      </c>
      <c r="E996" s="6">
        <v>44785</v>
      </c>
      <c r="F996" t="s">
        <v>953</v>
      </c>
      <c r="I996" t="s">
        <v>263</v>
      </c>
      <c r="O996" t="s">
        <v>264</v>
      </c>
      <c r="Q996" t="s">
        <v>264</v>
      </c>
      <c r="R996" t="s">
        <v>524</v>
      </c>
      <c r="T996" t="s">
        <v>266</v>
      </c>
      <c r="U996" t="s">
        <v>267</v>
      </c>
      <c r="V996" t="s">
        <v>525</v>
      </c>
      <c r="W996" t="s">
        <v>526</v>
      </c>
      <c r="X996">
        <v>1933485</v>
      </c>
      <c r="Y996" s="6">
        <v>44791</v>
      </c>
      <c r="Z996" t="s">
        <v>264</v>
      </c>
      <c r="AA996">
        <v>154</v>
      </c>
      <c r="AB996" t="s">
        <v>264</v>
      </c>
      <c r="AD996" t="s">
        <v>264</v>
      </c>
      <c r="AE996" t="s">
        <v>264</v>
      </c>
      <c r="AF996" t="s">
        <v>264</v>
      </c>
      <c r="AG996">
        <v>19</v>
      </c>
      <c r="AH996" t="s">
        <v>264</v>
      </c>
      <c r="AL996" t="s">
        <v>264</v>
      </c>
      <c r="AM996" s="6">
        <v>44785</v>
      </c>
      <c r="AN996" t="s">
        <v>527</v>
      </c>
      <c r="AO996" t="s">
        <v>268</v>
      </c>
      <c r="AP996">
        <v>1201</v>
      </c>
      <c r="AQ996" t="s">
        <v>269</v>
      </c>
      <c r="AR996">
        <v>278178</v>
      </c>
      <c r="AU996" t="s">
        <v>264</v>
      </c>
      <c r="AV996" t="s">
        <v>270</v>
      </c>
      <c r="AX996" t="s">
        <v>264</v>
      </c>
      <c r="AY996">
        <v>920600</v>
      </c>
      <c r="AZ996">
        <v>1201.9205999999999</v>
      </c>
      <c r="BA996" s="28" t="s">
        <v>97</v>
      </c>
    </row>
    <row r="997" spans="1:53">
      <c r="A997" t="s">
        <v>951</v>
      </c>
      <c r="B997" t="s">
        <v>952</v>
      </c>
      <c r="C997">
        <v>14370661</v>
      </c>
      <c r="D997">
        <v>1201</v>
      </c>
      <c r="E997" s="6">
        <v>44785</v>
      </c>
      <c r="F997" t="s">
        <v>953</v>
      </c>
      <c r="I997" t="s">
        <v>263</v>
      </c>
      <c r="O997" t="s">
        <v>264</v>
      </c>
      <c r="Q997" t="s">
        <v>264</v>
      </c>
      <c r="R997" t="s">
        <v>524</v>
      </c>
      <c r="T997" t="s">
        <v>266</v>
      </c>
      <c r="U997" t="s">
        <v>267</v>
      </c>
      <c r="V997" t="s">
        <v>525</v>
      </c>
      <c r="W997" t="s">
        <v>526</v>
      </c>
      <c r="X997">
        <v>1933485</v>
      </c>
      <c r="Y997" s="6">
        <v>44791</v>
      </c>
      <c r="Z997" t="s">
        <v>264</v>
      </c>
      <c r="AA997">
        <v>170</v>
      </c>
      <c r="AB997" t="s">
        <v>264</v>
      </c>
      <c r="AD997" t="s">
        <v>264</v>
      </c>
      <c r="AE997" t="s">
        <v>264</v>
      </c>
      <c r="AF997" t="s">
        <v>264</v>
      </c>
      <c r="AG997">
        <v>112</v>
      </c>
      <c r="AH997" t="s">
        <v>264</v>
      </c>
      <c r="AL997" t="s">
        <v>264</v>
      </c>
      <c r="AM997" s="6">
        <v>44785</v>
      </c>
      <c r="AN997" t="s">
        <v>527</v>
      </c>
      <c r="AO997" t="s">
        <v>268</v>
      </c>
      <c r="AP997">
        <v>1201</v>
      </c>
      <c r="AQ997" t="s">
        <v>269</v>
      </c>
      <c r="AR997">
        <v>280140</v>
      </c>
      <c r="AU997" t="s">
        <v>264</v>
      </c>
      <c r="AV997" t="s">
        <v>270</v>
      </c>
      <c r="AX997" t="s">
        <v>264</v>
      </c>
      <c r="AY997">
        <v>920600</v>
      </c>
      <c r="AZ997">
        <v>1201.9205999999999</v>
      </c>
      <c r="BA997" s="28" t="s">
        <v>97</v>
      </c>
    </row>
    <row r="998" spans="1:53">
      <c r="A998" t="s">
        <v>951</v>
      </c>
      <c r="B998" t="s">
        <v>952</v>
      </c>
      <c r="C998">
        <v>14370661</v>
      </c>
      <c r="D998">
        <v>1201</v>
      </c>
      <c r="E998" s="6">
        <v>44785</v>
      </c>
      <c r="F998" t="s">
        <v>953</v>
      </c>
      <c r="I998" t="s">
        <v>263</v>
      </c>
      <c r="O998" t="s">
        <v>264</v>
      </c>
      <c r="Q998" t="s">
        <v>264</v>
      </c>
      <c r="R998" t="s">
        <v>524</v>
      </c>
      <c r="T998" t="s">
        <v>266</v>
      </c>
      <c r="U998" t="s">
        <v>267</v>
      </c>
      <c r="V998" t="s">
        <v>525</v>
      </c>
      <c r="W998" t="s">
        <v>526</v>
      </c>
      <c r="X998">
        <v>1933485</v>
      </c>
      <c r="Y998" s="6">
        <v>44791</v>
      </c>
      <c r="Z998" t="s">
        <v>264</v>
      </c>
      <c r="AA998">
        <v>172</v>
      </c>
      <c r="AB998" t="s">
        <v>264</v>
      </c>
      <c r="AD998" t="s">
        <v>264</v>
      </c>
      <c r="AE998" t="s">
        <v>264</v>
      </c>
      <c r="AF998" t="s">
        <v>264</v>
      </c>
      <c r="AG998">
        <v>50</v>
      </c>
      <c r="AH998" t="s">
        <v>264</v>
      </c>
      <c r="AL998" t="s">
        <v>264</v>
      </c>
      <c r="AM998" s="6">
        <v>44785</v>
      </c>
      <c r="AN998" t="s">
        <v>527</v>
      </c>
      <c r="AO998" t="s">
        <v>268</v>
      </c>
      <c r="AP998">
        <v>1201</v>
      </c>
      <c r="AQ998" t="s">
        <v>269</v>
      </c>
      <c r="AR998">
        <v>280141</v>
      </c>
      <c r="AU998" t="s">
        <v>264</v>
      </c>
      <c r="AV998" t="s">
        <v>270</v>
      </c>
      <c r="AX998" t="s">
        <v>264</v>
      </c>
      <c r="AY998">
        <v>920600</v>
      </c>
      <c r="AZ998">
        <v>1201.9205999999999</v>
      </c>
      <c r="BA998" s="28" t="s">
        <v>97</v>
      </c>
    </row>
    <row r="999" spans="1:53">
      <c r="A999" t="s">
        <v>951</v>
      </c>
      <c r="B999" t="s">
        <v>952</v>
      </c>
      <c r="C999">
        <v>14370661</v>
      </c>
      <c r="D999">
        <v>1201</v>
      </c>
      <c r="E999" s="6">
        <v>44785</v>
      </c>
      <c r="F999" t="s">
        <v>953</v>
      </c>
      <c r="I999" t="s">
        <v>263</v>
      </c>
      <c r="O999" t="s">
        <v>264</v>
      </c>
      <c r="Q999" t="s">
        <v>264</v>
      </c>
      <c r="R999" t="s">
        <v>524</v>
      </c>
      <c r="T999" t="s">
        <v>266</v>
      </c>
      <c r="U999" t="s">
        <v>267</v>
      </c>
      <c r="V999" t="s">
        <v>525</v>
      </c>
      <c r="W999" t="s">
        <v>526</v>
      </c>
      <c r="X999">
        <v>1933485</v>
      </c>
      <c r="Y999" s="6">
        <v>44791</v>
      </c>
      <c r="Z999" t="s">
        <v>264</v>
      </c>
      <c r="AA999">
        <v>174</v>
      </c>
      <c r="AB999" t="s">
        <v>264</v>
      </c>
      <c r="AD999" t="s">
        <v>264</v>
      </c>
      <c r="AE999" t="s">
        <v>264</v>
      </c>
      <c r="AF999" t="s">
        <v>264</v>
      </c>
      <c r="AG999">
        <v>52</v>
      </c>
      <c r="AH999" t="s">
        <v>264</v>
      </c>
      <c r="AL999" t="s">
        <v>264</v>
      </c>
      <c r="AM999" s="6">
        <v>44785</v>
      </c>
      <c r="AN999" t="s">
        <v>527</v>
      </c>
      <c r="AO999" t="s">
        <v>268</v>
      </c>
      <c r="AP999">
        <v>1201</v>
      </c>
      <c r="AQ999" t="s">
        <v>269</v>
      </c>
      <c r="AR999">
        <v>280142</v>
      </c>
      <c r="AU999" t="s">
        <v>264</v>
      </c>
      <c r="AV999" t="s">
        <v>270</v>
      </c>
      <c r="AX999" t="s">
        <v>264</v>
      </c>
      <c r="AY999">
        <v>920600</v>
      </c>
      <c r="AZ999">
        <v>1201.9205999999999</v>
      </c>
      <c r="BA999" s="28" t="s">
        <v>97</v>
      </c>
    </row>
    <row r="1000" spans="1:53">
      <c r="A1000" t="s">
        <v>951</v>
      </c>
      <c r="B1000" t="s">
        <v>952</v>
      </c>
      <c r="C1000">
        <v>14370661</v>
      </c>
      <c r="D1000">
        <v>1201</v>
      </c>
      <c r="E1000" s="6">
        <v>44785</v>
      </c>
      <c r="F1000" t="s">
        <v>953</v>
      </c>
      <c r="I1000" t="s">
        <v>263</v>
      </c>
      <c r="O1000" t="s">
        <v>264</v>
      </c>
      <c r="Q1000" t="s">
        <v>264</v>
      </c>
      <c r="R1000" t="s">
        <v>524</v>
      </c>
      <c r="T1000" t="s">
        <v>266</v>
      </c>
      <c r="U1000" t="s">
        <v>267</v>
      </c>
      <c r="V1000" t="s">
        <v>525</v>
      </c>
      <c r="W1000" t="s">
        <v>526</v>
      </c>
      <c r="X1000">
        <v>1933485</v>
      </c>
      <c r="Y1000" s="6">
        <v>44791</v>
      </c>
      <c r="Z1000" t="s">
        <v>264</v>
      </c>
      <c r="AA1000">
        <v>120</v>
      </c>
      <c r="AB1000" t="s">
        <v>264</v>
      </c>
      <c r="AD1000" t="s">
        <v>264</v>
      </c>
      <c r="AE1000" t="s">
        <v>264</v>
      </c>
      <c r="AF1000" t="s">
        <v>264</v>
      </c>
      <c r="AG1000">
        <v>29</v>
      </c>
      <c r="AH1000" t="s">
        <v>264</v>
      </c>
      <c r="AL1000" t="s">
        <v>264</v>
      </c>
      <c r="AM1000" s="6">
        <v>44785</v>
      </c>
      <c r="AN1000" t="s">
        <v>527</v>
      </c>
      <c r="AO1000" t="s">
        <v>268</v>
      </c>
      <c r="AP1000">
        <v>1201</v>
      </c>
      <c r="AQ1000" t="s">
        <v>269</v>
      </c>
      <c r="AR1000">
        <v>278174</v>
      </c>
      <c r="AU1000" t="s">
        <v>264</v>
      </c>
      <c r="AV1000" t="s">
        <v>270</v>
      </c>
      <c r="AX1000" t="s">
        <v>264</v>
      </c>
      <c r="AY1000">
        <v>920600</v>
      </c>
      <c r="AZ1000">
        <v>1201.9205999999999</v>
      </c>
      <c r="BA1000" s="28" t="s">
        <v>97</v>
      </c>
    </row>
    <row r="1001" spans="1:53">
      <c r="A1001" t="s">
        <v>951</v>
      </c>
      <c r="B1001" t="s">
        <v>952</v>
      </c>
      <c r="C1001">
        <v>14370661</v>
      </c>
      <c r="D1001">
        <v>1201</v>
      </c>
      <c r="E1001" s="6">
        <v>44785</v>
      </c>
      <c r="F1001" t="s">
        <v>953</v>
      </c>
      <c r="I1001" t="s">
        <v>263</v>
      </c>
      <c r="O1001" t="s">
        <v>264</v>
      </c>
      <c r="Q1001" t="s">
        <v>264</v>
      </c>
      <c r="R1001" t="s">
        <v>524</v>
      </c>
      <c r="T1001" t="s">
        <v>266</v>
      </c>
      <c r="U1001" t="s">
        <v>267</v>
      </c>
      <c r="V1001" t="s">
        <v>525</v>
      </c>
      <c r="W1001" t="s">
        <v>526</v>
      </c>
      <c r="X1001">
        <v>1933485</v>
      </c>
      <c r="Y1001" s="6">
        <v>44791</v>
      </c>
      <c r="Z1001" t="s">
        <v>264</v>
      </c>
      <c r="AA1001">
        <v>122</v>
      </c>
      <c r="AB1001" t="s">
        <v>264</v>
      </c>
      <c r="AD1001" t="s">
        <v>264</v>
      </c>
      <c r="AE1001" t="s">
        <v>264</v>
      </c>
      <c r="AF1001" t="s">
        <v>264</v>
      </c>
      <c r="AG1001">
        <v>10</v>
      </c>
      <c r="AH1001" t="s">
        <v>264</v>
      </c>
      <c r="AL1001" t="s">
        <v>264</v>
      </c>
      <c r="AM1001" s="6">
        <v>44785</v>
      </c>
      <c r="AN1001" t="s">
        <v>527</v>
      </c>
      <c r="AO1001" t="s">
        <v>268</v>
      </c>
      <c r="AP1001">
        <v>1201</v>
      </c>
      <c r="AQ1001" t="s">
        <v>269</v>
      </c>
      <c r="AR1001">
        <v>278174</v>
      </c>
      <c r="AU1001" t="s">
        <v>264</v>
      </c>
      <c r="AV1001" t="s">
        <v>270</v>
      </c>
      <c r="AX1001" t="s">
        <v>264</v>
      </c>
      <c r="AY1001">
        <v>920600</v>
      </c>
      <c r="AZ1001">
        <v>1201.9205999999999</v>
      </c>
      <c r="BA1001" s="28" t="s">
        <v>97</v>
      </c>
    </row>
    <row r="1002" spans="1:53">
      <c r="A1002" t="s">
        <v>951</v>
      </c>
      <c r="B1002" t="s">
        <v>952</v>
      </c>
      <c r="C1002">
        <v>14370661</v>
      </c>
      <c r="D1002">
        <v>1201</v>
      </c>
      <c r="E1002" s="6">
        <v>44785</v>
      </c>
      <c r="F1002" t="s">
        <v>953</v>
      </c>
      <c r="I1002" t="s">
        <v>263</v>
      </c>
      <c r="O1002" t="s">
        <v>264</v>
      </c>
      <c r="Q1002" t="s">
        <v>264</v>
      </c>
      <c r="R1002" t="s">
        <v>524</v>
      </c>
      <c r="T1002" t="s">
        <v>266</v>
      </c>
      <c r="U1002" t="s">
        <v>267</v>
      </c>
      <c r="V1002" t="s">
        <v>525</v>
      </c>
      <c r="W1002" t="s">
        <v>526</v>
      </c>
      <c r="X1002">
        <v>1933485</v>
      </c>
      <c r="Y1002" s="6">
        <v>44791</v>
      </c>
      <c r="Z1002" t="s">
        <v>264</v>
      </c>
      <c r="AA1002">
        <v>124</v>
      </c>
      <c r="AB1002" t="s">
        <v>264</v>
      </c>
      <c r="AD1002" t="s">
        <v>264</v>
      </c>
      <c r="AE1002" t="s">
        <v>264</v>
      </c>
      <c r="AF1002" t="s">
        <v>264</v>
      </c>
      <c r="AG1002">
        <v>5</v>
      </c>
      <c r="AH1002" t="s">
        <v>264</v>
      </c>
      <c r="AL1002" t="s">
        <v>264</v>
      </c>
      <c r="AM1002" s="6">
        <v>44785</v>
      </c>
      <c r="AN1002" t="s">
        <v>527</v>
      </c>
      <c r="AO1002" t="s">
        <v>268</v>
      </c>
      <c r="AP1002">
        <v>1201</v>
      </c>
      <c r="AQ1002" t="s">
        <v>269</v>
      </c>
      <c r="AR1002">
        <v>278174</v>
      </c>
      <c r="AU1002" t="s">
        <v>264</v>
      </c>
      <c r="AV1002" t="s">
        <v>270</v>
      </c>
      <c r="AX1002" t="s">
        <v>264</v>
      </c>
      <c r="AY1002">
        <v>920600</v>
      </c>
      <c r="AZ1002">
        <v>1201.9205999999999</v>
      </c>
      <c r="BA1002" s="28" t="s">
        <v>97</v>
      </c>
    </row>
    <row r="1003" spans="1:53">
      <c r="A1003" t="s">
        <v>951</v>
      </c>
      <c r="B1003" t="s">
        <v>952</v>
      </c>
      <c r="C1003">
        <v>14370661</v>
      </c>
      <c r="D1003">
        <v>1201</v>
      </c>
      <c r="E1003" s="6">
        <v>44785</v>
      </c>
      <c r="F1003" t="s">
        <v>953</v>
      </c>
      <c r="I1003" t="s">
        <v>263</v>
      </c>
      <c r="O1003" t="s">
        <v>264</v>
      </c>
      <c r="Q1003" t="s">
        <v>264</v>
      </c>
      <c r="R1003" t="s">
        <v>524</v>
      </c>
      <c r="T1003" t="s">
        <v>266</v>
      </c>
      <c r="U1003" t="s">
        <v>267</v>
      </c>
      <c r="V1003" t="s">
        <v>525</v>
      </c>
      <c r="W1003" t="s">
        <v>526</v>
      </c>
      <c r="X1003">
        <v>1933485</v>
      </c>
      <c r="Y1003" s="6">
        <v>44791</v>
      </c>
      <c r="Z1003" t="s">
        <v>264</v>
      </c>
      <c r="AA1003">
        <v>126</v>
      </c>
      <c r="AB1003" t="s">
        <v>264</v>
      </c>
      <c r="AD1003" t="s">
        <v>264</v>
      </c>
      <c r="AE1003" t="s">
        <v>264</v>
      </c>
      <c r="AF1003" t="s">
        <v>264</v>
      </c>
      <c r="AG1003">
        <v>50</v>
      </c>
      <c r="AH1003" t="s">
        <v>264</v>
      </c>
      <c r="AL1003" t="s">
        <v>264</v>
      </c>
      <c r="AM1003" s="6">
        <v>44785</v>
      </c>
      <c r="AN1003" t="s">
        <v>527</v>
      </c>
      <c r="AO1003" t="s">
        <v>268</v>
      </c>
      <c r="AP1003">
        <v>1201</v>
      </c>
      <c r="AQ1003" t="s">
        <v>269</v>
      </c>
      <c r="AR1003">
        <v>278174</v>
      </c>
      <c r="AU1003" t="s">
        <v>264</v>
      </c>
      <c r="AV1003" t="s">
        <v>270</v>
      </c>
      <c r="AX1003" t="s">
        <v>264</v>
      </c>
      <c r="AY1003">
        <v>920600</v>
      </c>
      <c r="AZ1003">
        <v>1201.9205999999999</v>
      </c>
      <c r="BA1003" s="28" t="s">
        <v>97</v>
      </c>
    </row>
    <row r="1004" spans="1:53">
      <c r="A1004" t="s">
        <v>951</v>
      </c>
      <c r="B1004" t="s">
        <v>952</v>
      </c>
      <c r="C1004">
        <v>14370661</v>
      </c>
      <c r="D1004">
        <v>1201</v>
      </c>
      <c r="E1004" s="6">
        <v>44785</v>
      </c>
      <c r="F1004" t="s">
        <v>953</v>
      </c>
      <c r="I1004" t="s">
        <v>263</v>
      </c>
      <c r="O1004" t="s">
        <v>264</v>
      </c>
      <c r="Q1004" t="s">
        <v>264</v>
      </c>
      <c r="R1004" t="s">
        <v>524</v>
      </c>
      <c r="T1004" t="s">
        <v>266</v>
      </c>
      <c r="U1004" t="s">
        <v>267</v>
      </c>
      <c r="V1004" t="s">
        <v>525</v>
      </c>
      <c r="W1004" t="s">
        <v>526</v>
      </c>
      <c r="X1004">
        <v>1933485</v>
      </c>
      <c r="Y1004" s="6">
        <v>44791</v>
      </c>
      <c r="Z1004" t="s">
        <v>264</v>
      </c>
      <c r="AA1004">
        <v>128</v>
      </c>
      <c r="AB1004" t="s">
        <v>264</v>
      </c>
      <c r="AD1004" t="s">
        <v>264</v>
      </c>
      <c r="AE1004" t="s">
        <v>264</v>
      </c>
      <c r="AF1004" t="s">
        <v>264</v>
      </c>
      <c r="AG1004">
        <v>18</v>
      </c>
      <c r="AH1004" t="s">
        <v>264</v>
      </c>
      <c r="AL1004" t="s">
        <v>264</v>
      </c>
      <c r="AM1004" s="6">
        <v>44785</v>
      </c>
      <c r="AN1004" t="s">
        <v>527</v>
      </c>
      <c r="AO1004" t="s">
        <v>268</v>
      </c>
      <c r="AP1004">
        <v>1201</v>
      </c>
      <c r="AQ1004" t="s">
        <v>269</v>
      </c>
      <c r="AR1004">
        <v>278175</v>
      </c>
      <c r="AU1004" t="s">
        <v>264</v>
      </c>
      <c r="AV1004" t="s">
        <v>270</v>
      </c>
      <c r="AX1004" t="s">
        <v>264</v>
      </c>
      <c r="AY1004">
        <v>920600</v>
      </c>
      <c r="AZ1004">
        <v>1201.9205999999999</v>
      </c>
      <c r="BA1004" s="28" t="s">
        <v>97</v>
      </c>
    </row>
    <row r="1005" spans="1:53">
      <c r="A1005" t="s">
        <v>951</v>
      </c>
      <c r="B1005" t="s">
        <v>952</v>
      </c>
      <c r="C1005">
        <v>14370661</v>
      </c>
      <c r="D1005">
        <v>1201</v>
      </c>
      <c r="E1005" s="6">
        <v>44785</v>
      </c>
      <c r="F1005" t="s">
        <v>953</v>
      </c>
      <c r="I1005" t="s">
        <v>263</v>
      </c>
      <c r="O1005" t="s">
        <v>264</v>
      </c>
      <c r="Q1005" t="s">
        <v>264</v>
      </c>
      <c r="R1005" t="s">
        <v>524</v>
      </c>
      <c r="T1005" t="s">
        <v>266</v>
      </c>
      <c r="U1005" t="s">
        <v>267</v>
      </c>
      <c r="V1005" t="s">
        <v>525</v>
      </c>
      <c r="W1005" t="s">
        <v>526</v>
      </c>
      <c r="X1005">
        <v>1933485</v>
      </c>
      <c r="Y1005" s="6">
        <v>44791</v>
      </c>
      <c r="Z1005" t="s">
        <v>264</v>
      </c>
      <c r="AA1005">
        <v>180</v>
      </c>
      <c r="AB1005" t="s">
        <v>264</v>
      </c>
      <c r="AD1005" t="s">
        <v>264</v>
      </c>
      <c r="AE1005" t="s">
        <v>264</v>
      </c>
      <c r="AF1005" t="s">
        <v>264</v>
      </c>
      <c r="AG1005">
        <v>14</v>
      </c>
      <c r="AH1005" t="s">
        <v>264</v>
      </c>
      <c r="AL1005" t="s">
        <v>264</v>
      </c>
      <c r="AM1005" s="6">
        <v>44785</v>
      </c>
      <c r="AN1005" t="s">
        <v>527</v>
      </c>
      <c r="AO1005" t="s">
        <v>268</v>
      </c>
      <c r="AP1005">
        <v>1201</v>
      </c>
      <c r="AQ1005" t="s">
        <v>269</v>
      </c>
      <c r="AR1005">
        <v>280145</v>
      </c>
      <c r="AU1005" t="s">
        <v>264</v>
      </c>
      <c r="AV1005" t="s">
        <v>270</v>
      </c>
      <c r="AX1005" t="s">
        <v>264</v>
      </c>
      <c r="AY1005">
        <v>920600</v>
      </c>
      <c r="AZ1005">
        <v>1201.9205999999999</v>
      </c>
      <c r="BA1005" s="28" t="s">
        <v>97</v>
      </c>
    </row>
    <row r="1006" spans="1:53">
      <c r="A1006" t="s">
        <v>951</v>
      </c>
      <c r="B1006" t="s">
        <v>952</v>
      </c>
      <c r="C1006">
        <v>14370661</v>
      </c>
      <c r="D1006">
        <v>1201</v>
      </c>
      <c r="E1006" s="6">
        <v>44785</v>
      </c>
      <c r="F1006" t="s">
        <v>953</v>
      </c>
      <c r="I1006" t="s">
        <v>263</v>
      </c>
      <c r="O1006" t="s">
        <v>264</v>
      </c>
      <c r="Q1006" t="s">
        <v>264</v>
      </c>
      <c r="R1006" t="s">
        <v>524</v>
      </c>
      <c r="T1006" t="s">
        <v>266</v>
      </c>
      <c r="U1006" t="s">
        <v>267</v>
      </c>
      <c r="V1006" t="s">
        <v>525</v>
      </c>
      <c r="W1006" t="s">
        <v>526</v>
      </c>
      <c r="X1006">
        <v>1933485</v>
      </c>
      <c r="Y1006" s="6">
        <v>44791</v>
      </c>
      <c r="Z1006" t="s">
        <v>264</v>
      </c>
      <c r="AA1006">
        <v>182</v>
      </c>
      <c r="AB1006" t="s">
        <v>264</v>
      </c>
      <c r="AD1006" t="s">
        <v>264</v>
      </c>
      <c r="AE1006" t="s">
        <v>264</v>
      </c>
      <c r="AF1006" t="s">
        <v>264</v>
      </c>
      <c r="AG1006">
        <v>112</v>
      </c>
      <c r="AH1006" t="s">
        <v>264</v>
      </c>
      <c r="AL1006" t="s">
        <v>264</v>
      </c>
      <c r="AM1006" s="6">
        <v>44785</v>
      </c>
      <c r="AN1006" t="s">
        <v>527</v>
      </c>
      <c r="AO1006" t="s">
        <v>268</v>
      </c>
      <c r="AP1006">
        <v>1201</v>
      </c>
      <c r="AQ1006" t="s">
        <v>269</v>
      </c>
      <c r="AR1006">
        <v>278201</v>
      </c>
      <c r="AU1006" t="s">
        <v>264</v>
      </c>
      <c r="AV1006" t="s">
        <v>270</v>
      </c>
      <c r="AX1006" t="s">
        <v>264</v>
      </c>
      <c r="AY1006">
        <v>920600</v>
      </c>
      <c r="AZ1006">
        <v>1201.9205999999999</v>
      </c>
      <c r="BA1006" s="28" t="s">
        <v>97</v>
      </c>
    </row>
    <row r="1007" spans="1:53">
      <c r="A1007" t="s">
        <v>951</v>
      </c>
      <c r="B1007" t="s">
        <v>952</v>
      </c>
      <c r="C1007">
        <v>14370661</v>
      </c>
      <c r="D1007">
        <v>1201</v>
      </c>
      <c r="E1007" s="6">
        <v>44785</v>
      </c>
      <c r="F1007" t="s">
        <v>953</v>
      </c>
      <c r="I1007" t="s">
        <v>263</v>
      </c>
      <c r="O1007" t="s">
        <v>264</v>
      </c>
      <c r="Q1007" t="s">
        <v>264</v>
      </c>
      <c r="R1007" t="s">
        <v>524</v>
      </c>
      <c r="T1007" t="s">
        <v>266</v>
      </c>
      <c r="U1007" t="s">
        <v>267</v>
      </c>
      <c r="V1007" t="s">
        <v>525</v>
      </c>
      <c r="W1007" t="s">
        <v>526</v>
      </c>
      <c r="X1007">
        <v>1933485</v>
      </c>
      <c r="Y1007" s="6">
        <v>44791</v>
      </c>
      <c r="Z1007" t="s">
        <v>264</v>
      </c>
      <c r="AA1007">
        <v>184</v>
      </c>
      <c r="AB1007" t="s">
        <v>264</v>
      </c>
      <c r="AD1007" t="s">
        <v>264</v>
      </c>
      <c r="AE1007" t="s">
        <v>264</v>
      </c>
      <c r="AF1007" t="s">
        <v>264</v>
      </c>
      <c r="AG1007">
        <v>148</v>
      </c>
      <c r="AH1007" t="s">
        <v>264</v>
      </c>
      <c r="AL1007" t="s">
        <v>264</v>
      </c>
      <c r="AM1007" s="6">
        <v>44785</v>
      </c>
      <c r="AN1007" t="s">
        <v>527</v>
      </c>
      <c r="AO1007" t="s">
        <v>268</v>
      </c>
      <c r="AP1007">
        <v>1201</v>
      </c>
      <c r="AQ1007" t="s">
        <v>269</v>
      </c>
      <c r="AR1007">
        <v>278202</v>
      </c>
      <c r="AU1007" t="s">
        <v>264</v>
      </c>
      <c r="AV1007" t="s">
        <v>270</v>
      </c>
      <c r="AX1007" t="s">
        <v>264</v>
      </c>
      <c r="AY1007">
        <v>920600</v>
      </c>
      <c r="AZ1007">
        <v>1201.9205999999999</v>
      </c>
      <c r="BA1007" s="28" t="s">
        <v>97</v>
      </c>
    </row>
    <row r="1008" spans="1:53">
      <c r="A1008" t="s">
        <v>951</v>
      </c>
      <c r="B1008" t="s">
        <v>952</v>
      </c>
      <c r="C1008">
        <v>14370661</v>
      </c>
      <c r="D1008">
        <v>1201</v>
      </c>
      <c r="E1008" s="6">
        <v>44785</v>
      </c>
      <c r="F1008" t="s">
        <v>953</v>
      </c>
      <c r="I1008" t="s">
        <v>263</v>
      </c>
      <c r="O1008" t="s">
        <v>264</v>
      </c>
      <c r="Q1008" t="s">
        <v>264</v>
      </c>
      <c r="R1008" t="s">
        <v>524</v>
      </c>
      <c r="T1008" t="s">
        <v>266</v>
      </c>
      <c r="U1008" t="s">
        <v>267</v>
      </c>
      <c r="V1008" t="s">
        <v>525</v>
      </c>
      <c r="W1008" t="s">
        <v>526</v>
      </c>
      <c r="X1008">
        <v>1933485</v>
      </c>
      <c r="Y1008" s="6">
        <v>44791</v>
      </c>
      <c r="Z1008" t="s">
        <v>264</v>
      </c>
      <c r="AA1008">
        <v>130</v>
      </c>
      <c r="AB1008" t="s">
        <v>264</v>
      </c>
      <c r="AD1008" t="s">
        <v>264</v>
      </c>
      <c r="AE1008" t="s">
        <v>264</v>
      </c>
      <c r="AF1008" t="s">
        <v>264</v>
      </c>
      <c r="AG1008">
        <v>14</v>
      </c>
      <c r="AH1008" t="s">
        <v>264</v>
      </c>
      <c r="AL1008" t="s">
        <v>264</v>
      </c>
      <c r="AM1008" s="6">
        <v>44785</v>
      </c>
      <c r="AN1008" t="s">
        <v>527</v>
      </c>
      <c r="AO1008" t="s">
        <v>268</v>
      </c>
      <c r="AP1008">
        <v>1201</v>
      </c>
      <c r="AQ1008" t="s">
        <v>269</v>
      </c>
      <c r="AR1008">
        <v>278175</v>
      </c>
      <c r="AU1008" t="s">
        <v>264</v>
      </c>
      <c r="AV1008" t="s">
        <v>270</v>
      </c>
      <c r="AX1008" t="s">
        <v>264</v>
      </c>
      <c r="AY1008">
        <v>920600</v>
      </c>
      <c r="AZ1008">
        <v>1201.9205999999999</v>
      </c>
      <c r="BA1008" s="28" t="s">
        <v>97</v>
      </c>
    </row>
    <row r="1009" spans="1:53">
      <c r="A1009" t="s">
        <v>951</v>
      </c>
      <c r="B1009" t="s">
        <v>952</v>
      </c>
      <c r="C1009">
        <v>14370661</v>
      </c>
      <c r="D1009">
        <v>1201</v>
      </c>
      <c r="E1009" s="6">
        <v>44785</v>
      </c>
      <c r="F1009" t="s">
        <v>953</v>
      </c>
      <c r="I1009" t="s">
        <v>263</v>
      </c>
      <c r="O1009" t="s">
        <v>264</v>
      </c>
      <c r="Q1009" t="s">
        <v>264</v>
      </c>
      <c r="R1009" t="s">
        <v>524</v>
      </c>
      <c r="T1009" t="s">
        <v>266</v>
      </c>
      <c r="U1009" t="s">
        <v>267</v>
      </c>
      <c r="V1009" t="s">
        <v>525</v>
      </c>
      <c r="W1009" t="s">
        <v>526</v>
      </c>
      <c r="X1009">
        <v>1933485</v>
      </c>
      <c r="Y1009" s="6">
        <v>44791</v>
      </c>
      <c r="Z1009" t="s">
        <v>264</v>
      </c>
      <c r="AA1009">
        <v>132</v>
      </c>
      <c r="AB1009" t="s">
        <v>264</v>
      </c>
      <c r="AD1009" t="s">
        <v>264</v>
      </c>
      <c r="AE1009" t="s">
        <v>264</v>
      </c>
      <c r="AF1009" t="s">
        <v>264</v>
      </c>
      <c r="AG1009">
        <v>3</v>
      </c>
      <c r="AH1009" t="s">
        <v>264</v>
      </c>
      <c r="AL1009" t="s">
        <v>264</v>
      </c>
      <c r="AM1009" s="6">
        <v>44785</v>
      </c>
      <c r="AN1009" t="s">
        <v>527</v>
      </c>
      <c r="AO1009" t="s">
        <v>268</v>
      </c>
      <c r="AP1009">
        <v>1201</v>
      </c>
      <c r="AQ1009" t="s">
        <v>269</v>
      </c>
      <c r="AR1009">
        <v>278175</v>
      </c>
      <c r="AU1009" t="s">
        <v>264</v>
      </c>
      <c r="AV1009" t="s">
        <v>270</v>
      </c>
      <c r="AX1009" t="s">
        <v>264</v>
      </c>
      <c r="AY1009">
        <v>920600</v>
      </c>
      <c r="AZ1009">
        <v>1201.9205999999999</v>
      </c>
      <c r="BA1009" s="28" t="s">
        <v>97</v>
      </c>
    </row>
    <row r="1010" spans="1:53">
      <c r="A1010" t="s">
        <v>951</v>
      </c>
      <c r="B1010" t="s">
        <v>952</v>
      </c>
      <c r="C1010">
        <v>14370661</v>
      </c>
      <c r="D1010">
        <v>1201</v>
      </c>
      <c r="E1010" s="6">
        <v>44785</v>
      </c>
      <c r="F1010" t="s">
        <v>953</v>
      </c>
      <c r="I1010" t="s">
        <v>263</v>
      </c>
      <c r="O1010" t="s">
        <v>264</v>
      </c>
      <c r="Q1010" t="s">
        <v>264</v>
      </c>
      <c r="R1010" t="s">
        <v>524</v>
      </c>
      <c r="T1010" t="s">
        <v>266</v>
      </c>
      <c r="U1010" t="s">
        <v>267</v>
      </c>
      <c r="V1010" t="s">
        <v>525</v>
      </c>
      <c r="W1010" t="s">
        <v>526</v>
      </c>
      <c r="X1010">
        <v>1933485</v>
      </c>
      <c r="Y1010" s="6">
        <v>44791</v>
      </c>
      <c r="Z1010" t="s">
        <v>264</v>
      </c>
      <c r="AA1010">
        <v>134</v>
      </c>
      <c r="AB1010" t="s">
        <v>264</v>
      </c>
      <c r="AD1010" t="s">
        <v>264</v>
      </c>
      <c r="AE1010" t="s">
        <v>264</v>
      </c>
      <c r="AF1010" t="s">
        <v>264</v>
      </c>
      <c r="AG1010">
        <v>69</v>
      </c>
      <c r="AH1010" t="s">
        <v>264</v>
      </c>
      <c r="AL1010" t="s">
        <v>264</v>
      </c>
      <c r="AM1010" s="6">
        <v>44785</v>
      </c>
      <c r="AN1010" t="s">
        <v>527</v>
      </c>
      <c r="AO1010" t="s">
        <v>268</v>
      </c>
      <c r="AP1010">
        <v>1201</v>
      </c>
      <c r="AQ1010" t="s">
        <v>269</v>
      </c>
      <c r="AR1010">
        <v>278175</v>
      </c>
      <c r="AU1010" t="s">
        <v>264</v>
      </c>
      <c r="AV1010" t="s">
        <v>270</v>
      </c>
      <c r="AX1010" t="s">
        <v>264</v>
      </c>
      <c r="AY1010">
        <v>920600</v>
      </c>
      <c r="AZ1010">
        <v>1201.9205999999999</v>
      </c>
      <c r="BA1010" s="28" t="s">
        <v>97</v>
      </c>
    </row>
    <row r="1011" spans="1:53">
      <c r="A1011" t="s">
        <v>951</v>
      </c>
      <c r="B1011" t="s">
        <v>952</v>
      </c>
      <c r="C1011">
        <v>14370661</v>
      </c>
      <c r="D1011">
        <v>1201</v>
      </c>
      <c r="E1011" s="6">
        <v>44785</v>
      </c>
      <c r="F1011" t="s">
        <v>953</v>
      </c>
      <c r="I1011" t="s">
        <v>263</v>
      </c>
      <c r="O1011" t="s">
        <v>264</v>
      </c>
      <c r="Q1011" t="s">
        <v>264</v>
      </c>
      <c r="R1011" t="s">
        <v>524</v>
      </c>
      <c r="T1011" t="s">
        <v>266</v>
      </c>
      <c r="U1011" t="s">
        <v>267</v>
      </c>
      <c r="V1011" t="s">
        <v>525</v>
      </c>
      <c r="W1011" t="s">
        <v>526</v>
      </c>
      <c r="X1011">
        <v>1933485</v>
      </c>
      <c r="Y1011" s="6">
        <v>44791</v>
      </c>
      <c r="Z1011" t="s">
        <v>264</v>
      </c>
      <c r="AA1011">
        <v>136</v>
      </c>
      <c r="AB1011" t="s">
        <v>264</v>
      </c>
      <c r="AD1011" t="s">
        <v>264</v>
      </c>
      <c r="AE1011" t="s">
        <v>264</v>
      </c>
      <c r="AF1011" t="s">
        <v>264</v>
      </c>
      <c r="AG1011">
        <v>16</v>
      </c>
      <c r="AH1011" t="s">
        <v>264</v>
      </c>
      <c r="AL1011" t="s">
        <v>264</v>
      </c>
      <c r="AM1011" s="6">
        <v>44785</v>
      </c>
      <c r="AN1011" t="s">
        <v>527</v>
      </c>
      <c r="AO1011" t="s">
        <v>268</v>
      </c>
      <c r="AP1011">
        <v>1201</v>
      </c>
      <c r="AQ1011" t="s">
        <v>269</v>
      </c>
      <c r="AR1011">
        <v>278176</v>
      </c>
      <c r="AU1011" t="s">
        <v>264</v>
      </c>
      <c r="AV1011" t="s">
        <v>270</v>
      </c>
      <c r="AX1011" t="s">
        <v>264</v>
      </c>
      <c r="AY1011">
        <v>920600</v>
      </c>
      <c r="AZ1011">
        <v>1201.9205999999999</v>
      </c>
      <c r="BA1011" s="28" t="s">
        <v>97</v>
      </c>
    </row>
    <row r="1012" spans="1:53">
      <c r="A1012" t="s">
        <v>951</v>
      </c>
      <c r="B1012" t="s">
        <v>952</v>
      </c>
      <c r="C1012">
        <v>14370661</v>
      </c>
      <c r="D1012">
        <v>1201</v>
      </c>
      <c r="E1012" s="6">
        <v>44785</v>
      </c>
      <c r="F1012" t="s">
        <v>953</v>
      </c>
      <c r="I1012" t="s">
        <v>263</v>
      </c>
      <c r="O1012" t="s">
        <v>264</v>
      </c>
      <c r="Q1012" t="s">
        <v>264</v>
      </c>
      <c r="R1012" t="s">
        <v>524</v>
      </c>
      <c r="T1012" t="s">
        <v>266</v>
      </c>
      <c r="U1012" t="s">
        <v>267</v>
      </c>
      <c r="V1012" t="s">
        <v>525</v>
      </c>
      <c r="W1012" t="s">
        <v>526</v>
      </c>
      <c r="X1012">
        <v>1933485</v>
      </c>
      <c r="Y1012" s="6">
        <v>44791</v>
      </c>
      <c r="Z1012" t="s">
        <v>264</v>
      </c>
      <c r="AA1012">
        <v>138</v>
      </c>
      <c r="AB1012" t="s">
        <v>264</v>
      </c>
      <c r="AD1012" t="s">
        <v>264</v>
      </c>
      <c r="AE1012" t="s">
        <v>264</v>
      </c>
      <c r="AF1012" t="s">
        <v>264</v>
      </c>
      <c r="AG1012">
        <v>11</v>
      </c>
      <c r="AH1012" t="s">
        <v>264</v>
      </c>
      <c r="AL1012" t="s">
        <v>264</v>
      </c>
      <c r="AM1012" s="6">
        <v>44785</v>
      </c>
      <c r="AN1012" t="s">
        <v>527</v>
      </c>
      <c r="AO1012" t="s">
        <v>268</v>
      </c>
      <c r="AP1012">
        <v>1201</v>
      </c>
      <c r="AQ1012" t="s">
        <v>269</v>
      </c>
      <c r="AR1012">
        <v>278176</v>
      </c>
      <c r="AU1012" t="s">
        <v>264</v>
      </c>
      <c r="AV1012" t="s">
        <v>270</v>
      </c>
      <c r="AX1012" t="s">
        <v>264</v>
      </c>
      <c r="AY1012">
        <v>920600</v>
      </c>
      <c r="AZ1012">
        <v>1201.9205999999999</v>
      </c>
      <c r="BA1012" s="28" t="s">
        <v>97</v>
      </c>
    </row>
    <row r="1013" spans="1:53">
      <c r="A1013" t="s">
        <v>951</v>
      </c>
      <c r="B1013" t="s">
        <v>952</v>
      </c>
      <c r="C1013">
        <v>14370661</v>
      </c>
      <c r="D1013">
        <v>1201</v>
      </c>
      <c r="E1013" s="6">
        <v>44785</v>
      </c>
      <c r="F1013" t="s">
        <v>953</v>
      </c>
      <c r="I1013" t="s">
        <v>263</v>
      </c>
      <c r="O1013" t="s">
        <v>264</v>
      </c>
      <c r="Q1013" t="s">
        <v>264</v>
      </c>
      <c r="R1013" t="s">
        <v>524</v>
      </c>
      <c r="T1013" t="s">
        <v>266</v>
      </c>
      <c r="U1013" t="s">
        <v>267</v>
      </c>
      <c r="V1013" t="s">
        <v>525</v>
      </c>
      <c r="W1013" t="s">
        <v>526</v>
      </c>
      <c r="X1013">
        <v>1933485</v>
      </c>
      <c r="Y1013" s="6">
        <v>44791</v>
      </c>
      <c r="Z1013" t="s">
        <v>264</v>
      </c>
      <c r="AA1013">
        <v>140</v>
      </c>
      <c r="AB1013" t="s">
        <v>264</v>
      </c>
      <c r="AD1013" t="s">
        <v>264</v>
      </c>
      <c r="AE1013" t="s">
        <v>264</v>
      </c>
      <c r="AF1013" t="s">
        <v>264</v>
      </c>
      <c r="AG1013">
        <v>31</v>
      </c>
      <c r="AH1013" t="s">
        <v>264</v>
      </c>
      <c r="AL1013" t="s">
        <v>264</v>
      </c>
      <c r="AM1013" s="6">
        <v>44785</v>
      </c>
      <c r="AN1013" t="s">
        <v>527</v>
      </c>
      <c r="AO1013" t="s">
        <v>268</v>
      </c>
      <c r="AP1013">
        <v>1201</v>
      </c>
      <c r="AQ1013" t="s">
        <v>269</v>
      </c>
      <c r="AR1013">
        <v>278176</v>
      </c>
      <c r="AU1013" t="s">
        <v>264</v>
      </c>
      <c r="AV1013" t="s">
        <v>270</v>
      </c>
      <c r="AX1013" t="s">
        <v>264</v>
      </c>
      <c r="AY1013">
        <v>920600</v>
      </c>
      <c r="AZ1013">
        <v>1201.9205999999999</v>
      </c>
      <c r="BA1013" s="28" t="s">
        <v>97</v>
      </c>
    </row>
    <row r="1014" spans="1:53">
      <c r="A1014" t="s">
        <v>951</v>
      </c>
      <c r="B1014" t="s">
        <v>952</v>
      </c>
      <c r="C1014">
        <v>14370661</v>
      </c>
      <c r="D1014">
        <v>1201</v>
      </c>
      <c r="E1014" s="6">
        <v>44785</v>
      </c>
      <c r="F1014" t="s">
        <v>953</v>
      </c>
      <c r="I1014" t="s">
        <v>263</v>
      </c>
      <c r="O1014" t="s">
        <v>264</v>
      </c>
      <c r="Q1014" t="s">
        <v>264</v>
      </c>
      <c r="R1014" t="s">
        <v>524</v>
      </c>
      <c r="T1014" t="s">
        <v>266</v>
      </c>
      <c r="U1014" t="s">
        <v>267</v>
      </c>
      <c r="V1014" t="s">
        <v>525</v>
      </c>
      <c r="W1014" t="s">
        <v>526</v>
      </c>
      <c r="X1014">
        <v>1933485</v>
      </c>
      <c r="Y1014" s="6">
        <v>44791</v>
      </c>
      <c r="Z1014" t="s">
        <v>264</v>
      </c>
      <c r="AA1014">
        <v>188</v>
      </c>
      <c r="AB1014" t="s">
        <v>264</v>
      </c>
      <c r="AD1014" t="s">
        <v>264</v>
      </c>
      <c r="AE1014" t="s">
        <v>264</v>
      </c>
      <c r="AF1014" t="s">
        <v>264</v>
      </c>
      <c r="AG1014">
        <v>88</v>
      </c>
      <c r="AH1014" t="s">
        <v>264</v>
      </c>
      <c r="AL1014" t="s">
        <v>264</v>
      </c>
      <c r="AM1014" s="6">
        <v>44785</v>
      </c>
      <c r="AN1014" t="s">
        <v>527</v>
      </c>
      <c r="AO1014" t="s">
        <v>268</v>
      </c>
      <c r="AP1014">
        <v>1201</v>
      </c>
      <c r="AQ1014" t="s">
        <v>269</v>
      </c>
      <c r="AR1014">
        <v>278204</v>
      </c>
      <c r="AU1014" t="s">
        <v>264</v>
      </c>
      <c r="AV1014" t="s">
        <v>270</v>
      </c>
      <c r="AX1014" t="s">
        <v>264</v>
      </c>
      <c r="AY1014">
        <v>920600</v>
      </c>
      <c r="AZ1014">
        <v>1201.9205999999999</v>
      </c>
      <c r="BA1014" s="28" t="s">
        <v>97</v>
      </c>
    </row>
    <row r="1015" spans="1:53">
      <c r="A1015" t="s">
        <v>951</v>
      </c>
      <c r="B1015" t="s">
        <v>952</v>
      </c>
      <c r="C1015">
        <v>14370661</v>
      </c>
      <c r="D1015">
        <v>1201</v>
      </c>
      <c r="E1015" s="6">
        <v>44785</v>
      </c>
      <c r="F1015" t="s">
        <v>953</v>
      </c>
      <c r="I1015" t="s">
        <v>263</v>
      </c>
      <c r="O1015" t="s">
        <v>264</v>
      </c>
      <c r="Q1015" t="s">
        <v>264</v>
      </c>
      <c r="R1015" t="s">
        <v>524</v>
      </c>
      <c r="T1015" t="s">
        <v>266</v>
      </c>
      <c r="U1015" t="s">
        <v>267</v>
      </c>
      <c r="V1015" t="s">
        <v>525</v>
      </c>
      <c r="W1015" t="s">
        <v>526</v>
      </c>
      <c r="X1015">
        <v>1933485</v>
      </c>
      <c r="Y1015" s="6">
        <v>44791</v>
      </c>
      <c r="Z1015" t="s">
        <v>264</v>
      </c>
      <c r="AA1015">
        <v>190</v>
      </c>
      <c r="AB1015" t="s">
        <v>264</v>
      </c>
      <c r="AD1015" t="s">
        <v>264</v>
      </c>
      <c r="AE1015" t="s">
        <v>264</v>
      </c>
      <c r="AF1015" t="s">
        <v>264</v>
      </c>
      <c r="AG1015">
        <v>92</v>
      </c>
      <c r="AH1015" t="s">
        <v>264</v>
      </c>
      <c r="AL1015" t="s">
        <v>264</v>
      </c>
      <c r="AM1015" s="6">
        <v>44785</v>
      </c>
      <c r="AN1015" t="s">
        <v>527</v>
      </c>
      <c r="AO1015" t="s">
        <v>268</v>
      </c>
      <c r="AP1015">
        <v>1201</v>
      </c>
      <c r="AQ1015" t="s">
        <v>269</v>
      </c>
      <c r="AR1015">
        <v>278205</v>
      </c>
      <c r="AU1015" t="s">
        <v>264</v>
      </c>
      <c r="AV1015" t="s">
        <v>270</v>
      </c>
      <c r="AX1015" t="s">
        <v>264</v>
      </c>
      <c r="AY1015">
        <v>920600</v>
      </c>
      <c r="AZ1015">
        <v>1201.9205999999999</v>
      </c>
      <c r="BA1015" s="28" t="s">
        <v>97</v>
      </c>
    </row>
    <row r="1016" spans="1:53">
      <c r="A1016" t="s">
        <v>951</v>
      </c>
      <c r="B1016" t="s">
        <v>952</v>
      </c>
      <c r="C1016">
        <v>14370661</v>
      </c>
      <c r="D1016">
        <v>1201</v>
      </c>
      <c r="E1016" s="6">
        <v>44785</v>
      </c>
      <c r="F1016" t="s">
        <v>953</v>
      </c>
      <c r="I1016" t="s">
        <v>263</v>
      </c>
      <c r="O1016" t="s">
        <v>264</v>
      </c>
      <c r="Q1016" t="s">
        <v>264</v>
      </c>
      <c r="R1016" t="s">
        <v>524</v>
      </c>
      <c r="T1016" t="s">
        <v>266</v>
      </c>
      <c r="U1016" t="s">
        <v>267</v>
      </c>
      <c r="V1016" t="s">
        <v>525</v>
      </c>
      <c r="W1016" t="s">
        <v>526</v>
      </c>
      <c r="X1016">
        <v>1933485</v>
      </c>
      <c r="Y1016" s="6">
        <v>44791</v>
      </c>
      <c r="Z1016" t="s">
        <v>264</v>
      </c>
      <c r="AA1016">
        <v>192</v>
      </c>
      <c r="AB1016" t="s">
        <v>264</v>
      </c>
      <c r="AD1016" t="s">
        <v>264</v>
      </c>
      <c r="AE1016" t="s">
        <v>264</v>
      </c>
      <c r="AF1016" t="s">
        <v>264</v>
      </c>
      <c r="AG1016">
        <v>82</v>
      </c>
      <c r="AH1016" t="s">
        <v>264</v>
      </c>
      <c r="AL1016" t="s">
        <v>264</v>
      </c>
      <c r="AM1016" s="6">
        <v>44785</v>
      </c>
      <c r="AN1016" t="s">
        <v>527</v>
      </c>
      <c r="AO1016" t="s">
        <v>268</v>
      </c>
      <c r="AP1016">
        <v>1201</v>
      </c>
      <c r="AQ1016" t="s">
        <v>269</v>
      </c>
      <c r="AR1016">
        <v>278193</v>
      </c>
      <c r="AU1016" t="s">
        <v>264</v>
      </c>
      <c r="AV1016" t="s">
        <v>270</v>
      </c>
      <c r="AX1016" t="s">
        <v>264</v>
      </c>
      <c r="AY1016">
        <v>920600</v>
      </c>
      <c r="AZ1016">
        <v>1201.9205999999999</v>
      </c>
      <c r="BA1016" s="28" t="s">
        <v>97</v>
      </c>
    </row>
    <row r="1017" spans="1:53">
      <c r="A1017" t="s">
        <v>951</v>
      </c>
      <c r="B1017" t="s">
        <v>952</v>
      </c>
      <c r="C1017">
        <v>14370661</v>
      </c>
      <c r="D1017">
        <v>1201</v>
      </c>
      <c r="E1017" s="6">
        <v>44785</v>
      </c>
      <c r="F1017" t="s">
        <v>953</v>
      </c>
      <c r="I1017" t="s">
        <v>263</v>
      </c>
      <c r="O1017" t="s">
        <v>264</v>
      </c>
      <c r="Q1017" t="s">
        <v>264</v>
      </c>
      <c r="R1017" t="s">
        <v>524</v>
      </c>
      <c r="T1017" t="s">
        <v>266</v>
      </c>
      <c r="U1017" t="s">
        <v>267</v>
      </c>
      <c r="V1017" t="s">
        <v>525</v>
      </c>
      <c r="W1017" t="s">
        <v>526</v>
      </c>
      <c r="X1017">
        <v>1933485</v>
      </c>
      <c r="Y1017" s="6">
        <v>44791</v>
      </c>
      <c r="Z1017" t="s">
        <v>264</v>
      </c>
      <c r="AA1017">
        <v>142</v>
      </c>
      <c r="AB1017" t="s">
        <v>264</v>
      </c>
      <c r="AD1017" t="s">
        <v>264</v>
      </c>
      <c r="AE1017" t="s">
        <v>264</v>
      </c>
      <c r="AF1017" t="s">
        <v>264</v>
      </c>
      <c r="AG1017">
        <v>49</v>
      </c>
      <c r="AH1017" t="s">
        <v>264</v>
      </c>
      <c r="AL1017" t="s">
        <v>264</v>
      </c>
      <c r="AM1017" s="6">
        <v>44785</v>
      </c>
      <c r="AN1017" t="s">
        <v>527</v>
      </c>
      <c r="AO1017" t="s">
        <v>268</v>
      </c>
      <c r="AP1017">
        <v>1201</v>
      </c>
      <c r="AQ1017" t="s">
        <v>269</v>
      </c>
      <c r="AR1017">
        <v>278176</v>
      </c>
      <c r="AU1017" t="s">
        <v>264</v>
      </c>
      <c r="AV1017" t="s">
        <v>270</v>
      </c>
      <c r="AX1017" t="s">
        <v>264</v>
      </c>
      <c r="AY1017">
        <v>920600</v>
      </c>
      <c r="AZ1017">
        <v>1201.9205999999999</v>
      </c>
      <c r="BA1017" s="28" t="s">
        <v>97</v>
      </c>
    </row>
    <row r="1018" spans="1:53">
      <c r="A1018" t="s">
        <v>951</v>
      </c>
      <c r="B1018" t="s">
        <v>952</v>
      </c>
      <c r="C1018">
        <v>14370661</v>
      </c>
      <c r="D1018">
        <v>1201</v>
      </c>
      <c r="E1018" s="6">
        <v>44785</v>
      </c>
      <c r="F1018" t="s">
        <v>953</v>
      </c>
      <c r="I1018" t="s">
        <v>263</v>
      </c>
      <c r="O1018" t="s">
        <v>264</v>
      </c>
      <c r="Q1018" t="s">
        <v>264</v>
      </c>
      <c r="R1018" t="s">
        <v>524</v>
      </c>
      <c r="T1018" t="s">
        <v>266</v>
      </c>
      <c r="U1018" t="s">
        <v>267</v>
      </c>
      <c r="V1018" t="s">
        <v>525</v>
      </c>
      <c r="W1018" t="s">
        <v>526</v>
      </c>
      <c r="X1018">
        <v>1933485</v>
      </c>
      <c r="Y1018" s="6">
        <v>44791</v>
      </c>
      <c r="Z1018" t="s">
        <v>264</v>
      </c>
      <c r="AA1018">
        <v>144</v>
      </c>
      <c r="AB1018" t="s">
        <v>264</v>
      </c>
      <c r="AD1018" t="s">
        <v>264</v>
      </c>
      <c r="AE1018" t="s">
        <v>264</v>
      </c>
      <c r="AF1018" t="s">
        <v>264</v>
      </c>
      <c r="AG1018">
        <v>45</v>
      </c>
      <c r="AH1018" t="s">
        <v>264</v>
      </c>
      <c r="AL1018" t="s">
        <v>264</v>
      </c>
      <c r="AM1018" s="6">
        <v>44785</v>
      </c>
      <c r="AN1018" t="s">
        <v>527</v>
      </c>
      <c r="AO1018" t="s">
        <v>268</v>
      </c>
      <c r="AP1018">
        <v>1201</v>
      </c>
      <c r="AQ1018" t="s">
        <v>269</v>
      </c>
      <c r="AR1018">
        <v>278177</v>
      </c>
      <c r="AU1018" t="s">
        <v>264</v>
      </c>
      <c r="AV1018" t="s">
        <v>270</v>
      </c>
      <c r="AX1018" t="s">
        <v>264</v>
      </c>
      <c r="AY1018">
        <v>920600</v>
      </c>
      <c r="AZ1018">
        <v>1201.9205999999999</v>
      </c>
      <c r="BA1018" s="28" t="s">
        <v>97</v>
      </c>
    </row>
    <row r="1019" spans="1:53">
      <c r="A1019" t="s">
        <v>951</v>
      </c>
      <c r="B1019" t="s">
        <v>952</v>
      </c>
      <c r="C1019">
        <v>14370661</v>
      </c>
      <c r="D1019">
        <v>1201</v>
      </c>
      <c r="E1019" s="6">
        <v>44785</v>
      </c>
      <c r="F1019" t="s">
        <v>953</v>
      </c>
      <c r="I1019" t="s">
        <v>263</v>
      </c>
      <c r="O1019" t="s">
        <v>264</v>
      </c>
      <c r="Q1019" t="s">
        <v>264</v>
      </c>
      <c r="R1019" t="s">
        <v>524</v>
      </c>
      <c r="T1019" t="s">
        <v>266</v>
      </c>
      <c r="U1019" t="s">
        <v>267</v>
      </c>
      <c r="V1019" t="s">
        <v>525</v>
      </c>
      <c r="W1019" t="s">
        <v>526</v>
      </c>
      <c r="X1019">
        <v>1933485</v>
      </c>
      <c r="Y1019" s="6">
        <v>44791</v>
      </c>
      <c r="Z1019" t="s">
        <v>264</v>
      </c>
      <c r="AA1019">
        <v>146</v>
      </c>
      <c r="AB1019" t="s">
        <v>264</v>
      </c>
      <c r="AD1019" t="s">
        <v>264</v>
      </c>
      <c r="AE1019" t="s">
        <v>264</v>
      </c>
      <c r="AF1019" t="s">
        <v>264</v>
      </c>
      <c r="AG1019">
        <v>19</v>
      </c>
      <c r="AH1019" t="s">
        <v>264</v>
      </c>
      <c r="AL1019" t="s">
        <v>264</v>
      </c>
      <c r="AM1019" s="6">
        <v>44785</v>
      </c>
      <c r="AN1019" t="s">
        <v>527</v>
      </c>
      <c r="AO1019" t="s">
        <v>268</v>
      </c>
      <c r="AP1019">
        <v>1201</v>
      </c>
      <c r="AQ1019" t="s">
        <v>269</v>
      </c>
      <c r="AR1019">
        <v>278177</v>
      </c>
      <c r="AU1019" t="s">
        <v>264</v>
      </c>
      <c r="AV1019" t="s">
        <v>270</v>
      </c>
      <c r="AX1019" t="s">
        <v>264</v>
      </c>
      <c r="AY1019">
        <v>920600</v>
      </c>
      <c r="AZ1019">
        <v>1201.9205999999999</v>
      </c>
      <c r="BA1019" s="28" t="s">
        <v>97</v>
      </c>
    </row>
    <row r="1020" spans="1:53">
      <c r="A1020" t="s">
        <v>951</v>
      </c>
      <c r="B1020" t="s">
        <v>952</v>
      </c>
      <c r="C1020">
        <v>14370661</v>
      </c>
      <c r="D1020">
        <v>1201</v>
      </c>
      <c r="E1020" s="6">
        <v>44785</v>
      </c>
      <c r="F1020" t="s">
        <v>953</v>
      </c>
      <c r="I1020" t="s">
        <v>263</v>
      </c>
      <c r="O1020" t="s">
        <v>264</v>
      </c>
      <c r="Q1020" t="s">
        <v>264</v>
      </c>
      <c r="R1020" t="s">
        <v>524</v>
      </c>
      <c r="T1020" t="s">
        <v>266</v>
      </c>
      <c r="U1020" t="s">
        <v>267</v>
      </c>
      <c r="V1020" t="s">
        <v>525</v>
      </c>
      <c r="W1020" t="s">
        <v>526</v>
      </c>
      <c r="X1020">
        <v>1933485</v>
      </c>
      <c r="Y1020" s="6">
        <v>44791</v>
      </c>
      <c r="Z1020" t="s">
        <v>264</v>
      </c>
      <c r="AA1020">
        <v>148</v>
      </c>
      <c r="AB1020" t="s">
        <v>264</v>
      </c>
      <c r="AD1020" t="s">
        <v>264</v>
      </c>
      <c r="AE1020" t="s">
        <v>264</v>
      </c>
      <c r="AF1020" t="s">
        <v>264</v>
      </c>
      <c r="AG1020">
        <v>12</v>
      </c>
      <c r="AH1020" t="s">
        <v>264</v>
      </c>
      <c r="AL1020" t="s">
        <v>264</v>
      </c>
      <c r="AM1020" s="6">
        <v>44785</v>
      </c>
      <c r="AN1020" t="s">
        <v>527</v>
      </c>
      <c r="AO1020" t="s">
        <v>268</v>
      </c>
      <c r="AP1020">
        <v>1201</v>
      </c>
      <c r="AQ1020" t="s">
        <v>269</v>
      </c>
      <c r="AR1020">
        <v>278177</v>
      </c>
      <c r="AU1020" t="s">
        <v>264</v>
      </c>
      <c r="AV1020" t="s">
        <v>270</v>
      </c>
      <c r="AX1020" t="s">
        <v>264</v>
      </c>
      <c r="AY1020">
        <v>920600</v>
      </c>
      <c r="AZ1020">
        <v>1201.9205999999999</v>
      </c>
      <c r="BA1020" s="28" t="s">
        <v>97</v>
      </c>
    </row>
    <row r="1021" spans="1:53">
      <c r="A1021" t="s">
        <v>951</v>
      </c>
      <c r="B1021" t="s">
        <v>952</v>
      </c>
      <c r="C1021">
        <v>14370661</v>
      </c>
      <c r="D1021">
        <v>1201</v>
      </c>
      <c r="E1021" s="6">
        <v>44785</v>
      </c>
      <c r="F1021" t="s">
        <v>953</v>
      </c>
      <c r="I1021" t="s">
        <v>263</v>
      </c>
      <c r="O1021" t="s">
        <v>264</v>
      </c>
      <c r="Q1021" t="s">
        <v>264</v>
      </c>
      <c r="R1021" t="s">
        <v>524</v>
      </c>
      <c r="T1021" t="s">
        <v>266</v>
      </c>
      <c r="U1021" t="s">
        <v>267</v>
      </c>
      <c r="V1021" t="s">
        <v>525</v>
      </c>
      <c r="W1021" t="s">
        <v>526</v>
      </c>
      <c r="X1021">
        <v>1933485</v>
      </c>
      <c r="Y1021" s="6">
        <v>44791</v>
      </c>
      <c r="Z1021" t="s">
        <v>264</v>
      </c>
      <c r="AA1021">
        <v>150</v>
      </c>
      <c r="AB1021" t="s">
        <v>264</v>
      </c>
      <c r="AD1021" t="s">
        <v>264</v>
      </c>
      <c r="AE1021" t="s">
        <v>264</v>
      </c>
      <c r="AF1021" t="s">
        <v>264</v>
      </c>
      <c r="AG1021">
        <v>39</v>
      </c>
      <c r="AH1021" t="s">
        <v>264</v>
      </c>
      <c r="AL1021" t="s">
        <v>264</v>
      </c>
      <c r="AM1021" s="6">
        <v>44785</v>
      </c>
      <c r="AN1021" t="s">
        <v>527</v>
      </c>
      <c r="AO1021" t="s">
        <v>268</v>
      </c>
      <c r="AP1021">
        <v>1201</v>
      </c>
      <c r="AQ1021" t="s">
        <v>269</v>
      </c>
      <c r="AR1021">
        <v>278177</v>
      </c>
      <c r="AU1021" t="s">
        <v>264</v>
      </c>
      <c r="AV1021" t="s">
        <v>270</v>
      </c>
      <c r="AX1021" t="s">
        <v>264</v>
      </c>
      <c r="AY1021">
        <v>920600</v>
      </c>
      <c r="AZ1021">
        <v>1201.9205999999999</v>
      </c>
      <c r="BA1021" s="28" t="s">
        <v>97</v>
      </c>
    </row>
    <row r="1022" spans="1:53">
      <c r="A1022" t="s">
        <v>951</v>
      </c>
      <c r="B1022" t="s">
        <v>952</v>
      </c>
      <c r="C1022">
        <v>14370661</v>
      </c>
      <c r="D1022">
        <v>1201</v>
      </c>
      <c r="E1022" s="6">
        <v>44785</v>
      </c>
      <c r="F1022" t="s">
        <v>953</v>
      </c>
      <c r="I1022" t="s">
        <v>263</v>
      </c>
      <c r="O1022" t="s">
        <v>264</v>
      </c>
      <c r="Q1022" t="s">
        <v>264</v>
      </c>
      <c r="R1022" t="s">
        <v>524</v>
      </c>
      <c r="T1022" t="s">
        <v>266</v>
      </c>
      <c r="U1022" t="s">
        <v>267</v>
      </c>
      <c r="V1022" t="s">
        <v>525</v>
      </c>
      <c r="W1022" t="s">
        <v>526</v>
      </c>
      <c r="X1022">
        <v>1933485</v>
      </c>
      <c r="Y1022" s="6">
        <v>44791</v>
      </c>
      <c r="Z1022" t="s">
        <v>264</v>
      </c>
      <c r="AA1022">
        <v>156</v>
      </c>
      <c r="AB1022" t="s">
        <v>264</v>
      </c>
      <c r="AD1022" t="s">
        <v>264</v>
      </c>
      <c r="AE1022" t="s">
        <v>264</v>
      </c>
      <c r="AF1022" t="s">
        <v>264</v>
      </c>
      <c r="AG1022">
        <v>4</v>
      </c>
      <c r="AH1022" t="s">
        <v>264</v>
      </c>
      <c r="AL1022" t="s">
        <v>264</v>
      </c>
      <c r="AM1022" s="6">
        <v>44785</v>
      </c>
      <c r="AN1022" t="s">
        <v>527</v>
      </c>
      <c r="AO1022" t="s">
        <v>268</v>
      </c>
      <c r="AP1022">
        <v>1201</v>
      </c>
      <c r="AQ1022" t="s">
        <v>269</v>
      </c>
      <c r="AR1022">
        <v>278178</v>
      </c>
      <c r="AU1022" t="s">
        <v>264</v>
      </c>
      <c r="AV1022" t="s">
        <v>270</v>
      </c>
      <c r="AX1022" t="s">
        <v>264</v>
      </c>
      <c r="AY1022">
        <v>920600</v>
      </c>
      <c r="AZ1022">
        <v>1201.9205999999999</v>
      </c>
      <c r="BA1022" s="28" t="s">
        <v>97</v>
      </c>
    </row>
    <row r="1023" spans="1:53">
      <c r="A1023" t="s">
        <v>951</v>
      </c>
      <c r="B1023" t="s">
        <v>952</v>
      </c>
      <c r="C1023">
        <v>14370661</v>
      </c>
      <c r="D1023">
        <v>1201</v>
      </c>
      <c r="E1023" s="6">
        <v>44785</v>
      </c>
      <c r="F1023" t="s">
        <v>953</v>
      </c>
      <c r="I1023" t="s">
        <v>263</v>
      </c>
      <c r="O1023" t="s">
        <v>264</v>
      </c>
      <c r="Q1023" t="s">
        <v>264</v>
      </c>
      <c r="R1023" t="s">
        <v>524</v>
      </c>
      <c r="T1023" t="s">
        <v>266</v>
      </c>
      <c r="U1023" t="s">
        <v>267</v>
      </c>
      <c r="V1023" t="s">
        <v>525</v>
      </c>
      <c r="W1023" t="s">
        <v>526</v>
      </c>
      <c r="X1023">
        <v>1933485</v>
      </c>
      <c r="Y1023" s="6">
        <v>44791</v>
      </c>
      <c r="Z1023" t="s">
        <v>264</v>
      </c>
      <c r="AA1023">
        <v>158</v>
      </c>
      <c r="AB1023" t="s">
        <v>264</v>
      </c>
      <c r="AD1023" t="s">
        <v>264</v>
      </c>
      <c r="AE1023" t="s">
        <v>264</v>
      </c>
      <c r="AF1023" t="s">
        <v>264</v>
      </c>
      <c r="AG1023">
        <v>30</v>
      </c>
      <c r="AH1023" t="s">
        <v>264</v>
      </c>
      <c r="AL1023" t="s">
        <v>264</v>
      </c>
      <c r="AM1023" s="6">
        <v>44785</v>
      </c>
      <c r="AN1023" t="s">
        <v>527</v>
      </c>
      <c r="AO1023" t="s">
        <v>268</v>
      </c>
      <c r="AP1023">
        <v>1201</v>
      </c>
      <c r="AQ1023" t="s">
        <v>269</v>
      </c>
      <c r="AR1023">
        <v>278178</v>
      </c>
      <c r="AU1023" t="s">
        <v>264</v>
      </c>
      <c r="AV1023" t="s">
        <v>270</v>
      </c>
      <c r="AX1023" t="s">
        <v>264</v>
      </c>
      <c r="AY1023">
        <v>920600</v>
      </c>
      <c r="AZ1023">
        <v>1201.9205999999999</v>
      </c>
      <c r="BA1023" s="28" t="s">
        <v>97</v>
      </c>
    </row>
    <row r="1024" spans="1:53">
      <c r="A1024" t="s">
        <v>951</v>
      </c>
      <c r="B1024" t="s">
        <v>952</v>
      </c>
      <c r="C1024">
        <v>14370661</v>
      </c>
      <c r="D1024">
        <v>1201</v>
      </c>
      <c r="E1024" s="6">
        <v>44785</v>
      </c>
      <c r="F1024" t="s">
        <v>953</v>
      </c>
      <c r="I1024" t="s">
        <v>263</v>
      </c>
      <c r="O1024" t="s">
        <v>264</v>
      </c>
      <c r="Q1024" t="s">
        <v>264</v>
      </c>
      <c r="R1024" t="s">
        <v>524</v>
      </c>
      <c r="T1024" t="s">
        <v>266</v>
      </c>
      <c r="U1024" t="s">
        <v>267</v>
      </c>
      <c r="V1024" t="s">
        <v>525</v>
      </c>
      <c r="W1024" t="s">
        <v>526</v>
      </c>
      <c r="X1024">
        <v>1933485</v>
      </c>
      <c r="Y1024" s="6">
        <v>44791</v>
      </c>
      <c r="Z1024" t="s">
        <v>264</v>
      </c>
      <c r="AA1024">
        <v>194</v>
      </c>
      <c r="AB1024" t="s">
        <v>264</v>
      </c>
      <c r="AD1024" t="s">
        <v>264</v>
      </c>
      <c r="AE1024" t="s">
        <v>264</v>
      </c>
      <c r="AF1024" t="s">
        <v>264</v>
      </c>
      <c r="AG1024">
        <v>87</v>
      </c>
      <c r="AH1024" t="s">
        <v>264</v>
      </c>
      <c r="AL1024" t="s">
        <v>264</v>
      </c>
      <c r="AM1024" s="6">
        <v>44785</v>
      </c>
      <c r="AN1024" t="s">
        <v>527</v>
      </c>
      <c r="AO1024" t="s">
        <v>268</v>
      </c>
      <c r="AP1024">
        <v>1201</v>
      </c>
      <c r="AQ1024" t="s">
        <v>269</v>
      </c>
      <c r="AR1024">
        <v>280152</v>
      </c>
      <c r="AU1024" t="s">
        <v>264</v>
      </c>
      <c r="AV1024" t="s">
        <v>270</v>
      </c>
      <c r="AX1024" t="s">
        <v>264</v>
      </c>
      <c r="AY1024">
        <v>920600</v>
      </c>
      <c r="AZ1024">
        <v>1201.9205999999999</v>
      </c>
      <c r="BA1024" s="28" t="s">
        <v>97</v>
      </c>
    </row>
    <row r="1025" spans="1:53">
      <c r="A1025" t="s">
        <v>951</v>
      </c>
      <c r="B1025" t="s">
        <v>952</v>
      </c>
      <c r="C1025">
        <v>14370661</v>
      </c>
      <c r="D1025">
        <v>1201</v>
      </c>
      <c r="E1025" s="6">
        <v>44785</v>
      </c>
      <c r="F1025" t="s">
        <v>953</v>
      </c>
      <c r="I1025" t="s">
        <v>263</v>
      </c>
      <c r="O1025" t="s">
        <v>264</v>
      </c>
      <c r="Q1025" t="s">
        <v>264</v>
      </c>
      <c r="R1025" t="s">
        <v>524</v>
      </c>
      <c r="T1025" t="s">
        <v>266</v>
      </c>
      <c r="U1025" t="s">
        <v>267</v>
      </c>
      <c r="V1025" t="s">
        <v>525</v>
      </c>
      <c r="W1025" t="s">
        <v>526</v>
      </c>
      <c r="X1025">
        <v>1933485</v>
      </c>
      <c r="Y1025" s="6">
        <v>44791</v>
      </c>
      <c r="Z1025" t="s">
        <v>264</v>
      </c>
      <c r="AA1025">
        <v>196</v>
      </c>
      <c r="AB1025" t="s">
        <v>264</v>
      </c>
      <c r="AD1025" t="s">
        <v>264</v>
      </c>
      <c r="AE1025" t="s">
        <v>264</v>
      </c>
      <c r="AF1025" t="s">
        <v>264</v>
      </c>
      <c r="AG1025">
        <v>85</v>
      </c>
      <c r="AH1025" t="s">
        <v>264</v>
      </c>
      <c r="AL1025" t="s">
        <v>264</v>
      </c>
      <c r="AM1025" s="6">
        <v>44785</v>
      </c>
      <c r="AN1025" t="s">
        <v>527</v>
      </c>
      <c r="AO1025" t="s">
        <v>268</v>
      </c>
      <c r="AP1025">
        <v>1201</v>
      </c>
      <c r="AQ1025" t="s">
        <v>269</v>
      </c>
      <c r="AR1025">
        <v>280153</v>
      </c>
      <c r="AU1025" t="s">
        <v>264</v>
      </c>
      <c r="AV1025" t="s">
        <v>270</v>
      </c>
      <c r="AX1025" t="s">
        <v>264</v>
      </c>
      <c r="AY1025">
        <v>920600</v>
      </c>
      <c r="AZ1025">
        <v>1201.9205999999999</v>
      </c>
      <c r="BA1025" s="28" t="s">
        <v>97</v>
      </c>
    </row>
    <row r="1026" spans="1:53">
      <c r="A1026" t="s">
        <v>951</v>
      </c>
      <c r="B1026" t="s">
        <v>952</v>
      </c>
      <c r="C1026">
        <v>14370661</v>
      </c>
      <c r="D1026">
        <v>1201</v>
      </c>
      <c r="E1026" s="6">
        <v>44785</v>
      </c>
      <c r="F1026" t="s">
        <v>953</v>
      </c>
      <c r="I1026" t="s">
        <v>263</v>
      </c>
      <c r="O1026" t="s">
        <v>264</v>
      </c>
      <c r="Q1026" t="s">
        <v>264</v>
      </c>
      <c r="R1026" t="s">
        <v>524</v>
      </c>
      <c r="T1026" t="s">
        <v>266</v>
      </c>
      <c r="U1026" t="s">
        <v>267</v>
      </c>
      <c r="V1026" t="s">
        <v>525</v>
      </c>
      <c r="W1026" t="s">
        <v>526</v>
      </c>
      <c r="X1026">
        <v>1933485</v>
      </c>
      <c r="Y1026" s="6">
        <v>44791</v>
      </c>
      <c r="Z1026" t="s">
        <v>264</v>
      </c>
      <c r="AA1026">
        <v>160</v>
      </c>
      <c r="AB1026" t="s">
        <v>264</v>
      </c>
      <c r="AD1026" t="s">
        <v>264</v>
      </c>
      <c r="AE1026" t="s">
        <v>264</v>
      </c>
      <c r="AF1026" t="s">
        <v>264</v>
      </c>
      <c r="AG1026">
        <v>20</v>
      </c>
      <c r="AH1026" t="s">
        <v>264</v>
      </c>
      <c r="AL1026" t="s">
        <v>264</v>
      </c>
      <c r="AM1026" s="6">
        <v>44785</v>
      </c>
      <c r="AN1026" t="s">
        <v>527</v>
      </c>
      <c r="AO1026" t="s">
        <v>268</v>
      </c>
      <c r="AP1026">
        <v>1201</v>
      </c>
      <c r="AQ1026" t="s">
        <v>269</v>
      </c>
      <c r="AR1026">
        <v>278179</v>
      </c>
      <c r="AU1026" t="s">
        <v>264</v>
      </c>
      <c r="AV1026" t="s">
        <v>270</v>
      </c>
      <c r="AX1026" t="s">
        <v>264</v>
      </c>
      <c r="AY1026">
        <v>920600</v>
      </c>
      <c r="AZ1026">
        <v>1201.9205999999999</v>
      </c>
      <c r="BA1026" s="28" t="s">
        <v>97</v>
      </c>
    </row>
    <row r="1027" spans="1:53">
      <c r="A1027" t="s">
        <v>951</v>
      </c>
      <c r="B1027" t="s">
        <v>952</v>
      </c>
      <c r="C1027">
        <v>14370661</v>
      </c>
      <c r="D1027">
        <v>1201</v>
      </c>
      <c r="E1027" s="6">
        <v>44785</v>
      </c>
      <c r="F1027" t="s">
        <v>953</v>
      </c>
      <c r="I1027" t="s">
        <v>263</v>
      </c>
      <c r="O1027" t="s">
        <v>264</v>
      </c>
      <c r="Q1027" t="s">
        <v>264</v>
      </c>
      <c r="R1027" t="s">
        <v>524</v>
      </c>
      <c r="T1027" t="s">
        <v>266</v>
      </c>
      <c r="U1027" t="s">
        <v>267</v>
      </c>
      <c r="V1027" t="s">
        <v>525</v>
      </c>
      <c r="W1027" t="s">
        <v>526</v>
      </c>
      <c r="X1027">
        <v>1933485</v>
      </c>
      <c r="Y1027" s="6">
        <v>44791</v>
      </c>
      <c r="Z1027" t="s">
        <v>264</v>
      </c>
      <c r="AA1027">
        <v>162</v>
      </c>
      <c r="AB1027" t="s">
        <v>264</v>
      </c>
      <c r="AD1027" t="s">
        <v>264</v>
      </c>
      <c r="AE1027" t="s">
        <v>264</v>
      </c>
      <c r="AF1027" t="s">
        <v>264</v>
      </c>
      <c r="AG1027">
        <v>17</v>
      </c>
      <c r="AH1027" t="s">
        <v>264</v>
      </c>
      <c r="AL1027" t="s">
        <v>264</v>
      </c>
      <c r="AM1027" s="6">
        <v>44785</v>
      </c>
      <c r="AN1027" t="s">
        <v>527</v>
      </c>
      <c r="AO1027" t="s">
        <v>268</v>
      </c>
      <c r="AP1027">
        <v>1201</v>
      </c>
      <c r="AQ1027" t="s">
        <v>269</v>
      </c>
      <c r="AR1027">
        <v>278179</v>
      </c>
      <c r="AU1027" t="s">
        <v>264</v>
      </c>
      <c r="AV1027" t="s">
        <v>270</v>
      </c>
      <c r="AX1027" t="s">
        <v>264</v>
      </c>
      <c r="AY1027">
        <v>920600</v>
      </c>
      <c r="AZ1027">
        <v>1201.9205999999999</v>
      </c>
      <c r="BA1027" s="28" t="s">
        <v>97</v>
      </c>
    </row>
    <row r="1028" spans="1:53">
      <c r="A1028" t="s">
        <v>951</v>
      </c>
      <c r="B1028" t="s">
        <v>952</v>
      </c>
      <c r="C1028">
        <v>14370661</v>
      </c>
      <c r="D1028">
        <v>1201</v>
      </c>
      <c r="E1028" s="6">
        <v>44785</v>
      </c>
      <c r="F1028" t="s">
        <v>953</v>
      </c>
      <c r="I1028" t="s">
        <v>263</v>
      </c>
      <c r="O1028" t="s">
        <v>264</v>
      </c>
      <c r="Q1028" t="s">
        <v>264</v>
      </c>
      <c r="R1028" t="s">
        <v>524</v>
      </c>
      <c r="T1028" t="s">
        <v>266</v>
      </c>
      <c r="U1028" t="s">
        <v>267</v>
      </c>
      <c r="V1028" t="s">
        <v>525</v>
      </c>
      <c r="W1028" t="s">
        <v>526</v>
      </c>
      <c r="X1028">
        <v>1933485</v>
      </c>
      <c r="Y1028" s="6">
        <v>44791</v>
      </c>
      <c r="Z1028" t="s">
        <v>264</v>
      </c>
      <c r="AA1028">
        <v>164</v>
      </c>
      <c r="AB1028" t="s">
        <v>264</v>
      </c>
      <c r="AD1028" t="s">
        <v>264</v>
      </c>
      <c r="AE1028" t="s">
        <v>264</v>
      </c>
      <c r="AF1028" t="s">
        <v>264</v>
      </c>
      <c r="AG1028">
        <v>37</v>
      </c>
      <c r="AH1028" t="s">
        <v>264</v>
      </c>
      <c r="AL1028" t="s">
        <v>264</v>
      </c>
      <c r="AM1028" s="6">
        <v>44785</v>
      </c>
      <c r="AN1028" t="s">
        <v>527</v>
      </c>
      <c r="AO1028" t="s">
        <v>268</v>
      </c>
      <c r="AP1028">
        <v>1201</v>
      </c>
      <c r="AQ1028" t="s">
        <v>269</v>
      </c>
      <c r="AR1028">
        <v>280137</v>
      </c>
      <c r="AU1028" t="s">
        <v>264</v>
      </c>
      <c r="AV1028" t="s">
        <v>270</v>
      </c>
      <c r="AX1028" t="s">
        <v>264</v>
      </c>
      <c r="AY1028">
        <v>920600</v>
      </c>
      <c r="AZ1028">
        <v>1201.9205999999999</v>
      </c>
      <c r="BA1028" s="28" t="s">
        <v>97</v>
      </c>
    </row>
    <row r="1029" spans="1:53">
      <c r="A1029" t="s">
        <v>951</v>
      </c>
      <c r="B1029" t="s">
        <v>952</v>
      </c>
      <c r="C1029">
        <v>14370661</v>
      </c>
      <c r="D1029">
        <v>1201</v>
      </c>
      <c r="E1029" s="6">
        <v>44785</v>
      </c>
      <c r="F1029" t="s">
        <v>953</v>
      </c>
      <c r="I1029" t="s">
        <v>263</v>
      </c>
      <c r="O1029" t="s">
        <v>264</v>
      </c>
      <c r="Q1029" t="s">
        <v>264</v>
      </c>
      <c r="R1029" t="s">
        <v>524</v>
      </c>
      <c r="T1029" t="s">
        <v>266</v>
      </c>
      <c r="U1029" t="s">
        <v>267</v>
      </c>
      <c r="V1029" t="s">
        <v>525</v>
      </c>
      <c r="W1029" t="s">
        <v>526</v>
      </c>
      <c r="X1029">
        <v>1933485</v>
      </c>
      <c r="Y1029" s="6">
        <v>44791</v>
      </c>
      <c r="Z1029" t="s">
        <v>264</v>
      </c>
      <c r="AA1029">
        <v>166</v>
      </c>
      <c r="AB1029" t="s">
        <v>264</v>
      </c>
      <c r="AD1029" t="s">
        <v>264</v>
      </c>
      <c r="AE1029" t="s">
        <v>264</v>
      </c>
      <c r="AF1029" t="s">
        <v>264</v>
      </c>
      <c r="AG1029">
        <v>28</v>
      </c>
      <c r="AH1029" t="s">
        <v>264</v>
      </c>
      <c r="AL1029" t="s">
        <v>264</v>
      </c>
      <c r="AM1029" s="6">
        <v>44785</v>
      </c>
      <c r="AN1029" t="s">
        <v>527</v>
      </c>
      <c r="AO1029" t="s">
        <v>268</v>
      </c>
      <c r="AP1029">
        <v>1201</v>
      </c>
      <c r="AQ1029" t="s">
        <v>269</v>
      </c>
      <c r="AR1029">
        <v>280138</v>
      </c>
      <c r="AU1029" t="s">
        <v>264</v>
      </c>
      <c r="AV1029" t="s">
        <v>270</v>
      </c>
      <c r="AX1029" t="s">
        <v>264</v>
      </c>
      <c r="AY1029">
        <v>920600</v>
      </c>
      <c r="AZ1029">
        <v>1201.9205999999999</v>
      </c>
      <c r="BA1029" s="28" t="s">
        <v>97</v>
      </c>
    </row>
    <row r="1030" spans="1:53">
      <c r="A1030" t="s">
        <v>951</v>
      </c>
      <c r="B1030" t="s">
        <v>952</v>
      </c>
      <c r="C1030">
        <v>14370661</v>
      </c>
      <c r="D1030">
        <v>1201</v>
      </c>
      <c r="E1030" s="6">
        <v>44785</v>
      </c>
      <c r="F1030" t="s">
        <v>953</v>
      </c>
      <c r="I1030" t="s">
        <v>263</v>
      </c>
      <c r="O1030" t="s">
        <v>264</v>
      </c>
      <c r="Q1030" t="s">
        <v>264</v>
      </c>
      <c r="R1030" t="s">
        <v>524</v>
      </c>
      <c r="T1030" t="s">
        <v>266</v>
      </c>
      <c r="U1030" t="s">
        <v>267</v>
      </c>
      <c r="V1030" t="s">
        <v>525</v>
      </c>
      <c r="W1030" t="s">
        <v>526</v>
      </c>
      <c r="X1030">
        <v>1933485</v>
      </c>
      <c r="Y1030" s="6">
        <v>44791</v>
      </c>
      <c r="Z1030" t="s">
        <v>264</v>
      </c>
      <c r="AA1030">
        <v>168</v>
      </c>
      <c r="AB1030" t="s">
        <v>264</v>
      </c>
      <c r="AD1030" t="s">
        <v>264</v>
      </c>
      <c r="AE1030" t="s">
        <v>264</v>
      </c>
      <c r="AF1030" t="s">
        <v>264</v>
      </c>
      <c r="AG1030">
        <v>27</v>
      </c>
      <c r="AH1030" t="s">
        <v>264</v>
      </c>
      <c r="AL1030" t="s">
        <v>264</v>
      </c>
      <c r="AM1030" s="6">
        <v>44785</v>
      </c>
      <c r="AN1030" t="s">
        <v>527</v>
      </c>
      <c r="AO1030" t="s">
        <v>268</v>
      </c>
      <c r="AP1030">
        <v>1201</v>
      </c>
      <c r="AQ1030" t="s">
        <v>269</v>
      </c>
      <c r="AR1030">
        <v>280139</v>
      </c>
      <c r="AU1030" t="s">
        <v>264</v>
      </c>
      <c r="AV1030" t="s">
        <v>270</v>
      </c>
      <c r="AX1030" t="s">
        <v>264</v>
      </c>
      <c r="AY1030">
        <v>920600</v>
      </c>
      <c r="AZ1030">
        <v>1201.9205999999999</v>
      </c>
      <c r="BA1030" s="28" t="s">
        <v>97</v>
      </c>
    </row>
    <row r="1031" spans="1:53">
      <c r="A1031" t="s">
        <v>951</v>
      </c>
      <c r="B1031" t="s">
        <v>952</v>
      </c>
      <c r="C1031">
        <v>14370661</v>
      </c>
      <c r="D1031">
        <v>1201</v>
      </c>
      <c r="E1031" s="6">
        <v>44785</v>
      </c>
      <c r="F1031" t="s">
        <v>953</v>
      </c>
      <c r="I1031" t="s">
        <v>263</v>
      </c>
      <c r="O1031" t="s">
        <v>264</v>
      </c>
      <c r="Q1031" t="s">
        <v>264</v>
      </c>
      <c r="R1031" t="s">
        <v>524</v>
      </c>
      <c r="T1031" t="s">
        <v>266</v>
      </c>
      <c r="U1031" t="s">
        <v>267</v>
      </c>
      <c r="V1031" t="s">
        <v>525</v>
      </c>
      <c r="W1031" t="s">
        <v>526</v>
      </c>
      <c r="X1031">
        <v>1933485</v>
      </c>
      <c r="Y1031" s="6">
        <v>44791</v>
      </c>
      <c r="Z1031" t="s">
        <v>264</v>
      </c>
      <c r="AA1031">
        <v>176</v>
      </c>
      <c r="AB1031" t="s">
        <v>264</v>
      </c>
      <c r="AD1031" t="s">
        <v>264</v>
      </c>
      <c r="AE1031" t="s">
        <v>264</v>
      </c>
      <c r="AF1031" t="s">
        <v>264</v>
      </c>
      <c r="AG1031">
        <v>36</v>
      </c>
      <c r="AH1031" t="s">
        <v>264</v>
      </c>
      <c r="AL1031" t="s">
        <v>264</v>
      </c>
      <c r="AM1031" s="6">
        <v>44785</v>
      </c>
      <c r="AN1031" t="s">
        <v>527</v>
      </c>
      <c r="AO1031" t="s">
        <v>268</v>
      </c>
      <c r="AP1031">
        <v>1201</v>
      </c>
      <c r="AQ1031" t="s">
        <v>269</v>
      </c>
      <c r="AR1031">
        <v>280143</v>
      </c>
      <c r="AU1031" t="s">
        <v>264</v>
      </c>
      <c r="AV1031" t="s">
        <v>270</v>
      </c>
      <c r="AX1031" t="s">
        <v>264</v>
      </c>
      <c r="AY1031">
        <v>920600</v>
      </c>
      <c r="AZ1031">
        <v>1201.9205999999999</v>
      </c>
      <c r="BA1031" s="28" t="s">
        <v>97</v>
      </c>
    </row>
    <row r="1032" spans="1:53">
      <c r="A1032" t="s">
        <v>951</v>
      </c>
      <c r="B1032" t="s">
        <v>952</v>
      </c>
      <c r="C1032">
        <v>14370661</v>
      </c>
      <c r="D1032">
        <v>1201</v>
      </c>
      <c r="E1032" s="6">
        <v>44785</v>
      </c>
      <c r="F1032" t="s">
        <v>953</v>
      </c>
      <c r="I1032" t="s">
        <v>263</v>
      </c>
      <c r="O1032" t="s">
        <v>264</v>
      </c>
      <c r="Q1032" t="s">
        <v>264</v>
      </c>
      <c r="R1032" t="s">
        <v>524</v>
      </c>
      <c r="T1032" t="s">
        <v>266</v>
      </c>
      <c r="U1032" t="s">
        <v>267</v>
      </c>
      <c r="V1032" t="s">
        <v>525</v>
      </c>
      <c r="W1032" t="s">
        <v>526</v>
      </c>
      <c r="X1032">
        <v>1933485</v>
      </c>
      <c r="Y1032" s="6">
        <v>44791</v>
      </c>
      <c r="Z1032" t="s">
        <v>264</v>
      </c>
      <c r="AA1032">
        <v>178</v>
      </c>
      <c r="AB1032" t="s">
        <v>264</v>
      </c>
      <c r="AD1032" t="s">
        <v>264</v>
      </c>
      <c r="AE1032" t="s">
        <v>264</v>
      </c>
      <c r="AF1032" t="s">
        <v>264</v>
      </c>
      <c r="AG1032">
        <v>22</v>
      </c>
      <c r="AH1032" t="s">
        <v>264</v>
      </c>
      <c r="AL1032" t="s">
        <v>264</v>
      </c>
      <c r="AM1032" s="6">
        <v>44785</v>
      </c>
      <c r="AN1032" t="s">
        <v>527</v>
      </c>
      <c r="AO1032" t="s">
        <v>268</v>
      </c>
      <c r="AP1032">
        <v>1201</v>
      </c>
      <c r="AQ1032" t="s">
        <v>269</v>
      </c>
      <c r="AR1032">
        <v>280144</v>
      </c>
      <c r="AU1032" t="s">
        <v>264</v>
      </c>
      <c r="AV1032" t="s">
        <v>270</v>
      </c>
      <c r="AX1032" t="s">
        <v>264</v>
      </c>
      <c r="AY1032">
        <v>920600</v>
      </c>
      <c r="AZ1032">
        <v>1201.9205999999999</v>
      </c>
      <c r="BA1032" s="28" t="s">
        <v>97</v>
      </c>
    </row>
    <row r="1033" spans="1:53">
      <c r="A1033" t="s">
        <v>951</v>
      </c>
      <c r="B1033" t="s">
        <v>952</v>
      </c>
      <c r="C1033">
        <v>14370661</v>
      </c>
      <c r="D1033">
        <v>1201</v>
      </c>
      <c r="E1033" s="6">
        <v>44785</v>
      </c>
      <c r="F1033" t="s">
        <v>953</v>
      </c>
      <c r="I1033" t="s">
        <v>263</v>
      </c>
      <c r="O1033" t="s">
        <v>264</v>
      </c>
      <c r="Q1033" t="s">
        <v>264</v>
      </c>
      <c r="R1033" t="s">
        <v>524</v>
      </c>
      <c r="T1033" t="s">
        <v>266</v>
      </c>
      <c r="U1033" t="s">
        <v>267</v>
      </c>
      <c r="V1033" t="s">
        <v>525</v>
      </c>
      <c r="W1033" t="s">
        <v>526</v>
      </c>
      <c r="X1033">
        <v>1933485</v>
      </c>
      <c r="Y1033" s="6">
        <v>44791</v>
      </c>
      <c r="Z1033" t="s">
        <v>264</v>
      </c>
      <c r="AA1033">
        <v>198</v>
      </c>
      <c r="AB1033" t="s">
        <v>264</v>
      </c>
      <c r="AD1033" t="s">
        <v>264</v>
      </c>
      <c r="AE1033" t="s">
        <v>264</v>
      </c>
      <c r="AF1033" t="s">
        <v>264</v>
      </c>
      <c r="AG1033">
        <v>88</v>
      </c>
      <c r="AH1033" t="s">
        <v>264</v>
      </c>
      <c r="AL1033" t="s">
        <v>264</v>
      </c>
      <c r="AM1033" s="6">
        <v>44785</v>
      </c>
      <c r="AN1033" t="s">
        <v>527</v>
      </c>
      <c r="AO1033" t="s">
        <v>268</v>
      </c>
      <c r="AP1033">
        <v>1201</v>
      </c>
      <c r="AQ1033" t="s">
        <v>269</v>
      </c>
      <c r="AR1033">
        <v>280154</v>
      </c>
      <c r="AU1033" t="s">
        <v>264</v>
      </c>
      <c r="AV1033" t="s">
        <v>270</v>
      </c>
      <c r="AX1033" t="s">
        <v>264</v>
      </c>
      <c r="AY1033">
        <v>920600</v>
      </c>
      <c r="AZ1033">
        <v>1201.9205999999999</v>
      </c>
      <c r="BA1033" s="28" t="s">
        <v>97</v>
      </c>
    </row>
    <row r="1034" spans="1:53">
      <c r="A1034" t="s">
        <v>951</v>
      </c>
      <c r="B1034" t="s">
        <v>952</v>
      </c>
      <c r="C1034">
        <v>14370661</v>
      </c>
      <c r="D1034">
        <v>1201</v>
      </c>
      <c r="E1034" s="6">
        <v>44785</v>
      </c>
      <c r="F1034" t="s">
        <v>953</v>
      </c>
      <c r="I1034" t="s">
        <v>263</v>
      </c>
      <c r="O1034" t="s">
        <v>264</v>
      </c>
      <c r="Q1034" t="s">
        <v>264</v>
      </c>
      <c r="R1034" t="s">
        <v>524</v>
      </c>
      <c r="T1034" t="s">
        <v>266</v>
      </c>
      <c r="U1034" t="s">
        <v>267</v>
      </c>
      <c r="V1034" t="s">
        <v>525</v>
      </c>
      <c r="W1034" t="s">
        <v>526</v>
      </c>
      <c r="X1034">
        <v>1933485</v>
      </c>
      <c r="Y1034" s="6">
        <v>44791</v>
      </c>
      <c r="Z1034" t="s">
        <v>264</v>
      </c>
      <c r="AA1034">
        <v>96</v>
      </c>
      <c r="AB1034" t="s">
        <v>264</v>
      </c>
      <c r="AD1034" t="s">
        <v>264</v>
      </c>
      <c r="AE1034" t="s">
        <v>264</v>
      </c>
      <c r="AF1034" t="s">
        <v>264</v>
      </c>
      <c r="AG1034">
        <v>12</v>
      </c>
      <c r="AH1034" t="s">
        <v>264</v>
      </c>
      <c r="AL1034" t="s">
        <v>264</v>
      </c>
      <c r="AM1034" s="6">
        <v>44785</v>
      </c>
      <c r="AN1034" t="s">
        <v>527</v>
      </c>
      <c r="AO1034" t="s">
        <v>268</v>
      </c>
      <c r="AP1034">
        <v>1201</v>
      </c>
      <c r="AQ1034" t="s">
        <v>269</v>
      </c>
      <c r="AR1034">
        <v>278171</v>
      </c>
      <c r="AU1034" t="s">
        <v>264</v>
      </c>
      <c r="AV1034" t="s">
        <v>270</v>
      </c>
      <c r="AX1034" t="s">
        <v>264</v>
      </c>
      <c r="AY1034">
        <v>920600</v>
      </c>
      <c r="AZ1034">
        <v>1201.9205999999999</v>
      </c>
      <c r="BA1034" s="28" t="s">
        <v>97</v>
      </c>
    </row>
    <row r="1035" spans="1:53">
      <c r="A1035" t="s">
        <v>951</v>
      </c>
      <c r="B1035" t="s">
        <v>952</v>
      </c>
      <c r="C1035">
        <v>14370661</v>
      </c>
      <c r="D1035">
        <v>1201</v>
      </c>
      <c r="E1035" s="6">
        <v>44785</v>
      </c>
      <c r="F1035" t="s">
        <v>953</v>
      </c>
      <c r="I1035" t="s">
        <v>263</v>
      </c>
      <c r="O1035" t="s">
        <v>264</v>
      </c>
      <c r="Q1035" t="s">
        <v>264</v>
      </c>
      <c r="R1035" t="s">
        <v>524</v>
      </c>
      <c r="T1035" t="s">
        <v>266</v>
      </c>
      <c r="U1035" t="s">
        <v>267</v>
      </c>
      <c r="V1035" t="s">
        <v>525</v>
      </c>
      <c r="W1035" t="s">
        <v>526</v>
      </c>
      <c r="X1035">
        <v>1933485</v>
      </c>
      <c r="Y1035" s="6">
        <v>44791</v>
      </c>
      <c r="Z1035" t="s">
        <v>264</v>
      </c>
      <c r="AA1035">
        <v>98</v>
      </c>
      <c r="AB1035" t="s">
        <v>264</v>
      </c>
      <c r="AD1035" t="s">
        <v>264</v>
      </c>
      <c r="AE1035" t="s">
        <v>264</v>
      </c>
      <c r="AF1035" t="s">
        <v>264</v>
      </c>
      <c r="AG1035">
        <v>84</v>
      </c>
      <c r="AH1035" t="s">
        <v>264</v>
      </c>
      <c r="AL1035" t="s">
        <v>264</v>
      </c>
      <c r="AM1035" s="6">
        <v>44785</v>
      </c>
      <c r="AN1035" t="s">
        <v>527</v>
      </c>
      <c r="AO1035" t="s">
        <v>268</v>
      </c>
      <c r="AP1035">
        <v>1201</v>
      </c>
      <c r="AQ1035" t="s">
        <v>269</v>
      </c>
      <c r="AR1035">
        <v>278171</v>
      </c>
      <c r="AU1035" t="s">
        <v>264</v>
      </c>
      <c r="AV1035" t="s">
        <v>270</v>
      </c>
      <c r="AX1035" t="s">
        <v>264</v>
      </c>
      <c r="AY1035">
        <v>920600</v>
      </c>
      <c r="AZ1035">
        <v>1201.9205999999999</v>
      </c>
      <c r="BA1035" s="28" t="s">
        <v>97</v>
      </c>
    </row>
    <row r="1036" spans="1:53">
      <c r="A1036" t="s">
        <v>951</v>
      </c>
      <c r="B1036" t="s">
        <v>952</v>
      </c>
      <c r="C1036">
        <v>14370661</v>
      </c>
      <c r="D1036">
        <v>1201</v>
      </c>
      <c r="E1036" s="6">
        <v>44785</v>
      </c>
      <c r="F1036" t="s">
        <v>953</v>
      </c>
      <c r="I1036" t="s">
        <v>263</v>
      </c>
      <c r="O1036" t="s">
        <v>264</v>
      </c>
      <c r="Q1036" t="s">
        <v>264</v>
      </c>
      <c r="R1036" t="s">
        <v>524</v>
      </c>
      <c r="T1036" t="s">
        <v>266</v>
      </c>
      <c r="U1036" t="s">
        <v>267</v>
      </c>
      <c r="V1036" t="s">
        <v>525</v>
      </c>
      <c r="W1036" t="s">
        <v>526</v>
      </c>
      <c r="X1036">
        <v>1933485</v>
      </c>
      <c r="Y1036" s="6">
        <v>44791</v>
      </c>
      <c r="Z1036" t="s">
        <v>264</v>
      </c>
      <c r="AA1036">
        <v>100</v>
      </c>
      <c r="AB1036" t="s">
        <v>264</v>
      </c>
      <c r="AD1036" t="s">
        <v>264</v>
      </c>
      <c r="AE1036" t="s">
        <v>264</v>
      </c>
      <c r="AF1036" t="s">
        <v>264</v>
      </c>
      <c r="AG1036">
        <v>13</v>
      </c>
      <c r="AH1036" t="s">
        <v>264</v>
      </c>
      <c r="AL1036" t="s">
        <v>264</v>
      </c>
      <c r="AM1036" s="6">
        <v>44785</v>
      </c>
      <c r="AN1036" t="s">
        <v>527</v>
      </c>
      <c r="AO1036" t="s">
        <v>268</v>
      </c>
      <c r="AP1036">
        <v>1201</v>
      </c>
      <c r="AQ1036" t="s">
        <v>269</v>
      </c>
      <c r="AR1036">
        <v>278172</v>
      </c>
      <c r="AU1036" t="s">
        <v>264</v>
      </c>
      <c r="AV1036" t="s">
        <v>270</v>
      </c>
      <c r="AX1036" t="s">
        <v>264</v>
      </c>
      <c r="AY1036">
        <v>920600</v>
      </c>
      <c r="AZ1036">
        <v>1201.9205999999999</v>
      </c>
      <c r="BA1036" s="28" t="s">
        <v>97</v>
      </c>
    </row>
    <row r="1037" spans="1:53">
      <c r="A1037" t="s">
        <v>951</v>
      </c>
      <c r="B1037" t="s">
        <v>952</v>
      </c>
      <c r="C1037">
        <v>14370661</v>
      </c>
      <c r="D1037">
        <v>1201</v>
      </c>
      <c r="E1037" s="6">
        <v>44785</v>
      </c>
      <c r="F1037" t="s">
        <v>953</v>
      </c>
      <c r="I1037" t="s">
        <v>263</v>
      </c>
      <c r="O1037" t="s">
        <v>264</v>
      </c>
      <c r="Q1037" t="s">
        <v>264</v>
      </c>
      <c r="R1037" t="s">
        <v>524</v>
      </c>
      <c r="T1037" t="s">
        <v>266</v>
      </c>
      <c r="U1037" t="s">
        <v>267</v>
      </c>
      <c r="V1037" t="s">
        <v>525</v>
      </c>
      <c r="W1037" t="s">
        <v>526</v>
      </c>
      <c r="X1037">
        <v>1933485</v>
      </c>
      <c r="Y1037" s="6">
        <v>44791</v>
      </c>
      <c r="Z1037" t="s">
        <v>264</v>
      </c>
      <c r="AA1037">
        <v>102</v>
      </c>
      <c r="AB1037" t="s">
        <v>264</v>
      </c>
      <c r="AD1037" t="s">
        <v>264</v>
      </c>
      <c r="AE1037" t="s">
        <v>264</v>
      </c>
      <c r="AF1037" t="s">
        <v>264</v>
      </c>
      <c r="AG1037">
        <v>2</v>
      </c>
      <c r="AH1037" t="s">
        <v>264</v>
      </c>
      <c r="AL1037" t="s">
        <v>264</v>
      </c>
      <c r="AM1037" s="6">
        <v>44785</v>
      </c>
      <c r="AN1037" t="s">
        <v>527</v>
      </c>
      <c r="AO1037" t="s">
        <v>268</v>
      </c>
      <c r="AP1037">
        <v>1201</v>
      </c>
      <c r="AQ1037" t="s">
        <v>269</v>
      </c>
      <c r="AR1037">
        <v>278172</v>
      </c>
      <c r="AU1037" t="s">
        <v>264</v>
      </c>
      <c r="AV1037" t="s">
        <v>270</v>
      </c>
      <c r="AX1037" t="s">
        <v>264</v>
      </c>
      <c r="AY1037">
        <v>920600</v>
      </c>
      <c r="AZ1037">
        <v>1201.9205999999999</v>
      </c>
      <c r="BA1037" s="28" t="s">
        <v>97</v>
      </c>
    </row>
    <row r="1038" spans="1:53">
      <c r="A1038" t="s">
        <v>951</v>
      </c>
      <c r="B1038" t="s">
        <v>952</v>
      </c>
      <c r="C1038">
        <v>14370661</v>
      </c>
      <c r="D1038">
        <v>1201</v>
      </c>
      <c r="E1038" s="6">
        <v>44785</v>
      </c>
      <c r="F1038" t="s">
        <v>953</v>
      </c>
      <c r="I1038" t="s">
        <v>263</v>
      </c>
      <c r="O1038" t="s">
        <v>264</v>
      </c>
      <c r="Q1038" t="s">
        <v>264</v>
      </c>
      <c r="R1038" t="s">
        <v>524</v>
      </c>
      <c r="T1038" t="s">
        <v>266</v>
      </c>
      <c r="U1038" t="s">
        <v>267</v>
      </c>
      <c r="V1038" t="s">
        <v>525</v>
      </c>
      <c r="W1038" t="s">
        <v>526</v>
      </c>
      <c r="X1038">
        <v>1933485</v>
      </c>
      <c r="Y1038" s="6">
        <v>44791</v>
      </c>
      <c r="Z1038" t="s">
        <v>264</v>
      </c>
      <c r="AA1038">
        <v>104</v>
      </c>
      <c r="AB1038" t="s">
        <v>264</v>
      </c>
      <c r="AD1038" t="s">
        <v>264</v>
      </c>
      <c r="AE1038" t="s">
        <v>264</v>
      </c>
      <c r="AF1038" t="s">
        <v>264</v>
      </c>
      <c r="AG1038">
        <v>290</v>
      </c>
      <c r="AH1038" t="s">
        <v>264</v>
      </c>
      <c r="AL1038" t="s">
        <v>264</v>
      </c>
      <c r="AM1038" s="6">
        <v>44785</v>
      </c>
      <c r="AN1038" t="s">
        <v>527</v>
      </c>
      <c r="AO1038" t="s">
        <v>268</v>
      </c>
      <c r="AP1038">
        <v>1201</v>
      </c>
      <c r="AQ1038" t="s">
        <v>269</v>
      </c>
      <c r="AR1038">
        <v>278172</v>
      </c>
      <c r="AU1038" t="s">
        <v>264</v>
      </c>
      <c r="AV1038" t="s">
        <v>270</v>
      </c>
      <c r="AX1038" t="s">
        <v>264</v>
      </c>
      <c r="AY1038">
        <v>920600</v>
      </c>
      <c r="AZ1038">
        <v>1201.9205999999999</v>
      </c>
      <c r="BA1038" s="28" t="s">
        <v>97</v>
      </c>
    </row>
    <row r="1039" spans="1:53">
      <c r="A1039" t="s">
        <v>951</v>
      </c>
      <c r="B1039" t="s">
        <v>952</v>
      </c>
      <c r="C1039">
        <v>14370661</v>
      </c>
      <c r="D1039">
        <v>1201</v>
      </c>
      <c r="E1039" s="6">
        <v>44785</v>
      </c>
      <c r="F1039" t="s">
        <v>953</v>
      </c>
      <c r="I1039" t="s">
        <v>263</v>
      </c>
      <c r="O1039" t="s">
        <v>264</v>
      </c>
      <c r="Q1039" t="s">
        <v>264</v>
      </c>
      <c r="R1039" t="s">
        <v>524</v>
      </c>
      <c r="T1039" t="s">
        <v>266</v>
      </c>
      <c r="U1039" t="s">
        <v>267</v>
      </c>
      <c r="V1039" t="s">
        <v>525</v>
      </c>
      <c r="W1039" t="s">
        <v>526</v>
      </c>
      <c r="X1039">
        <v>1933485</v>
      </c>
      <c r="Y1039" s="6">
        <v>44791</v>
      </c>
      <c r="Z1039" t="s">
        <v>264</v>
      </c>
      <c r="AA1039">
        <v>106</v>
      </c>
      <c r="AB1039" t="s">
        <v>264</v>
      </c>
      <c r="AD1039" t="s">
        <v>264</v>
      </c>
      <c r="AE1039" t="s">
        <v>264</v>
      </c>
      <c r="AF1039" t="s">
        <v>264</v>
      </c>
      <c r="AG1039" s="29">
        <v>1100</v>
      </c>
      <c r="AH1039" t="s">
        <v>264</v>
      </c>
      <c r="AL1039" t="s">
        <v>264</v>
      </c>
      <c r="AM1039" s="6">
        <v>44785</v>
      </c>
      <c r="AN1039" t="s">
        <v>527</v>
      </c>
      <c r="AO1039" t="s">
        <v>268</v>
      </c>
      <c r="AP1039">
        <v>1201</v>
      </c>
      <c r="AQ1039" t="s">
        <v>269</v>
      </c>
      <c r="AR1039">
        <v>278172</v>
      </c>
      <c r="AU1039" t="s">
        <v>264</v>
      </c>
      <c r="AV1039" t="s">
        <v>270</v>
      </c>
      <c r="AX1039" t="s">
        <v>264</v>
      </c>
      <c r="AY1039">
        <v>920600</v>
      </c>
      <c r="AZ1039">
        <v>1201.9205999999999</v>
      </c>
      <c r="BA1039" s="28" t="s">
        <v>97</v>
      </c>
    </row>
    <row r="1040" spans="1:53">
      <c r="A1040" t="s">
        <v>951</v>
      </c>
      <c r="B1040" t="s">
        <v>952</v>
      </c>
      <c r="C1040">
        <v>14370661</v>
      </c>
      <c r="D1040">
        <v>1201</v>
      </c>
      <c r="E1040" s="6">
        <v>44785</v>
      </c>
      <c r="F1040" t="s">
        <v>953</v>
      </c>
      <c r="I1040" t="s">
        <v>263</v>
      </c>
      <c r="O1040" t="s">
        <v>264</v>
      </c>
      <c r="Q1040" t="s">
        <v>264</v>
      </c>
      <c r="R1040" t="s">
        <v>524</v>
      </c>
      <c r="T1040" t="s">
        <v>266</v>
      </c>
      <c r="U1040" t="s">
        <v>267</v>
      </c>
      <c r="V1040" t="s">
        <v>525</v>
      </c>
      <c r="W1040" t="s">
        <v>526</v>
      </c>
      <c r="X1040">
        <v>1933485</v>
      </c>
      <c r="Y1040" s="6">
        <v>44791</v>
      </c>
      <c r="Z1040" t="s">
        <v>264</v>
      </c>
      <c r="AA1040">
        <v>108</v>
      </c>
      <c r="AB1040" t="s">
        <v>264</v>
      </c>
      <c r="AD1040" t="s">
        <v>264</v>
      </c>
      <c r="AE1040" t="s">
        <v>264</v>
      </c>
      <c r="AF1040" t="s">
        <v>264</v>
      </c>
      <c r="AG1040">
        <v>11</v>
      </c>
      <c r="AH1040" t="s">
        <v>264</v>
      </c>
      <c r="AL1040" t="s">
        <v>264</v>
      </c>
      <c r="AM1040" s="6">
        <v>44785</v>
      </c>
      <c r="AN1040" t="s">
        <v>527</v>
      </c>
      <c r="AO1040" t="s">
        <v>268</v>
      </c>
      <c r="AP1040">
        <v>1201</v>
      </c>
      <c r="AQ1040" t="s">
        <v>269</v>
      </c>
      <c r="AR1040">
        <v>278172</v>
      </c>
      <c r="AU1040" t="s">
        <v>264</v>
      </c>
      <c r="AV1040" t="s">
        <v>270</v>
      </c>
      <c r="AX1040" t="s">
        <v>264</v>
      </c>
      <c r="AY1040">
        <v>920600</v>
      </c>
      <c r="AZ1040">
        <v>1201.9205999999999</v>
      </c>
      <c r="BA1040" s="28" t="s">
        <v>97</v>
      </c>
    </row>
    <row r="1041" spans="1:53">
      <c r="A1041" t="s">
        <v>951</v>
      </c>
      <c r="B1041" t="s">
        <v>952</v>
      </c>
      <c r="C1041">
        <v>14370661</v>
      </c>
      <c r="D1041">
        <v>1201</v>
      </c>
      <c r="E1041" s="6">
        <v>44785</v>
      </c>
      <c r="F1041" t="s">
        <v>953</v>
      </c>
      <c r="I1041" t="s">
        <v>263</v>
      </c>
      <c r="O1041" t="s">
        <v>264</v>
      </c>
      <c r="Q1041" t="s">
        <v>264</v>
      </c>
      <c r="R1041" t="s">
        <v>524</v>
      </c>
      <c r="T1041" t="s">
        <v>266</v>
      </c>
      <c r="U1041" t="s">
        <v>267</v>
      </c>
      <c r="V1041" t="s">
        <v>525</v>
      </c>
      <c r="W1041" t="s">
        <v>526</v>
      </c>
      <c r="X1041">
        <v>1933485</v>
      </c>
      <c r="Y1041" s="6">
        <v>44791</v>
      </c>
      <c r="Z1041" t="s">
        <v>264</v>
      </c>
      <c r="AA1041">
        <v>110</v>
      </c>
      <c r="AB1041" t="s">
        <v>264</v>
      </c>
      <c r="AD1041" t="s">
        <v>264</v>
      </c>
      <c r="AE1041" t="s">
        <v>264</v>
      </c>
      <c r="AF1041" t="s">
        <v>264</v>
      </c>
      <c r="AG1041">
        <v>57</v>
      </c>
      <c r="AH1041" t="s">
        <v>264</v>
      </c>
      <c r="AL1041" t="s">
        <v>264</v>
      </c>
      <c r="AM1041" s="6">
        <v>44785</v>
      </c>
      <c r="AN1041" t="s">
        <v>527</v>
      </c>
      <c r="AO1041" t="s">
        <v>268</v>
      </c>
      <c r="AP1041">
        <v>1201</v>
      </c>
      <c r="AQ1041" t="s">
        <v>269</v>
      </c>
      <c r="AR1041">
        <v>278172</v>
      </c>
      <c r="AU1041" t="s">
        <v>264</v>
      </c>
      <c r="AV1041" t="s">
        <v>270</v>
      </c>
      <c r="AX1041" t="s">
        <v>264</v>
      </c>
      <c r="AY1041">
        <v>920600</v>
      </c>
      <c r="AZ1041">
        <v>1201.9205999999999</v>
      </c>
      <c r="BA1041" s="28" t="s">
        <v>97</v>
      </c>
    </row>
    <row r="1042" spans="1:53">
      <c r="A1042" t="s">
        <v>951</v>
      </c>
      <c r="B1042" t="s">
        <v>952</v>
      </c>
      <c r="C1042">
        <v>14370661</v>
      </c>
      <c r="D1042">
        <v>1201</v>
      </c>
      <c r="E1042" s="6">
        <v>44785</v>
      </c>
      <c r="F1042" t="s">
        <v>953</v>
      </c>
      <c r="I1042" t="s">
        <v>263</v>
      </c>
      <c r="O1042" t="s">
        <v>264</v>
      </c>
      <c r="Q1042" t="s">
        <v>264</v>
      </c>
      <c r="R1042" t="s">
        <v>524</v>
      </c>
      <c r="T1042" t="s">
        <v>266</v>
      </c>
      <c r="U1042" t="s">
        <v>267</v>
      </c>
      <c r="V1042" t="s">
        <v>525</v>
      </c>
      <c r="W1042" t="s">
        <v>526</v>
      </c>
      <c r="X1042">
        <v>1933485</v>
      </c>
      <c r="Y1042" s="6">
        <v>44791</v>
      </c>
      <c r="Z1042" t="s">
        <v>264</v>
      </c>
      <c r="AA1042">
        <v>112</v>
      </c>
      <c r="AB1042" t="s">
        <v>264</v>
      </c>
      <c r="AD1042" t="s">
        <v>264</v>
      </c>
      <c r="AE1042" t="s">
        <v>264</v>
      </c>
      <c r="AF1042" t="s">
        <v>264</v>
      </c>
      <c r="AG1042">
        <v>208</v>
      </c>
      <c r="AH1042" t="s">
        <v>264</v>
      </c>
      <c r="AL1042" t="s">
        <v>264</v>
      </c>
      <c r="AM1042" s="6">
        <v>44785</v>
      </c>
      <c r="AN1042" t="s">
        <v>527</v>
      </c>
      <c r="AO1042" t="s">
        <v>268</v>
      </c>
      <c r="AP1042">
        <v>1201</v>
      </c>
      <c r="AQ1042" t="s">
        <v>269</v>
      </c>
      <c r="AR1042">
        <v>278173</v>
      </c>
      <c r="AU1042" t="s">
        <v>264</v>
      </c>
      <c r="AV1042" t="s">
        <v>270</v>
      </c>
      <c r="AX1042" t="s">
        <v>264</v>
      </c>
      <c r="AY1042">
        <v>920600</v>
      </c>
      <c r="AZ1042">
        <v>1201.9205999999999</v>
      </c>
      <c r="BA1042" s="28" t="s">
        <v>97</v>
      </c>
    </row>
    <row r="1043" spans="1:53">
      <c r="A1043" t="s">
        <v>951</v>
      </c>
      <c r="B1043" t="s">
        <v>952</v>
      </c>
      <c r="C1043">
        <v>14370661</v>
      </c>
      <c r="D1043">
        <v>1201</v>
      </c>
      <c r="E1043" s="6">
        <v>44785</v>
      </c>
      <c r="F1043" t="s">
        <v>953</v>
      </c>
      <c r="I1043" t="s">
        <v>263</v>
      </c>
      <c r="O1043" t="s">
        <v>264</v>
      </c>
      <c r="Q1043" t="s">
        <v>264</v>
      </c>
      <c r="R1043" t="s">
        <v>524</v>
      </c>
      <c r="T1043" t="s">
        <v>266</v>
      </c>
      <c r="U1043" t="s">
        <v>267</v>
      </c>
      <c r="V1043" t="s">
        <v>525</v>
      </c>
      <c r="W1043" t="s">
        <v>526</v>
      </c>
      <c r="X1043">
        <v>1933485</v>
      </c>
      <c r="Y1043" s="6">
        <v>44791</v>
      </c>
      <c r="Z1043" t="s">
        <v>264</v>
      </c>
      <c r="AA1043">
        <v>114</v>
      </c>
      <c r="AB1043" t="s">
        <v>264</v>
      </c>
      <c r="AD1043" t="s">
        <v>264</v>
      </c>
      <c r="AE1043" t="s">
        <v>264</v>
      </c>
      <c r="AF1043" t="s">
        <v>264</v>
      </c>
      <c r="AG1043">
        <v>10</v>
      </c>
      <c r="AH1043" t="s">
        <v>264</v>
      </c>
      <c r="AL1043" t="s">
        <v>264</v>
      </c>
      <c r="AM1043" s="6">
        <v>44785</v>
      </c>
      <c r="AN1043" t="s">
        <v>527</v>
      </c>
      <c r="AO1043" t="s">
        <v>268</v>
      </c>
      <c r="AP1043">
        <v>1201</v>
      </c>
      <c r="AQ1043" t="s">
        <v>269</v>
      </c>
      <c r="AR1043">
        <v>278173</v>
      </c>
      <c r="AU1043" t="s">
        <v>264</v>
      </c>
      <c r="AV1043" t="s">
        <v>270</v>
      </c>
      <c r="AX1043" t="s">
        <v>264</v>
      </c>
      <c r="AY1043">
        <v>920600</v>
      </c>
      <c r="AZ1043">
        <v>1201.9205999999999</v>
      </c>
      <c r="BA1043" s="28" t="s">
        <v>97</v>
      </c>
    </row>
    <row r="1044" spans="1:53">
      <c r="A1044" t="s">
        <v>951</v>
      </c>
      <c r="B1044" t="s">
        <v>952</v>
      </c>
      <c r="C1044">
        <v>14370661</v>
      </c>
      <c r="D1044">
        <v>1201</v>
      </c>
      <c r="E1044" s="6">
        <v>44785</v>
      </c>
      <c r="F1044" t="s">
        <v>953</v>
      </c>
      <c r="I1044" t="s">
        <v>263</v>
      </c>
      <c r="O1044" t="s">
        <v>264</v>
      </c>
      <c r="Q1044" t="s">
        <v>264</v>
      </c>
      <c r="R1044" t="s">
        <v>524</v>
      </c>
      <c r="T1044" t="s">
        <v>266</v>
      </c>
      <c r="U1044" t="s">
        <v>267</v>
      </c>
      <c r="V1044" t="s">
        <v>525</v>
      </c>
      <c r="W1044" t="s">
        <v>526</v>
      </c>
      <c r="X1044">
        <v>1933485</v>
      </c>
      <c r="Y1044" s="6">
        <v>44791</v>
      </c>
      <c r="Z1044" t="s">
        <v>264</v>
      </c>
      <c r="AA1044">
        <v>116</v>
      </c>
      <c r="AB1044" t="s">
        <v>264</v>
      </c>
      <c r="AD1044" t="s">
        <v>264</v>
      </c>
      <c r="AE1044" t="s">
        <v>264</v>
      </c>
      <c r="AF1044" t="s">
        <v>264</v>
      </c>
      <c r="AG1044">
        <v>5</v>
      </c>
      <c r="AH1044" t="s">
        <v>264</v>
      </c>
      <c r="AL1044" t="s">
        <v>264</v>
      </c>
      <c r="AM1044" s="6">
        <v>44785</v>
      </c>
      <c r="AN1044" t="s">
        <v>527</v>
      </c>
      <c r="AO1044" t="s">
        <v>268</v>
      </c>
      <c r="AP1044">
        <v>1201</v>
      </c>
      <c r="AQ1044" t="s">
        <v>269</v>
      </c>
      <c r="AR1044">
        <v>278173</v>
      </c>
      <c r="AU1044" t="s">
        <v>264</v>
      </c>
      <c r="AV1044" t="s">
        <v>270</v>
      </c>
      <c r="AX1044" t="s">
        <v>264</v>
      </c>
      <c r="AY1044">
        <v>920600</v>
      </c>
      <c r="AZ1044">
        <v>1201.9205999999999</v>
      </c>
      <c r="BA1044" s="28" t="s">
        <v>97</v>
      </c>
    </row>
    <row r="1045" spans="1:53">
      <c r="A1045" t="s">
        <v>951</v>
      </c>
      <c r="B1045" t="s">
        <v>952</v>
      </c>
      <c r="C1045">
        <v>14370661</v>
      </c>
      <c r="D1045">
        <v>1201</v>
      </c>
      <c r="E1045" s="6">
        <v>44785</v>
      </c>
      <c r="F1045" t="s">
        <v>953</v>
      </c>
      <c r="I1045" t="s">
        <v>263</v>
      </c>
      <c r="O1045" t="s">
        <v>264</v>
      </c>
      <c r="Q1045" t="s">
        <v>264</v>
      </c>
      <c r="R1045" t="s">
        <v>524</v>
      </c>
      <c r="T1045" t="s">
        <v>266</v>
      </c>
      <c r="U1045" t="s">
        <v>267</v>
      </c>
      <c r="V1045" t="s">
        <v>525</v>
      </c>
      <c r="W1045" t="s">
        <v>526</v>
      </c>
      <c r="X1045">
        <v>1933485</v>
      </c>
      <c r="Y1045" s="6">
        <v>44791</v>
      </c>
      <c r="Z1045" t="s">
        <v>264</v>
      </c>
      <c r="AA1045">
        <v>118</v>
      </c>
      <c r="AB1045" t="s">
        <v>264</v>
      </c>
      <c r="AD1045" t="s">
        <v>264</v>
      </c>
      <c r="AE1045" t="s">
        <v>264</v>
      </c>
      <c r="AF1045" t="s">
        <v>264</v>
      </c>
      <c r="AG1045">
        <v>57</v>
      </c>
      <c r="AH1045" t="s">
        <v>264</v>
      </c>
      <c r="AL1045" t="s">
        <v>264</v>
      </c>
      <c r="AM1045" s="6">
        <v>44785</v>
      </c>
      <c r="AN1045" t="s">
        <v>527</v>
      </c>
      <c r="AO1045" t="s">
        <v>268</v>
      </c>
      <c r="AP1045">
        <v>1201</v>
      </c>
      <c r="AQ1045" t="s">
        <v>269</v>
      </c>
      <c r="AR1045">
        <v>278173</v>
      </c>
      <c r="AU1045" t="s">
        <v>264</v>
      </c>
      <c r="AV1045" t="s">
        <v>270</v>
      </c>
      <c r="AX1045" t="s">
        <v>264</v>
      </c>
      <c r="AY1045">
        <v>920600</v>
      </c>
      <c r="AZ1045">
        <v>1201.9205999999999</v>
      </c>
      <c r="BA1045" s="28" t="s">
        <v>97</v>
      </c>
    </row>
    <row r="1046" spans="1:53">
      <c r="A1046" t="s">
        <v>951</v>
      </c>
      <c r="B1046" t="s">
        <v>952</v>
      </c>
      <c r="C1046">
        <v>14370661</v>
      </c>
      <c r="D1046">
        <v>1201</v>
      </c>
      <c r="E1046" s="6">
        <v>44785</v>
      </c>
      <c r="F1046" t="s">
        <v>953</v>
      </c>
      <c r="I1046" t="s">
        <v>263</v>
      </c>
      <c r="O1046" t="s">
        <v>264</v>
      </c>
      <c r="Q1046" t="s">
        <v>264</v>
      </c>
      <c r="R1046" t="s">
        <v>524</v>
      </c>
      <c r="T1046" t="s">
        <v>266</v>
      </c>
      <c r="U1046" t="s">
        <v>267</v>
      </c>
      <c r="V1046" t="s">
        <v>525</v>
      </c>
      <c r="W1046" t="s">
        <v>526</v>
      </c>
      <c r="X1046">
        <v>1933485</v>
      </c>
      <c r="Y1046" s="6">
        <v>44791</v>
      </c>
      <c r="Z1046" t="s">
        <v>264</v>
      </c>
      <c r="AA1046">
        <v>68</v>
      </c>
      <c r="AB1046" t="s">
        <v>264</v>
      </c>
      <c r="AD1046" t="s">
        <v>264</v>
      </c>
      <c r="AE1046" t="s">
        <v>264</v>
      </c>
      <c r="AF1046" t="s">
        <v>264</v>
      </c>
      <c r="AG1046">
        <v>4</v>
      </c>
      <c r="AH1046" t="s">
        <v>264</v>
      </c>
      <c r="AL1046" t="s">
        <v>264</v>
      </c>
      <c r="AM1046" s="6">
        <v>44785</v>
      </c>
      <c r="AN1046" t="s">
        <v>527</v>
      </c>
      <c r="AO1046" t="s">
        <v>268</v>
      </c>
      <c r="AP1046">
        <v>1201</v>
      </c>
      <c r="AQ1046" t="s">
        <v>269</v>
      </c>
      <c r="AR1046">
        <v>278168</v>
      </c>
      <c r="AU1046" t="s">
        <v>264</v>
      </c>
      <c r="AV1046" t="s">
        <v>270</v>
      </c>
      <c r="AX1046" t="s">
        <v>264</v>
      </c>
      <c r="AY1046">
        <v>920600</v>
      </c>
      <c r="AZ1046">
        <v>1201.9205999999999</v>
      </c>
      <c r="BA1046" s="28" t="s">
        <v>97</v>
      </c>
    </row>
    <row r="1047" spans="1:53">
      <c r="A1047" t="s">
        <v>951</v>
      </c>
      <c r="B1047" t="s">
        <v>952</v>
      </c>
      <c r="C1047">
        <v>14370661</v>
      </c>
      <c r="D1047">
        <v>1201</v>
      </c>
      <c r="E1047" s="6">
        <v>44785</v>
      </c>
      <c r="F1047" t="s">
        <v>953</v>
      </c>
      <c r="I1047" t="s">
        <v>263</v>
      </c>
      <c r="O1047" t="s">
        <v>264</v>
      </c>
      <c r="Q1047" t="s">
        <v>264</v>
      </c>
      <c r="R1047" t="s">
        <v>524</v>
      </c>
      <c r="T1047" t="s">
        <v>266</v>
      </c>
      <c r="U1047" t="s">
        <v>267</v>
      </c>
      <c r="V1047" t="s">
        <v>525</v>
      </c>
      <c r="W1047" t="s">
        <v>526</v>
      </c>
      <c r="X1047">
        <v>1933485</v>
      </c>
      <c r="Y1047" s="6">
        <v>44791</v>
      </c>
      <c r="Z1047" t="s">
        <v>264</v>
      </c>
      <c r="AA1047">
        <v>70</v>
      </c>
      <c r="AB1047" t="s">
        <v>264</v>
      </c>
      <c r="AD1047" t="s">
        <v>264</v>
      </c>
      <c r="AE1047" t="s">
        <v>264</v>
      </c>
      <c r="AF1047" t="s">
        <v>264</v>
      </c>
      <c r="AG1047">
        <v>202</v>
      </c>
      <c r="AH1047" t="s">
        <v>264</v>
      </c>
      <c r="AL1047" t="s">
        <v>264</v>
      </c>
      <c r="AM1047" s="6">
        <v>44785</v>
      </c>
      <c r="AN1047" t="s">
        <v>527</v>
      </c>
      <c r="AO1047" t="s">
        <v>268</v>
      </c>
      <c r="AP1047">
        <v>1201</v>
      </c>
      <c r="AQ1047" t="s">
        <v>269</v>
      </c>
      <c r="AR1047">
        <v>278168</v>
      </c>
      <c r="AU1047" t="s">
        <v>264</v>
      </c>
      <c r="AV1047" t="s">
        <v>270</v>
      </c>
      <c r="AX1047" t="s">
        <v>264</v>
      </c>
      <c r="AY1047">
        <v>920600</v>
      </c>
      <c r="AZ1047">
        <v>1201.9205999999999</v>
      </c>
      <c r="BA1047" s="28" t="s">
        <v>97</v>
      </c>
    </row>
    <row r="1048" spans="1:53">
      <c r="A1048" t="s">
        <v>951</v>
      </c>
      <c r="B1048" t="s">
        <v>952</v>
      </c>
      <c r="C1048">
        <v>14370661</v>
      </c>
      <c r="D1048">
        <v>1201</v>
      </c>
      <c r="E1048" s="6">
        <v>44785</v>
      </c>
      <c r="F1048" t="s">
        <v>953</v>
      </c>
      <c r="I1048" t="s">
        <v>263</v>
      </c>
      <c r="O1048" t="s">
        <v>264</v>
      </c>
      <c r="Q1048" t="s">
        <v>264</v>
      </c>
      <c r="R1048" t="s">
        <v>524</v>
      </c>
      <c r="T1048" t="s">
        <v>266</v>
      </c>
      <c r="U1048" t="s">
        <v>267</v>
      </c>
      <c r="V1048" t="s">
        <v>525</v>
      </c>
      <c r="W1048" t="s">
        <v>526</v>
      </c>
      <c r="X1048">
        <v>1933485</v>
      </c>
      <c r="Y1048" s="6">
        <v>44791</v>
      </c>
      <c r="Z1048" t="s">
        <v>264</v>
      </c>
      <c r="AA1048">
        <v>72</v>
      </c>
      <c r="AB1048" t="s">
        <v>264</v>
      </c>
      <c r="AD1048" t="s">
        <v>264</v>
      </c>
      <c r="AE1048" t="s">
        <v>264</v>
      </c>
      <c r="AF1048" t="s">
        <v>264</v>
      </c>
      <c r="AG1048">
        <v>15</v>
      </c>
      <c r="AH1048" t="s">
        <v>264</v>
      </c>
      <c r="AL1048" t="s">
        <v>264</v>
      </c>
      <c r="AM1048" s="6">
        <v>44785</v>
      </c>
      <c r="AN1048" t="s">
        <v>527</v>
      </c>
      <c r="AO1048" t="s">
        <v>268</v>
      </c>
      <c r="AP1048">
        <v>1201</v>
      </c>
      <c r="AQ1048" t="s">
        <v>269</v>
      </c>
      <c r="AR1048">
        <v>278168</v>
      </c>
      <c r="AU1048" t="s">
        <v>264</v>
      </c>
      <c r="AV1048" t="s">
        <v>270</v>
      </c>
      <c r="AX1048" t="s">
        <v>264</v>
      </c>
      <c r="AY1048">
        <v>920600</v>
      </c>
      <c r="AZ1048">
        <v>1201.9205999999999</v>
      </c>
      <c r="BA1048" s="28" t="s">
        <v>97</v>
      </c>
    </row>
    <row r="1049" spans="1:53">
      <c r="A1049" t="s">
        <v>951</v>
      </c>
      <c r="B1049" t="s">
        <v>952</v>
      </c>
      <c r="C1049">
        <v>14370661</v>
      </c>
      <c r="D1049">
        <v>1201</v>
      </c>
      <c r="E1049" s="6">
        <v>44785</v>
      </c>
      <c r="F1049" t="s">
        <v>953</v>
      </c>
      <c r="I1049" t="s">
        <v>263</v>
      </c>
      <c r="O1049" t="s">
        <v>264</v>
      </c>
      <c r="Q1049" t="s">
        <v>264</v>
      </c>
      <c r="R1049" t="s">
        <v>524</v>
      </c>
      <c r="T1049" t="s">
        <v>266</v>
      </c>
      <c r="U1049" t="s">
        <v>267</v>
      </c>
      <c r="V1049" t="s">
        <v>525</v>
      </c>
      <c r="W1049" t="s">
        <v>526</v>
      </c>
      <c r="X1049">
        <v>1933485</v>
      </c>
      <c r="Y1049" s="6">
        <v>44791</v>
      </c>
      <c r="Z1049" t="s">
        <v>264</v>
      </c>
      <c r="AA1049">
        <v>74</v>
      </c>
      <c r="AB1049" t="s">
        <v>264</v>
      </c>
      <c r="AD1049" t="s">
        <v>264</v>
      </c>
      <c r="AE1049" t="s">
        <v>264</v>
      </c>
      <c r="AF1049" t="s">
        <v>264</v>
      </c>
      <c r="AG1049">
        <v>27</v>
      </c>
      <c r="AH1049" t="s">
        <v>264</v>
      </c>
      <c r="AL1049" t="s">
        <v>264</v>
      </c>
      <c r="AM1049" s="6">
        <v>44785</v>
      </c>
      <c r="AN1049" t="s">
        <v>527</v>
      </c>
      <c r="AO1049" t="s">
        <v>268</v>
      </c>
      <c r="AP1049">
        <v>1201</v>
      </c>
      <c r="AQ1049" t="s">
        <v>269</v>
      </c>
      <c r="AR1049">
        <v>278168</v>
      </c>
      <c r="AU1049" t="s">
        <v>264</v>
      </c>
      <c r="AV1049" t="s">
        <v>270</v>
      </c>
      <c r="AX1049" t="s">
        <v>264</v>
      </c>
      <c r="AY1049">
        <v>920600</v>
      </c>
      <c r="AZ1049">
        <v>1201.9205999999999</v>
      </c>
      <c r="BA1049" s="28" t="s">
        <v>97</v>
      </c>
    </row>
    <row r="1050" spans="1:53">
      <c r="A1050" t="s">
        <v>951</v>
      </c>
      <c r="B1050" t="s">
        <v>952</v>
      </c>
      <c r="C1050">
        <v>14370661</v>
      </c>
      <c r="D1050">
        <v>1201</v>
      </c>
      <c r="E1050" s="6">
        <v>44785</v>
      </c>
      <c r="F1050" t="s">
        <v>953</v>
      </c>
      <c r="I1050" t="s">
        <v>263</v>
      </c>
      <c r="O1050" t="s">
        <v>264</v>
      </c>
      <c r="Q1050" t="s">
        <v>264</v>
      </c>
      <c r="R1050" t="s">
        <v>524</v>
      </c>
      <c r="T1050" t="s">
        <v>266</v>
      </c>
      <c r="U1050" t="s">
        <v>267</v>
      </c>
      <c r="V1050" t="s">
        <v>525</v>
      </c>
      <c r="W1050" t="s">
        <v>526</v>
      </c>
      <c r="X1050">
        <v>1933485</v>
      </c>
      <c r="Y1050" s="6">
        <v>44791</v>
      </c>
      <c r="Z1050" t="s">
        <v>264</v>
      </c>
      <c r="AA1050">
        <v>76</v>
      </c>
      <c r="AB1050" t="s">
        <v>264</v>
      </c>
      <c r="AD1050" t="s">
        <v>264</v>
      </c>
      <c r="AE1050" t="s">
        <v>264</v>
      </c>
      <c r="AF1050" t="s">
        <v>264</v>
      </c>
      <c r="AG1050">
        <v>189</v>
      </c>
      <c r="AH1050" t="s">
        <v>264</v>
      </c>
      <c r="AL1050" t="s">
        <v>264</v>
      </c>
      <c r="AM1050" s="6">
        <v>44785</v>
      </c>
      <c r="AN1050" t="s">
        <v>527</v>
      </c>
      <c r="AO1050" t="s">
        <v>268</v>
      </c>
      <c r="AP1050">
        <v>1201</v>
      </c>
      <c r="AQ1050" t="s">
        <v>269</v>
      </c>
      <c r="AR1050">
        <v>278169</v>
      </c>
      <c r="AU1050" t="s">
        <v>264</v>
      </c>
      <c r="AV1050" t="s">
        <v>270</v>
      </c>
      <c r="AX1050" t="s">
        <v>264</v>
      </c>
      <c r="AY1050">
        <v>920600</v>
      </c>
      <c r="AZ1050">
        <v>1201.9205999999999</v>
      </c>
      <c r="BA1050" s="28" t="s">
        <v>97</v>
      </c>
    </row>
    <row r="1051" spans="1:53">
      <c r="A1051" t="s">
        <v>951</v>
      </c>
      <c r="B1051" t="s">
        <v>952</v>
      </c>
      <c r="C1051">
        <v>14370661</v>
      </c>
      <c r="D1051">
        <v>1201</v>
      </c>
      <c r="E1051" s="6">
        <v>44785</v>
      </c>
      <c r="F1051" t="s">
        <v>953</v>
      </c>
      <c r="I1051" t="s">
        <v>263</v>
      </c>
      <c r="O1051" t="s">
        <v>264</v>
      </c>
      <c r="Q1051" t="s">
        <v>264</v>
      </c>
      <c r="R1051" t="s">
        <v>524</v>
      </c>
      <c r="T1051" t="s">
        <v>266</v>
      </c>
      <c r="U1051" t="s">
        <v>267</v>
      </c>
      <c r="V1051" t="s">
        <v>525</v>
      </c>
      <c r="W1051" t="s">
        <v>526</v>
      </c>
      <c r="X1051">
        <v>1933485</v>
      </c>
      <c r="Y1051" s="6">
        <v>44791</v>
      </c>
      <c r="Z1051" t="s">
        <v>264</v>
      </c>
      <c r="AA1051">
        <v>78</v>
      </c>
      <c r="AB1051" t="s">
        <v>264</v>
      </c>
      <c r="AD1051" t="s">
        <v>264</v>
      </c>
      <c r="AE1051" t="s">
        <v>264</v>
      </c>
      <c r="AF1051" t="s">
        <v>264</v>
      </c>
      <c r="AG1051">
        <v>15</v>
      </c>
      <c r="AH1051" t="s">
        <v>264</v>
      </c>
      <c r="AL1051" t="s">
        <v>264</v>
      </c>
      <c r="AM1051" s="6">
        <v>44785</v>
      </c>
      <c r="AN1051" t="s">
        <v>527</v>
      </c>
      <c r="AO1051" t="s">
        <v>268</v>
      </c>
      <c r="AP1051">
        <v>1201</v>
      </c>
      <c r="AQ1051" t="s">
        <v>269</v>
      </c>
      <c r="AR1051">
        <v>278169</v>
      </c>
      <c r="AU1051" t="s">
        <v>264</v>
      </c>
      <c r="AV1051" t="s">
        <v>270</v>
      </c>
      <c r="AX1051" t="s">
        <v>264</v>
      </c>
      <c r="AY1051">
        <v>920600</v>
      </c>
      <c r="AZ1051">
        <v>1201.9205999999999</v>
      </c>
      <c r="BA1051" s="28" t="s">
        <v>97</v>
      </c>
    </row>
    <row r="1052" spans="1:53">
      <c r="A1052" t="s">
        <v>951</v>
      </c>
      <c r="B1052" t="s">
        <v>952</v>
      </c>
      <c r="C1052">
        <v>14370661</v>
      </c>
      <c r="D1052">
        <v>1201</v>
      </c>
      <c r="E1052" s="6">
        <v>44785</v>
      </c>
      <c r="F1052" t="s">
        <v>953</v>
      </c>
      <c r="I1052" t="s">
        <v>263</v>
      </c>
      <c r="O1052" t="s">
        <v>264</v>
      </c>
      <c r="Q1052" t="s">
        <v>264</v>
      </c>
      <c r="R1052" t="s">
        <v>524</v>
      </c>
      <c r="T1052" t="s">
        <v>266</v>
      </c>
      <c r="U1052" t="s">
        <v>267</v>
      </c>
      <c r="V1052" t="s">
        <v>525</v>
      </c>
      <c r="W1052" t="s">
        <v>526</v>
      </c>
      <c r="X1052">
        <v>1933485</v>
      </c>
      <c r="Y1052" s="6">
        <v>44791</v>
      </c>
      <c r="Z1052" t="s">
        <v>264</v>
      </c>
      <c r="AA1052">
        <v>80</v>
      </c>
      <c r="AB1052" t="s">
        <v>264</v>
      </c>
      <c r="AD1052" t="s">
        <v>264</v>
      </c>
      <c r="AE1052" t="s">
        <v>264</v>
      </c>
      <c r="AF1052" t="s">
        <v>264</v>
      </c>
      <c r="AG1052">
        <v>8</v>
      </c>
      <c r="AH1052" t="s">
        <v>264</v>
      </c>
      <c r="AL1052" t="s">
        <v>264</v>
      </c>
      <c r="AM1052" s="6">
        <v>44785</v>
      </c>
      <c r="AN1052" t="s">
        <v>527</v>
      </c>
      <c r="AO1052" t="s">
        <v>268</v>
      </c>
      <c r="AP1052">
        <v>1201</v>
      </c>
      <c r="AQ1052" t="s">
        <v>269</v>
      </c>
      <c r="AR1052">
        <v>278169</v>
      </c>
      <c r="AU1052" t="s">
        <v>264</v>
      </c>
      <c r="AV1052" t="s">
        <v>270</v>
      </c>
      <c r="AX1052" t="s">
        <v>264</v>
      </c>
      <c r="AY1052">
        <v>920600</v>
      </c>
      <c r="AZ1052">
        <v>1201.9205999999999</v>
      </c>
      <c r="BA1052" s="28" t="s">
        <v>97</v>
      </c>
    </row>
    <row r="1053" spans="1:53">
      <c r="A1053" t="s">
        <v>951</v>
      </c>
      <c r="B1053" t="s">
        <v>952</v>
      </c>
      <c r="C1053">
        <v>14370661</v>
      </c>
      <c r="D1053">
        <v>1201</v>
      </c>
      <c r="E1053" s="6">
        <v>44785</v>
      </c>
      <c r="F1053" t="s">
        <v>953</v>
      </c>
      <c r="I1053" t="s">
        <v>263</v>
      </c>
      <c r="O1053" t="s">
        <v>264</v>
      </c>
      <c r="Q1053" t="s">
        <v>264</v>
      </c>
      <c r="R1053" t="s">
        <v>524</v>
      </c>
      <c r="T1053" t="s">
        <v>266</v>
      </c>
      <c r="U1053" t="s">
        <v>267</v>
      </c>
      <c r="V1053" t="s">
        <v>525</v>
      </c>
      <c r="W1053" t="s">
        <v>526</v>
      </c>
      <c r="X1053">
        <v>1933485</v>
      </c>
      <c r="Y1053" s="6">
        <v>44791</v>
      </c>
      <c r="Z1053" t="s">
        <v>264</v>
      </c>
      <c r="AA1053">
        <v>82</v>
      </c>
      <c r="AB1053" t="s">
        <v>264</v>
      </c>
      <c r="AD1053" t="s">
        <v>264</v>
      </c>
      <c r="AE1053" t="s">
        <v>264</v>
      </c>
      <c r="AF1053" t="s">
        <v>264</v>
      </c>
      <c r="AG1053">
        <v>64</v>
      </c>
      <c r="AH1053" t="s">
        <v>264</v>
      </c>
      <c r="AL1053" t="s">
        <v>264</v>
      </c>
      <c r="AM1053" s="6">
        <v>44785</v>
      </c>
      <c r="AN1053" t="s">
        <v>527</v>
      </c>
      <c r="AO1053" t="s">
        <v>268</v>
      </c>
      <c r="AP1053">
        <v>1201</v>
      </c>
      <c r="AQ1053" t="s">
        <v>269</v>
      </c>
      <c r="AR1053">
        <v>278169</v>
      </c>
      <c r="AU1053" t="s">
        <v>264</v>
      </c>
      <c r="AV1053" t="s">
        <v>270</v>
      </c>
      <c r="AX1053" t="s">
        <v>264</v>
      </c>
      <c r="AY1053">
        <v>920600</v>
      </c>
      <c r="AZ1053">
        <v>1201.9205999999999</v>
      </c>
      <c r="BA1053" s="28" t="s">
        <v>97</v>
      </c>
    </row>
    <row r="1054" spans="1:53">
      <c r="A1054" t="s">
        <v>951</v>
      </c>
      <c r="B1054" t="s">
        <v>952</v>
      </c>
      <c r="C1054">
        <v>14370661</v>
      </c>
      <c r="D1054">
        <v>1201</v>
      </c>
      <c r="E1054" s="6">
        <v>44785</v>
      </c>
      <c r="F1054" t="s">
        <v>953</v>
      </c>
      <c r="I1054" t="s">
        <v>263</v>
      </c>
      <c r="O1054" t="s">
        <v>264</v>
      </c>
      <c r="Q1054" t="s">
        <v>264</v>
      </c>
      <c r="R1054" t="s">
        <v>524</v>
      </c>
      <c r="T1054" t="s">
        <v>266</v>
      </c>
      <c r="U1054" t="s">
        <v>267</v>
      </c>
      <c r="V1054" t="s">
        <v>525</v>
      </c>
      <c r="W1054" t="s">
        <v>526</v>
      </c>
      <c r="X1054">
        <v>1933485</v>
      </c>
      <c r="Y1054" s="6">
        <v>44791</v>
      </c>
      <c r="Z1054" t="s">
        <v>264</v>
      </c>
      <c r="AA1054">
        <v>84</v>
      </c>
      <c r="AB1054" t="s">
        <v>264</v>
      </c>
      <c r="AD1054" t="s">
        <v>264</v>
      </c>
      <c r="AE1054" t="s">
        <v>264</v>
      </c>
      <c r="AF1054" t="s">
        <v>264</v>
      </c>
      <c r="AG1054">
        <v>191</v>
      </c>
      <c r="AH1054" t="s">
        <v>264</v>
      </c>
      <c r="AL1054" t="s">
        <v>264</v>
      </c>
      <c r="AM1054" s="6">
        <v>44785</v>
      </c>
      <c r="AN1054" t="s">
        <v>527</v>
      </c>
      <c r="AO1054" t="s">
        <v>268</v>
      </c>
      <c r="AP1054">
        <v>1201</v>
      </c>
      <c r="AQ1054" t="s">
        <v>269</v>
      </c>
      <c r="AR1054">
        <v>278170</v>
      </c>
      <c r="AU1054" t="s">
        <v>264</v>
      </c>
      <c r="AV1054" t="s">
        <v>270</v>
      </c>
      <c r="AX1054" t="s">
        <v>264</v>
      </c>
      <c r="AY1054">
        <v>920600</v>
      </c>
      <c r="AZ1054">
        <v>1201.9205999999999</v>
      </c>
      <c r="BA1054" s="28" t="s">
        <v>97</v>
      </c>
    </row>
    <row r="1055" spans="1:53">
      <c r="A1055" t="s">
        <v>951</v>
      </c>
      <c r="B1055" t="s">
        <v>952</v>
      </c>
      <c r="C1055">
        <v>14370661</v>
      </c>
      <c r="D1055">
        <v>1201</v>
      </c>
      <c r="E1055" s="6">
        <v>44785</v>
      </c>
      <c r="F1055" t="s">
        <v>953</v>
      </c>
      <c r="I1055" t="s">
        <v>263</v>
      </c>
      <c r="O1055" t="s">
        <v>264</v>
      </c>
      <c r="Q1055" t="s">
        <v>264</v>
      </c>
      <c r="R1055" t="s">
        <v>524</v>
      </c>
      <c r="T1055" t="s">
        <v>266</v>
      </c>
      <c r="U1055" t="s">
        <v>267</v>
      </c>
      <c r="V1055" t="s">
        <v>525</v>
      </c>
      <c r="W1055" t="s">
        <v>526</v>
      </c>
      <c r="X1055">
        <v>1933485</v>
      </c>
      <c r="Y1055" s="6">
        <v>44791</v>
      </c>
      <c r="Z1055" t="s">
        <v>264</v>
      </c>
      <c r="AA1055">
        <v>86</v>
      </c>
      <c r="AB1055" t="s">
        <v>264</v>
      </c>
      <c r="AD1055" t="s">
        <v>264</v>
      </c>
      <c r="AE1055" t="s">
        <v>264</v>
      </c>
      <c r="AF1055" t="s">
        <v>264</v>
      </c>
      <c r="AG1055">
        <v>24</v>
      </c>
      <c r="AH1055" t="s">
        <v>264</v>
      </c>
      <c r="AL1055" t="s">
        <v>264</v>
      </c>
      <c r="AM1055" s="6">
        <v>44785</v>
      </c>
      <c r="AN1055" t="s">
        <v>527</v>
      </c>
      <c r="AO1055" t="s">
        <v>268</v>
      </c>
      <c r="AP1055">
        <v>1201</v>
      </c>
      <c r="AQ1055" t="s">
        <v>269</v>
      </c>
      <c r="AR1055">
        <v>278170</v>
      </c>
      <c r="AU1055" t="s">
        <v>264</v>
      </c>
      <c r="AV1055" t="s">
        <v>270</v>
      </c>
      <c r="AX1055" t="s">
        <v>264</v>
      </c>
      <c r="AY1055">
        <v>920600</v>
      </c>
      <c r="AZ1055">
        <v>1201.9205999999999</v>
      </c>
      <c r="BA1055" s="28" t="s">
        <v>97</v>
      </c>
    </row>
    <row r="1056" spans="1:53">
      <c r="A1056" t="s">
        <v>951</v>
      </c>
      <c r="B1056" t="s">
        <v>952</v>
      </c>
      <c r="C1056">
        <v>14370661</v>
      </c>
      <c r="D1056">
        <v>1201</v>
      </c>
      <c r="E1056" s="6">
        <v>44785</v>
      </c>
      <c r="F1056" t="s">
        <v>953</v>
      </c>
      <c r="I1056" t="s">
        <v>263</v>
      </c>
      <c r="O1056" t="s">
        <v>264</v>
      </c>
      <c r="Q1056" t="s">
        <v>264</v>
      </c>
      <c r="R1056" t="s">
        <v>524</v>
      </c>
      <c r="T1056" t="s">
        <v>266</v>
      </c>
      <c r="U1056" t="s">
        <v>267</v>
      </c>
      <c r="V1056" t="s">
        <v>525</v>
      </c>
      <c r="W1056" t="s">
        <v>526</v>
      </c>
      <c r="X1056">
        <v>1933485</v>
      </c>
      <c r="Y1056" s="6">
        <v>44791</v>
      </c>
      <c r="Z1056" t="s">
        <v>264</v>
      </c>
      <c r="AA1056">
        <v>88</v>
      </c>
      <c r="AB1056" t="s">
        <v>264</v>
      </c>
      <c r="AD1056" t="s">
        <v>264</v>
      </c>
      <c r="AE1056" t="s">
        <v>264</v>
      </c>
      <c r="AF1056" t="s">
        <v>264</v>
      </c>
      <c r="AG1056">
        <v>13</v>
      </c>
      <c r="AH1056" t="s">
        <v>264</v>
      </c>
      <c r="AL1056" t="s">
        <v>264</v>
      </c>
      <c r="AM1056" s="6">
        <v>44785</v>
      </c>
      <c r="AN1056" t="s">
        <v>527</v>
      </c>
      <c r="AO1056" t="s">
        <v>268</v>
      </c>
      <c r="AP1056">
        <v>1201</v>
      </c>
      <c r="AQ1056" t="s">
        <v>269</v>
      </c>
      <c r="AR1056">
        <v>278170</v>
      </c>
      <c r="AU1056" t="s">
        <v>264</v>
      </c>
      <c r="AV1056" t="s">
        <v>270</v>
      </c>
      <c r="AX1056" t="s">
        <v>264</v>
      </c>
      <c r="AY1056">
        <v>920600</v>
      </c>
      <c r="AZ1056">
        <v>1201.9205999999999</v>
      </c>
      <c r="BA1056" s="28" t="s">
        <v>97</v>
      </c>
    </row>
    <row r="1057" spans="1:53">
      <c r="A1057" t="s">
        <v>951</v>
      </c>
      <c r="B1057" t="s">
        <v>952</v>
      </c>
      <c r="C1057">
        <v>14370661</v>
      </c>
      <c r="D1057">
        <v>1201</v>
      </c>
      <c r="E1057" s="6">
        <v>44785</v>
      </c>
      <c r="F1057" t="s">
        <v>953</v>
      </c>
      <c r="I1057" t="s">
        <v>263</v>
      </c>
      <c r="O1057" t="s">
        <v>264</v>
      </c>
      <c r="Q1057" t="s">
        <v>264</v>
      </c>
      <c r="R1057" t="s">
        <v>524</v>
      </c>
      <c r="T1057" t="s">
        <v>266</v>
      </c>
      <c r="U1057" t="s">
        <v>267</v>
      </c>
      <c r="V1057" t="s">
        <v>525</v>
      </c>
      <c r="W1057" t="s">
        <v>526</v>
      </c>
      <c r="X1057">
        <v>1933485</v>
      </c>
      <c r="Y1057" s="6">
        <v>44791</v>
      </c>
      <c r="Z1057" t="s">
        <v>264</v>
      </c>
      <c r="AA1057">
        <v>90</v>
      </c>
      <c r="AB1057" t="s">
        <v>264</v>
      </c>
      <c r="AD1057" t="s">
        <v>264</v>
      </c>
      <c r="AE1057" t="s">
        <v>264</v>
      </c>
      <c r="AF1057" t="s">
        <v>264</v>
      </c>
      <c r="AG1057">
        <v>74</v>
      </c>
      <c r="AH1057" t="s">
        <v>264</v>
      </c>
      <c r="AL1057" t="s">
        <v>264</v>
      </c>
      <c r="AM1057" s="6">
        <v>44785</v>
      </c>
      <c r="AN1057" t="s">
        <v>527</v>
      </c>
      <c r="AO1057" t="s">
        <v>268</v>
      </c>
      <c r="AP1057">
        <v>1201</v>
      </c>
      <c r="AQ1057" t="s">
        <v>269</v>
      </c>
      <c r="AR1057">
        <v>278170</v>
      </c>
      <c r="AU1057" t="s">
        <v>264</v>
      </c>
      <c r="AV1057" t="s">
        <v>270</v>
      </c>
      <c r="AX1057" t="s">
        <v>264</v>
      </c>
      <c r="AY1057">
        <v>920600</v>
      </c>
      <c r="AZ1057">
        <v>1201.9205999999999</v>
      </c>
      <c r="BA1057" s="28" t="s">
        <v>97</v>
      </c>
    </row>
    <row r="1058" spans="1:53">
      <c r="A1058" t="s">
        <v>951</v>
      </c>
      <c r="B1058" t="s">
        <v>952</v>
      </c>
      <c r="C1058">
        <v>14370661</v>
      </c>
      <c r="D1058">
        <v>1201</v>
      </c>
      <c r="E1058" s="6">
        <v>44785</v>
      </c>
      <c r="F1058" t="s">
        <v>953</v>
      </c>
      <c r="I1058" t="s">
        <v>263</v>
      </c>
      <c r="O1058" t="s">
        <v>264</v>
      </c>
      <c r="Q1058" t="s">
        <v>264</v>
      </c>
      <c r="R1058" t="s">
        <v>524</v>
      </c>
      <c r="T1058" t="s">
        <v>266</v>
      </c>
      <c r="U1058" t="s">
        <v>267</v>
      </c>
      <c r="V1058" t="s">
        <v>525</v>
      </c>
      <c r="W1058" t="s">
        <v>526</v>
      </c>
      <c r="X1058">
        <v>1933485</v>
      </c>
      <c r="Y1058" s="6">
        <v>44791</v>
      </c>
      <c r="Z1058" t="s">
        <v>264</v>
      </c>
      <c r="AA1058">
        <v>92</v>
      </c>
      <c r="AB1058" t="s">
        <v>264</v>
      </c>
      <c r="AD1058" t="s">
        <v>264</v>
      </c>
      <c r="AE1058" t="s">
        <v>264</v>
      </c>
      <c r="AF1058" t="s">
        <v>264</v>
      </c>
      <c r="AG1058">
        <v>351</v>
      </c>
      <c r="AH1058" t="s">
        <v>264</v>
      </c>
      <c r="AL1058" t="s">
        <v>264</v>
      </c>
      <c r="AM1058" s="6">
        <v>44785</v>
      </c>
      <c r="AN1058" t="s">
        <v>527</v>
      </c>
      <c r="AO1058" t="s">
        <v>268</v>
      </c>
      <c r="AP1058">
        <v>1201</v>
      </c>
      <c r="AQ1058" t="s">
        <v>269</v>
      </c>
      <c r="AR1058">
        <v>278171</v>
      </c>
      <c r="AU1058" t="s">
        <v>264</v>
      </c>
      <c r="AV1058" t="s">
        <v>270</v>
      </c>
      <c r="AX1058" t="s">
        <v>264</v>
      </c>
      <c r="AY1058">
        <v>920600</v>
      </c>
      <c r="AZ1058">
        <v>1201.9205999999999</v>
      </c>
      <c r="BA1058" s="28" t="s">
        <v>97</v>
      </c>
    </row>
    <row r="1059" spans="1:53">
      <c r="A1059" t="s">
        <v>951</v>
      </c>
      <c r="B1059" t="s">
        <v>952</v>
      </c>
      <c r="C1059">
        <v>14370661</v>
      </c>
      <c r="D1059">
        <v>1201</v>
      </c>
      <c r="E1059" s="6">
        <v>44785</v>
      </c>
      <c r="F1059" t="s">
        <v>953</v>
      </c>
      <c r="I1059" t="s">
        <v>263</v>
      </c>
      <c r="O1059" t="s">
        <v>264</v>
      </c>
      <c r="Q1059" t="s">
        <v>264</v>
      </c>
      <c r="R1059" t="s">
        <v>524</v>
      </c>
      <c r="T1059" t="s">
        <v>266</v>
      </c>
      <c r="U1059" t="s">
        <v>267</v>
      </c>
      <c r="V1059" t="s">
        <v>525</v>
      </c>
      <c r="W1059" t="s">
        <v>526</v>
      </c>
      <c r="X1059">
        <v>1933485</v>
      </c>
      <c r="Y1059" s="6">
        <v>44791</v>
      </c>
      <c r="Z1059" t="s">
        <v>264</v>
      </c>
      <c r="AA1059">
        <v>94</v>
      </c>
      <c r="AB1059" t="s">
        <v>264</v>
      </c>
      <c r="AD1059" t="s">
        <v>264</v>
      </c>
      <c r="AE1059" t="s">
        <v>264</v>
      </c>
      <c r="AF1059" t="s">
        <v>264</v>
      </c>
      <c r="AG1059">
        <v>21</v>
      </c>
      <c r="AH1059" t="s">
        <v>264</v>
      </c>
      <c r="AL1059" t="s">
        <v>264</v>
      </c>
      <c r="AM1059" s="6">
        <v>44785</v>
      </c>
      <c r="AN1059" t="s">
        <v>527</v>
      </c>
      <c r="AO1059" t="s">
        <v>268</v>
      </c>
      <c r="AP1059">
        <v>1201</v>
      </c>
      <c r="AQ1059" t="s">
        <v>269</v>
      </c>
      <c r="AR1059">
        <v>278171</v>
      </c>
      <c r="AU1059" t="s">
        <v>264</v>
      </c>
      <c r="AV1059" t="s">
        <v>270</v>
      </c>
      <c r="AX1059" t="s">
        <v>264</v>
      </c>
      <c r="AY1059">
        <v>920600</v>
      </c>
      <c r="AZ1059">
        <v>1201.9205999999999</v>
      </c>
      <c r="BA1059" s="28" t="s">
        <v>97</v>
      </c>
    </row>
    <row r="1060" spans="1:53">
      <c r="A1060" t="s">
        <v>951</v>
      </c>
      <c r="B1060" t="s">
        <v>952</v>
      </c>
      <c r="C1060">
        <v>14370663</v>
      </c>
      <c r="D1060">
        <v>1201</v>
      </c>
      <c r="E1060" s="6">
        <v>44785</v>
      </c>
      <c r="F1060" t="s">
        <v>953</v>
      </c>
      <c r="I1060" t="s">
        <v>263</v>
      </c>
      <c r="O1060" t="s">
        <v>264</v>
      </c>
      <c r="Q1060" t="s">
        <v>264</v>
      </c>
      <c r="R1060" t="s">
        <v>524</v>
      </c>
      <c r="T1060" t="s">
        <v>266</v>
      </c>
      <c r="U1060" t="s">
        <v>267</v>
      </c>
      <c r="V1060" t="s">
        <v>525</v>
      </c>
      <c r="W1060" t="s">
        <v>526</v>
      </c>
      <c r="X1060">
        <v>1933549</v>
      </c>
      <c r="Y1060" s="6">
        <v>44792</v>
      </c>
      <c r="Z1060" t="s">
        <v>264</v>
      </c>
      <c r="AA1060">
        <v>30</v>
      </c>
      <c r="AB1060" t="s">
        <v>264</v>
      </c>
      <c r="AD1060" t="s">
        <v>264</v>
      </c>
      <c r="AE1060" t="s">
        <v>264</v>
      </c>
      <c r="AF1060" t="s">
        <v>264</v>
      </c>
      <c r="AG1060">
        <v>438</v>
      </c>
      <c r="AH1060" t="s">
        <v>264</v>
      </c>
      <c r="AL1060" t="s">
        <v>264</v>
      </c>
      <c r="AM1060" s="6">
        <v>44785</v>
      </c>
      <c r="AN1060" t="s">
        <v>527</v>
      </c>
      <c r="AO1060" t="s">
        <v>268</v>
      </c>
      <c r="AP1060">
        <v>1201</v>
      </c>
      <c r="AQ1060" t="s">
        <v>269</v>
      </c>
      <c r="AR1060">
        <v>278186</v>
      </c>
      <c r="AU1060" t="s">
        <v>264</v>
      </c>
      <c r="AV1060" t="s">
        <v>270</v>
      </c>
      <c r="AX1060" t="s">
        <v>264</v>
      </c>
      <c r="AY1060">
        <v>920600</v>
      </c>
      <c r="AZ1060">
        <v>1201.9205999999999</v>
      </c>
      <c r="BA1060" s="28" t="s">
        <v>97</v>
      </c>
    </row>
    <row r="1061" spans="1:53">
      <c r="A1061" t="s">
        <v>951</v>
      </c>
      <c r="B1061" t="s">
        <v>952</v>
      </c>
      <c r="C1061">
        <v>14370663</v>
      </c>
      <c r="D1061">
        <v>1201</v>
      </c>
      <c r="E1061" s="6">
        <v>44785</v>
      </c>
      <c r="F1061" t="s">
        <v>953</v>
      </c>
      <c r="I1061" t="s">
        <v>263</v>
      </c>
      <c r="O1061" t="s">
        <v>264</v>
      </c>
      <c r="Q1061" t="s">
        <v>264</v>
      </c>
      <c r="R1061" t="s">
        <v>524</v>
      </c>
      <c r="T1061" t="s">
        <v>266</v>
      </c>
      <c r="U1061" t="s">
        <v>267</v>
      </c>
      <c r="V1061" t="s">
        <v>525</v>
      </c>
      <c r="W1061" t="s">
        <v>526</v>
      </c>
      <c r="X1061">
        <v>1933549</v>
      </c>
      <c r="Y1061" s="6">
        <v>44792</v>
      </c>
      <c r="Z1061" t="s">
        <v>264</v>
      </c>
      <c r="AA1061">
        <v>32</v>
      </c>
      <c r="AB1061" t="s">
        <v>264</v>
      </c>
      <c r="AD1061" t="s">
        <v>264</v>
      </c>
      <c r="AE1061" t="s">
        <v>264</v>
      </c>
      <c r="AF1061" t="s">
        <v>264</v>
      </c>
      <c r="AG1061">
        <v>6</v>
      </c>
      <c r="AH1061" t="s">
        <v>264</v>
      </c>
      <c r="AL1061" t="s">
        <v>264</v>
      </c>
      <c r="AM1061" s="6">
        <v>44785</v>
      </c>
      <c r="AN1061" t="s">
        <v>527</v>
      </c>
      <c r="AO1061" t="s">
        <v>268</v>
      </c>
      <c r="AP1061">
        <v>1201</v>
      </c>
      <c r="AQ1061" t="s">
        <v>269</v>
      </c>
      <c r="AR1061">
        <v>278186</v>
      </c>
      <c r="AU1061" t="s">
        <v>264</v>
      </c>
      <c r="AV1061" t="s">
        <v>270</v>
      </c>
      <c r="AX1061" t="s">
        <v>264</v>
      </c>
      <c r="AY1061">
        <v>920600</v>
      </c>
      <c r="AZ1061">
        <v>1201.9205999999999</v>
      </c>
      <c r="BA1061" s="28" t="s">
        <v>97</v>
      </c>
    </row>
    <row r="1062" spans="1:53">
      <c r="A1062" t="s">
        <v>951</v>
      </c>
      <c r="B1062" t="s">
        <v>952</v>
      </c>
      <c r="C1062">
        <v>14370663</v>
      </c>
      <c r="D1062">
        <v>1201</v>
      </c>
      <c r="E1062" s="6">
        <v>44785</v>
      </c>
      <c r="F1062" t="s">
        <v>953</v>
      </c>
      <c r="I1062" t="s">
        <v>263</v>
      </c>
      <c r="O1062" t="s">
        <v>264</v>
      </c>
      <c r="Q1062" t="s">
        <v>264</v>
      </c>
      <c r="R1062" t="s">
        <v>524</v>
      </c>
      <c r="T1062" t="s">
        <v>266</v>
      </c>
      <c r="U1062" t="s">
        <v>267</v>
      </c>
      <c r="V1062" t="s">
        <v>525</v>
      </c>
      <c r="W1062" t="s">
        <v>526</v>
      </c>
      <c r="X1062">
        <v>1933549</v>
      </c>
      <c r="Y1062" s="6">
        <v>44792</v>
      </c>
      <c r="Z1062" t="s">
        <v>264</v>
      </c>
      <c r="AA1062">
        <v>2</v>
      </c>
      <c r="AB1062" t="s">
        <v>264</v>
      </c>
      <c r="AD1062" t="s">
        <v>264</v>
      </c>
      <c r="AE1062" t="s">
        <v>264</v>
      </c>
      <c r="AF1062" t="s">
        <v>264</v>
      </c>
      <c r="AG1062">
        <v>5</v>
      </c>
      <c r="AH1062" t="s">
        <v>264</v>
      </c>
      <c r="AL1062" t="s">
        <v>264</v>
      </c>
      <c r="AM1062" s="6">
        <v>44785</v>
      </c>
      <c r="AN1062" t="s">
        <v>527</v>
      </c>
      <c r="AO1062" t="s">
        <v>268</v>
      </c>
      <c r="AP1062">
        <v>1201</v>
      </c>
      <c r="AQ1062" t="s">
        <v>269</v>
      </c>
      <c r="AR1062">
        <v>278180</v>
      </c>
      <c r="AU1062" t="s">
        <v>264</v>
      </c>
      <c r="AV1062" t="s">
        <v>270</v>
      </c>
      <c r="AX1062" t="s">
        <v>264</v>
      </c>
      <c r="AY1062">
        <v>920600</v>
      </c>
      <c r="AZ1062">
        <v>1201.9205999999999</v>
      </c>
      <c r="BA1062" s="28" t="s">
        <v>97</v>
      </c>
    </row>
    <row r="1063" spans="1:53">
      <c r="A1063" t="s">
        <v>951</v>
      </c>
      <c r="B1063" t="s">
        <v>952</v>
      </c>
      <c r="C1063">
        <v>14370663</v>
      </c>
      <c r="D1063">
        <v>1201</v>
      </c>
      <c r="E1063" s="6">
        <v>44785</v>
      </c>
      <c r="F1063" t="s">
        <v>953</v>
      </c>
      <c r="I1063" t="s">
        <v>263</v>
      </c>
      <c r="O1063" t="s">
        <v>264</v>
      </c>
      <c r="Q1063" t="s">
        <v>264</v>
      </c>
      <c r="R1063" t="s">
        <v>524</v>
      </c>
      <c r="T1063" t="s">
        <v>266</v>
      </c>
      <c r="U1063" t="s">
        <v>267</v>
      </c>
      <c r="V1063" t="s">
        <v>525</v>
      </c>
      <c r="W1063" t="s">
        <v>526</v>
      </c>
      <c r="X1063">
        <v>1933549</v>
      </c>
      <c r="Y1063" s="6">
        <v>44792</v>
      </c>
      <c r="Z1063" t="s">
        <v>264</v>
      </c>
      <c r="AA1063">
        <v>4</v>
      </c>
      <c r="AB1063" t="s">
        <v>264</v>
      </c>
      <c r="AD1063" t="s">
        <v>264</v>
      </c>
      <c r="AE1063" t="s">
        <v>264</v>
      </c>
      <c r="AF1063" t="s">
        <v>264</v>
      </c>
      <c r="AG1063">
        <v>446</v>
      </c>
      <c r="AH1063" t="s">
        <v>264</v>
      </c>
      <c r="AL1063" t="s">
        <v>264</v>
      </c>
      <c r="AM1063" s="6">
        <v>44785</v>
      </c>
      <c r="AN1063" t="s">
        <v>527</v>
      </c>
      <c r="AO1063" t="s">
        <v>268</v>
      </c>
      <c r="AP1063">
        <v>1201</v>
      </c>
      <c r="AQ1063" t="s">
        <v>269</v>
      </c>
      <c r="AR1063">
        <v>278180</v>
      </c>
      <c r="AU1063" t="s">
        <v>264</v>
      </c>
      <c r="AV1063" t="s">
        <v>270</v>
      </c>
      <c r="AX1063" t="s">
        <v>264</v>
      </c>
      <c r="AY1063">
        <v>920600</v>
      </c>
      <c r="AZ1063">
        <v>1201.9205999999999</v>
      </c>
      <c r="BA1063" s="28" t="s">
        <v>97</v>
      </c>
    </row>
    <row r="1064" spans="1:53">
      <c r="A1064" t="s">
        <v>951</v>
      </c>
      <c r="B1064" t="s">
        <v>952</v>
      </c>
      <c r="C1064">
        <v>14370663</v>
      </c>
      <c r="D1064">
        <v>1201</v>
      </c>
      <c r="E1064" s="6">
        <v>44785</v>
      </c>
      <c r="F1064" t="s">
        <v>953</v>
      </c>
      <c r="I1064" t="s">
        <v>263</v>
      </c>
      <c r="O1064" t="s">
        <v>264</v>
      </c>
      <c r="Q1064" t="s">
        <v>264</v>
      </c>
      <c r="R1064" t="s">
        <v>524</v>
      </c>
      <c r="T1064" t="s">
        <v>266</v>
      </c>
      <c r="U1064" t="s">
        <v>267</v>
      </c>
      <c r="V1064" t="s">
        <v>525</v>
      </c>
      <c r="W1064" t="s">
        <v>526</v>
      </c>
      <c r="X1064">
        <v>1933549</v>
      </c>
      <c r="Y1064" s="6">
        <v>44792</v>
      </c>
      <c r="Z1064" t="s">
        <v>264</v>
      </c>
      <c r="AA1064">
        <v>6</v>
      </c>
      <c r="AB1064" t="s">
        <v>264</v>
      </c>
      <c r="AD1064" t="s">
        <v>264</v>
      </c>
      <c r="AE1064" t="s">
        <v>264</v>
      </c>
      <c r="AF1064" t="s">
        <v>264</v>
      </c>
      <c r="AG1064">
        <v>145</v>
      </c>
      <c r="AH1064" t="s">
        <v>264</v>
      </c>
      <c r="AL1064" t="s">
        <v>264</v>
      </c>
      <c r="AM1064" s="6">
        <v>44785</v>
      </c>
      <c r="AN1064" t="s">
        <v>527</v>
      </c>
      <c r="AO1064" t="s">
        <v>268</v>
      </c>
      <c r="AP1064">
        <v>1201</v>
      </c>
      <c r="AQ1064" t="s">
        <v>269</v>
      </c>
      <c r="AR1064">
        <v>278181</v>
      </c>
      <c r="AU1064" t="s">
        <v>264</v>
      </c>
      <c r="AV1064" t="s">
        <v>270</v>
      </c>
      <c r="AX1064" t="s">
        <v>264</v>
      </c>
      <c r="AY1064">
        <v>920600</v>
      </c>
      <c r="AZ1064">
        <v>1201.9205999999999</v>
      </c>
      <c r="BA1064" s="28" t="s">
        <v>97</v>
      </c>
    </row>
    <row r="1065" spans="1:53">
      <c r="A1065" t="s">
        <v>951</v>
      </c>
      <c r="B1065" t="s">
        <v>952</v>
      </c>
      <c r="C1065">
        <v>14370663</v>
      </c>
      <c r="D1065">
        <v>1201</v>
      </c>
      <c r="E1065" s="6">
        <v>44785</v>
      </c>
      <c r="F1065" t="s">
        <v>953</v>
      </c>
      <c r="I1065" t="s">
        <v>263</v>
      </c>
      <c r="O1065" t="s">
        <v>264</v>
      </c>
      <c r="Q1065" t="s">
        <v>264</v>
      </c>
      <c r="R1065" t="s">
        <v>524</v>
      </c>
      <c r="T1065" t="s">
        <v>266</v>
      </c>
      <c r="U1065" t="s">
        <v>267</v>
      </c>
      <c r="V1065" t="s">
        <v>525</v>
      </c>
      <c r="W1065" t="s">
        <v>526</v>
      </c>
      <c r="X1065">
        <v>1933549</v>
      </c>
      <c r="Y1065" s="6">
        <v>44792</v>
      </c>
      <c r="Z1065" t="s">
        <v>264</v>
      </c>
      <c r="AA1065">
        <v>8</v>
      </c>
      <c r="AB1065" t="s">
        <v>264</v>
      </c>
      <c r="AD1065" t="s">
        <v>264</v>
      </c>
      <c r="AE1065" t="s">
        <v>264</v>
      </c>
      <c r="AF1065" t="s">
        <v>264</v>
      </c>
      <c r="AG1065">
        <v>316</v>
      </c>
      <c r="AH1065" t="s">
        <v>264</v>
      </c>
      <c r="AL1065" t="s">
        <v>264</v>
      </c>
      <c r="AM1065" s="6">
        <v>44785</v>
      </c>
      <c r="AN1065" t="s">
        <v>527</v>
      </c>
      <c r="AO1065" t="s">
        <v>268</v>
      </c>
      <c r="AP1065">
        <v>1201</v>
      </c>
      <c r="AQ1065" t="s">
        <v>269</v>
      </c>
      <c r="AR1065">
        <v>278182</v>
      </c>
      <c r="AU1065" t="s">
        <v>264</v>
      </c>
      <c r="AV1065" t="s">
        <v>270</v>
      </c>
      <c r="AX1065" t="s">
        <v>264</v>
      </c>
      <c r="AY1065">
        <v>920600</v>
      </c>
      <c r="AZ1065">
        <v>1201.9205999999999</v>
      </c>
      <c r="BA1065" s="28" t="s">
        <v>97</v>
      </c>
    </row>
    <row r="1066" spans="1:53">
      <c r="A1066" t="s">
        <v>951</v>
      </c>
      <c r="B1066" t="s">
        <v>952</v>
      </c>
      <c r="C1066">
        <v>14370663</v>
      </c>
      <c r="D1066">
        <v>1201</v>
      </c>
      <c r="E1066" s="6">
        <v>44785</v>
      </c>
      <c r="F1066" t="s">
        <v>953</v>
      </c>
      <c r="I1066" t="s">
        <v>263</v>
      </c>
      <c r="O1066" t="s">
        <v>264</v>
      </c>
      <c r="Q1066" t="s">
        <v>264</v>
      </c>
      <c r="R1066" t="s">
        <v>524</v>
      </c>
      <c r="T1066" t="s">
        <v>266</v>
      </c>
      <c r="U1066" t="s">
        <v>267</v>
      </c>
      <c r="V1066" t="s">
        <v>525</v>
      </c>
      <c r="W1066" t="s">
        <v>526</v>
      </c>
      <c r="X1066">
        <v>1933549</v>
      </c>
      <c r="Y1066" s="6">
        <v>44792</v>
      </c>
      <c r="Z1066" t="s">
        <v>264</v>
      </c>
      <c r="AA1066">
        <v>10</v>
      </c>
      <c r="AB1066" t="s">
        <v>264</v>
      </c>
      <c r="AD1066" t="s">
        <v>264</v>
      </c>
      <c r="AE1066" t="s">
        <v>264</v>
      </c>
      <c r="AF1066" t="s">
        <v>264</v>
      </c>
      <c r="AG1066">
        <v>27</v>
      </c>
      <c r="AH1066" t="s">
        <v>264</v>
      </c>
      <c r="AL1066" t="s">
        <v>264</v>
      </c>
      <c r="AM1066" s="6">
        <v>44785</v>
      </c>
      <c r="AN1066" t="s">
        <v>527</v>
      </c>
      <c r="AO1066" t="s">
        <v>268</v>
      </c>
      <c r="AP1066">
        <v>1201</v>
      </c>
      <c r="AQ1066" t="s">
        <v>269</v>
      </c>
      <c r="AR1066">
        <v>278182</v>
      </c>
      <c r="AU1066" t="s">
        <v>264</v>
      </c>
      <c r="AV1066" t="s">
        <v>270</v>
      </c>
      <c r="AX1066" t="s">
        <v>264</v>
      </c>
      <c r="AY1066">
        <v>920600</v>
      </c>
      <c r="AZ1066">
        <v>1201.9205999999999</v>
      </c>
      <c r="BA1066" s="28" t="s">
        <v>97</v>
      </c>
    </row>
    <row r="1067" spans="1:53">
      <c r="A1067" t="s">
        <v>951</v>
      </c>
      <c r="B1067" t="s">
        <v>952</v>
      </c>
      <c r="C1067">
        <v>14370663</v>
      </c>
      <c r="D1067">
        <v>1201</v>
      </c>
      <c r="E1067" s="6">
        <v>44785</v>
      </c>
      <c r="F1067" t="s">
        <v>953</v>
      </c>
      <c r="I1067" t="s">
        <v>263</v>
      </c>
      <c r="O1067" t="s">
        <v>264</v>
      </c>
      <c r="Q1067" t="s">
        <v>264</v>
      </c>
      <c r="R1067" t="s">
        <v>524</v>
      </c>
      <c r="T1067" t="s">
        <v>266</v>
      </c>
      <c r="U1067" t="s">
        <v>267</v>
      </c>
      <c r="V1067" t="s">
        <v>525</v>
      </c>
      <c r="W1067" t="s">
        <v>526</v>
      </c>
      <c r="X1067">
        <v>1933549</v>
      </c>
      <c r="Y1067" s="6">
        <v>44792</v>
      </c>
      <c r="Z1067" t="s">
        <v>264</v>
      </c>
      <c r="AA1067">
        <v>12</v>
      </c>
      <c r="AB1067" t="s">
        <v>264</v>
      </c>
      <c r="AD1067" t="s">
        <v>264</v>
      </c>
      <c r="AE1067" t="s">
        <v>264</v>
      </c>
      <c r="AF1067" t="s">
        <v>264</v>
      </c>
      <c r="AG1067">
        <v>328</v>
      </c>
      <c r="AH1067" t="s">
        <v>264</v>
      </c>
      <c r="AL1067" t="s">
        <v>264</v>
      </c>
      <c r="AM1067" s="6">
        <v>44785</v>
      </c>
      <c r="AN1067" t="s">
        <v>527</v>
      </c>
      <c r="AO1067" t="s">
        <v>268</v>
      </c>
      <c r="AP1067">
        <v>1201</v>
      </c>
      <c r="AQ1067" t="s">
        <v>269</v>
      </c>
      <c r="AR1067">
        <v>278183</v>
      </c>
      <c r="AU1067" t="s">
        <v>264</v>
      </c>
      <c r="AV1067" t="s">
        <v>270</v>
      </c>
      <c r="AX1067" t="s">
        <v>264</v>
      </c>
      <c r="AY1067">
        <v>920600</v>
      </c>
      <c r="AZ1067">
        <v>1201.9205999999999</v>
      </c>
      <c r="BA1067" s="28" t="s">
        <v>97</v>
      </c>
    </row>
    <row r="1068" spans="1:53">
      <c r="A1068" t="s">
        <v>951</v>
      </c>
      <c r="B1068" t="s">
        <v>952</v>
      </c>
      <c r="C1068">
        <v>14370663</v>
      </c>
      <c r="D1068">
        <v>1201</v>
      </c>
      <c r="E1068" s="6">
        <v>44785</v>
      </c>
      <c r="F1068" t="s">
        <v>953</v>
      </c>
      <c r="I1068" t="s">
        <v>263</v>
      </c>
      <c r="O1068" t="s">
        <v>264</v>
      </c>
      <c r="Q1068" t="s">
        <v>264</v>
      </c>
      <c r="R1068" t="s">
        <v>524</v>
      </c>
      <c r="T1068" t="s">
        <v>266</v>
      </c>
      <c r="U1068" t="s">
        <v>267</v>
      </c>
      <c r="V1068" t="s">
        <v>525</v>
      </c>
      <c r="W1068" t="s">
        <v>526</v>
      </c>
      <c r="X1068">
        <v>1933549</v>
      </c>
      <c r="Y1068" s="6">
        <v>44792</v>
      </c>
      <c r="Z1068" t="s">
        <v>264</v>
      </c>
      <c r="AA1068">
        <v>14</v>
      </c>
      <c r="AB1068" t="s">
        <v>264</v>
      </c>
      <c r="AD1068" t="s">
        <v>264</v>
      </c>
      <c r="AE1068" t="s">
        <v>264</v>
      </c>
      <c r="AF1068" t="s">
        <v>264</v>
      </c>
      <c r="AG1068">
        <v>52</v>
      </c>
      <c r="AH1068" t="s">
        <v>264</v>
      </c>
      <c r="AL1068" t="s">
        <v>264</v>
      </c>
      <c r="AM1068" s="6">
        <v>44785</v>
      </c>
      <c r="AN1068" t="s">
        <v>527</v>
      </c>
      <c r="AO1068" t="s">
        <v>268</v>
      </c>
      <c r="AP1068">
        <v>1201</v>
      </c>
      <c r="AQ1068" t="s">
        <v>269</v>
      </c>
      <c r="AR1068">
        <v>278183</v>
      </c>
      <c r="AU1068" t="s">
        <v>264</v>
      </c>
      <c r="AV1068" t="s">
        <v>270</v>
      </c>
      <c r="AX1068" t="s">
        <v>264</v>
      </c>
      <c r="AY1068">
        <v>920600</v>
      </c>
      <c r="AZ1068">
        <v>1201.9205999999999</v>
      </c>
      <c r="BA1068" s="28" t="s">
        <v>97</v>
      </c>
    </row>
    <row r="1069" spans="1:53">
      <c r="A1069" t="s">
        <v>951</v>
      </c>
      <c r="B1069" t="s">
        <v>952</v>
      </c>
      <c r="C1069">
        <v>14370663</v>
      </c>
      <c r="D1069">
        <v>1201</v>
      </c>
      <c r="E1069" s="6">
        <v>44785</v>
      </c>
      <c r="F1069" t="s">
        <v>953</v>
      </c>
      <c r="I1069" t="s">
        <v>263</v>
      </c>
      <c r="O1069" t="s">
        <v>264</v>
      </c>
      <c r="Q1069" t="s">
        <v>264</v>
      </c>
      <c r="R1069" t="s">
        <v>524</v>
      </c>
      <c r="T1069" t="s">
        <v>266</v>
      </c>
      <c r="U1069" t="s">
        <v>267</v>
      </c>
      <c r="V1069" t="s">
        <v>525</v>
      </c>
      <c r="W1069" t="s">
        <v>526</v>
      </c>
      <c r="X1069">
        <v>1933549</v>
      </c>
      <c r="Y1069" s="6">
        <v>44792</v>
      </c>
      <c r="Z1069" t="s">
        <v>264</v>
      </c>
      <c r="AA1069">
        <v>16</v>
      </c>
      <c r="AB1069" t="s">
        <v>264</v>
      </c>
      <c r="AD1069" t="s">
        <v>264</v>
      </c>
      <c r="AE1069" t="s">
        <v>264</v>
      </c>
      <c r="AF1069" t="s">
        <v>264</v>
      </c>
      <c r="AG1069">
        <v>42</v>
      </c>
      <c r="AH1069" t="s">
        <v>264</v>
      </c>
      <c r="AL1069" t="s">
        <v>264</v>
      </c>
      <c r="AM1069" s="6">
        <v>44785</v>
      </c>
      <c r="AN1069" t="s">
        <v>527</v>
      </c>
      <c r="AO1069" t="s">
        <v>268</v>
      </c>
      <c r="AP1069">
        <v>1201</v>
      </c>
      <c r="AQ1069" t="s">
        <v>269</v>
      </c>
      <c r="AR1069">
        <v>278184</v>
      </c>
      <c r="AU1069" t="s">
        <v>264</v>
      </c>
      <c r="AV1069" t="s">
        <v>270</v>
      </c>
      <c r="AX1069" t="s">
        <v>264</v>
      </c>
      <c r="AY1069">
        <v>920600</v>
      </c>
      <c r="AZ1069">
        <v>1201.9205999999999</v>
      </c>
      <c r="BA1069" s="28" t="s">
        <v>97</v>
      </c>
    </row>
    <row r="1070" spans="1:53">
      <c r="A1070" t="s">
        <v>951</v>
      </c>
      <c r="B1070" t="s">
        <v>952</v>
      </c>
      <c r="C1070">
        <v>14370663</v>
      </c>
      <c r="D1070">
        <v>1201</v>
      </c>
      <c r="E1070" s="6">
        <v>44785</v>
      </c>
      <c r="F1070" t="s">
        <v>953</v>
      </c>
      <c r="I1070" t="s">
        <v>263</v>
      </c>
      <c r="O1070" t="s">
        <v>264</v>
      </c>
      <c r="Q1070" t="s">
        <v>264</v>
      </c>
      <c r="R1070" t="s">
        <v>524</v>
      </c>
      <c r="T1070" t="s">
        <v>266</v>
      </c>
      <c r="U1070" t="s">
        <v>267</v>
      </c>
      <c r="V1070" t="s">
        <v>525</v>
      </c>
      <c r="W1070" t="s">
        <v>526</v>
      </c>
      <c r="X1070">
        <v>1933549</v>
      </c>
      <c r="Y1070" s="6">
        <v>44792</v>
      </c>
      <c r="Z1070" t="s">
        <v>264</v>
      </c>
      <c r="AA1070">
        <v>18</v>
      </c>
      <c r="AB1070" t="s">
        <v>264</v>
      </c>
      <c r="AD1070" t="s">
        <v>264</v>
      </c>
      <c r="AE1070" t="s">
        <v>264</v>
      </c>
      <c r="AF1070" t="s">
        <v>264</v>
      </c>
      <c r="AG1070">
        <v>648</v>
      </c>
      <c r="AH1070" t="s">
        <v>264</v>
      </c>
      <c r="AL1070" t="s">
        <v>264</v>
      </c>
      <c r="AM1070" s="6">
        <v>44785</v>
      </c>
      <c r="AN1070" t="s">
        <v>527</v>
      </c>
      <c r="AO1070" t="s">
        <v>268</v>
      </c>
      <c r="AP1070">
        <v>1201</v>
      </c>
      <c r="AQ1070" t="s">
        <v>269</v>
      </c>
      <c r="AR1070">
        <v>278184</v>
      </c>
      <c r="AU1070" t="s">
        <v>264</v>
      </c>
      <c r="AV1070" t="s">
        <v>270</v>
      </c>
      <c r="AX1070" t="s">
        <v>264</v>
      </c>
      <c r="AY1070">
        <v>920600</v>
      </c>
      <c r="AZ1070">
        <v>1201.9205999999999</v>
      </c>
      <c r="BA1070" s="28" t="s">
        <v>97</v>
      </c>
    </row>
    <row r="1071" spans="1:53">
      <c r="A1071" t="s">
        <v>951</v>
      </c>
      <c r="B1071" t="s">
        <v>952</v>
      </c>
      <c r="C1071">
        <v>14370663</v>
      </c>
      <c r="D1071">
        <v>1201</v>
      </c>
      <c r="E1071" s="6">
        <v>44785</v>
      </c>
      <c r="F1071" t="s">
        <v>953</v>
      </c>
      <c r="I1071" t="s">
        <v>263</v>
      </c>
      <c r="O1071" t="s">
        <v>264</v>
      </c>
      <c r="Q1071" t="s">
        <v>264</v>
      </c>
      <c r="R1071" t="s">
        <v>524</v>
      </c>
      <c r="T1071" t="s">
        <v>266</v>
      </c>
      <c r="U1071" t="s">
        <v>267</v>
      </c>
      <c r="V1071" t="s">
        <v>525</v>
      </c>
      <c r="W1071" t="s">
        <v>526</v>
      </c>
      <c r="X1071">
        <v>1933549</v>
      </c>
      <c r="Y1071" s="6">
        <v>44792</v>
      </c>
      <c r="Z1071" t="s">
        <v>264</v>
      </c>
      <c r="AA1071">
        <v>20</v>
      </c>
      <c r="AB1071" t="s">
        <v>264</v>
      </c>
      <c r="AD1071" t="s">
        <v>264</v>
      </c>
      <c r="AE1071" t="s">
        <v>264</v>
      </c>
      <c r="AF1071" t="s">
        <v>264</v>
      </c>
      <c r="AG1071">
        <v>71</v>
      </c>
      <c r="AH1071" t="s">
        <v>264</v>
      </c>
      <c r="AL1071" t="s">
        <v>264</v>
      </c>
      <c r="AM1071" s="6">
        <v>44785</v>
      </c>
      <c r="AN1071" t="s">
        <v>527</v>
      </c>
      <c r="AO1071" t="s">
        <v>268</v>
      </c>
      <c r="AP1071">
        <v>1201</v>
      </c>
      <c r="AQ1071" t="s">
        <v>269</v>
      </c>
      <c r="AR1071">
        <v>278184</v>
      </c>
      <c r="AU1071" t="s">
        <v>264</v>
      </c>
      <c r="AV1071" t="s">
        <v>270</v>
      </c>
      <c r="AX1071" t="s">
        <v>264</v>
      </c>
      <c r="AY1071">
        <v>920600</v>
      </c>
      <c r="AZ1071">
        <v>1201.9205999999999</v>
      </c>
      <c r="BA1071" s="28" t="s">
        <v>97</v>
      </c>
    </row>
    <row r="1072" spans="1:53">
      <c r="A1072" t="s">
        <v>951</v>
      </c>
      <c r="B1072" t="s">
        <v>952</v>
      </c>
      <c r="C1072">
        <v>14370663</v>
      </c>
      <c r="D1072">
        <v>1201</v>
      </c>
      <c r="E1072" s="6">
        <v>44785</v>
      </c>
      <c r="F1072" t="s">
        <v>953</v>
      </c>
      <c r="I1072" t="s">
        <v>263</v>
      </c>
      <c r="O1072" t="s">
        <v>264</v>
      </c>
      <c r="Q1072" t="s">
        <v>264</v>
      </c>
      <c r="R1072" t="s">
        <v>524</v>
      </c>
      <c r="T1072" t="s">
        <v>266</v>
      </c>
      <c r="U1072" t="s">
        <v>267</v>
      </c>
      <c r="V1072" t="s">
        <v>525</v>
      </c>
      <c r="W1072" t="s">
        <v>526</v>
      </c>
      <c r="X1072">
        <v>1933549</v>
      </c>
      <c r="Y1072" s="6">
        <v>44792</v>
      </c>
      <c r="Z1072" t="s">
        <v>264</v>
      </c>
      <c r="AA1072">
        <v>22</v>
      </c>
      <c r="AB1072" t="s">
        <v>264</v>
      </c>
      <c r="AD1072" t="s">
        <v>264</v>
      </c>
      <c r="AE1072" t="s">
        <v>264</v>
      </c>
      <c r="AF1072" t="s">
        <v>264</v>
      </c>
      <c r="AG1072">
        <v>391</v>
      </c>
      <c r="AH1072" t="s">
        <v>264</v>
      </c>
      <c r="AL1072" t="s">
        <v>264</v>
      </c>
      <c r="AM1072" s="6">
        <v>44785</v>
      </c>
      <c r="AN1072" t="s">
        <v>527</v>
      </c>
      <c r="AO1072" t="s">
        <v>268</v>
      </c>
      <c r="AP1072">
        <v>1201</v>
      </c>
      <c r="AQ1072" t="s">
        <v>269</v>
      </c>
      <c r="AR1072">
        <v>278185</v>
      </c>
      <c r="AU1072" t="s">
        <v>264</v>
      </c>
      <c r="AV1072" t="s">
        <v>270</v>
      </c>
      <c r="AX1072" t="s">
        <v>264</v>
      </c>
      <c r="AY1072">
        <v>920600</v>
      </c>
      <c r="AZ1072">
        <v>1201.9205999999999</v>
      </c>
      <c r="BA1072" s="28" t="s">
        <v>97</v>
      </c>
    </row>
    <row r="1073" spans="1:53">
      <c r="A1073" t="s">
        <v>951</v>
      </c>
      <c r="B1073" t="s">
        <v>952</v>
      </c>
      <c r="C1073">
        <v>14370663</v>
      </c>
      <c r="D1073">
        <v>1201</v>
      </c>
      <c r="E1073" s="6">
        <v>44785</v>
      </c>
      <c r="F1073" t="s">
        <v>953</v>
      </c>
      <c r="I1073" t="s">
        <v>263</v>
      </c>
      <c r="O1073" t="s">
        <v>264</v>
      </c>
      <c r="Q1073" t="s">
        <v>264</v>
      </c>
      <c r="R1073" t="s">
        <v>524</v>
      </c>
      <c r="T1073" t="s">
        <v>266</v>
      </c>
      <c r="U1073" t="s">
        <v>267</v>
      </c>
      <c r="V1073" t="s">
        <v>525</v>
      </c>
      <c r="W1073" t="s">
        <v>526</v>
      </c>
      <c r="X1073">
        <v>1933549</v>
      </c>
      <c r="Y1073" s="6">
        <v>44792</v>
      </c>
      <c r="Z1073" t="s">
        <v>264</v>
      </c>
      <c r="AA1073">
        <v>24</v>
      </c>
      <c r="AB1073" t="s">
        <v>264</v>
      </c>
      <c r="AD1073" t="s">
        <v>264</v>
      </c>
      <c r="AE1073" t="s">
        <v>264</v>
      </c>
      <c r="AF1073" t="s">
        <v>264</v>
      </c>
      <c r="AG1073">
        <v>53</v>
      </c>
      <c r="AH1073" t="s">
        <v>264</v>
      </c>
      <c r="AL1073" t="s">
        <v>264</v>
      </c>
      <c r="AM1073" s="6">
        <v>44785</v>
      </c>
      <c r="AN1073" t="s">
        <v>527</v>
      </c>
      <c r="AO1073" t="s">
        <v>268</v>
      </c>
      <c r="AP1073">
        <v>1201</v>
      </c>
      <c r="AQ1073" t="s">
        <v>269</v>
      </c>
      <c r="AR1073">
        <v>278185</v>
      </c>
      <c r="AU1073" t="s">
        <v>264</v>
      </c>
      <c r="AV1073" t="s">
        <v>270</v>
      </c>
      <c r="AX1073" t="s">
        <v>264</v>
      </c>
      <c r="AY1073">
        <v>920600</v>
      </c>
      <c r="AZ1073">
        <v>1201.9205999999999</v>
      </c>
      <c r="BA1073" s="28" t="s">
        <v>97</v>
      </c>
    </row>
    <row r="1074" spans="1:53">
      <c r="A1074" t="s">
        <v>951</v>
      </c>
      <c r="B1074" t="s">
        <v>952</v>
      </c>
      <c r="C1074">
        <v>14370663</v>
      </c>
      <c r="D1074">
        <v>1201</v>
      </c>
      <c r="E1074" s="6">
        <v>44785</v>
      </c>
      <c r="F1074" t="s">
        <v>953</v>
      </c>
      <c r="I1074" t="s">
        <v>263</v>
      </c>
      <c r="O1074" t="s">
        <v>264</v>
      </c>
      <c r="Q1074" t="s">
        <v>264</v>
      </c>
      <c r="R1074" t="s">
        <v>524</v>
      </c>
      <c r="T1074" t="s">
        <v>266</v>
      </c>
      <c r="U1074" t="s">
        <v>267</v>
      </c>
      <c r="V1074" t="s">
        <v>525</v>
      </c>
      <c r="W1074" t="s">
        <v>526</v>
      </c>
      <c r="X1074">
        <v>1933549</v>
      </c>
      <c r="Y1074" s="6">
        <v>44792</v>
      </c>
      <c r="Z1074" t="s">
        <v>264</v>
      </c>
      <c r="AA1074">
        <v>26</v>
      </c>
      <c r="AB1074" t="s">
        <v>264</v>
      </c>
      <c r="AD1074" t="s">
        <v>264</v>
      </c>
      <c r="AE1074" t="s">
        <v>264</v>
      </c>
      <c r="AF1074" t="s">
        <v>264</v>
      </c>
      <c r="AG1074">
        <v>86</v>
      </c>
      <c r="AH1074" t="s">
        <v>264</v>
      </c>
      <c r="AL1074" t="s">
        <v>264</v>
      </c>
      <c r="AM1074" s="6">
        <v>44785</v>
      </c>
      <c r="AN1074" t="s">
        <v>527</v>
      </c>
      <c r="AO1074" t="s">
        <v>268</v>
      </c>
      <c r="AP1074">
        <v>1201</v>
      </c>
      <c r="AQ1074" t="s">
        <v>269</v>
      </c>
      <c r="AR1074">
        <v>280151</v>
      </c>
      <c r="AU1074" t="s">
        <v>264</v>
      </c>
      <c r="AV1074" t="s">
        <v>270</v>
      </c>
      <c r="AX1074" t="s">
        <v>264</v>
      </c>
      <c r="AY1074">
        <v>920600</v>
      </c>
      <c r="AZ1074">
        <v>1201.9205999999999</v>
      </c>
      <c r="BA1074" s="28" t="s">
        <v>97</v>
      </c>
    </row>
    <row r="1075" spans="1:53">
      <c r="A1075" t="s">
        <v>951</v>
      </c>
      <c r="B1075" t="s">
        <v>952</v>
      </c>
      <c r="C1075">
        <v>14370663</v>
      </c>
      <c r="D1075">
        <v>1201</v>
      </c>
      <c r="E1075" s="6">
        <v>44785</v>
      </c>
      <c r="F1075" t="s">
        <v>953</v>
      </c>
      <c r="I1075" t="s">
        <v>263</v>
      </c>
      <c r="O1075" t="s">
        <v>264</v>
      </c>
      <c r="Q1075" t="s">
        <v>264</v>
      </c>
      <c r="R1075" t="s">
        <v>524</v>
      </c>
      <c r="T1075" t="s">
        <v>266</v>
      </c>
      <c r="U1075" t="s">
        <v>267</v>
      </c>
      <c r="V1075" t="s">
        <v>525</v>
      </c>
      <c r="W1075" t="s">
        <v>526</v>
      </c>
      <c r="X1075">
        <v>1933549</v>
      </c>
      <c r="Y1075" s="6">
        <v>44792</v>
      </c>
      <c r="Z1075" t="s">
        <v>264</v>
      </c>
      <c r="AA1075">
        <v>28</v>
      </c>
      <c r="AB1075" t="s">
        <v>264</v>
      </c>
      <c r="AD1075" t="s">
        <v>264</v>
      </c>
      <c r="AE1075" t="s">
        <v>264</v>
      </c>
      <c r="AF1075" t="s">
        <v>264</v>
      </c>
      <c r="AG1075">
        <v>2</v>
      </c>
      <c r="AH1075" t="s">
        <v>264</v>
      </c>
      <c r="AL1075" t="s">
        <v>264</v>
      </c>
      <c r="AM1075" s="6">
        <v>44785</v>
      </c>
      <c r="AN1075" t="s">
        <v>527</v>
      </c>
      <c r="AO1075" t="s">
        <v>268</v>
      </c>
      <c r="AP1075">
        <v>1201</v>
      </c>
      <c r="AQ1075" t="s">
        <v>269</v>
      </c>
      <c r="AR1075">
        <v>280151</v>
      </c>
      <c r="AU1075" t="s">
        <v>264</v>
      </c>
      <c r="AV1075" t="s">
        <v>270</v>
      </c>
      <c r="AX1075" t="s">
        <v>264</v>
      </c>
      <c r="AY1075">
        <v>920600</v>
      </c>
      <c r="AZ1075">
        <v>1201.9205999999999</v>
      </c>
      <c r="BA1075" s="28" t="s">
        <v>97</v>
      </c>
    </row>
    <row r="1076" spans="1:53">
      <c r="A1076" t="s">
        <v>951</v>
      </c>
      <c r="B1076" t="s">
        <v>952</v>
      </c>
      <c r="C1076">
        <v>14370663</v>
      </c>
      <c r="D1076">
        <v>1201</v>
      </c>
      <c r="E1076" s="6">
        <v>44785</v>
      </c>
      <c r="F1076" t="s">
        <v>953</v>
      </c>
      <c r="I1076" t="s">
        <v>263</v>
      </c>
      <c r="O1076" t="s">
        <v>264</v>
      </c>
      <c r="Q1076" t="s">
        <v>264</v>
      </c>
      <c r="R1076" t="s">
        <v>524</v>
      </c>
      <c r="T1076" t="s">
        <v>266</v>
      </c>
      <c r="U1076" t="s">
        <v>267</v>
      </c>
      <c r="V1076" t="s">
        <v>525</v>
      </c>
      <c r="W1076" t="s">
        <v>526</v>
      </c>
      <c r="X1076">
        <v>1933549</v>
      </c>
      <c r="Y1076" s="6">
        <v>44792</v>
      </c>
      <c r="Z1076" t="s">
        <v>264</v>
      </c>
      <c r="AA1076">
        <v>34</v>
      </c>
      <c r="AB1076" t="s">
        <v>264</v>
      </c>
      <c r="AD1076" t="s">
        <v>264</v>
      </c>
      <c r="AE1076" t="s">
        <v>264</v>
      </c>
      <c r="AF1076" t="s">
        <v>264</v>
      </c>
      <c r="AG1076">
        <v>595</v>
      </c>
      <c r="AH1076" t="s">
        <v>264</v>
      </c>
      <c r="AL1076" t="s">
        <v>264</v>
      </c>
      <c r="AM1076" s="6">
        <v>44785</v>
      </c>
      <c r="AN1076" t="s">
        <v>527</v>
      </c>
      <c r="AO1076" t="s">
        <v>268</v>
      </c>
      <c r="AP1076">
        <v>1201</v>
      </c>
      <c r="AQ1076" t="s">
        <v>269</v>
      </c>
      <c r="AR1076">
        <v>278186</v>
      </c>
      <c r="AU1076" t="s">
        <v>264</v>
      </c>
      <c r="AV1076" t="s">
        <v>270</v>
      </c>
      <c r="AX1076" t="s">
        <v>264</v>
      </c>
      <c r="AY1076">
        <v>920600</v>
      </c>
      <c r="AZ1076">
        <v>1201.9205999999999</v>
      </c>
      <c r="BA1076" s="28" t="s">
        <v>97</v>
      </c>
    </row>
    <row r="1077" spans="1:53">
      <c r="A1077" t="s">
        <v>951</v>
      </c>
      <c r="B1077" t="s">
        <v>952</v>
      </c>
      <c r="C1077">
        <v>14370663</v>
      </c>
      <c r="D1077">
        <v>1201</v>
      </c>
      <c r="E1077" s="6">
        <v>44785</v>
      </c>
      <c r="F1077" t="s">
        <v>953</v>
      </c>
      <c r="I1077" t="s">
        <v>263</v>
      </c>
      <c r="O1077" t="s">
        <v>264</v>
      </c>
      <c r="Q1077" t="s">
        <v>264</v>
      </c>
      <c r="R1077" t="s">
        <v>524</v>
      </c>
      <c r="T1077" t="s">
        <v>266</v>
      </c>
      <c r="U1077" t="s">
        <v>267</v>
      </c>
      <c r="V1077" t="s">
        <v>525</v>
      </c>
      <c r="W1077" t="s">
        <v>526</v>
      </c>
      <c r="X1077">
        <v>1933549</v>
      </c>
      <c r="Y1077" s="6">
        <v>44792</v>
      </c>
      <c r="Z1077" t="s">
        <v>264</v>
      </c>
      <c r="AA1077">
        <v>36</v>
      </c>
      <c r="AB1077" t="s">
        <v>264</v>
      </c>
      <c r="AD1077" t="s">
        <v>264</v>
      </c>
      <c r="AE1077" t="s">
        <v>264</v>
      </c>
      <c r="AF1077" t="s">
        <v>264</v>
      </c>
      <c r="AG1077">
        <v>46</v>
      </c>
      <c r="AH1077" t="s">
        <v>264</v>
      </c>
      <c r="AL1077" t="s">
        <v>264</v>
      </c>
      <c r="AM1077" s="6">
        <v>44785</v>
      </c>
      <c r="AN1077" t="s">
        <v>527</v>
      </c>
      <c r="AO1077" t="s">
        <v>268</v>
      </c>
      <c r="AP1077">
        <v>1201</v>
      </c>
      <c r="AQ1077" t="s">
        <v>269</v>
      </c>
      <c r="AR1077">
        <v>278186</v>
      </c>
      <c r="AU1077" t="s">
        <v>264</v>
      </c>
      <c r="AV1077" t="s">
        <v>270</v>
      </c>
      <c r="AX1077" t="s">
        <v>264</v>
      </c>
      <c r="AY1077">
        <v>920600</v>
      </c>
      <c r="AZ1077">
        <v>1201.9205999999999</v>
      </c>
      <c r="BA1077" s="28" t="s">
        <v>97</v>
      </c>
    </row>
    <row r="1078" spans="1:53">
      <c r="A1078" t="s">
        <v>951</v>
      </c>
      <c r="B1078" t="s">
        <v>952</v>
      </c>
      <c r="C1078">
        <v>14370663</v>
      </c>
      <c r="D1078">
        <v>1201</v>
      </c>
      <c r="E1078" s="6">
        <v>44785</v>
      </c>
      <c r="F1078" t="s">
        <v>953</v>
      </c>
      <c r="I1078" t="s">
        <v>263</v>
      </c>
      <c r="O1078" t="s">
        <v>264</v>
      </c>
      <c r="Q1078" t="s">
        <v>264</v>
      </c>
      <c r="R1078" t="s">
        <v>524</v>
      </c>
      <c r="T1078" t="s">
        <v>266</v>
      </c>
      <c r="U1078" t="s">
        <v>267</v>
      </c>
      <c r="V1078" t="s">
        <v>525</v>
      </c>
      <c r="W1078" t="s">
        <v>526</v>
      </c>
      <c r="X1078">
        <v>1933549</v>
      </c>
      <c r="Y1078" s="6">
        <v>44792</v>
      </c>
      <c r="Z1078" t="s">
        <v>264</v>
      </c>
      <c r="AA1078">
        <v>38</v>
      </c>
      <c r="AB1078" t="s">
        <v>264</v>
      </c>
      <c r="AD1078" t="s">
        <v>264</v>
      </c>
      <c r="AE1078" t="s">
        <v>264</v>
      </c>
      <c r="AF1078" t="s">
        <v>264</v>
      </c>
      <c r="AG1078">
        <v>408</v>
      </c>
      <c r="AH1078" t="s">
        <v>264</v>
      </c>
      <c r="AL1078" t="s">
        <v>264</v>
      </c>
      <c r="AM1078" s="6">
        <v>44785</v>
      </c>
      <c r="AN1078" t="s">
        <v>527</v>
      </c>
      <c r="AO1078" t="s">
        <v>268</v>
      </c>
      <c r="AP1078">
        <v>1201</v>
      </c>
      <c r="AQ1078" t="s">
        <v>269</v>
      </c>
      <c r="AR1078">
        <v>278187</v>
      </c>
      <c r="AU1078" t="s">
        <v>264</v>
      </c>
      <c r="AV1078" t="s">
        <v>270</v>
      </c>
      <c r="AX1078" t="s">
        <v>264</v>
      </c>
      <c r="AY1078">
        <v>920600</v>
      </c>
      <c r="AZ1078">
        <v>1201.9205999999999</v>
      </c>
      <c r="BA1078" s="28" t="s">
        <v>97</v>
      </c>
    </row>
    <row r="1079" spans="1:53">
      <c r="A1079" t="s">
        <v>951</v>
      </c>
      <c r="B1079" t="s">
        <v>952</v>
      </c>
      <c r="C1079">
        <v>14370663</v>
      </c>
      <c r="D1079">
        <v>1201</v>
      </c>
      <c r="E1079" s="6">
        <v>44785</v>
      </c>
      <c r="F1079" t="s">
        <v>953</v>
      </c>
      <c r="I1079" t="s">
        <v>263</v>
      </c>
      <c r="O1079" t="s">
        <v>264</v>
      </c>
      <c r="Q1079" t="s">
        <v>264</v>
      </c>
      <c r="R1079" t="s">
        <v>524</v>
      </c>
      <c r="T1079" t="s">
        <v>266</v>
      </c>
      <c r="U1079" t="s">
        <v>267</v>
      </c>
      <c r="V1079" t="s">
        <v>525</v>
      </c>
      <c r="W1079" t="s">
        <v>526</v>
      </c>
      <c r="X1079">
        <v>1933549</v>
      </c>
      <c r="Y1079" s="6">
        <v>44792</v>
      </c>
      <c r="Z1079" t="s">
        <v>264</v>
      </c>
      <c r="AA1079">
        <v>40</v>
      </c>
      <c r="AB1079" t="s">
        <v>264</v>
      </c>
      <c r="AD1079" t="s">
        <v>264</v>
      </c>
      <c r="AE1079" t="s">
        <v>264</v>
      </c>
      <c r="AF1079" t="s">
        <v>264</v>
      </c>
      <c r="AG1079">
        <v>47</v>
      </c>
      <c r="AH1079" t="s">
        <v>264</v>
      </c>
      <c r="AL1079" t="s">
        <v>264</v>
      </c>
      <c r="AM1079" s="6">
        <v>44785</v>
      </c>
      <c r="AN1079" t="s">
        <v>527</v>
      </c>
      <c r="AO1079" t="s">
        <v>268</v>
      </c>
      <c r="AP1079">
        <v>1201</v>
      </c>
      <c r="AQ1079" t="s">
        <v>269</v>
      </c>
      <c r="AR1079">
        <v>278187</v>
      </c>
      <c r="AU1079" t="s">
        <v>264</v>
      </c>
      <c r="AV1079" t="s">
        <v>270</v>
      </c>
      <c r="AX1079" t="s">
        <v>264</v>
      </c>
      <c r="AY1079">
        <v>920600</v>
      </c>
      <c r="AZ1079">
        <v>1201.9205999999999</v>
      </c>
      <c r="BA1079" s="28" t="s">
        <v>97</v>
      </c>
    </row>
    <row r="1080" spans="1:53">
      <c r="A1080" t="s">
        <v>951</v>
      </c>
      <c r="B1080" t="s">
        <v>952</v>
      </c>
      <c r="C1080">
        <v>14370663</v>
      </c>
      <c r="D1080">
        <v>1201</v>
      </c>
      <c r="E1080" s="6">
        <v>44785</v>
      </c>
      <c r="F1080" t="s">
        <v>953</v>
      </c>
      <c r="I1080" t="s">
        <v>263</v>
      </c>
      <c r="O1080" t="s">
        <v>264</v>
      </c>
      <c r="Q1080" t="s">
        <v>264</v>
      </c>
      <c r="R1080" t="s">
        <v>524</v>
      </c>
      <c r="T1080" t="s">
        <v>266</v>
      </c>
      <c r="U1080" t="s">
        <v>267</v>
      </c>
      <c r="V1080" t="s">
        <v>525</v>
      </c>
      <c r="W1080" t="s">
        <v>526</v>
      </c>
      <c r="X1080">
        <v>1933549</v>
      </c>
      <c r="Y1080" s="6">
        <v>44792</v>
      </c>
      <c r="Z1080" t="s">
        <v>264</v>
      </c>
      <c r="AA1080">
        <v>42</v>
      </c>
      <c r="AB1080" t="s">
        <v>264</v>
      </c>
      <c r="AD1080" t="s">
        <v>264</v>
      </c>
      <c r="AE1080" t="s">
        <v>264</v>
      </c>
      <c r="AF1080" t="s">
        <v>264</v>
      </c>
      <c r="AG1080">
        <v>37</v>
      </c>
      <c r="AH1080" t="s">
        <v>264</v>
      </c>
      <c r="AL1080" t="s">
        <v>264</v>
      </c>
      <c r="AM1080" s="6">
        <v>44785</v>
      </c>
      <c r="AN1080" t="s">
        <v>527</v>
      </c>
      <c r="AO1080" t="s">
        <v>268</v>
      </c>
      <c r="AP1080">
        <v>1201</v>
      </c>
      <c r="AQ1080" t="s">
        <v>269</v>
      </c>
      <c r="AR1080">
        <v>278187</v>
      </c>
      <c r="AU1080" t="s">
        <v>264</v>
      </c>
      <c r="AV1080" t="s">
        <v>270</v>
      </c>
      <c r="AX1080" t="s">
        <v>264</v>
      </c>
      <c r="AY1080">
        <v>920600</v>
      </c>
      <c r="AZ1080">
        <v>1201.9205999999999</v>
      </c>
      <c r="BA1080" s="28" t="s">
        <v>97</v>
      </c>
    </row>
    <row r="1081" spans="1:53">
      <c r="A1081" t="s">
        <v>951</v>
      </c>
      <c r="B1081" t="s">
        <v>952</v>
      </c>
      <c r="C1081">
        <v>14370663</v>
      </c>
      <c r="D1081">
        <v>1201</v>
      </c>
      <c r="E1081" s="6">
        <v>44785</v>
      </c>
      <c r="F1081" t="s">
        <v>953</v>
      </c>
      <c r="I1081" t="s">
        <v>263</v>
      </c>
      <c r="O1081" t="s">
        <v>264</v>
      </c>
      <c r="Q1081" t="s">
        <v>264</v>
      </c>
      <c r="R1081" t="s">
        <v>524</v>
      </c>
      <c r="T1081" t="s">
        <v>266</v>
      </c>
      <c r="U1081" t="s">
        <v>267</v>
      </c>
      <c r="V1081" t="s">
        <v>525</v>
      </c>
      <c r="W1081" t="s">
        <v>526</v>
      </c>
      <c r="X1081">
        <v>1933549</v>
      </c>
      <c r="Y1081" s="6">
        <v>44792</v>
      </c>
      <c r="Z1081" t="s">
        <v>264</v>
      </c>
      <c r="AA1081">
        <v>44</v>
      </c>
      <c r="AB1081" t="s">
        <v>264</v>
      </c>
      <c r="AD1081" t="s">
        <v>264</v>
      </c>
      <c r="AE1081" t="s">
        <v>264</v>
      </c>
      <c r="AF1081" t="s">
        <v>264</v>
      </c>
      <c r="AG1081">
        <v>32</v>
      </c>
      <c r="AH1081" t="s">
        <v>264</v>
      </c>
      <c r="AL1081" t="s">
        <v>264</v>
      </c>
      <c r="AM1081" s="6">
        <v>44785</v>
      </c>
      <c r="AN1081" t="s">
        <v>527</v>
      </c>
      <c r="AO1081" t="s">
        <v>268</v>
      </c>
      <c r="AP1081">
        <v>1201</v>
      </c>
      <c r="AQ1081" t="s">
        <v>269</v>
      </c>
      <c r="AR1081">
        <v>278187</v>
      </c>
      <c r="AU1081" t="s">
        <v>264</v>
      </c>
      <c r="AV1081" t="s">
        <v>270</v>
      </c>
      <c r="AX1081" t="s">
        <v>264</v>
      </c>
      <c r="AY1081">
        <v>920600</v>
      </c>
      <c r="AZ1081">
        <v>1201.9205999999999</v>
      </c>
      <c r="BA1081" s="28" t="s">
        <v>97</v>
      </c>
    </row>
    <row r="1082" spans="1:53">
      <c r="A1082" t="s">
        <v>951</v>
      </c>
      <c r="B1082" t="s">
        <v>952</v>
      </c>
      <c r="C1082">
        <v>14370663</v>
      </c>
      <c r="D1082">
        <v>1201</v>
      </c>
      <c r="E1082" s="6">
        <v>44785</v>
      </c>
      <c r="F1082" t="s">
        <v>953</v>
      </c>
      <c r="I1082" t="s">
        <v>263</v>
      </c>
      <c r="O1082" t="s">
        <v>264</v>
      </c>
      <c r="Q1082" t="s">
        <v>264</v>
      </c>
      <c r="R1082" t="s">
        <v>524</v>
      </c>
      <c r="T1082" t="s">
        <v>266</v>
      </c>
      <c r="U1082" t="s">
        <v>267</v>
      </c>
      <c r="V1082" t="s">
        <v>525</v>
      </c>
      <c r="W1082" t="s">
        <v>526</v>
      </c>
      <c r="X1082">
        <v>1933549</v>
      </c>
      <c r="Y1082" s="6">
        <v>44792</v>
      </c>
      <c r="Z1082" t="s">
        <v>264</v>
      </c>
      <c r="AA1082">
        <v>46</v>
      </c>
      <c r="AB1082" t="s">
        <v>264</v>
      </c>
      <c r="AD1082" t="s">
        <v>264</v>
      </c>
      <c r="AE1082" t="s">
        <v>264</v>
      </c>
      <c r="AF1082" t="s">
        <v>264</v>
      </c>
      <c r="AG1082">
        <v>691</v>
      </c>
      <c r="AH1082" t="s">
        <v>264</v>
      </c>
      <c r="AL1082" t="s">
        <v>264</v>
      </c>
      <c r="AM1082" s="6">
        <v>44785</v>
      </c>
      <c r="AN1082" t="s">
        <v>527</v>
      </c>
      <c r="AO1082" t="s">
        <v>268</v>
      </c>
      <c r="AP1082">
        <v>1201</v>
      </c>
      <c r="AQ1082" t="s">
        <v>269</v>
      </c>
      <c r="AR1082">
        <v>278187</v>
      </c>
      <c r="AU1082" t="s">
        <v>264</v>
      </c>
      <c r="AV1082" t="s">
        <v>270</v>
      </c>
      <c r="AX1082" t="s">
        <v>264</v>
      </c>
      <c r="AY1082">
        <v>920600</v>
      </c>
      <c r="AZ1082">
        <v>1201.9205999999999</v>
      </c>
      <c r="BA1082" s="28" t="s">
        <v>97</v>
      </c>
    </row>
    <row r="1083" spans="1:53">
      <c r="A1083" t="s">
        <v>951</v>
      </c>
      <c r="B1083" t="s">
        <v>952</v>
      </c>
      <c r="C1083">
        <v>14370663</v>
      </c>
      <c r="D1083">
        <v>1201</v>
      </c>
      <c r="E1083" s="6">
        <v>44785</v>
      </c>
      <c r="F1083" t="s">
        <v>953</v>
      </c>
      <c r="I1083" t="s">
        <v>263</v>
      </c>
      <c r="O1083" t="s">
        <v>264</v>
      </c>
      <c r="Q1083" t="s">
        <v>264</v>
      </c>
      <c r="R1083" t="s">
        <v>524</v>
      </c>
      <c r="T1083" t="s">
        <v>266</v>
      </c>
      <c r="U1083" t="s">
        <v>267</v>
      </c>
      <c r="V1083" t="s">
        <v>525</v>
      </c>
      <c r="W1083" t="s">
        <v>526</v>
      </c>
      <c r="X1083">
        <v>1933549</v>
      </c>
      <c r="Y1083" s="6">
        <v>44792</v>
      </c>
      <c r="Z1083" t="s">
        <v>264</v>
      </c>
      <c r="AA1083">
        <v>48</v>
      </c>
      <c r="AB1083" t="s">
        <v>264</v>
      </c>
      <c r="AD1083" t="s">
        <v>264</v>
      </c>
      <c r="AE1083" t="s">
        <v>264</v>
      </c>
      <c r="AF1083" t="s">
        <v>264</v>
      </c>
      <c r="AG1083">
        <v>83</v>
      </c>
      <c r="AH1083" t="s">
        <v>264</v>
      </c>
      <c r="AL1083" t="s">
        <v>264</v>
      </c>
      <c r="AM1083" s="6">
        <v>44785</v>
      </c>
      <c r="AN1083" t="s">
        <v>527</v>
      </c>
      <c r="AO1083" t="s">
        <v>268</v>
      </c>
      <c r="AP1083">
        <v>1201</v>
      </c>
      <c r="AQ1083" t="s">
        <v>269</v>
      </c>
      <c r="AR1083">
        <v>278187</v>
      </c>
      <c r="AU1083" t="s">
        <v>264</v>
      </c>
      <c r="AV1083" t="s">
        <v>270</v>
      </c>
      <c r="AX1083" t="s">
        <v>264</v>
      </c>
      <c r="AY1083">
        <v>920600</v>
      </c>
      <c r="AZ1083">
        <v>1201.9205999999999</v>
      </c>
      <c r="BA1083" s="28" t="s">
        <v>97</v>
      </c>
    </row>
    <row r="1084" spans="1:53">
      <c r="A1084" t="s">
        <v>951</v>
      </c>
      <c r="B1084" t="s">
        <v>952</v>
      </c>
      <c r="C1084">
        <v>14370663</v>
      </c>
      <c r="D1084">
        <v>1201</v>
      </c>
      <c r="E1084" s="6">
        <v>44785</v>
      </c>
      <c r="F1084" t="s">
        <v>953</v>
      </c>
      <c r="I1084" t="s">
        <v>263</v>
      </c>
      <c r="O1084" t="s">
        <v>264</v>
      </c>
      <c r="Q1084" t="s">
        <v>264</v>
      </c>
      <c r="R1084" t="s">
        <v>524</v>
      </c>
      <c r="T1084" t="s">
        <v>266</v>
      </c>
      <c r="U1084" t="s">
        <v>267</v>
      </c>
      <c r="V1084" t="s">
        <v>525</v>
      </c>
      <c r="W1084" t="s">
        <v>526</v>
      </c>
      <c r="X1084">
        <v>1933549</v>
      </c>
      <c r="Y1084" s="6">
        <v>44792</v>
      </c>
      <c r="Z1084" t="s">
        <v>264</v>
      </c>
      <c r="AA1084">
        <v>50</v>
      </c>
      <c r="AB1084" t="s">
        <v>264</v>
      </c>
      <c r="AD1084" t="s">
        <v>264</v>
      </c>
      <c r="AE1084" t="s">
        <v>264</v>
      </c>
      <c r="AF1084" t="s">
        <v>264</v>
      </c>
      <c r="AG1084">
        <v>362</v>
      </c>
      <c r="AH1084" t="s">
        <v>264</v>
      </c>
      <c r="AL1084" t="s">
        <v>264</v>
      </c>
      <c r="AM1084" s="6">
        <v>44785</v>
      </c>
      <c r="AN1084" t="s">
        <v>527</v>
      </c>
      <c r="AO1084" t="s">
        <v>268</v>
      </c>
      <c r="AP1084">
        <v>1201</v>
      </c>
      <c r="AQ1084" t="s">
        <v>269</v>
      </c>
      <c r="AR1084">
        <v>278188</v>
      </c>
      <c r="AU1084" t="s">
        <v>264</v>
      </c>
      <c r="AV1084" t="s">
        <v>270</v>
      </c>
      <c r="AX1084" t="s">
        <v>264</v>
      </c>
      <c r="AY1084">
        <v>920600</v>
      </c>
      <c r="AZ1084">
        <v>1201.9205999999999</v>
      </c>
      <c r="BA1084" s="28" t="s">
        <v>97</v>
      </c>
    </row>
    <row r="1085" spans="1:53">
      <c r="A1085" t="s">
        <v>951</v>
      </c>
      <c r="B1085" t="s">
        <v>952</v>
      </c>
      <c r="C1085">
        <v>14370663</v>
      </c>
      <c r="D1085">
        <v>1201</v>
      </c>
      <c r="E1085" s="6">
        <v>44785</v>
      </c>
      <c r="F1085" t="s">
        <v>953</v>
      </c>
      <c r="I1085" t="s">
        <v>263</v>
      </c>
      <c r="O1085" t="s">
        <v>264</v>
      </c>
      <c r="Q1085" t="s">
        <v>264</v>
      </c>
      <c r="R1085" t="s">
        <v>524</v>
      </c>
      <c r="T1085" t="s">
        <v>266</v>
      </c>
      <c r="U1085" t="s">
        <v>267</v>
      </c>
      <c r="V1085" t="s">
        <v>525</v>
      </c>
      <c r="W1085" t="s">
        <v>526</v>
      </c>
      <c r="X1085">
        <v>1933549</v>
      </c>
      <c r="Y1085" s="6">
        <v>44792</v>
      </c>
      <c r="Z1085" t="s">
        <v>264</v>
      </c>
      <c r="AA1085">
        <v>52</v>
      </c>
      <c r="AB1085" t="s">
        <v>264</v>
      </c>
      <c r="AD1085" t="s">
        <v>264</v>
      </c>
      <c r="AE1085" t="s">
        <v>264</v>
      </c>
      <c r="AF1085" t="s">
        <v>264</v>
      </c>
      <c r="AG1085">
        <v>946</v>
      </c>
      <c r="AH1085" t="s">
        <v>264</v>
      </c>
      <c r="AL1085" t="s">
        <v>264</v>
      </c>
      <c r="AM1085" s="6">
        <v>44785</v>
      </c>
      <c r="AN1085" t="s">
        <v>527</v>
      </c>
      <c r="AO1085" t="s">
        <v>268</v>
      </c>
      <c r="AP1085">
        <v>1201</v>
      </c>
      <c r="AQ1085" t="s">
        <v>269</v>
      </c>
      <c r="AR1085">
        <v>278188</v>
      </c>
      <c r="AU1085" t="s">
        <v>264</v>
      </c>
      <c r="AV1085" t="s">
        <v>270</v>
      </c>
      <c r="AX1085" t="s">
        <v>264</v>
      </c>
      <c r="AY1085">
        <v>920600</v>
      </c>
      <c r="AZ1085">
        <v>1201.9205999999999</v>
      </c>
      <c r="BA1085" s="28" t="s">
        <v>97</v>
      </c>
    </row>
    <row r="1086" spans="1:53">
      <c r="A1086" t="s">
        <v>951</v>
      </c>
      <c r="B1086" t="s">
        <v>952</v>
      </c>
      <c r="C1086">
        <v>14370663</v>
      </c>
      <c r="D1086">
        <v>1201</v>
      </c>
      <c r="E1086" s="6">
        <v>44785</v>
      </c>
      <c r="F1086" t="s">
        <v>953</v>
      </c>
      <c r="I1086" t="s">
        <v>263</v>
      </c>
      <c r="O1086" t="s">
        <v>264</v>
      </c>
      <c r="Q1086" t="s">
        <v>264</v>
      </c>
      <c r="R1086" t="s">
        <v>524</v>
      </c>
      <c r="T1086" t="s">
        <v>266</v>
      </c>
      <c r="U1086" t="s">
        <v>267</v>
      </c>
      <c r="V1086" t="s">
        <v>525</v>
      </c>
      <c r="W1086" t="s">
        <v>526</v>
      </c>
      <c r="X1086">
        <v>1933549</v>
      </c>
      <c r="Y1086" s="6">
        <v>44792</v>
      </c>
      <c r="Z1086" t="s">
        <v>264</v>
      </c>
      <c r="AA1086">
        <v>54</v>
      </c>
      <c r="AB1086" t="s">
        <v>264</v>
      </c>
      <c r="AD1086" t="s">
        <v>264</v>
      </c>
      <c r="AE1086" t="s">
        <v>264</v>
      </c>
      <c r="AF1086" t="s">
        <v>264</v>
      </c>
      <c r="AG1086">
        <v>63</v>
      </c>
      <c r="AH1086" t="s">
        <v>264</v>
      </c>
      <c r="AL1086" t="s">
        <v>264</v>
      </c>
      <c r="AM1086" s="6">
        <v>44785</v>
      </c>
      <c r="AN1086" t="s">
        <v>527</v>
      </c>
      <c r="AO1086" t="s">
        <v>268</v>
      </c>
      <c r="AP1086">
        <v>1201</v>
      </c>
      <c r="AQ1086" t="s">
        <v>269</v>
      </c>
      <c r="AR1086">
        <v>278188</v>
      </c>
      <c r="AU1086" t="s">
        <v>264</v>
      </c>
      <c r="AV1086" t="s">
        <v>270</v>
      </c>
      <c r="AX1086" t="s">
        <v>264</v>
      </c>
      <c r="AY1086">
        <v>920600</v>
      </c>
      <c r="AZ1086">
        <v>1201.9205999999999</v>
      </c>
      <c r="BA1086" s="28" t="s">
        <v>97</v>
      </c>
    </row>
    <row r="1087" spans="1:53">
      <c r="A1087" t="s">
        <v>951</v>
      </c>
      <c r="B1087" t="s">
        <v>952</v>
      </c>
      <c r="C1087">
        <v>14370663</v>
      </c>
      <c r="D1087">
        <v>1201</v>
      </c>
      <c r="E1087" s="6">
        <v>44785</v>
      </c>
      <c r="F1087" t="s">
        <v>953</v>
      </c>
      <c r="I1087" t="s">
        <v>263</v>
      </c>
      <c r="O1087" t="s">
        <v>264</v>
      </c>
      <c r="Q1087" t="s">
        <v>264</v>
      </c>
      <c r="R1087" t="s">
        <v>524</v>
      </c>
      <c r="T1087" t="s">
        <v>266</v>
      </c>
      <c r="U1087" t="s">
        <v>267</v>
      </c>
      <c r="V1087" t="s">
        <v>525</v>
      </c>
      <c r="W1087" t="s">
        <v>526</v>
      </c>
      <c r="X1087">
        <v>1933549</v>
      </c>
      <c r="Y1087" s="6">
        <v>44792</v>
      </c>
      <c r="Z1087" t="s">
        <v>264</v>
      </c>
      <c r="AA1087">
        <v>56</v>
      </c>
      <c r="AB1087" t="s">
        <v>264</v>
      </c>
      <c r="AD1087" t="s">
        <v>264</v>
      </c>
      <c r="AE1087" t="s">
        <v>264</v>
      </c>
      <c r="AF1087" t="s">
        <v>264</v>
      </c>
      <c r="AG1087">
        <v>392</v>
      </c>
      <c r="AH1087" t="s">
        <v>264</v>
      </c>
      <c r="AL1087" t="s">
        <v>264</v>
      </c>
      <c r="AM1087" s="6">
        <v>44785</v>
      </c>
      <c r="AN1087" t="s">
        <v>527</v>
      </c>
      <c r="AO1087" t="s">
        <v>268</v>
      </c>
      <c r="AP1087">
        <v>1201</v>
      </c>
      <c r="AQ1087" t="s">
        <v>269</v>
      </c>
      <c r="AR1087">
        <v>278189</v>
      </c>
      <c r="AU1087" t="s">
        <v>264</v>
      </c>
      <c r="AV1087" t="s">
        <v>270</v>
      </c>
      <c r="AX1087" t="s">
        <v>264</v>
      </c>
      <c r="AY1087">
        <v>920600</v>
      </c>
      <c r="AZ1087">
        <v>1201.9205999999999</v>
      </c>
      <c r="BA1087" s="28" t="s">
        <v>97</v>
      </c>
    </row>
    <row r="1088" spans="1:53">
      <c r="A1088" t="s">
        <v>951</v>
      </c>
      <c r="B1088" t="s">
        <v>952</v>
      </c>
      <c r="C1088">
        <v>14370663</v>
      </c>
      <c r="D1088">
        <v>1201</v>
      </c>
      <c r="E1088" s="6">
        <v>44785</v>
      </c>
      <c r="F1088" t="s">
        <v>953</v>
      </c>
      <c r="I1088" t="s">
        <v>263</v>
      </c>
      <c r="O1088" t="s">
        <v>264</v>
      </c>
      <c r="Q1088" t="s">
        <v>264</v>
      </c>
      <c r="R1088" t="s">
        <v>524</v>
      </c>
      <c r="T1088" t="s">
        <v>266</v>
      </c>
      <c r="U1088" t="s">
        <v>267</v>
      </c>
      <c r="V1088" t="s">
        <v>525</v>
      </c>
      <c r="W1088" t="s">
        <v>526</v>
      </c>
      <c r="X1088">
        <v>1933549</v>
      </c>
      <c r="Y1088" s="6">
        <v>44792</v>
      </c>
      <c r="Z1088" t="s">
        <v>264</v>
      </c>
      <c r="AA1088">
        <v>58</v>
      </c>
      <c r="AB1088" t="s">
        <v>264</v>
      </c>
      <c r="AD1088" t="s">
        <v>264</v>
      </c>
      <c r="AE1088" t="s">
        <v>264</v>
      </c>
      <c r="AF1088" t="s">
        <v>264</v>
      </c>
      <c r="AG1088">
        <v>3</v>
      </c>
      <c r="AH1088" t="s">
        <v>264</v>
      </c>
      <c r="AL1088" t="s">
        <v>264</v>
      </c>
      <c r="AM1088" s="6">
        <v>44785</v>
      </c>
      <c r="AN1088" t="s">
        <v>527</v>
      </c>
      <c r="AO1088" t="s">
        <v>268</v>
      </c>
      <c r="AP1088">
        <v>1201</v>
      </c>
      <c r="AQ1088" t="s">
        <v>269</v>
      </c>
      <c r="AR1088">
        <v>278189</v>
      </c>
      <c r="AU1088" t="s">
        <v>264</v>
      </c>
      <c r="AV1088" t="s">
        <v>270</v>
      </c>
      <c r="AX1088" t="s">
        <v>264</v>
      </c>
      <c r="AY1088">
        <v>920600</v>
      </c>
      <c r="AZ1088">
        <v>1201.9205999999999</v>
      </c>
      <c r="BA1088" s="28" t="s">
        <v>97</v>
      </c>
    </row>
    <row r="1089" spans="1:53">
      <c r="A1089" t="s">
        <v>951</v>
      </c>
      <c r="B1089" t="s">
        <v>952</v>
      </c>
      <c r="C1089">
        <v>14370663</v>
      </c>
      <c r="D1089">
        <v>1201</v>
      </c>
      <c r="E1089" s="6">
        <v>44785</v>
      </c>
      <c r="F1089" t="s">
        <v>953</v>
      </c>
      <c r="I1089" t="s">
        <v>263</v>
      </c>
      <c r="O1089" t="s">
        <v>264</v>
      </c>
      <c r="Q1089" t="s">
        <v>264</v>
      </c>
      <c r="R1089" t="s">
        <v>524</v>
      </c>
      <c r="T1089" t="s">
        <v>266</v>
      </c>
      <c r="U1089" t="s">
        <v>267</v>
      </c>
      <c r="V1089" t="s">
        <v>525</v>
      </c>
      <c r="W1089" t="s">
        <v>526</v>
      </c>
      <c r="X1089">
        <v>1933549</v>
      </c>
      <c r="Y1089" s="6">
        <v>44792</v>
      </c>
      <c r="Z1089" t="s">
        <v>264</v>
      </c>
      <c r="AA1089">
        <v>60</v>
      </c>
      <c r="AB1089" t="s">
        <v>264</v>
      </c>
      <c r="AD1089" t="s">
        <v>264</v>
      </c>
      <c r="AE1089" t="s">
        <v>264</v>
      </c>
      <c r="AF1089" t="s">
        <v>264</v>
      </c>
      <c r="AG1089">
        <v>930</v>
      </c>
      <c r="AH1089" t="s">
        <v>264</v>
      </c>
      <c r="AL1089" t="s">
        <v>264</v>
      </c>
      <c r="AM1089" s="6">
        <v>44785</v>
      </c>
      <c r="AN1089" t="s">
        <v>527</v>
      </c>
      <c r="AO1089" t="s">
        <v>268</v>
      </c>
      <c r="AP1089">
        <v>1201</v>
      </c>
      <c r="AQ1089" t="s">
        <v>269</v>
      </c>
      <c r="AR1089">
        <v>278189</v>
      </c>
      <c r="AU1089" t="s">
        <v>264</v>
      </c>
      <c r="AV1089" t="s">
        <v>270</v>
      </c>
      <c r="AX1089" t="s">
        <v>264</v>
      </c>
      <c r="AY1089">
        <v>920600</v>
      </c>
      <c r="AZ1089">
        <v>1201.9205999999999</v>
      </c>
      <c r="BA1089" s="28" t="s">
        <v>97</v>
      </c>
    </row>
    <row r="1090" spans="1:53">
      <c r="A1090" t="s">
        <v>951</v>
      </c>
      <c r="B1090" t="s">
        <v>952</v>
      </c>
      <c r="C1090">
        <v>14370663</v>
      </c>
      <c r="D1090">
        <v>1201</v>
      </c>
      <c r="E1090" s="6">
        <v>44785</v>
      </c>
      <c r="F1090" t="s">
        <v>953</v>
      </c>
      <c r="I1090" t="s">
        <v>263</v>
      </c>
      <c r="O1090" t="s">
        <v>264</v>
      </c>
      <c r="Q1090" t="s">
        <v>264</v>
      </c>
      <c r="R1090" t="s">
        <v>524</v>
      </c>
      <c r="T1090" t="s">
        <v>266</v>
      </c>
      <c r="U1090" t="s">
        <v>267</v>
      </c>
      <c r="V1090" t="s">
        <v>525</v>
      </c>
      <c r="W1090" t="s">
        <v>526</v>
      </c>
      <c r="X1090">
        <v>1933549</v>
      </c>
      <c r="Y1090" s="6">
        <v>44792</v>
      </c>
      <c r="Z1090" t="s">
        <v>264</v>
      </c>
      <c r="AA1090">
        <v>62</v>
      </c>
      <c r="AB1090" t="s">
        <v>264</v>
      </c>
      <c r="AD1090" t="s">
        <v>264</v>
      </c>
      <c r="AE1090" t="s">
        <v>264</v>
      </c>
      <c r="AF1090" t="s">
        <v>264</v>
      </c>
      <c r="AG1090">
        <v>424</v>
      </c>
      <c r="AH1090" t="s">
        <v>264</v>
      </c>
      <c r="AL1090" t="s">
        <v>264</v>
      </c>
      <c r="AM1090" s="6">
        <v>44785</v>
      </c>
      <c r="AN1090" t="s">
        <v>527</v>
      </c>
      <c r="AO1090" t="s">
        <v>268</v>
      </c>
      <c r="AP1090">
        <v>1201</v>
      </c>
      <c r="AQ1090" t="s">
        <v>269</v>
      </c>
      <c r="AR1090">
        <v>278190</v>
      </c>
      <c r="AU1090" t="s">
        <v>264</v>
      </c>
      <c r="AV1090" t="s">
        <v>270</v>
      </c>
      <c r="AX1090" t="s">
        <v>264</v>
      </c>
      <c r="AY1090">
        <v>920600</v>
      </c>
      <c r="AZ1090">
        <v>1201.9205999999999</v>
      </c>
      <c r="BA1090" s="28" t="s">
        <v>97</v>
      </c>
    </row>
    <row r="1091" spans="1:53">
      <c r="A1091" t="s">
        <v>951</v>
      </c>
      <c r="B1091" t="s">
        <v>952</v>
      </c>
      <c r="C1091">
        <v>14370663</v>
      </c>
      <c r="D1091">
        <v>1201</v>
      </c>
      <c r="E1091" s="6">
        <v>44785</v>
      </c>
      <c r="F1091" t="s">
        <v>953</v>
      </c>
      <c r="I1091" t="s">
        <v>263</v>
      </c>
      <c r="O1091" t="s">
        <v>264</v>
      </c>
      <c r="Q1091" t="s">
        <v>264</v>
      </c>
      <c r="R1091" t="s">
        <v>524</v>
      </c>
      <c r="T1091" t="s">
        <v>266</v>
      </c>
      <c r="U1091" t="s">
        <v>267</v>
      </c>
      <c r="V1091" t="s">
        <v>525</v>
      </c>
      <c r="W1091" t="s">
        <v>526</v>
      </c>
      <c r="X1091">
        <v>1933549</v>
      </c>
      <c r="Y1091" s="6">
        <v>44792</v>
      </c>
      <c r="Z1091" t="s">
        <v>264</v>
      </c>
      <c r="AA1091">
        <v>64</v>
      </c>
      <c r="AB1091" t="s">
        <v>264</v>
      </c>
      <c r="AD1091" t="s">
        <v>264</v>
      </c>
      <c r="AE1091" t="s">
        <v>264</v>
      </c>
      <c r="AF1091" t="s">
        <v>264</v>
      </c>
      <c r="AG1091">
        <v>35</v>
      </c>
      <c r="AH1091" t="s">
        <v>264</v>
      </c>
      <c r="AL1091" t="s">
        <v>264</v>
      </c>
      <c r="AM1091" s="6">
        <v>44785</v>
      </c>
      <c r="AN1091" t="s">
        <v>527</v>
      </c>
      <c r="AO1091" t="s">
        <v>268</v>
      </c>
      <c r="AP1091">
        <v>1201</v>
      </c>
      <c r="AQ1091" t="s">
        <v>269</v>
      </c>
      <c r="AR1091">
        <v>278190</v>
      </c>
      <c r="AU1091" t="s">
        <v>264</v>
      </c>
      <c r="AV1091" t="s">
        <v>270</v>
      </c>
      <c r="AX1091" t="s">
        <v>264</v>
      </c>
      <c r="AY1091">
        <v>920600</v>
      </c>
      <c r="AZ1091">
        <v>1201.9205999999999</v>
      </c>
      <c r="BA1091" s="28" t="s">
        <v>97</v>
      </c>
    </row>
    <row r="1092" spans="1:53">
      <c r="A1092" t="s">
        <v>951</v>
      </c>
      <c r="B1092" t="s">
        <v>952</v>
      </c>
      <c r="C1092">
        <v>14370663</v>
      </c>
      <c r="D1092">
        <v>1201</v>
      </c>
      <c r="E1092" s="6">
        <v>44785</v>
      </c>
      <c r="F1092" t="s">
        <v>953</v>
      </c>
      <c r="I1092" t="s">
        <v>263</v>
      </c>
      <c r="O1092" t="s">
        <v>264</v>
      </c>
      <c r="Q1092" t="s">
        <v>264</v>
      </c>
      <c r="R1092" t="s">
        <v>524</v>
      </c>
      <c r="T1092" t="s">
        <v>266</v>
      </c>
      <c r="U1092" t="s">
        <v>267</v>
      </c>
      <c r="V1092" t="s">
        <v>525</v>
      </c>
      <c r="W1092" t="s">
        <v>526</v>
      </c>
      <c r="X1092">
        <v>1933549</v>
      </c>
      <c r="Y1092" s="6">
        <v>44792</v>
      </c>
      <c r="Z1092" t="s">
        <v>264</v>
      </c>
      <c r="AA1092">
        <v>66</v>
      </c>
      <c r="AB1092" t="s">
        <v>264</v>
      </c>
      <c r="AD1092" t="s">
        <v>264</v>
      </c>
      <c r="AE1092" t="s">
        <v>264</v>
      </c>
      <c r="AF1092" t="s">
        <v>264</v>
      </c>
      <c r="AG1092">
        <v>68</v>
      </c>
      <c r="AH1092" t="s">
        <v>264</v>
      </c>
      <c r="AL1092" t="s">
        <v>264</v>
      </c>
      <c r="AM1092" s="6">
        <v>44785</v>
      </c>
      <c r="AN1092" t="s">
        <v>527</v>
      </c>
      <c r="AO1092" t="s">
        <v>268</v>
      </c>
      <c r="AP1092">
        <v>1201</v>
      </c>
      <c r="AQ1092" t="s">
        <v>269</v>
      </c>
      <c r="AR1092">
        <v>278190</v>
      </c>
      <c r="AU1092" t="s">
        <v>264</v>
      </c>
      <c r="AV1092" t="s">
        <v>270</v>
      </c>
      <c r="AX1092" t="s">
        <v>264</v>
      </c>
      <c r="AY1092">
        <v>920600</v>
      </c>
      <c r="AZ1092">
        <v>1201.9205999999999</v>
      </c>
      <c r="BA1092" s="28" t="s">
        <v>97</v>
      </c>
    </row>
    <row r="1093" spans="1:53">
      <c r="A1093" t="s">
        <v>951</v>
      </c>
      <c r="B1093" t="s">
        <v>952</v>
      </c>
      <c r="C1093">
        <v>14370663</v>
      </c>
      <c r="D1093">
        <v>1201</v>
      </c>
      <c r="E1093" s="6">
        <v>44785</v>
      </c>
      <c r="F1093" t="s">
        <v>953</v>
      </c>
      <c r="I1093" t="s">
        <v>263</v>
      </c>
      <c r="O1093" t="s">
        <v>264</v>
      </c>
      <c r="Q1093" t="s">
        <v>264</v>
      </c>
      <c r="R1093" t="s">
        <v>524</v>
      </c>
      <c r="T1093" t="s">
        <v>266</v>
      </c>
      <c r="U1093" t="s">
        <v>267</v>
      </c>
      <c r="V1093" t="s">
        <v>525</v>
      </c>
      <c r="W1093" t="s">
        <v>526</v>
      </c>
      <c r="X1093">
        <v>1933549</v>
      </c>
      <c r="Y1093" s="6">
        <v>44792</v>
      </c>
      <c r="Z1093" t="s">
        <v>264</v>
      </c>
      <c r="AA1093">
        <v>68</v>
      </c>
      <c r="AB1093" t="s">
        <v>264</v>
      </c>
      <c r="AD1093" t="s">
        <v>264</v>
      </c>
      <c r="AE1093" t="s">
        <v>264</v>
      </c>
      <c r="AF1093" t="s">
        <v>264</v>
      </c>
      <c r="AG1093">
        <v>16</v>
      </c>
      <c r="AH1093" t="s">
        <v>264</v>
      </c>
      <c r="AL1093" t="s">
        <v>264</v>
      </c>
      <c r="AM1093" s="6">
        <v>44785</v>
      </c>
      <c r="AN1093" t="s">
        <v>527</v>
      </c>
      <c r="AO1093" t="s">
        <v>268</v>
      </c>
      <c r="AP1093">
        <v>1201</v>
      </c>
      <c r="AQ1093" t="s">
        <v>269</v>
      </c>
      <c r="AR1093">
        <v>278190</v>
      </c>
      <c r="AU1093" t="s">
        <v>264</v>
      </c>
      <c r="AV1093" t="s">
        <v>270</v>
      </c>
      <c r="AX1093" t="s">
        <v>264</v>
      </c>
      <c r="AY1093">
        <v>920600</v>
      </c>
      <c r="AZ1093">
        <v>1201.9205999999999</v>
      </c>
      <c r="BA1093" s="28" t="s">
        <v>97</v>
      </c>
    </row>
    <row r="1094" spans="1:53">
      <c r="A1094" t="s">
        <v>951</v>
      </c>
      <c r="B1094" t="s">
        <v>952</v>
      </c>
      <c r="C1094">
        <v>14370663</v>
      </c>
      <c r="D1094">
        <v>1201</v>
      </c>
      <c r="E1094" s="6">
        <v>44785</v>
      </c>
      <c r="F1094" t="s">
        <v>953</v>
      </c>
      <c r="I1094" t="s">
        <v>263</v>
      </c>
      <c r="O1094" t="s">
        <v>264</v>
      </c>
      <c r="Q1094" t="s">
        <v>264</v>
      </c>
      <c r="R1094" t="s">
        <v>524</v>
      </c>
      <c r="T1094" t="s">
        <v>266</v>
      </c>
      <c r="U1094" t="s">
        <v>267</v>
      </c>
      <c r="V1094" t="s">
        <v>525</v>
      </c>
      <c r="W1094" t="s">
        <v>526</v>
      </c>
      <c r="X1094">
        <v>1933549</v>
      </c>
      <c r="Y1094" s="6">
        <v>44792</v>
      </c>
      <c r="Z1094" t="s">
        <v>264</v>
      </c>
      <c r="AA1094">
        <v>70</v>
      </c>
      <c r="AB1094" t="s">
        <v>264</v>
      </c>
      <c r="AD1094" t="s">
        <v>264</v>
      </c>
      <c r="AE1094" t="s">
        <v>264</v>
      </c>
      <c r="AF1094" t="s">
        <v>264</v>
      </c>
      <c r="AG1094">
        <v>647</v>
      </c>
      <c r="AH1094" t="s">
        <v>264</v>
      </c>
      <c r="AL1094" t="s">
        <v>264</v>
      </c>
      <c r="AM1094" s="6">
        <v>44785</v>
      </c>
      <c r="AN1094" t="s">
        <v>527</v>
      </c>
      <c r="AO1094" t="s">
        <v>268</v>
      </c>
      <c r="AP1094">
        <v>1201</v>
      </c>
      <c r="AQ1094" t="s">
        <v>269</v>
      </c>
      <c r="AR1094">
        <v>278190</v>
      </c>
      <c r="AU1094" t="s">
        <v>264</v>
      </c>
      <c r="AV1094" t="s">
        <v>270</v>
      </c>
      <c r="AX1094" t="s">
        <v>264</v>
      </c>
      <c r="AY1094">
        <v>920600</v>
      </c>
      <c r="AZ1094">
        <v>1201.9205999999999</v>
      </c>
      <c r="BA1094" s="28" t="s">
        <v>97</v>
      </c>
    </row>
    <row r="1095" spans="1:53">
      <c r="A1095" t="s">
        <v>951</v>
      </c>
      <c r="B1095" t="s">
        <v>952</v>
      </c>
      <c r="C1095">
        <v>14370663</v>
      </c>
      <c r="D1095">
        <v>1201</v>
      </c>
      <c r="E1095" s="6">
        <v>44785</v>
      </c>
      <c r="F1095" t="s">
        <v>953</v>
      </c>
      <c r="I1095" t="s">
        <v>263</v>
      </c>
      <c r="O1095" t="s">
        <v>264</v>
      </c>
      <c r="Q1095" t="s">
        <v>264</v>
      </c>
      <c r="R1095" t="s">
        <v>524</v>
      </c>
      <c r="T1095" t="s">
        <v>266</v>
      </c>
      <c r="U1095" t="s">
        <v>267</v>
      </c>
      <c r="V1095" t="s">
        <v>525</v>
      </c>
      <c r="W1095" t="s">
        <v>526</v>
      </c>
      <c r="X1095">
        <v>1933549</v>
      </c>
      <c r="Y1095" s="6">
        <v>44792</v>
      </c>
      <c r="Z1095" t="s">
        <v>264</v>
      </c>
      <c r="AA1095">
        <v>72</v>
      </c>
      <c r="AB1095" t="s">
        <v>264</v>
      </c>
      <c r="AD1095" t="s">
        <v>264</v>
      </c>
      <c r="AE1095" t="s">
        <v>264</v>
      </c>
      <c r="AF1095" t="s">
        <v>264</v>
      </c>
      <c r="AG1095">
        <v>66</v>
      </c>
      <c r="AH1095" t="s">
        <v>264</v>
      </c>
      <c r="AL1095" t="s">
        <v>264</v>
      </c>
      <c r="AM1095" s="6">
        <v>44785</v>
      </c>
      <c r="AN1095" t="s">
        <v>527</v>
      </c>
      <c r="AO1095" t="s">
        <v>268</v>
      </c>
      <c r="AP1095">
        <v>1201</v>
      </c>
      <c r="AQ1095" t="s">
        <v>269</v>
      </c>
      <c r="AR1095">
        <v>278190</v>
      </c>
      <c r="AU1095" t="s">
        <v>264</v>
      </c>
      <c r="AV1095" t="s">
        <v>270</v>
      </c>
      <c r="AX1095" t="s">
        <v>264</v>
      </c>
      <c r="AY1095">
        <v>920600</v>
      </c>
      <c r="AZ1095">
        <v>1201.9205999999999</v>
      </c>
      <c r="BA1095" s="28" t="s">
        <v>97</v>
      </c>
    </row>
    <row r="1096" spans="1:53">
      <c r="A1096" t="s">
        <v>951</v>
      </c>
      <c r="B1096" t="s">
        <v>952</v>
      </c>
      <c r="C1096">
        <v>14370663</v>
      </c>
      <c r="D1096">
        <v>1201</v>
      </c>
      <c r="E1096" s="6">
        <v>44785</v>
      </c>
      <c r="F1096" t="s">
        <v>953</v>
      </c>
      <c r="I1096" t="s">
        <v>263</v>
      </c>
      <c r="O1096" t="s">
        <v>264</v>
      </c>
      <c r="Q1096" t="s">
        <v>264</v>
      </c>
      <c r="R1096" t="s">
        <v>524</v>
      </c>
      <c r="T1096" t="s">
        <v>266</v>
      </c>
      <c r="U1096" t="s">
        <v>267</v>
      </c>
      <c r="V1096" t="s">
        <v>525</v>
      </c>
      <c r="W1096" t="s">
        <v>526</v>
      </c>
      <c r="X1096">
        <v>1933549</v>
      </c>
      <c r="Y1096" s="6">
        <v>44792</v>
      </c>
      <c r="Z1096" t="s">
        <v>264</v>
      </c>
      <c r="AA1096">
        <v>74</v>
      </c>
      <c r="AB1096" t="s">
        <v>264</v>
      </c>
      <c r="AD1096" t="s">
        <v>264</v>
      </c>
      <c r="AE1096" t="s">
        <v>264</v>
      </c>
      <c r="AF1096" t="s">
        <v>264</v>
      </c>
      <c r="AG1096">
        <v>87</v>
      </c>
      <c r="AH1096" t="s">
        <v>264</v>
      </c>
      <c r="AL1096" t="s">
        <v>264</v>
      </c>
      <c r="AM1096" s="6">
        <v>44785</v>
      </c>
      <c r="AN1096" t="s">
        <v>527</v>
      </c>
      <c r="AO1096" t="s">
        <v>268</v>
      </c>
      <c r="AP1096">
        <v>1201</v>
      </c>
      <c r="AQ1096" t="s">
        <v>269</v>
      </c>
      <c r="AR1096">
        <v>280146</v>
      </c>
      <c r="AU1096" t="s">
        <v>264</v>
      </c>
      <c r="AV1096" t="s">
        <v>270</v>
      </c>
      <c r="AX1096" t="s">
        <v>264</v>
      </c>
      <c r="AY1096">
        <v>920600</v>
      </c>
      <c r="AZ1096">
        <v>1201.9205999999999</v>
      </c>
      <c r="BA1096" s="28" t="s">
        <v>97</v>
      </c>
    </row>
    <row r="1097" spans="1:53">
      <c r="A1097" t="s">
        <v>951</v>
      </c>
      <c r="B1097" t="s">
        <v>952</v>
      </c>
      <c r="C1097">
        <v>14370663</v>
      </c>
      <c r="D1097">
        <v>1201</v>
      </c>
      <c r="E1097" s="6">
        <v>44785</v>
      </c>
      <c r="F1097" t="s">
        <v>953</v>
      </c>
      <c r="I1097" t="s">
        <v>263</v>
      </c>
      <c r="O1097" t="s">
        <v>264</v>
      </c>
      <c r="Q1097" t="s">
        <v>264</v>
      </c>
      <c r="R1097" t="s">
        <v>524</v>
      </c>
      <c r="T1097" t="s">
        <v>266</v>
      </c>
      <c r="U1097" t="s">
        <v>267</v>
      </c>
      <c r="V1097" t="s">
        <v>525</v>
      </c>
      <c r="W1097" t="s">
        <v>526</v>
      </c>
      <c r="X1097">
        <v>1933549</v>
      </c>
      <c r="Y1097" s="6">
        <v>44792</v>
      </c>
      <c r="Z1097" t="s">
        <v>264</v>
      </c>
      <c r="AA1097">
        <v>76</v>
      </c>
      <c r="AB1097" t="s">
        <v>264</v>
      </c>
      <c r="AD1097" t="s">
        <v>264</v>
      </c>
      <c r="AE1097" t="s">
        <v>264</v>
      </c>
      <c r="AF1097" t="s">
        <v>264</v>
      </c>
      <c r="AG1097">
        <v>85</v>
      </c>
      <c r="AH1097" t="s">
        <v>264</v>
      </c>
      <c r="AL1097" t="s">
        <v>264</v>
      </c>
      <c r="AM1097" s="6">
        <v>44785</v>
      </c>
      <c r="AN1097" t="s">
        <v>527</v>
      </c>
      <c r="AO1097" t="s">
        <v>268</v>
      </c>
      <c r="AP1097">
        <v>1201</v>
      </c>
      <c r="AQ1097" t="s">
        <v>269</v>
      </c>
      <c r="AR1097">
        <v>280147</v>
      </c>
      <c r="AU1097" t="s">
        <v>264</v>
      </c>
      <c r="AV1097" t="s">
        <v>270</v>
      </c>
      <c r="AX1097" t="s">
        <v>264</v>
      </c>
      <c r="AY1097">
        <v>920600</v>
      </c>
      <c r="AZ1097">
        <v>1201.9205999999999</v>
      </c>
      <c r="BA1097" s="28" t="s">
        <v>97</v>
      </c>
    </row>
    <row r="1098" spans="1:53">
      <c r="A1098" t="s">
        <v>951</v>
      </c>
      <c r="B1098" t="s">
        <v>952</v>
      </c>
      <c r="C1098">
        <v>14370663</v>
      </c>
      <c r="D1098">
        <v>1201</v>
      </c>
      <c r="E1098" s="6">
        <v>44785</v>
      </c>
      <c r="F1098" t="s">
        <v>953</v>
      </c>
      <c r="I1098" t="s">
        <v>263</v>
      </c>
      <c r="O1098" t="s">
        <v>264</v>
      </c>
      <c r="Q1098" t="s">
        <v>264</v>
      </c>
      <c r="R1098" t="s">
        <v>524</v>
      </c>
      <c r="T1098" t="s">
        <v>266</v>
      </c>
      <c r="U1098" t="s">
        <v>267</v>
      </c>
      <c r="V1098" t="s">
        <v>525</v>
      </c>
      <c r="W1098" t="s">
        <v>526</v>
      </c>
      <c r="X1098">
        <v>1933549</v>
      </c>
      <c r="Y1098" s="6">
        <v>44792</v>
      </c>
      <c r="Z1098" t="s">
        <v>264</v>
      </c>
      <c r="AA1098">
        <v>78</v>
      </c>
      <c r="AB1098" t="s">
        <v>264</v>
      </c>
      <c r="AD1098" t="s">
        <v>264</v>
      </c>
      <c r="AE1098" t="s">
        <v>264</v>
      </c>
      <c r="AF1098" t="s">
        <v>264</v>
      </c>
      <c r="AG1098">
        <v>88</v>
      </c>
      <c r="AH1098" t="s">
        <v>264</v>
      </c>
      <c r="AL1098" t="s">
        <v>264</v>
      </c>
      <c r="AM1098" s="6">
        <v>44785</v>
      </c>
      <c r="AN1098" t="s">
        <v>527</v>
      </c>
      <c r="AO1098" t="s">
        <v>268</v>
      </c>
      <c r="AP1098">
        <v>1201</v>
      </c>
      <c r="AQ1098" t="s">
        <v>269</v>
      </c>
      <c r="AR1098">
        <v>280148</v>
      </c>
      <c r="AU1098" t="s">
        <v>264</v>
      </c>
      <c r="AV1098" t="s">
        <v>270</v>
      </c>
      <c r="AX1098" t="s">
        <v>264</v>
      </c>
      <c r="AY1098">
        <v>920600</v>
      </c>
      <c r="AZ1098">
        <v>1201.9205999999999</v>
      </c>
      <c r="BA1098" s="28" t="s">
        <v>97</v>
      </c>
    </row>
    <row r="1099" spans="1:53">
      <c r="A1099" t="s">
        <v>951</v>
      </c>
      <c r="B1099" t="s">
        <v>952</v>
      </c>
      <c r="C1099">
        <v>14370664</v>
      </c>
      <c r="D1099">
        <v>1201</v>
      </c>
      <c r="E1099" s="6">
        <v>44785</v>
      </c>
      <c r="F1099" t="s">
        <v>953</v>
      </c>
      <c r="I1099" t="s">
        <v>263</v>
      </c>
      <c r="O1099" t="s">
        <v>264</v>
      </c>
      <c r="Q1099" t="s">
        <v>264</v>
      </c>
      <c r="R1099" t="s">
        <v>524</v>
      </c>
      <c r="T1099" t="s">
        <v>266</v>
      </c>
      <c r="U1099" t="s">
        <v>267</v>
      </c>
      <c r="V1099" t="s">
        <v>525</v>
      </c>
      <c r="W1099" t="s">
        <v>526</v>
      </c>
      <c r="X1099">
        <v>1933549</v>
      </c>
      <c r="Y1099" s="6">
        <v>44792</v>
      </c>
      <c r="Z1099" t="s">
        <v>264</v>
      </c>
      <c r="AA1099">
        <v>2</v>
      </c>
      <c r="AB1099" t="s">
        <v>264</v>
      </c>
      <c r="AD1099" t="s">
        <v>264</v>
      </c>
      <c r="AE1099" t="s">
        <v>264</v>
      </c>
      <c r="AF1099" t="s">
        <v>264</v>
      </c>
      <c r="AG1099" s="29">
        <v>12344</v>
      </c>
      <c r="AH1099" t="s">
        <v>264</v>
      </c>
      <c r="AL1099" t="s">
        <v>264</v>
      </c>
      <c r="AM1099" s="6">
        <v>44785</v>
      </c>
      <c r="AN1099" t="s">
        <v>527</v>
      </c>
      <c r="AO1099" t="s">
        <v>268</v>
      </c>
      <c r="AP1099">
        <v>1201</v>
      </c>
      <c r="AQ1099" t="s">
        <v>269</v>
      </c>
      <c r="AR1099">
        <v>278192</v>
      </c>
      <c r="AU1099" t="s">
        <v>264</v>
      </c>
      <c r="AV1099" t="s">
        <v>270</v>
      </c>
      <c r="AX1099" t="s">
        <v>264</v>
      </c>
      <c r="AY1099">
        <v>920600</v>
      </c>
      <c r="AZ1099">
        <v>1201.9205999999999</v>
      </c>
      <c r="BA1099" s="28" t="s">
        <v>97</v>
      </c>
    </row>
    <row r="1100" spans="1:53">
      <c r="A1100" t="s">
        <v>951</v>
      </c>
      <c r="B1100" t="s">
        <v>952</v>
      </c>
      <c r="C1100">
        <v>14370664</v>
      </c>
      <c r="D1100">
        <v>1201</v>
      </c>
      <c r="E1100" s="6">
        <v>44785</v>
      </c>
      <c r="F1100" t="s">
        <v>953</v>
      </c>
      <c r="I1100" t="s">
        <v>263</v>
      </c>
      <c r="O1100" t="s">
        <v>264</v>
      </c>
      <c r="Q1100" t="s">
        <v>264</v>
      </c>
      <c r="R1100" t="s">
        <v>524</v>
      </c>
      <c r="T1100" t="s">
        <v>266</v>
      </c>
      <c r="U1100" t="s">
        <v>267</v>
      </c>
      <c r="V1100" t="s">
        <v>525</v>
      </c>
      <c r="W1100" t="s">
        <v>526</v>
      </c>
      <c r="X1100">
        <v>1933549</v>
      </c>
      <c r="Y1100" s="6">
        <v>44792</v>
      </c>
      <c r="Z1100" t="s">
        <v>264</v>
      </c>
      <c r="AA1100">
        <v>4</v>
      </c>
      <c r="AB1100" t="s">
        <v>264</v>
      </c>
      <c r="AD1100" t="s">
        <v>264</v>
      </c>
      <c r="AE1100" t="s">
        <v>264</v>
      </c>
      <c r="AF1100" t="s">
        <v>264</v>
      </c>
      <c r="AG1100">
        <v>16</v>
      </c>
      <c r="AH1100" t="s">
        <v>264</v>
      </c>
      <c r="AL1100" t="s">
        <v>264</v>
      </c>
      <c r="AM1100" s="6">
        <v>44785</v>
      </c>
      <c r="AN1100" t="s">
        <v>527</v>
      </c>
      <c r="AO1100" t="s">
        <v>268</v>
      </c>
      <c r="AP1100">
        <v>1201</v>
      </c>
      <c r="AQ1100" t="s">
        <v>269</v>
      </c>
      <c r="AR1100">
        <v>278194</v>
      </c>
      <c r="AU1100" t="s">
        <v>264</v>
      </c>
      <c r="AV1100" t="s">
        <v>270</v>
      </c>
      <c r="AX1100" t="s">
        <v>264</v>
      </c>
      <c r="AY1100">
        <v>920600</v>
      </c>
      <c r="AZ1100">
        <v>1201.9205999999999</v>
      </c>
      <c r="BA1100" s="28" t="s">
        <v>97</v>
      </c>
    </row>
    <row r="1101" spans="1:53">
      <c r="A1101" t="s">
        <v>951</v>
      </c>
      <c r="B1101" t="s">
        <v>952</v>
      </c>
      <c r="C1101">
        <v>14370664</v>
      </c>
      <c r="D1101">
        <v>1201</v>
      </c>
      <c r="E1101" s="6">
        <v>44785</v>
      </c>
      <c r="F1101" t="s">
        <v>953</v>
      </c>
      <c r="I1101" t="s">
        <v>263</v>
      </c>
      <c r="O1101" t="s">
        <v>264</v>
      </c>
      <c r="Q1101" t="s">
        <v>264</v>
      </c>
      <c r="R1101" t="s">
        <v>524</v>
      </c>
      <c r="T1101" t="s">
        <v>266</v>
      </c>
      <c r="U1101" t="s">
        <v>267</v>
      </c>
      <c r="V1101" t="s">
        <v>525</v>
      </c>
      <c r="W1101" t="s">
        <v>526</v>
      </c>
      <c r="X1101">
        <v>1933549</v>
      </c>
      <c r="Y1101" s="6">
        <v>44792</v>
      </c>
      <c r="Z1101" t="s">
        <v>264</v>
      </c>
      <c r="AA1101">
        <v>6</v>
      </c>
      <c r="AB1101" t="s">
        <v>264</v>
      </c>
      <c r="AD1101" t="s">
        <v>264</v>
      </c>
      <c r="AE1101" t="s">
        <v>264</v>
      </c>
      <c r="AF1101" t="s">
        <v>264</v>
      </c>
      <c r="AG1101">
        <v>26</v>
      </c>
      <c r="AH1101" t="s">
        <v>264</v>
      </c>
      <c r="AL1101" t="s">
        <v>264</v>
      </c>
      <c r="AM1101" s="6">
        <v>44785</v>
      </c>
      <c r="AN1101" t="s">
        <v>527</v>
      </c>
      <c r="AO1101" t="s">
        <v>268</v>
      </c>
      <c r="AP1101">
        <v>1201</v>
      </c>
      <c r="AQ1101" t="s">
        <v>269</v>
      </c>
      <c r="AR1101">
        <v>278194</v>
      </c>
      <c r="AU1101" t="s">
        <v>264</v>
      </c>
      <c r="AV1101" t="s">
        <v>270</v>
      </c>
      <c r="AX1101" t="s">
        <v>264</v>
      </c>
      <c r="AY1101">
        <v>920600</v>
      </c>
      <c r="AZ1101">
        <v>1201.9205999999999</v>
      </c>
      <c r="BA1101" s="28" t="s">
        <v>97</v>
      </c>
    </row>
    <row r="1102" spans="1:53">
      <c r="A1102" t="s">
        <v>951</v>
      </c>
      <c r="B1102" t="s">
        <v>952</v>
      </c>
      <c r="C1102">
        <v>14370664</v>
      </c>
      <c r="D1102">
        <v>1201</v>
      </c>
      <c r="E1102" s="6">
        <v>44785</v>
      </c>
      <c r="F1102" t="s">
        <v>953</v>
      </c>
      <c r="I1102" t="s">
        <v>263</v>
      </c>
      <c r="O1102" t="s">
        <v>264</v>
      </c>
      <c r="Q1102" t="s">
        <v>264</v>
      </c>
      <c r="R1102" t="s">
        <v>524</v>
      </c>
      <c r="T1102" t="s">
        <v>266</v>
      </c>
      <c r="U1102" t="s">
        <v>267</v>
      </c>
      <c r="V1102" t="s">
        <v>525</v>
      </c>
      <c r="W1102" t="s">
        <v>526</v>
      </c>
      <c r="X1102">
        <v>1933549</v>
      </c>
      <c r="Y1102" s="6">
        <v>44792</v>
      </c>
      <c r="Z1102" t="s">
        <v>264</v>
      </c>
      <c r="AA1102">
        <v>8</v>
      </c>
      <c r="AB1102" t="s">
        <v>264</v>
      </c>
      <c r="AD1102" t="s">
        <v>264</v>
      </c>
      <c r="AE1102" t="s">
        <v>264</v>
      </c>
      <c r="AF1102" t="s">
        <v>264</v>
      </c>
      <c r="AG1102">
        <v>4</v>
      </c>
      <c r="AH1102" t="s">
        <v>264</v>
      </c>
      <c r="AL1102" t="s">
        <v>264</v>
      </c>
      <c r="AM1102" s="6">
        <v>44785</v>
      </c>
      <c r="AN1102" t="s">
        <v>527</v>
      </c>
      <c r="AO1102" t="s">
        <v>268</v>
      </c>
      <c r="AP1102">
        <v>1201</v>
      </c>
      <c r="AQ1102" t="s">
        <v>269</v>
      </c>
      <c r="AR1102">
        <v>278195</v>
      </c>
      <c r="AU1102" t="s">
        <v>264</v>
      </c>
      <c r="AV1102" t="s">
        <v>270</v>
      </c>
      <c r="AX1102" t="s">
        <v>264</v>
      </c>
      <c r="AY1102">
        <v>920600</v>
      </c>
      <c r="AZ1102">
        <v>1201.9205999999999</v>
      </c>
      <c r="BA1102" s="28" t="s">
        <v>97</v>
      </c>
    </row>
    <row r="1103" spans="1:53">
      <c r="A1103" t="s">
        <v>951</v>
      </c>
      <c r="B1103" t="s">
        <v>952</v>
      </c>
      <c r="C1103">
        <v>14370664</v>
      </c>
      <c r="D1103">
        <v>1201</v>
      </c>
      <c r="E1103" s="6">
        <v>44785</v>
      </c>
      <c r="F1103" t="s">
        <v>953</v>
      </c>
      <c r="I1103" t="s">
        <v>263</v>
      </c>
      <c r="O1103" t="s">
        <v>264</v>
      </c>
      <c r="Q1103" t="s">
        <v>264</v>
      </c>
      <c r="R1103" t="s">
        <v>524</v>
      </c>
      <c r="T1103" t="s">
        <v>266</v>
      </c>
      <c r="U1103" t="s">
        <v>267</v>
      </c>
      <c r="V1103" t="s">
        <v>525</v>
      </c>
      <c r="W1103" t="s">
        <v>526</v>
      </c>
      <c r="X1103">
        <v>1933549</v>
      </c>
      <c r="Y1103" s="6">
        <v>44792</v>
      </c>
      <c r="Z1103" t="s">
        <v>264</v>
      </c>
      <c r="AA1103">
        <v>10</v>
      </c>
      <c r="AB1103" t="s">
        <v>264</v>
      </c>
      <c r="AD1103" t="s">
        <v>264</v>
      </c>
      <c r="AE1103" t="s">
        <v>264</v>
      </c>
      <c r="AF1103" t="s">
        <v>264</v>
      </c>
      <c r="AG1103">
        <v>4</v>
      </c>
      <c r="AH1103" t="s">
        <v>264</v>
      </c>
      <c r="AL1103" t="s">
        <v>264</v>
      </c>
      <c r="AM1103" s="6">
        <v>44785</v>
      </c>
      <c r="AN1103" t="s">
        <v>527</v>
      </c>
      <c r="AO1103" t="s">
        <v>268</v>
      </c>
      <c r="AP1103">
        <v>1201</v>
      </c>
      <c r="AQ1103" t="s">
        <v>269</v>
      </c>
      <c r="AR1103">
        <v>278196</v>
      </c>
      <c r="AU1103" t="s">
        <v>264</v>
      </c>
      <c r="AV1103" t="s">
        <v>270</v>
      </c>
      <c r="AX1103" t="s">
        <v>264</v>
      </c>
      <c r="AY1103">
        <v>920600</v>
      </c>
      <c r="AZ1103">
        <v>1201.9205999999999</v>
      </c>
      <c r="BA1103" s="28" t="s">
        <v>97</v>
      </c>
    </row>
    <row r="1104" spans="1:53">
      <c r="A1104" t="s">
        <v>951</v>
      </c>
      <c r="B1104" t="s">
        <v>952</v>
      </c>
      <c r="C1104">
        <v>14370664</v>
      </c>
      <c r="D1104">
        <v>1201</v>
      </c>
      <c r="E1104" s="6">
        <v>44785</v>
      </c>
      <c r="F1104" t="s">
        <v>953</v>
      </c>
      <c r="I1104" t="s">
        <v>263</v>
      </c>
      <c r="O1104" t="s">
        <v>264</v>
      </c>
      <c r="Q1104" t="s">
        <v>264</v>
      </c>
      <c r="R1104" t="s">
        <v>524</v>
      </c>
      <c r="T1104" t="s">
        <v>266</v>
      </c>
      <c r="U1104" t="s">
        <v>267</v>
      </c>
      <c r="V1104" t="s">
        <v>525</v>
      </c>
      <c r="W1104" t="s">
        <v>526</v>
      </c>
      <c r="X1104">
        <v>1933549</v>
      </c>
      <c r="Y1104" s="6">
        <v>44792</v>
      </c>
      <c r="Z1104" t="s">
        <v>264</v>
      </c>
      <c r="AA1104">
        <v>12</v>
      </c>
      <c r="AB1104" t="s">
        <v>264</v>
      </c>
      <c r="AD1104" t="s">
        <v>264</v>
      </c>
      <c r="AE1104" t="s">
        <v>264</v>
      </c>
      <c r="AF1104" t="s">
        <v>264</v>
      </c>
      <c r="AG1104">
        <v>20</v>
      </c>
      <c r="AH1104" t="s">
        <v>264</v>
      </c>
      <c r="AL1104" t="s">
        <v>264</v>
      </c>
      <c r="AM1104" s="6">
        <v>44785</v>
      </c>
      <c r="AN1104" t="s">
        <v>527</v>
      </c>
      <c r="AO1104" t="s">
        <v>268</v>
      </c>
      <c r="AP1104">
        <v>1201</v>
      </c>
      <c r="AQ1104" t="s">
        <v>269</v>
      </c>
      <c r="AR1104">
        <v>278197</v>
      </c>
      <c r="AU1104" t="s">
        <v>264</v>
      </c>
      <c r="AV1104" t="s">
        <v>270</v>
      </c>
      <c r="AX1104" t="s">
        <v>264</v>
      </c>
      <c r="AY1104">
        <v>920600</v>
      </c>
      <c r="AZ1104">
        <v>1201.9205999999999</v>
      </c>
      <c r="BA1104" s="28" t="s">
        <v>97</v>
      </c>
    </row>
    <row r="1105" spans="1:53">
      <c r="A1105" t="s">
        <v>951</v>
      </c>
      <c r="B1105" t="s">
        <v>952</v>
      </c>
      <c r="C1105">
        <v>14370664</v>
      </c>
      <c r="D1105">
        <v>1201</v>
      </c>
      <c r="E1105" s="6">
        <v>44785</v>
      </c>
      <c r="F1105" t="s">
        <v>953</v>
      </c>
      <c r="I1105" t="s">
        <v>263</v>
      </c>
      <c r="O1105" t="s">
        <v>264</v>
      </c>
      <c r="Q1105" t="s">
        <v>264</v>
      </c>
      <c r="R1105" t="s">
        <v>524</v>
      </c>
      <c r="T1105" t="s">
        <v>266</v>
      </c>
      <c r="U1105" t="s">
        <v>267</v>
      </c>
      <c r="V1105" t="s">
        <v>525</v>
      </c>
      <c r="W1105" t="s">
        <v>526</v>
      </c>
      <c r="X1105">
        <v>1933549</v>
      </c>
      <c r="Y1105" s="6">
        <v>44792</v>
      </c>
      <c r="Z1105" t="s">
        <v>264</v>
      </c>
      <c r="AA1105">
        <v>14</v>
      </c>
      <c r="AB1105" t="s">
        <v>264</v>
      </c>
      <c r="AD1105" t="s">
        <v>264</v>
      </c>
      <c r="AE1105" t="s">
        <v>264</v>
      </c>
      <c r="AF1105" t="s">
        <v>264</v>
      </c>
      <c r="AG1105">
        <v>16</v>
      </c>
      <c r="AH1105" t="s">
        <v>264</v>
      </c>
      <c r="AL1105" t="s">
        <v>264</v>
      </c>
      <c r="AM1105" s="6">
        <v>44785</v>
      </c>
      <c r="AN1105" t="s">
        <v>527</v>
      </c>
      <c r="AO1105" t="s">
        <v>268</v>
      </c>
      <c r="AP1105">
        <v>1201</v>
      </c>
      <c r="AQ1105" t="s">
        <v>269</v>
      </c>
      <c r="AR1105">
        <v>278198</v>
      </c>
      <c r="AU1105" t="s">
        <v>264</v>
      </c>
      <c r="AV1105" t="s">
        <v>270</v>
      </c>
      <c r="AX1105" t="s">
        <v>264</v>
      </c>
      <c r="AY1105">
        <v>920600</v>
      </c>
      <c r="AZ1105">
        <v>1201.9205999999999</v>
      </c>
      <c r="BA1105" s="28" t="s">
        <v>97</v>
      </c>
    </row>
    <row r="1106" spans="1:53">
      <c r="A1106" t="s">
        <v>951</v>
      </c>
      <c r="B1106" t="s">
        <v>952</v>
      </c>
      <c r="C1106">
        <v>14370664</v>
      </c>
      <c r="D1106">
        <v>1201</v>
      </c>
      <c r="E1106" s="6">
        <v>44785</v>
      </c>
      <c r="F1106" t="s">
        <v>953</v>
      </c>
      <c r="I1106" t="s">
        <v>263</v>
      </c>
      <c r="O1106" t="s">
        <v>264</v>
      </c>
      <c r="Q1106" t="s">
        <v>264</v>
      </c>
      <c r="R1106" t="s">
        <v>524</v>
      </c>
      <c r="T1106" t="s">
        <v>266</v>
      </c>
      <c r="U1106" t="s">
        <v>267</v>
      </c>
      <c r="V1106" t="s">
        <v>525</v>
      </c>
      <c r="W1106" t="s">
        <v>526</v>
      </c>
      <c r="X1106">
        <v>1933549</v>
      </c>
      <c r="Y1106" s="6">
        <v>44792</v>
      </c>
      <c r="Z1106" t="s">
        <v>264</v>
      </c>
      <c r="AA1106">
        <v>16</v>
      </c>
      <c r="AB1106" t="s">
        <v>264</v>
      </c>
      <c r="AD1106" t="s">
        <v>264</v>
      </c>
      <c r="AE1106" t="s">
        <v>264</v>
      </c>
      <c r="AF1106" t="s">
        <v>264</v>
      </c>
      <c r="AG1106">
        <v>26</v>
      </c>
      <c r="AH1106" t="s">
        <v>264</v>
      </c>
      <c r="AL1106" t="s">
        <v>264</v>
      </c>
      <c r="AM1106" s="6">
        <v>44785</v>
      </c>
      <c r="AN1106" t="s">
        <v>527</v>
      </c>
      <c r="AO1106" t="s">
        <v>268</v>
      </c>
      <c r="AP1106">
        <v>1201</v>
      </c>
      <c r="AQ1106" t="s">
        <v>269</v>
      </c>
      <c r="AR1106">
        <v>278198</v>
      </c>
      <c r="AU1106" t="s">
        <v>264</v>
      </c>
      <c r="AV1106" t="s">
        <v>270</v>
      </c>
      <c r="AX1106" t="s">
        <v>264</v>
      </c>
      <c r="AY1106">
        <v>920600</v>
      </c>
      <c r="AZ1106">
        <v>1201.9205999999999</v>
      </c>
      <c r="BA1106" s="28" t="s">
        <v>97</v>
      </c>
    </row>
    <row r="1107" spans="1:53">
      <c r="A1107" t="s">
        <v>951</v>
      </c>
      <c r="B1107" t="s">
        <v>952</v>
      </c>
      <c r="C1107">
        <v>14370664</v>
      </c>
      <c r="D1107">
        <v>1201</v>
      </c>
      <c r="E1107" s="6">
        <v>44785</v>
      </c>
      <c r="F1107" t="s">
        <v>953</v>
      </c>
      <c r="I1107" t="s">
        <v>263</v>
      </c>
      <c r="O1107" t="s">
        <v>264</v>
      </c>
      <c r="Q1107" t="s">
        <v>264</v>
      </c>
      <c r="R1107" t="s">
        <v>524</v>
      </c>
      <c r="T1107" t="s">
        <v>266</v>
      </c>
      <c r="U1107" t="s">
        <v>267</v>
      </c>
      <c r="V1107" t="s">
        <v>525</v>
      </c>
      <c r="W1107" t="s">
        <v>526</v>
      </c>
      <c r="X1107">
        <v>1933549</v>
      </c>
      <c r="Y1107" s="6">
        <v>44792</v>
      </c>
      <c r="Z1107" t="s">
        <v>264</v>
      </c>
      <c r="AA1107">
        <v>18</v>
      </c>
      <c r="AB1107" t="s">
        <v>264</v>
      </c>
      <c r="AD1107" t="s">
        <v>264</v>
      </c>
      <c r="AE1107" t="s">
        <v>264</v>
      </c>
      <c r="AF1107" t="s">
        <v>264</v>
      </c>
      <c r="AG1107">
        <v>4</v>
      </c>
      <c r="AH1107" t="s">
        <v>264</v>
      </c>
      <c r="AL1107" t="s">
        <v>264</v>
      </c>
      <c r="AM1107" s="6">
        <v>44785</v>
      </c>
      <c r="AN1107" t="s">
        <v>527</v>
      </c>
      <c r="AO1107" t="s">
        <v>268</v>
      </c>
      <c r="AP1107">
        <v>1201</v>
      </c>
      <c r="AQ1107" t="s">
        <v>269</v>
      </c>
      <c r="AR1107">
        <v>278199</v>
      </c>
      <c r="AU1107" t="s">
        <v>264</v>
      </c>
      <c r="AV1107" t="s">
        <v>270</v>
      </c>
      <c r="AX1107" t="s">
        <v>264</v>
      </c>
      <c r="AY1107">
        <v>920600</v>
      </c>
      <c r="AZ1107">
        <v>1201.9205999999999</v>
      </c>
      <c r="BA1107" s="28" t="s">
        <v>97</v>
      </c>
    </row>
    <row r="1108" spans="1:53">
      <c r="A1108" t="s">
        <v>951</v>
      </c>
      <c r="B1108" t="s">
        <v>952</v>
      </c>
      <c r="C1108">
        <v>14370665</v>
      </c>
      <c r="D1108">
        <v>1201</v>
      </c>
      <c r="E1108" s="6">
        <v>44785</v>
      </c>
      <c r="F1108" t="s">
        <v>953</v>
      </c>
      <c r="G1108">
        <v>280.45999999999998</v>
      </c>
      <c r="H1108">
        <v>280.45999999999998</v>
      </c>
      <c r="I1108" t="s">
        <v>263</v>
      </c>
      <c r="O1108" t="s">
        <v>264</v>
      </c>
      <c r="Q1108" t="s">
        <v>264</v>
      </c>
      <c r="R1108" t="s">
        <v>524</v>
      </c>
      <c r="T1108" t="s">
        <v>266</v>
      </c>
      <c r="U1108" t="s">
        <v>267</v>
      </c>
      <c r="V1108" t="s">
        <v>525</v>
      </c>
      <c r="W1108" t="s">
        <v>526</v>
      </c>
      <c r="X1108">
        <v>1933549</v>
      </c>
      <c r="Y1108" s="6">
        <v>44792</v>
      </c>
      <c r="Z1108" t="s">
        <v>264</v>
      </c>
      <c r="AA1108">
        <v>2</v>
      </c>
      <c r="AB1108" t="s">
        <v>264</v>
      </c>
      <c r="AD1108" t="s">
        <v>264</v>
      </c>
      <c r="AE1108" t="s">
        <v>264</v>
      </c>
      <c r="AF1108" t="s">
        <v>264</v>
      </c>
      <c r="AG1108">
        <v>299</v>
      </c>
      <c r="AH1108" t="s">
        <v>264</v>
      </c>
      <c r="AL1108" t="s">
        <v>264</v>
      </c>
      <c r="AM1108" s="6">
        <v>44785</v>
      </c>
      <c r="AN1108" t="s">
        <v>527</v>
      </c>
      <c r="AO1108" t="s">
        <v>268</v>
      </c>
      <c r="AP1108">
        <v>1201</v>
      </c>
      <c r="AQ1108" t="s">
        <v>269</v>
      </c>
      <c r="AR1108">
        <v>280134</v>
      </c>
      <c r="AU1108" t="s">
        <v>264</v>
      </c>
      <c r="AV1108" t="s">
        <v>270</v>
      </c>
      <c r="AX1108" t="s">
        <v>264</v>
      </c>
      <c r="AY1108">
        <v>920600</v>
      </c>
      <c r="AZ1108">
        <v>1201.9205999999999</v>
      </c>
      <c r="BA1108" s="28" t="s">
        <v>97</v>
      </c>
    </row>
    <row r="1109" spans="1:53">
      <c r="A1109" t="s">
        <v>951</v>
      </c>
      <c r="B1109" t="s">
        <v>952</v>
      </c>
      <c r="C1109">
        <v>14370665</v>
      </c>
      <c r="D1109">
        <v>1201</v>
      </c>
      <c r="E1109" s="6">
        <v>44785</v>
      </c>
      <c r="F1109" t="s">
        <v>953</v>
      </c>
      <c r="G1109" s="29">
        <v>1606.07</v>
      </c>
      <c r="H1109" s="29">
        <v>1606.07</v>
      </c>
      <c r="I1109" t="s">
        <v>263</v>
      </c>
      <c r="O1109" t="s">
        <v>264</v>
      </c>
      <c r="Q1109" t="s">
        <v>264</v>
      </c>
      <c r="R1109" t="s">
        <v>524</v>
      </c>
      <c r="T1109" t="s">
        <v>266</v>
      </c>
      <c r="U1109" t="s">
        <v>267</v>
      </c>
      <c r="V1109" t="s">
        <v>525</v>
      </c>
      <c r="W1109" t="s">
        <v>526</v>
      </c>
      <c r="X1109">
        <v>1933549</v>
      </c>
      <c r="Y1109" s="6">
        <v>44792</v>
      </c>
      <c r="Z1109" t="s">
        <v>264</v>
      </c>
      <c r="AA1109">
        <v>4</v>
      </c>
      <c r="AB1109" t="s">
        <v>264</v>
      </c>
      <c r="AD1109" t="s">
        <v>264</v>
      </c>
      <c r="AE1109" t="s">
        <v>264</v>
      </c>
      <c r="AF1109" t="s">
        <v>264</v>
      </c>
      <c r="AG1109" s="29">
        <v>1778</v>
      </c>
      <c r="AH1109" t="s">
        <v>264</v>
      </c>
      <c r="AL1109" t="s">
        <v>264</v>
      </c>
      <c r="AM1109" s="6">
        <v>44785</v>
      </c>
      <c r="AN1109" t="s">
        <v>527</v>
      </c>
      <c r="AO1109" t="s">
        <v>268</v>
      </c>
      <c r="AP1109">
        <v>1201</v>
      </c>
      <c r="AQ1109" t="s">
        <v>269</v>
      </c>
      <c r="AR1109">
        <v>280135</v>
      </c>
      <c r="AU1109" t="s">
        <v>264</v>
      </c>
      <c r="AV1109" t="s">
        <v>270</v>
      </c>
      <c r="AX1109" t="s">
        <v>264</v>
      </c>
      <c r="AY1109">
        <v>920600</v>
      </c>
      <c r="AZ1109">
        <v>1201.9205999999999</v>
      </c>
      <c r="BA1109" s="28" t="s">
        <v>97</v>
      </c>
    </row>
    <row r="1110" spans="1:53">
      <c r="A1110" t="s">
        <v>951</v>
      </c>
      <c r="B1110" t="s">
        <v>952</v>
      </c>
      <c r="C1110">
        <v>14370683</v>
      </c>
      <c r="D1110">
        <v>1201</v>
      </c>
      <c r="E1110" s="6">
        <v>44785</v>
      </c>
      <c r="F1110" t="s">
        <v>954</v>
      </c>
      <c r="I1110" t="s">
        <v>263</v>
      </c>
      <c r="O1110" t="s">
        <v>264</v>
      </c>
      <c r="Q1110" t="s">
        <v>264</v>
      </c>
      <c r="R1110" t="s">
        <v>524</v>
      </c>
      <c r="T1110" t="s">
        <v>266</v>
      </c>
      <c r="U1110" t="s">
        <v>267</v>
      </c>
      <c r="V1110" t="s">
        <v>525</v>
      </c>
      <c r="W1110" t="s">
        <v>526</v>
      </c>
      <c r="X1110">
        <v>1934405</v>
      </c>
      <c r="Y1110" s="6">
        <v>44796</v>
      </c>
      <c r="Z1110" t="s">
        <v>264</v>
      </c>
      <c r="AA1110">
        <v>2</v>
      </c>
      <c r="AB1110" t="s">
        <v>264</v>
      </c>
      <c r="AD1110" t="s">
        <v>264</v>
      </c>
      <c r="AE1110" t="s">
        <v>264</v>
      </c>
      <c r="AF1110" t="s">
        <v>264</v>
      </c>
      <c r="AG1110">
        <v>161</v>
      </c>
      <c r="AH1110" t="s">
        <v>264</v>
      </c>
      <c r="AL1110" t="s">
        <v>264</v>
      </c>
      <c r="AM1110" s="6">
        <v>44785</v>
      </c>
      <c r="AN1110" t="s">
        <v>642</v>
      </c>
      <c r="AO1110" t="s">
        <v>268</v>
      </c>
      <c r="AP1110">
        <v>1201</v>
      </c>
      <c r="AQ1110" t="s">
        <v>269</v>
      </c>
      <c r="AR1110">
        <v>277590</v>
      </c>
      <c r="AU1110" t="s">
        <v>264</v>
      </c>
      <c r="AV1110" t="s">
        <v>270</v>
      </c>
      <c r="AX1110" t="s">
        <v>264</v>
      </c>
      <c r="AY1110">
        <v>920600</v>
      </c>
      <c r="AZ1110">
        <v>1201.9205999999999</v>
      </c>
      <c r="BA1110" s="28" t="s">
        <v>97</v>
      </c>
    </row>
    <row r="1111" spans="1:53">
      <c r="A1111" t="s">
        <v>951</v>
      </c>
      <c r="B1111" t="s">
        <v>952</v>
      </c>
      <c r="C1111">
        <v>14370683</v>
      </c>
      <c r="D1111">
        <v>1201</v>
      </c>
      <c r="E1111" s="6">
        <v>44785</v>
      </c>
      <c r="F1111" t="s">
        <v>954</v>
      </c>
      <c r="I1111" t="s">
        <v>263</v>
      </c>
      <c r="O1111" t="s">
        <v>264</v>
      </c>
      <c r="Q1111" t="s">
        <v>264</v>
      </c>
      <c r="R1111" t="s">
        <v>524</v>
      </c>
      <c r="T1111" t="s">
        <v>266</v>
      </c>
      <c r="U1111" t="s">
        <v>267</v>
      </c>
      <c r="V1111" t="s">
        <v>525</v>
      </c>
      <c r="W1111" t="s">
        <v>526</v>
      </c>
      <c r="X1111">
        <v>1934405</v>
      </c>
      <c r="Y1111" s="6">
        <v>44796</v>
      </c>
      <c r="Z1111" t="s">
        <v>264</v>
      </c>
      <c r="AA1111">
        <v>4</v>
      </c>
      <c r="AB1111" t="s">
        <v>264</v>
      </c>
      <c r="AD1111" t="s">
        <v>264</v>
      </c>
      <c r="AE1111" t="s">
        <v>264</v>
      </c>
      <c r="AF1111" t="s">
        <v>264</v>
      </c>
      <c r="AG1111">
        <v>400</v>
      </c>
      <c r="AH1111" t="s">
        <v>264</v>
      </c>
      <c r="AL1111" t="s">
        <v>264</v>
      </c>
      <c r="AM1111" s="6">
        <v>44785</v>
      </c>
      <c r="AN1111" t="s">
        <v>642</v>
      </c>
      <c r="AO1111" t="s">
        <v>268</v>
      </c>
      <c r="AP1111">
        <v>1201</v>
      </c>
      <c r="AQ1111" t="s">
        <v>269</v>
      </c>
      <c r="AR1111">
        <v>277590</v>
      </c>
      <c r="AU1111" t="s">
        <v>264</v>
      </c>
      <c r="AV1111" t="s">
        <v>270</v>
      </c>
      <c r="AX1111" t="s">
        <v>264</v>
      </c>
      <c r="AY1111">
        <v>920600</v>
      </c>
      <c r="AZ1111">
        <v>1201.9205999999999</v>
      </c>
      <c r="BA1111" s="28" t="s">
        <v>97</v>
      </c>
    </row>
    <row r="1112" spans="1:53">
      <c r="A1112" t="s">
        <v>951</v>
      </c>
      <c r="B1112" t="s">
        <v>952</v>
      </c>
      <c r="C1112">
        <v>14370683</v>
      </c>
      <c r="D1112">
        <v>1201</v>
      </c>
      <c r="E1112" s="6">
        <v>44785</v>
      </c>
      <c r="F1112" t="s">
        <v>954</v>
      </c>
      <c r="I1112" t="s">
        <v>263</v>
      </c>
      <c r="O1112" t="s">
        <v>264</v>
      </c>
      <c r="Q1112" t="s">
        <v>264</v>
      </c>
      <c r="R1112" t="s">
        <v>524</v>
      </c>
      <c r="T1112" t="s">
        <v>266</v>
      </c>
      <c r="U1112" t="s">
        <v>267</v>
      </c>
      <c r="V1112" t="s">
        <v>525</v>
      </c>
      <c r="W1112" t="s">
        <v>526</v>
      </c>
      <c r="X1112">
        <v>1934405</v>
      </c>
      <c r="Y1112" s="6">
        <v>44796</v>
      </c>
      <c r="Z1112" t="s">
        <v>264</v>
      </c>
      <c r="AA1112">
        <v>6</v>
      </c>
      <c r="AB1112" t="s">
        <v>264</v>
      </c>
      <c r="AD1112" t="s">
        <v>264</v>
      </c>
      <c r="AE1112" t="s">
        <v>264</v>
      </c>
      <c r="AF1112" t="s">
        <v>264</v>
      </c>
      <c r="AG1112">
        <v>308.60000000000002</v>
      </c>
      <c r="AH1112" t="s">
        <v>264</v>
      </c>
      <c r="AL1112" t="s">
        <v>264</v>
      </c>
      <c r="AM1112" s="6">
        <v>44785</v>
      </c>
      <c r="AN1112" t="s">
        <v>642</v>
      </c>
      <c r="AO1112" t="s">
        <v>268</v>
      </c>
      <c r="AP1112">
        <v>1201</v>
      </c>
      <c r="AQ1112" t="s">
        <v>269</v>
      </c>
      <c r="AR1112">
        <v>277589</v>
      </c>
      <c r="AU1112" t="s">
        <v>264</v>
      </c>
      <c r="AV1112" t="s">
        <v>270</v>
      </c>
      <c r="AX1112" t="s">
        <v>264</v>
      </c>
      <c r="AY1112">
        <v>920600</v>
      </c>
      <c r="AZ1112">
        <v>1201.9205999999999</v>
      </c>
      <c r="BA1112" s="28" t="s">
        <v>97</v>
      </c>
    </row>
    <row r="1113" spans="1:53">
      <c r="A1113" t="s">
        <v>951</v>
      </c>
      <c r="B1113" t="s">
        <v>952</v>
      </c>
      <c r="C1113">
        <v>14370683</v>
      </c>
      <c r="D1113">
        <v>1201</v>
      </c>
      <c r="E1113" s="6">
        <v>44785</v>
      </c>
      <c r="F1113" t="s">
        <v>954</v>
      </c>
      <c r="I1113" t="s">
        <v>263</v>
      </c>
      <c r="O1113" t="s">
        <v>264</v>
      </c>
      <c r="Q1113" t="s">
        <v>264</v>
      </c>
      <c r="R1113" t="s">
        <v>524</v>
      </c>
      <c r="T1113" t="s">
        <v>266</v>
      </c>
      <c r="U1113" t="s">
        <v>267</v>
      </c>
      <c r="V1113" t="s">
        <v>525</v>
      </c>
      <c r="W1113" t="s">
        <v>526</v>
      </c>
      <c r="X1113">
        <v>1934405</v>
      </c>
      <c r="Y1113" s="6">
        <v>44796</v>
      </c>
      <c r="Z1113" t="s">
        <v>264</v>
      </c>
      <c r="AA1113">
        <v>8</v>
      </c>
      <c r="AB1113" t="s">
        <v>264</v>
      </c>
      <c r="AD1113" t="s">
        <v>264</v>
      </c>
      <c r="AE1113" t="s">
        <v>264</v>
      </c>
      <c r="AF1113" t="s">
        <v>264</v>
      </c>
      <c r="AG1113">
        <v>349.6</v>
      </c>
      <c r="AH1113" t="s">
        <v>264</v>
      </c>
      <c r="AL1113" t="s">
        <v>264</v>
      </c>
      <c r="AM1113" s="6">
        <v>44785</v>
      </c>
      <c r="AN1113" t="s">
        <v>642</v>
      </c>
      <c r="AO1113" t="s">
        <v>268</v>
      </c>
      <c r="AP1113">
        <v>1201</v>
      </c>
      <c r="AQ1113" t="s">
        <v>269</v>
      </c>
      <c r="AR1113">
        <v>277592</v>
      </c>
      <c r="AU1113" t="s">
        <v>264</v>
      </c>
      <c r="AV1113" t="s">
        <v>270</v>
      </c>
      <c r="AX1113" t="s">
        <v>264</v>
      </c>
      <c r="AY1113">
        <v>920600</v>
      </c>
      <c r="AZ1113">
        <v>1201.9205999999999</v>
      </c>
      <c r="BA1113" s="28" t="s">
        <v>97</v>
      </c>
    </row>
    <row r="1114" spans="1:53">
      <c r="A1114" t="s">
        <v>951</v>
      </c>
      <c r="B1114" t="s">
        <v>952</v>
      </c>
      <c r="C1114">
        <v>14370683</v>
      </c>
      <c r="D1114">
        <v>1201</v>
      </c>
      <c r="E1114" s="6">
        <v>44785</v>
      </c>
      <c r="F1114" t="s">
        <v>954</v>
      </c>
      <c r="I1114" t="s">
        <v>263</v>
      </c>
      <c r="O1114" t="s">
        <v>264</v>
      </c>
      <c r="Q1114" t="s">
        <v>264</v>
      </c>
      <c r="R1114" t="s">
        <v>524</v>
      </c>
      <c r="T1114" t="s">
        <v>266</v>
      </c>
      <c r="U1114" t="s">
        <v>267</v>
      </c>
      <c r="V1114" t="s">
        <v>525</v>
      </c>
      <c r="W1114" t="s">
        <v>526</v>
      </c>
      <c r="X1114">
        <v>1934405</v>
      </c>
      <c r="Y1114" s="6">
        <v>44796</v>
      </c>
      <c r="Z1114" t="s">
        <v>264</v>
      </c>
      <c r="AA1114">
        <v>10</v>
      </c>
      <c r="AB1114" t="s">
        <v>264</v>
      </c>
      <c r="AD1114" t="s">
        <v>264</v>
      </c>
      <c r="AE1114" t="s">
        <v>264</v>
      </c>
      <c r="AF1114" t="s">
        <v>264</v>
      </c>
      <c r="AG1114">
        <v>220</v>
      </c>
      <c r="AH1114" t="s">
        <v>264</v>
      </c>
      <c r="AL1114" t="s">
        <v>264</v>
      </c>
      <c r="AM1114" s="6">
        <v>44785</v>
      </c>
      <c r="AN1114" t="s">
        <v>642</v>
      </c>
      <c r="AO1114" t="s">
        <v>268</v>
      </c>
      <c r="AP1114">
        <v>1201</v>
      </c>
      <c r="AQ1114" t="s">
        <v>269</v>
      </c>
      <c r="AR1114">
        <v>277592</v>
      </c>
      <c r="AU1114" t="s">
        <v>264</v>
      </c>
      <c r="AV1114" t="s">
        <v>270</v>
      </c>
      <c r="AX1114" t="s">
        <v>264</v>
      </c>
      <c r="AY1114">
        <v>920600</v>
      </c>
      <c r="AZ1114">
        <v>1201.9205999999999</v>
      </c>
      <c r="BA1114" s="28" t="s">
        <v>97</v>
      </c>
    </row>
    <row r="1115" spans="1:53">
      <c r="A1115" t="s">
        <v>951</v>
      </c>
      <c r="B1115" t="s">
        <v>952</v>
      </c>
      <c r="C1115">
        <v>14370683</v>
      </c>
      <c r="D1115">
        <v>1201</v>
      </c>
      <c r="E1115" s="6">
        <v>44785</v>
      </c>
      <c r="F1115" t="s">
        <v>954</v>
      </c>
      <c r="I1115" t="s">
        <v>263</v>
      </c>
      <c r="O1115" t="s">
        <v>264</v>
      </c>
      <c r="Q1115" t="s">
        <v>264</v>
      </c>
      <c r="R1115" t="s">
        <v>524</v>
      </c>
      <c r="T1115" t="s">
        <v>266</v>
      </c>
      <c r="U1115" t="s">
        <v>267</v>
      </c>
      <c r="V1115" t="s">
        <v>525</v>
      </c>
      <c r="W1115" t="s">
        <v>526</v>
      </c>
      <c r="X1115">
        <v>1934405</v>
      </c>
      <c r="Y1115" s="6">
        <v>44796</v>
      </c>
      <c r="Z1115" t="s">
        <v>264</v>
      </c>
      <c r="AA1115">
        <v>12</v>
      </c>
      <c r="AB1115" t="s">
        <v>264</v>
      </c>
      <c r="AD1115" t="s">
        <v>264</v>
      </c>
      <c r="AE1115" t="s">
        <v>264</v>
      </c>
      <c r="AF1115" t="s">
        <v>264</v>
      </c>
      <c r="AG1115">
        <v>95.5</v>
      </c>
      <c r="AH1115" t="s">
        <v>264</v>
      </c>
      <c r="AL1115" t="s">
        <v>264</v>
      </c>
      <c r="AM1115" s="6">
        <v>44785</v>
      </c>
      <c r="AN1115" t="s">
        <v>642</v>
      </c>
      <c r="AO1115" t="s">
        <v>268</v>
      </c>
      <c r="AP1115">
        <v>1201</v>
      </c>
      <c r="AQ1115" t="s">
        <v>269</v>
      </c>
      <c r="AR1115">
        <v>277595</v>
      </c>
      <c r="AU1115" t="s">
        <v>264</v>
      </c>
      <c r="AV1115" t="s">
        <v>270</v>
      </c>
      <c r="AX1115" t="s">
        <v>264</v>
      </c>
      <c r="AY1115">
        <v>920600</v>
      </c>
      <c r="AZ1115">
        <v>1201.9205999999999</v>
      </c>
      <c r="BA1115" s="28" t="s">
        <v>97</v>
      </c>
    </row>
    <row r="1116" spans="1:53">
      <c r="A1116" t="s">
        <v>951</v>
      </c>
      <c r="B1116" t="s">
        <v>952</v>
      </c>
      <c r="C1116">
        <v>14370683</v>
      </c>
      <c r="D1116">
        <v>1201</v>
      </c>
      <c r="E1116" s="6">
        <v>44785</v>
      </c>
      <c r="F1116" t="s">
        <v>954</v>
      </c>
      <c r="I1116" t="s">
        <v>263</v>
      </c>
      <c r="O1116" t="s">
        <v>264</v>
      </c>
      <c r="Q1116" t="s">
        <v>264</v>
      </c>
      <c r="R1116" t="s">
        <v>524</v>
      </c>
      <c r="T1116" t="s">
        <v>266</v>
      </c>
      <c r="U1116" t="s">
        <v>267</v>
      </c>
      <c r="V1116" t="s">
        <v>525</v>
      </c>
      <c r="W1116" t="s">
        <v>526</v>
      </c>
      <c r="X1116">
        <v>1934405</v>
      </c>
      <c r="Y1116" s="6">
        <v>44796</v>
      </c>
      <c r="Z1116" t="s">
        <v>264</v>
      </c>
      <c r="AA1116">
        <v>14</v>
      </c>
      <c r="AB1116" t="s">
        <v>264</v>
      </c>
      <c r="AD1116" t="s">
        <v>264</v>
      </c>
      <c r="AE1116" t="s">
        <v>264</v>
      </c>
      <c r="AF1116" t="s">
        <v>264</v>
      </c>
      <c r="AG1116">
        <v>24</v>
      </c>
      <c r="AH1116" t="s">
        <v>264</v>
      </c>
      <c r="AL1116" t="s">
        <v>264</v>
      </c>
      <c r="AM1116" s="6">
        <v>44785</v>
      </c>
      <c r="AN1116" t="s">
        <v>642</v>
      </c>
      <c r="AO1116" t="s">
        <v>268</v>
      </c>
      <c r="AP1116">
        <v>1201</v>
      </c>
      <c r="AQ1116" t="s">
        <v>269</v>
      </c>
      <c r="AR1116">
        <v>277597</v>
      </c>
      <c r="AU1116" t="s">
        <v>264</v>
      </c>
      <c r="AV1116" t="s">
        <v>270</v>
      </c>
      <c r="AX1116" t="s">
        <v>264</v>
      </c>
      <c r="AY1116">
        <v>920600</v>
      </c>
      <c r="AZ1116">
        <v>1201.9205999999999</v>
      </c>
      <c r="BA1116" s="28" t="s">
        <v>97</v>
      </c>
    </row>
    <row r="1117" spans="1:53">
      <c r="A1117" t="s">
        <v>951</v>
      </c>
      <c r="B1117" t="s">
        <v>952</v>
      </c>
      <c r="C1117">
        <v>14370683</v>
      </c>
      <c r="D1117">
        <v>1201</v>
      </c>
      <c r="E1117" s="6">
        <v>44785</v>
      </c>
      <c r="F1117" t="s">
        <v>954</v>
      </c>
      <c r="I1117" t="s">
        <v>263</v>
      </c>
      <c r="O1117" t="s">
        <v>264</v>
      </c>
      <c r="Q1117" t="s">
        <v>264</v>
      </c>
      <c r="R1117" t="s">
        <v>524</v>
      </c>
      <c r="T1117" t="s">
        <v>266</v>
      </c>
      <c r="U1117" t="s">
        <v>267</v>
      </c>
      <c r="V1117" t="s">
        <v>525</v>
      </c>
      <c r="W1117" t="s">
        <v>526</v>
      </c>
      <c r="X1117">
        <v>1934405</v>
      </c>
      <c r="Y1117" s="6">
        <v>44796</v>
      </c>
      <c r="Z1117" t="s">
        <v>264</v>
      </c>
      <c r="AA1117">
        <v>16</v>
      </c>
      <c r="AB1117" t="s">
        <v>264</v>
      </c>
      <c r="AD1117" t="s">
        <v>264</v>
      </c>
      <c r="AE1117" t="s">
        <v>264</v>
      </c>
      <c r="AF1117" t="s">
        <v>264</v>
      </c>
      <c r="AG1117">
        <v>238</v>
      </c>
      <c r="AH1117" t="s">
        <v>264</v>
      </c>
      <c r="AL1117" t="s">
        <v>264</v>
      </c>
      <c r="AM1117" s="6">
        <v>44785</v>
      </c>
      <c r="AN1117" t="s">
        <v>642</v>
      </c>
      <c r="AO1117" t="s">
        <v>268</v>
      </c>
      <c r="AP1117">
        <v>1201</v>
      </c>
      <c r="AQ1117" t="s">
        <v>269</v>
      </c>
      <c r="AR1117">
        <v>279806</v>
      </c>
      <c r="AU1117" t="s">
        <v>264</v>
      </c>
      <c r="AV1117" t="s">
        <v>270</v>
      </c>
      <c r="AX1117" t="s">
        <v>264</v>
      </c>
      <c r="AY1117">
        <v>920600</v>
      </c>
      <c r="AZ1117">
        <v>1201.9205999999999</v>
      </c>
      <c r="BA1117" s="28" t="s">
        <v>97</v>
      </c>
    </row>
    <row r="1118" spans="1:53">
      <c r="A1118" t="s">
        <v>951</v>
      </c>
      <c r="B1118" t="s">
        <v>952</v>
      </c>
      <c r="C1118">
        <v>14370683</v>
      </c>
      <c r="D1118">
        <v>1201</v>
      </c>
      <c r="E1118" s="6">
        <v>44785</v>
      </c>
      <c r="F1118" t="s">
        <v>954</v>
      </c>
      <c r="I1118" t="s">
        <v>263</v>
      </c>
      <c r="O1118" t="s">
        <v>264</v>
      </c>
      <c r="Q1118" t="s">
        <v>264</v>
      </c>
      <c r="R1118" t="s">
        <v>524</v>
      </c>
      <c r="T1118" t="s">
        <v>266</v>
      </c>
      <c r="U1118" t="s">
        <v>267</v>
      </c>
      <c r="V1118" t="s">
        <v>525</v>
      </c>
      <c r="W1118" t="s">
        <v>526</v>
      </c>
      <c r="X1118">
        <v>1934405</v>
      </c>
      <c r="Y1118" s="6">
        <v>44796</v>
      </c>
      <c r="Z1118" t="s">
        <v>264</v>
      </c>
      <c r="AA1118">
        <v>18</v>
      </c>
      <c r="AB1118" t="s">
        <v>264</v>
      </c>
      <c r="AD1118" t="s">
        <v>264</v>
      </c>
      <c r="AE1118" t="s">
        <v>264</v>
      </c>
      <c r="AF1118" t="s">
        <v>264</v>
      </c>
      <c r="AG1118">
        <v>478</v>
      </c>
      <c r="AH1118" t="s">
        <v>264</v>
      </c>
      <c r="AL1118" t="s">
        <v>264</v>
      </c>
      <c r="AM1118" s="6">
        <v>44785</v>
      </c>
      <c r="AN1118" t="s">
        <v>642</v>
      </c>
      <c r="AO1118" t="s">
        <v>268</v>
      </c>
      <c r="AP1118">
        <v>1201</v>
      </c>
      <c r="AQ1118" t="s">
        <v>269</v>
      </c>
      <c r="AR1118">
        <v>279806</v>
      </c>
      <c r="AU1118" t="s">
        <v>264</v>
      </c>
      <c r="AV1118" t="s">
        <v>270</v>
      </c>
      <c r="AX1118" t="s">
        <v>264</v>
      </c>
      <c r="AY1118">
        <v>920600</v>
      </c>
      <c r="AZ1118">
        <v>1201.9205999999999</v>
      </c>
      <c r="BA1118" s="28" t="s">
        <v>97</v>
      </c>
    </row>
    <row r="1119" spans="1:53">
      <c r="A1119" t="s">
        <v>951</v>
      </c>
      <c r="B1119" t="s">
        <v>952</v>
      </c>
      <c r="C1119">
        <v>14370683</v>
      </c>
      <c r="D1119">
        <v>1201</v>
      </c>
      <c r="E1119" s="6">
        <v>44785</v>
      </c>
      <c r="F1119" t="s">
        <v>954</v>
      </c>
      <c r="I1119" t="s">
        <v>263</v>
      </c>
      <c r="O1119" t="s">
        <v>264</v>
      </c>
      <c r="Q1119" t="s">
        <v>264</v>
      </c>
      <c r="R1119" t="s">
        <v>524</v>
      </c>
      <c r="T1119" t="s">
        <v>266</v>
      </c>
      <c r="U1119" t="s">
        <v>267</v>
      </c>
      <c r="V1119" t="s">
        <v>525</v>
      </c>
      <c r="W1119" t="s">
        <v>526</v>
      </c>
      <c r="X1119">
        <v>1934405</v>
      </c>
      <c r="Y1119" s="6">
        <v>44796</v>
      </c>
      <c r="Z1119" t="s">
        <v>264</v>
      </c>
      <c r="AA1119">
        <v>20</v>
      </c>
      <c r="AB1119" t="s">
        <v>264</v>
      </c>
      <c r="AD1119" t="s">
        <v>264</v>
      </c>
      <c r="AE1119" t="s">
        <v>264</v>
      </c>
      <c r="AF1119" t="s">
        <v>264</v>
      </c>
      <c r="AG1119">
        <v>208</v>
      </c>
      <c r="AH1119" t="s">
        <v>264</v>
      </c>
      <c r="AL1119" t="s">
        <v>264</v>
      </c>
      <c r="AM1119" s="6">
        <v>44785</v>
      </c>
      <c r="AN1119" t="s">
        <v>642</v>
      </c>
      <c r="AO1119" t="s">
        <v>268</v>
      </c>
      <c r="AP1119">
        <v>1201</v>
      </c>
      <c r="AQ1119" t="s">
        <v>269</v>
      </c>
      <c r="AR1119">
        <v>279806</v>
      </c>
      <c r="AU1119" t="s">
        <v>264</v>
      </c>
      <c r="AV1119" t="s">
        <v>270</v>
      </c>
      <c r="AX1119" t="s">
        <v>264</v>
      </c>
      <c r="AY1119">
        <v>920600</v>
      </c>
      <c r="AZ1119">
        <v>1201.9205999999999</v>
      </c>
      <c r="BA1119" s="28" t="s">
        <v>97</v>
      </c>
    </row>
    <row r="1120" spans="1:53">
      <c r="A1120" t="s">
        <v>951</v>
      </c>
      <c r="B1120" t="s">
        <v>952</v>
      </c>
      <c r="C1120">
        <v>14370683</v>
      </c>
      <c r="D1120">
        <v>1201</v>
      </c>
      <c r="E1120" s="6">
        <v>44785</v>
      </c>
      <c r="F1120" t="s">
        <v>954</v>
      </c>
      <c r="I1120" t="s">
        <v>263</v>
      </c>
      <c r="O1120" t="s">
        <v>264</v>
      </c>
      <c r="Q1120" t="s">
        <v>264</v>
      </c>
      <c r="R1120" t="s">
        <v>524</v>
      </c>
      <c r="T1120" t="s">
        <v>266</v>
      </c>
      <c r="U1120" t="s">
        <v>267</v>
      </c>
      <c r="V1120" t="s">
        <v>525</v>
      </c>
      <c r="W1120" t="s">
        <v>526</v>
      </c>
      <c r="X1120">
        <v>1934405</v>
      </c>
      <c r="Y1120" s="6">
        <v>44796</v>
      </c>
      <c r="Z1120" t="s">
        <v>264</v>
      </c>
      <c r="AA1120">
        <v>22</v>
      </c>
      <c r="AB1120" t="s">
        <v>264</v>
      </c>
      <c r="AD1120" t="s">
        <v>264</v>
      </c>
      <c r="AE1120" t="s">
        <v>264</v>
      </c>
      <c r="AF1120" t="s">
        <v>264</v>
      </c>
      <c r="AG1120">
        <v>67.61</v>
      </c>
      <c r="AH1120" t="s">
        <v>264</v>
      </c>
      <c r="AL1120" t="s">
        <v>264</v>
      </c>
      <c r="AM1120" s="6">
        <v>44785</v>
      </c>
      <c r="AN1120" t="s">
        <v>642</v>
      </c>
      <c r="AO1120" t="s">
        <v>268</v>
      </c>
      <c r="AP1120">
        <v>1201</v>
      </c>
      <c r="AQ1120" t="s">
        <v>269</v>
      </c>
      <c r="AR1120">
        <v>277587</v>
      </c>
      <c r="AU1120" t="s">
        <v>264</v>
      </c>
      <c r="AV1120" t="s">
        <v>270</v>
      </c>
      <c r="AX1120" t="s">
        <v>264</v>
      </c>
      <c r="AY1120">
        <v>920600</v>
      </c>
      <c r="AZ1120">
        <v>1201.9205999999999</v>
      </c>
      <c r="BA1120" s="28" t="s">
        <v>97</v>
      </c>
    </row>
    <row r="1121" spans="1:53">
      <c r="A1121" t="s">
        <v>951</v>
      </c>
      <c r="B1121" t="s">
        <v>952</v>
      </c>
      <c r="C1121">
        <v>14370683</v>
      </c>
      <c r="D1121">
        <v>1201</v>
      </c>
      <c r="E1121" s="6">
        <v>44785</v>
      </c>
      <c r="F1121" t="s">
        <v>954</v>
      </c>
      <c r="I1121" t="s">
        <v>263</v>
      </c>
      <c r="O1121" t="s">
        <v>264</v>
      </c>
      <c r="Q1121" t="s">
        <v>264</v>
      </c>
      <c r="R1121" t="s">
        <v>524</v>
      </c>
      <c r="T1121" t="s">
        <v>266</v>
      </c>
      <c r="U1121" t="s">
        <v>267</v>
      </c>
      <c r="V1121" t="s">
        <v>525</v>
      </c>
      <c r="W1121" t="s">
        <v>526</v>
      </c>
      <c r="X1121">
        <v>1934405</v>
      </c>
      <c r="Y1121" s="6">
        <v>44796</v>
      </c>
      <c r="Z1121" t="s">
        <v>264</v>
      </c>
      <c r="AA1121">
        <v>24</v>
      </c>
      <c r="AB1121" t="s">
        <v>264</v>
      </c>
      <c r="AD1121" t="s">
        <v>264</v>
      </c>
      <c r="AE1121" t="s">
        <v>264</v>
      </c>
      <c r="AF1121" t="s">
        <v>264</v>
      </c>
      <c r="AG1121">
        <v>317</v>
      </c>
      <c r="AH1121" t="s">
        <v>264</v>
      </c>
      <c r="AL1121" t="s">
        <v>264</v>
      </c>
      <c r="AM1121" s="6">
        <v>44785</v>
      </c>
      <c r="AN1121" t="s">
        <v>642</v>
      </c>
      <c r="AO1121" t="s">
        <v>268</v>
      </c>
      <c r="AP1121">
        <v>1201</v>
      </c>
      <c r="AQ1121" t="s">
        <v>269</v>
      </c>
      <c r="AR1121">
        <v>277591</v>
      </c>
      <c r="AU1121" t="s">
        <v>264</v>
      </c>
      <c r="AV1121" t="s">
        <v>270</v>
      </c>
      <c r="AX1121" t="s">
        <v>264</v>
      </c>
      <c r="AY1121">
        <v>920600</v>
      </c>
      <c r="AZ1121">
        <v>1201.9205999999999</v>
      </c>
      <c r="BA1121" s="28" t="s">
        <v>97</v>
      </c>
    </row>
    <row r="1122" spans="1:53">
      <c r="A1122" t="s">
        <v>951</v>
      </c>
      <c r="B1122" t="s">
        <v>952</v>
      </c>
      <c r="C1122">
        <v>14370683</v>
      </c>
      <c r="D1122">
        <v>1201</v>
      </c>
      <c r="E1122" s="6">
        <v>44785</v>
      </c>
      <c r="F1122" t="s">
        <v>954</v>
      </c>
      <c r="I1122" t="s">
        <v>263</v>
      </c>
      <c r="O1122" t="s">
        <v>264</v>
      </c>
      <c r="Q1122" t="s">
        <v>264</v>
      </c>
      <c r="R1122" t="s">
        <v>524</v>
      </c>
      <c r="T1122" t="s">
        <v>266</v>
      </c>
      <c r="U1122" t="s">
        <v>267</v>
      </c>
      <c r="V1122" t="s">
        <v>525</v>
      </c>
      <c r="W1122" t="s">
        <v>526</v>
      </c>
      <c r="X1122">
        <v>1934405</v>
      </c>
      <c r="Y1122" s="6">
        <v>44796</v>
      </c>
      <c r="Z1122" t="s">
        <v>264</v>
      </c>
      <c r="AA1122">
        <v>26</v>
      </c>
      <c r="AB1122" t="s">
        <v>264</v>
      </c>
      <c r="AD1122" t="s">
        <v>264</v>
      </c>
      <c r="AE1122" t="s">
        <v>264</v>
      </c>
      <c r="AF1122" t="s">
        <v>264</v>
      </c>
      <c r="AG1122">
        <v>162</v>
      </c>
      <c r="AH1122" t="s">
        <v>264</v>
      </c>
      <c r="AL1122" t="s">
        <v>264</v>
      </c>
      <c r="AM1122" s="6">
        <v>44785</v>
      </c>
      <c r="AN1122" t="s">
        <v>642</v>
      </c>
      <c r="AO1122" t="s">
        <v>268</v>
      </c>
      <c r="AP1122">
        <v>1201</v>
      </c>
      <c r="AQ1122" t="s">
        <v>269</v>
      </c>
      <c r="AR1122">
        <v>277591</v>
      </c>
      <c r="AU1122" t="s">
        <v>264</v>
      </c>
      <c r="AV1122" t="s">
        <v>270</v>
      </c>
      <c r="AX1122" t="s">
        <v>264</v>
      </c>
      <c r="AY1122">
        <v>920600</v>
      </c>
      <c r="AZ1122">
        <v>1201.9205999999999</v>
      </c>
      <c r="BA1122" s="28" t="s">
        <v>97</v>
      </c>
    </row>
    <row r="1123" spans="1:53">
      <c r="A1123" t="s">
        <v>951</v>
      </c>
      <c r="B1123" t="s">
        <v>952</v>
      </c>
      <c r="C1123">
        <v>14370683</v>
      </c>
      <c r="D1123">
        <v>1201</v>
      </c>
      <c r="E1123" s="6">
        <v>44785</v>
      </c>
      <c r="F1123" t="s">
        <v>954</v>
      </c>
      <c r="I1123" t="s">
        <v>263</v>
      </c>
      <c r="O1123" t="s">
        <v>264</v>
      </c>
      <c r="Q1123" t="s">
        <v>264</v>
      </c>
      <c r="R1123" t="s">
        <v>524</v>
      </c>
      <c r="T1123" t="s">
        <v>266</v>
      </c>
      <c r="U1123" t="s">
        <v>267</v>
      </c>
      <c r="V1123" t="s">
        <v>525</v>
      </c>
      <c r="W1123" t="s">
        <v>526</v>
      </c>
      <c r="X1123">
        <v>1934405</v>
      </c>
      <c r="Y1123" s="6">
        <v>44796</v>
      </c>
      <c r="Z1123" t="s">
        <v>264</v>
      </c>
      <c r="AA1123">
        <v>28</v>
      </c>
      <c r="AB1123" t="s">
        <v>264</v>
      </c>
      <c r="AD1123" t="s">
        <v>264</v>
      </c>
      <c r="AE1123" t="s">
        <v>264</v>
      </c>
      <c r="AF1123" t="s">
        <v>264</v>
      </c>
      <c r="AG1123">
        <v>506</v>
      </c>
      <c r="AH1123" t="s">
        <v>264</v>
      </c>
      <c r="AL1123" t="s">
        <v>264</v>
      </c>
      <c r="AM1123" s="6">
        <v>44785</v>
      </c>
      <c r="AN1123" t="s">
        <v>642</v>
      </c>
      <c r="AO1123" t="s">
        <v>268</v>
      </c>
      <c r="AP1123">
        <v>1201</v>
      </c>
      <c r="AQ1123" t="s">
        <v>269</v>
      </c>
      <c r="AR1123">
        <v>277593</v>
      </c>
      <c r="AU1123" t="s">
        <v>264</v>
      </c>
      <c r="AV1123" t="s">
        <v>270</v>
      </c>
      <c r="AX1123" t="s">
        <v>264</v>
      </c>
      <c r="AY1123">
        <v>920600</v>
      </c>
      <c r="AZ1123">
        <v>1201.9205999999999</v>
      </c>
      <c r="BA1123" s="28" t="s">
        <v>97</v>
      </c>
    </row>
    <row r="1124" spans="1:53">
      <c r="A1124" t="s">
        <v>951</v>
      </c>
      <c r="B1124" t="s">
        <v>952</v>
      </c>
      <c r="C1124">
        <v>14370683</v>
      </c>
      <c r="D1124">
        <v>1201</v>
      </c>
      <c r="E1124" s="6">
        <v>44785</v>
      </c>
      <c r="F1124" t="s">
        <v>954</v>
      </c>
      <c r="I1124" t="s">
        <v>263</v>
      </c>
      <c r="O1124" t="s">
        <v>264</v>
      </c>
      <c r="Q1124" t="s">
        <v>264</v>
      </c>
      <c r="R1124" t="s">
        <v>524</v>
      </c>
      <c r="T1124" t="s">
        <v>266</v>
      </c>
      <c r="U1124" t="s">
        <v>267</v>
      </c>
      <c r="V1124" t="s">
        <v>525</v>
      </c>
      <c r="W1124" t="s">
        <v>526</v>
      </c>
      <c r="X1124">
        <v>1934405</v>
      </c>
      <c r="Y1124" s="6">
        <v>44796</v>
      </c>
      <c r="Z1124" t="s">
        <v>264</v>
      </c>
      <c r="AA1124">
        <v>30</v>
      </c>
      <c r="AB1124" t="s">
        <v>264</v>
      </c>
      <c r="AD1124" t="s">
        <v>264</v>
      </c>
      <c r="AE1124" t="s">
        <v>264</v>
      </c>
      <c r="AF1124" t="s">
        <v>264</v>
      </c>
      <c r="AG1124">
        <v>210</v>
      </c>
      <c r="AH1124" t="s">
        <v>264</v>
      </c>
      <c r="AL1124" t="s">
        <v>264</v>
      </c>
      <c r="AM1124" s="6">
        <v>44785</v>
      </c>
      <c r="AN1124" t="s">
        <v>642</v>
      </c>
      <c r="AO1124" t="s">
        <v>268</v>
      </c>
      <c r="AP1124">
        <v>1201</v>
      </c>
      <c r="AQ1124" t="s">
        <v>269</v>
      </c>
      <c r="AR1124">
        <v>277593</v>
      </c>
      <c r="AU1124" t="s">
        <v>264</v>
      </c>
      <c r="AV1124" t="s">
        <v>270</v>
      </c>
      <c r="AX1124" t="s">
        <v>264</v>
      </c>
      <c r="AY1124">
        <v>920600</v>
      </c>
      <c r="AZ1124">
        <v>1201.9205999999999</v>
      </c>
      <c r="BA1124" s="28" t="s">
        <v>97</v>
      </c>
    </row>
    <row r="1125" spans="1:53">
      <c r="A1125" t="s">
        <v>951</v>
      </c>
      <c r="B1125" t="s">
        <v>952</v>
      </c>
      <c r="C1125">
        <v>14370683</v>
      </c>
      <c r="D1125">
        <v>1201</v>
      </c>
      <c r="E1125" s="6">
        <v>44785</v>
      </c>
      <c r="F1125" t="s">
        <v>954</v>
      </c>
      <c r="I1125" t="s">
        <v>263</v>
      </c>
      <c r="O1125" t="s">
        <v>264</v>
      </c>
      <c r="Q1125" t="s">
        <v>264</v>
      </c>
      <c r="R1125" t="s">
        <v>524</v>
      </c>
      <c r="T1125" t="s">
        <v>266</v>
      </c>
      <c r="U1125" t="s">
        <v>267</v>
      </c>
      <c r="V1125" t="s">
        <v>525</v>
      </c>
      <c r="W1125" t="s">
        <v>526</v>
      </c>
      <c r="X1125">
        <v>1934405</v>
      </c>
      <c r="Y1125" s="6">
        <v>44796</v>
      </c>
      <c r="Z1125" t="s">
        <v>264</v>
      </c>
      <c r="AA1125">
        <v>32</v>
      </c>
      <c r="AB1125" t="s">
        <v>264</v>
      </c>
      <c r="AD1125" t="s">
        <v>264</v>
      </c>
      <c r="AE1125" t="s">
        <v>264</v>
      </c>
      <c r="AF1125" t="s">
        <v>264</v>
      </c>
      <c r="AG1125">
        <v>29</v>
      </c>
      <c r="AH1125" t="s">
        <v>264</v>
      </c>
      <c r="AL1125" t="s">
        <v>264</v>
      </c>
      <c r="AM1125" s="6">
        <v>44785</v>
      </c>
      <c r="AN1125" t="s">
        <v>642</v>
      </c>
      <c r="AO1125" t="s">
        <v>268</v>
      </c>
      <c r="AP1125">
        <v>1201</v>
      </c>
      <c r="AQ1125" t="s">
        <v>269</v>
      </c>
      <c r="AR1125">
        <v>277607</v>
      </c>
      <c r="AU1125" t="s">
        <v>264</v>
      </c>
      <c r="AV1125" t="s">
        <v>270</v>
      </c>
      <c r="AX1125" t="s">
        <v>264</v>
      </c>
      <c r="AY1125">
        <v>920600</v>
      </c>
      <c r="AZ1125">
        <v>1201.9205999999999</v>
      </c>
      <c r="BA1125" s="28" t="s">
        <v>97</v>
      </c>
    </row>
    <row r="1126" spans="1:53">
      <c r="A1126" t="s">
        <v>951</v>
      </c>
      <c r="B1126" t="s">
        <v>952</v>
      </c>
      <c r="C1126">
        <v>14370683</v>
      </c>
      <c r="D1126">
        <v>1201</v>
      </c>
      <c r="E1126" s="6">
        <v>44785</v>
      </c>
      <c r="F1126" t="s">
        <v>954</v>
      </c>
      <c r="I1126" t="s">
        <v>263</v>
      </c>
      <c r="O1126" t="s">
        <v>264</v>
      </c>
      <c r="Q1126" t="s">
        <v>264</v>
      </c>
      <c r="R1126" t="s">
        <v>524</v>
      </c>
      <c r="T1126" t="s">
        <v>266</v>
      </c>
      <c r="U1126" t="s">
        <v>267</v>
      </c>
      <c r="V1126" t="s">
        <v>525</v>
      </c>
      <c r="W1126" t="s">
        <v>526</v>
      </c>
      <c r="X1126">
        <v>1934405</v>
      </c>
      <c r="Y1126" s="6">
        <v>44796</v>
      </c>
      <c r="Z1126" t="s">
        <v>264</v>
      </c>
      <c r="AA1126">
        <v>34</v>
      </c>
      <c r="AB1126" t="s">
        <v>264</v>
      </c>
      <c r="AD1126" t="s">
        <v>264</v>
      </c>
      <c r="AE1126" t="s">
        <v>264</v>
      </c>
      <c r="AF1126" t="s">
        <v>264</v>
      </c>
      <c r="AG1126">
        <v>100</v>
      </c>
      <c r="AH1126" t="s">
        <v>264</v>
      </c>
      <c r="AL1126" t="s">
        <v>264</v>
      </c>
      <c r="AM1126" s="6">
        <v>44785</v>
      </c>
      <c r="AN1126" t="s">
        <v>642</v>
      </c>
      <c r="AO1126" t="s">
        <v>268</v>
      </c>
      <c r="AP1126">
        <v>1201</v>
      </c>
      <c r="AQ1126" t="s">
        <v>269</v>
      </c>
      <c r="AR1126">
        <v>278143</v>
      </c>
      <c r="AU1126" t="s">
        <v>264</v>
      </c>
      <c r="AV1126" t="s">
        <v>270</v>
      </c>
      <c r="AX1126" t="s">
        <v>264</v>
      </c>
      <c r="AY1126">
        <v>920600</v>
      </c>
      <c r="AZ1126">
        <v>1201.9205999999999</v>
      </c>
      <c r="BA1126" s="28" t="s">
        <v>97</v>
      </c>
    </row>
    <row r="1127" spans="1:53">
      <c r="A1127" t="s">
        <v>951</v>
      </c>
      <c r="B1127" t="s">
        <v>952</v>
      </c>
      <c r="C1127">
        <v>14370683</v>
      </c>
      <c r="D1127">
        <v>1201</v>
      </c>
      <c r="E1127" s="6">
        <v>44785</v>
      </c>
      <c r="F1127" t="s">
        <v>954</v>
      </c>
      <c r="I1127" t="s">
        <v>263</v>
      </c>
      <c r="O1127" t="s">
        <v>264</v>
      </c>
      <c r="Q1127" t="s">
        <v>264</v>
      </c>
      <c r="R1127" t="s">
        <v>524</v>
      </c>
      <c r="T1127" t="s">
        <v>266</v>
      </c>
      <c r="U1127" t="s">
        <v>267</v>
      </c>
      <c r="V1127" t="s">
        <v>525</v>
      </c>
      <c r="W1127" t="s">
        <v>526</v>
      </c>
      <c r="X1127">
        <v>1934405</v>
      </c>
      <c r="Y1127" s="6">
        <v>44796</v>
      </c>
      <c r="Z1127" t="s">
        <v>264</v>
      </c>
      <c r="AA1127">
        <v>36</v>
      </c>
      <c r="AB1127" t="s">
        <v>264</v>
      </c>
      <c r="AD1127" t="s">
        <v>264</v>
      </c>
      <c r="AE1127" t="s">
        <v>264</v>
      </c>
      <c r="AF1127" t="s">
        <v>264</v>
      </c>
      <c r="AG1127">
        <v>69</v>
      </c>
      <c r="AH1127" t="s">
        <v>264</v>
      </c>
      <c r="AL1127" t="s">
        <v>264</v>
      </c>
      <c r="AM1127" s="6">
        <v>44785</v>
      </c>
      <c r="AN1127" t="s">
        <v>642</v>
      </c>
      <c r="AO1127" t="s">
        <v>268</v>
      </c>
      <c r="AP1127">
        <v>1201</v>
      </c>
      <c r="AQ1127" t="s">
        <v>269</v>
      </c>
      <c r="AR1127">
        <v>279805</v>
      </c>
      <c r="AU1127" t="s">
        <v>264</v>
      </c>
      <c r="AV1127" t="s">
        <v>270</v>
      </c>
      <c r="AX1127" t="s">
        <v>264</v>
      </c>
      <c r="AY1127">
        <v>920600</v>
      </c>
      <c r="AZ1127">
        <v>1201.9205999999999</v>
      </c>
      <c r="BA1127" s="28" t="s">
        <v>97</v>
      </c>
    </row>
    <row r="1128" spans="1:53">
      <c r="A1128" t="s">
        <v>951</v>
      </c>
      <c r="B1128" t="s">
        <v>952</v>
      </c>
      <c r="C1128">
        <v>14370683</v>
      </c>
      <c r="D1128">
        <v>1201</v>
      </c>
      <c r="E1128" s="6">
        <v>44785</v>
      </c>
      <c r="F1128" t="s">
        <v>954</v>
      </c>
      <c r="I1128" t="s">
        <v>263</v>
      </c>
      <c r="O1128" t="s">
        <v>264</v>
      </c>
      <c r="Q1128" t="s">
        <v>264</v>
      </c>
      <c r="R1128" t="s">
        <v>524</v>
      </c>
      <c r="T1128" t="s">
        <v>266</v>
      </c>
      <c r="U1128" t="s">
        <v>267</v>
      </c>
      <c r="V1128" t="s">
        <v>525</v>
      </c>
      <c r="W1128" t="s">
        <v>526</v>
      </c>
      <c r="X1128">
        <v>1934405</v>
      </c>
      <c r="Y1128" s="6">
        <v>44796</v>
      </c>
      <c r="Z1128" t="s">
        <v>264</v>
      </c>
      <c r="AA1128">
        <v>38</v>
      </c>
      <c r="AB1128" t="s">
        <v>264</v>
      </c>
      <c r="AD1128" t="s">
        <v>264</v>
      </c>
      <c r="AE1128" t="s">
        <v>264</v>
      </c>
      <c r="AF1128" t="s">
        <v>264</v>
      </c>
      <c r="AG1128">
        <v>50.62</v>
      </c>
      <c r="AH1128" t="s">
        <v>264</v>
      </c>
      <c r="AL1128" t="s">
        <v>264</v>
      </c>
      <c r="AM1128" s="6">
        <v>44785</v>
      </c>
      <c r="AN1128" t="s">
        <v>642</v>
      </c>
      <c r="AO1128" t="s">
        <v>268</v>
      </c>
      <c r="AP1128">
        <v>1201</v>
      </c>
      <c r="AQ1128" t="s">
        <v>269</v>
      </c>
      <c r="AR1128">
        <v>279807</v>
      </c>
      <c r="AU1128" t="s">
        <v>264</v>
      </c>
      <c r="AV1128" t="s">
        <v>270</v>
      </c>
      <c r="AX1128" t="s">
        <v>264</v>
      </c>
      <c r="AY1128">
        <v>920600</v>
      </c>
      <c r="AZ1128">
        <v>1201.9205999999999</v>
      </c>
      <c r="BA1128" s="28" t="s">
        <v>97</v>
      </c>
    </row>
    <row r="1129" spans="1:53">
      <c r="A1129" t="s">
        <v>951</v>
      </c>
      <c r="B1129" t="s">
        <v>952</v>
      </c>
      <c r="C1129">
        <v>14370683</v>
      </c>
      <c r="D1129">
        <v>1201</v>
      </c>
      <c r="E1129" s="6">
        <v>44785</v>
      </c>
      <c r="F1129" t="s">
        <v>954</v>
      </c>
      <c r="I1129" t="s">
        <v>263</v>
      </c>
      <c r="O1129" t="s">
        <v>264</v>
      </c>
      <c r="Q1129" t="s">
        <v>264</v>
      </c>
      <c r="R1129" t="s">
        <v>524</v>
      </c>
      <c r="T1129" t="s">
        <v>266</v>
      </c>
      <c r="U1129" t="s">
        <v>267</v>
      </c>
      <c r="V1129" t="s">
        <v>525</v>
      </c>
      <c r="W1129" t="s">
        <v>526</v>
      </c>
      <c r="X1129">
        <v>1934405</v>
      </c>
      <c r="Y1129" s="6">
        <v>44796</v>
      </c>
      <c r="Z1129" t="s">
        <v>264</v>
      </c>
      <c r="AA1129">
        <v>40</v>
      </c>
      <c r="AB1129" t="s">
        <v>264</v>
      </c>
      <c r="AD1129" t="s">
        <v>264</v>
      </c>
      <c r="AE1129" t="s">
        <v>264</v>
      </c>
      <c r="AF1129" t="s">
        <v>264</v>
      </c>
      <c r="AG1129">
        <v>106.4</v>
      </c>
      <c r="AH1129" t="s">
        <v>264</v>
      </c>
      <c r="AL1129" t="s">
        <v>264</v>
      </c>
      <c r="AM1129" s="6">
        <v>44785</v>
      </c>
      <c r="AN1129" t="s">
        <v>642</v>
      </c>
      <c r="AO1129" t="s">
        <v>268</v>
      </c>
      <c r="AP1129">
        <v>1201</v>
      </c>
      <c r="AQ1129" t="s">
        <v>269</v>
      </c>
      <c r="AR1129">
        <v>277588</v>
      </c>
      <c r="AU1129" t="s">
        <v>264</v>
      </c>
      <c r="AV1129" t="s">
        <v>270</v>
      </c>
      <c r="AX1129" t="s">
        <v>264</v>
      </c>
      <c r="AY1129">
        <v>920600</v>
      </c>
      <c r="AZ1129">
        <v>1201.9205999999999</v>
      </c>
      <c r="BA1129" s="28" t="s">
        <v>97</v>
      </c>
    </row>
    <row r="1130" spans="1:53">
      <c r="A1130" t="s">
        <v>951</v>
      </c>
      <c r="B1130" t="s">
        <v>952</v>
      </c>
      <c r="C1130">
        <v>14370683</v>
      </c>
      <c r="D1130">
        <v>1201</v>
      </c>
      <c r="E1130" s="6">
        <v>44785</v>
      </c>
      <c r="F1130" t="s">
        <v>954</v>
      </c>
      <c r="I1130" t="s">
        <v>263</v>
      </c>
      <c r="O1130" t="s">
        <v>264</v>
      </c>
      <c r="Q1130" t="s">
        <v>264</v>
      </c>
      <c r="R1130" t="s">
        <v>524</v>
      </c>
      <c r="T1130" t="s">
        <v>266</v>
      </c>
      <c r="U1130" t="s">
        <v>267</v>
      </c>
      <c r="V1130" t="s">
        <v>525</v>
      </c>
      <c r="W1130" t="s">
        <v>526</v>
      </c>
      <c r="X1130">
        <v>1934405</v>
      </c>
      <c r="Y1130" s="6">
        <v>44796</v>
      </c>
      <c r="Z1130" t="s">
        <v>264</v>
      </c>
      <c r="AA1130">
        <v>42</v>
      </c>
      <c r="AB1130" t="s">
        <v>264</v>
      </c>
      <c r="AD1130" t="s">
        <v>264</v>
      </c>
      <c r="AE1130" t="s">
        <v>264</v>
      </c>
      <c r="AF1130" t="s">
        <v>264</v>
      </c>
      <c r="AG1130">
        <v>6</v>
      </c>
      <c r="AH1130" t="s">
        <v>264</v>
      </c>
      <c r="AL1130" t="s">
        <v>264</v>
      </c>
      <c r="AM1130" s="6">
        <v>44785</v>
      </c>
      <c r="AN1130" t="s">
        <v>642</v>
      </c>
      <c r="AO1130" t="s">
        <v>268</v>
      </c>
      <c r="AP1130">
        <v>1201</v>
      </c>
      <c r="AQ1130" t="s">
        <v>269</v>
      </c>
      <c r="AR1130">
        <v>277602</v>
      </c>
      <c r="AU1130" t="s">
        <v>264</v>
      </c>
      <c r="AV1130" t="s">
        <v>270</v>
      </c>
      <c r="AX1130" t="s">
        <v>264</v>
      </c>
      <c r="AY1130">
        <v>920600</v>
      </c>
      <c r="AZ1130">
        <v>1201.9205999999999</v>
      </c>
      <c r="BA1130" s="28" t="s">
        <v>97</v>
      </c>
    </row>
    <row r="1131" spans="1:53">
      <c r="A1131" t="s">
        <v>951</v>
      </c>
      <c r="B1131" t="s">
        <v>952</v>
      </c>
      <c r="C1131">
        <v>14370651</v>
      </c>
      <c r="D1131">
        <v>1204</v>
      </c>
      <c r="E1131" s="6">
        <v>44778</v>
      </c>
      <c r="F1131" t="s">
        <v>955</v>
      </c>
      <c r="I1131" t="s">
        <v>263</v>
      </c>
      <c r="O1131" t="s">
        <v>264</v>
      </c>
      <c r="Q1131" t="s">
        <v>264</v>
      </c>
      <c r="R1131" t="s">
        <v>524</v>
      </c>
      <c r="T1131" t="s">
        <v>266</v>
      </c>
      <c r="U1131" t="s">
        <v>267</v>
      </c>
      <c r="V1131" t="s">
        <v>525</v>
      </c>
      <c r="W1131" t="s">
        <v>526</v>
      </c>
      <c r="X1131">
        <v>1928729</v>
      </c>
      <c r="Y1131" s="6">
        <v>44778</v>
      </c>
      <c r="Z1131" t="s">
        <v>264</v>
      </c>
      <c r="AA1131">
        <v>2</v>
      </c>
      <c r="AB1131" t="s">
        <v>264</v>
      </c>
      <c r="AD1131" t="s">
        <v>264</v>
      </c>
      <c r="AE1131" t="s">
        <v>264</v>
      </c>
      <c r="AF1131" t="s">
        <v>264</v>
      </c>
      <c r="AG1131">
        <v>1</v>
      </c>
      <c r="AH1131" t="s">
        <v>264</v>
      </c>
      <c r="AL1131" t="s">
        <v>264</v>
      </c>
      <c r="AM1131" s="6">
        <v>44778</v>
      </c>
      <c r="AN1131" t="s">
        <v>429</v>
      </c>
      <c r="AO1131" t="s">
        <v>268</v>
      </c>
      <c r="AP1131">
        <v>1204</v>
      </c>
      <c r="AQ1131" t="s">
        <v>269</v>
      </c>
      <c r="AR1131">
        <v>177676</v>
      </c>
      <c r="AU1131" t="s">
        <v>264</v>
      </c>
      <c r="AV1131" t="s">
        <v>270</v>
      </c>
      <c r="AX1131" t="s">
        <v>264</v>
      </c>
      <c r="AY1131">
        <v>920600</v>
      </c>
      <c r="AZ1131">
        <v>1204.9205999999999</v>
      </c>
      <c r="BA1131" s="28" t="s">
        <v>244</v>
      </c>
    </row>
    <row r="1132" spans="1:53">
      <c r="A1132" t="s">
        <v>951</v>
      </c>
      <c r="B1132" t="s">
        <v>952</v>
      </c>
      <c r="C1132">
        <v>14370660</v>
      </c>
      <c r="D1132">
        <v>1204</v>
      </c>
      <c r="E1132" s="6">
        <v>44791</v>
      </c>
      <c r="F1132" t="s">
        <v>955</v>
      </c>
      <c r="I1132" t="s">
        <v>263</v>
      </c>
      <c r="O1132" t="s">
        <v>264</v>
      </c>
      <c r="Q1132" t="s">
        <v>264</v>
      </c>
      <c r="R1132" t="s">
        <v>524</v>
      </c>
      <c r="T1132" t="s">
        <v>266</v>
      </c>
      <c r="U1132" t="s">
        <v>267</v>
      </c>
      <c r="V1132" t="s">
        <v>525</v>
      </c>
      <c r="W1132" t="s">
        <v>526</v>
      </c>
      <c r="X1132">
        <v>1933488</v>
      </c>
      <c r="Y1132" s="6">
        <v>44791</v>
      </c>
      <c r="Z1132" t="s">
        <v>264</v>
      </c>
      <c r="AA1132">
        <v>2</v>
      </c>
      <c r="AB1132" t="s">
        <v>264</v>
      </c>
      <c r="AD1132" t="s">
        <v>264</v>
      </c>
      <c r="AE1132" t="s">
        <v>264</v>
      </c>
      <c r="AF1132" t="s">
        <v>264</v>
      </c>
      <c r="AG1132">
        <v>10</v>
      </c>
      <c r="AH1132" t="s">
        <v>264</v>
      </c>
      <c r="AL1132" t="s">
        <v>264</v>
      </c>
      <c r="AM1132" s="6">
        <v>44791</v>
      </c>
      <c r="AN1132" t="s">
        <v>429</v>
      </c>
      <c r="AO1132" t="s">
        <v>268</v>
      </c>
      <c r="AP1132">
        <v>1204</v>
      </c>
      <c r="AQ1132" t="s">
        <v>269</v>
      </c>
      <c r="AR1132">
        <v>176213</v>
      </c>
      <c r="AU1132" t="s">
        <v>264</v>
      </c>
      <c r="AV1132" t="s">
        <v>270</v>
      </c>
      <c r="AX1132" t="s">
        <v>264</v>
      </c>
      <c r="AY1132">
        <v>920600</v>
      </c>
      <c r="AZ1132">
        <v>1204.9205999999999</v>
      </c>
      <c r="BA1132" s="28" t="s">
        <v>244</v>
      </c>
    </row>
    <row r="1133" spans="1:53">
      <c r="A1133" t="s">
        <v>951</v>
      </c>
      <c r="B1133" t="s">
        <v>952</v>
      </c>
      <c r="C1133">
        <v>14370662</v>
      </c>
      <c r="D1133">
        <v>1204</v>
      </c>
      <c r="E1133" s="6">
        <v>44791</v>
      </c>
      <c r="F1133" t="s">
        <v>955</v>
      </c>
      <c r="I1133" t="s">
        <v>263</v>
      </c>
      <c r="O1133" t="s">
        <v>264</v>
      </c>
      <c r="Q1133" t="s">
        <v>264</v>
      </c>
      <c r="R1133" t="s">
        <v>524</v>
      </c>
      <c r="T1133" t="s">
        <v>266</v>
      </c>
      <c r="U1133" t="s">
        <v>267</v>
      </c>
      <c r="V1133" t="s">
        <v>525</v>
      </c>
      <c r="W1133" t="s">
        <v>526</v>
      </c>
      <c r="X1133">
        <v>1933527</v>
      </c>
      <c r="Y1133" s="6">
        <v>44791</v>
      </c>
      <c r="Z1133" t="s">
        <v>264</v>
      </c>
      <c r="AA1133">
        <v>2</v>
      </c>
      <c r="AB1133" t="s">
        <v>264</v>
      </c>
      <c r="AD1133" t="s">
        <v>264</v>
      </c>
      <c r="AE1133" t="s">
        <v>264</v>
      </c>
      <c r="AF1133" t="s">
        <v>264</v>
      </c>
      <c r="AG1133">
        <v>10</v>
      </c>
      <c r="AH1133" t="s">
        <v>264</v>
      </c>
      <c r="AL1133" t="s">
        <v>264</v>
      </c>
      <c r="AM1133" s="6">
        <v>44791</v>
      </c>
      <c r="AN1133" t="s">
        <v>429</v>
      </c>
      <c r="AO1133" t="s">
        <v>268</v>
      </c>
      <c r="AP1133">
        <v>1204</v>
      </c>
      <c r="AQ1133" t="s">
        <v>269</v>
      </c>
      <c r="AR1133">
        <v>176213</v>
      </c>
      <c r="AU1133" t="s">
        <v>264</v>
      </c>
      <c r="AV1133" t="s">
        <v>270</v>
      </c>
      <c r="AX1133" t="s">
        <v>264</v>
      </c>
      <c r="AY1133">
        <v>920600</v>
      </c>
      <c r="AZ1133">
        <v>1204.9205999999999</v>
      </c>
      <c r="BA1133" s="28" t="s">
        <v>244</v>
      </c>
    </row>
    <row r="1134" spans="1:53">
      <c r="A1134" t="s">
        <v>951</v>
      </c>
      <c r="B1134" t="s">
        <v>952</v>
      </c>
      <c r="C1134">
        <v>14370679</v>
      </c>
      <c r="D1134">
        <v>1204</v>
      </c>
      <c r="E1134" s="6">
        <v>44792</v>
      </c>
      <c r="F1134" t="s">
        <v>955</v>
      </c>
      <c r="I1134" t="s">
        <v>263</v>
      </c>
      <c r="O1134" t="s">
        <v>264</v>
      </c>
      <c r="Q1134" t="s">
        <v>264</v>
      </c>
      <c r="R1134" t="s">
        <v>524</v>
      </c>
      <c r="T1134" t="s">
        <v>266</v>
      </c>
      <c r="U1134" t="s">
        <v>267</v>
      </c>
      <c r="V1134" t="s">
        <v>525</v>
      </c>
      <c r="W1134" t="s">
        <v>526</v>
      </c>
      <c r="X1134">
        <v>1934060</v>
      </c>
      <c r="Y1134" s="6">
        <v>44792</v>
      </c>
      <c r="Z1134" t="s">
        <v>264</v>
      </c>
      <c r="AA1134">
        <v>2</v>
      </c>
      <c r="AB1134" t="s">
        <v>264</v>
      </c>
      <c r="AD1134" t="s">
        <v>264</v>
      </c>
      <c r="AE1134" t="s">
        <v>264</v>
      </c>
      <c r="AF1134" t="s">
        <v>264</v>
      </c>
      <c r="AG1134">
        <v>1</v>
      </c>
      <c r="AH1134" t="s">
        <v>264</v>
      </c>
      <c r="AL1134" t="s">
        <v>264</v>
      </c>
      <c r="AM1134" s="6">
        <v>44792</v>
      </c>
      <c r="AN1134" t="s">
        <v>429</v>
      </c>
      <c r="AO1134" t="s">
        <v>268</v>
      </c>
      <c r="AP1134">
        <v>1204</v>
      </c>
      <c r="AQ1134" t="s">
        <v>269</v>
      </c>
      <c r="AR1134">
        <v>240190</v>
      </c>
      <c r="AU1134" t="s">
        <v>264</v>
      </c>
      <c r="AV1134" t="s">
        <v>270</v>
      </c>
      <c r="AX1134" t="s">
        <v>264</v>
      </c>
      <c r="AY1134">
        <v>920600</v>
      </c>
      <c r="AZ1134">
        <v>1204.9205999999999</v>
      </c>
      <c r="BA1134" s="28" t="s">
        <v>244</v>
      </c>
    </row>
    <row r="1135" spans="1:53">
      <c r="A1135" t="s">
        <v>951</v>
      </c>
      <c r="B1135" t="s">
        <v>952</v>
      </c>
      <c r="C1135">
        <v>14370679</v>
      </c>
      <c r="D1135">
        <v>1204</v>
      </c>
      <c r="E1135" s="6">
        <v>44792</v>
      </c>
      <c r="F1135" t="s">
        <v>955</v>
      </c>
      <c r="I1135" t="s">
        <v>263</v>
      </c>
      <c r="O1135" t="s">
        <v>264</v>
      </c>
      <c r="Q1135" t="s">
        <v>264</v>
      </c>
      <c r="R1135" t="s">
        <v>524</v>
      </c>
      <c r="T1135" t="s">
        <v>266</v>
      </c>
      <c r="U1135" t="s">
        <v>267</v>
      </c>
      <c r="V1135" t="s">
        <v>525</v>
      </c>
      <c r="W1135" t="s">
        <v>526</v>
      </c>
      <c r="X1135">
        <v>1934060</v>
      </c>
      <c r="Y1135" s="6">
        <v>44792</v>
      </c>
      <c r="Z1135" t="s">
        <v>264</v>
      </c>
      <c r="AA1135">
        <v>4</v>
      </c>
      <c r="AB1135" t="s">
        <v>264</v>
      </c>
      <c r="AD1135" t="s">
        <v>264</v>
      </c>
      <c r="AE1135" t="s">
        <v>264</v>
      </c>
      <c r="AF1135" t="s">
        <v>264</v>
      </c>
      <c r="AG1135">
        <v>1</v>
      </c>
      <c r="AH1135" t="s">
        <v>264</v>
      </c>
      <c r="AL1135" t="s">
        <v>264</v>
      </c>
      <c r="AM1135" s="6">
        <v>44792</v>
      </c>
      <c r="AN1135" t="s">
        <v>429</v>
      </c>
      <c r="AO1135" t="s">
        <v>268</v>
      </c>
      <c r="AP1135">
        <v>1204</v>
      </c>
      <c r="AQ1135" t="s">
        <v>269</v>
      </c>
      <c r="AR1135">
        <v>176214</v>
      </c>
      <c r="AU1135" t="s">
        <v>264</v>
      </c>
      <c r="AV1135" t="s">
        <v>270</v>
      </c>
      <c r="AX1135" t="s">
        <v>264</v>
      </c>
      <c r="AY1135">
        <v>920600</v>
      </c>
      <c r="AZ1135">
        <v>1204.9205999999999</v>
      </c>
      <c r="BA1135" s="28" t="s">
        <v>244</v>
      </c>
    </row>
    <row r="1136" spans="1:53">
      <c r="A1136" t="s">
        <v>951</v>
      </c>
      <c r="B1136" t="s">
        <v>952</v>
      </c>
      <c r="C1136">
        <v>14370697</v>
      </c>
      <c r="D1136">
        <v>1204</v>
      </c>
      <c r="E1136" s="6">
        <v>44803</v>
      </c>
      <c r="F1136" t="s">
        <v>955</v>
      </c>
      <c r="I1136" t="s">
        <v>263</v>
      </c>
      <c r="O1136" t="s">
        <v>264</v>
      </c>
      <c r="Q1136" t="s">
        <v>264</v>
      </c>
      <c r="R1136" t="s">
        <v>524</v>
      </c>
      <c r="T1136" t="s">
        <v>266</v>
      </c>
      <c r="U1136" t="s">
        <v>267</v>
      </c>
      <c r="V1136" t="s">
        <v>525</v>
      </c>
      <c r="W1136" t="s">
        <v>526</v>
      </c>
      <c r="X1136">
        <v>1936179</v>
      </c>
      <c r="Y1136" s="6">
        <v>44803</v>
      </c>
      <c r="Z1136" t="s">
        <v>264</v>
      </c>
      <c r="AA1136">
        <v>2</v>
      </c>
      <c r="AB1136" t="s">
        <v>264</v>
      </c>
      <c r="AD1136" t="s">
        <v>264</v>
      </c>
      <c r="AE1136" t="s">
        <v>264</v>
      </c>
      <c r="AF1136" t="s">
        <v>264</v>
      </c>
      <c r="AG1136">
        <v>1</v>
      </c>
      <c r="AH1136" t="s">
        <v>264</v>
      </c>
      <c r="AL1136" t="s">
        <v>264</v>
      </c>
      <c r="AM1136" s="6">
        <v>44803</v>
      </c>
      <c r="AN1136" t="s">
        <v>429</v>
      </c>
      <c r="AO1136" t="s">
        <v>268</v>
      </c>
      <c r="AP1136">
        <v>1204</v>
      </c>
      <c r="AQ1136" t="s">
        <v>269</v>
      </c>
      <c r="AR1136">
        <v>176082</v>
      </c>
      <c r="AU1136" t="s">
        <v>264</v>
      </c>
      <c r="AV1136" t="s">
        <v>270</v>
      </c>
      <c r="AX1136" t="s">
        <v>264</v>
      </c>
      <c r="AY1136">
        <v>920600</v>
      </c>
      <c r="AZ1136">
        <v>1204.9205999999999</v>
      </c>
      <c r="BA1136" s="28" t="s">
        <v>244</v>
      </c>
    </row>
    <row r="1137" spans="1:53">
      <c r="A1137" t="s">
        <v>956</v>
      </c>
      <c r="B1137" t="s">
        <v>957</v>
      </c>
      <c r="C1137">
        <v>22010618</v>
      </c>
      <c r="D1137">
        <v>1201</v>
      </c>
      <c r="E1137" s="6">
        <v>44774</v>
      </c>
      <c r="F1137" t="s">
        <v>958</v>
      </c>
      <c r="G1137">
        <v>7.38</v>
      </c>
      <c r="H1137">
        <v>7.38</v>
      </c>
      <c r="I1137" t="s">
        <v>263</v>
      </c>
      <c r="J1137" t="s">
        <v>263</v>
      </c>
      <c r="L1137" s="29">
        <v>109768</v>
      </c>
      <c r="N1137" s="29">
        <v>109768</v>
      </c>
      <c r="O1137" t="s">
        <v>264</v>
      </c>
      <c r="Q1137" t="s">
        <v>264</v>
      </c>
      <c r="R1137" t="s">
        <v>265</v>
      </c>
      <c r="S1137">
        <v>14882</v>
      </c>
      <c r="T1137" t="s">
        <v>266</v>
      </c>
      <c r="U1137" t="s">
        <v>267</v>
      </c>
      <c r="V1137" t="s">
        <v>273</v>
      </c>
      <c r="W1137" t="s">
        <v>274</v>
      </c>
      <c r="X1137">
        <v>1925410</v>
      </c>
      <c r="Y1137" s="6">
        <v>44774</v>
      </c>
      <c r="Z1137" t="s">
        <v>956</v>
      </c>
      <c r="AA1137">
        <v>1</v>
      </c>
      <c r="AB1137" t="s">
        <v>264</v>
      </c>
      <c r="AD1137" t="s">
        <v>959</v>
      </c>
      <c r="AE1137" t="s">
        <v>264</v>
      </c>
      <c r="AF1137" t="s">
        <v>264</v>
      </c>
      <c r="AH1137" t="s">
        <v>264</v>
      </c>
      <c r="AI1137">
        <v>54000160</v>
      </c>
      <c r="AJ1137" t="s">
        <v>531</v>
      </c>
      <c r="AL1137" t="s">
        <v>698</v>
      </c>
      <c r="AM1137" s="6">
        <v>44726</v>
      </c>
      <c r="AN1137" t="s">
        <v>268</v>
      </c>
      <c r="AO1137" t="s">
        <v>268</v>
      </c>
      <c r="AP1137">
        <v>1201</v>
      </c>
      <c r="AQ1137" t="s">
        <v>269</v>
      </c>
      <c r="AR1137" t="s">
        <v>960</v>
      </c>
      <c r="AU1137" t="s">
        <v>264</v>
      </c>
      <c r="AV1137" t="s">
        <v>270</v>
      </c>
      <c r="AX1137">
        <v>22002665</v>
      </c>
      <c r="AY1137">
        <v>920700</v>
      </c>
      <c r="AZ1137">
        <v>1201.9206999999999</v>
      </c>
      <c r="BA1137" s="28" t="s">
        <v>99</v>
      </c>
    </row>
    <row r="1138" spans="1:53">
      <c r="A1138" t="s">
        <v>956</v>
      </c>
      <c r="B1138" t="s">
        <v>957</v>
      </c>
      <c r="C1138">
        <v>22010619</v>
      </c>
      <c r="D1138">
        <v>1201</v>
      </c>
      <c r="E1138" s="6">
        <v>44774</v>
      </c>
      <c r="F1138" t="s">
        <v>961</v>
      </c>
      <c r="G1138">
        <v>0.7</v>
      </c>
      <c r="H1138">
        <v>0.7</v>
      </c>
      <c r="I1138" t="s">
        <v>263</v>
      </c>
      <c r="J1138" t="s">
        <v>263</v>
      </c>
      <c r="L1138" s="29">
        <v>10353</v>
      </c>
      <c r="N1138" s="29">
        <v>10353</v>
      </c>
      <c r="O1138" t="s">
        <v>264</v>
      </c>
      <c r="Q1138" t="s">
        <v>264</v>
      </c>
      <c r="R1138" t="s">
        <v>265</v>
      </c>
      <c r="S1138">
        <v>14882</v>
      </c>
      <c r="T1138" t="s">
        <v>266</v>
      </c>
      <c r="U1138" t="s">
        <v>267</v>
      </c>
      <c r="V1138" t="s">
        <v>273</v>
      </c>
      <c r="W1138" t="s">
        <v>274</v>
      </c>
      <c r="X1138">
        <v>1925410</v>
      </c>
      <c r="Y1138" s="6">
        <v>44774</v>
      </c>
      <c r="Z1138" t="s">
        <v>956</v>
      </c>
      <c r="AA1138">
        <v>1</v>
      </c>
      <c r="AB1138" t="s">
        <v>264</v>
      </c>
      <c r="AD1138" t="s">
        <v>959</v>
      </c>
      <c r="AE1138" t="s">
        <v>264</v>
      </c>
      <c r="AF1138" t="s">
        <v>264</v>
      </c>
      <c r="AH1138" t="s">
        <v>264</v>
      </c>
      <c r="AI1138">
        <v>54000160</v>
      </c>
      <c r="AJ1138" t="s">
        <v>531</v>
      </c>
      <c r="AL1138" t="s">
        <v>532</v>
      </c>
      <c r="AM1138" s="6">
        <v>44726</v>
      </c>
      <c r="AN1138" t="s">
        <v>268</v>
      </c>
      <c r="AO1138" t="s">
        <v>268</v>
      </c>
      <c r="AP1138">
        <v>1201</v>
      </c>
      <c r="AQ1138" t="s">
        <v>269</v>
      </c>
      <c r="AR1138" t="s">
        <v>962</v>
      </c>
      <c r="AU1138" t="s">
        <v>264</v>
      </c>
      <c r="AV1138" t="s">
        <v>270</v>
      </c>
      <c r="AX1138">
        <v>22002665</v>
      </c>
      <c r="AY1138">
        <v>920700</v>
      </c>
      <c r="AZ1138">
        <v>1201.9206999999999</v>
      </c>
      <c r="BA1138" s="28" t="s">
        <v>99</v>
      </c>
    </row>
    <row r="1139" spans="1:53">
      <c r="A1139" t="s">
        <v>956</v>
      </c>
      <c r="B1139" t="s">
        <v>957</v>
      </c>
      <c r="C1139">
        <v>22010620</v>
      </c>
      <c r="D1139">
        <v>1201</v>
      </c>
      <c r="E1139" s="6">
        <v>44774</v>
      </c>
      <c r="F1139" t="s">
        <v>963</v>
      </c>
      <c r="G1139">
        <v>0.21</v>
      </c>
      <c r="H1139">
        <v>0.21</v>
      </c>
      <c r="I1139" t="s">
        <v>263</v>
      </c>
      <c r="J1139" t="s">
        <v>263</v>
      </c>
      <c r="L1139" s="29">
        <v>3190</v>
      </c>
      <c r="N1139" s="29">
        <v>3190</v>
      </c>
      <c r="O1139" t="s">
        <v>264</v>
      </c>
      <c r="Q1139" t="s">
        <v>264</v>
      </c>
      <c r="R1139" t="s">
        <v>265</v>
      </c>
      <c r="S1139">
        <v>14882</v>
      </c>
      <c r="T1139" t="s">
        <v>266</v>
      </c>
      <c r="U1139" t="s">
        <v>267</v>
      </c>
      <c r="V1139" t="s">
        <v>273</v>
      </c>
      <c r="W1139" t="s">
        <v>274</v>
      </c>
      <c r="X1139">
        <v>1925410</v>
      </c>
      <c r="Y1139" s="6">
        <v>44774</v>
      </c>
      <c r="Z1139" t="s">
        <v>956</v>
      </c>
      <c r="AA1139">
        <v>1</v>
      </c>
      <c r="AB1139" t="s">
        <v>264</v>
      </c>
      <c r="AD1139" t="s">
        <v>959</v>
      </c>
      <c r="AE1139" t="s">
        <v>264</v>
      </c>
      <c r="AF1139" t="s">
        <v>264</v>
      </c>
      <c r="AH1139" t="s">
        <v>264</v>
      </c>
      <c r="AI1139">
        <v>54000160</v>
      </c>
      <c r="AJ1139" t="s">
        <v>531</v>
      </c>
      <c r="AL1139" t="s">
        <v>535</v>
      </c>
      <c r="AM1139" s="6">
        <v>44729</v>
      </c>
      <c r="AN1139" t="s">
        <v>268</v>
      </c>
      <c r="AO1139" t="s">
        <v>268</v>
      </c>
      <c r="AP1139">
        <v>1201</v>
      </c>
      <c r="AQ1139" t="s">
        <v>269</v>
      </c>
      <c r="AR1139" t="s">
        <v>964</v>
      </c>
      <c r="AU1139" t="s">
        <v>264</v>
      </c>
      <c r="AV1139" t="s">
        <v>270</v>
      </c>
      <c r="AX1139">
        <v>22002665</v>
      </c>
      <c r="AY1139">
        <v>920700</v>
      </c>
      <c r="AZ1139">
        <v>1201.9206999999999</v>
      </c>
      <c r="BA1139" s="28" t="s">
        <v>99</v>
      </c>
    </row>
    <row r="1140" spans="1:53">
      <c r="A1140" t="s">
        <v>956</v>
      </c>
      <c r="B1140" t="s">
        <v>957</v>
      </c>
      <c r="C1140">
        <v>22010631</v>
      </c>
      <c r="D1140">
        <v>1201</v>
      </c>
      <c r="E1140" s="6">
        <v>44774</v>
      </c>
      <c r="F1140" t="s">
        <v>965</v>
      </c>
      <c r="G1140">
        <v>38.72</v>
      </c>
      <c r="H1140">
        <v>38.72</v>
      </c>
      <c r="I1140" t="s">
        <v>263</v>
      </c>
      <c r="J1140" t="s">
        <v>263</v>
      </c>
      <c r="L1140" s="29">
        <v>576235</v>
      </c>
      <c r="N1140" s="29">
        <v>576235</v>
      </c>
      <c r="O1140" t="s">
        <v>264</v>
      </c>
      <c r="Q1140" t="s">
        <v>264</v>
      </c>
      <c r="R1140" t="s">
        <v>265</v>
      </c>
      <c r="S1140">
        <v>14882</v>
      </c>
      <c r="T1140" t="s">
        <v>266</v>
      </c>
      <c r="U1140" t="s">
        <v>267</v>
      </c>
      <c r="V1140" t="s">
        <v>273</v>
      </c>
      <c r="W1140" t="s">
        <v>274</v>
      </c>
      <c r="X1140">
        <v>1925425</v>
      </c>
      <c r="Y1140" s="6">
        <v>44774</v>
      </c>
      <c r="Z1140" t="s">
        <v>956</v>
      </c>
      <c r="AA1140">
        <v>1</v>
      </c>
      <c r="AB1140" t="s">
        <v>264</v>
      </c>
      <c r="AD1140" t="s">
        <v>959</v>
      </c>
      <c r="AE1140" t="s">
        <v>264</v>
      </c>
      <c r="AF1140" t="s">
        <v>264</v>
      </c>
      <c r="AH1140" t="s">
        <v>264</v>
      </c>
      <c r="AI1140">
        <v>55229662</v>
      </c>
      <c r="AJ1140" t="s">
        <v>546</v>
      </c>
      <c r="AL1140" t="s">
        <v>547</v>
      </c>
      <c r="AM1140" s="6">
        <v>44708</v>
      </c>
      <c r="AN1140" t="s">
        <v>268</v>
      </c>
      <c r="AO1140" t="s">
        <v>268</v>
      </c>
      <c r="AP1140">
        <v>1201</v>
      </c>
      <c r="AQ1140" t="s">
        <v>269</v>
      </c>
      <c r="AR1140" t="s">
        <v>966</v>
      </c>
      <c r="AU1140" t="s">
        <v>264</v>
      </c>
      <c r="AV1140" t="s">
        <v>270</v>
      </c>
      <c r="AX1140">
        <v>22002459</v>
      </c>
      <c r="AY1140">
        <v>920700</v>
      </c>
      <c r="AZ1140">
        <v>1201.9206999999999</v>
      </c>
      <c r="BA1140" s="28" t="s">
        <v>99</v>
      </c>
    </row>
    <row r="1141" spans="1:53">
      <c r="A1141" t="s">
        <v>956</v>
      </c>
      <c r="B1141" t="s">
        <v>957</v>
      </c>
      <c r="C1141">
        <v>22010632</v>
      </c>
      <c r="D1141">
        <v>1201</v>
      </c>
      <c r="E1141" s="6">
        <v>44774</v>
      </c>
      <c r="F1141" t="s">
        <v>967</v>
      </c>
      <c r="G1141">
        <v>39.200000000000003</v>
      </c>
      <c r="H1141">
        <v>39.200000000000003</v>
      </c>
      <c r="I1141" t="s">
        <v>263</v>
      </c>
      <c r="J1141" t="s">
        <v>263</v>
      </c>
      <c r="L1141" s="29">
        <v>583341</v>
      </c>
      <c r="N1141" s="29">
        <v>583341</v>
      </c>
      <c r="O1141" t="s">
        <v>264</v>
      </c>
      <c r="Q1141" t="s">
        <v>264</v>
      </c>
      <c r="R1141" t="s">
        <v>265</v>
      </c>
      <c r="S1141">
        <v>14882</v>
      </c>
      <c r="T1141" t="s">
        <v>266</v>
      </c>
      <c r="U1141" t="s">
        <v>267</v>
      </c>
      <c r="V1141" t="s">
        <v>273</v>
      </c>
      <c r="W1141" t="s">
        <v>274</v>
      </c>
      <c r="X1141">
        <v>1925425</v>
      </c>
      <c r="Y1141" s="6">
        <v>44774</v>
      </c>
      <c r="Z1141" t="s">
        <v>956</v>
      </c>
      <c r="AA1141">
        <v>1</v>
      </c>
      <c r="AB1141" t="s">
        <v>264</v>
      </c>
      <c r="AD1141" t="s">
        <v>959</v>
      </c>
      <c r="AE1141" t="s">
        <v>264</v>
      </c>
      <c r="AF1141" t="s">
        <v>264</v>
      </c>
      <c r="AH1141" t="s">
        <v>264</v>
      </c>
      <c r="AI1141">
        <v>55229662</v>
      </c>
      <c r="AJ1141" t="s">
        <v>546</v>
      </c>
      <c r="AL1141" t="s">
        <v>548</v>
      </c>
      <c r="AM1141" s="6">
        <v>44729</v>
      </c>
      <c r="AN1141" t="s">
        <v>268</v>
      </c>
      <c r="AO1141" t="s">
        <v>268</v>
      </c>
      <c r="AP1141">
        <v>1201</v>
      </c>
      <c r="AQ1141" t="s">
        <v>269</v>
      </c>
      <c r="AR1141" t="s">
        <v>968</v>
      </c>
      <c r="AU1141" t="s">
        <v>264</v>
      </c>
      <c r="AV1141" t="s">
        <v>270</v>
      </c>
      <c r="AX1141">
        <v>22002544</v>
      </c>
      <c r="AY1141">
        <v>920700</v>
      </c>
      <c r="AZ1141">
        <v>1201.9206999999999</v>
      </c>
      <c r="BA1141" s="28" t="s">
        <v>99</v>
      </c>
    </row>
    <row r="1142" spans="1:53">
      <c r="A1142" t="s">
        <v>956</v>
      </c>
      <c r="B1142" t="s">
        <v>957</v>
      </c>
      <c r="C1142">
        <v>22010633</v>
      </c>
      <c r="D1142">
        <v>1201</v>
      </c>
      <c r="E1142" s="6">
        <v>44774</v>
      </c>
      <c r="F1142" t="s">
        <v>969</v>
      </c>
      <c r="G1142">
        <v>5.13</v>
      </c>
      <c r="H1142">
        <v>5.13</v>
      </c>
      <c r="I1142" t="s">
        <v>263</v>
      </c>
      <c r="J1142" t="s">
        <v>263</v>
      </c>
      <c r="L1142" s="29">
        <v>76349</v>
      </c>
      <c r="N1142" s="29">
        <v>76349</v>
      </c>
      <c r="O1142" t="s">
        <v>264</v>
      </c>
      <c r="Q1142" t="s">
        <v>264</v>
      </c>
      <c r="R1142" t="s">
        <v>265</v>
      </c>
      <c r="S1142">
        <v>14882</v>
      </c>
      <c r="T1142" t="s">
        <v>266</v>
      </c>
      <c r="U1142" t="s">
        <v>267</v>
      </c>
      <c r="V1142" t="s">
        <v>273</v>
      </c>
      <c r="W1142" t="s">
        <v>274</v>
      </c>
      <c r="X1142">
        <v>1925425</v>
      </c>
      <c r="Y1142" s="6">
        <v>44774</v>
      </c>
      <c r="Z1142" t="s">
        <v>956</v>
      </c>
      <c r="AA1142">
        <v>1</v>
      </c>
      <c r="AB1142" t="s">
        <v>264</v>
      </c>
      <c r="AD1142" t="s">
        <v>959</v>
      </c>
      <c r="AE1142" t="s">
        <v>264</v>
      </c>
      <c r="AF1142" t="s">
        <v>264</v>
      </c>
      <c r="AH1142" t="s">
        <v>264</v>
      </c>
      <c r="AI1142">
        <v>55229662</v>
      </c>
      <c r="AJ1142" t="s">
        <v>546</v>
      </c>
      <c r="AL1142" t="s">
        <v>550</v>
      </c>
      <c r="AM1142" s="6">
        <v>44729</v>
      </c>
      <c r="AN1142" t="s">
        <v>268</v>
      </c>
      <c r="AO1142" t="s">
        <v>268</v>
      </c>
      <c r="AP1142">
        <v>1201</v>
      </c>
      <c r="AQ1142" t="s">
        <v>269</v>
      </c>
      <c r="AR1142" t="s">
        <v>970</v>
      </c>
      <c r="AU1142" t="s">
        <v>264</v>
      </c>
      <c r="AV1142" t="s">
        <v>270</v>
      </c>
      <c r="AX1142">
        <v>22002544</v>
      </c>
      <c r="AY1142">
        <v>920700</v>
      </c>
      <c r="AZ1142">
        <v>1201.9206999999999</v>
      </c>
      <c r="BA1142" s="28" t="s">
        <v>99</v>
      </c>
    </row>
    <row r="1143" spans="1:53">
      <c r="A1143" t="s">
        <v>956</v>
      </c>
      <c r="B1143" t="s">
        <v>957</v>
      </c>
      <c r="C1143">
        <v>22010634</v>
      </c>
      <c r="D1143">
        <v>1201</v>
      </c>
      <c r="E1143" s="6">
        <v>44774</v>
      </c>
      <c r="F1143" t="s">
        <v>971</v>
      </c>
      <c r="G1143">
        <v>9.44</v>
      </c>
      <c r="H1143">
        <v>9.44</v>
      </c>
      <c r="I1143" t="s">
        <v>263</v>
      </c>
      <c r="J1143" t="s">
        <v>263</v>
      </c>
      <c r="L1143" s="29">
        <v>140547</v>
      </c>
      <c r="N1143" s="29">
        <v>140547</v>
      </c>
      <c r="O1143" t="s">
        <v>264</v>
      </c>
      <c r="Q1143" t="s">
        <v>264</v>
      </c>
      <c r="R1143" t="s">
        <v>265</v>
      </c>
      <c r="S1143">
        <v>14882</v>
      </c>
      <c r="T1143" t="s">
        <v>266</v>
      </c>
      <c r="U1143" t="s">
        <v>267</v>
      </c>
      <c r="V1143" t="s">
        <v>273</v>
      </c>
      <c r="W1143" t="s">
        <v>274</v>
      </c>
      <c r="X1143">
        <v>1925425</v>
      </c>
      <c r="Y1143" s="6">
        <v>44774</v>
      </c>
      <c r="Z1143" t="s">
        <v>956</v>
      </c>
      <c r="AA1143">
        <v>1</v>
      </c>
      <c r="AB1143" t="s">
        <v>264</v>
      </c>
      <c r="AD1143" t="s">
        <v>959</v>
      </c>
      <c r="AE1143" t="s">
        <v>264</v>
      </c>
      <c r="AF1143" t="s">
        <v>264</v>
      </c>
      <c r="AH1143" t="s">
        <v>264</v>
      </c>
      <c r="AI1143">
        <v>55229662</v>
      </c>
      <c r="AJ1143" t="s">
        <v>546</v>
      </c>
      <c r="AL1143" t="s">
        <v>552</v>
      </c>
      <c r="AM1143" s="6">
        <v>44729</v>
      </c>
      <c r="AN1143" t="s">
        <v>268</v>
      </c>
      <c r="AO1143" t="s">
        <v>268</v>
      </c>
      <c r="AP1143">
        <v>1201</v>
      </c>
      <c r="AQ1143" t="s">
        <v>269</v>
      </c>
      <c r="AR1143" t="s">
        <v>972</v>
      </c>
      <c r="AU1143" t="s">
        <v>264</v>
      </c>
      <c r="AV1143" t="s">
        <v>270</v>
      </c>
      <c r="AX1143">
        <v>22002544</v>
      </c>
      <c r="AY1143">
        <v>920700</v>
      </c>
      <c r="AZ1143">
        <v>1201.9206999999999</v>
      </c>
      <c r="BA1143" s="28" t="s">
        <v>99</v>
      </c>
    </row>
    <row r="1144" spans="1:53">
      <c r="A1144" t="s">
        <v>956</v>
      </c>
      <c r="B1144" t="s">
        <v>957</v>
      </c>
      <c r="C1144">
        <v>22010635</v>
      </c>
      <c r="D1144">
        <v>1201</v>
      </c>
      <c r="E1144" s="6">
        <v>44774</v>
      </c>
      <c r="F1144" t="s">
        <v>973</v>
      </c>
      <c r="G1144">
        <v>38.79</v>
      </c>
      <c r="H1144">
        <v>38.79</v>
      </c>
      <c r="I1144" t="s">
        <v>263</v>
      </c>
      <c r="J1144" t="s">
        <v>263</v>
      </c>
      <c r="L1144" s="29">
        <v>577291</v>
      </c>
      <c r="N1144" s="29">
        <v>577291</v>
      </c>
      <c r="O1144" t="s">
        <v>264</v>
      </c>
      <c r="Q1144" t="s">
        <v>264</v>
      </c>
      <c r="R1144" t="s">
        <v>265</v>
      </c>
      <c r="S1144">
        <v>14882</v>
      </c>
      <c r="T1144" t="s">
        <v>266</v>
      </c>
      <c r="U1144" t="s">
        <v>267</v>
      </c>
      <c r="V1144" t="s">
        <v>273</v>
      </c>
      <c r="W1144" t="s">
        <v>274</v>
      </c>
      <c r="X1144">
        <v>1925425</v>
      </c>
      <c r="Y1144" s="6">
        <v>44774</v>
      </c>
      <c r="Z1144" t="s">
        <v>956</v>
      </c>
      <c r="AA1144">
        <v>1</v>
      </c>
      <c r="AB1144" t="s">
        <v>264</v>
      </c>
      <c r="AD1144" t="s">
        <v>959</v>
      </c>
      <c r="AE1144" t="s">
        <v>264</v>
      </c>
      <c r="AF1144" t="s">
        <v>264</v>
      </c>
      <c r="AH1144" t="s">
        <v>264</v>
      </c>
      <c r="AI1144">
        <v>55229662</v>
      </c>
      <c r="AJ1144" t="s">
        <v>546</v>
      </c>
      <c r="AL1144" t="s">
        <v>554</v>
      </c>
      <c r="AM1144" s="6">
        <v>44732</v>
      </c>
      <c r="AN1144" t="s">
        <v>268</v>
      </c>
      <c r="AO1144" t="s">
        <v>268</v>
      </c>
      <c r="AP1144">
        <v>1201</v>
      </c>
      <c r="AQ1144" t="s">
        <v>269</v>
      </c>
      <c r="AR1144" t="s">
        <v>974</v>
      </c>
      <c r="AU1144" t="s">
        <v>264</v>
      </c>
      <c r="AV1144" t="s">
        <v>270</v>
      </c>
      <c r="AX1144">
        <v>22002544</v>
      </c>
      <c r="AY1144">
        <v>920700</v>
      </c>
      <c r="AZ1144">
        <v>1201.9206999999999</v>
      </c>
      <c r="BA1144" s="28" t="s">
        <v>99</v>
      </c>
    </row>
    <row r="1145" spans="1:53">
      <c r="A1145" t="s">
        <v>956</v>
      </c>
      <c r="B1145" t="s">
        <v>957</v>
      </c>
      <c r="C1145">
        <v>22010636</v>
      </c>
      <c r="D1145">
        <v>1201</v>
      </c>
      <c r="E1145" s="6">
        <v>44774</v>
      </c>
      <c r="F1145" t="s">
        <v>975</v>
      </c>
      <c r="G1145">
        <v>8.36</v>
      </c>
      <c r="H1145">
        <v>8.36</v>
      </c>
      <c r="I1145" t="s">
        <v>263</v>
      </c>
      <c r="J1145" t="s">
        <v>263</v>
      </c>
      <c r="L1145" s="29">
        <v>124352</v>
      </c>
      <c r="N1145" s="29">
        <v>124352</v>
      </c>
      <c r="O1145" t="s">
        <v>264</v>
      </c>
      <c r="Q1145" t="s">
        <v>264</v>
      </c>
      <c r="R1145" t="s">
        <v>265</v>
      </c>
      <c r="S1145">
        <v>14882</v>
      </c>
      <c r="T1145" t="s">
        <v>266</v>
      </c>
      <c r="U1145" t="s">
        <v>267</v>
      </c>
      <c r="V1145" t="s">
        <v>273</v>
      </c>
      <c r="W1145" t="s">
        <v>274</v>
      </c>
      <c r="X1145">
        <v>1925425</v>
      </c>
      <c r="Y1145" s="6">
        <v>44774</v>
      </c>
      <c r="Z1145" t="s">
        <v>956</v>
      </c>
      <c r="AA1145">
        <v>1</v>
      </c>
      <c r="AB1145" t="s">
        <v>264</v>
      </c>
      <c r="AD1145" t="s">
        <v>959</v>
      </c>
      <c r="AE1145" t="s">
        <v>264</v>
      </c>
      <c r="AF1145" t="s">
        <v>264</v>
      </c>
      <c r="AH1145" t="s">
        <v>264</v>
      </c>
      <c r="AI1145">
        <v>55229662</v>
      </c>
      <c r="AJ1145" t="s">
        <v>546</v>
      </c>
      <c r="AL1145" t="s">
        <v>555</v>
      </c>
      <c r="AM1145" s="6">
        <v>44715</v>
      </c>
      <c r="AN1145" t="s">
        <v>268</v>
      </c>
      <c r="AO1145" t="s">
        <v>268</v>
      </c>
      <c r="AP1145">
        <v>1201</v>
      </c>
      <c r="AQ1145" t="s">
        <v>269</v>
      </c>
      <c r="AR1145" t="s">
        <v>976</v>
      </c>
      <c r="AU1145" t="s">
        <v>264</v>
      </c>
      <c r="AV1145" t="s">
        <v>270</v>
      </c>
      <c r="AX1145">
        <v>22002544</v>
      </c>
      <c r="AY1145">
        <v>920700</v>
      </c>
      <c r="AZ1145">
        <v>1201.9206999999999</v>
      </c>
      <c r="BA1145" s="28" t="s">
        <v>99</v>
      </c>
    </row>
    <row r="1146" spans="1:53">
      <c r="A1146" t="s">
        <v>956</v>
      </c>
      <c r="B1146" t="s">
        <v>957</v>
      </c>
      <c r="C1146">
        <v>22010637</v>
      </c>
      <c r="D1146">
        <v>1201</v>
      </c>
      <c r="E1146" s="6">
        <v>44774</v>
      </c>
      <c r="F1146" t="s">
        <v>977</v>
      </c>
      <c r="G1146">
        <v>4.66</v>
      </c>
      <c r="H1146">
        <v>4.66</v>
      </c>
      <c r="I1146" t="s">
        <v>263</v>
      </c>
      <c r="J1146" t="s">
        <v>263</v>
      </c>
      <c r="L1146" s="29">
        <v>69293</v>
      </c>
      <c r="N1146" s="29">
        <v>69293</v>
      </c>
      <c r="O1146" t="s">
        <v>264</v>
      </c>
      <c r="Q1146" t="s">
        <v>264</v>
      </c>
      <c r="R1146" t="s">
        <v>265</v>
      </c>
      <c r="S1146">
        <v>14882</v>
      </c>
      <c r="T1146" t="s">
        <v>266</v>
      </c>
      <c r="U1146" t="s">
        <v>267</v>
      </c>
      <c r="V1146" t="s">
        <v>273</v>
      </c>
      <c r="W1146" t="s">
        <v>274</v>
      </c>
      <c r="X1146">
        <v>1925425</v>
      </c>
      <c r="Y1146" s="6">
        <v>44774</v>
      </c>
      <c r="Z1146" t="s">
        <v>956</v>
      </c>
      <c r="AA1146">
        <v>1</v>
      </c>
      <c r="AB1146" t="s">
        <v>264</v>
      </c>
      <c r="AD1146" t="s">
        <v>959</v>
      </c>
      <c r="AE1146" t="s">
        <v>264</v>
      </c>
      <c r="AF1146" t="s">
        <v>264</v>
      </c>
      <c r="AH1146" t="s">
        <v>264</v>
      </c>
      <c r="AI1146">
        <v>55229662</v>
      </c>
      <c r="AJ1146" t="s">
        <v>546</v>
      </c>
      <c r="AL1146" t="s">
        <v>556</v>
      </c>
      <c r="AM1146" s="6">
        <v>44715</v>
      </c>
      <c r="AN1146" t="s">
        <v>268</v>
      </c>
      <c r="AO1146" t="s">
        <v>268</v>
      </c>
      <c r="AP1146">
        <v>1201</v>
      </c>
      <c r="AQ1146" t="s">
        <v>269</v>
      </c>
      <c r="AR1146" t="s">
        <v>978</v>
      </c>
      <c r="AU1146" t="s">
        <v>264</v>
      </c>
      <c r="AV1146" t="s">
        <v>270</v>
      </c>
      <c r="AX1146">
        <v>22002544</v>
      </c>
      <c r="AY1146">
        <v>920700</v>
      </c>
      <c r="AZ1146">
        <v>1201.9206999999999</v>
      </c>
      <c r="BA1146" s="28" t="s">
        <v>99</v>
      </c>
    </row>
    <row r="1147" spans="1:53">
      <c r="A1147" t="s">
        <v>956</v>
      </c>
      <c r="B1147" t="s">
        <v>957</v>
      </c>
      <c r="C1147">
        <v>22010638</v>
      </c>
      <c r="D1147">
        <v>1201</v>
      </c>
      <c r="E1147" s="6">
        <v>44774</v>
      </c>
      <c r="F1147" t="s">
        <v>979</v>
      </c>
      <c r="G1147">
        <v>26.91</v>
      </c>
      <c r="H1147">
        <v>26.91</v>
      </c>
      <c r="I1147" t="s">
        <v>263</v>
      </c>
      <c r="J1147" t="s">
        <v>263</v>
      </c>
      <c r="L1147" s="29">
        <v>400455</v>
      </c>
      <c r="N1147" s="29">
        <v>400455</v>
      </c>
      <c r="O1147" t="s">
        <v>264</v>
      </c>
      <c r="Q1147" t="s">
        <v>264</v>
      </c>
      <c r="R1147" t="s">
        <v>265</v>
      </c>
      <c r="S1147">
        <v>14882</v>
      </c>
      <c r="T1147" t="s">
        <v>266</v>
      </c>
      <c r="U1147" t="s">
        <v>267</v>
      </c>
      <c r="V1147" t="s">
        <v>273</v>
      </c>
      <c r="W1147" t="s">
        <v>274</v>
      </c>
      <c r="X1147">
        <v>1925425</v>
      </c>
      <c r="Y1147" s="6">
        <v>44774</v>
      </c>
      <c r="Z1147" t="s">
        <v>956</v>
      </c>
      <c r="AA1147">
        <v>1</v>
      </c>
      <c r="AB1147" t="s">
        <v>264</v>
      </c>
      <c r="AD1147" t="s">
        <v>959</v>
      </c>
      <c r="AE1147" t="s">
        <v>264</v>
      </c>
      <c r="AF1147" t="s">
        <v>264</v>
      </c>
      <c r="AH1147" t="s">
        <v>264</v>
      </c>
      <c r="AI1147">
        <v>55229662</v>
      </c>
      <c r="AJ1147" t="s">
        <v>546</v>
      </c>
      <c r="AL1147" t="s">
        <v>557</v>
      </c>
      <c r="AM1147" s="6">
        <v>44715</v>
      </c>
      <c r="AN1147" t="s">
        <v>268</v>
      </c>
      <c r="AO1147" t="s">
        <v>268</v>
      </c>
      <c r="AP1147">
        <v>1201</v>
      </c>
      <c r="AQ1147" t="s">
        <v>269</v>
      </c>
      <c r="AR1147" t="s">
        <v>980</v>
      </c>
      <c r="AU1147" t="s">
        <v>264</v>
      </c>
      <c r="AV1147" t="s">
        <v>270</v>
      </c>
      <c r="AX1147">
        <v>22002544</v>
      </c>
      <c r="AY1147">
        <v>920700</v>
      </c>
      <c r="AZ1147">
        <v>1201.9206999999999</v>
      </c>
      <c r="BA1147" s="28" t="s">
        <v>99</v>
      </c>
    </row>
    <row r="1148" spans="1:53">
      <c r="A1148" t="s">
        <v>956</v>
      </c>
      <c r="B1148" t="s">
        <v>957</v>
      </c>
      <c r="C1148">
        <v>22010639</v>
      </c>
      <c r="D1148">
        <v>1201</v>
      </c>
      <c r="E1148" s="6">
        <v>44774</v>
      </c>
      <c r="F1148" t="s">
        <v>981</v>
      </c>
      <c r="G1148">
        <v>41.18</v>
      </c>
      <c r="H1148">
        <v>41.18</v>
      </c>
      <c r="I1148" t="s">
        <v>263</v>
      </c>
      <c r="J1148" t="s">
        <v>263</v>
      </c>
      <c r="L1148" s="29">
        <v>612865</v>
      </c>
      <c r="N1148" s="29">
        <v>612865</v>
      </c>
      <c r="O1148" t="s">
        <v>264</v>
      </c>
      <c r="Q1148" t="s">
        <v>264</v>
      </c>
      <c r="R1148" t="s">
        <v>265</v>
      </c>
      <c r="S1148">
        <v>14882</v>
      </c>
      <c r="T1148" t="s">
        <v>266</v>
      </c>
      <c r="U1148" t="s">
        <v>267</v>
      </c>
      <c r="V1148" t="s">
        <v>273</v>
      </c>
      <c r="W1148" t="s">
        <v>274</v>
      </c>
      <c r="X1148">
        <v>1925425</v>
      </c>
      <c r="Y1148" s="6">
        <v>44774</v>
      </c>
      <c r="Z1148" t="s">
        <v>956</v>
      </c>
      <c r="AA1148">
        <v>1</v>
      </c>
      <c r="AB1148" t="s">
        <v>264</v>
      </c>
      <c r="AD1148" t="s">
        <v>959</v>
      </c>
      <c r="AE1148" t="s">
        <v>264</v>
      </c>
      <c r="AF1148" t="s">
        <v>264</v>
      </c>
      <c r="AH1148" t="s">
        <v>264</v>
      </c>
      <c r="AI1148">
        <v>55229662</v>
      </c>
      <c r="AJ1148" t="s">
        <v>546</v>
      </c>
      <c r="AL1148" t="s">
        <v>558</v>
      </c>
      <c r="AM1148" s="6">
        <v>44715</v>
      </c>
      <c r="AN1148" t="s">
        <v>268</v>
      </c>
      <c r="AO1148" t="s">
        <v>268</v>
      </c>
      <c r="AP1148">
        <v>1201</v>
      </c>
      <c r="AQ1148" t="s">
        <v>269</v>
      </c>
      <c r="AR1148" t="s">
        <v>982</v>
      </c>
      <c r="AU1148" t="s">
        <v>264</v>
      </c>
      <c r="AV1148" t="s">
        <v>270</v>
      </c>
      <c r="AX1148">
        <v>22002544</v>
      </c>
      <c r="AY1148">
        <v>920700</v>
      </c>
      <c r="AZ1148">
        <v>1201.9206999999999</v>
      </c>
      <c r="BA1148" s="28" t="s">
        <v>99</v>
      </c>
    </row>
    <row r="1149" spans="1:53">
      <c r="A1149" t="s">
        <v>956</v>
      </c>
      <c r="B1149" t="s">
        <v>957</v>
      </c>
      <c r="C1149">
        <v>22010640</v>
      </c>
      <c r="D1149">
        <v>1201</v>
      </c>
      <c r="E1149" s="6">
        <v>44774</v>
      </c>
      <c r="F1149" t="s">
        <v>983</v>
      </c>
      <c r="G1149">
        <v>38.79</v>
      </c>
      <c r="H1149">
        <v>38.79</v>
      </c>
      <c r="I1149" t="s">
        <v>263</v>
      </c>
      <c r="J1149" t="s">
        <v>263</v>
      </c>
      <c r="L1149" s="29">
        <v>577291</v>
      </c>
      <c r="N1149" s="29">
        <v>577291</v>
      </c>
      <c r="O1149" t="s">
        <v>264</v>
      </c>
      <c r="Q1149" t="s">
        <v>264</v>
      </c>
      <c r="R1149" t="s">
        <v>265</v>
      </c>
      <c r="S1149">
        <v>14882</v>
      </c>
      <c r="T1149" t="s">
        <v>266</v>
      </c>
      <c r="U1149" t="s">
        <v>267</v>
      </c>
      <c r="V1149" t="s">
        <v>273</v>
      </c>
      <c r="W1149" t="s">
        <v>274</v>
      </c>
      <c r="X1149">
        <v>1925425</v>
      </c>
      <c r="Y1149" s="6">
        <v>44774</v>
      </c>
      <c r="Z1149" t="s">
        <v>956</v>
      </c>
      <c r="AA1149">
        <v>1</v>
      </c>
      <c r="AB1149" t="s">
        <v>264</v>
      </c>
      <c r="AD1149" t="s">
        <v>959</v>
      </c>
      <c r="AE1149" t="s">
        <v>264</v>
      </c>
      <c r="AF1149" t="s">
        <v>264</v>
      </c>
      <c r="AH1149" t="s">
        <v>264</v>
      </c>
      <c r="AI1149">
        <v>55229662</v>
      </c>
      <c r="AJ1149" t="s">
        <v>546</v>
      </c>
      <c r="AL1149" t="s">
        <v>559</v>
      </c>
      <c r="AM1149" s="6">
        <v>44715</v>
      </c>
      <c r="AN1149" t="s">
        <v>268</v>
      </c>
      <c r="AO1149" t="s">
        <v>268</v>
      </c>
      <c r="AP1149">
        <v>1201</v>
      </c>
      <c r="AQ1149" t="s">
        <v>269</v>
      </c>
      <c r="AR1149" t="s">
        <v>984</v>
      </c>
      <c r="AU1149" t="s">
        <v>264</v>
      </c>
      <c r="AV1149" t="s">
        <v>270</v>
      </c>
      <c r="AX1149">
        <v>22002544</v>
      </c>
      <c r="AY1149">
        <v>920700</v>
      </c>
      <c r="AZ1149">
        <v>1201.9206999999999</v>
      </c>
      <c r="BA1149" s="28" t="s">
        <v>99</v>
      </c>
    </row>
    <row r="1150" spans="1:53">
      <c r="A1150" t="s">
        <v>956</v>
      </c>
      <c r="B1150" t="s">
        <v>957</v>
      </c>
      <c r="C1150">
        <v>22010681</v>
      </c>
      <c r="D1150">
        <v>1201</v>
      </c>
      <c r="E1150" s="6">
        <v>44775</v>
      </c>
      <c r="F1150" t="s">
        <v>985</v>
      </c>
      <c r="G1150">
        <v>1.2</v>
      </c>
      <c r="H1150">
        <v>1.2</v>
      </c>
      <c r="I1150" t="s">
        <v>263</v>
      </c>
      <c r="J1150" t="s">
        <v>263</v>
      </c>
      <c r="L1150" s="29">
        <v>17875</v>
      </c>
      <c r="N1150" s="29">
        <v>17875</v>
      </c>
      <c r="O1150" t="s">
        <v>264</v>
      </c>
      <c r="Q1150" t="s">
        <v>264</v>
      </c>
      <c r="R1150" t="s">
        <v>265</v>
      </c>
      <c r="S1150">
        <v>14882</v>
      </c>
      <c r="T1150" t="s">
        <v>266</v>
      </c>
      <c r="U1150" t="s">
        <v>267</v>
      </c>
      <c r="V1150" t="s">
        <v>273</v>
      </c>
      <c r="W1150" t="s">
        <v>274</v>
      </c>
      <c r="X1150">
        <v>1926289</v>
      </c>
      <c r="Y1150" s="6">
        <v>44775</v>
      </c>
      <c r="Z1150" t="s">
        <v>956</v>
      </c>
      <c r="AA1150">
        <v>1</v>
      </c>
      <c r="AB1150" t="s">
        <v>264</v>
      </c>
      <c r="AD1150" t="s">
        <v>959</v>
      </c>
      <c r="AE1150" t="s">
        <v>264</v>
      </c>
      <c r="AF1150" t="s">
        <v>264</v>
      </c>
      <c r="AH1150" t="s">
        <v>264</v>
      </c>
      <c r="AI1150">
        <v>54001144</v>
      </c>
      <c r="AJ1150" t="s">
        <v>574</v>
      </c>
      <c r="AL1150" t="s">
        <v>575</v>
      </c>
      <c r="AM1150" s="6">
        <v>44762</v>
      </c>
      <c r="AN1150" t="s">
        <v>268</v>
      </c>
      <c r="AO1150" t="s">
        <v>268</v>
      </c>
      <c r="AP1150">
        <v>1201</v>
      </c>
      <c r="AQ1150" t="s">
        <v>269</v>
      </c>
      <c r="AR1150" t="s">
        <v>986</v>
      </c>
      <c r="AU1150" t="s">
        <v>264</v>
      </c>
      <c r="AV1150" t="s">
        <v>270</v>
      </c>
      <c r="AX1150">
        <v>22002621</v>
      </c>
      <c r="AY1150">
        <v>920700</v>
      </c>
      <c r="AZ1150">
        <v>1201.9206999999999</v>
      </c>
      <c r="BA1150" s="28" t="s">
        <v>99</v>
      </c>
    </row>
    <row r="1151" spans="1:53">
      <c r="A1151" t="s">
        <v>956</v>
      </c>
      <c r="B1151" t="s">
        <v>957</v>
      </c>
      <c r="C1151">
        <v>22010684</v>
      </c>
      <c r="D1151">
        <v>1201</v>
      </c>
      <c r="E1151" s="6">
        <v>44775</v>
      </c>
      <c r="F1151" t="s">
        <v>987</v>
      </c>
      <c r="G1151">
        <v>4.54</v>
      </c>
      <c r="H1151">
        <v>4.54</v>
      </c>
      <c r="I1151" t="s">
        <v>263</v>
      </c>
      <c r="J1151" t="s">
        <v>263</v>
      </c>
      <c r="L1151" s="29">
        <v>67613</v>
      </c>
      <c r="N1151" s="29">
        <v>67613</v>
      </c>
      <c r="O1151" t="s">
        <v>264</v>
      </c>
      <c r="Q1151" t="s">
        <v>264</v>
      </c>
      <c r="R1151" t="s">
        <v>265</v>
      </c>
      <c r="S1151">
        <v>14882</v>
      </c>
      <c r="T1151" t="s">
        <v>266</v>
      </c>
      <c r="U1151" t="s">
        <v>267</v>
      </c>
      <c r="V1151" t="s">
        <v>273</v>
      </c>
      <c r="W1151" t="s">
        <v>274</v>
      </c>
      <c r="X1151">
        <v>1926292</v>
      </c>
      <c r="Y1151" s="6">
        <v>44775</v>
      </c>
      <c r="Z1151" t="s">
        <v>956</v>
      </c>
      <c r="AA1151">
        <v>1</v>
      </c>
      <c r="AB1151" t="s">
        <v>264</v>
      </c>
      <c r="AD1151" t="s">
        <v>959</v>
      </c>
      <c r="AE1151" t="s">
        <v>264</v>
      </c>
      <c r="AF1151" t="s">
        <v>264</v>
      </c>
      <c r="AH1151" t="s">
        <v>264</v>
      </c>
      <c r="AI1151">
        <v>56039684</v>
      </c>
      <c r="AJ1151" t="s">
        <v>707</v>
      </c>
      <c r="AL1151" t="s">
        <v>776</v>
      </c>
      <c r="AM1151" s="6">
        <v>44769</v>
      </c>
      <c r="AN1151" t="s">
        <v>268</v>
      </c>
      <c r="AO1151" t="s">
        <v>268</v>
      </c>
      <c r="AP1151">
        <v>1201</v>
      </c>
      <c r="AQ1151" t="s">
        <v>269</v>
      </c>
      <c r="AR1151" t="s">
        <v>264</v>
      </c>
      <c r="AU1151" t="s">
        <v>264</v>
      </c>
      <c r="AV1151" t="s">
        <v>270</v>
      </c>
      <c r="AX1151">
        <v>22002681</v>
      </c>
      <c r="AY1151">
        <v>920700</v>
      </c>
      <c r="AZ1151">
        <v>1201.9206999999999</v>
      </c>
      <c r="BA1151" s="28" t="s">
        <v>99</v>
      </c>
    </row>
    <row r="1152" spans="1:53">
      <c r="A1152" t="s">
        <v>956</v>
      </c>
      <c r="B1152" t="s">
        <v>957</v>
      </c>
      <c r="C1152">
        <v>22010722</v>
      </c>
      <c r="D1152">
        <v>1201</v>
      </c>
      <c r="E1152" s="6">
        <v>44775</v>
      </c>
      <c r="F1152" t="s">
        <v>988</v>
      </c>
      <c r="G1152">
        <v>1.1499999999999999</v>
      </c>
      <c r="H1152">
        <v>1.1499999999999999</v>
      </c>
      <c r="I1152" t="s">
        <v>263</v>
      </c>
      <c r="J1152" t="s">
        <v>263</v>
      </c>
      <c r="L1152" s="29">
        <v>17147</v>
      </c>
      <c r="N1152" s="29">
        <v>17147</v>
      </c>
      <c r="O1152" t="s">
        <v>264</v>
      </c>
      <c r="Q1152" t="s">
        <v>264</v>
      </c>
      <c r="R1152" t="s">
        <v>265</v>
      </c>
      <c r="S1152">
        <v>14882</v>
      </c>
      <c r="T1152" t="s">
        <v>266</v>
      </c>
      <c r="U1152" t="s">
        <v>267</v>
      </c>
      <c r="V1152" t="s">
        <v>273</v>
      </c>
      <c r="W1152" t="s">
        <v>274</v>
      </c>
      <c r="X1152">
        <v>1926602</v>
      </c>
      <c r="Y1152" s="6">
        <v>44775</v>
      </c>
      <c r="Z1152" t="s">
        <v>956</v>
      </c>
      <c r="AA1152">
        <v>1</v>
      </c>
      <c r="AB1152" t="s">
        <v>264</v>
      </c>
      <c r="AD1152" t="s">
        <v>959</v>
      </c>
      <c r="AE1152" t="s">
        <v>264</v>
      </c>
      <c r="AF1152" t="s">
        <v>264</v>
      </c>
      <c r="AH1152" t="s">
        <v>264</v>
      </c>
      <c r="AI1152">
        <v>54000374</v>
      </c>
      <c r="AJ1152" t="s">
        <v>578</v>
      </c>
      <c r="AL1152">
        <v>887689902</v>
      </c>
      <c r="AM1152" s="6">
        <v>44769</v>
      </c>
      <c r="AN1152" t="s">
        <v>268</v>
      </c>
      <c r="AO1152" t="s">
        <v>268</v>
      </c>
      <c r="AP1152">
        <v>1201</v>
      </c>
      <c r="AQ1152" t="s">
        <v>269</v>
      </c>
      <c r="AR1152" t="s">
        <v>989</v>
      </c>
      <c r="AU1152" t="s">
        <v>264</v>
      </c>
      <c r="AV1152" t="s">
        <v>270</v>
      </c>
      <c r="AX1152">
        <v>22002683</v>
      </c>
      <c r="AY1152">
        <v>920700</v>
      </c>
      <c r="AZ1152">
        <v>1201.9206999999999</v>
      </c>
      <c r="BA1152" s="28" t="s">
        <v>99</v>
      </c>
    </row>
    <row r="1153" spans="1:53">
      <c r="A1153" t="s">
        <v>956</v>
      </c>
      <c r="B1153" t="s">
        <v>957</v>
      </c>
      <c r="C1153">
        <v>22010723</v>
      </c>
      <c r="D1153">
        <v>1201</v>
      </c>
      <c r="E1153" s="6">
        <v>44775</v>
      </c>
      <c r="F1153" t="s">
        <v>990</v>
      </c>
      <c r="G1153">
        <v>2.2000000000000002</v>
      </c>
      <c r="H1153">
        <v>2.2000000000000002</v>
      </c>
      <c r="I1153" t="s">
        <v>263</v>
      </c>
      <c r="J1153" t="s">
        <v>263</v>
      </c>
      <c r="L1153" s="29">
        <v>32806</v>
      </c>
      <c r="N1153" s="29">
        <v>32806</v>
      </c>
      <c r="O1153" t="s">
        <v>264</v>
      </c>
      <c r="Q1153" t="s">
        <v>264</v>
      </c>
      <c r="R1153" t="s">
        <v>265</v>
      </c>
      <c r="S1153">
        <v>14882</v>
      </c>
      <c r="T1153" t="s">
        <v>266</v>
      </c>
      <c r="U1153" t="s">
        <v>267</v>
      </c>
      <c r="V1153" t="s">
        <v>273</v>
      </c>
      <c r="W1153" t="s">
        <v>274</v>
      </c>
      <c r="X1153">
        <v>1926602</v>
      </c>
      <c r="Y1153" s="6">
        <v>44775</v>
      </c>
      <c r="Z1153" t="s">
        <v>956</v>
      </c>
      <c r="AA1153">
        <v>1</v>
      </c>
      <c r="AB1153" t="s">
        <v>264</v>
      </c>
      <c r="AD1153" t="s">
        <v>959</v>
      </c>
      <c r="AE1153" t="s">
        <v>264</v>
      </c>
      <c r="AF1153" t="s">
        <v>264</v>
      </c>
      <c r="AH1153" t="s">
        <v>264</v>
      </c>
      <c r="AI1153">
        <v>54000374</v>
      </c>
      <c r="AJ1153" t="s">
        <v>578</v>
      </c>
      <c r="AL1153">
        <v>887689903</v>
      </c>
      <c r="AM1153" s="6">
        <v>44769</v>
      </c>
      <c r="AN1153" t="s">
        <v>268</v>
      </c>
      <c r="AO1153" t="s">
        <v>268</v>
      </c>
      <c r="AP1153">
        <v>1201</v>
      </c>
      <c r="AQ1153" t="s">
        <v>269</v>
      </c>
      <c r="AR1153" t="s">
        <v>991</v>
      </c>
      <c r="AU1153" t="s">
        <v>264</v>
      </c>
      <c r="AV1153" t="s">
        <v>270</v>
      </c>
      <c r="AX1153">
        <v>22002683</v>
      </c>
      <c r="AY1153">
        <v>920700</v>
      </c>
      <c r="AZ1153">
        <v>1201.9206999999999</v>
      </c>
      <c r="BA1153" s="28" t="s">
        <v>99</v>
      </c>
    </row>
    <row r="1154" spans="1:53">
      <c r="A1154" t="s">
        <v>956</v>
      </c>
      <c r="B1154" t="s">
        <v>957</v>
      </c>
      <c r="C1154">
        <v>22010728</v>
      </c>
      <c r="D1154">
        <v>1201</v>
      </c>
      <c r="E1154" s="6">
        <v>44775</v>
      </c>
      <c r="F1154" t="s">
        <v>992</v>
      </c>
      <c r="G1154">
        <v>3.89</v>
      </c>
      <c r="H1154">
        <v>3.89</v>
      </c>
      <c r="I1154" t="s">
        <v>263</v>
      </c>
      <c r="J1154" t="s">
        <v>263</v>
      </c>
      <c r="L1154" s="29">
        <v>57891</v>
      </c>
      <c r="N1154" s="29">
        <v>57891</v>
      </c>
      <c r="O1154" t="s">
        <v>264</v>
      </c>
      <c r="Q1154" t="s">
        <v>264</v>
      </c>
      <c r="R1154" t="s">
        <v>265</v>
      </c>
      <c r="S1154">
        <v>14882</v>
      </c>
      <c r="T1154" t="s">
        <v>266</v>
      </c>
      <c r="U1154" t="s">
        <v>267</v>
      </c>
      <c r="V1154" t="s">
        <v>273</v>
      </c>
      <c r="W1154" t="s">
        <v>274</v>
      </c>
      <c r="X1154">
        <v>1926619</v>
      </c>
      <c r="Y1154" s="6">
        <v>44775</v>
      </c>
      <c r="Z1154" t="s">
        <v>956</v>
      </c>
      <c r="AA1154">
        <v>1</v>
      </c>
      <c r="AB1154" t="s">
        <v>264</v>
      </c>
      <c r="AD1154" t="s">
        <v>959</v>
      </c>
      <c r="AE1154" t="s">
        <v>264</v>
      </c>
      <c r="AF1154" t="s">
        <v>264</v>
      </c>
      <c r="AH1154" t="s">
        <v>264</v>
      </c>
      <c r="AI1154">
        <v>54000374</v>
      </c>
      <c r="AJ1154" t="s">
        <v>578</v>
      </c>
      <c r="AL1154">
        <v>887466108</v>
      </c>
      <c r="AM1154" s="6">
        <v>44678</v>
      </c>
      <c r="AN1154" t="s">
        <v>268</v>
      </c>
      <c r="AO1154" t="s">
        <v>268</v>
      </c>
      <c r="AP1154">
        <v>1201</v>
      </c>
      <c r="AQ1154" t="s">
        <v>269</v>
      </c>
      <c r="AR1154" t="s">
        <v>993</v>
      </c>
      <c r="AU1154" t="s">
        <v>264</v>
      </c>
      <c r="AV1154" t="s">
        <v>270</v>
      </c>
      <c r="AX1154">
        <v>22002616</v>
      </c>
      <c r="AY1154">
        <v>920700</v>
      </c>
      <c r="AZ1154">
        <v>1201.9206999999999</v>
      </c>
      <c r="BA1154" s="28" t="s">
        <v>99</v>
      </c>
    </row>
    <row r="1155" spans="1:53">
      <c r="A1155" t="s">
        <v>956</v>
      </c>
      <c r="B1155" t="s">
        <v>957</v>
      </c>
      <c r="C1155">
        <v>22010730</v>
      </c>
      <c r="D1155">
        <v>1201</v>
      </c>
      <c r="E1155" s="6">
        <v>44775</v>
      </c>
      <c r="F1155" t="s">
        <v>994</v>
      </c>
      <c r="G1155">
        <v>4.62</v>
      </c>
      <c r="H1155">
        <v>4.62</v>
      </c>
      <c r="I1155" t="s">
        <v>263</v>
      </c>
      <c r="J1155" t="s">
        <v>263</v>
      </c>
      <c r="L1155" s="29">
        <v>68720</v>
      </c>
      <c r="N1155" s="29">
        <v>68720</v>
      </c>
      <c r="O1155" t="s">
        <v>264</v>
      </c>
      <c r="Q1155" t="s">
        <v>264</v>
      </c>
      <c r="R1155" t="s">
        <v>265</v>
      </c>
      <c r="S1155">
        <v>14882</v>
      </c>
      <c r="T1155" t="s">
        <v>266</v>
      </c>
      <c r="U1155" t="s">
        <v>267</v>
      </c>
      <c r="V1155" t="s">
        <v>273</v>
      </c>
      <c r="W1155" t="s">
        <v>274</v>
      </c>
      <c r="X1155">
        <v>1926619</v>
      </c>
      <c r="Y1155" s="6">
        <v>44775</v>
      </c>
      <c r="Z1155" t="s">
        <v>956</v>
      </c>
      <c r="AA1155">
        <v>1</v>
      </c>
      <c r="AB1155" t="s">
        <v>264</v>
      </c>
      <c r="AD1155" t="s">
        <v>959</v>
      </c>
      <c r="AE1155" t="s">
        <v>264</v>
      </c>
      <c r="AF1155" t="s">
        <v>264</v>
      </c>
      <c r="AH1155" t="s">
        <v>264</v>
      </c>
      <c r="AI1155">
        <v>54000374</v>
      </c>
      <c r="AJ1155" t="s">
        <v>578</v>
      </c>
      <c r="AL1155">
        <v>887655607</v>
      </c>
      <c r="AM1155" s="6">
        <v>44755</v>
      </c>
      <c r="AN1155" t="s">
        <v>268</v>
      </c>
      <c r="AO1155" t="s">
        <v>268</v>
      </c>
      <c r="AP1155">
        <v>1201</v>
      </c>
      <c r="AQ1155" t="s">
        <v>269</v>
      </c>
      <c r="AR1155" t="s">
        <v>995</v>
      </c>
      <c r="AU1155" t="s">
        <v>264</v>
      </c>
      <c r="AV1155" t="s">
        <v>270</v>
      </c>
      <c r="AX1155">
        <v>22002616</v>
      </c>
      <c r="AY1155">
        <v>920700</v>
      </c>
      <c r="AZ1155">
        <v>1201.9206999999999</v>
      </c>
      <c r="BA1155" s="28" t="s">
        <v>99</v>
      </c>
    </row>
    <row r="1156" spans="1:53">
      <c r="A1156" t="s">
        <v>956</v>
      </c>
      <c r="B1156" t="s">
        <v>957</v>
      </c>
      <c r="C1156">
        <v>22010731</v>
      </c>
      <c r="D1156">
        <v>1201</v>
      </c>
      <c r="E1156" s="6">
        <v>44775</v>
      </c>
      <c r="F1156" t="s">
        <v>996</v>
      </c>
      <c r="G1156">
        <v>7.76</v>
      </c>
      <c r="H1156">
        <v>7.76</v>
      </c>
      <c r="I1156" t="s">
        <v>263</v>
      </c>
      <c r="J1156" t="s">
        <v>263</v>
      </c>
      <c r="L1156" s="29">
        <v>115500</v>
      </c>
      <c r="N1156" s="29">
        <v>115500</v>
      </c>
      <c r="O1156" t="s">
        <v>264</v>
      </c>
      <c r="Q1156" t="s">
        <v>264</v>
      </c>
      <c r="R1156" t="s">
        <v>265</v>
      </c>
      <c r="S1156">
        <v>14882</v>
      </c>
      <c r="T1156" t="s">
        <v>266</v>
      </c>
      <c r="U1156" t="s">
        <v>267</v>
      </c>
      <c r="V1156" t="s">
        <v>273</v>
      </c>
      <c r="W1156" t="s">
        <v>274</v>
      </c>
      <c r="X1156">
        <v>1926619</v>
      </c>
      <c r="Y1156" s="6">
        <v>44775</v>
      </c>
      <c r="Z1156" t="s">
        <v>956</v>
      </c>
      <c r="AA1156">
        <v>1</v>
      </c>
      <c r="AB1156" t="s">
        <v>264</v>
      </c>
      <c r="AD1156" t="s">
        <v>959</v>
      </c>
      <c r="AE1156" t="s">
        <v>264</v>
      </c>
      <c r="AF1156" t="s">
        <v>264</v>
      </c>
      <c r="AH1156" t="s">
        <v>264</v>
      </c>
      <c r="AI1156">
        <v>54000374</v>
      </c>
      <c r="AJ1156" t="s">
        <v>578</v>
      </c>
      <c r="AL1156">
        <v>887635599</v>
      </c>
      <c r="AM1156" s="6">
        <v>44748</v>
      </c>
      <c r="AN1156" t="s">
        <v>268</v>
      </c>
      <c r="AO1156" t="s">
        <v>268</v>
      </c>
      <c r="AP1156">
        <v>1201</v>
      </c>
      <c r="AQ1156" t="s">
        <v>269</v>
      </c>
      <c r="AR1156" t="s">
        <v>997</v>
      </c>
      <c r="AU1156" t="s">
        <v>264</v>
      </c>
      <c r="AV1156" t="s">
        <v>270</v>
      </c>
      <c r="AX1156">
        <v>22002666</v>
      </c>
      <c r="AY1156">
        <v>920700</v>
      </c>
      <c r="AZ1156">
        <v>1201.9206999999999</v>
      </c>
      <c r="BA1156" s="28" t="s">
        <v>99</v>
      </c>
    </row>
    <row r="1157" spans="1:53">
      <c r="A1157" t="s">
        <v>956</v>
      </c>
      <c r="B1157" t="s">
        <v>957</v>
      </c>
      <c r="C1157">
        <v>22010733</v>
      </c>
      <c r="D1157">
        <v>1201</v>
      </c>
      <c r="E1157" s="6">
        <v>44775</v>
      </c>
      <c r="F1157" t="s">
        <v>998</v>
      </c>
      <c r="G1157">
        <v>1.04</v>
      </c>
      <c r="H1157">
        <v>1.04</v>
      </c>
      <c r="I1157" t="s">
        <v>263</v>
      </c>
      <c r="J1157" t="s">
        <v>263</v>
      </c>
      <c r="L1157" s="29">
        <v>15534</v>
      </c>
      <c r="N1157" s="29">
        <v>15534</v>
      </c>
      <c r="O1157" t="s">
        <v>264</v>
      </c>
      <c r="Q1157" t="s">
        <v>264</v>
      </c>
      <c r="R1157" t="s">
        <v>265</v>
      </c>
      <c r="S1157">
        <v>14882</v>
      </c>
      <c r="T1157" t="s">
        <v>266</v>
      </c>
      <c r="U1157" t="s">
        <v>267</v>
      </c>
      <c r="V1157" t="s">
        <v>273</v>
      </c>
      <c r="W1157" t="s">
        <v>274</v>
      </c>
      <c r="X1157">
        <v>1926619</v>
      </c>
      <c r="Y1157" s="6">
        <v>44775</v>
      </c>
      <c r="Z1157" t="s">
        <v>956</v>
      </c>
      <c r="AA1157">
        <v>1</v>
      </c>
      <c r="AB1157" t="s">
        <v>264</v>
      </c>
      <c r="AD1157" t="s">
        <v>959</v>
      </c>
      <c r="AE1157" t="s">
        <v>264</v>
      </c>
      <c r="AF1157" t="s">
        <v>264</v>
      </c>
      <c r="AH1157" t="s">
        <v>264</v>
      </c>
      <c r="AI1157">
        <v>54000374</v>
      </c>
      <c r="AJ1157" t="s">
        <v>578</v>
      </c>
      <c r="AL1157">
        <v>887655606</v>
      </c>
      <c r="AM1157" s="6">
        <v>44755</v>
      </c>
      <c r="AN1157" t="s">
        <v>268</v>
      </c>
      <c r="AO1157" t="s">
        <v>268</v>
      </c>
      <c r="AP1157">
        <v>1201</v>
      </c>
      <c r="AQ1157" t="s">
        <v>269</v>
      </c>
      <c r="AR1157" t="s">
        <v>999</v>
      </c>
      <c r="AU1157" t="s">
        <v>264</v>
      </c>
      <c r="AV1157" t="s">
        <v>270</v>
      </c>
      <c r="AX1157">
        <v>22002666</v>
      </c>
      <c r="AY1157">
        <v>920700</v>
      </c>
      <c r="AZ1157">
        <v>1201.9206999999999</v>
      </c>
      <c r="BA1157" s="28" t="s">
        <v>99</v>
      </c>
    </row>
    <row r="1158" spans="1:53">
      <c r="A1158" t="s">
        <v>956</v>
      </c>
      <c r="B1158" t="s">
        <v>957</v>
      </c>
      <c r="C1158">
        <v>22010734</v>
      </c>
      <c r="D1158">
        <v>1201</v>
      </c>
      <c r="E1158" s="6">
        <v>44775</v>
      </c>
      <c r="F1158" t="s">
        <v>1000</v>
      </c>
      <c r="G1158">
        <v>5.27</v>
      </c>
      <c r="H1158">
        <v>5.27</v>
      </c>
      <c r="I1158" t="s">
        <v>263</v>
      </c>
      <c r="J1158" t="s">
        <v>263</v>
      </c>
      <c r="L1158" s="29">
        <v>78428</v>
      </c>
      <c r="N1158" s="29">
        <v>78428</v>
      </c>
      <c r="O1158" t="s">
        <v>264</v>
      </c>
      <c r="Q1158" t="s">
        <v>264</v>
      </c>
      <c r="R1158" t="s">
        <v>265</v>
      </c>
      <c r="S1158">
        <v>14882</v>
      </c>
      <c r="T1158" t="s">
        <v>266</v>
      </c>
      <c r="U1158" t="s">
        <v>267</v>
      </c>
      <c r="V1158" t="s">
        <v>273</v>
      </c>
      <c r="W1158" t="s">
        <v>274</v>
      </c>
      <c r="X1158">
        <v>1926619</v>
      </c>
      <c r="Y1158" s="6">
        <v>44775</v>
      </c>
      <c r="Z1158" t="s">
        <v>956</v>
      </c>
      <c r="AA1158">
        <v>1</v>
      </c>
      <c r="AB1158" t="s">
        <v>264</v>
      </c>
      <c r="AD1158" t="s">
        <v>959</v>
      </c>
      <c r="AE1158" t="s">
        <v>264</v>
      </c>
      <c r="AF1158" t="s">
        <v>264</v>
      </c>
      <c r="AH1158" t="s">
        <v>264</v>
      </c>
      <c r="AI1158">
        <v>54000374</v>
      </c>
      <c r="AJ1158" t="s">
        <v>578</v>
      </c>
      <c r="AL1158">
        <v>887672788</v>
      </c>
      <c r="AM1158" s="6">
        <v>44762</v>
      </c>
      <c r="AN1158" t="s">
        <v>268</v>
      </c>
      <c r="AO1158" t="s">
        <v>268</v>
      </c>
      <c r="AP1158">
        <v>1201</v>
      </c>
      <c r="AQ1158" t="s">
        <v>269</v>
      </c>
      <c r="AR1158" t="s">
        <v>1001</v>
      </c>
      <c r="AU1158" t="s">
        <v>264</v>
      </c>
      <c r="AV1158" t="s">
        <v>270</v>
      </c>
      <c r="AX1158">
        <v>22002666</v>
      </c>
      <c r="AY1158">
        <v>920700</v>
      </c>
      <c r="AZ1158">
        <v>1201.9206999999999</v>
      </c>
      <c r="BA1158" s="28" t="s">
        <v>99</v>
      </c>
    </row>
    <row r="1159" spans="1:53">
      <c r="A1159" t="s">
        <v>956</v>
      </c>
      <c r="B1159" t="s">
        <v>957</v>
      </c>
      <c r="C1159">
        <v>22010735</v>
      </c>
      <c r="D1159">
        <v>1201</v>
      </c>
      <c r="E1159" s="6">
        <v>44775</v>
      </c>
      <c r="F1159" t="s">
        <v>1002</v>
      </c>
      <c r="G1159">
        <v>6.65</v>
      </c>
      <c r="H1159">
        <v>6.65</v>
      </c>
      <c r="I1159" t="s">
        <v>263</v>
      </c>
      <c r="J1159" t="s">
        <v>263</v>
      </c>
      <c r="L1159" s="29">
        <v>98994</v>
      </c>
      <c r="N1159" s="29">
        <v>98994</v>
      </c>
      <c r="O1159" t="s">
        <v>264</v>
      </c>
      <c r="Q1159" t="s">
        <v>264</v>
      </c>
      <c r="R1159" t="s">
        <v>265</v>
      </c>
      <c r="S1159">
        <v>14882</v>
      </c>
      <c r="T1159" t="s">
        <v>266</v>
      </c>
      <c r="U1159" t="s">
        <v>267</v>
      </c>
      <c r="V1159" t="s">
        <v>273</v>
      </c>
      <c r="W1159" t="s">
        <v>274</v>
      </c>
      <c r="X1159">
        <v>1926619</v>
      </c>
      <c r="Y1159" s="6">
        <v>44775</v>
      </c>
      <c r="Z1159" t="s">
        <v>956</v>
      </c>
      <c r="AA1159">
        <v>1</v>
      </c>
      <c r="AB1159" t="s">
        <v>264</v>
      </c>
      <c r="AD1159" t="s">
        <v>959</v>
      </c>
      <c r="AE1159" t="s">
        <v>264</v>
      </c>
      <c r="AF1159" t="s">
        <v>264</v>
      </c>
      <c r="AH1159" t="s">
        <v>264</v>
      </c>
      <c r="AI1159">
        <v>54000374</v>
      </c>
      <c r="AJ1159" t="s">
        <v>578</v>
      </c>
      <c r="AL1159">
        <v>887672787</v>
      </c>
      <c r="AM1159" s="6">
        <v>44762</v>
      </c>
      <c r="AN1159" t="s">
        <v>268</v>
      </c>
      <c r="AO1159" t="s">
        <v>268</v>
      </c>
      <c r="AP1159">
        <v>1201</v>
      </c>
      <c r="AQ1159" t="s">
        <v>269</v>
      </c>
      <c r="AR1159" t="s">
        <v>1003</v>
      </c>
      <c r="AU1159" t="s">
        <v>264</v>
      </c>
      <c r="AV1159" t="s">
        <v>270</v>
      </c>
      <c r="AX1159">
        <v>22002687</v>
      </c>
      <c r="AY1159">
        <v>920700</v>
      </c>
      <c r="AZ1159">
        <v>1201.9206999999999</v>
      </c>
      <c r="BA1159" s="28" t="s">
        <v>99</v>
      </c>
    </row>
    <row r="1160" spans="1:53">
      <c r="A1160" t="s">
        <v>956</v>
      </c>
      <c r="B1160" t="s">
        <v>957</v>
      </c>
      <c r="C1160">
        <v>22010835</v>
      </c>
      <c r="D1160">
        <v>1201</v>
      </c>
      <c r="E1160" s="6">
        <v>44781</v>
      </c>
      <c r="F1160" t="s">
        <v>1004</v>
      </c>
      <c r="G1160">
        <v>0.84</v>
      </c>
      <c r="H1160">
        <v>0.84</v>
      </c>
      <c r="I1160" t="s">
        <v>263</v>
      </c>
      <c r="J1160" t="s">
        <v>263</v>
      </c>
      <c r="L1160" s="29">
        <v>12414.6</v>
      </c>
      <c r="N1160" s="29">
        <v>12414.6</v>
      </c>
      <c r="O1160" t="s">
        <v>264</v>
      </c>
      <c r="Q1160" t="s">
        <v>264</v>
      </c>
      <c r="R1160" t="s">
        <v>265</v>
      </c>
      <c r="S1160">
        <v>14860</v>
      </c>
      <c r="T1160" t="s">
        <v>266</v>
      </c>
      <c r="U1160" t="s">
        <v>267</v>
      </c>
      <c r="V1160" t="s">
        <v>273</v>
      </c>
      <c r="W1160" t="s">
        <v>274</v>
      </c>
      <c r="X1160">
        <v>1928954</v>
      </c>
      <c r="Y1160" s="6">
        <v>44781</v>
      </c>
      <c r="Z1160" t="s">
        <v>956</v>
      </c>
      <c r="AA1160">
        <v>1</v>
      </c>
      <c r="AB1160" t="s">
        <v>264</v>
      </c>
      <c r="AD1160" t="s">
        <v>959</v>
      </c>
      <c r="AE1160" t="s">
        <v>264</v>
      </c>
      <c r="AF1160" t="s">
        <v>264</v>
      </c>
      <c r="AH1160" t="s">
        <v>264</v>
      </c>
      <c r="AI1160">
        <v>57312021</v>
      </c>
      <c r="AJ1160" t="s">
        <v>718</v>
      </c>
      <c r="AL1160" t="s">
        <v>719</v>
      </c>
      <c r="AM1160" s="6">
        <v>44780</v>
      </c>
      <c r="AN1160" t="s">
        <v>268</v>
      </c>
      <c r="AO1160" t="s">
        <v>268</v>
      </c>
      <c r="AP1160">
        <v>1201</v>
      </c>
      <c r="AQ1160" t="s">
        <v>269</v>
      </c>
      <c r="AR1160" t="s">
        <v>1005</v>
      </c>
      <c r="AU1160" t="s">
        <v>264</v>
      </c>
      <c r="AV1160" t="s">
        <v>270</v>
      </c>
      <c r="AX1160">
        <v>22002539</v>
      </c>
      <c r="AY1160">
        <v>920700</v>
      </c>
      <c r="AZ1160">
        <v>1201.9206999999999</v>
      </c>
      <c r="BA1160" s="28" t="s">
        <v>99</v>
      </c>
    </row>
    <row r="1161" spans="1:53">
      <c r="A1161" t="s">
        <v>956</v>
      </c>
      <c r="B1161" t="s">
        <v>957</v>
      </c>
      <c r="C1161">
        <v>22010898</v>
      </c>
      <c r="D1161">
        <v>1201</v>
      </c>
      <c r="E1161" s="6">
        <v>44783</v>
      </c>
      <c r="F1161" t="s">
        <v>1006</v>
      </c>
      <c r="G1161">
        <v>0.54</v>
      </c>
      <c r="H1161">
        <v>0.54</v>
      </c>
      <c r="I1161" t="s">
        <v>263</v>
      </c>
      <c r="J1161" t="s">
        <v>263</v>
      </c>
      <c r="L1161" s="29">
        <v>8069</v>
      </c>
      <c r="N1161" s="29">
        <v>8069</v>
      </c>
      <c r="O1161" t="s">
        <v>264</v>
      </c>
      <c r="Q1161" t="s">
        <v>264</v>
      </c>
      <c r="R1161" t="s">
        <v>265</v>
      </c>
      <c r="S1161">
        <v>14860</v>
      </c>
      <c r="T1161" t="s">
        <v>266</v>
      </c>
      <c r="U1161" t="s">
        <v>267</v>
      </c>
      <c r="V1161" t="s">
        <v>273</v>
      </c>
      <c r="W1161" t="s">
        <v>274</v>
      </c>
      <c r="X1161">
        <v>1929870</v>
      </c>
      <c r="Y1161" s="6">
        <v>44783</v>
      </c>
      <c r="Z1161" t="s">
        <v>956</v>
      </c>
      <c r="AA1161">
        <v>1</v>
      </c>
      <c r="AB1161" t="s">
        <v>264</v>
      </c>
      <c r="AD1161" t="s">
        <v>959</v>
      </c>
      <c r="AE1161" t="s">
        <v>264</v>
      </c>
      <c r="AF1161" t="s">
        <v>264</v>
      </c>
      <c r="AH1161" t="s">
        <v>264</v>
      </c>
      <c r="AI1161">
        <v>57312021</v>
      </c>
      <c r="AJ1161" t="s">
        <v>718</v>
      </c>
      <c r="AL1161" t="s">
        <v>732</v>
      </c>
      <c r="AM1161" s="6">
        <v>44776</v>
      </c>
      <c r="AN1161" t="s">
        <v>268</v>
      </c>
      <c r="AO1161" t="s">
        <v>268</v>
      </c>
      <c r="AP1161">
        <v>1201</v>
      </c>
      <c r="AQ1161" t="s">
        <v>269</v>
      </c>
      <c r="AR1161" t="s">
        <v>1007</v>
      </c>
      <c r="AU1161" t="s">
        <v>264</v>
      </c>
      <c r="AV1161" t="s">
        <v>270</v>
      </c>
      <c r="AX1161">
        <v>22002739</v>
      </c>
      <c r="AY1161">
        <v>920700</v>
      </c>
      <c r="AZ1161">
        <v>1201.9206999999999</v>
      </c>
      <c r="BA1161" s="28" t="s">
        <v>99</v>
      </c>
    </row>
    <row r="1162" spans="1:53">
      <c r="A1162" t="s">
        <v>956</v>
      </c>
      <c r="B1162" t="s">
        <v>957</v>
      </c>
      <c r="C1162">
        <v>22010918</v>
      </c>
      <c r="D1162">
        <v>1201</v>
      </c>
      <c r="E1162" s="6">
        <v>44784</v>
      </c>
      <c r="F1162" t="s">
        <v>1008</v>
      </c>
      <c r="G1162">
        <v>26.69</v>
      </c>
      <c r="H1162">
        <v>26.69</v>
      </c>
      <c r="I1162" t="s">
        <v>263</v>
      </c>
      <c r="J1162" t="s">
        <v>263</v>
      </c>
      <c r="L1162" s="29">
        <v>396550</v>
      </c>
      <c r="N1162" s="29">
        <v>396550</v>
      </c>
      <c r="O1162" t="s">
        <v>264</v>
      </c>
      <c r="Q1162" t="s">
        <v>264</v>
      </c>
      <c r="R1162" t="s">
        <v>265</v>
      </c>
      <c r="S1162">
        <v>14860</v>
      </c>
      <c r="T1162" t="s">
        <v>266</v>
      </c>
      <c r="U1162" t="s">
        <v>267</v>
      </c>
      <c r="V1162" t="s">
        <v>273</v>
      </c>
      <c r="W1162" t="s">
        <v>274</v>
      </c>
      <c r="X1162">
        <v>1930460</v>
      </c>
      <c r="Y1162" s="6">
        <v>44784</v>
      </c>
      <c r="Z1162" t="s">
        <v>956</v>
      </c>
      <c r="AA1162">
        <v>1</v>
      </c>
      <c r="AB1162" t="s">
        <v>264</v>
      </c>
      <c r="AD1162" t="s">
        <v>959</v>
      </c>
      <c r="AE1162" t="s">
        <v>264</v>
      </c>
      <c r="AF1162" t="s">
        <v>264</v>
      </c>
      <c r="AH1162" t="s">
        <v>264</v>
      </c>
      <c r="AI1162">
        <v>55117880</v>
      </c>
      <c r="AJ1162" t="s">
        <v>850</v>
      </c>
      <c r="AL1162">
        <v>22.373803890000001</v>
      </c>
      <c r="AM1162" s="6">
        <v>44768</v>
      </c>
      <c r="AN1162" t="s">
        <v>268</v>
      </c>
      <c r="AO1162" t="s">
        <v>268</v>
      </c>
      <c r="AP1162">
        <v>1201</v>
      </c>
      <c r="AQ1162" t="s">
        <v>269</v>
      </c>
      <c r="AR1162" t="s">
        <v>1009</v>
      </c>
      <c r="AU1162" t="s">
        <v>264</v>
      </c>
      <c r="AV1162" t="s">
        <v>270</v>
      </c>
      <c r="AX1162">
        <v>22002724</v>
      </c>
      <c r="AY1162">
        <v>920700</v>
      </c>
      <c r="AZ1162">
        <v>1201.9206999999999</v>
      </c>
      <c r="BA1162" s="28" t="s">
        <v>99</v>
      </c>
    </row>
    <row r="1163" spans="1:53">
      <c r="A1163" t="s">
        <v>956</v>
      </c>
      <c r="B1163" t="s">
        <v>957</v>
      </c>
      <c r="C1163">
        <v>22010922</v>
      </c>
      <c r="D1163">
        <v>1201</v>
      </c>
      <c r="E1163" s="6">
        <v>44784</v>
      </c>
      <c r="F1163" t="s">
        <v>1010</v>
      </c>
      <c r="G1163">
        <v>4.4400000000000004</v>
      </c>
      <c r="H1163">
        <v>4.4400000000000004</v>
      </c>
      <c r="I1163" t="s">
        <v>263</v>
      </c>
      <c r="J1163" t="s">
        <v>263</v>
      </c>
      <c r="L1163" s="29">
        <v>66000</v>
      </c>
      <c r="N1163" s="29">
        <v>66000</v>
      </c>
      <c r="O1163" t="s">
        <v>264</v>
      </c>
      <c r="Q1163" t="s">
        <v>264</v>
      </c>
      <c r="R1163" t="s">
        <v>265</v>
      </c>
      <c r="S1163">
        <v>14860</v>
      </c>
      <c r="T1163" t="s">
        <v>266</v>
      </c>
      <c r="U1163" t="s">
        <v>267</v>
      </c>
      <c r="V1163" t="s">
        <v>273</v>
      </c>
      <c r="W1163" t="s">
        <v>274</v>
      </c>
      <c r="X1163">
        <v>1930491</v>
      </c>
      <c r="Y1163" s="6">
        <v>44784</v>
      </c>
      <c r="Z1163" t="s">
        <v>956</v>
      </c>
      <c r="AA1163">
        <v>1</v>
      </c>
      <c r="AB1163" t="s">
        <v>264</v>
      </c>
      <c r="AD1163" t="s">
        <v>959</v>
      </c>
      <c r="AE1163" t="s">
        <v>264</v>
      </c>
      <c r="AF1163" t="s">
        <v>264</v>
      </c>
      <c r="AH1163" t="s">
        <v>264</v>
      </c>
      <c r="AI1163">
        <v>56343301</v>
      </c>
      <c r="AJ1163" t="s">
        <v>914</v>
      </c>
      <c r="AL1163" t="s">
        <v>915</v>
      </c>
      <c r="AM1163" s="6">
        <v>44761</v>
      </c>
      <c r="AN1163" t="s">
        <v>268</v>
      </c>
      <c r="AO1163" t="s">
        <v>268</v>
      </c>
      <c r="AP1163">
        <v>1201</v>
      </c>
      <c r="AQ1163" t="s">
        <v>269</v>
      </c>
      <c r="AR1163" t="s">
        <v>1011</v>
      </c>
      <c r="AU1163" t="s">
        <v>264</v>
      </c>
      <c r="AV1163" t="s">
        <v>270</v>
      </c>
      <c r="AX1163">
        <v>22002725</v>
      </c>
      <c r="AY1163">
        <v>920700</v>
      </c>
      <c r="AZ1163">
        <v>1201.9206999999999</v>
      </c>
      <c r="BA1163" s="28" t="s">
        <v>99</v>
      </c>
    </row>
    <row r="1164" spans="1:53">
      <c r="A1164" t="s">
        <v>956</v>
      </c>
      <c r="B1164" t="s">
        <v>957</v>
      </c>
      <c r="C1164">
        <v>22010923</v>
      </c>
      <c r="D1164">
        <v>1201</v>
      </c>
      <c r="E1164" s="6">
        <v>44784</v>
      </c>
      <c r="F1164" t="s">
        <v>1012</v>
      </c>
      <c r="G1164">
        <v>4.4400000000000004</v>
      </c>
      <c r="H1164">
        <v>4.4400000000000004</v>
      </c>
      <c r="I1164" t="s">
        <v>263</v>
      </c>
      <c r="J1164" t="s">
        <v>263</v>
      </c>
      <c r="L1164" s="29">
        <v>66000</v>
      </c>
      <c r="N1164" s="29">
        <v>66000</v>
      </c>
      <c r="O1164" t="s">
        <v>264</v>
      </c>
      <c r="Q1164" t="s">
        <v>264</v>
      </c>
      <c r="R1164" t="s">
        <v>265</v>
      </c>
      <c r="S1164">
        <v>14860</v>
      </c>
      <c r="T1164" t="s">
        <v>266</v>
      </c>
      <c r="U1164" t="s">
        <v>267</v>
      </c>
      <c r="V1164" t="s">
        <v>273</v>
      </c>
      <c r="W1164" t="s">
        <v>274</v>
      </c>
      <c r="X1164">
        <v>1930491</v>
      </c>
      <c r="Y1164" s="6">
        <v>44784</v>
      </c>
      <c r="Z1164" t="s">
        <v>956</v>
      </c>
      <c r="AA1164">
        <v>1</v>
      </c>
      <c r="AB1164" t="s">
        <v>264</v>
      </c>
      <c r="AD1164" t="s">
        <v>959</v>
      </c>
      <c r="AE1164" t="s">
        <v>264</v>
      </c>
      <c r="AF1164" t="s">
        <v>264</v>
      </c>
      <c r="AH1164" t="s">
        <v>264</v>
      </c>
      <c r="AI1164">
        <v>56343301</v>
      </c>
      <c r="AJ1164" t="s">
        <v>914</v>
      </c>
      <c r="AL1164" t="s">
        <v>917</v>
      </c>
      <c r="AM1164" s="6">
        <v>44761</v>
      </c>
      <c r="AN1164" t="s">
        <v>268</v>
      </c>
      <c r="AO1164" t="s">
        <v>268</v>
      </c>
      <c r="AP1164">
        <v>1201</v>
      </c>
      <c r="AQ1164" t="s">
        <v>269</v>
      </c>
      <c r="AR1164" t="s">
        <v>1013</v>
      </c>
      <c r="AU1164" t="s">
        <v>264</v>
      </c>
      <c r="AV1164" t="s">
        <v>270</v>
      </c>
      <c r="AX1164">
        <v>22002725</v>
      </c>
      <c r="AY1164">
        <v>920700</v>
      </c>
      <c r="AZ1164">
        <v>1201.9206999999999</v>
      </c>
      <c r="BA1164" s="28" t="s">
        <v>99</v>
      </c>
    </row>
    <row r="1165" spans="1:53">
      <c r="A1165" t="s">
        <v>956</v>
      </c>
      <c r="B1165" t="s">
        <v>957</v>
      </c>
      <c r="C1165">
        <v>22010924</v>
      </c>
      <c r="D1165">
        <v>1201</v>
      </c>
      <c r="E1165" s="6">
        <v>44785</v>
      </c>
      <c r="F1165" t="s">
        <v>1014</v>
      </c>
      <c r="G1165">
        <v>76.08</v>
      </c>
      <c r="H1165">
        <v>76.08</v>
      </c>
      <c r="I1165" t="s">
        <v>263</v>
      </c>
      <c r="J1165" t="s">
        <v>263</v>
      </c>
      <c r="L1165" s="29">
        <v>1130532.3700000001</v>
      </c>
      <c r="N1165" s="29">
        <v>1130532.3700000001</v>
      </c>
      <c r="O1165" t="s">
        <v>264</v>
      </c>
      <c r="Q1165" t="s">
        <v>264</v>
      </c>
      <c r="R1165" t="s">
        <v>265</v>
      </c>
      <c r="S1165">
        <v>14860</v>
      </c>
      <c r="T1165" t="s">
        <v>266</v>
      </c>
      <c r="U1165" t="s">
        <v>267</v>
      </c>
      <c r="V1165" t="s">
        <v>273</v>
      </c>
      <c r="W1165" t="s">
        <v>274</v>
      </c>
      <c r="X1165">
        <v>1930542</v>
      </c>
      <c r="Y1165" s="6">
        <v>44785</v>
      </c>
      <c r="Z1165" t="s">
        <v>956</v>
      </c>
      <c r="AA1165">
        <v>1</v>
      </c>
      <c r="AB1165" t="s">
        <v>264</v>
      </c>
      <c r="AD1165" t="s">
        <v>959</v>
      </c>
      <c r="AE1165" t="s">
        <v>264</v>
      </c>
      <c r="AF1165" t="s">
        <v>264</v>
      </c>
      <c r="AH1165" t="s">
        <v>264</v>
      </c>
      <c r="AI1165">
        <v>55417891</v>
      </c>
      <c r="AJ1165" t="s">
        <v>598</v>
      </c>
      <c r="AL1165" t="s">
        <v>599</v>
      </c>
      <c r="AM1165" s="6">
        <v>44774</v>
      </c>
      <c r="AN1165" t="s">
        <v>268</v>
      </c>
      <c r="AO1165" t="s">
        <v>268</v>
      </c>
      <c r="AP1165">
        <v>1201</v>
      </c>
      <c r="AQ1165" t="s">
        <v>269</v>
      </c>
      <c r="AR1165" t="s">
        <v>1015</v>
      </c>
      <c r="AU1165" t="s">
        <v>264</v>
      </c>
      <c r="AV1165" t="s">
        <v>270</v>
      </c>
      <c r="AX1165">
        <v>22002709</v>
      </c>
      <c r="AY1165">
        <v>920700</v>
      </c>
      <c r="AZ1165">
        <v>1201.9206999999999</v>
      </c>
      <c r="BA1165" s="28" t="s">
        <v>99</v>
      </c>
    </row>
    <row r="1166" spans="1:53">
      <c r="A1166" t="s">
        <v>956</v>
      </c>
      <c r="B1166" t="s">
        <v>957</v>
      </c>
      <c r="C1166">
        <v>22010926</v>
      </c>
      <c r="D1166">
        <v>1201</v>
      </c>
      <c r="E1166" s="6">
        <v>44785</v>
      </c>
      <c r="F1166" t="s">
        <v>1016</v>
      </c>
      <c r="G1166">
        <v>0.17</v>
      </c>
      <c r="H1166">
        <v>0.17</v>
      </c>
      <c r="I1166" t="s">
        <v>263</v>
      </c>
      <c r="J1166" t="s">
        <v>263</v>
      </c>
      <c r="L1166" s="29">
        <v>2480</v>
      </c>
      <c r="N1166" s="29">
        <v>2480</v>
      </c>
      <c r="O1166" t="s">
        <v>264</v>
      </c>
      <c r="Q1166" t="s">
        <v>264</v>
      </c>
      <c r="R1166" t="s">
        <v>265</v>
      </c>
      <c r="S1166">
        <v>14860</v>
      </c>
      <c r="T1166" t="s">
        <v>266</v>
      </c>
      <c r="U1166" t="s">
        <v>267</v>
      </c>
      <c r="V1166" t="s">
        <v>273</v>
      </c>
      <c r="W1166" t="s">
        <v>274</v>
      </c>
      <c r="X1166">
        <v>1930560</v>
      </c>
      <c r="Y1166" s="6">
        <v>44785</v>
      </c>
      <c r="Z1166" t="s">
        <v>956</v>
      </c>
      <c r="AA1166">
        <v>1</v>
      </c>
      <c r="AB1166" t="s">
        <v>264</v>
      </c>
      <c r="AD1166" t="s">
        <v>959</v>
      </c>
      <c r="AE1166" t="s">
        <v>264</v>
      </c>
      <c r="AF1166" t="s">
        <v>264</v>
      </c>
      <c r="AH1166" t="s">
        <v>264</v>
      </c>
      <c r="AI1166">
        <v>57338379</v>
      </c>
      <c r="AJ1166" t="s">
        <v>543</v>
      </c>
      <c r="AL1166">
        <v>7800669433</v>
      </c>
      <c r="AM1166" s="6">
        <v>44781</v>
      </c>
      <c r="AN1166" t="s">
        <v>268</v>
      </c>
      <c r="AO1166" t="s">
        <v>268</v>
      </c>
      <c r="AP1166">
        <v>1201</v>
      </c>
      <c r="AQ1166" t="s">
        <v>269</v>
      </c>
      <c r="AR1166" t="s">
        <v>264</v>
      </c>
      <c r="AU1166" t="s">
        <v>264</v>
      </c>
      <c r="AV1166" t="s">
        <v>270</v>
      </c>
      <c r="AX1166">
        <v>22002754</v>
      </c>
      <c r="AY1166">
        <v>920700</v>
      </c>
      <c r="AZ1166">
        <v>1201.9206999999999</v>
      </c>
      <c r="BA1166" s="28" t="s">
        <v>99</v>
      </c>
    </row>
    <row r="1167" spans="1:53">
      <c r="A1167" t="s">
        <v>956</v>
      </c>
      <c r="B1167" t="s">
        <v>957</v>
      </c>
      <c r="C1167">
        <v>22010931</v>
      </c>
      <c r="D1167">
        <v>1201</v>
      </c>
      <c r="E1167" s="6">
        <v>44785</v>
      </c>
      <c r="F1167" t="s">
        <v>1017</v>
      </c>
      <c r="G1167">
        <v>1.26</v>
      </c>
      <c r="H1167">
        <v>1.26</v>
      </c>
      <c r="I1167" t="s">
        <v>263</v>
      </c>
      <c r="J1167" t="s">
        <v>263</v>
      </c>
      <c r="L1167" s="29">
        <v>18712</v>
      </c>
      <c r="N1167" s="29">
        <v>18712</v>
      </c>
      <c r="O1167" t="s">
        <v>264</v>
      </c>
      <c r="Q1167" t="s">
        <v>264</v>
      </c>
      <c r="R1167" t="s">
        <v>265</v>
      </c>
      <c r="S1167">
        <v>14860</v>
      </c>
      <c r="T1167" t="s">
        <v>266</v>
      </c>
      <c r="U1167" t="s">
        <v>267</v>
      </c>
      <c r="V1167" t="s">
        <v>273</v>
      </c>
      <c r="W1167" t="s">
        <v>274</v>
      </c>
      <c r="X1167">
        <v>1930592</v>
      </c>
      <c r="Y1167" s="6">
        <v>44785</v>
      </c>
      <c r="Z1167" t="s">
        <v>956</v>
      </c>
      <c r="AA1167">
        <v>1</v>
      </c>
      <c r="AB1167" t="s">
        <v>264</v>
      </c>
      <c r="AD1167" t="s">
        <v>959</v>
      </c>
      <c r="AE1167" t="s">
        <v>264</v>
      </c>
      <c r="AF1167" t="s">
        <v>264</v>
      </c>
      <c r="AH1167" t="s">
        <v>264</v>
      </c>
      <c r="AI1167">
        <v>54000160</v>
      </c>
      <c r="AJ1167" t="s">
        <v>531</v>
      </c>
      <c r="AL1167" t="s">
        <v>602</v>
      </c>
      <c r="AM1167" s="6">
        <v>44747</v>
      </c>
      <c r="AN1167" t="s">
        <v>268</v>
      </c>
      <c r="AO1167" t="s">
        <v>268</v>
      </c>
      <c r="AP1167">
        <v>1201</v>
      </c>
      <c r="AQ1167" t="s">
        <v>269</v>
      </c>
      <c r="AR1167" t="s">
        <v>1018</v>
      </c>
      <c r="AU1167" t="s">
        <v>264</v>
      </c>
      <c r="AV1167" t="s">
        <v>270</v>
      </c>
      <c r="AX1167">
        <v>22002751</v>
      </c>
      <c r="AY1167">
        <v>920700</v>
      </c>
      <c r="AZ1167">
        <v>1201.9206999999999</v>
      </c>
      <c r="BA1167" s="28" t="s">
        <v>99</v>
      </c>
    </row>
    <row r="1168" spans="1:53">
      <c r="A1168" t="s">
        <v>956</v>
      </c>
      <c r="B1168" t="s">
        <v>957</v>
      </c>
      <c r="C1168">
        <v>22010932</v>
      </c>
      <c r="D1168">
        <v>1201</v>
      </c>
      <c r="E1168" s="6">
        <v>44785</v>
      </c>
      <c r="F1168" t="s">
        <v>1019</v>
      </c>
      <c r="G1168">
        <v>0.21</v>
      </c>
      <c r="H1168">
        <v>0.21</v>
      </c>
      <c r="I1168" t="s">
        <v>263</v>
      </c>
      <c r="J1168" t="s">
        <v>263</v>
      </c>
      <c r="L1168" s="29">
        <v>3190</v>
      </c>
      <c r="N1168" s="29">
        <v>3190</v>
      </c>
      <c r="O1168" t="s">
        <v>264</v>
      </c>
      <c r="Q1168" t="s">
        <v>264</v>
      </c>
      <c r="R1168" t="s">
        <v>265</v>
      </c>
      <c r="S1168">
        <v>14860</v>
      </c>
      <c r="T1168" t="s">
        <v>266</v>
      </c>
      <c r="U1168" t="s">
        <v>267</v>
      </c>
      <c r="V1168" t="s">
        <v>273</v>
      </c>
      <c r="W1168" t="s">
        <v>274</v>
      </c>
      <c r="X1168">
        <v>1930592</v>
      </c>
      <c r="Y1168" s="6">
        <v>44785</v>
      </c>
      <c r="Z1168" t="s">
        <v>956</v>
      </c>
      <c r="AA1168">
        <v>1</v>
      </c>
      <c r="AB1168" t="s">
        <v>264</v>
      </c>
      <c r="AD1168" t="s">
        <v>959</v>
      </c>
      <c r="AE1168" t="s">
        <v>264</v>
      </c>
      <c r="AF1168" t="s">
        <v>264</v>
      </c>
      <c r="AH1168" t="s">
        <v>264</v>
      </c>
      <c r="AI1168">
        <v>54000160</v>
      </c>
      <c r="AJ1168" t="s">
        <v>531</v>
      </c>
      <c r="AL1168" t="s">
        <v>603</v>
      </c>
      <c r="AM1168" s="6">
        <v>44750</v>
      </c>
      <c r="AN1168" t="s">
        <v>268</v>
      </c>
      <c r="AO1168" t="s">
        <v>268</v>
      </c>
      <c r="AP1168">
        <v>1201</v>
      </c>
      <c r="AQ1168" t="s">
        <v>269</v>
      </c>
      <c r="AR1168" t="s">
        <v>1020</v>
      </c>
      <c r="AU1168" t="s">
        <v>264</v>
      </c>
      <c r="AV1168" t="s">
        <v>270</v>
      </c>
      <c r="AX1168">
        <v>22002751</v>
      </c>
      <c r="AY1168">
        <v>920700</v>
      </c>
      <c r="AZ1168">
        <v>1201.9206999999999</v>
      </c>
      <c r="BA1168" s="28" t="s">
        <v>99</v>
      </c>
    </row>
    <row r="1169" spans="1:53">
      <c r="A1169" t="s">
        <v>956</v>
      </c>
      <c r="B1169" t="s">
        <v>957</v>
      </c>
      <c r="C1169">
        <v>22010934</v>
      </c>
      <c r="D1169">
        <v>1201</v>
      </c>
      <c r="E1169" s="6">
        <v>44785</v>
      </c>
      <c r="F1169" t="s">
        <v>1021</v>
      </c>
      <c r="G1169">
        <v>5.95</v>
      </c>
      <c r="H1169">
        <v>5.95</v>
      </c>
      <c r="I1169" t="s">
        <v>263</v>
      </c>
      <c r="J1169" t="s">
        <v>263</v>
      </c>
      <c r="L1169" s="29">
        <v>88403</v>
      </c>
      <c r="N1169" s="29">
        <v>88403</v>
      </c>
      <c r="O1169" t="s">
        <v>264</v>
      </c>
      <c r="Q1169" t="s">
        <v>264</v>
      </c>
      <c r="R1169" t="s">
        <v>265</v>
      </c>
      <c r="S1169">
        <v>14860</v>
      </c>
      <c r="T1169" t="s">
        <v>266</v>
      </c>
      <c r="U1169" t="s">
        <v>267</v>
      </c>
      <c r="V1169" t="s">
        <v>273</v>
      </c>
      <c r="W1169" t="s">
        <v>274</v>
      </c>
      <c r="X1169">
        <v>1930592</v>
      </c>
      <c r="Y1169" s="6">
        <v>44785</v>
      </c>
      <c r="Z1169" t="s">
        <v>956</v>
      </c>
      <c r="AA1169">
        <v>1</v>
      </c>
      <c r="AB1169" t="s">
        <v>264</v>
      </c>
      <c r="AD1169" t="s">
        <v>959</v>
      </c>
      <c r="AE1169" t="s">
        <v>264</v>
      </c>
      <c r="AF1169" t="s">
        <v>264</v>
      </c>
      <c r="AH1169" t="s">
        <v>264</v>
      </c>
      <c r="AI1169">
        <v>54000160</v>
      </c>
      <c r="AJ1169" t="s">
        <v>531</v>
      </c>
      <c r="AL1169" t="s">
        <v>604</v>
      </c>
      <c r="AM1169" s="6">
        <v>44754</v>
      </c>
      <c r="AN1169" t="s">
        <v>268</v>
      </c>
      <c r="AO1169" t="s">
        <v>268</v>
      </c>
      <c r="AP1169">
        <v>1201</v>
      </c>
      <c r="AQ1169" t="s">
        <v>269</v>
      </c>
      <c r="AR1169" t="s">
        <v>1022</v>
      </c>
      <c r="AU1169" t="s">
        <v>264</v>
      </c>
      <c r="AV1169" t="s">
        <v>270</v>
      </c>
      <c r="AX1169">
        <v>22002751</v>
      </c>
      <c r="AY1169">
        <v>920700</v>
      </c>
      <c r="AZ1169">
        <v>1201.9206999999999</v>
      </c>
      <c r="BA1169" s="28" t="s">
        <v>99</v>
      </c>
    </row>
    <row r="1170" spans="1:53">
      <c r="A1170" t="s">
        <v>956</v>
      </c>
      <c r="B1170" t="s">
        <v>957</v>
      </c>
      <c r="C1170">
        <v>22010935</v>
      </c>
      <c r="D1170">
        <v>1201</v>
      </c>
      <c r="E1170" s="6">
        <v>44785</v>
      </c>
      <c r="F1170" t="s">
        <v>1023</v>
      </c>
      <c r="G1170">
        <v>1.95</v>
      </c>
      <c r="H1170">
        <v>1.95</v>
      </c>
      <c r="I1170" t="s">
        <v>263</v>
      </c>
      <c r="J1170" t="s">
        <v>263</v>
      </c>
      <c r="L1170" s="29">
        <v>28994</v>
      </c>
      <c r="N1170" s="29">
        <v>28994</v>
      </c>
      <c r="O1170" t="s">
        <v>264</v>
      </c>
      <c r="Q1170" t="s">
        <v>264</v>
      </c>
      <c r="R1170" t="s">
        <v>265</v>
      </c>
      <c r="S1170">
        <v>14860</v>
      </c>
      <c r="T1170" t="s">
        <v>266</v>
      </c>
      <c r="U1170" t="s">
        <v>267</v>
      </c>
      <c r="V1170" t="s">
        <v>273</v>
      </c>
      <c r="W1170" t="s">
        <v>274</v>
      </c>
      <c r="X1170">
        <v>1930592</v>
      </c>
      <c r="Y1170" s="6">
        <v>44785</v>
      </c>
      <c r="Z1170" t="s">
        <v>956</v>
      </c>
      <c r="AA1170">
        <v>1</v>
      </c>
      <c r="AB1170" t="s">
        <v>264</v>
      </c>
      <c r="AD1170" t="s">
        <v>959</v>
      </c>
      <c r="AE1170" t="s">
        <v>264</v>
      </c>
      <c r="AF1170" t="s">
        <v>264</v>
      </c>
      <c r="AH1170" t="s">
        <v>264</v>
      </c>
      <c r="AI1170">
        <v>54000160</v>
      </c>
      <c r="AJ1170" t="s">
        <v>531</v>
      </c>
      <c r="AL1170" t="s">
        <v>605</v>
      </c>
      <c r="AM1170" s="6">
        <v>44761</v>
      </c>
      <c r="AN1170" t="s">
        <v>268</v>
      </c>
      <c r="AO1170" t="s">
        <v>268</v>
      </c>
      <c r="AP1170">
        <v>1201</v>
      </c>
      <c r="AQ1170" t="s">
        <v>269</v>
      </c>
      <c r="AR1170" t="s">
        <v>1024</v>
      </c>
      <c r="AU1170" t="s">
        <v>264</v>
      </c>
      <c r="AV1170" t="s">
        <v>270</v>
      </c>
      <c r="AX1170">
        <v>22002751</v>
      </c>
      <c r="AY1170">
        <v>920700</v>
      </c>
      <c r="AZ1170">
        <v>1201.9206999999999</v>
      </c>
      <c r="BA1170" s="28" t="s">
        <v>99</v>
      </c>
    </row>
    <row r="1171" spans="1:53">
      <c r="A1171" t="s">
        <v>956</v>
      </c>
      <c r="B1171" t="s">
        <v>957</v>
      </c>
      <c r="C1171">
        <v>22010936</v>
      </c>
      <c r="D1171">
        <v>1201</v>
      </c>
      <c r="E1171" s="6">
        <v>44785</v>
      </c>
      <c r="F1171" t="s">
        <v>1025</v>
      </c>
      <c r="G1171">
        <v>1.1499999999999999</v>
      </c>
      <c r="H1171">
        <v>1.1499999999999999</v>
      </c>
      <c r="I1171" t="s">
        <v>263</v>
      </c>
      <c r="J1171" t="s">
        <v>263</v>
      </c>
      <c r="L1171" s="29">
        <v>17118</v>
      </c>
      <c r="N1171" s="29">
        <v>17118</v>
      </c>
      <c r="O1171" t="s">
        <v>264</v>
      </c>
      <c r="Q1171" t="s">
        <v>264</v>
      </c>
      <c r="R1171" t="s">
        <v>265</v>
      </c>
      <c r="S1171">
        <v>14860</v>
      </c>
      <c r="T1171" t="s">
        <v>266</v>
      </c>
      <c r="U1171" t="s">
        <v>267</v>
      </c>
      <c r="V1171" t="s">
        <v>273</v>
      </c>
      <c r="W1171" t="s">
        <v>274</v>
      </c>
      <c r="X1171">
        <v>1930592</v>
      </c>
      <c r="Y1171" s="6">
        <v>44785</v>
      </c>
      <c r="Z1171" t="s">
        <v>956</v>
      </c>
      <c r="AA1171">
        <v>1</v>
      </c>
      <c r="AB1171" t="s">
        <v>264</v>
      </c>
      <c r="AD1171" t="s">
        <v>959</v>
      </c>
      <c r="AE1171" t="s">
        <v>264</v>
      </c>
      <c r="AF1171" t="s">
        <v>264</v>
      </c>
      <c r="AH1171" t="s">
        <v>264</v>
      </c>
      <c r="AI1171">
        <v>54000160</v>
      </c>
      <c r="AJ1171" t="s">
        <v>531</v>
      </c>
      <c r="AL1171" t="s">
        <v>606</v>
      </c>
      <c r="AM1171" s="6">
        <v>44768</v>
      </c>
      <c r="AN1171" t="s">
        <v>268</v>
      </c>
      <c r="AO1171" t="s">
        <v>268</v>
      </c>
      <c r="AP1171">
        <v>1201</v>
      </c>
      <c r="AQ1171" t="s">
        <v>269</v>
      </c>
      <c r="AR1171" t="s">
        <v>1026</v>
      </c>
      <c r="AU1171" t="s">
        <v>264</v>
      </c>
      <c r="AV1171" t="s">
        <v>270</v>
      </c>
      <c r="AX1171">
        <v>22002751</v>
      </c>
      <c r="AY1171">
        <v>920700</v>
      </c>
      <c r="AZ1171">
        <v>1201.9206999999999</v>
      </c>
      <c r="BA1171" s="28" t="s">
        <v>99</v>
      </c>
    </row>
    <row r="1172" spans="1:53">
      <c r="A1172" t="s">
        <v>956</v>
      </c>
      <c r="B1172" t="s">
        <v>957</v>
      </c>
      <c r="C1172">
        <v>22010937</v>
      </c>
      <c r="D1172">
        <v>1201</v>
      </c>
      <c r="E1172" s="6">
        <v>44785</v>
      </c>
      <c r="F1172" t="s">
        <v>1027</v>
      </c>
      <c r="G1172">
        <v>0.99</v>
      </c>
      <c r="H1172">
        <v>0.99</v>
      </c>
      <c r="I1172" t="s">
        <v>263</v>
      </c>
      <c r="J1172" t="s">
        <v>263</v>
      </c>
      <c r="L1172" s="29">
        <v>14709</v>
      </c>
      <c r="N1172" s="29">
        <v>14709</v>
      </c>
      <c r="O1172" t="s">
        <v>264</v>
      </c>
      <c r="Q1172" t="s">
        <v>264</v>
      </c>
      <c r="R1172" t="s">
        <v>265</v>
      </c>
      <c r="S1172">
        <v>14860</v>
      </c>
      <c r="T1172" t="s">
        <v>266</v>
      </c>
      <c r="U1172" t="s">
        <v>267</v>
      </c>
      <c r="V1172" t="s">
        <v>273</v>
      </c>
      <c r="W1172" t="s">
        <v>274</v>
      </c>
      <c r="X1172">
        <v>1930599</v>
      </c>
      <c r="Y1172" s="6">
        <v>44785</v>
      </c>
      <c r="Z1172" t="s">
        <v>956</v>
      </c>
      <c r="AA1172">
        <v>1</v>
      </c>
      <c r="AB1172" t="s">
        <v>264</v>
      </c>
      <c r="AD1172" t="s">
        <v>959</v>
      </c>
      <c r="AE1172" t="s">
        <v>264</v>
      </c>
      <c r="AF1172" t="s">
        <v>264</v>
      </c>
      <c r="AH1172" t="s">
        <v>264</v>
      </c>
      <c r="AI1172">
        <v>54000160</v>
      </c>
      <c r="AJ1172" t="s">
        <v>531</v>
      </c>
      <c r="AL1172" t="s">
        <v>735</v>
      </c>
      <c r="AM1172" s="6">
        <v>44761</v>
      </c>
      <c r="AN1172" t="s">
        <v>268</v>
      </c>
      <c r="AO1172" t="s">
        <v>268</v>
      </c>
      <c r="AP1172">
        <v>1201</v>
      </c>
      <c r="AQ1172" t="s">
        <v>269</v>
      </c>
      <c r="AR1172" t="s">
        <v>1028</v>
      </c>
      <c r="AU1172" t="s">
        <v>264</v>
      </c>
      <c r="AV1172" t="s">
        <v>270</v>
      </c>
      <c r="AX1172">
        <v>22002751</v>
      </c>
      <c r="AY1172">
        <v>920700</v>
      </c>
      <c r="AZ1172">
        <v>1201.9206999999999</v>
      </c>
      <c r="BA1172" s="28" t="s">
        <v>99</v>
      </c>
    </row>
    <row r="1173" spans="1:53">
      <c r="A1173" t="s">
        <v>956</v>
      </c>
      <c r="B1173" t="s">
        <v>957</v>
      </c>
      <c r="C1173">
        <v>22010938</v>
      </c>
      <c r="D1173">
        <v>1201</v>
      </c>
      <c r="E1173" s="6">
        <v>44785</v>
      </c>
      <c r="F1173" t="s">
        <v>1029</v>
      </c>
      <c r="G1173">
        <v>2.98</v>
      </c>
      <c r="H1173">
        <v>2.98</v>
      </c>
      <c r="I1173" t="s">
        <v>263</v>
      </c>
      <c r="J1173" t="s">
        <v>263</v>
      </c>
      <c r="L1173" s="29">
        <v>44320</v>
      </c>
      <c r="N1173" s="29">
        <v>44320</v>
      </c>
      <c r="O1173" t="s">
        <v>264</v>
      </c>
      <c r="Q1173" t="s">
        <v>264</v>
      </c>
      <c r="R1173" t="s">
        <v>265</v>
      </c>
      <c r="S1173">
        <v>14860</v>
      </c>
      <c r="T1173" t="s">
        <v>266</v>
      </c>
      <c r="U1173" t="s">
        <v>267</v>
      </c>
      <c r="V1173" t="s">
        <v>273</v>
      </c>
      <c r="W1173" t="s">
        <v>274</v>
      </c>
      <c r="X1173">
        <v>1930599</v>
      </c>
      <c r="Y1173" s="6">
        <v>44785</v>
      </c>
      <c r="Z1173" t="s">
        <v>956</v>
      </c>
      <c r="AA1173">
        <v>1</v>
      </c>
      <c r="AB1173" t="s">
        <v>264</v>
      </c>
      <c r="AD1173" t="s">
        <v>959</v>
      </c>
      <c r="AE1173" t="s">
        <v>264</v>
      </c>
      <c r="AF1173" t="s">
        <v>264</v>
      </c>
      <c r="AH1173" t="s">
        <v>264</v>
      </c>
      <c r="AI1173">
        <v>54000160</v>
      </c>
      <c r="AJ1173" t="s">
        <v>531</v>
      </c>
      <c r="AL1173" t="s">
        <v>736</v>
      </c>
      <c r="AM1173" s="6">
        <v>44754</v>
      </c>
      <c r="AN1173" t="s">
        <v>268</v>
      </c>
      <c r="AO1173" t="s">
        <v>268</v>
      </c>
      <c r="AP1173">
        <v>1201</v>
      </c>
      <c r="AQ1173" t="s">
        <v>269</v>
      </c>
      <c r="AR1173" t="s">
        <v>1030</v>
      </c>
      <c r="AU1173" t="s">
        <v>264</v>
      </c>
      <c r="AV1173" t="s">
        <v>270</v>
      </c>
      <c r="AX1173">
        <v>22002751</v>
      </c>
      <c r="AY1173">
        <v>920700</v>
      </c>
      <c r="AZ1173">
        <v>1201.9206999999999</v>
      </c>
      <c r="BA1173" s="28" t="s">
        <v>99</v>
      </c>
    </row>
    <row r="1174" spans="1:53">
      <c r="A1174" t="s">
        <v>956</v>
      </c>
      <c r="B1174" t="s">
        <v>957</v>
      </c>
      <c r="C1174">
        <v>22010939</v>
      </c>
      <c r="D1174">
        <v>1201</v>
      </c>
      <c r="E1174" s="6">
        <v>44785</v>
      </c>
      <c r="F1174" t="s">
        <v>1031</v>
      </c>
      <c r="G1174">
        <v>5.01</v>
      </c>
      <c r="H1174">
        <v>5.01</v>
      </c>
      <c r="I1174" t="s">
        <v>263</v>
      </c>
      <c r="J1174" t="s">
        <v>263</v>
      </c>
      <c r="L1174" s="29">
        <v>74433</v>
      </c>
      <c r="N1174" s="29">
        <v>74433</v>
      </c>
      <c r="O1174" t="s">
        <v>264</v>
      </c>
      <c r="Q1174" t="s">
        <v>264</v>
      </c>
      <c r="R1174" t="s">
        <v>265</v>
      </c>
      <c r="S1174">
        <v>14860</v>
      </c>
      <c r="T1174" t="s">
        <v>266</v>
      </c>
      <c r="U1174" t="s">
        <v>267</v>
      </c>
      <c r="V1174" t="s">
        <v>273</v>
      </c>
      <c r="W1174" t="s">
        <v>274</v>
      </c>
      <c r="X1174">
        <v>1930599</v>
      </c>
      <c r="Y1174" s="6">
        <v>44785</v>
      </c>
      <c r="Z1174" t="s">
        <v>956</v>
      </c>
      <c r="AA1174">
        <v>1</v>
      </c>
      <c r="AB1174" t="s">
        <v>264</v>
      </c>
      <c r="AD1174" t="s">
        <v>959</v>
      </c>
      <c r="AE1174" t="s">
        <v>264</v>
      </c>
      <c r="AF1174" t="s">
        <v>264</v>
      </c>
      <c r="AH1174" t="s">
        <v>264</v>
      </c>
      <c r="AI1174">
        <v>54000160</v>
      </c>
      <c r="AJ1174" t="s">
        <v>531</v>
      </c>
      <c r="AL1174" t="s">
        <v>737</v>
      </c>
      <c r="AM1174" s="6">
        <v>44747</v>
      </c>
      <c r="AN1174" t="s">
        <v>268</v>
      </c>
      <c r="AO1174" t="s">
        <v>268</v>
      </c>
      <c r="AP1174">
        <v>1201</v>
      </c>
      <c r="AQ1174" t="s">
        <v>269</v>
      </c>
      <c r="AR1174" t="s">
        <v>1032</v>
      </c>
      <c r="AU1174" t="s">
        <v>264</v>
      </c>
      <c r="AV1174" t="s">
        <v>270</v>
      </c>
      <c r="AX1174">
        <v>22002751</v>
      </c>
      <c r="AY1174">
        <v>920700</v>
      </c>
      <c r="AZ1174">
        <v>1201.9206999999999</v>
      </c>
      <c r="BA1174" s="28" t="s">
        <v>99</v>
      </c>
    </row>
    <row r="1175" spans="1:53">
      <c r="A1175" t="s">
        <v>956</v>
      </c>
      <c r="B1175" t="s">
        <v>957</v>
      </c>
      <c r="C1175">
        <v>22010940</v>
      </c>
      <c r="D1175">
        <v>1201</v>
      </c>
      <c r="E1175" s="6">
        <v>44785</v>
      </c>
      <c r="F1175" t="s">
        <v>1033</v>
      </c>
      <c r="G1175">
        <v>1.26</v>
      </c>
      <c r="H1175">
        <v>1.26</v>
      </c>
      <c r="I1175" t="s">
        <v>263</v>
      </c>
      <c r="J1175" t="s">
        <v>263</v>
      </c>
      <c r="L1175" s="29">
        <v>18739</v>
      </c>
      <c r="N1175" s="29">
        <v>18739</v>
      </c>
      <c r="O1175" t="s">
        <v>264</v>
      </c>
      <c r="Q1175" t="s">
        <v>264</v>
      </c>
      <c r="R1175" t="s">
        <v>265</v>
      </c>
      <c r="S1175">
        <v>14860</v>
      </c>
      <c r="T1175" t="s">
        <v>266</v>
      </c>
      <c r="U1175" t="s">
        <v>267</v>
      </c>
      <c r="V1175" t="s">
        <v>273</v>
      </c>
      <c r="W1175" t="s">
        <v>274</v>
      </c>
      <c r="X1175">
        <v>1930599</v>
      </c>
      <c r="Y1175" s="6">
        <v>44785</v>
      </c>
      <c r="Z1175" t="s">
        <v>956</v>
      </c>
      <c r="AA1175">
        <v>1</v>
      </c>
      <c r="AB1175" t="s">
        <v>264</v>
      </c>
      <c r="AD1175" t="s">
        <v>959</v>
      </c>
      <c r="AE1175" t="s">
        <v>264</v>
      </c>
      <c r="AF1175" t="s">
        <v>264</v>
      </c>
      <c r="AH1175" t="s">
        <v>264</v>
      </c>
      <c r="AI1175">
        <v>54000160</v>
      </c>
      <c r="AJ1175" t="s">
        <v>531</v>
      </c>
      <c r="AL1175" t="s">
        <v>738</v>
      </c>
      <c r="AM1175" s="6">
        <v>44768</v>
      </c>
      <c r="AN1175" t="s">
        <v>268</v>
      </c>
      <c r="AO1175" t="s">
        <v>268</v>
      </c>
      <c r="AP1175">
        <v>1201</v>
      </c>
      <c r="AQ1175" t="s">
        <v>269</v>
      </c>
      <c r="AR1175" t="s">
        <v>1034</v>
      </c>
      <c r="AU1175" t="s">
        <v>264</v>
      </c>
      <c r="AV1175" t="s">
        <v>270</v>
      </c>
      <c r="AX1175">
        <v>22002751</v>
      </c>
      <c r="AY1175">
        <v>920700</v>
      </c>
      <c r="AZ1175">
        <v>1201.9206999999999</v>
      </c>
      <c r="BA1175" s="28" t="s">
        <v>99</v>
      </c>
    </row>
    <row r="1176" spans="1:53">
      <c r="A1176" t="s">
        <v>956</v>
      </c>
      <c r="B1176" t="s">
        <v>957</v>
      </c>
      <c r="C1176">
        <v>22010941</v>
      </c>
      <c r="D1176">
        <v>1201</v>
      </c>
      <c r="E1176" s="6">
        <v>44785</v>
      </c>
      <c r="F1176" t="s">
        <v>1035</v>
      </c>
      <c r="G1176">
        <v>0.27</v>
      </c>
      <c r="H1176">
        <v>0.27</v>
      </c>
      <c r="I1176" t="s">
        <v>263</v>
      </c>
      <c r="J1176" t="s">
        <v>263</v>
      </c>
      <c r="L1176" s="29">
        <v>3977</v>
      </c>
      <c r="N1176" s="29">
        <v>3977</v>
      </c>
      <c r="O1176" t="s">
        <v>264</v>
      </c>
      <c r="Q1176" t="s">
        <v>264</v>
      </c>
      <c r="R1176" t="s">
        <v>265</v>
      </c>
      <c r="S1176">
        <v>14860</v>
      </c>
      <c r="T1176" t="s">
        <v>266</v>
      </c>
      <c r="U1176" t="s">
        <v>267</v>
      </c>
      <c r="V1176" t="s">
        <v>273</v>
      </c>
      <c r="W1176" t="s">
        <v>274</v>
      </c>
      <c r="X1176">
        <v>1930599</v>
      </c>
      <c r="Y1176" s="6">
        <v>44785</v>
      </c>
      <c r="Z1176" t="s">
        <v>956</v>
      </c>
      <c r="AA1176">
        <v>1</v>
      </c>
      <c r="AB1176" t="s">
        <v>264</v>
      </c>
      <c r="AD1176" t="s">
        <v>959</v>
      </c>
      <c r="AE1176" t="s">
        <v>264</v>
      </c>
      <c r="AF1176" t="s">
        <v>264</v>
      </c>
      <c r="AH1176" t="s">
        <v>264</v>
      </c>
      <c r="AI1176">
        <v>54000160</v>
      </c>
      <c r="AJ1176" t="s">
        <v>531</v>
      </c>
      <c r="AL1176" t="s">
        <v>739</v>
      </c>
      <c r="AM1176" s="6">
        <v>44773</v>
      </c>
      <c r="AN1176" t="s">
        <v>268</v>
      </c>
      <c r="AO1176" t="s">
        <v>268</v>
      </c>
      <c r="AP1176">
        <v>1201</v>
      </c>
      <c r="AQ1176" t="s">
        <v>269</v>
      </c>
      <c r="AR1176" t="s">
        <v>1036</v>
      </c>
      <c r="AU1176" t="s">
        <v>264</v>
      </c>
      <c r="AV1176" t="s">
        <v>270</v>
      </c>
      <c r="AX1176">
        <v>22002751</v>
      </c>
      <c r="AY1176">
        <v>920700</v>
      </c>
      <c r="AZ1176">
        <v>1201.9206999999999</v>
      </c>
      <c r="BA1176" s="28" t="s">
        <v>99</v>
      </c>
    </row>
    <row r="1177" spans="1:53">
      <c r="A1177" t="s">
        <v>956</v>
      </c>
      <c r="B1177" t="s">
        <v>957</v>
      </c>
      <c r="C1177">
        <v>22011292</v>
      </c>
      <c r="D1177">
        <v>1201</v>
      </c>
      <c r="E1177" s="6">
        <v>44789</v>
      </c>
      <c r="F1177" t="s">
        <v>1037</v>
      </c>
      <c r="G1177">
        <v>74.02</v>
      </c>
      <c r="H1177">
        <v>74.02</v>
      </c>
      <c r="I1177" t="s">
        <v>263</v>
      </c>
      <c r="J1177" t="s">
        <v>263</v>
      </c>
      <c r="L1177" s="29">
        <v>1100000</v>
      </c>
      <c r="N1177" s="29">
        <v>1100000</v>
      </c>
      <c r="O1177" t="s">
        <v>264</v>
      </c>
      <c r="Q1177" t="s">
        <v>264</v>
      </c>
      <c r="R1177" t="s">
        <v>265</v>
      </c>
      <c r="S1177">
        <v>14860</v>
      </c>
      <c r="T1177" t="s">
        <v>266</v>
      </c>
      <c r="U1177" t="s">
        <v>267</v>
      </c>
      <c r="V1177" t="s">
        <v>273</v>
      </c>
      <c r="W1177" t="s">
        <v>274</v>
      </c>
      <c r="X1177">
        <v>1933022</v>
      </c>
      <c r="Y1177" s="6">
        <v>44789</v>
      </c>
      <c r="Z1177" t="s">
        <v>956</v>
      </c>
      <c r="AA1177">
        <v>1</v>
      </c>
      <c r="AB1177" t="s">
        <v>264</v>
      </c>
      <c r="AD1177" t="s">
        <v>959</v>
      </c>
      <c r="AE1177" t="s">
        <v>264</v>
      </c>
      <c r="AF1177" t="s">
        <v>264</v>
      </c>
      <c r="AH1177" t="s">
        <v>264</v>
      </c>
      <c r="AI1177">
        <v>55497042</v>
      </c>
      <c r="AJ1177" t="s">
        <v>276</v>
      </c>
      <c r="AL1177" t="s">
        <v>442</v>
      </c>
      <c r="AM1177" s="6">
        <v>44775</v>
      </c>
      <c r="AN1177" t="s">
        <v>268</v>
      </c>
      <c r="AO1177" t="s">
        <v>268</v>
      </c>
      <c r="AP1177">
        <v>1201</v>
      </c>
      <c r="AQ1177" t="s">
        <v>269</v>
      </c>
      <c r="AR1177" t="s">
        <v>1038</v>
      </c>
      <c r="AU1177" t="s">
        <v>264</v>
      </c>
      <c r="AV1177" t="s">
        <v>270</v>
      </c>
      <c r="AX1177">
        <v>22002757</v>
      </c>
      <c r="AY1177">
        <v>920700</v>
      </c>
      <c r="AZ1177">
        <v>1201.9206999999999</v>
      </c>
      <c r="BA1177" s="28" t="s">
        <v>99</v>
      </c>
    </row>
    <row r="1178" spans="1:53">
      <c r="A1178" t="s">
        <v>956</v>
      </c>
      <c r="B1178" t="s">
        <v>957</v>
      </c>
      <c r="C1178">
        <v>22011381</v>
      </c>
      <c r="D1178">
        <v>1201</v>
      </c>
      <c r="E1178" s="6">
        <v>44789</v>
      </c>
      <c r="F1178" t="s">
        <v>1039</v>
      </c>
      <c r="G1178">
        <v>0.77</v>
      </c>
      <c r="H1178">
        <v>0.77</v>
      </c>
      <c r="I1178" t="s">
        <v>263</v>
      </c>
      <c r="J1178" t="s">
        <v>263</v>
      </c>
      <c r="L1178" s="29">
        <v>11424.6</v>
      </c>
      <c r="N1178" s="29">
        <v>11424.6</v>
      </c>
      <c r="O1178" t="s">
        <v>264</v>
      </c>
      <c r="Q1178" t="s">
        <v>264</v>
      </c>
      <c r="R1178" t="s">
        <v>265</v>
      </c>
      <c r="S1178">
        <v>14860</v>
      </c>
      <c r="T1178" t="s">
        <v>266</v>
      </c>
      <c r="U1178" t="s">
        <v>267</v>
      </c>
      <c r="V1178" t="s">
        <v>273</v>
      </c>
      <c r="W1178" t="s">
        <v>274</v>
      </c>
      <c r="X1178">
        <v>1933125</v>
      </c>
      <c r="Y1178" s="6">
        <v>44789</v>
      </c>
      <c r="Z1178" t="s">
        <v>956</v>
      </c>
      <c r="AA1178">
        <v>1</v>
      </c>
      <c r="AB1178" t="s">
        <v>264</v>
      </c>
      <c r="AD1178" t="s">
        <v>959</v>
      </c>
      <c r="AE1178" t="s">
        <v>264</v>
      </c>
      <c r="AF1178" t="s">
        <v>264</v>
      </c>
      <c r="AH1178" t="s">
        <v>264</v>
      </c>
      <c r="AI1178">
        <v>57312021</v>
      </c>
      <c r="AJ1178" t="s">
        <v>718</v>
      </c>
      <c r="AL1178" t="s">
        <v>749</v>
      </c>
      <c r="AM1178" s="6">
        <v>44781</v>
      </c>
      <c r="AN1178" t="s">
        <v>268</v>
      </c>
      <c r="AO1178" t="s">
        <v>268</v>
      </c>
      <c r="AP1178">
        <v>1201</v>
      </c>
      <c r="AQ1178" t="s">
        <v>269</v>
      </c>
      <c r="AR1178" t="s">
        <v>1040</v>
      </c>
      <c r="AU1178" t="s">
        <v>264</v>
      </c>
      <c r="AV1178" t="s">
        <v>270</v>
      </c>
      <c r="AX1178">
        <v>22002784</v>
      </c>
      <c r="AY1178">
        <v>920700</v>
      </c>
      <c r="AZ1178">
        <v>1201.9206999999999</v>
      </c>
      <c r="BA1178" s="28" t="s">
        <v>99</v>
      </c>
    </row>
    <row r="1179" spans="1:53">
      <c r="A1179" t="s">
        <v>956</v>
      </c>
      <c r="B1179" t="s">
        <v>957</v>
      </c>
      <c r="C1179">
        <v>22011419</v>
      </c>
      <c r="D1179">
        <v>1201</v>
      </c>
      <c r="E1179" s="6">
        <v>44795</v>
      </c>
      <c r="F1179" t="s">
        <v>1041</v>
      </c>
      <c r="G1179">
        <v>0.05</v>
      </c>
      <c r="H1179">
        <v>0.05</v>
      </c>
      <c r="I1179" t="s">
        <v>263</v>
      </c>
      <c r="J1179" t="s">
        <v>263</v>
      </c>
      <c r="L1179">
        <v>759</v>
      </c>
      <c r="N1179">
        <v>759</v>
      </c>
      <c r="O1179" t="s">
        <v>264</v>
      </c>
      <c r="Q1179" t="s">
        <v>264</v>
      </c>
      <c r="R1179" t="s">
        <v>265</v>
      </c>
      <c r="S1179">
        <v>14860</v>
      </c>
      <c r="T1179" t="s">
        <v>266</v>
      </c>
      <c r="U1179" t="s">
        <v>267</v>
      </c>
      <c r="V1179" t="s">
        <v>273</v>
      </c>
      <c r="W1179" t="s">
        <v>274</v>
      </c>
      <c r="X1179">
        <v>1934116</v>
      </c>
      <c r="Y1179" s="6">
        <v>44795</v>
      </c>
      <c r="Z1179" t="s">
        <v>956</v>
      </c>
      <c r="AA1179">
        <v>1</v>
      </c>
      <c r="AB1179" t="s">
        <v>264</v>
      </c>
      <c r="AD1179" t="s">
        <v>959</v>
      </c>
      <c r="AE1179" t="s">
        <v>264</v>
      </c>
      <c r="AF1179" t="s">
        <v>264</v>
      </c>
      <c r="AH1179" t="s">
        <v>264</v>
      </c>
      <c r="AI1179">
        <v>54000374</v>
      </c>
      <c r="AJ1179" t="s">
        <v>578</v>
      </c>
      <c r="AL1179">
        <v>887721748</v>
      </c>
      <c r="AM1179" s="6">
        <v>44782</v>
      </c>
      <c r="AN1179" t="s">
        <v>268</v>
      </c>
      <c r="AO1179" t="s">
        <v>268</v>
      </c>
      <c r="AP1179">
        <v>1201</v>
      </c>
      <c r="AQ1179" t="s">
        <v>269</v>
      </c>
      <c r="AR1179" t="s">
        <v>1042</v>
      </c>
      <c r="AU1179" t="s">
        <v>264</v>
      </c>
      <c r="AV1179" t="s">
        <v>270</v>
      </c>
      <c r="AX1179">
        <v>22002811</v>
      </c>
      <c r="AY1179">
        <v>920700</v>
      </c>
      <c r="AZ1179">
        <v>1201.9206999999999</v>
      </c>
      <c r="BA1179" s="28" t="s">
        <v>99</v>
      </c>
    </row>
    <row r="1180" spans="1:53">
      <c r="A1180" t="s">
        <v>956</v>
      </c>
      <c r="B1180" t="s">
        <v>957</v>
      </c>
      <c r="C1180">
        <v>22011505</v>
      </c>
      <c r="D1180">
        <v>1201</v>
      </c>
      <c r="E1180" s="6">
        <v>44796</v>
      </c>
      <c r="F1180" t="s">
        <v>1043</v>
      </c>
      <c r="G1180">
        <v>6.54</v>
      </c>
      <c r="H1180">
        <v>6.54</v>
      </c>
      <c r="I1180" t="s">
        <v>263</v>
      </c>
      <c r="J1180" t="s">
        <v>263</v>
      </c>
      <c r="L1180" s="29">
        <v>97240</v>
      </c>
      <c r="N1180" s="29">
        <v>97240</v>
      </c>
      <c r="O1180" t="s">
        <v>264</v>
      </c>
      <c r="Q1180" t="s">
        <v>264</v>
      </c>
      <c r="R1180" t="s">
        <v>265</v>
      </c>
      <c r="S1180">
        <v>14860</v>
      </c>
      <c r="T1180" t="s">
        <v>266</v>
      </c>
      <c r="U1180" t="s">
        <v>267</v>
      </c>
      <c r="V1180" t="s">
        <v>273</v>
      </c>
      <c r="W1180" t="s">
        <v>274</v>
      </c>
      <c r="X1180">
        <v>1934467</v>
      </c>
      <c r="Y1180" s="6">
        <v>44796</v>
      </c>
      <c r="Z1180" t="s">
        <v>956</v>
      </c>
      <c r="AA1180">
        <v>1</v>
      </c>
      <c r="AB1180" t="s">
        <v>264</v>
      </c>
      <c r="AD1180" t="s">
        <v>959</v>
      </c>
      <c r="AE1180" t="s">
        <v>264</v>
      </c>
      <c r="AF1180" t="s">
        <v>264</v>
      </c>
      <c r="AH1180" t="s">
        <v>264</v>
      </c>
      <c r="AI1180">
        <v>57142915</v>
      </c>
      <c r="AJ1180" t="s">
        <v>784</v>
      </c>
      <c r="AL1180" t="s">
        <v>788</v>
      </c>
      <c r="AM1180" s="6">
        <v>44785</v>
      </c>
      <c r="AN1180" t="s">
        <v>268</v>
      </c>
      <c r="AO1180" t="s">
        <v>268</v>
      </c>
      <c r="AP1180">
        <v>1201</v>
      </c>
      <c r="AQ1180" t="s">
        <v>269</v>
      </c>
      <c r="AR1180" t="s">
        <v>1044</v>
      </c>
      <c r="AU1180" t="s">
        <v>264</v>
      </c>
      <c r="AV1180" t="s">
        <v>270</v>
      </c>
      <c r="AX1180">
        <v>22002820</v>
      </c>
      <c r="AY1180">
        <v>920700</v>
      </c>
      <c r="AZ1180">
        <v>1201.9206999999999</v>
      </c>
      <c r="BA1180" s="28" t="s">
        <v>99</v>
      </c>
    </row>
    <row r="1181" spans="1:53">
      <c r="A1181" t="s">
        <v>271</v>
      </c>
      <c r="B1181" t="s">
        <v>272</v>
      </c>
      <c r="C1181">
        <v>22011513</v>
      </c>
      <c r="D1181">
        <v>1201</v>
      </c>
      <c r="E1181" s="6">
        <v>44796</v>
      </c>
      <c r="F1181" t="s">
        <v>1045</v>
      </c>
      <c r="G1181">
        <v>1.95</v>
      </c>
      <c r="H1181">
        <v>1.95</v>
      </c>
      <c r="I1181" t="s">
        <v>263</v>
      </c>
      <c r="J1181" t="s">
        <v>263</v>
      </c>
      <c r="L1181" s="29">
        <v>29000</v>
      </c>
      <c r="N1181" s="29">
        <v>29000</v>
      </c>
      <c r="O1181" t="s">
        <v>264</v>
      </c>
      <c r="Q1181" t="s">
        <v>264</v>
      </c>
      <c r="R1181" t="s">
        <v>265</v>
      </c>
      <c r="S1181">
        <v>14860</v>
      </c>
      <c r="T1181" t="s">
        <v>266</v>
      </c>
      <c r="U1181" t="s">
        <v>267</v>
      </c>
      <c r="V1181" t="s">
        <v>273</v>
      </c>
      <c r="W1181" t="s">
        <v>274</v>
      </c>
      <c r="X1181">
        <v>1934534</v>
      </c>
      <c r="Y1181" s="6">
        <v>44796</v>
      </c>
      <c r="Z1181" t="s">
        <v>264</v>
      </c>
      <c r="AA1181">
        <v>3</v>
      </c>
      <c r="AB1181" t="s">
        <v>264</v>
      </c>
      <c r="AD1181" t="s">
        <v>264</v>
      </c>
      <c r="AE1181" t="s">
        <v>264</v>
      </c>
      <c r="AF1181" t="s">
        <v>264</v>
      </c>
      <c r="AG1181">
        <v>1</v>
      </c>
      <c r="AH1181" t="s">
        <v>264</v>
      </c>
      <c r="AI1181">
        <v>55143121</v>
      </c>
      <c r="AJ1181" t="s">
        <v>1045</v>
      </c>
      <c r="AL1181">
        <v>620220800223432</v>
      </c>
      <c r="AM1181" s="6">
        <v>44796</v>
      </c>
      <c r="AN1181" t="s">
        <v>275</v>
      </c>
      <c r="AO1181" t="s">
        <v>268</v>
      </c>
      <c r="AP1181">
        <v>1201</v>
      </c>
      <c r="AQ1181" t="s">
        <v>269</v>
      </c>
      <c r="AR1181" t="s">
        <v>1046</v>
      </c>
      <c r="AU1181" t="s">
        <v>264</v>
      </c>
      <c r="AV1181" t="s">
        <v>270</v>
      </c>
      <c r="AX1181">
        <v>22002831</v>
      </c>
      <c r="AY1181">
        <v>920700</v>
      </c>
      <c r="AZ1181">
        <v>1201.9206999999999</v>
      </c>
      <c r="BA1181" s="28" t="s">
        <v>99</v>
      </c>
    </row>
    <row r="1182" spans="1:53">
      <c r="A1182" t="s">
        <v>271</v>
      </c>
      <c r="B1182" t="s">
        <v>272</v>
      </c>
      <c r="C1182">
        <v>22011551</v>
      </c>
      <c r="D1182">
        <v>1201</v>
      </c>
      <c r="E1182" s="6">
        <v>44799</v>
      </c>
      <c r="F1182" t="s">
        <v>1045</v>
      </c>
      <c r="G1182">
        <v>2.56</v>
      </c>
      <c r="H1182">
        <v>2.56</v>
      </c>
      <c r="I1182" t="s">
        <v>263</v>
      </c>
      <c r="J1182" t="s">
        <v>263</v>
      </c>
      <c r="L1182" s="29">
        <v>38000</v>
      </c>
      <c r="N1182" s="29">
        <v>38000</v>
      </c>
      <c r="O1182" t="s">
        <v>264</v>
      </c>
      <c r="Q1182" t="s">
        <v>264</v>
      </c>
      <c r="R1182" t="s">
        <v>265</v>
      </c>
      <c r="S1182">
        <v>14860</v>
      </c>
      <c r="T1182" t="s">
        <v>266</v>
      </c>
      <c r="U1182" t="s">
        <v>267</v>
      </c>
      <c r="V1182" t="s">
        <v>273</v>
      </c>
      <c r="W1182" t="s">
        <v>274</v>
      </c>
      <c r="X1182">
        <v>1935355</v>
      </c>
      <c r="Y1182" s="6">
        <v>44799</v>
      </c>
      <c r="Z1182" t="s">
        <v>264</v>
      </c>
      <c r="AA1182">
        <v>3</v>
      </c>
      <c r="AB1182" t="s">
        <v>264</v>
      </c>
      <c r="AD1182" t="s">
        <v>264</v>
      </c>
      <c r="AE1182" t="s">
        <v>264</v>
      </c>
      <c r="AF1182" t="s">
        <v>264</v>
      </c>
      <c r="AG1182">
        <v>1</v>
      </c>
      <c r="AH1182" t="s">
        <v>264</v>
      </c>
      <c r="AI1182">
        <v>55143121</v>
      </c>
      <c r="AJ1182" t="s">
        <v>1045</v>
      </c>
      <c r="AL1182">
        <v>620220800252334</v>
      </c>
      <c r="AM1182" s="6">
        <v>44799</v>
      </c>
      <c r="AN1182" t="s">
        <v>275</v>
      </c>
      <c r="AO1182" t="s">
        <v>268</v>
      </c>
      <c r="AP1182">
        <v>1201</v>
      </c>
      <c r="AQ1182" t="s">
        <v>269</v>
      </c>
      <c r="AR1182" t="s">
        <v>1047</v>
      </c>
      <c r="AU1182" t="s">
        <v>264</v>
      </c>
      <c r="AV1182" t="s">
        <v>270</v>
      </c>
      <c r="AX1182">
        <v>22002850</v>
      </c>
      <c r="AY1182">
        <v>920700</v>
      </c>
      <c r="AZ1182">
        <v>1201.9206999999999</v>
      </c>
      <c r="BA1182" s="28" t="s">
        <v>99</v>
      </c>
    </row>
    <row r="1183" spans="1:53">
      <c r="A1183" t="s">
        <v>271</v>
      </c>
      <c r="B1183" t="s">
        <v>272</v>
      </c>
      <c r="C1183">
        <v>22011555</v>
      </c>
      <c r="D1183">
        <v>1201</v>
      </c>
      <c r="E1183" s="6">
        <v>44802</v>
      </c>
      <c r="F1183" t="s">
        <v>1045</v>
      </c>
      <c r="G1183">
        <v>100</v>
      </c>
      <c r="H1183">
        <v>100</v>
      </c>
      <c r="I1183" t="s">
        <v>263</v>
      </c>
      <c r="J1183" t="s">
        <v>263</v>
      </c>
      <c r="L1183" s="29">
        <v>1486000</v>
      </c>
      <c r="N1183" s="29">
        <v>1486000</v>
      </c>
      <c r="O1183" t="s">
        <v>264</v>
      </c>
      <c r="Q1183" t="s">
        <v>264</v>
      </c>
      <c r="R1183" t="s">
        <v>265</v>
      </c>
      <c r="S1183">
        <v>14860</v>
      </c>
      <c r="T1183" t="s">
        <v>266</v>
      </c>
      <c r="U1183" t="s">
        <v>267</v>
      </c>
      <c r="V1183" t="s">
        <v>273</v>
      </c>
      <c r="W1183" t="s">
        <v>274</v>
      </c>
      <c r="X1183">
        <v>1935614</v>
      </c>
      <c r="Y1183" s="6">
        <v>44802</v>
      </c>
      <c r="Z1183" t="s">
        <v>264</v>
      </c>
      <c r="AA1183">
        <v>3</v>
      </c>
      <c r="AB1183" t="s">
        <v>264</v>
      </c>
      <c r="AD1183" t="s">
        <v>264</v>
      </c>
      <c r="AE1183" t="s">
        <v>264</v>
      </c>
      <c r="AF1183" t="s">
        <v>264</v>
      </c>
      <c r="AG1183">
        <v>1</v>
      </c>
      <c r="AH1183" t="s">
        <v>264</v>
      </c>
      <c r="AI1183">
        <v>55143121</v>
      </c>
      <c r="AJ1183" t="s">
        <v>1045</v>
      </c>
      <c r="AL1183">
        <v>620220800265519</v>
      </c>
      <c r="AM1183" s="6">
        <v>44802</v>
      </c>
      <c r="AN1183" t="s">
        <v>275</v>
      </c>
      <c r="AO1183" t="s">
        <v>268</v>
      </c>
      <c r="AP1183">
        <v>1201</v>
      </c>
      <c r="AQ1183" t="s">
        <v>269</v>
      </c>
      <c r="AR1183" t="s">
        <v>1157</v>
      </c>
      <c r="AU1183" t="s">
        <v>264</v>
      </c>
      <c r="AV1183" t="s">
        <v>270</v>
      </c>
      <c r="AX1183">
        <v>22002855</v>
      </c>
      <c r="AY1183">
        <v>920700</v>
      </c>
      <c r="AZ1183">
        <v>1201.9206999999999</v>
      </c>
      <c r="BA1183" s="28" t="s">
        <v>99</v>
      </c>
    </row>
    <row r="1184" spans="1:53">
      <c r="A1184" t="s">
        <v>271</v>
      </c>
      <c r="B1184" t="s">
        <v>272</v>
      </c>
      <c r="C1184">
        <v>22011556</v>
      </c>
      <c r="D1184">
        <v>1201</v>
      </c>
      <c r="E1184" s="6">
        <v>44802</v>
      </c>
      <c r="F1184" t="s">
        <v>1045</v>
      </c>
      <c r="G1184" s="29">
        <v>4232.17</v>
      </c>
      <c r="H1184" s="29">
        <v>4232.17</v>
      </c>
      <c r="I1184" t="s">
        <v>263</v>
      </c>
      <c r="J1184" t="s">
        <v>263</v>
      </c>
      <c r="L1184" s="29">
        <v>62890000</v>
      </c>
      <c r="N1184" s="29">
        <v>62890000</v>
      </c>
      <c r="O1184" t="s">
        <v>264</v>
      </c>
      <c r="Q1184" t="s">
        <v>264</v>
      </c>
      <c r="R1184" t="s">
        <v>265</v>
      </c>
      <c r="S1184">
        <v>14860</v>
      </c>
      <c r="T1184" t="s">
        <v>266</v>
      </c>
      <c r="U1184" t="s">
        <v>267</v>
      </c>
      <c r="V1184" t="s">
        <v>273</v>
      </c>
      <c r="W1184" t="s">
        <v>274</v>
      </c>
      <c r="X1184">
        <v>1935615</v>
      </c>
      <c r="Y1184" s="6">
        <v>44802</v>
      </c>
      <c r="Z1184" t="s">
        <v>264</v>
      </c>
      <c r="AA1184">
        <v>4</v>
      </c>
      <c r="AB1184" t="s">
        <v>264</v>
      </c>
      <c r="AD1184" t="s">
        <v>264</v>
      </c>
      <c r="AE1184" t="s">
        <v>264</v>
      </c>
      <c r="AF1184" t="s">
        <v>264</v>
      </c>
      <c r="AG1184">
        <v>2</v>
      </c>
      <c r="AH1184" t="s">
        <v>264</v>
      </c>
      <c r="AI1184">
        <v>55143121</v>
      </c>
      <c r="AJ1184" t="s">
        <v>1045</v>
      </c>
      <c r="AL1184">
        <v>620220800265488</v>
      </c>
      <c r="AM1184" s="6">
        <v>44802</v>
      </c>
      <c r="AN1184" t="s">
        <v>275</v>
      </c>
      <c r="AO1184" t="s">
        <v>268</v>
      </c>
      <c r="AP1184">
        <v>1201</v>
      </c>
      <c r="AQ1184" t="s">
        <v>269</v>
      </c>
      <c r="AR1184" t="s">
        <v>1158</v>
      </c>
      <c r="AU1184" t="s">
        <v>264</v>
      </c>
      <c r="AV1184" t="s">
        <v>270</v>
      </c>
      <c r="AX1184">
        <v>22002856</v>
      </c>
      <c r="AY1184">
        <v>920700</v>
      </c>
      <c r="AZ1184">
        <v>1201.9206999999999</v>
      </c>
      <c r="BA1184" s="28" t="s">
        <v>99</v>
      </c>
    </row>
    <row r="1185" spans="1:53">
      <c r="A1185" t="s">
        <v>271</v>
      </c>
      <c r="B1185" t="s">
        <v>272</v>
      </c>
      <c r="C1185">
        <v>22011559</v>
      </c>
      <c r="D1185">
        <v>1201</v>
      </c>
      <c r="E1185" s="6">
        <v>44802</v>
      </c>
      <c r="F1185" t="s">
        <v>1159</v>
      </c>
      <c r="G1185">
        <v>4.04</v>
      </c>
      <c r="H1185">
        <v>4.04</v>
      </c>
      <c r="I1185" t="s">
        <v>263</v>
      </c>
      <c r="J1185" t="s">
        <v>263</v>
      </c>
      <c r="L1185" s="29">
        <v>60000</v>
      </c>
      <c r="N1185" s="29">
        <v>60000</v>
      </c>
      <c r="O1185" t="s">
        <v>264</v>
      </c>
      <c r="Q1185" t="s">
        <v>264</v>
      </c>
      <c r="R1185" t="s">
        <v>265</v>
      </c>
      <c r="S1185">
        <v>14860</v>
      </c>
      <c r="T1185" t="s">
        <v>266</v>
      </c>
      <c r="U1185" t="s">
        <v>267</v>
      </c>
      <c r="V1185" t="s">
        <v>273</v>
      </c>
      <c r="W1185" t="s">
        <v>274</v>
      </c>
      <c r="X1185">
        <v>1935623</v>
      </c>
      <c r="Y1185" s="6">
        <v>44802</v>
      </c>
      <c r="Z1185" t="s">
        <v>264</v>
      </c>
      <c r="AA1185">
        <v>1</v>
      </c>
      <c r="AB1185" t="s">
        <v>264</v>
      </c>
      <c r="AD1185" t="s">
        <v>264</v>
      </c>
      <c r="AE1185" t="s">
        <v>264</v>
      </c>
      <c r="AF1185" t="s">
        <v>264</v>
      </c>
      <c r="AH1185" t="s">
        <v>264</v>
      </c>
      <c r="AI1185">
        <v>56927585</v>
      </c>
      <c r="AJ1185" t="s">
        <v>1159</v>
      </c>
      <c r="AL1185" t="s">
        <v>1160</v>
      </c>
      <c r="AM1185" s="6">
        <v>44799</v>
      </c>
      <c r="AN1185" t="s">
        <v>275</v>
      </c>
      <c r="AO1185" t="s">
        <v>268</v>
      </c>
      <c r="AP1185">
        <v>1201</v>
      </c>
      <c r="AQ1185" t="s">
        <v>269</v>
      </c>
      <c r="AR1185" t="s">
        <v>400</v>
      </c>
      <c r="AU1185" t="s">
        <v>264</v>
      </c>
      <c r="AV1185" t="s">
        <v>270</v>
      </c>
      <c r="AX1185" t="s">
        <v>264</v>
      </c>
      <c r="AY1185">
        <v>920700</v>
      </c>
      <c r="AZ1185">
        <v>1201.9206999999999</v>
      </c>
      <c r="BA1185" s="28" t="s">
        <v>99</v>
      </c>
    </row>
    <row r="1186" spans="1:53">
      <c r="A1186" t="s">
        <v>271</v>
      </c>
      <c r="B1186" t="s">
        <v>272</v>
      </c>
      <c r="C1186">
        <v>22011592</v>
      </c>
      <c r="D1186">
        <v>1201</v>
      </c>
      <c r="E1186" s="6">
        <v>44802</v>
      </c>
      <c r="F1186" t="s">
        <v>1045</v>
      </c>
      <c r="G1186">
        <v>1.28</v>
      </c>
      <c r="H1186">
        <v>1.28</v>
      </c>
      <c r="I1186" t="s">
        <v>263</v>
      </c>
      <c r="J1186" t="s">
        <v>263</v>
      </c>
      <c r="L1186" s="29">
        <v>19000</v>
      </c>
      <c r="N1186" s="29">
        <v>19000</v>
      </c>
      <c r="O1186" t="s">
        <v>264</v>
      </c>
      <c r="Q1186" t="s">
        <v>264</v>
      </c>
      <c r="R1186" t="s">
        <v>265</v>
      </c>
      <c r="S1186">
        <v>14860</v>
      </c>
      <c r="T1186" t="s">
        <v>266</v>
      </c>
      <c r="U1186" t="s">
        <v>267</v>
      </c>
      <c r="V1186" t="s">
        <v>273</v>
      </c>
      <c r="W1186" t="s">
        <v>274</v>
      </c>
      <c r="X1186">
        <v>1935916</v>
      </c>
      <c r="Y1186" s="6">
        <v>44802</v>
      </c>
      <c r="Z1186" t="s">
        <v>264</v>
      </c>
      <c r="AA1186">
        <v>3</v>
      </c>
      <c r="AB1186" t="s">
        <v>264</v>
      </c>
      <c r="AD1186" t="s">
        <v>264</v>
      </c>
      <c r="AE1186" t="s">
        <v>264</v>
      </c>
      <c r="AF1186" t="s">
        <v>264</v>
      </c>
      <c r="AG1186">
        <v>1</v>
      </c>
      <c r="AH1186" t="s">
        <v>264</v>
      </c>
      <c r="AI1186">
        <v>55143121</v>
      </c>
      <c r="AJ1186" t="s">
        <v>1045</v>
      </c>
      <c r="AL1186">
        <v>62020800228842</v>
      </c>
      <c r="AM1186" s="6">
        <v>44796</v>
      </c>
      <c r="AN1186" t="s">
        <v>388</v>
      </c>
      <c r="AO1186" t="s">
        <v>268</v>
      </c>
      <c r="AP1186">
        <v>1201</v>
      </c>
      <c r="AQ1186" t="s">
        <v>269</v>
      </c>
      <c r="AR1186" t="s">
        <v>1047</v>
      </c>
      <c r="AU1186" t="s">
        <v>264</v>
      </c>
      <c r="AV1186" t="s">
        <v>270</v>
      </c>
      <c r="AX1186">
        <v>22002838</v>
      </c>
      <c r="AY1186">
        <v>920700</v>
      </c>
      <c r="AZ1186">
        <v>1201.9206999999999</v>
      </c>
      <c r="BA1186" s="28" t="s">
        <v>99</v>
      </c>
    </row>
    <row r="1187" spans="1:53">
      <c r="A1187" t="s">
        <v>956</v>
      </c>
      <c r="B1187" t="s">
        <v>957</v>
      </c>
      <c r="C1187">
        <v>22002820</v>
      </c>
      <c r="D1187">
        <v>1204</v>
      </c>
      <c r="E1187" s="6">
        <v>44784</v>
      </c>
      <c r="F1187" t="s">
        <v>1048</v>
      </c>
      <c r="G1187">
        <v>16.29</v>
      </c>
      <c r="H1187">
        <v>16.29</v>
      </c>
      <c r="I1187" t="s">
        <v>263</v>
      </c>
      <c r="J1187" t="s">
        <v>263</v>
      </c>
      <c r="L1187" s="29">
        <v>242000</v>
      </c>
      <c r="N1187" s="29">
        <v>242000</v>
      </c>
      <c r="O1187" t="s">
        <v>264</v>
      </c>
      <c r="Q1187" t="s">
        <v>264</v>
      </c>
      <c r="R1187" t="s">
        <v>265</v>
      </c>
      <c r="S1187">
        <v>14860</v>
      </c>
      <c r="T1187" t="s">
        <v>266</v>
      </c>
      <c r="U1187" t="s">
        <v>267</v>
      </c>
      <c r="V1187" t="s">
        <v>273</v>
      </c>
      <c r="W1187" t="s">
        <v>274</v>
      </c>
      <c r="X1187">
        <v>1930452</v>
      </c>
      <c r="Y1187" s="6">
        <v>44784</v>
      </c>
      <c r="Z1187" t="s">
        <v>956</v>
      </c>
      <c r="AA1187">
        <v>1</v>
      </c>
      <c r="AB1187" t="s">
        <v>264</v>
      </c>
      <c r="AD1187" t="s">
        <v>959</v>
      </c>
      <c r="AE1187" t="s">
        <v>264</v>
      </c>
      <c r="AF1187" t="s">
        <v>264</v>
      </c>
      <c r="AH1187" t="s">
        <v>264</v>
      </c>
      <c r="AI1187">
        <v>55117880</v>
      </c>
      <c r="AJ1187" t="s">
        <v>850</v>
      </c>
      <c r="AL1187">
        <v>22.373803909999999</v>
      </c>
      <c r="AM1187" s="6">
        <v>44768</v>
      </c>
      <c r="AN1187" t="s">
        <v>268</v>
      </c>
      <c r="AO1187" t="s">
        <v>268</v>
      </c>
      <c r="AP1187">
        <v>1204</v>
      </c>
      <c r="AQ1187" t="s">
        <v>269</v>
      </c>
      <c r="AR1187" t="s">
        <v>1049</v>
      </c>
      <c r="AU1187" t="s">
        <v>264</v>
      </c>
      <c r="AV1187" t="s">
        <v>270</v>
      </c>
      <c r="AX1187">
        <v>22001377</v>
      </c>
      <c r="AY1187">
        <v>920700</v>
      </c>
      <c r="AZ1187">
        <v>1204.9206999999999</v>
      </c>
      <c r="BA1187" s="28" t="s">
        <v>247</v>
      </c>
    </row>
    <row r="1188" spans="1:53">
      <c r="A1188" t="s">
        <v>956</v>
      </c>
      <c r="B1188" t="s">
        <v>957</v>
      </c>
      <c r="C1188">
        <v>22002825</v>
      </c>
      <c r="D1188">
        <v>1204</v>
      </c>
      <c r="E1188" s="6">
        <v>44784</v>
      </c>
      <c r="F1188" t="s">
        <v>1050</v>
      </c>
      <c r="G1188">
        <v>4.8099999999999996</v>
      </c>
      <c r="H1188">
        <v>4.8099999999999996</v>
      </c>
      <c r="I1188" t="s">
        <v>263</v>
      </c>
      <c r="J1188" t="s">
        <v>263</v>
      </c>
      <c r="L1188" s="29">
        <v>71500</v>
      </c>
      <c r="N1188" s="29">
        <v>71500</v>
      </c>
      <c r="O1188" t="s">
        <v>264</v>
      </c>
      <c r="Q1188" t="s">
        <v>264</v>
      </c>
      <c r="R1188" t="s">
        <v>265</v>
      </c>
      <c r="S1188">
        <v>14860</v>
      </c>
      <c r="T1188" t="s">
        <v>266</v>
      </c>
      <c r="U1188" t="s">
        <v>267</v>
      </c>
      <c r="V1188" t="s">
        <v>273</v>
      </c>
      <c r="W1188" t="s">
        <v>274</v>
      </c>
      <c r="X1188">
        <v>1930488</v>
      </c>
      <c r="Y1188" s="6">
        <v>44784</v>
      </c>
      <c r="Z1188" t="s">
        <v>956</v>
      </c>
      <c r="AA1188">
        <v>1</v>
      </c>
      <c r="AB1188" t="s">
        <v>264</v>
      </c>
      <c r="AD1188" t="s">
        <v>959</v>
      </c>
      <c r="AE1188" t="s">
        <v>264</v>
      </c>
      <c r="AF1188" t="s">
        <v>264</v>
      </c>
      <c r="AH1188" t="s">
        <v>264</v>
      </c>
      <c r="AI1188">
        <v>56343301</v>
      </c>
      <c r="AJ1188" t="s">
        <v>914</v>
      </c>
      <c r="AL1188" t="s">
        <v>937</v>
      </c>
      <c r="AM1188" s="6">
        <v>44749</v>
      </c>
      <c r="AN1188" t="s">
        <v>268</v>
      </c>
      <c r="AO1188" t="s">
        <v>268</v>
      </c>
      <c r="AP1188">
        <v>1204</v>
      </c>
      <c r="AQ1188" t="s">
        <v>269</v>
      </c>
      <c r="AR1188" t="s">
        <v>1011</v>
      </c>
      <c r="AU1188" t="s">
        <v>264</v>
      </c>
      <c r="AV1188" t="s">
        <v>270</v>
      </c>
      <c r="AX1188">
        <v>22001375</v>
      </c>
      <c r="AY1188">
        <v>920700</v>
      </c>
      <c r="AZ1188">
        <v>1204.9206999999999</v>
      </c>
      <c r="BA1188" s="28" t="s">
        <v>247</v>
      </c>
    </row>
    <row r="1189" spans="1:53">
      <c r="A1189" t="s">
        <v>956</v>
      </c>
      <c r="B1189" t="s">
        <v>957</v>
      </c>
      <c r="C1189">
        <v>22002826</v>
      </c>
      <c r="D1189">
        <v>1204</v>
      </c>
      <c r="E1189" s="6">
        <v>44785</v>
      </c>
      <c r="F1189" t="s">
        <v>1051</v>
      </c>
      <c r="G1189">
        <v>54.32</v>
      </c>
      <c r="H1189">
        <v>54.32</v>
      </c>
      <c r="I1189" t="s">
        <v>263</v>
      </c>
      <c r="J1189" t="s">
        <v>263</v>
      </c>
      <c r="L1189" s="29">
        <v>807264.37</v>
      </c>
      <c r="N1189" s="29">
        <v>807264.37</v>
      </c>
      <c r="O1189" t="s">
        <v>264</v>
      </c>
      <c r="Q1189" t="s">
        <v>264</v>
      </c>
      <c r="R1189" t="s">
        <v>265</v>
      </c>
      <c r="S1189">
        <v>14860</v>
      </c>
      <c r="T1189" t="s">
        <v>266</v>
      </c>
      <c r="U1189" t="s">
        <v>267</v>
      </c>
      <c r="V1189" t="s">
        <v>273</v>
      </c>
      <c r="W1189" t="s">
        <v>274</v>
      </c>
      <c r="X1189">
        <v>1930551</v>
      </c>
      <c r="Y1189" s="6">
        <v>44785</v>
      </c>
      <c r="Z1189" t="s">
        <v>956</v>
      </c>
      <c r="AA1189">
        <v>1</v>
      </c>
      <c r="AB1189" t="s">
        <v>264</v>
      </c>
      <c r="AD1189" t="s">
        <v>959</v>
      </c>
      <c r="AE1189" t="s">
        <v>264</v>
      </c>
      <c r="AF1189" t="s">
        <v>264</v>
      </c>
      <c r="AH1189" t="s">
        <v>264</v>
      </c>
      <c r="AI1189">
        <v>55417891</v>
      </c>
      <c r="AJ1189" t="s">
        <v>598</v>
      </c>
      <c r="AL1189" t="s">
        <v>622</v>
      </c>
      <c r="AM1189" s="6">
        <v>44774</v>
      </c>
      <c r="AN1189" t="s">
        <v>268</v>
      </c>
      <c r="AO1189" t="s">
        <v>268</v>
      </c>
      <c r="AP1189">
        <v>1204</v>
      </c>
      <c r="AQ1189" t="s">
        <v>269</v>
      </c>
      <c r="AR1189" t="s">
        <v>1052</v>
      </c>
      <c r="AU1189" t="s">
        <v>264</v>
      </c>
      <c r="AV1189" t="s">
        <v>270</v>
      </c>
      <c r="AX1189">
        <v>22001370</v>
      </c>
      <c r="AY1189">
        <v>920700</v>
      </c>
      <c r="AZ1189">
        <v>1204.9206999999999</v>
      </c>
      <c r="BA1189" s="28" t="s">
        <v>247</v>
      </c>
    </row>
    <row r="1190" spans="1:53">
      <c r="A1190" t="s">
        <v>956</v>
      </c>
      <c r="B1190" t="s">
        <v>957</v>
      </c>
      <c r="C1190">
        <v>22002830</v>
      </c>
      <c r="D1190">
        <v>1204</v>
      </c>
      <c r="E1190" s="6">
        <v>44785</v>
      </c>
      <c r="F1190" t="s">
        <v>1053</v>
      </c>
      <c r="G1190">
        <v>886.76</v>
      </c>
      <c r="H1190">
        <v>886.76</v>
      </c>
      <c r="I1190" t="s">
        <v>263</v>
      </c>
      <c r="J1190" t="s">
        <v>263</v>
      </c>
      <c r="L1190" s="29">
        <v>13177203</v>
      </c>
      <c r="N1190" s="29">
        <v>13177203</v>
      </c>
      <c r="O1190" t="s">
        <v>264</v>
      </c>
      <c r="Q1190" t="s">
        <v>264</v>
      </c>
      <c r="R1190" t="s">
        <v>265</v>
      </c>
      <c r="S1190">
        <v>14860</v>
      </c>
      <c r="T1190" t="s">
        <v>266</v>
      </c>
      <c r="U1190" t="s">
        <v>267</v>
      </c>
      <c r="V1190" t="s">
        <v>273</v>
      </c>
      <c r="W1190" t="s">
        <v>274</v>
      </c>
      <c r="X1190">
        <v>1930588</v>
      </c>
      <c r="Y1190" s="6">
        <v>44785</v>
      </c>
      <c r="Z1190" t="s">
        <v>956</v>
      </c>
      <c r="AA1190">
        <v>1</v>
      </c>
      <c r="AB1190" t="s">
        <v>264</v>
      </c>
      <c r="AD1190" t="s">
        <v>959</v>
      </c>
      <c r="AE1190" t="s">
        <v>264</v>
      </c>
      <c r="AF1190" t="s">
        <v>264</v>
      </c>
      <c r="AH1190" t="s">
        <v>264</v>
      </c>
      <c r="AI1190">
        <v>57313681</v>
      </c>
      <c r="AJ1190" t="s">
        <v>446</v>
      </c>
      <c r="AL1190" t="s">
        <v>447</v>
      </c>
      <c r="AM1190" s="6">
        <v>44773</v>
      </c>
      <c r="AN1190" t="s">
        <v>268</v>
      </c>
      <c r="AO1190" t="s">
        <v>268</v>
      </c>
      <c r="AP1190">
        <v>1204</v>
      </c>
      <c r="AQ1190" t="s">
        <v>269</v>
      </c>
      <c r="AR1190" t="s">
        <v>1054</v>
      </c>
      <c r="AU1190" t="s">
        <v>264</v>
      </c>
      <c r="AV1190" t="s">
        <v>270</v>
      </c>
      <c r="AX1190">
        <v>22001392</v>
      </c>
      <c r="AY1190">
        <v>920700</v>
      </c>
      <c r="AZ1190">
        <v>1204.9206999999999</v>
      </c>
      <c r="BA1190" s="28" t="s">
        <v>247</v>
      </c>
    </row>
    <row r="1191" spans="1:53">
      <c r="A1191" t="s">
        <v>956</v>
      </c>
      <c r="B1191" t="s">
        <v>957</v>
      </c>
      <c r="C1191">
        <v>22002871</v>
      </c>
      <c r="D1191">
        <v>1204</v>
      </c>
      <c r="E1191" s="6">
        <v>44789</v>
      </c>
      <c r="F1191" t="s">
        <v>1055</v>
      </c>
      <c r="G1191">
        <v>77.73</v>
      </c>
      <c r="H1191">
        <v>77.73</v>
      </c>
      <c r="I1191" t="s">
        <v>263</v>
      </c>
      <c r="J1191" t="s">
        <v>263</v>
      </c>
      <c r="L1191" s="29">
        <v>1155000</v>
      </c>
      <c r="N1191" s="29">
        <v>1155000</v>
      </c>
      <c r="O1191" t="s">
        <v>264</v>
      </c>
      <c r="Q1191" t="s">
        <v>264</v>
      </c>
      <c r="R1191" t="s">
        <v>265</v>
      </c>
      <c r="S1191">
        <v>14860</v>
      </c>
      <c r="T1191" t="s">
        <v>266</v>
      </c>
      <c r="U1191" t="s">
        <v>267</v>
      </c>
      <c r="V1191" t="s">
        <v>273</v>
      </c>
      <c r="W1191" t="s">
        <v>274</v>
      </c>
      <c r="X1191">
        <v>1933033</v>
      </c>
      <c r="Y1191" s="6">
        <v>44789</v>
      </c>
      <c r="Z1191" t="s">
        <v>956</v>
      </c>
      <c r="AA1191">
        <v>1</v>
      </c>
      <c r="AB1191" t="s">
        <v>264</v>
      </c>
      <c r="AD1191" t="s">
        <v>959</v>
      </c>
      <c r="AE1191" t="s">
        <v>264</v>
      </c>
      <c r="AF1191" t="s">
        <v>264</v>
      </c>
      <c r="AH1191" t="s">
        <v>264</v>
      </c>
      <c r="AI1191">
        <v>55497042</v>
      </c>
      <c r="AJ1191" t="s">
        <v>276</v>
      </c>
      <c r="AL1191" t="s">
        <v>449</v>
      </c>
      <c r="AM1191" s="6">
        <v>44774</v>
      </c>
      <c r="AN1191" t="s">
        <v>268</v>
      </c>
      <c r="AO1191" t="s">
        <v>268</v>
      </c>
      <c r="AP1191">
        <v>1204</v>
      </c>
      <c r="AQ1191" t="s">
        <v>269</v>
      </c>
      <c r="AR1191" t="s">
        <v>1056</v>
      </c>
      <c r="AU1191" t="s">
        <v>264</v>
      </c>
      <c r="AV1191" t="s">
        <v>270</v>
      </c>
      <c r="AX1191">
        <v>22001393</v>
      </c>
      <c r="AY1191">
        <v>920700</v>
      </c>
      <c r="AZ1191">
        <v>1204.9206999999999</v>
      </c>
      <c r="BA1191" s="28" t="s">
        <v>247</v>
      </c>
    </row>
    <row r="1192" spans="1:53">
      <c r="A1192" t="s">
        <v>271</v>
      </c>
      <c r="B1192" t="s">
        <v>272</v>
      </c>
      <c r="C1192">
        <v>22002875</v>
      </c>
      <c r="D1192">
        <v>1204</v>
      </c>
      <c r="E1192" s="6">
        <v>44791</v>
      </c>
      <c r="F1192" t="s">
        <v>1045</v>
      </c>
      <c r="G1192">
        <v>67.83</v>
      </c>
      <c r="H1192">
        <v>67.83</v>
      </c>
      <c r="I1192" t="s">
        <v>263</v>
      </c>
      <c r="J1192" t="s">
        <v>263</v>
      </c>
      <c r="L1192" s="29">
        <v>1008000</v>
      </c>
      <c r="N1192" s="29">
        <v>1008000</v>
      </c>
      <c r="O1192" t="s">
        <v>264</v>
      </c>
      <c r="Q1192" t="s">
        <v>264</v>
      </c>
      <c r="R1192" t="s">
        <v>265</v>
      </c>
      <c r="S1192">
        <v>14860</v>
      </c>
      <c r="T1192" t="s">
        <v>266</v>
      </c>
      <c r="U1192" t="s">
        <v>267</v>
      </c>
      <c r="V1192" t="s">
        <v>273</v>
      </c>
      <c r="W1192" t="s">
        <v>274</v>
      </c>
      <c r="X1192">
        <v>1933200</v>
      </c>
      <c r="Y1192" s="6">
        <v>44791</v>
      </c>
      <c r="Z1192" t="s">
        <v>264</v>
      </c>
      <c r="AA1192">
        <v>3</v>
      </c>
      <c r="AB1192" t="s">
        <v>264</v>
      </c>
      <c r="AD1192" t="s">
        <v>264</v>
      </c>
      <c r="AE1192" t="s">
        <v>264</v>
      </c>
      <c r="AF1192" t="s">
        <v>264</v>
      </c>
      <c r="AG1192">
        <v>1</v>
      </c>
      <c r="AH1192" t="s">
        <v>264</v>
      </c>
      <c r="AI1192">
        <v>55143121</v>
      </c>
      <c r="AJ1192" t="s">
        <v>1045</v>
      </c>
      <c r="AL1192">
        <v>620220800171452</v>
      </c>
      <c r="AM1192" s="6">
        <v>44791</v>
      </c>
      <c r="AN1192" t="s">
        <v>275</v>
      </c>
      <c r="AO1192" t="s">
        <v>268</v>
      </c>
      <c r="AP1192">
        <v>1204</v>
      </c>
      <c r="AQ1192" t="s">
        <v>269</v>
      </c>
      <c r="AR1192" t="s">
        <v>1057</v>
      </c>
      <c r="AU1192" t="s">
        <v>264</v>
      </c>
      <c r="AV1192" t="s">
        <v>270</v>
      </c>
      <c r="AX1192">
        <v>22001398</v>
      </c>
      <c r="AY1192">
        <v>920700</v>
      </c>
      <c r="AZ1192">
        <v>1204.9206999999999</v>
      </c>
      <c r="BA1192" s="28" t="s">
        <v>247</v>
      </c>
    </row>
    <row r="1193" spans="1:53">
      <c r="A1193" t="s">
        <v>271</v>
      </c>
      <c r="B1193" t="s">
        <v>272</v>
      </c>
      <c r="C1193">
        <v>22002901</v>
      </c>
      <c r="D1193">
        <v>1204</v>
      </c>
      <c r="E1193" s="6">
        <v>44799</v>
      </c>
      <c r="F1193" t="s">
        <v>1058</v>
      </c>
      <c r="G1193">
        <v>-53.84</v>
      </c>
      <c r="I1193" t="s">
        <v>263</v>
      </c>
      <c r="J1193" t="s">
        <v>263</v>
      </c>
      <c r="K1193">
        <v>-53.84</v>
      </c>
      <c r="M1193" s="29">
        <v>-800000</v>
      </c>
      <c r="N1193" s="29">
        <v>-800000</v>
      </c>
      <c r="O1193" t="s">
        <v>264</v>
      </c>
      <c r="Q1193" t="s">
        <v>264</v>
      </c>
      <c r="R1193" t="s">
        <v>265</v>
      </c>
      <c r="S1193">
        <v>14860</v>
      </c>
      <c r="T1193" t="s">
        <v>266</v>
      </c>
      <c r="U1193" t="s">
        <v>267</v>
      </c>
      <c r="V1193" t="s">
        <v>273</v>
      </c>
      <c r="W1193" t="s">
        <v>274</v>
      </c>
      <c r="X1193">
        <v>1935376</v>
      </c>
      <c r="Y1193" s="6">
        <v>44799</v>
      </c>
      <c r="Z1193" t="s">
        <v>264</v>
      </c>
      <c r="AA1193">
        <v>2</v>
      </c>
      <c r="AB1193" t="s">
        <v>264</v>
      </c>
      <c r="AD1193" t="s">
        <v>264</v>
      </c>
      <c r="AE1193" t="s">
        <v>264</v>
      </c>
      <c r="AF1193" t="s">
        <v>264</v>
      </c>
      <c r="AH1193" t="s">
        <v>264</v>
      </c>
      <c r="AI1193">
        <v>55706756</v>
      </c>
      <c r="AJ1193" t="s">
        <v>1058</v>
      </c>
      <c r="AL1193" t="s">
        <v>1059</v>
      </c>
      <c r="AM1193" s="6">
        <v>44799</v>
      </c>
      <c r="AN1193" t="s">
        <v>275</v>
      </c>
      <c r="AO1193" t="s">
        <v>268</v>
      </c>
      <c r="AP1193">
        <v>1204</v>
      </c>
      <c r="AQ1193" t="s">
        <v>269</v>
      </c>
      <c r="AR1193" t="s">
        <v>400</v>
      </c>
      <c r="AT1193" s="6">
        <v>44799</v>
      </c>
      <c r="AU1193" t="s">
        <v>264</v>
      </c>
      <c r="AV1193" t="s">
        <v>270</v>
      </c>
      <c r="AX1193" t="s">
        <v>264</v>
      </c>
      <c r="AY1193">
        <v>920700</v>
      </c>
      <c r="AZ1193">
        <v>1204.9206999999999</v>
      </c>
      <c r="BA1193" s="28" t="s">
        <v>247</v>
      </c>
    </row>
    <row r="1194" spans="1:53">
      <c r="A1194" t="s">
        <v>271</v>
      </c>
      <c r="B1194" t="s">
        <v>272</v>
      </c>
      <c r="C1194">
        <v>22002901</v>
      </c>
      <c r="D1194">
        <v>1204</v>
      </c>
      <c r="E1194" s="6">
        <v>44799</v>
      </c>
      <c r="F1194" t="s">
        <v>1058</v>
      </c>
      <c r="G1194">
        <v>53.84</v>
      </c>
      <c r="H1194">
        <v>53.84</v>
      </c>
      <c r="I1194" t="s">
        <v>263</v>
      </c>
      <c r="J1194" t="s">
        <v>263</v>
      </c>
      <c r="L1194" s="29">
        <v>800000</v>
      </c>
      <c r="N1194" s="29">
        <v>800000</v>
      </c>
      <c r="O1194" t="s">
        <v>264</v>
      </c>
      <c r="Q1194" t="s">
        <v>264</v>
      </c>
      <c r="R1194" t="s">
        <v>265</v>
      </c>
      <c r="S1194">
        <v>14860</v>
      </c>
      <c r="T1194" t="s">
        <v>266</v>
      </c>
      <c r="U1194" t="s">
        <v>267</v>
      </c>
      <c r="V1194" t="s">
        <v>273</v>
      </c>
      <c r="W1194" t="s">
        <v>274</v>
      </c>
      <c r="X1194">
        <v>1935376</v>
      </c>
      <c r="Y1194" s="6">
        <v>44799</v>
      </c>
      <c r="Z1194" t="s">
        <v>264</v>
      </c>
      <c r="AA1194">
        <v>1</v>
      </c>
      <c r="AB1194" t="s">
        <v>264</v>
      </c>
      <c r="AD1194" t="s">
        <v>264</v>
      </c>
      <c r="AE1194" t="s">
        <v>264</v>
      </c>
      <c r="AF1194" t="s">
        <v>264</v>
      </c>
      <c r="AH1194" t="s">
        <v>264</v>
      </c>
      <c r="AI1194">
        <v>55706756</v>
      </c>
      <c r="AJ1194" t="s">
        <v>1058</v>
      </c>
      <c r="AL1194" t="s">
        <v>1059</v>
      </c>
      <c r="AM1194" s="6">
        <v>44799</v>
      </c>
      <c r="AN1194" t="s">
        <v>275</v>
      </c>
      <c r="AO1194" t="s">
        <v>268</v>
      </c>
      <c r="AP1194">
        <v>1204</v>
      </c>
      <c r="AQ1194" t="s">
        <v>269</v>
      </c>
      <c r="AR1194" t="s">
        <v>400</v>
      </c>
      <c r="AU1194" t="s">
        <v>264</v>
      </c>
      <c r="AV1194" t="s">
        <v>270</v>
      </c>
      <c r="AX1194" t="s">
        <v>264</v>
      </c>
      <c r="AY1194">
        <v>920700</v>
      </c>
      <c r="AZ1194">
        <v>1204.9206999999999</v>
      </c>
      <c r="BA1194" s="28" t="s">
        <v>247</v>
      </c>
    </row>
    <row r="1195" spans="1:53">
      <c r="A1195" t="s">
        <v>271</v>
      </c>
      <c r="B1195" t="s">
        <v>272</v>
      </c>
      <c r="C1195">
        <v>22002899</v>
      </c>
      <c r="D1195">
        <v>1205</v>
      </c>
      <c r="E1195" s="6">
        <v>44775</v>
      </c>
      <c r="F1195" t="s">
        <v>1045</v>
      </c>
      <c r="G1195">
        <v>606.84</v>
      </c>
      <c r="H1195">
        <v>606.84</v>
      </c>
      <c r="I1195" t="s">
        <v>263</v>
      </c>
      <c r="J1195" t="s">
        <v>263</v>
      </c>
      <c r="L1195" s="29">
        <v>9031000</v>
      </c>
      <c r="N1195" s="29">
        <v>9031000</v>
      </c>
      <c r="O1195" t="s">
        <v>264</v>
      </c>
      <c r="Q1195" t="s">
        <v>264</v>
      </c>
      <c r="R1195" t="s">
        <v>265</v>
      </c>
      <c r="S1195">
        <v>14882</v>
      </c>
      <c r="T1195" t="s">
        <v>266</v>
      </c>
      <c r="U1195" t="s">
        <v>267</v>
      </c>
      <c r="V1195" t="s">
        <v>273</v>
      </c>
      <c r="W1195" t="s">
        <v>274</v>
      </c>
      <c r="X1195">
        <v>1925712</v>
      </c>
      <c r="Y1195" s="6">
        <v>44775</v>
      </c>
      <c r="Z1195" t="s">
        <v>264</v>
      </c>
      <c r="AA1195">
        <v>3</v>
      </c>
      <c r="AB1195" t="s">
        <v>264</v>
      </c>
      <c r="AD1195" t="s">
        <v>264</v>
      </c>
      <c r="AE1195" t="s">
        <v>264</v>
      </c>
      <c r="AF1195" t="s">
        <v>264</v>
      </c>
      <c r="AG1195">
        <v>1</v>
      </c>
      <c r="AH1195" t="s">
        <v>264</v>
      </c>
      <c r="AI1195">
        <v>55143121</v>
      </c>
      <c r="AJ1195" t="s">
        <v>1045</v>
      </c>
      <c r="AL1195">
        <v>620220800013690</v>
      </c>
      <c r="AM1195" s="6">
        <v>44775</v>
      </c>
      <c r="AN1195" t="s">
        <v>275</v>
      </c>
      <c r="AO1195" t="s">
        <v>268</v>
      </c>
      <c r="AP1195">
        <v>1205</v>
      </c>
      <c r="AQ1195" t="s">
        <v>269</v>
      </c>
      <c r="AR1195" t="s">
        <v>1060</v>
      </c>
      <c r="AU1195" t="s">
        <v>264</v>
      </c>
      <c r="AV1195" t="s">
        <v>270</v>
      </c>
      <c r="AX1195">
        <v>22001340</v>
      </c>
      <c r="AY1195">
        <v>920700</v>
      </c>
      <c r="AZ1195">
        <v>1205.9206999999999</v>
      </c>
      <c r="BA1195" s="28" t="s">
        <v>248</v>
      </c>
    </row>
    <row r="1196" spans="1:53">
      <c r="A1196" t="s">
        <v>956</v>
      </c>
      <c r="B1196" t="s">
        <v>957</v>
      </c>
      <c r="C1196">
        <v>22002992</v>
      </c>
      <c r="D1196">
        <v>1205</v>
      </c>
      <c r="E1196" s="6">
        <v>44784</v>
      </c>
      <c r="F1196" t="s">
        <v>1061</v>
      </c>
      <c r="G1196">
        <v>16.29</v>
      </c>
      <c r="H1196">
        <v>16.29</v>
      </c>
      <c r="I1196" t="s">
        <v>263</v>
      </c>
      <c r="J1196" t="s">
        <v>263</v>
      </c>
      <c r="L1196" s="29">
        <v>242000</v>
      </c>
      <c r="N1196" s="29">
        <v>242000</v>
      </c>
      <c r="O1196" t="s">
        <v>264</v>
      </c>
      <c r="Q1196" t="s">
        <v>264</v>
      </c>
      <c r="R1196" t="s">
        <v>265</v>
      </c>
      <c r="S1196">
        <v>14860</v>
      </c>
      <c r="T1196" t="s">
        <v>266</v>
      </c>
      <c r="U1196" t="s">
        <v>267</v>
      </c>
      <c r="V1196" t="s">
        <v>273</v>
      </c>
      <c r="W1196" t="s">
        <v>274</v>
      </c>
      <c r="X1196">
        <v>1930450</v>
      </c>
      <c r="Y1196" s="6">
        <v>44784</v>
      </c>
      <c r="Z1196" t="s">
        <v>956</v>
      </c>
      <c r="AA1196">
        <v>1</v>
      </c>
      <c r="AB1196" t="s">
        <v>264</v>
      </c>
      <c r="AD1196" t="s">
        <v>959</v>
      </c>
      <c r="AE1196" t="s">
        <v>264</v>
      </c>
      <c r="AF1196" t="s">
        <v>264</v>
      </c>
      <c r="AH1196" t="s">
        <v>264</v>
      </c>
      <c r="AI1196">
        <v>55117880</v>
      </c>
      <c r="AJ1196" t="s">
        <v>850</v>
      </c>
      <c r="AL1196">
        <v>22.373803899999999</v>
      </c>
      <c r="AM1196" s="6">
        <v>44784</v>
      </c>
      <c r="AN1196" t="s">
        <v>268</v>
      </c>
      <c r="AO1196" t="s">
        <v>268</v>
      </c>
      <c r="AP1196">
        <v>1205</v>
      </c>
      <c r="AQ1196" t="s">
        <v>269</v>
      </c>
      <c r="AR1196" t="s">
        <v>1062</v>
      </c>
      <c r="AU1196" t="s">
        <v>264</v>
      </c>
      <c r="AV1196" t="s">
        <v>270</v>
      </c>
      <c r="AX1196">
        <v>22001353</v>
      </c>
      <c r="AY1196">
        <v>920700</v>
      </c>
      <c r="AZ1196">
        <v>1205.9206999999999</v>
      </c>
      <c r="BA1196" s="28" t="s">
        <v>248</v>
      </c>
    </row>
    <row r="1197" spans="1:53">
      <c r="A1197" t="s">
        <v>956</v>
      </c>
      <c r="B1197" t="s">
        <v>957</v>
      </c>
      <c r="C1197">
        <v>22002994</v>
      </c>
      <c r="D1197">
        <v>1205</v>
      </c>
      <c r="E1197" s="6">
        <v>44784</v>
      </c>
      <c r="F1197" t="s">
        <v>1063</v>
      </c>
      <c r="G1197">
        <v>4.49</v>
      </c>
      <c r="H1197">
        <v>4.49</v>
      </c>
      <c r="I1197" t="s">
        <v>263</v>
      </c>
      <c r="J1197" t="s">
        <v>263</v>
      </c>
      <c r="L1197" s="29">
        <v>66710</v>
      </c>
      <c r="N1197" s="29">
        <v>66710</v>
      </c>
      <c r="O1197" t="s">
        <v>264</v>
      </c>
      <c r="Q1197" t="s">
        <v>264</v>
      </c>
      <c r="R1197" t="s">
        <v>265</v>
      </c>
      <c r="S1197">
        <v>14860</v>
      </c>
      <c r="T1197" t="s">
        <v>266</v>
      </c>
      <c r="U1197" t="s">
        <v>267</v>
      </c>
      <c r="V1197" t="s">
        <v>273</v>
      </c>
      <c r="W1197" t="s">
        <v>274</v>
      </c>
      <c r="X1197">
        <v>1930484</v>
      </c>
      <c r="Y1197" s="6">
        <v>44784</v>
      </c>
      <c r="Z1197" t="s">
        <v>956</v>
      </c>
      <c r="AA1197">
        <v>1</v>
      </c>
      <c r="AB1197" t="s">
        <v>264</v>
      </c>
      <c r="AD1197" t="s">
        <v>959</v>
      </c>
      <c r="AE1197" t="s">
        <v>264</v>
      </c>
      <c r="AF1197" t="s">
        <v>264</v>
      </c>
      <c r="AH1197" t="s">
        <v>264</v>
      </c>
      <c r="AI1197">
        <v>56343301</v>
      </c>
      <c r="AJ1197" t="s">
        <v>914</v>
      </c>
      <c r="AL1197" t="s">
        <v>946</v>
      </c>
      <c r="AM1197" s="6">
        <v>44749</v>
      </c>
      <c r="AN1197" t="s">
        <v>268</v>
      </c>
      <c r="AO1197" t="s">
        <v>268</v>
      </c>
      <c r="AP1197">
        <v>1205</v>
      </c>
      <c r="AQ1197" t="s">
        <v>269</v>
      </c>
      <c r="AR1197" t="s">
        <v>1064</v>
      </c>
      <c r="AU1197" t="s">
        <v>264</v>
      </c>
      <c r="AV1197" t="s">
        <v>270</v>
      </c>
      <c r="AX1197">
        <v>22001354</v>
      </c>
      <c r="AY1197">
        <v>920700</v>
      </c>
      <c r="AZ1197">
        <v>1205.9206999999999</v>
      </c>
      <c r="BA1197" s="28" t="s">
        <v>248</v>
      </c>
    </row>
    <row r="1198" spans="1:53">
      <c r="A1198" t="s">
        <v>956</v>
      </c>
      <c r="B1198" t="s">
        <v>957</v>
      </c>
      <c r="C1198">
        <v>22002995</v>
      </c>
      <c r="D1198">
        <v>1205</v>
      </c>
      <c r="E1198" s="6">
        <v>44785</v>
      </c>
      <c r="F1198" t="s">
        <v>1065</v>
      </c>
      <c r="G1198">
        <v>51.71</v>
      </c>
      <c r="H1198">
        <v>51.71</v>
      </c>
      <c r="I1198" t="s">
        <v>263</v>
      </c>
      <c r="J1198" t="s">
        <v>263</v>
      </c>
      <c r="L1198" s="29">
        <v>768466.49</v>
      </c>
      <c r="N1198" s="29">
        <v>768466.49</v>
      </c>
      <c r="O1198" t="s">
        <v>264</v>
      </c>
      <c r="Q1198" t="s">
        <v>264</v>
      </c>
      <c r="R1198" t="s">
        <v>265</v>
      </c>
      <c r="S1198">
        <v>14860</v>
      </c>
      <c r="T1198" t="s">
        <v>266</v>
      </c>
      <c r="U1198" t="s">
        <v>267</v>
      </c>
      <c r="V1198" t="s">
        <v>273</v>
      </c>
      <c r="W1198" t="s">
        <v>274</v>
      </c>
      <c r="X1198">
        <v>1930559</v>
      </c>
      <c r="Y1198" s="6">
        <v>44785</v>
      </c>
      <c r="Z1198" t="s">
        <v>956</v>
      </c>
      <c r="AA1198">
        <v>1</v>
      </c>
      <c r="AB1198" t="s">
        <v>264</v>
      </c>
      <c r="AD1198" t="s">
        <v>959</v>
      </c>
      <c r="AE1198" t="s">
        <v>264</v>
      </c>
      <c r="AF1198" t="s">
        <v>264</v>
      </c>
      <c r="AH1198" t="s">
        <v>264</v>
      </c>
      <c r="AI1198">
        <v>55417891</v>
      </c>
      <c r="AJ1198" t="s">
        <v>598</v>
      </c>
      <c r="AL1198" t="s">
        <v>633</v>
      </c>
      <c r="AM1198" s="6">
        <v>44774</v>
      </c>
      <c r="AN1198" t="s">
        <v>268</v>
      </c>
      <c r="AO1198" t="s">
        <v>268</v>
      </c>
      <c r="AP1198">
        <v>1205</v>
      </c>
      <c r="AQ1198" t="s">
        <v>269</v>
      </c>
      <c r="AR1198" t="s">
        <v>1066</v>
      </c>
      <c r="AU1198" t="s">
        <v>264</v>
      </c>
      <c r="AV1198" t="s">
        <v>270</v>
      </c>
      <c r="AX1198">
        <v>22001348</v>
      </c>
      <c r="AY1198">
        <v>920700</v>
      </c>
      <c r="AZ1198">
        <v>1205.9206999999999</v>
      </c>
      <c r="BA1198" s="28" t="s">
        <v>248</v>
      </c>
    </row>
    <row r="1199" spans="1:53">
      <c r="A1199" t="s">
        <v>956</v>
      </c>
      <c r="B1199" t="s">
        <v>957</v>
      </c>
      <c r="C1199">
        <v>22003050</v>
      </c>
      <c r="D1199">
        <v>1205</v>
      </c>
      <c r="E1199" s="6">
        <v>44789</v>
      </c>
      <c r="F1199" t="s">
        <v>1067</v>
      </c>
      <c r="G1199">
        <v>77.73</v>
      </c>
      <c r="H1199">
        <v>77.73</v>
      </c>
      <c r="I1199" t="s">
        <v>263</v>
      </c>
      <c r="J1199" t="s">
        <v>263</v>
      </c>
      <c r="L1199" s="29">
        <v>1155000</v>
      </c>
      <c r="N1199" s="29">
        <v>1155000</v>
      </c>
      <c r="O1199" t="s">
        <v>264</v>
      </c>
      <c r="Q1199" t="s">
        <v>264</v>
      </c>
      <c r="R1199" t="s">
        <v>265</v>
      </c>
      <c r="S1199">
        <v>14860</v>
      </c>
      <c r="T1199" t="s">
        <v>266</v>
      </c>
      <c r="U1199" t="s">
        <v>267</v>
      </c>
      <c r="V1199" t="s">
        <v>273</v>
      </c>
      <c r="W1199" t="s">
        <v>274</v>
      </c>
      <c r="X1199">
        <v>1933026</v>
      </c>
      <c r="Y1199" s="6">
        <v>44789</v>
      </c>
      <c r="Z1199" t="s">
        <v>956</v>
      </c>
      <c r="AA1199">
        <v>1</v>
      </c>
      <c r="AB1199" t="s">
        <v>264</v>
      </c>
      <c r="AD1199" t="s">
        <v>959</v>
      </c>
      <c r="AE1199" t="s">
        <v>264</v>
      </c>
      <c r="AF1199" t="s">
        <v>264</v>
      </c>
      <c r="AH1199" t="s">
        <v>264</v>
      </c>
      <c r="AI1199">
        <v>55497042</v>
      </c>
      <c r="AJ1199" t="s">
        <v>276</v>
      </c>
      <c r="AL1199" t="s">
        <v>277</v>
      </c>
      <c r="AM1199" s="6">
        <v>44774</v>
      </c>
      <c r="AN1199" t="s">
        <v>268</v>
      </c>
      <c r="AO1199" t="s">
        <v>268</v>
      </c>
      <c r="AP1199">
        <v>1205</v>
      </c>
      <c r="AQ1199" t="s">
        <v>269</v>
      </c>
      <c r="AR1199" t="s">
        <v>1068</v>
      </c>
      <c r="AU1199" t="s">
        <v>264</v>
      </c>
      <c r="AV1199" t="s">
        <v>270</v>
      </c>
      <c r="AX1199">
        <v>22001362</v>
      </c>
      <c r="AY1199">
        <v>920700</v>
      </c>
      <c r="AZ1199">
        <v>1205.9206999999999</v>
      </c>
      <c r="BA1199" s="28" t="s">
        <v>248</v>
      </c>
    </row>
    <row r="1200" spans="1:53">
      <c r="A1200" t="s">
        <v>271</v>
      </c>
      <c r="B1200" t="s">
        <v>272</v>
      </c>
      <c r="C1200">
        <v>22003144</v>
      </c>
      <c r="D1200">
        <v>1205</v>
      </c>
      <c r="E1200" s="6">
        <v>44802</v>
      </c>
      <c r="F1200" t="s">
        <v>1161</v>
      </c>
      <c r="G1200">
        <v>8.08</v>
      </c>
      <c r="H1200">
        <v>8.08</v>
      </c>
      <c r="I1200" t="s">
        <v>263</v>
      </c>
      <c r="J1200" t="s">
        <v>263</v>
      </c>
      <c r="L1200" s="29">
        <v>120000</v>
      </c>
      <c r="N1200" s="29">
        <v>120000</v>
      </c>
      <c r="O1200" t="s">
        <v>264</v>
      </c>
      <c r="Q1200" t="s">
        <v>264</v>
      </c>
      <c r="R1200" t="s">
        <v>265</v>
      </c>
      <c r="S1200">
        <v>14860</v>
      </c>
      <c r="T1200" t="s">
        <v>266</v>
      </c>
      <c r="U1200" t="s">
        <v>267</v>
      </c>
      <c r="V1200" t="s">
        <v>273</v>
      </c>
      <c r="W1200" t="s">
        <v>274</v>
      </c>
      <c r="X1200">
        <v>1935634</v>
      </c>
      <c r="Y1200" s="6">
        <v>44802</v>
      </c>
      <c r="Z1200" t="s">
        <v>264</v>
      </c>
      <c r="AA1200">
        <v>1</v>
      </c>
      <c r="AB1200" t="s">
        <v>264</v>
      </c>
      <c r="AD1200" t="s">
        <v>264</v>
      </c>
      <c r="AE1200" t="s">
        <v>264</v>
      </c>
      <c r="AF1200" t="s">
        <v>264</v>
      </c>
      <c r="AH1200" t="s">
        <v>264</v>
      </c>
      <c r="AI1200">
        <v>57369360</v>
      </c>
      <c r="AJ1200" t="s">
        <v>1161</v>
      </c>
      <c r="AL1200" t="s">
        <v>1162</v>
      </c>
      <c r="AM1200" s="6">
        <v>44802</v>
      </c>
      <c r="AN1200" t="s">
        <v>275</v>
      </c>
      <c r="AO1200" t="s">
        <v>268</v>
      </c>
      <c r="AP1200">
        <v>1205</v>
      </c>
      <c r="AQ1200" t="s">
        <v>269</v>
      </c>
      <c r="AR1200" t="s">
        <v>400</v>
      </c>
      <c r="AU1200" t="s">
        <v>264</v>
      </c>
      <c r="AV1200" t="s">
        <v>270</v>
      </c>
      <c r="AX1200" t="s">
        <v>264</v>
      </c>
      <c r="AY1200">
        <v>920700</v>
      </c>
      <c r="AZ1200">
        <v>1205.9206999999999</v>
      </c>
      <c r="BA1200" s="28" t="s">
        <v>248</v>
      </c>
    </row>
    <row r="1201" spans="1:53">
      <c r="A1201" t="s">
        <v>956</v>
      </c>
      <c r="B1201" t="s">
        <v>957</v>
      </c>
      <c r="C1201">
        <v>22001533</v>
      </c>
      <c r="D1201">
        <v>1206</v>
      </c>
      <c r="E1201" s="6">
        <v>44784</v>
      </c>
      <c r="F1201" t="s">
        <v>1069</v>
      </c>
      <c r="G1201">
        <v>12.58</v>
      </c>
      <c r="H1201">
        <v>12.58</v>
      </c>
      <c r="I1201" t="s">
        <v>263</v>
      </c>
      <c r="J1201" t="s">
        <v>263</v>
      </c>
      <c r="L1201" s="29">
        <v>187000</v>
      </c>
      <c r="N1201" s="29">
        <v>187000</v>
      </c>
      <c r="O1201" t="s">
        <v>264</v>
      </c>
      <c r="Q1201" t="s">
        <v>264</v>
      </c>
      <c r="R1201" t="s">
        <v>265</v>
      </c>
      <c r="S1201">
        <v>14860</v>
      </c>
      <c r="T1201" t="s">
        <v>266</v>
      </c>
      <c r="U1201" t="s">
        <v>267</v>
      </c>
      <c r="V1201" t="s">
        <v>273</v>
      </c>
      <c r="W1201" t="s">
        <v>274</v>
      </c>
      <c r="X1201">
        <v>1930462</v>
      </c>
      <c r="Y1201" s="6">
        <v>44784</v>
      </c>
      <c r="Z1201" t="s">
        <v>956</v>
      </c>
      <c r="AA1201">
        <v>1</v>
      </c>
      <c r="AB1201" t="s">
        <v>264</v>
      </c>
      <c r="AD1201" t="s">
        <v>959</v>
      </c>
      <c r="AE1201" t="s">
        <v>264</v>
      </c>
      <c r="AF1201" t="s">
        <v>264</v>
      </c>
      <c r="AH1201" t="s">
        <v>264</v>
      </c>
      <c r="AI1201">
        <v>57357473</v>
      </c>
      <c r="AJ1201" t="s">
        <v>859</v>
      </c>
      <c r="AL1201">
        <v>22.373778229999999</v>
      </c>
      <c r="AM1201" s="6">
        <v>44763</v>
      </c>
      <c r="AN1201" t="s">
        <v>268</v>
      </c>
      <c r="AO1201" t="s">
        <v>268</v>
      </c>
      <c r="AP1201">
        <v>1206</v>
      </c>
      <c r="AQ1201" t="s">
        <v>269</v>
      </c>
      <c r="AR1201" t="s">
        <v>1070</v>
      </c>
      <c r="AU1201" t="s">
        <v>264</v>
      </c>
      <c r="AV1201" t="s">
        <v>270</v>
      </c>
      <c r="AX1201">
        <v>22001123</v>
      </c>
      <c r="AY1201">
        <v>920700</v>
      </c>
      <c r="AZ1201">
        <v>1206.9206999999999</v>
      </c>
      <c r="BA1201" s="28" t="s">
        <v>249</v>
      </c>
    </row>
    <row r="1202" spans="1:53">
      <c r="A1202" t="s">
        <v>956</v>
      </c>
      <c r="B1202" t="s">
        <v>957</v>
      </c>
      <c r="C1202">
        <v>22001536</v>
      </c>
      <c r="D1202">
        <v>1206</v>
      </c>
      <c r="E1202" s="6">
        <v>44785</v>
      </c>
      <c r="F1202" t="s">
        <v>1071</v>
      </c>
      <c r="G1202">
        <v>21.85</v>
      </c>
      <c r="H1202">
        <v>21.85</v>
      </c>
      <c r="I1202" t="s">
        <v>263</v>
      </c>
      <c r="J1202" t="s">
        <v>263</v>
      </c>
      <c r="L1202" s="29">
        <v>324638.27</v>
      </c>
      <c r="N1202" s="29">
        <v>324638.27</v>
      </c>
      <c r="O1202" t="s">
        <v>264</v>
      </c>
      <c r="Q1202" t="s">
        <v>264</v>
      </c>
      <c r="R1202" t="s">
        <v>265</v>
      </c>
      <c r="S1202">
        <v>14860</v>
      </c>
      <c r="T1202" t="s">
        <v>266</v>
      </c>
      <c r="U1202" t="s">
        <v>267</v>
      </c>
      <c r="V1202" t="s">
        <v>273</v>
      </c>
      <c r="W1202" t="s">
        <v>274</v>
      </c>
      <c r="X1202">
        <v>1930563</v>
      </c>
      <c r="Y1202" s="6">
        <v>44785</v>
      </c>
      <c r="Z1202" t="s">
        <v>956</v>
      </c>
      <c r="AA1202">
        <v>1</v>
      </c>
      <c r="AB1202" t="s">
        <v>264</v>
      </c>
      <c r="AD1202" t="s">
        <v>959</v>
      </c>
      <c r="AE1202" t="s">
        <v>264</v>
      </c>
      <c r="AF1202" t="s">
        <v>264</v>
      </c>
      <c r="AH1202" t="s">
        <v>264</v>
      </c>
      <c r="AI1202">
        <v>55417891</v>
      </c>
      <c r="AJ1202" t="s">
        <v>598</v>
      </c>
      <c r="AL1202" t="s">
        <v>638</v>
      </c>
      <c r="AM1202" s="6">
        <v>44774</v>
      </c>
      <c r="AN1202" t="s">
        <v>268</v>
      </c>
      <c r="AO1202" t="s">
        <v>268</v>
      </c>
      <c r="AP1202">
        <v>1206</v>
      </c>
      <c r="AQ1202" t="s">
        <v>269</v>
      </c>
      <c r="AR1202" t="s">
        <v>1072</v>
      </c>
      <c r="AU1202" t="s">
        <v>264</v>
      </c>
      <c r="AV1202" t="s">
        <v>270</v>
      </c>
      <c r="AX1202">
        <v>22001129</v>
      </c>
      <c r="AY1202">
        <v>920700</v>
      </c>
      <c r="AZ1202">
        <v>1206.9206999999999</v>
      </c>
      <c r="BA1202" s="28" t="s">
        <v>249</v>
      </c>
    </row>
    <row r="1203" spans="1:53">
      <c r="A1203" t="s">
        <v>956</v>
      </c>
      <c r="B1203" t="s">
        <v>957</v>
      </c>
      <c r="C1203">
        <v>22001538</v>
      </c>
      <c r="D1203">
        <v>1206</v>
      </c>
      <c r="E1203" s="6">
        <v>44789</v>
      </c>
      <c r="F1203" t="s">
        <v>1073</v>
      </c>
      <c r="G1203">
        <v>85.13</v>
      </c>
      <c r="H1203">
        <v>85.13</v>
      </c>
      <c r="I1203" t="s">
        <v>263</v>
      </c>
      <c r="J1203" t="s">
        <v>263</v>
      </c>
      <c r="L1203" s="29">
        <v>1265000</v>
      </c>
      <c r="N1203" s="29">
        <v>1265000</v>
      </c>
      <c r="O1203" t="s">
        <v>264</v>
      </c>
      <c r="Q1203" t="s">
        <v>264</v>
      </c>
      <c r="R1203" t="s">
        <v>265</v>
      </c>
      <c r="S1203">
        <v>14860</v>
      </c>
      <c r="T1203" t="s">
        <v>266</v>
      </c>
      <c r="U1203" t="s">
        <v>267</v>
      </c>
      <c r="V1203" t="s">
        <v>273</v>
      </c>
      <c r="W1203" t="s">
        <v>274</v>
      </c>
      <c r="X1203">
        <v>1933040</v>
      </c>
      <c r="Y1203" s="6">
        <v>44789</v>
      </c>
      <c r="Z1203" t="s">
        <v>956</v>
      </c>
      <c r="AA1203">
        <v>1</v>
      </c>
      <c r="AB1203" t="s">
        <v>264</v>
      </c>
      <c r="AD1203" t="s">
        <v>959</v>
      </c>
      <c r="AE1203" t="s">
        <v>264</v>
      </c>
      <c r="AF1203" t="s">
        <v>264</v>
      </c>
      <c r="AH1203" t="s">
        <v>264</v>
      </c>
      <c r="AI1203">
        <v>55497042</v>
      </c>
      <c r="AJ1203" t="s">
        <v>276</v>
      </c>
      <c r="AL1203" t="s">
        <v>279</v>
      </c>
      <c r="AM1203" s="6">
        <v>44774</v>
      </c>
      <c r="AN1203" t="s">
        <v>268</v>
      </c>
      <c r="AO1203" t="s">
        <v>268</v>
      </c>
      <c r="AP1203">
        <v>1206</v>
      </c>
      <c r="AQ1203" t="s">
        <v>269</v>
      </c>
      <c r="AR1203" t="s">
        <v>1074</v>
      </c>
      <c r="AU1203" t="s">
        <v>264</v>
      </c>
      <c r="AV1203" t="s">
        <v>270</v>
      </c>
      <c r="AX1203">
        <v>22001138</v>
      </c>
      <c r="AY1203">
        <v>920700</v>
      </c>
      <c r="AZ1203">
        <v>1206.9206999999999</v>
      </c>
      <c r="BA1203" s="28" t="s">
        <v>249</v>
      </c>
    </row>
    <row r="1204" spans="1:53">
      <c r="A1204" t="s">
        <v>956</v>
      </c>
      <c r="B1204" t="s">
        <v>957</v>
      </c>
      <c r="C1204">
        <v>22001544</v>
      </c>
      <c r="D1204">
        <v>1206</v>
      </c>
      <c r="E1204" s="6">
        <v>44799</v>
      </c>
      <c r="F1204" t="s">
        <v>1075</v>
      </c>
      <c r="G1204">
        <v>12.58</v>
      </c>
      <c r="H1204">
        <v>12.58</v>
      </c>
      <c r="I1204" t="s">
        <v>263</v>
      </c>
      <c r="J1204" t="s">
        <v>263</v>
      </c>
      <c r="L1204" s="29">
        <v>187000</v>
      </c>
      <c r="N1204" s="29">
        <v>187000</v>
      </c>
      <c r="O1204" t="s">
        <v>264</v>
      </c>
      <c r="Q1204" t="s">
        <v>264</v>
      </c>
      <c r="R1204" t="s">
        <v>265</v>
      </c>
      <c r="S1204">
        <v>14860</v>
      </c>
      <c r="T1204" t="s">
        <v>266</v>
      </c>
      <c r="U1204" t="s">
        <v>267</v>
      </c>
      <c r="V1204" t="s">
        <v>273</v>
      </c>
      <c r="W1204" t="s">
        <v>274</v>
      </c>
      <c r="X1204">
        <v>1935350</v>
      </c>
      <c r="Y1204" s="6">
        <v>44799</v>
      </c>
      <c r="Z1204" t="s">
        <v>956</v>
      </c>
      <c r="AA1204">
        <v>1</v>
      </c>
      <c r="AB1204" t="s">
        <v>264</v>
      </c>
      <c r="AD1204" t="s">
        <v>959</v>
      </c>
      <c r="AE1204" t="s">
        <v>264</v>
      </c>
      <c r="AF1204" t="s">
        <v>264</v>
      </c>
      <c r="AH1204" t="s">
        <v>264</v>
      </c>
      <c r="AI1204">
        <v>57357473</v>
      </c>
      <c r="AJ1204" t="s">
        <v>859</v>
      </c>
      <c r="AL1204">
        <v>22.815512989999998</v>
      </c>
      <c r="AM1204" s="6">
        <v>44796</v>
      </c>
      <c r="AN1204" t="s">
        <v>268</v>
      </c>
      <c r="AO1204" t="s">
        <v>268</v>
      </c>
      <c r="AP1204">
        <v>1206</v>
      </c>
      <c r="AQ1204" t="s">
        <v>269</v>
      </c>
      <c r="AR1204" t="s">
        <v>1163</v>
      </c>
      <c r="AU1204" t="s">
        <v>264</v>
      </c>
      <c r="AV1204" t="s">
        <v>270</v>
      </c>
      <c r="AX1204">
        <v>22001140</v>
      </c>
      <c r="AY1204">
        <v>920700</v>
      </c>
      <c r="AZ1204">
        <v>1206.9206999999999</v>
      </c>
      <c r="BA1204" s="28" t="s">
        <v>249</v>
      </c>
    </row>
    <row r="1205" spans="1:53">
      <c r="A1205" t="s">
        <v>390</v>
      </c>
      <c r="B1205" t="s">
        <v>391</v>
      </c>
      <c r="C1205">
        <v>22001871</v>
      </c>
      <c r="D1205">
        <v>1201</v>
      </c>
      <c r="E1205" s="6">
        <v>44774</v>
      </c>
      <c r="F1205" t="s">
        <v>1076</v>
      </c>
      <c r="G1205" s="29">
        <v>1550</v>
      </c>
      <c r="H1205" s="29">
        <v>1550</v>
      </c>
      <c r="I1205" t="s">
        <v>263</v>
      </c>
      <c r="O1205" t="s">
        <v>264</v>
      </c>
      <c r="Q1205" t="s">
        <v>264</v>
      </c>
      <c r="R1205" t="s">
        <v>524</v>
      </c>
      <c r="T1205" t="s">
        <v>266</v>
      </c>
      <c r="U1205" t="s">
        <v>267</v>
      </c>
      <c r="V1205" t="s">
        <v>386</v>
      </c>
      <c r="W1205" t="s">
        <v>387</v>
      </c>
      <c r="X1205">
        <v>1925444</v>
      </c>
      <c r="Y1205" s="6">
        <v>44774</v>
      </c>
      <c r="Z1205" t="s">
        <v>264</v>
      </c>
      <c r="AA1205">
        <v>1</v>
      </c>
      <c r="AB1205" t="s">
        <v>264</v>
      </c>
      <c r="AD1205" t="s">
        <v>264</v>
      </c>
      <c r="AE1205" t="s">
        <v>264</v>
      </c>
      <c r="AF1205" t="s">
        <v>264</v>
      </c>
      <c r="AH1205" t="s">
        <v>264</v>
      </c>
      <c r="AL1205" t="s">
        <v>264</v>
      </c>
      <c r="AM1205" s="6">
        <v>44774</v>
      </c>
      <c r="AN1205" t="s">
        <v>1077</v>
      </c>
      <c r="AO1205" t="s">
        <v>268</v>
      </c>
      <c r="AP1205">
        <v>1201</v>
      </c>
      <c r="AQ1205" t="s">
        <v>269</v>
      </c>
      <c r="AR1205" t="s">
        <v>264</v>
      </c>
      <c r="AU1205" t="s">
        <v>264</v>
      </c>
      <c r="AV1205" t="s">
        <v>270</v>
      </c>
      <c r="AX1205" t="s">
        <v>264</v>
      </c>
      <c r="AY1205">
        <v>920120</v>
      </c>
      <c r="AZ1205">
        <v>1201.92012</v>
      </c>
      <c r="BA1205" s="28" t="s">
        <v>101</v>
      </c>
    </row>
    <row r="1206" spans="1:53">
      <c r="A1206" t="s">
        <v>390</v>
      </c>
      <c r="B1206" t="s">
        <v>391</v>
      </c>
      <c r="C1206">
        <v>22001872</v>
      </c>
      <c r="D1206">
        <v>1201</v>
      </c>
      <c r="E1206" s="6">
        <v>44774</v>
      </c>
      <c r="F1206" t="s">
        <v>1076</v>
      </c>
      <c r="G1206" s="29">
        <v>1033.33</v>
      </c>
      <c r="H1206" s="29">
        <v>1033.33</v>
      </c>
      <c r="I1206" t="s">
        <v>263</v>
      </c>
      <c r="O1206" t="s">
        <v>264</v>
      </c>
      <c r="Q1206" t="s">
        <v>264</v>
      </c>
      <c r="R1206" t="s">
        <v>524</v>
      </c>
      <c r="T1206" t="s">
        <v>266</v>
      </c>
      <c r="U1206" t="s">
        <v>267</v>
      </c>
      <c r="V1206" t="s">
        <v>386</v>
      </c>
      <c r="W1206" t="s">
        <v>387</v>
      </c>
      <c r="X1206">
        <v>1925444</v>
      </c>
      <c r="Y1206" s="6">
        <v>44774</v>
      </c>
      <c r="Z1206" t="s">
        <v>264</v>
      </c>
      <c r="AA1206">
        <v>1</v>
      </c>
      <c r="AB1206" t="s">
        <v>264</v>
      </c>
      <c r="AD1206" t="s">
        <v>264</v>
      </c>
      <c r="AE1206" t="s">
        <v>264</v>
      </c>
      <c r="AF1206" t="s">
        <v>264</v>
      </c>
      <c r="AH1206" t="s">
        <v>264</v>
      </c>
      <c r="AL1206" t="s">
        <v>264</v>
      </c>
      <c r="AM1206" s="6">
        <v>44774</v>
      </c>
      <c r="AN1206" t="s">
        <v>1077</v>
      </c>
      <c r="AO1206" t="s">
        <v>268</v>
      </c>
      <c r="AP1206">
        <v>1201</v>
      </c>
      <c r="AQ1206" t="s">
        <v>269</v>
      </c>
      <c r="AR1206" t="s">
        <v>264</v>
      </c>
      <c r="AU1206" t="s">
        <v>264</v>
      </c>
      <c r="AV1206" t="s">
        <v>270</v>
      </c>
      <c r="AX1206" t="s">
        <v>264</v>
      </c>
      <c r="AY1206">
        <v>920120</v>
      </c>
      <c r="AZ1206">
        <v>1201.92012</v>
      </c>
      <c r="BA1206" s="28" t="s">
        <v>101</v>
      </c>
    </row>
    <row r="1207" spans="1:53">
      <c r="A1207" t="s">
        <v>1115</v>
      </c>
      <c r="B1207" t="s">
        <v>1116</v>
      </c>
      <c r="C1207">
        <v>4632273</v>
      </c>
      <c r="D1207">
        <v>1201</v>
      </c>
      <c r="E1207" s="6">
        <v>44804</v>
      </c>
      <c r="F1207" t="s">
        <v>1164</v>
      </c>
      <c r="G1207" s="29">
        <v>18000</v>
      </c>
      <c r="H1207" s="29">
        <v>18000</v>
      </c>
      <c r="I1207" t="s">
        <v>263</v>
      </c>
      <c r="O1207" t="s">
        <v>264</v>
      </c>
      <c r="Q1207" t="s">
        <v>264</v>
      </c>
      <c r="R1207" t="s">
        <v>524</v>
      </c>
      <c r="T1207" t="s">
        <v>266</v>
      </c>
      <c r="U1207" t="s">
        <v>267</v>
      </c>
      <c r="V1207" t="s">
        <v>386</v>
      </c>
      <c r="W1207" t="s">
        <v>387</v>
      </c>
      <c r="X1207">
        <v>1935672</v>
      </c>
      <c r="Y1207" s="6">
        <v>44802</v>
      </c>
      <c r="Z1207" t="s">
        <v>264</v>
      </c>
      <c r="AA1207">
        <v>1</v>
      </c>
      <c r="AB1207" t="s">
        <v>264</v>
      </c>
      <c r="AD1207" t="s">
        <v>264</v>
      </c>
      <c r="AE1207" t="s">
        <v>264</v>
      </c>
      <c r="AF1207" t="s">
        <v>264</v>
      </c>
      <c r="AH1207" t="s">
        <v>264</v>
      </c>
      <c r="AL1207" t="s">
        <v>264</v>
      </c>
      <c r="AM1207" s="6">
        <v>44804</v>
      </c>
      <c r="AN1207" t="s">
        <v>393</v>
      </c>
      <c r="AO1207" t="s">
        <v>268</v>
      </c>
      <c r="AP1207">
        <v>1201</v>
      </c>
      <c r="AQ1207" t="s">
        <v>269</v>
      </c>
      <c r="AR1207" t="s">
        <v>264</v>
      </c>
      <c r="AU1207" t="s">
        <v>264</v>
      </c>
      <c r="AV1207" t="s">
        <v>270</v>
      </c>
      <c r="AX1207" t="s">
        <v>264</v>
      </c>
      <c r="AY1207">
        <v>920120</v>
      </c>
      <c r="AZ1207">
        <v>1201.92012</v>
      </c>
      <c r="BA1207" s="28" t="s">
        <v>101</v>
      </c>
    </row>
    <row r="1208" spans="1:53">
      <c r="A1208" t="s">
        <v>390</v>
      </c>
      <c r="B1208" t="s">
        <v>391</v>
      </c>
      <c r="C1208">
        <v>22001873</v>
      </c>
      <c r="D1208">
        <v>1201</v>
      </c>
      <c r="E1208" s="6">
        <v>44774</v>
      </c>
      <c r="F1208" t="s">
        <v>1078</v>
      </c>
      <c r="G1208">
        <v>1.38</v>
      </c>
      <c r="H1208">
        <v>1.38</v>
      </c>
      <c r="I1208" t="s">
        <v>263</v>
      </c>
      <c r="O1208" t="s">
        <v>264</v>
      </c>
      <c r="Q1208" t="s">
        <v>264</v>
      </c>
      <c r="R1208" t="s">
        <v>524</v>
      </c>
      <c r="T1208" t="s">
        <v>266</v>
      </c>
      <c r="U1208" t="s">
        <v>267</v>
      </c>
      <c r="V1208" t="s">
        <v>386</v>
      </c>
      <c r="W1208" t="s">
        <v>387</v>
      </c>
      <c r="X1208">
        <v>1925444</v>
      </c>
      <c r="Y1208" s="6">
        <v>44774</v>
      </c>
      <c r="Z1208" t="s">
        <v>264</v>
      </c>
      <c r="AA1208">
        <v>1</v>
      </c>
      <c r="AB1208" t="s">
        <v>264</v>
      </c>
      <c r="AD1208" t="s">
        <v>264</v>
      </c>
      <c r="AE1208" t="s">
        <v>264</v>
      </c>
      <c r="AF1208" t="s">
        <v>264</v>
      </c>
      <c r="AH1208" t="s">
        <v>264</v>
      </c>
      <c r="AL1208" t="s">
        <v>264</v>
      </c>
      <c r="AM1208" s="6">
        <v>44774</v>
      </c>
      <c r="AN1208" t="s">
        <v>1077</v>
      </c>
      <c r="AO1208" t="s">
        <v>268</v>
      </c>
      <c r="AP1208">
        <v>1201</v>
      </c>
      <c r="AQ1208" t="s">
        <v>269</v>
      </c>
      <c r="AR1208" t="s">
        <v>264</v>
      </c>
      <c r="AU1208" t="s">
        <v>264</v>
      </c>
      <c r="AV1208" t="s">
        <v>270</v>
      </c>
      <c r="AX1208" t="s">
        <v>264</v>
      </c>
      <c r="AY1208">
        <v>920410</v>
      </c>
      <c r="AZ1208">
        <v>1201.9204099999999</v>
      </c>
      <c r="BA1208" s="28" t="s">
        <v>103</v>
      </c>
    </row>
    <row r="1209" spans="1:53">
      <c r="A1209" t="s">
        <v>390</v>
      </c>
      <c r="B1209" t="s">
        <v>391</v>
      </c>
      <c r="C1209">
        <v>22001984</v>
      </c>
      <c r="D1209">
        <v>1201</v>
      </c>
      <c r="E1209" s="6">
        <v>44774</v>
      </c>
      <c r="F1209" t="s">
        <v>1078</v>
      </c>
      <c r="G1209">
        <v>1.35</v>
      </c>
      <c r="H1209">
        <v>1.35</v>
      </c>
      <c r="I1209" t="s">
        <v>263</v>
      </c>
      <c r="J1209" t="s">
        <v>263</v>
      </c>
      <c r="L1209" s="29">
        <v>20000</v>
      </c>
      <c r="N1209" s="29">
        <v>20000</v>
      </c>
      <c r="O1209" t="s">
        <v>264</v>
      </c>
      <c r="Q1209" t="s">
        <v>264</v>
      </c>
      <c r="R1209" t="s">
        <v>265</v>
      </c>
      <c r="S1209">
        <v>14860</v>
      </c>
      <c r="T1209" t="s">
        <v>266</v>
      </c>
      <c r="U1209" t="s">
        <v>267</v>
      </c>
      <c r="V1209" t="s">
        <v>386</v>
      </c>
      <c r="W1209" t="s">
        <v>387</v>
      </c>
      <c r="X1209">
        <v>1936213</v>
      </c>
      <c r="Y1209" s="6">
        <v>44803</v>
      </c>
      <c r="Z1209" t="s">
        <v>264</v>
      </c>
      <c r="AA1209">
        <v>1</v>
      </c>
      <c r="AB1209" t="s">
        <v>264</v>
      </c>
      <c r="AD1209" t="s">
        <v>264</v>
      </c>
      <c r="AE1209" t="s">
        <v>264</v>
      </c>
      <c r="AF1209" t="s">
        <v>264</v>
      </c>
      <c r="AH1209" t="s">
        <v>264</v>
      </c>
      <c r="AL1209" t="s">
        <v>264</v>
      </c>
      <c r="AM1209" s="6">
        <v>44774</v>
      </c>
      <c r="AN1209" t="s">
        <v>388</v>
      </c>
      <c r="AO1209" t="s">
        <v>268</v>
      </c>
      <c r="AP1209">
        <v>1201</v>
      </c>
      <c r="AQ1209" t="s">
        <v>269</v>
      </c>
      <c r="AR1209" t="s">
        <v>264</v>
      </c>
      <c r="AU1209" t="s">
        <v>264</v>
      </c>
      <c r="AV1209" t="s">
        <v>270</v>
      </c>
      <c r="AX1209" t="s">
        <v>264</v>
      </c>
      <c r="AY1209">
        <v>920410</v>
      </c>
      <c r="AZ1209">
        <v>1201.9204099999999</v>
      </c>
      <c r="BA1209" s="28" t="s">
        <v>103</v>
      </c>
    </row>
    <row r="1210" spans="1:53">
      <c r="A1210" t="s">
        <v>390</v>
      </c>
      <c r="B1210" t="s">
        <v>391</v>
      </c>
      <c r="C1210">
        <v>22001951</v>
      </c>
      <c r="D1210">
        <v>1201</v>
      </c>
      <c r="E1210" s="6">
        <v>44778</v>
      </c>
      <c r="F1210" t="s">
        <v>104</v>
      </c>
      <c r="G1210">
        <v>297.82</v>
      </c>
      <c r="H1210">
        <v>297.82</v>
      </c>
      <c r="I1210" t="s">
        <v>263</v>
      </c>
      <c r="O1210" t="s">
        <v>264</v>
      </c>
      <c r="Q1210" t="s">
        <v>264</v>
      </c>
      <c r="R1210" t="s">
        <v>524</v>
      </c>
      <c r="T1210" t="s">
        <v>266</v>
      </c>
      <c r="U1210" t="s">
        <v>267</v>
      </c>
      <c r="V1210" t="s">
        <v>386</v>
      </c>
      <c r="W1210" t="s">
        <v>387</v>
      </c>
      <c r="X1210">
        <v>1928868</v>
      </c>
      <c r="Y1210" s="6">
        <v>44781</v>
      </c>
      <c r="Z1210" t="s">
        <v>264</v>
      </c>
      <c r="AA1210">
        <v>1</v>
      </c>
      <c r="AB1210" t="s">
        <v>264</v>
      </c>
      <c r="AD1210" t="s">
        <v>264</v>
      </c>
      <c r="AE1210" t="s">
        <v>264</v>
      </c>
      <c r="AF1210" t="s">
        <v>264</v>
      </c>
      <c r="AH1210" t="s">
        <v>264</v>
      </c>
      <c r="AL1210" t="s">
        <v>264</v>
      </c>
      <c r="AM1210" s="6">
        <v>44778</v>
      </c>
      <c r="AN1210" t="s">
        <v>1077</v>
      </c>
      <c r="AO1210" t="s">
        <v>268</v>
      </c>
      <c r="AP1210">
        <v>1201</v>
      </c>
      <c r="AQ1210" t="s">
        <v>269</v>
      </c>
      <c r="AR1210" t="s">
        <v>264</v>
      </c>
      <c r="AU1210" t="s">
        <v>264</v>
      </c>
      <c r="AV1210" t="s">
        <v>270</v>
      </c>
      <c r="AX1210" t="s">
        <v>264</v>
      </c>
      <c r="AY1210">
        <v>920410</v>
      </c>
      <c r="AZ1210">
        <v>1201.9204099999999</v>
      </c>
      <c r="BA1210" s="28" t="s">
        <v>103</v>
      </c>
    </row>
    <row r="1211" spans="1:53">
      <c r="A1211" t="s">
        <v>390</v>
      </c>
      <c r="B1211" t="s">
        <v>391</v>
      </c>
      <c r="C1211">
        <v>22001972</v>
      </c>
      <c r="D1211">
        <v>1201</v>
      </c>
      <c r="E1211" s="6">
        <v>44778</v>
      </c>
      <c r="F1211" t="s">
        <v>1165</v>
      </c>
      <c r="G1211">
        <v>0.67</v>
      </c>
      <c r="H1211">
        <v>0.67</v>
      </c>
      <c r="I1211" t="s">
        <v>263</v>
      </c>
      <c r="J1211" t="s">
        <v>263</v>
      </c>
      <c r="L1211" s="29">
        <v>10000</v>
      </c>
      <c r="N1211" s="29">
        <v>10000</v>
      </c>
      <c r="O1211" t="s">
        <v>264</v>
      </c>
      <c r="Q1211" t="s">
        <v>264</v>
      </c>
      <c r="R1211" t="s">
        <v>265</v>
      </c>
      <c r="S1211">
        <v>14860</v>
      </c>
      <c r="T1211" t="s">
        <v>266</v>
      </c>
      <c r="U1211" t="s">
        <v>267</v>
      </c>
      <c r="V1211" t="s">
        <v>386</v>
      </c>
      <c r="W1211" t="s">
        <v>387</v>
      </c>
      <c r="X1211">
        <v>1936213</v>
      </c>
      <c r="Y1211" s="6">
        <v>44803</v>
      </c>
      <c r="Z1211" t="s">
        <v>264</v>
      </c>
      <c r="AA1211">
        <v>1</v>
      </c>
      <c r="AB1211" t="s">
        <v>264</v>
      </c>
      <c r="AD1211" t="s">
        <v>264</v>
      </c>
      <c r="AE1211" t="s">
        <v>264</v>
      </c>
      <c r="AF1211" t="s">
        <v>264</v>
      </c>
      <c r="AH1211" t="s">
        <v>264</v>
      </c>
      <c r="AL1211" t="s">
        <v>264</v>
      </c>
      <c r="AM1211" s="6">
        <v>44778</v>
      </c>
      <c r="AN1211" t="s">
        <v>388</v>
      </c>
      <c r="AO1211" t="s">
        <v>268</v>
      </c>
      <c r="AP1211">
        <v>1201</v>
      </c>
      <c r="AQ1211" t="s">
        <v>269</v>
      </c>
      <c r="AR1211" t="s">
        <v>264</v>
      </c>
      <c r="AU1211" t="s">
        <v>264</v>
      </c>
      <c r="AV1211" t="s">
        <v>270</v>
      </c>
      <c r="AX1211" t="s">
        <v>264</v>
      </c>
      <c r="AY1211">
        <v>920410</v>
      </c>
      <c r="AZ1211">
        <v>1201.9204099999999</v>
      </c>
      <c r="BA1211" s="28" t="s">
        <v>103</v>
      </c>
    </row>
    <row r="1212" spans="1:53">
      <c r="A1212" t="s">
        <v>271</v>
      </c>
      <c r="B1212" t="s">
        <v>272</v>
      </c>
      <c r="C1212">
        <v>22010906</v>
      </c>
      <c r="D1212">
        <v>1201</v>
      </c>
      <c r="E1212" s="6">
        <v>44783</v>
      </c>
      <c r="F1212" t="s">
        <v>866</v>
      </c>
      <c r="G1212">
        <v>158.97999999999999</v>
      </c>
      <c r="H1212">
        <v>158.97999999999999</v>
      </c>
      <c r="I1212" t="s">
        <v>263</v>
      </c>
      <c r="J1212" t="s">
        <v>263</v>
      </c>
      <c r="L1212" s="29">
        <v>2362500</v>
      </c>
      <c r="N1212" s="29">
        <v>2362500</v>
      </c>
      <c r="O1212" t="s">
        <v>264</v>
      </c>
      <c r="Q1212" t="s">
        <v>264</v>
      </c>
      <c r="R1212" t="s">
        <v>265</v>
      </c>
      <c r="S1212">
        <v>14860</v>
      </c>
      <c r="T1212" t="s">
        <v>266</v>
      </c>
      <c r="U1212" t="s">
        <v>267</v>
      </c>
      <c r="V1212" t="s">
        <v>273</v>
      </c>
      <c r="W1212" t="s">
        <v>274</v>
      </c>
      <c r="X1212">
        <v>1930185</v>
      </c>
      <c r="Y1212" s="6">
        <v>44783</v>
      </c>
      <c r="Z1212" t="s">
        <v>264</v>
      </c>
      <c r="AA1212">
        <v>1</v>
      </c>
      <c r="AB1212" t="s">
        <v>264</v>
      </c>
      <c r="AD1212" t="s">
        <v>264</v>
      </c>
      <c r="AE1212" t="s">
        <v>264</v>
      </c>
      <c r="AF1212" t="s">
        <v>264</v>
      </c>
      <c r="AH1212" t="s">
        <v>264</v>
      </c>
      <c r="AI1212">
        <v>55289497</v>
      </c>
      <c r="AJ1212" t="s">
        <v>866</v>
      </c>
      <c r="AL1212" s="6">
        <v>44842</v>
      </c>
      <c r="AM1212" s="6">
        <v>44783</v>
      </c>
      <c r="AN1212" t="s">
        <v>388</v>
      </c>
      <c r="AO1212" t="s">
        <v>268</v>
      </c>
      <c r="AP1212">
        <v>1201</v>
      </c>
      <c r="AQ1212" t="s">
        <v>269</v>
      </c>
      <c r="AR1212" t="s">
        <v>1079</v>
      </c>
      <c r="AU1212" t="s">
        <v>264</v>
      </c>
      <c r="AV1212" t="s">
        <v>270</v>
      </c>
      <c r="AX1212" t="s">
        <v>264</v>
      </c>
      <c r="AY1212">
        <v>920410</v>
      </c>
      <c r="AZ1212">
        <v>1201.9204099999999</v>
      </c>
      <c r="BA1212" s="28" t="s">
        <v>103</v>
      </c>
    </row>
    <row r="1213" spans="1:53">
      <c r="A1213" t="s">
        <v>271</v>
      </c>
      <c r="B1213" t="s">
        <v>272</v>
      </c>
      <c r="C1213">
        <v>22010917</v>
      </c>
      <c r="D1213">
        <v>1201</v>
      </c>
      <c r="E1213" s="6">
        <v>44784</v>
      </c>
      <c r="F1213" t="s">
        <v>475</v>
      </c>
      <c r="G1213">
        <v>-0.67</v>
      </c>
      <c r="I1213" t="s">
        <v>263</v>
      </c>
      <c r="J1213" t="s">
        <v>263</v>
      </c>
      <c r="K1213">
        <v>-0.67</v>
      </c>
      <c r="M1213" s="29">
        <v>-10000</v>
      </c>
      <c r="N1213" s="29">
        <v>-10000</v>
      </c>
      <c r="O1213" t="s">
        <v>264</v>
      </c>
      <c r="Q1213" t="s">
        <v>264</v>
      </c>
      <c r="R1213" t="s">
        <v>265</v>
      </c>
      <c r="S1213">
        <v>14860</v>
      </c>
      <c r="T1213" t="s">
        <v>266</v>
      </c>
      <c r="U1213" t="s">
        <v>267</v>
      </c>
      <c r="V1213" t="s">
        <v>273</v>
      </c>
      <c r="W1213" t="s">
        <v>274</v>
      </c>
      <c r="X1213">
        <v>1930430</v>
      </c>
      <c r="Y1213" s="6">
        <v>44784</v>
      </c>
      <c r="Z1213" t="s">
        <v>264</v>
      </c>
      <c r="AA1213">
        <v>4</v>
      </c>
      <c r="AB1213" t="s">
        <v>264</v>
      </c>
      <c r="AD1213" t="s">
        <v>264</v>
      </c>
      <c r="AE1213" t="s">
        <v>264</v>
      </c>
      <c r="AF1213" t="s">
        <v>264</v>
      </c>
      <c r="AG1213">
        <v>-1</v>
      </c>
      <c r="AH1213" t="s">
        <v>264</v>
      </c>
      <c r="AI1213">
        <v>54000888</v>
      </c>
      <c r="AJ1213" t="s">
        <v>475</v>
      </c>
      <c r="AL1213">
        <v>535330293037</v>
      </c>
      <c r="AM1213" s="6">
        <v>44784</v>
      </c>
      <c r="AN1213" t="s">
        <v>275</v>
      </c>
      <c r="AO1213" t="s">
        <v>268</v>
      </c>
      <c r="AP1213">
        <v>1201</v>
      </c>
      <c r="AQ1213" t="s">
        <v>269</v>
      </c>
      <c r="AR1213" t="s">
        <v>1080</v>
      </c>
      <c r="AT1213" s="6">
        <v>44784</v>
      </c>
      <c r="AU1213" t="s">
        <v>264</v>
      </c>
      <c r="AV1213" t="s">
        <v>270</v>
      </c>
      <c r="AX1213">
        <v>22002748</v>
      </c>
      <c r="AY1213">
        <v>920410</v>
      </c>
      <c r="AZ1213">
        <v>1201.9204099999999</v>
      </c>
      <c r="BA1213" s="28" t="s">
        <v>103</v>
      </c>
    </row>
    <row r="1214" spans="1:53">
      <c r="A1214" t="s">
        <v>271</v>
      </c>
      <c r="B1214" t="s">
        <v>272</v>
      </c>
      <c r="C1214">
        <v>22010917</v>
      </c>
      <c r="D1214">
        <v>1201</v>
      </c>
      <c r="E1214" s="6">
        <v>44784</v>
      </c>
      <c r="F1214" t="s">
        <v>475</v>
      </c>
      <c r="G1214">
        <v>0.67</v>
      </c>
      <c r="H1214">
        <v>0.67</v>
      </c>
      <c r="I1214" t="s">
        <v>263</v>
      </c>
      <c r="J1214" t="s">
        <v>263</v>
      </c>
      <c r="L1214" s="29">
        <v>10000</v>
      </c>
      <c r="N1214" s="29">
        <v>10000</v>
      </c>
      <c r="O1214" t="s">
        <v>264</v>
      </c>
      <c r="Q1214" t="s">
        <v>264</v>
      </c>
      <c r="R1214" t="s">
        <v>265</v>
      </c>
      <c r="S1214">
        <v>14860</v>
      </c>
      <c r="T1214" t="s">
        <v>266</v>
      </c>
      <c r="U1214" t="s">
        <v>267</v>
      </c>
      <c r="V1214" t="s">
        <v>273</v>
      </c>
      <c r="W1214" t="s">
        <v>274</v>
      </c>
      <c r="X1214">
        <v>1930430</v>
      </c>
      <c r="Y1214" s="6">
        <v>44784</v>
      </c>
      <c r="Z1214" t="s">
        <v>264</v>
      </c>
      <c r="AA1214">
        <v>2</v>
      </c>
      <c r="AB1214" t="s">
        <v>264</v>
      </c>
      <c r="AD1214" t="s">
        <v>264</v>
      </c>
      <c r="AE1214" t="s">
        <v>264</v>
      </c>
      <c r="AF1214" t="s">
        <v>264</v>
      </c>
      <c r="AG1214">
        <v>1</v>
      </c>
      <c r="AH1214" t="s">
        <v>264</v>
      </c>
      <c r="AI1214">
        <v>54000888</v>
      </c>
      <c r="AJ1214" t="s">
        <v>475</v>
      </c>
      <c r="AL1214">
        <v>535330293037</v>
      </c>
      <c r="AM1214" s="6">
        <v>44784</v>
      </c>
      <c r="AN1214" t="s">
        <v>275</v>
      </c>
      <c r="AO1214" t="s">
        <v>268</v>
      </c>
      <c r="AP1214">
        <v>1201</v>
      </c>
      <c r="AQ1214" t="s">
        <v>269</v>
      </c>
      <c r="AR1214" t="s">
        <v>1080</v>
      </c>
      <c r="AU1214" t="s">
        <v>264</v>
      </c>
      <c r="AV1214" t="s">
        <v>270</v>
      </c>
      <c r="AX1214">
        <v>22002748</v>
      </c>
      <c r="AY1214">
        <v>920410</v>
      </c>
      <c r="AZ1214">
        <v>1201.9204099999999</v>
      </c>
      <c r="BA1214" s="28" t="s">
        <v>103</v>
      </c>
    </row>
    <row r="1215" spans="1:53">
      <c r="A1215" t="s">
        <v>271</v>
      </c>
      <c r="B1215" t="s">
        <v>272</v>
      </c>
      <c r="C1215">
        <v>22010919</v>
      </c>
      <c r="D1215">
        <v>1201</v>
      </c>
      <c r="E1215" s="6">
        <v>44784</v>
      </c>
      <c r="F1215" t="s">
        <v>475</v>
      </c>
      <c r="G1215">
        <v>0.24</v>
      </c>
      <c r="H1215">
        <v>0.24</v>
      </c>
      <c r="I1215" t="s">
        <v>263</v>
      </c>
      <c r="J1215" t="s">
        <v>263</v>
      </c>
      <c r="L1215" s="29">
        <v>3500</v>
      </c>
      <c r="N1215" s="29">
        <v>3500</v>
      </c>
      <c r="O1215" t="s">
        <v>264</v>
      </c>
      <c r="Q1215" t="s">
        <v>264</v>
      </c>
      <c r="R1215" t="s">
        <v>265</v>
      </c>
      <c r="S1215">
        <v>14860</v>
      </c>
      <c r="T1215" t="s">
        <v>266</v>
      </c>
      <c r="U1215" t="s">
        <v>267</v>
      </c>
      <c r="V1215" t="s">
        <v>273</v>
      </c>
      <c r="W1215" t="s">
        <v>274</v>
      </c>
      <c r="X1215">
        <v>1930464</v>
      </c>
      <c r="Y1215" s="6">
        <v>44784</v>
      </c>
      <c r="Z1215" t="s">
        <v>264</v>
      </c>
      <c r="AA1215">
        <v>2</v>
      </c>
      <c r="AB1215" t="s">
        <v>264</v>
      </c>
      <c r="AD1215" t="s">
        <v>264</v>
      </c>
      <c r="AE1215" t="s">
        <v>264</v>
      </c>
      <c r="AF1215" t="s">
        <v>264</v>
      </c>
      <c r="AG1215">
        <v>1</v>
      </c>
      <c r="AH1215" t="s">
        <v>264</v>
      </c>
      <c r="AI1215">
        <v>54000888</v>
      </c>
      <c r="AJ1215" t="s">
        <v>475</v>
      </c>
      <c r="AL1215">
        <v>535330293037</v>
      </c>
      <c r="AM1215" s="6">
        <v>44784</v>
      </c>
      <c r="AN1215" t="s">
        <v>275</v>
      </c>
      <c r="AO1215" t="s">
        <v>268</v>
      </c>
      <c r="AP1215">
        <v>1201</v>
      </c>
      <c r="AQ1215" t="s">
        <v>269</v>
      </c>
      <c r="AR1215" t="s">
        <v>1080</v>
      </c>
      <c r="AU1215" t="s">
        <v>264</v>
      </c>
      <c r="AV1215" t="s">
        <v>270</v>
      </c>
      <c r="AX1215">
        <v>22002748</v>
      </c>
      <c r="AY1215">
        <v>920410</v>
      </c>
      <c r="AZ1215">
        <v>1201.9204099999999</v>
      </c>
      <c r="BA1215" s="28" t="s">
        <v>103</v>
      </c>
    </row>
    <row r="1216" spans="1:53">
      <c r="A1216" t="s">
        <v>390</v>
      </c>
      <c r="B1216" t="s">
        <v>391</v>
      </c>
      <c r="C1216">
        <v>22001952</v>
      </c>
      <c r="D1216">
        <v>1201</v>
      </c>
      <c r="E1216" s="6">
        <v>44785</v>
      </c>
      <c r="F1216" t="s">
        <v>104</v>
      </c>
      <c r="G1216">
        <v>326.64</v>
      </c>
      <c r="H1216">
        <v>326.64</v>
      </c>
      <c r="I1216" t="s">
        <v>263</v>
      </c>
      <c r="O1216" t="s">
        <v>264</v>
      </c>
      <c r="Q1216" t="s">
        <v>264</v>
      </c>
      <c r="R1216" t="s">
        <v>524</v>
      </c>
      <c r="T1216" t="s">
        <v>266</v>
      </c>
      <c r="U1216" t="s">
        <v>267</v>
      </c>
      <c r="V1216" t="s">
        <v>386</v>
      </c>
      <c r="W1216" t="s">
        <v>387</v>
      </c>
      <c r="X1216">
        <v>1930813</v>
      </c>
      <c r="Y1216" s="6">
        <v>44788</v>
      </c>
      <c r="Z1216" t="s">
        <v>264</v>
      </c>
      <c r="AA1216">
        <v>1</v>
      </c>
      <c r="AB1216" t="s">
        <v>264</v>
      </c>
      <c r="AD1216" t="s">
        <v>264</v>
      </c>
      <c r="AE1216" t="s">
        <v>264</v>
      </c>
      <c r="AF1216" t="s">
        <v>264</v>
      </c>
      <c r="AH1216" t="s">
        <v>264</v>
      </c>
      <c r="AL1216" t="s">
        <v>264</v>
      </c>
      <c r="AM1216" s="6">
        <v>44785</v>
      </c>
      <c r="AN1216" t="s">
        <v>1077</v>
      </c>
      <c r="AO1216" t="s">
        <v>268</v>
      </c>
      <c r="AP1216">
        <v>1201</v>
      </c>
      <c r="AQ1216" t="s">
        <v>269</v>
      </c>
      <c r="AR1216" t="s">
        <v>264</v>
      </c>
      <c r="AU1216" t="s">
        <v>264</v>
      </c>
      <c r="AV1216" t="s">
        <v>270</v>
      </c>
      <c r="AX1216" t="s">
        <v>264</v>
      </c>
      <c r="AY1216">
        <v>920410</v>
      </c>
      <c r="AZ1216">
        <v>1201.9204099999999</v>
      </c>
      <c r="BA1216" s="28" t="s">
        <v>103</v>
      </c>
    </row>
    <row r="1217" spans="1:53">
      <c r="A1217" t="s">
        <v>390</v>
      </c>
      <c r="B1217" t="s">
        <v>391</v>
      </c>
      <c r="C1217">
        <v>22001953</v>
      </c>
      <c r="D1217">
        <v>1201</v>
      </c>
      <c r="E1217" s="6">
        <v>44792</v>
      </c>
      <c r="F1217" t="s">
        <v>104</v>
      </c>
      <c r="G1217">
        <v>228.57</v>
      </c>
      <c r="H1217">
        <v>228.57</v>
      </c>
      <c r="I1217" t="s">
        <v>263</v>
      </c>
      <c r="O1217" t="s">
        <v>264</v>
      </c>
      <c r="Q1217" t="s">
        <v>264</v>
      </c>
      <c r="R1217" t="s">
        <v>524</v>
      </c>
      <c r="T1217" t="s">
        <v>266</v>
      </c>
      <c r="U1217" t="s">
        <v>267</v>
      </c>
      <c r="V1217" t="s">
        <v>386</v>
      </c>
      <c r="W1217" t="s">
        <v>387</v>
      </c>
      <c r="X1217">
        <v>1934114</v>
      </c>
      <c r="Y1217" s="6">
        <v>44795</v>
      </c>
      <c r="Z1217" t="s">
        <v>264</v>
      </c>
      <c r="AA1217">
        <v>1</v>
      </c>
      <c r="AB1217" t="s">
        <v>264</v>
      </c>
      <c r="AD1217" t="s">
        <v>264</v>
      </c>
      <c r="AE1217" t="s">
        <v>264</v>
      </c>
      <c r="AF1217" t="s">
        <v>264</v>
      </c>
      <c r="AH1217" t="s">
        <v>264</v>
      </c>
      <c r="AL1217" t="s">
        <v>264</v>
      </c>
      <c r="AM1217" s="6">
        <v>44792</v>
      </c>
      <c r="AN1217" t="s">
        <v>1077</v>
      </c>
      <c r="AO1217" t="s">
        <v>268</v>
      </c>
      <c r="AP1217">
        <v>1201</v>
      </c>
      <c r="AQ1217" t="s">
        <v>269</v>
      </c>
      <c r="AR1217" t="s">
        <v>264</v>
      </c>
      <c r="AU1217" t="s">
        <v>264</v>
      </c>
      <c r="AV1217" t="s">
        <v>270</v>
      </c>
      <c r="AX1217" t="s">
        <v>264</v>
      </c>
      <c r="AY1217">
        <v>920410</v>
      </c>
      <c r="AZ1217">
        <v>1201.9204099999999</v>
      </c>
      <c r="BA1217" s="28" t="s">
        <v>103</v>
      </c>
    </row>
    <row r="1218" spans="1:53">
      <c r="A1218" t="s">
        <v>390</v>
      </c>
      <c r="B1218" t="s">
        <v>391</v>
      </c>
      <c r="C1218">
        <v>22001954</v>
      </c>
      <c r="D1218">
        <v>1201</v>
      </c>
      <c r="E1218" s="6">
        <v>44793</v>
      </c>
      <c r="F1218" t="s">
        <v>1081</v>
      </c>
      <c r="G1218">
        <v>5</v>
      </c>
      <c r="H1218">
        <v>5</v>
      </c>
      <c r="I1218" t="s">
        <v>263</v>
      </c>
      <c r="O1218" t="s">
        <v>264</v>
      </c>
      <c r="Q1218" t="s">
        <v>264</v>
      </c>
      <c r="R1218" t="s">
        <v>524</v>
      </c>
      <c r="T1218" t="s">
        <v>266</v>
      </c>
      <c r="U1218" t="s">
        <v>267</v>
      </c>
      <c r="V1218" t="s">
        <v>386</v>
      </c>
      <c r="W1218" t="s">
        <v>387</v>
      </c>
      <c r="X1218">
        <v>1934114</v>
      </c>
      <c r="Y1218" s="6">
        <v>44795</v>
      </c>
      <c r="Z1218" t="s">
        <v>264</v>
      </c>
      <c r="AA1218">
        <v>1</v>
      </c>
      <c r="AB1218" t="s">
        <v>264</v>
      </c>
      <c r="AD1218" t="s">
        <v>264</v>
      </c>
      <c r="AE1218" t="s">
        <v>264</v>
      </c>
      <c r="AF1218" t="s">
        <v>264</v>
      </c>
      <c r="AH1218" t="s">
        <v>264</v>
      </c>
      <c r="AL1218" t="s">
        <v>264</v>
      </c>
      <c r="AM1218" s="6">
        <v>44793</v>
      </c>
      <c r="AN1218" t="s">
        <v>1077</v>
      </c>
      <c r="AO1218" t="s">
        <v>268</v>
      </c>
      <c r="AP1218">
        <v>1201</v>
      </c>
      <c r="AQ1218" t="s">
        <v>269</v>
      </c>
      <c r="AR1218" t="s">
        <v>264</v>
      </c>
      <c r="AU1218" t="s">
        <v>264</v>
      </c>
      <c r="AV1218" t="s">
        <v>270</v>
      </c>
      <c r="AX1218" t="s">
        <v>264</v>
      </c>
      <c r="AY1218">
        <v>920410</v>
      </c>
      <c r="AZ1218">
        <v>1201.9204099999999</v>
      </c>
      <c r="BA1218" s="28" t="s">
        <v>103</v>
      </c>
    </row>
    <row r="1219" spans="1:53">
      <c r="A1219" t="s">
        <v>390</v>
      </c>
      <c r="B1219" t="s">
        <v>391</v>
      </c>
      <c r="C1219">
        <v>22001973</v>
      </c>
      <c r="D1219">
        <v>1201</v>
      </c>
      <c r="E1219" s="6">
        <v>44795</v>
      </c>
      <c r="F1219" t="s">
        <v>1166</v>
      </c>
      <c r="G1219">
        <v>40</v>
      </c>
      <c r="H1219">
        <v>40</v>
      </c>
      <c r="I1219" t="s">
        <v>263</v>
      </c>
      <c r="O1219" t="s">
        <v>264</v>
      </c>
      <c r="Q1219" t="s">
        <v>264</v>
      </c>
      <c r="R1219" t="s">
        <v>524</v>
      </c>
      <c r="T1219" t="s">
        <v>266</v>
      </c>
      <c r="U1219" t="s">
        <v>267</v>
      </c>
      <c r="V1219" t="s">
        <v>386</v>
      </c>
      <c r="W1219" t="s">
        <v>387</v>
      </c>
      <c r="X1219">
        <v>1936204</v>
      </c>
      <c r="Y1219" s="6">
        <v>44803</v>
      </c>
      <c r="Z1219" t="s">
        <v>264</v>
      </c>
      <c r="AA1219">
        <v>5</v>
      </c>
      <c r="AB1219" t="s">
        <v>264</v>
      </c>
      <c r="AD1219" t="s">
        <v>264</v>
      </c>
      <c r="AE1219" t="s">
        <v>264</v>
      </c>
      <c r="AF1219" t="s">
        <v>264</v>
      </c>
      <c r="AH1219" t="s">
        <v>264</v>
      </c>
      <c r="AL1219" t="s">
        <v>264</v>
      </c>
      <c r="AM1219" s="6">
        <v>44795</v>
      </c>
      <c r="AN1219" t="s">
        <v>1077</v>
      </c>
      <c r="AO1219" t="s">
        <v>268</v>
      </c>
      <c r="AP1219">
        <v>1201</v>
      </c>
      <c r="AQ1219" t="s">
        <v>269</v>
      </c>
      <c r="AR1219" t="s">
        <v>264</v>
      </c>
      <c r="AU1219" t="s">
        <v>264</v>
      </c>
      <c r="AV1219" t="s">
        <v>270</v>
      </c>
      <c r="AX1219" t="s">
        <v>264</v>
      </c>
      <c r="AY1219">
        <v>920410</v>
      </c>
      <c r="AZ1219">
        <v>1201.9204099999999</v>
      </c>
      <c r="BA1219" s="28" t="s">
        <v>103</v>
      </c>
    </row>
    <row r="1220" spans="1:53">
      <c r="A1220" t="s">
        <v>390</v>
      </c>
      <c r="B1220" t="s">
        <v>391</v>
      </c>
      <c r="C1220">
        <v>22001983</v>
      </c>
      <c r="D1220">
        <v>1201</v>
      </c>
      <c r="E1220" s="6">
        <v>44795</v>
      </c>
      <c r="F1220" t="s">
        <v>1081</v>
      </c>
      <c r="G1220">
        <v>2.02</v>
      </c>
      <c r="H1220">
        <v>2.02</v>
      </c>
      <c r="I1220" t="s">
        <v>263</v>
      </c>
      <c r="J1220" t="s">
        <v>263</v>
      </c>
      <c r="L1220" s="29">
        <v>30000</v>
      </c>
      <c r="N1220" s="29">
        <v>30000</v>
      </c>
      <c r="O1220" t="s">
        <v>264</v>
      </c>
      <c r="Q1220" t="s">
        <v>264</v>
      </c>
      <c r="R1220" t="s">
        <v>265</v>
      </c>
      <c r="S1220">
        <v>14860</v>
      </c>
      <c r="T1220" t="s">
        <v>266</v>
      </c>
      <c r="U1220" t="s">
        <v>267</v>
      </c>
      <c r="V1220" t="s">
        <v>386</v>
      </c>
      <c r="W1220" t="s">
        <v>387</v>
      </c>
      <c r="X1220">
        <v>1936213</v>
      </c>
      <c r="Y1220" s="6">
        <v>44803</v>
      </c>
      <c r="Z1220" t="s">
        <v>264</v>
      </c>
      <c r="AA1220">
        <v>1</v>
      </c>
      <c r="AB1220" t="s">
        <v>264</v>
      </c>
      <c r="AD1220" t="s">
        <v>264</v>
      </c>
      <c r="AE1220" t="s">
        <v>264</v>
      </c>
      <c r="AF1220" t="s">
        <v>264</v>
      </c>
      <c r="AH1220" t="s">
        <v>264</v>
      </c>
      <c r="AL1220" t="s">
        <v>264</v>
      </c>
      <c r="AM1220" s="6">
        <v>44795</v>
      </c>
      <c r="AN1220" t="s">
        <v>388</v>
      </c>
      <c r="AO1220" t="s">
        <v>268</v>
      </c>
      <c r="AP1220">
        <v>1201</v>
      </c>
      <c r="AQ1220" t="s">
        <v>269</v>
      </c>
      <c r="AR1220" t="s">
        <v>264</v>
      </c>
      <c r="AU1220" t="s">
        <v>264</v>
      </c>
      <c r="AV1220" t="s">
        <v>270</v>
      </c>
      <c r="AX1220" t="s">
        <v>264</v>
      </c>
      <c r="AY1220">
        <v>920410</v>
      </c>
      <c r="AZ1220">
        <v>1201.9204099999999</v>
      </c>
      <c r="BA1220" s="28" t="s">
        <v>103</v>
      </c>
    </row>
    <row r="1221" spans="1:53">
      <c r="A1221" t="s">
        <v>390</v>
      </c>
      <c r="B1221" t="s">
        <v>391</v>
      </c>
      <c r="C1221">
        <v>22001963</v>
      </c>
      <c r="D1221">
        <v>1201</v>
      </c>
      <c r="E1221" s="6">
        <v>44799</v>
      </c>
      <c r="F1221" t="s">
        <v>104</v>
      </c>
      <c r="G1221">
        <v>307.14</v>
      </c>
      <c r="H1221">
        <v>307.14</v>
      </c>
      <c r="I1221" t="s">
        <v>263</v>
      </c>
      <c r="O1221" t="s">
        <v>264</v>
      </c>
      <c r="Q1221" t="s">
        <v>264</v>
      </c>
      <c r="R1221" t="s">
        <v>524</v>
      </c>
      <c r="T1221" t="s">
        <v>266</v>
      </c>
      <c r="U1221" t="s">
        <v>267</v>
      </c>
      <c r="V1221" t="s">
        <v>386</v>
      </c>
      <c r="W1221" t="s">
        <v>387</v>
      </c>
      <c r="X1221">
        <v>1935799</v>
      </c>
      <c r="Y1221" s="6">
        <v>44802</v>
      </c>
      <c r="Z1221" t="s">
        <v>264</v>
      </c>
      <c r="AA1221">
        <v>1</v>
      </c>
      <c r="AB1221" t="s">
        <v>264</v>
      </c>
      <c r="AD1221" t="s">
        <v>264</v>
      </c>
      <c r="AE1221" t="s">
        <v>264</v>
      </c>
      <c r="AF1221" t="s">
        <v>264</v>
      </c>
      <c r="AH1221" t="s">
        <v>264</v>
      </c>
      <c r="AL1221" t="s">
        <v>264</v>
      </c>
      <c r="AM1221" s="6">
        <v>44799</v>
      </c>
      <c r="AN1221" t="s">
        <v>1077</v>
      </c>
      <c r="AO1221" t="s">
        <v>268</v>
      </c>
      <c r="AP1221">
        <v>1201</v>
      </c>
      <c r="AQ1221" t="s">
        <v>269</v>
      </c>
      <c r="AR1221" t="s">
        <v>264</v>
      </c>
      <c r="AU1221" t="s">
        <v>264</v>
      </c>
      <c r="AV1221" t="s">
        <v>270</v>
      </c>
      <c r="AX1221" t="s">
        <v>264</v>
      </c>
      <c r="AY1221">
        <v>920410</v>
      </c>
      <c r="AZ1221">
        <v>1201.9204099999999</v>
      </c>
      <c r="BA1221" s="28" t="s">
        <v>103</v>
      </c>
    </row>
    <row r="1222" spans="1:53">
      <c r="A1222" t="s">
        <v>271</v>
      </c>
      <c r="B1222" t="s">
        <v>272</v>
      </c>
      <c r="C1222">
        <v>22002823</v>
      </c>
      <c r="D1222">
        <v>1204</v>
      </c>
      <c r="E1222" s="6">
        <v>44784</v>
      </c>
      <c r="F1222" t="s">
        <v>477</v>
      </c>
      <c r="G1222">
        <v>0.24</v>
      </c>
      <c r="H1222">
        <v>0.24</v>
      </c>
      <c r="I1222" t="s">
        <v>263</v>
      </c>
      <c r="J1222" t="s">
        <v>263</v>
      </c>
      <c r="L1222" s="29">
        <v>3500</v>
      </c>
      <c r="N1222" s="29">
        <v>3500</v>
      </c>
      <c r="O1222" t="s">
        <v>264</v>
      </c>
      <c r="Q1222" t="s">
        <v>264</v>
      </c>
      <c r="R1222" t="s">
        <v>265</v>
      </c>
      <c r="S1222">
        <v>14860</v>
      </c>
      <c r="T1222" t="s">
        <v>266</v>
      </c>
      <c r="U1222" t="s">
        <v>267</v>
      </c>
      <c r="V1222" t="s">
        <v>273</v>
      </c>
      <c r="W1222" t="s">
        <v>274</v>
      </c>
      <c r="X1222">
        <v>1930477</v>
      </c>
      <c r="Y1222" s="6">
        <v>44784</v>
      </c>
      <c r="Z1222" t="s">
        <v>264</v>
      </c>
      <c r="AA1222">
        <v>2</v>
      </c>
      <c r="AB1222" t="s">
        <v>264</v>
      </c>
      <c r="AD1222" t="s">
        <v>264</v>
      </c>
      <c r="AE1222" t="s">
        <v>264</v>
      </c>
      <c r="AF1222" t="s">
        <v>264</v>
      </c>
      <c r="AG1222">
        <v>1</v>
      </c>
      <c r="AH1222" t="s">
        <v>264</v>
      </c>
      <c r="AI1222">
        <v>55440089</v>
      </c>
      <c r="AJ1222" t="s">
        <v>477</v>
      </c>
      <c r="AL1222">
        <v>535212003808</v>
      </c>
      <c r="AM1222" s="6">
        <v>44784</v>
      </c>
      <c r="AN1222" t="s">
        <v>275</v>
      </c>
      <c r="AO1222" t="s">
        <v>268</v>
      </c>
      <c r="AP1222">
        <v>1204</v>
      </c>
      <c r="AQ1222" t="s">
        <v>269</v>
      </c>
      <c r="AR1222" t="s">
        <v>1080</v>
      </c>
      <c r="AU1222" t="s">
        <v>264</v>
      </c>
      <c r="AV1222" t="s">
        <v>270</v>
      </c>
      <c r="AX1222">
        <v>22001382</v>
      </c>
      <c r="AY1222">
        <v>920410</v>
      </c>
      <c r="AZ1222">
        <v>1204.9204099999999</v>
      </c>
      <c r="BA1222" s="28" t="s">
        <v>253</v>
      </c>
    </row>
    <row r="1223" spans="1:53">
      <c r="A1223" t="s">
        <v>271</v>
      </c>
      <c r="B1223" t="s">
        <v>272</v>
      </c>
      <c r="C1223">
        <v>22002993</v>
      </c>
      <c r="D1223">
        <v>1205</v>
      </c>
      <c r="E1223" s="6">
        <v>44784</v>
      </c>
      <c r="F1223" t="s">
        <v>479</v>
      </c>
      <c r="G1223">
        <v>0.24</v>
      </c>
      <c r="H1223">
        <v>0.24</v>
      </c>
      <c r="I1223" t="s">
        <v>263</v>
      </c>
      <c r="J1223" t="s">
        <v>263</v>
      </c>
      <c r="L1223" s="29">
        <v>3500</v>
      </c>
      <c r="N1223" s="29">
        <v>3500</v>
      </c>
      <c r="O1223" t="s">
        <v>264</v>
      </c>
      <c r="Q1223" t="s">
        <v>264</v>
      </c>
      <c r="R1223" t="s">
        <v>265</v>
      </c>
      <c r="S1223">
        <v>14860</v>
      </c>
      <c r="T1223" t="s">
        <v>266</v>
      </c>
      <c r="U1223" t="s">
        <v>267</v>
      </c>
      <c r="V1223" t="s">
        <v>273</v>
      </c>
      <c r="W1223" t="s">
        <v>274</v>
      </c>
      <c r="X1223">
        <v>1930472</v>
      </c>
      <c r="Y1223" s="6">
        <v>44784</v>
      </c>
      <c r="Z1223" t="s">
        <v>264</v>
      </c>
      <c r="AA1223">
        <v>2</v>
      </c>
      <c r="AB1223" t="s">
        <v>264</v>
      </c>
      <c r="AD1223" t="s">
        <v>264</v>
      </c>
      <c r="AE1223" t="s">
        <v>264</v>
      </c>
      <c r="AF1223" t="s">
        <v>264</v>
      </c>
      <c r="AG1223">
        <v>1</v>
      </c>
      <c r="AH1223" t="s">
        <v>264</v>
      </c>
      <c r="AI1223">
        <v>55382974</v>
      </c>
      <c r="AJ1223" t="s">
        <v>479</v>
      </c>
      <c r="AL1223">
        <v>535211858662</v>
      </c>
      <c r="AM1223" s="6">
        <v>44784</v>
      </c>
      <c r="AN1223" t="s">
        <v>275</v>
      </c>
      <c r="AO1223" t="s">
        <v>268</v>
      </c>
      <c r="AP1223">
        <v>1205</v>
      </c>
      <c r="AQ1223" t="s">
        <v>269</v>
      </c>
      <c r="AR1223" t="s">
        <v>1082</v>
      </c>
      <c r="AU1223" t="s">
        <v>264</v>
      </c>
      <c r="AV1223" t="s">
        <v>270</v>
      </c>
      <c r="AX1223">
        <v>22001359</v>
      </c>
      <c r="AY1223">
        <v>920410</v>
      </c>
      <c r="AZ1223">
        <v>1205.9204099999999</v>
      </c>
      <c r="BA1223" s="28" t="s">
        <v>254</v>
      </c>
    </row>
    <row r="1224" spans="1:53">
      <c r="A1224" t="s">
        <v>271</v>
      </c>
      <c r="B1224" t="s">
        <v>272</v>
      </c>
      <c r="C1224">
        <v>22001534</v>
      </c>
      <c r="D1224">
        <v>1206</v>
      </c>
      <c r="E1224" s="6">
        <v>44784</v>
      </c>
      <c r="F1224" t="s">
        <v>481</v>
      </c>
      <c r="G1224">
        <v>0.24</v>
      </c>
      <c r="H1224">
        <v>0.24</v>
      </c>
      <c r="I1224" t="s">
        <v>263</v>
      </c>
      <c r="J1224" t="s">
        <v>263</v>
      </c>
      <c r="L1224" s="29">
        <v>3500</v>
      </c>
      <c r="N1224" s="29">
        <v>3500</v>
      </c>
      <c r="O1224" t="s">
        <v>264</v>
      </c>
      <c r="Q1224" t="s">
        <v>264</v>
      </c>
      <c r="R1224" t="s">
        <v>265</v>
      </c>
      <c r="S1224">
        <v>14860</v>
      </c>
      <c r="T1224" t="s">
        <v>266</v>
      </c>
      <c r="U1224" t="s">
        <v>267</v>
      </c>
      <c r="V1224" t="s">
        <v>273</v>
      </c>
      <c r="W1224" t="s">
        <v>274</v>
      </c>
      <c r="X1224">
        <v>1930466</v>
      </c>
      <c r="Y1224" s="6">
        <v>44784</v>
      </c>
      <c r="Z1224" t="s">
        <v>264</v>
      </c>
      <c r="AA1224">
        <v>2</v>
      </c>
      <c r="AB1224" t="s">
        <v>264</v>
      </c>
      <c r="AD1224" t="s">
        <v>264</v>
      </c>
      <c r="AE1224" t="s">
        <v>264</v>
      </c>
      <c r="AF1224" t="s">
        <v>264</v>
      </c>
      <c r="AG1224">
        <v>1</v>
      </c>
      <c r="AH1224" t="s">
        <v>264</v>
      </c>
      <c r="AI1224">
        <v>57215969</v>
      </c>
      <c r="AJ1224" t="s">
        <v>481</v>
      </c>
      <c r="AL1224">
        <v>522042736945</v>
      </c>
      <c r="AM1224" s="6">
        <v>44784</v>
      </c>
      <c r="AN1224" t="s">
        <v>275</v>
      </c>
      <c r="AO1224" t="s">
        <v>268</v>
      </c>
      <c r="AP1224">
        <v>1206</v>
      </c>
      <c r="AQ1224" t="s">
        <v>269</v>
      </c>
      <c r="AR1224" t="s">
        <v>1082</v>
      </c>
      <c r="AU1224" t="s">
        <v>264</v>
      </c>
      <c r="AV1224" t="s">
        <v>270</v>
      </c>
      <c r="AX1224">
        <v>22001135</v>
      </c>
      <c r="AY1224">
        <v>920410</v>
      </c>
      <c r="AZ1224">
        <v>1206.9204099999999</v>
      </c>
      <c r="BA1224" s="28" t="s">
        <v>255</v>
      </c>
    </row>
    <row r="1225" spans="1:53">
      <c r="A1225" t="s">
        <v>271</v>
      </c>
      <c r="B1225" t="s">
        <v>272</v>
      </c>
      <c r="C1225">
        <v>22001535</v>
      </c>
      <c r="D1225">
        <v>1206</v>
      </c>
      <c r="E1225" s="6">
        <v>44784</v>
      </c>
      <c r="F1225" t="s">
        <v>481</v>
      </c>
      <c r="G1225">
        <v>0.24</v>
      </c>
      <c r="H1225">
        <v>0.24</v>
      </c>
      <c r="I1225" t="s">
        <v>263</v>
      </c>
      <c r="J1225" t="s">
        <v>263</v>
      </c>
      <c r="L1225" s="29">
        <v>3500</v>
      </c>
      <c r="N1225" s="29">
        <v>3500</v>
      </c>
      <c r="O1225" t="s">
        <v>264</v>
      </c>
      <c r="Q1225" t="s">
        <v>264</v>
      </c>
      <c r="R1225" t="s">
        <v>265</v>
      </c>
      <c r="S1225">
        <v>14860</v>
      </c>
      <c r="T1225" t="s">
        <v>266</v>
      </c>
      <c r="U1225" t="s">
        <v>267</v>
      </c>
      <c r="V1225" t="s">
        <v>273</v>
      </c>
      <c r="W1225" t="s">
        <v>274</v>
      </c>
      <c r="X1225">
        <v>1930480</v>
      </c>
      <c r="Y1225" s="6">
        <v>44784</v>
      </c>
      <c r="Z1225" t="s">
        <v>264</v>
      </c>
      <c r="AA1225">
        <v>2</v>
      </c>
      <c r="AB1225" t="s">
        <v>264</v>
      </c>
      <c r="AD1225" t="s">
        <v>264</v>
      </c>
      <c r="AE1225" t="s">
        <v>264</v>
      </c>
      <c r="AF1225" t="s">
        <v>264</v>
      </c>
      <c r="AG1225">
        <v>1</v>
      </c>
      <c r="AH1225" t="s">
        <v>264</v>
      </c>
      <c r="AI1225">
        <v>57215969</v>
      </c>
      <c r="AJ1225" t="s">
        <v>481</v>
      </c>
      <c r="AL1225">
        <v>522042951971</v>
      </c>
      <c r="AM1225" s="6">
        <v>44784</v>
      </c>
      <c r="AN1225" t="s">
        <v>275</v>
      </c>
      <c r="AO1225" t="s">
        <v>268</v>
      </c>
      <c r="AP1225">
        <v>1206</v>
      </c>
      <c r="AQ1225" t="s">
        <v>269</v>
      </c>
      <c r="AR1225" t="s">
        <v>1082</v>
      </c>
      <c r="AU1225" t="s">
        <v>264</v>
      </c>
      <c r="AV1225" t="s">
        <v>270</v>
      </c>
      <c r="AX1225">
        <v>22001134</v>
      </c>
      <c r="AY1225">
        <v>920410</v>
      </c>
      <c r="AZ1225">
        <v>1206.9204099999999</v>
      </c>
      <c r="BA1225" s="28" t="s">
        <v>255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1A283-7816-453D-9B13-06516A978AE1}">
  <sheetPr codeName="Sheet4"/>
  <dimension ref="A1:AK204"/>
  <sheetViews>
    <sheetView tabSelected="1" topLeftCell="T1" workbookViewId="0">
      <selection activeCell="D4" sqref="D4:AK204"/>
    </sheetView>
  </sheetViews>
  <sheetFormatPr defaultRowHeight="15"/>
  <cols>
    <col min="1" max="1" width="9.28515625" bestFit="1" customWidth="1"/>
    <col min="4" max="13" width="9.5703125" bestFit="1" customWidth="1"/>
    <col min="14" max="34" width="10.42578125" bestFit="1" customWidth="1"/>
    <col min="35" max="35" width="9.5703125" bestFit="1" customWidth="1"/>
    <col min="36" max="36" width="10.7109375" bestFit="1" customWidth="1"/>
    <col min="37" max="37" width="9.5703125" bestFit="1" customWidth="1"/>
  </cols>
  <sheetData>
    <row r="1" spans="1:37" ht="18.75">
      <c r="A1" s="79" t="s">
        <v>1083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</row>
    <row r="2" spans="1:37">
      <c r="A2" s="78" t="s">
        <v>1084</v>
      </c>
      <c r="B2" s="78" t="s">
        <v>1085</v>
      </c>
      <c r="C2" s="78" t="s">
        <v>1086</v>
      </c>
      <c r="D2" s="78" t="s">
        <v>1087</v>
      </c>
      <c r="E2" s="78" t="s">
        <v>1088</v>
      </c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78"/>
      <c r="X2" s="78"/>
      <c r="Y2" s="78"/>
      <c r="Z2" s="78"/>
      <c r="AA2" s="78"/>
      <c r="AB2" s="78"/>
      <c r="AC2" s="78"/>
      <c r="AD2" s="78"/>
      <c r="AE2" s="78"/>
      <c r="AF2" s="78"/>
      <c r="AG2" s="78"/>
      <c r="AH2" s="78"/>
      <c r="AI2" s="78"/>
      <c r="AJ2" s="78" t="s">
        <v>1089</v>
      </c>
      <c r="AK2" s="78" t="s">
        <v>1090</v>
      </c>
    </row>
    <row r="3" spans="1:37">
      <c r="A3" s="78"/>
      <c r="B3" s="78"/>
      <c r="C3" s="78"/>
      <c r="D3" s="78"/>
      <c r="E3" s="65">
        <v>44774</v>
      </c>
      <c r="F3" s="65">
        <v>44775</v>
      </c>
      <c r="G3" s="65">
        <v>44776</v>
      </c>
      <c r="H3" s="65">
        <v>44777</v>
      </c>
      <c r="I3" s="65">
        <v>44778</v>
      </c>
      <c r="J3" s="65">
        <v>44779</v>
      </c>
      <c r="K3" s="65">
        <v>44780</v>
      </c>
      <c r="L3" s="65">
        <v>44781</v>
      </c>
      <c r="M3" s="65">
        <v>44782</v>
      </c>
      <c r="N3" s="65">
        <v>44783</v>
      </c>
      <c r="O3" s="65">
        <v>44784</v>
      </c>
      <c r="P3" s="65">
        <v>44785</v>
      </c>
      <c r="Q3" s="65">
        <v>44786</v>
      </c>
      <c r="R3" s="65">
        <v>44787</v>
      </c>
      <c r="S3" s="65">
        <v>44788</v>
      </c>
      <c r="T3" s="65">
        <v>44789</v>
      </c>
      <c r="U3" s="65">
        <v>44790</v>
      </c>
      <c r="V3" s="65">
        <v>44791</v>
      </c>
      <c r="W3" s="65">
        <v>44792</v>
      </c>
      <c r="X3" s="65">
        <v>44793</v>
      </c>
      <c r="Y3" s="65">
        <v>44794</v>
      </c>
      <c r="Z3" s="65">
        <v>44795</v>
      </c>
      <c r="AA3" s="65">
        <v>44796</v>
      </c>
      <c r="AB3" s="65">
        <v>44797</v>
      </c>
      <c r="AC3" s="65">
        <v>44798</v>
      </c>
      <c r="AD3" s="65">
        <v>44799</v>
      </c>
      <c r="AE3" s="65">
        <v>44800</v>
      </c>
      <c r="AF3" s="65">
        <v>44801</v>
      </c>
      <c r="AG3" s="65">
        <v>44802</v>
      </c>
      <c r="AH3" s="65">
        <v>44803</v>
      </c>
      <c r="AI3" s="68" t="s">
        <v>379</v>
      </c>
      <c r="AJ3" s="78"/>
      <c r="AK3" s="78"/>
    </row>
    <row r="4" spans="1:37">
      <c r="A4" s="11">
        <v>1</v>
      </c>
      <c r="B4" s="11" t="s">
        <v>8</v>
      </c>
      <c r="C4" s="11" t="s">
        <v>9</v>
      </c>
      <c r="D4" s="66"/>
      <c r="E4" s="66">
        <v>0</v>
      </c>
      <c r="F4" s="66">
        <v>0</v>
      </c>
      <c r="G4" s="66">
        <v>0</v>
      </c>
      <c r="H4" s="66">
        <v>0</v>
      </c>
      <c r="I4" s="66">
        <v>0</v>
      </c>
      <c r="J4" s="66">
        <v>0</v>
      </c>
      <c r="K4" s="66">
        <v>0</v>
      </c>
      <c r="L4" s="66">
        <v>0</v>
      </c>
      <c r="M4" s="66">
        <v>0</v>
      </c>
      <c r="N4" s="66">
        <v>97</v>
      </c>
      <c r="O4" s="66">
        <v>0</v>
      </c>
      <c r="P4" s="66">
        <v>0</v>
      </c>
      <c r="Q4" s="66">
        <v>0</v>
      </c>
      <c r="R4" s="66">
        <v>0</v>
      </c>
      <c r="S4" s="66">
        <v>0</v>
      </c>
      <c r="T4" s="66">
        <v>0</v>
      </c>
      <c r="U4" s="66">
        <v>0</v>
      </c>
      <c r="V4" s="66">
        <v>0</v>
      </c>
      <c r="W4" s="66">
        <v>0</v>
      </c>
      <c r="X4" s="66">
        <v>0</v>
      </c>
      <c r="Y4" s="66">
        <v>0</v>
      </c>
      <c r="Z4" s="66">
        <v>0</v>
      </c>
      <c r="AA4" s="66">
        <v>0</v>
      </c>
      <c r="AB4" s="66">
        <v>0</v>
      </c>
      <c r="AC4" s="66">
        <v>0</v>
      </c>
      <c r="AD4" s="66">
        <v>109036</v>
      </c>
      <c r="AE4" s="66">
        <v>0</v>
      </c>
      <c r="AF4" s="66">
        <v>0</v>
      </c>
      <c r="AG4" s="66">
        <v>183</v>
      </c>
      <c r="AH4" s="66">
        <v>20298</v>
      </c>
      <c r="AI4" s="66"/>
      <c r="AJ4" s="66"/>
      <c r="AK4" s="66"/>
    </row>
    <row r="5" spans="1:37">
      <c r="A5" s="11">
        <v>2</v>
      </c>
      <c r="B5" s="11" t="s">
        <v>106</v>
      </c>
      <c r="C5" s="11" t="s">
        <v>9</v>
      </c>
      <c r="D5" s="66"/>
      <c r="E5" s="66">
        <v>0</v>
      </c>
      <c r="F5" s="66">
        <v>0</v>
      </c>
      <c r="G5" s="66">
        <v>0</v>
      </c>
      <c r="H5" s="66">
        <v>0</v>
      </c>
      <c r="I5" s="66">
        <v>0</v>
      </c>
      <c r="J5" s="66">
        <v>0</v>
      </c>
      <c r="K5" s="66">
        <v>0</v>
      </c>
      <c r="L5" s="66">
        <v>0</v>
      </c>
      <c r="M5" s="66">
        <v>0</v>
      </c>
      <c r="N5" s="66">
        <v>219</v>
      </c>
      <c r="O5" s="66">
        <v>0</v>
      </c>
      <c r="P5" s="66">
        <v>0</v>
      </c>
      <c r="Q5" s="66">
        <v>0</v>
      </c>
      <c r="R5" s="66">
        <v>0</v>
      </c>
      <c r="S5" s="66">
        <v>0</v>
      </c>
      <c r="T5" s="66">
        <v>0</v>
      </c>
      <c r="U5" s="66">
        <v>0</v>
      </c>
      <c r="V5" s="66">
        <v>0</v>
      </c>
      <c r="W5" s="66">
        <v>0</v>
      </c>
      <c r="X5" s="66">
        <v>0</v>
      </c>
      <c r="Y5" s="66">
        <v>0</v>
      </c>
      <c r="Z5" s="66">
        <v>0</v>
      </c>
      <c r="AA5" s="66">
        <v>0</v>
      </c>
      <c r="AB5" s="66">
        <v>0</v>
      </c>
      <c r="AC5" s="66">
        <v>0</v>
      </c>
      <c r="AD5" s="66">
        <v>110607</v>
      </c>
      <c r="AE5" s="66">
        <v>0</v>
      </c>
      <c r="AF5" s="66">
        <v>0</v>
      </c>
      <c r="AG5" s="66">
        <v>0</v>
      </c>
      <c r="AH5" s="66">
        <v>5849</v>
      </c>
      <c r="AI5" s="66"/>
      <c r="AJ5" s="66"/>
      <c r="AK5" s="66"/>
    </row>
    <row r="6" spans="1:37">
      <c r="A6" s="11">
        <v>3</v>
      </c>
      <c r="B6" s="11" t="s">
        <v>107</v>
      </c>
      <c r="C6" s="11" t="s">
        <v>9</v>
      </c>
      <c r="D6" s="66"/>
      <c r="E6" s="66">
        <v>0</v>
      </c>
      <c r="F6" s="66">
        <v>0</v>
      </c>
      <c r="G6" s="66">
        <v>0</v>
      </c>
      <c r="H6" s="66">
        <v>0</v>
      </c>
      <c r="I6" s="66">
        <v>0</v>
      </c>
      <c r="J6" s="66">
        <v>0</v>
      </c>
      <c r="K6" s="66">
        <v>0</v>
      </c>
      <c r="L6" s="66">
        <v>0</v>
      </c>
      <c r="M6" s="66">
        <v>0</v>
      </c>
      <c r="N6" s="66">
        <v>0</v>
      </c>
      <c r="O6" s="66">
        <v>0</v>
      </c>
      <c r="P6" s="66">
        <v>0</v>
      </c>
      <c r="Q6" s="66">
        <v>0</v>
      </c>
      <c r="R6" s="66">
        <v>0</v>
      </c>
      <c r="S6" s="66">
        <v>0</v>
      </c>
      <c r="T6" s="66">
        <v>0</v>
      </c>
      <c r="U6" s="66">
        <v>0</v>
      </c>
      <c r="V6" s="66">
        <v>0</v>
      </c>
      <c r="W6" s="66">
        <v>0</v>
      </c>
      <c r="X6" s="66">
        <v>0</v>
      </c>
      <c r="Y6" s="66">
        <v>0</v>
      </c>
      <c r="Z6" s="66">
        <v>0</v>
      </c>
      <c r="AA6" s="66">
        <v>0</v>
      </c>
      <c r="AB6" s="66">
        <v>0</v>
      </c>
      <c r="AC6" s="66">
        <v>0</v>
      </c>
      <c r="AD6" s="66">
        <v>136755</v>
      </c>
      <c r="AE6" s="66">
        <v>0</v>
      </c>
      <c r="AF6" s="66">
        <v>0</v>
      </c>
      <c r="AG6" s="66">
        <v>0</v>
      </c>
      <c r="AH6" s="66">
        <v>9398</v>
      </c>
      <c r="AI6" s="66"/>
      <c r="AJ6" s="66"/>
      <c r="AK6" s="66"/>
    </row>
    <row r="7" spans="1:37">
      <c r="A7" s="11">
        <v>4</v>
      </c>
      <c r="B7" s="11" t="s">
        <v>108</v>
      </c>
      <c r="C7" s="11" t="s">
        <v>9</v>
      </c>
      <c r="D7" s="66"/>
      <c r="E7" s="66">
        <v>0</v>
      </c>
      <c r="F7" s="66">
        <v>0</v>
      </c>
      <c r="G7" s="66">
        <v>0</v>
      </c>
      <c r="H7" s="66">
        <v>0</v>
      </c>
      <c r="I7" s="66">
        <v>0</v>
      </c>
      <c r="J7" s="66">
        <v>0</v>
      </c>
      <c r="K7" s="66">
        <v>0</v>
      </c>
      <c r="L7" s="66">
        <v>0</v>
      </c>
      <c r="M7" s="66">
        <v>0</v>
      </c>
      <c r="N7" s="66">
        <v>36</v>
      </c>
      <c r="O7" s="66">
        <v>0</v>
      </c>
      <c r="P7" s="66">
        <v>0</v>
      </c>
      <c r="Q7" s="66">
        <v>0</v>
      </c>
      <c r="R7" s="66">
        <v>0</v>
      </c>
      <c r="S7" s="66">
        <v>0</v>
      </c>
      <c r="T7" s="66">
        <v>0</v>
      </c>
      <c r="U7" s="66">
        <v>0</v>
      </c>
      <c r="V7" s="66">
        <v>0</v>
      </c>
      <c r="W7" s="66">
        <v>0</v>
      </c>
      <c r="X7" s="66">
        <v>0</v>
      </c>
      <c r="Y7" s="66">
        <v>0</v>
      </c>
      <c r="Z7" s="66">
        <v>0</v>
      </c>
      <c r="AA7" s="66">
        <v>0</v>
      </c>
      <c r="AB7" s="66">
        <v>0</v>
      </c>
      <c r="AC7" s="66">
        <v>0</v>
      </c>
      <c r="AD7" s="66">
        <v>49009</v>
      </c>
      <c r="AE7" s="66">
        <v>0</v>
      </c>
      <c r="AF7" s="66">
        <v>0</v>
      </c>
      <c r="AG7" s="66">
        <v>0</v>
      </c>
      <c r="AH7" s="66">
        <v>3998</v>
      </c>
      <c r="AI7" s="66"/>
      <c r="AJ7" s="66"/>
      <c r="AK7" s="66"/>
    </row>
    <row r="8" spans="1:37">
      <c r="A8" s="11">
        <v>5</v>
      </c>
      <c r="B8" s="11" t="s">
        <v>10</v>
      </c>
      <c r="C8" s="11" t="s">
        <v>11</v>
      </c>
      <c r="D8" s="66"/>
      <c r="E8" s="66">
        <v>482</v>
      </c>
      <c r="F8" s="66">
        <v>0</v>
      </c>
      <c r="G8" s="66">
        <v>0</v>
      </c>
      <c r="H8" s="66">
        <v>0</v>
      </c>
      <c r="I8" s="66">
        <v>7458</v>
      </c>
      <c r="J8" s="66">
        <v>0</v>
      </c>
      <c r="K8" s="66">
        <v>0</v>
      </c>
      <c r="L8" s="66">
        <v>0</v>
      </c>
      <c r="M8" s="66">
        <v>0</v>
      </c>
      <c r="N8" s="66">
        <v>0</v>
      </c>
      <c r="O8" s="66">
        <v>0</v>
      </c>
      <c r="P8" s="66">
        <v>0</v>
      </c>
      <c r="Q8" s="66">
        <v>0</v>
      </c>
      <c r="R8" s="66">
        <v>0</v>
      </c>
      <c r="S8" s="66">
        <v>0</v>
      </c>
      <c r="T8" s="66">
        <v>0</v>
      </c>
      <c r="U8" s="66">
        <v>0</v>
      </c>
      <c r="V8" s="66">
        <v>0</v>
      </c>
      <c r="W8" s="66">
        <v>0</v>
      </c>
      <c r="X8" s="66">
        <v>0</v>
      </c>
      <c r="Y8" s="66">
        <v>0</v>
      </c>
      <c r="Z8" s="66">
        <v>0</v>
      </c>
      <c r="AA8" s="66">
        <v>0</v>
      </c>
      <c r="AB8" s="66">
        <v>0</v>
      </c>
      <c r="AC8" s="66">
        <v>0</v>
      </c>
      <c r="AD8" s="66">
        <v>0</v>
      </c>
      <c r="AE8" s="66">
        <v>0</v>
      </c>
      <c r="AF8" s="66">
        <v>0</v>
      </c>
      <c r="AG8" s="66">
        <v>0</v>
      </c>
      <c r="AH8" s="66">
        <v>-1216</v>
      </c>
      <c r="AI8" s="66"/>
      <c r="AJ8" s="66"/>
      <c r="AK8" s="66"/>
    </row>
    <row r="9" spans="1:37">
      <c r="A9" s="11">
        <v>6</v>
      </c>
      <c r="B9" s="11" t="s">
        <v>109</v>
      </c>
      <c r="C9" s="11" t="s">
        <v>11</v>
      </c>
      <c r="D9" s="66"/>
      <c r="E9" s="66">
        <v>0</v>
      </c>
      <c r="F9" s="66">
        <v>0</v>
      </c>
      <c r="G9" s="66">
        <v>0</v>
      </c>
      <c r="H9" s="66">
        <v>0</v>
      </c>
      <c r="I9" s="66">
        <v>6371</v>
      </c>
      <c r="J9" s="66">
        <v>0</v>
      </c>
      <c r="K9" s="66">
        <v>0</v>
      </c>
      <c r="L9" s="66">
        <v>0</v>
      </c>
      <c r="M9" s="66">
        <v>0</v>
      </c>
      <c r="N9" s="66">
        <v>0</v>
      </c>
      <c r="O9" s="66">
        <v>0</v>
      </c>
      <c r="P9" s="66">
        <v>0</v>
      </c>
      <c r="Q9" s="66">
        <v>0</v>
      </c>
      <c r="R9" s="66">
        <v>0</v>
      </c>
      <c r="S9" s="66">
        <v>0</v>
      </c>
      <c r="T9" s="66">
        <v>0</v>
      </c>
      <c r="U9" s="66">
        <v>0</v>
      </c>
      <c r="V9" s="66">
        <v>0</v>
      </c>
      <c r="W9" s="66">
        <v>0</v>
      </c>
      <c r="X9" s="66">
        <v>0</v>
      </c>
      <c r="Y9" s="66">
        <v>0</v>
      </c>
      <c r="Z9" s="66">
        <v>0</v>
      </c>
      <c r="AA9" s="66">
        <v>0</v>
      </c>
      <c r="AB9" s="66">
        <v>0</v>
      </c>
      <c r="AC9" s="66">
        <v>0</v>
      </c>
      <c r="AD9" s="66">
        <v>0</v>
      </c>
      <c r="AE9" s="66">
        <v>0</v>
      </c>
      <c r="AF9" s="66">
        <v>0</v>
      </c>
      <c r="AG9" s="66">
        <v>0</v>
      </c>
      <c r="AH9" s="66">
        <v>-1100</v>
      </c>
      <c r="AI9" s="66"/>
      <c r="AJ9" s="66"/>
      <c r="AK9" s="66"/>
    </row>
    <row r="10" spans="1:37">
      <c r="A10" s="11">
        <v>7</v>
      </c>
      <c r="B10" s="11" t="s">
        <v>110</v>
      </c>
      <c r="C10" s="11" t="s">
        <v>11</v>
      </c>
      <c r="D10" s="66"/>
      <c r="E10" s="66">
        <v>0</v>
      </c>
      <c r="F10" s="66">
        <v>0</v>
      </c>
      <c r="G10" s="66">
        <v>0</v>
      </c>
      <c r="H10" s="66">
        <v>0</v>
      </c>
      <c r="I10" s="66">
        <v>6625</v>
      </c>
      <c r="J10" s="66">
        <v>0</v>
      </c>
      <c r="K10" s="66">
        <v>0</v>
      </c>
      <c r="L10" s="66">
        <v>0</v>
      </c>
      <c r="M10" s="66">
        <v>0</v>
      </c>
      <c r="N10" s="66">
        <v>0</v>
      </c>
      <c r="O10" s="66">
        <v>0</v>
      </c>
      <c r="P10" s="66">
        <v>0</v>
      </c>
      <c r="Q10" s="66">
        <v>0</v>
      </c>
      <c r="R10" s="66">
        <v>0</v>
      </c>
      <c r="S10" s="66">
        <v>0</v>
      </c>
      <c r="T10" s="66">
        <v>0</v>
      </c>
      <c r="U10" s="66">
        <v>0</v>
      </c>
      <c r="V10" s="66">
        <v>0</v>
      </c>
      <c r="W10" s="66">
        <v>0</v>
      </c>
      <c r="X10" s="66">
        <v>0</v>
      </c>
      <c r="Y10" s="66">
        <v>0</v>
      </c>
      <c r="Z10" s="66">
        <v>0</v>
      </c>
      <c r="AA10" s="66">
        <v>0</v>
      </c>
      <c r="AB10" s="66">
        <v>0</v>
      </c>
      <c r="AC10" s="66">
        <v>0</v>
      </c>
      <c r="AD10" s="66">
        <v>0</v>
      </c>
      <c r="AE10" s="66">
        <v>0</v>
      </c>
      <c r="AF10" s="66">
        <v>0</v>
      </c>
      <c r="AG10" s="66">
        <v>0</v>
      </c>
      <c r="AH10" s="66">
        <v>-1331</v>
      </c>
      <c r="AI10" s="66"/>
      <c r="AJ10" s="66"/>
      <c r="AK10" s="66"/>
    </row>
    <row r="11" spans="1:37">
      <c r="A11" s="11">
        <v>8</v>
      </c>
      <c r="B11" s="11" t="s">
        <v>111</v>
      </c>
      <c r="C11" s="11" t="s">
        <v>11</v>
      </c>
      <c r="D11" s="66"/>
      <c r="E11" s="66">
        <v>0</v>
      </c>
      <c r="F11" s="66">
        <v>0</v>
      </c>
      <c r="G11" s="66">
        <v>0</v>
      </c>
      <c r="H11" s="66">
        <v>0</v>
      </c>
      <c r="I11" s="66">
        <v>2535</v>
      </c>
      <c r="J11" s="66">
        <v>0</v>
      </c>
      <c r="K11" s="66">
        <v>0</v>
      </c>
      <c r="L11" s="66">
        <v>0</v>
      </c>
      <c r="M11" s="66">
        <v>0</v>
      </c>
      <c r="N11" s="66">
        <v>0</v>
      </c>
      <c r="O11" s="66">
        <v>0</v>
      </c>
      <c r="P11" s="66">
        <v>0</v>
      </c>
      <c r="Q11" s="66">
        <v>0</v>
      </c>
      <c r="R11" s="66">
        <v>0</v>
      </c>
      <c r="S11" s="66">
        <v>0</v>
      </c>
      <c r="T11" s="66">
        <v>0</v>
      </c>
      <c r="U11" s="66">
        <v>0</v>
      </c>
      <c r="V11" s="66">
        <v>0</v>
      </c>
      <c r="W11" s="66">
        <v>0</v>
      </c>
      <c r="X11" s="66">
        <v>0</v>
      </c>
      <c r="Y11" s="66">
        <v>0</v>
      </c>
      <c r="Z11" s="66">
        <v>0</v>
      </c>
      <c r="AA11" s="66">
        <v>0</v>
      </c>
      <c r="AB11" s="66">
        <v>0</v>
      </c>
      <c r="AC11" s="66">
        <v>0</v>
      </c>
      <c r="AD11" s="66">
        <v>0</v>
      </c>
      <c r="AE11" s="66">
        <v>0</v>
      </c>
      <c r="AF11" s="66">
        <v>0</v>
      </c>
      <c r="AG11" s="66">
        <v>0</v>
      </c>
      <c r="AH11" s="66">
        <v>-513</v>
      </c>
      <c r="AI11" s="66"/>
      <c r="AJ11" s="66"/>
      <c r="AK11" s="66"/>
    </row>
    <row r="12" spans="1:37">
      <c r="A12" s="11">
        <v>9</v>
      </c>
      <c r="B12" s="11" t="s">
        <v>12</v>
      </c>
      <c r="C12" s="11" t="s">
        <v>13</v>
      </c>
      <c r="D12" s="66"/>
      <c r="E12" s="66">
        <v>0</v>
      </c>
      <c r="F12" s="66">
        <v>0</v>
      </c>
      <c r="G12" s="66">
        <v>0</v>
      </c>
      <c r="H12" s="66">
        <v>0</v>
      </c>
      <c r="I12" s="66">
        <v>0</v>
      </c>
      <c r="J12" s="66">
        <v>0</v>
      </c>
      <c r="K12" s="66">
        <v>0</v>
      </c>
      <c r="L12" s="66">
        <v>0</v>
      </c>
      <c r="M12" s="66">
        <v>0</v>
      </c>
      <c r="N12" s="66">
        <v>0</v>
      </c>
      <c r="O12" s="66">
        <v>0</v>
      </c>
      <c r="P12" s="66">
        <v>0</v>
      </c>
      <c r="Q12" s="66">
        <v>0</v>
      </c>
      <c r="R12" s="66">
        <v>0</v>
      </c>
      <c r="S12" s="66">
        <v>0</v>
      </c>
      <c r="T12" s="66">
        <v>0</v>
      </c>
      <c r="U12" s="66">
        <v>0</v>
      </c>
      <c r="V12" s="66">
        <v>0</v>
      </c>
      <c r="W12" s="66">
        <v>0</v>
      </c>
      <c r="X12" s="66">
        <v>0</v>
      </c>
      <c r="Y12" s="66">
        <v>0</v>
      </c>
      <c r="Z12" s="66">
        <v>0</v>
      </c>
      <c r="AA12" s="66">
        <v>0</v>
      </c>
      <c r="AB12" s="66">
        <v>0</v>
      </c>
      <c r="AC12" s="66">
        <v>3751</v>
      </c>
      <c r="AD12" s="66">
        <v>0</v>
      </c>
      <c r="AE12" s="66">
        <v>0</v>
      </c>
      <c r="AF12" s="66">
        <v>0</v>
      </c>
      <c r="AG12" s="66">
        <v>0</v>
      </c>
      <c r="AH12" s="66">
        <v>-871</v>
      </c>
      <c r="AI12" s="66"/>
      <c r="AJ12" s="66"/>
      <c r="AK12" s="66"/>
    </row>
    <row r="13" spans="1:37">
      <c r="A13" s="11">
        <v>10</v>
      </c>
      <c r="B13" s="11" t="s">
        <v>112</v>
      </c>
      <c r="C13" s="11" t="s">
        <v>13</v>
      </c>
      <c r="D13" s="66"/>
      <c r="E13" s="66">
        <v>0</v>
      </c>
      <c r="F13" s="66">
        <v>0</v>
      </c>
      <c r="G13" s="66">
        <v>0</v>
      </c>
      <c r="H13" s="66">
        <v>0</v>
      </c>
      <c r="I13" s="66">
        <v>0</v>
      </c>
      <c r="J13" s="66">
        <v>0</v>
      </c>
      <c r="K13" s="66">
        <v>0</v>
      </c>
      <c r="L13" s="66">
        <v>0</v>
      </c>
      <c r="M13" s="66">
        <v>0</v>
      </c>
      <c r="N13" s="66">
        <v>0</v>
      </c>
      <c r="O13" s="66">
        <v>0</v>
      </c>
      <c r="P13" s="66">
        <v>0</v>
      </c>
      <c r="Q13" s="66">
        <v>0</v>
      </c>
      <c r="R13" s="66">
        <v>0</v>
      </c>
      <c r="S13" s="66">
        <v>0</v>
      </c>
      <c r="T13" s="66">
        <v>0</v>
      </c>
      <c r="U13" s="66">
        <v>0</v>
      </c>
      <c r="V13" s="66">
        <v>0</v>
      </c>
      <c r="W13" s="66">
        <v>0</v>
      </c>
      <c r="X13" s="66">
        <v>0</v>
      </c>
      <c r="Y13" s="66">
        <v>0</v>
      </c>
      <c r="Z13" s="66">
        <v>0</v>
      </c>
      <c r="AA13" s="66">
        <v>0</v>
      </c>
      <c r="AB13" s="66">
        <v>0</v>
      </c>
      <c r="AC13" s="66">
        <v>0</v>
      </c>
      <c r="AD13" s="66">
        <v>0</v>
      </c>
      <c r="AE13" s="66">
        <v>0</v>
      </c>
      <c r="AF13" s="66">
        <v>0</v>
      </c>
      <c r="AG13" s="66">
        <v>0</v>
      </c>
      <c r="AH13" s="66">
        <v>-113</v>
      </c>
      <c r="AI13" s="66"/>
      <c r="AJ13" s="66"/>
      <c r="AK13" s="66"/>
    </row>
    <row r="14" spans="1:37">
      <c r="A14" s="11">
        <v>11</v>
      </c>
      <c r="B14" s="11" t="s">
        <v>113</v>
      </c>
      <c r="C14" s="11" t="s">
        <v>13</v>
      </c>
      <c r="D14" s="66"/>
      <c r="E14" s="66">
        <v>0</v>
      </c>
      <c r="F14" s="66">
        <v>0</v>
      </c>
      <c r="G14" s="66">
        <v>0</v>
      </c>
      <c r="H14" s="66">
        <v>0</v>
      </c>
      <c r="I14" s="66">
        <v>0</v>
      </c>
      <c r="J14" s="66">
        <v>0</v>
      </c>
      <c r="K14" s="66">
        <v>0</v>
      </c>
      <c r="L14" s="66">
        <v>0</v>
      </c>
      <c r="M14" s="66">
        <v>0</v>
      </c>
      <c r="N14" s="66">
        <v>0</v>
      </c>
      <c r="O14" s="66">
        <v>0</v>
      </c>
      <c r="P14" s="66">
        <v>0</v>
      </c>
      <c r="Q14" s="66">
        <v>0</v>
      </c>
      <c r="R14" s="66">
        <v>0</v>
      </c>
      <c r="S14" s="66">
        <v>0</v>
      </c>
      <c r="T14" s="66">
        <v>0</v>
      </c>
      <c r="U14" s="66">
        <v>0</v>
      </c>
      <c r="V14" s="66">
        <v>0</v>
      </c>
      <c r="W14" s="66">
        <v>0</v>
      </c>
      <c r="X14" s="66">
        <v>0</v>
      </c>
      <c r="Y14" s="66">
        <v>0</v>
      </c>
      <c r="Z14" s="66">
        <v>0</v>
      </c>
      <c r="AA14" s="66">
        <v>0</v>
      </c>
      <c r="AB14" s="66">
        <v>0</v>
      </c>
      <c r="AC14" s="66">
        <v>0</v>
      </c>
      <c r="AD14" s="66">
        <v>0</v>
      </c>
      <c r="AE14" s="66">
        <v>0</v>
      </c>
      <c r="AF14" s="66">
        <v>0</v>
      </c>
      <c r="AG14" s="66">
        <v>0</v>
      </c>
      <c r="AH14" s="66">
        <v>-231</v>
      </c>
      <c r="AI14" s="66"/>
      <c r="AJ14" s="66"/>
      <c r="AK14" s="66"/>
    </row>
    <row r="15" spans="1:37">
      <c r="A15" s="11">
        <v>12</v>
      </c>
      <c r="B15" s="11" t="s">
        <v>114</v>
      </c>
      <c r="C15" s="11" t="s">
        <v>13</v>
      </c>
      <c r="D15" s="66"/>
      <c r="E15" s="66">
        <v>0</v>
      </c>
      <c r="F15" s="66">
        <v>0</v>
      </c>
      <c r="G15" s="66">
        <v>0</v>
      </c>
      <c r="H15" s="66">
        <v>0</v>
      </c>
      <c r="I15" s="66">
        <v>0</v>
      </c>
      <c r="J15" s="66">
        <v>0</v>
      </c>
      <c r="K15" s="66">
        <v>0</v>
      </c>
      <c r="L15" s="66">
        <v>0</v>
      </c>
      <c r="M15" s="66">
        <v>0</v>
      </c>
      <c r="N15" s="66">
        <v>0</v>
      </c>
      <c r="O15" s="66">
        <v>0</v>
      </c>
      <c r="P15" s="66">
        <v>0</v>
      </c>
      <c r="Q15" s="66">
        <v>0</v>
      </c>
      <c r="R15" s="66">
        <v>0</v>
      </c>
      <c r="S15" s="66">
        <v>0</v>
      </c>
      <c r="T15" s="66">
        <v>0</v>
      </c>
      <c r="U15" s="66">
        <v>0</v>
      </c>
      <c r="V15" s="66">
        <v>0</v>
      </c>
      <c r="W15" s="66">
        <v>0</v>
      </c>
      <c r="X15" s="66">
        <v>0</v>
      </c>
      <c r="Y15" s="66">
        <v>0</v>
      </c>
      <c r="Z15" s="66">
        <v>0</v>
      </c>
      <c r="AA15" s="66">
        <v>0</v>
      </c>
      <c r="AB15" s="66">
        <v>0</v>
      </c>
      <c r="AC15" s="66">
        <v>0</v>
      </c>
      <c r="AD15" s="66">
        <v>0</v>
      </c>
      <c r="AE15" s="66">
        <v>0</v>
      </c>
      <c r="AF15" s="66">
        <v>0</v>
      </c>
      <c r="AG15" s="66">
        <v>0</v>
      </c>
      <c r="AH15" s="66">
        <v>-29</v>
      </c>
      <c r="AI15" s="66"/>
      <c r="AJ15" s="66"/>
      <c r="AK15" s="66"/>
    </row>
    <row r="16" spans="1:37">
      <c r="A16" s="11">
        <v>13</v>
      </c>
      <c r="B16" s="11" t="s">
        <v>14</v>
      </c>
      <c r="C16" s="11" t="s">
        <v>15</v>
      </c>
      <c r="D16" s="66"/>
      <c r="E16" s="66">
        <v>0</v>
      </c>
      <c r="F16" s="66">
        <v>556</v>
      </c>
      <c r="G16" s="66">
        <v>0</v>
      </c>
      <c r="H16" s="66">
        <v>0</v>
      </c>
      <c r="I16" s="66">
        <v>0</v>
      </c>
      <c r="J16" s="66">
        <v>0</v>
      </c>
      <c r="K16" s="66">
        <v>0</v>
      </c>
      <c r="L16" s="66">
        <v>0</v>
      </c>
      <c r="M16" s="66">
        <v>527</v>
      </c>
      <c r="N16" s="66">
        <v>0</v>
      </c>
      <c r="O16" s="66">
        <v>0</v>
      </c>
      <c r="P16" s="66">
        <v>0</v>
      </c>
      <c r="Q16" s="66">
        <v>0</v>
      </c>
      <c r="R16" s="66">
        <v>0</v>
      </c>
      <c r="S16" s="66">
        <v>0</v>
      </c>
      <c r="T16" s="66">
        <v>0</v>
      </c>
      <c r="U16" s="66">
        <v>0</v>
      </c>
      <c r="V16" s="66">
        <v>540</v>
      </c>
      <c r="W16" s="66">
        <v>0</v>
      </c>
      <c r="X16" s="66">
        <v>0</v>
      </c>
      <c r="Y16" s="66">
        <v>0</v>
      </c>
      <c r="Z16" s="66">
        <v>0</v>
      </c>
      <c r="AA16" s="66">
        <v>424</v>
      </c>
      <c r="AB16" s="66">
        <v>0</v>
      </c>
      <c r="AC16" s="66">
        <v>0</v>
      </c>
      <c r="AD16" s="66">
        <v>0</v>
      </c>
      <c r="AE16" s="66">
        <v>0</v>
      </c>
      <c r="AF16" s="66">
        <v>0</v>
      </c>
      <c r="AG16" s="66">
        <v>0</v>
      </c>
      <c r="AH16" s="66">
        <v>0</v>
      </c>
      <c r="AI16" s="66"/>
      <c r="AJ16" s="66"/>
      <c r="AK16" s="66"/>
    </row>
    <row r="17" spans="1:37">
      <c r="A17" s="11">
        <v>14</v>
      </c>
      <c r="B17" s="11" t="s">
        <v>115</v>
      </c>
      <c r="C17" s="11" t="s">
        <v>15</v>
      </c>
      <c r="D17" s="66"/>
      <c r="E17" s="66">
        <v>0</v>
      </c>
      <c r="F17" s="66">
        <v>0</v>
      </c>
      <c r="G17" s="66">
        <v>0</v>
      </c>
      <c r="H17" s="66">
        <v>0</v>
      </c>
      <c r="I17" s="66">
        <v>0</v>
      </c>
      <c r="J17" s="66">
        <v>0</v>
      </c>
      <c r="K17" s="66">
        <v>0</v>
      </c>
      <c r="L17" s="66">
        <v>0</v>
      </c>
      <c r="M17" s="66">
        <v>0</v>
      </c>
      <c r="N17" s="66">
        <v>0</v>
      </c>
      <c r="O17" s="66">
        <v>537</v>
      </c>
      <c r="P17" s="66">
        <v>0</v>
      </c>
      <c r="Q17" s="66">
        <v>0</v>
      </c>
      <c r="R17" s="66">
        <v>0</v>
      </c>
      <c r="S17" s="66">
        <v>0</v>
      </c>
      <c r="T17" s="66">
        <v>0</v>
      </c>
      <c r="U17" s="66">
        <v>0</v>
      </c>
      <c r="V17" s="66">
        <v>0</v>
      </c>
      <c r="W17" s="66">
        <v>0</v>
      </c>
      <c r="X17" s="66">
        <v>0</v>
      </c>
      <c r="Y17" s="66">
        <v>0</v>
      </c>
      <c r="Z17" s="66">
        <v>0</v>
      </c>
      <c r="AA17" s="66">
        <v>467</v>
      </c>
      <c r="AB17" s="66">
        <v>0</v>
      </c>
      <c r="AC17" s="66">
        <v>0</v>
      </c>
      <c r="AD17" s="66">
        <v>3759</v>
      </c>
      <c r="AE17" s="66">
        <v>0</v>
      </c>
      <c r="AF17" s="66">
        <v>0</v>
      </c>
      <c r="AG17" s="66">
        <v>0</v>
      </c>
      <c r="AH17" s="66">
        <v>0</v>
      </c>
      <c r="AI17" s="66"/>
      <c r="AJ17" s="66"/>
      <c r="AK17" s="66"/>
    </row>
    <row r="18" spans="1:37">
      <c r="A18" s="11">
        <v>15</v>
      </c>
      <c r="B18" s="11" t="s">
        <v>116</v>
      </c>
      <c r="C18" s="11" t="s">
        <v>15</v>
      </c>
      <c r="D18" s="66"/>
      <c r="E18" s="66">
        <v>0</v>
      </c>
      <c r="F18" s="66">
        <v>0</v>
      </c>
      <c r="G18" s="66">
        <v>0</v>
      </c>
      <c r="H18" s="66">
        <v>0</v>
      </c>
      <c r="I18" s="66">
        <v>0</v>
      </c>
      <c r="J18" s="66">
        <v>0</v>
      </c>
      <c r="K18" s="66">
        <v>0</v>
      </c>
      <c r="L18" s="66">
        <v>0</v>
      </c>
      <c r="M18" s="66">
        <v>0</v>
      </c>
      <c r="N18" s="66">
        <v>0</v>
      </c>
      <c r="O18" s="66">
        <v>0</v>
      </c>
      <c r="P18" s="66">
        <v>0</v>
      </c>
      <c r="Q18" s="66">
        <v>0</v>
      </c>
      <c r="R18" s="66">
        <v>0</v>
      </c>
      <c r="S18" s="66">
        <v>0</v>
      </c>
      <c r="T18" s="66">
        <v>0</v>
      </c>
      <c r="U18" s="66">
        <v>0</v>
      </c>
      <c r="V18" s="66">
        <v>0</v>
      </c>
      <c r="W18" s="66">
        <v>0</v>
      </c>
      <c r="X18" s="66">
        <v>0</v>
      </c>
      <c r="Y18" s="66">
        <v>0</v>
      </c>
      <c r="Z18" s="66">
        <v>0</v>
      </c>
      <c r="AA18" s="66">
        <v>0</v>
      </c>
      <c r="AB18" s="66">
        <v>0</v>
      </c>
      <c r="AC18" s="66">
        <v>0</v>
      </c>
      <c r="AD18" s="66">
        <v>4460</v>
      </c>
      <c r="AE18" s="66">
        <v>0</v>
      </c>
      <c r="AF18" s="66">
        <v>0</v>
      </c>
      <c r="AG18" s="66">
        <v>0</v>
      </c>
      <c r="AH18" s="66">
        <v>0</v>
      </c>
      <c r="AI18" s="66"/>
      <c r="AJ18" s="66"/>
      <c r="AK18" s="66"/>
    </row>
    <row r="19" spans="1:37">
      <c r="A19" s="11">
        <v>16</v>
      </c>
      <c r="B19" s="11" t="s">
        <v>117</v>
      </c>
      <c r="C19" s="11" t="s">
        <v>15</v>
      </c>
      <c r="D19" s="66"/>
      <c r="E19" s="66">
        <v>0</v>
      </c>
      <c r="F19" s="66">
        <v>0</v>
      </c>
      <c r="G19" s="66">
        <v>0</v>
      </c>
      <c r="H19" s="66">
        <v>0</v>
      </c>
      <c r="I19" s="66">
        <v>0</v>
      </c>
      <c r="J19" s="66">
        <v>0</v>
      </c>
      <c r="K19" s="66">
        <v>0</v>
      </c>
      <c r="L19" s="66">
        <v>0</v>
      </c>
      <c r="M19" s="66">
        <v>0</v>
      </c>
      <c r="N19" s="66">
        <v>0</v>
      </c>
      <c r="O19" s="66">
        <v>0</v>
      </c>
      <c r="P19" s="66">
        <v>0</v>
      </c>
      <c r="Q19" s="66">
        <v>0</v>
      </c>
      <c r="R19" s="66">
        <v>0</v>
      </c>
      <c r="S19" s="66">
        <v>0</v>
      </c>
      <c r="T19" s="66">
        <v>0</v>
      </c>
      <c r="U19" s="66">
        <v>0</v>
      </c>
      <c r="V19" s="66">
        <v>0</v>
      </c>
      <c r="W19" s="66">
        <v>0</v>
      </c>
      <c r="X19" s="66">
        <v>0</v>
      </c>
      <c r="Y19" s="66">
        <v>0</v>
      </c>
      <c r="Z19" s="66">
        <v>0</v>
      </c>
      <c r="AA19" s="66">
        <v>0</v>
      </c>
      <c r="AB19" s="66">
        <v>0</v>
      </c>
      <c r="AC19" s="66">
        <v>0</v>
      </c>
      <c r="AD19" s="66">
        <v>0</v>
      </c>
      <c r="AE19" s="66">
        <v>0</v>
      </c>
      <c r="AF19" s="66">
        <v>0</v>
      </c>
      <c r="AG19" s="66">
        <v>0</v>
      </c>
      <c r="AH19" s="66">
        <v>0</v>
      </c>
      <c r="AI19" s="66"/>
      <c r="AJ19" s="66"/>
      <c r="AK19" s="66"/>
    </row>
    <row r="20" spans="1:37">
      <c r="A20" s="11">
        <v>17</v>
      </c>
      <c r="B20" s="11" t="s">
        <v>16</v>
      </c>
      <c r="C20" s="11" t="s">
        <v>17</v>
      </c>
      <c r="D20" s="66"/>
      <c r="E20" s="66">
        <v>0</v>
      </c>
      <c r="F20" s="66">
        <v>0</v>
      </c>
      <c r="G20" s="66">
        <v>0</v>
      </c>
      <c r="H20" s="66">
        <v>0</v>
      </c>
      <c r="I20" s="66">
        <v>0</v>
      </c>
      <c r="J20" s="66">
        <v>0</v>
      </c>
      <c r="K20" s="66">
        <v>0</v>
      </c>
      <c r="L20" s="66">
        <v>0</v>
      </c>
      <c r="M20" s="66">
        <v>0</v>
      </c>
      <c r="N20" s="66">
        <v>0</v>
      </c>
      <c r="O20" s="66">
        <v>0</v>
      </c>
      <c r="P20" s="66">
        <v>0</v>
      </c>
      <c r="Q20" s="66">
        <v>0</v>
      </c>
      <c r="R20" s="66">
        <v>0</v>
      </c>
      <c r="S20" s="66">
        <v>0</v>
      </c>
      <c r="T20" s="66">
        <v>0</v>
      </c>
      <c r="U20" s="66">
        <v>0</v>
      </c>
      <c r="V20" s="66">
        <v>0</v>
      </c>
      <c r="W20" s="66">
        <v>0</v>
      </c>
      <c r="X20" s="66">
        <v>0</v>
      </c>
      <c r="Y20" s="66">
        <v>0</v>
      </c>
      <c r="Z20" s="66">
        <v>0</v>
      </c>
      <c r="AA20" s="66">
        <v>0</v>
      </c>
      <c r="AB20" s="66">
        <v>0</v>
      </c>
      <c r="AC20" s="66">
        <v>0</v>
      </c>
      <c r="AD20" s="66">
        <v>0</v>
      </c>
      <c r="AE20" s="66">
        <v>0</v>
      </c>
      <c r="AF20" s="66">
        <v>0</v>
      </c>
      <c r="AG20" s="66">
        <v>0</v>
      </c>
      <c r="AH20" s="66">
        <v>0</v>
      </c>
      <c r="AI20" s="66"/>
      <c r="AJ20" s="66"/>
      <c r="AK20" s="66"/>
    </row>
    <row r="21" spans="1:37">
      <c r="A21" s="11">
        <v>18</v>
      </c>
      <c r="B21" s="11" t="s">
        <v>118</v>
      </c>
      <c r="C21" s="11" t="s">
        <v>17</v>
      </c>
      <c r="D21" s="66"/>
      <c r="E21" s="66">
        <v>162</v>
      </c>
      <c r="F21" s="66">
        <v>0</v>
      </c>
      <c r="G21" s="66">
        <v>0</v>
      </c>
      <c r="H21" s="66">
        <v>0</v>
      </c>
      <c r="I21" s="66">
        <v>0</v>
      </c>
      <c r="J21" s="66">
        <v>0</v>
      </c>
      <c r="K21" s="66">
        <v>0</v>
      </c>
      <c r="L21" s="66">
        <v>0</v>
      </c>
      <c r="M21" s="66">
        <v>0</v>
      </c>
      <c r="N21" s="66">
        <v>0</v>
      </c>
      <c r="O21" s="66">
        <v>0</v>
      </c>
      <c r="P21" s="66">
        <v>0</v>
      </c>
      <c r="Q21" s="66">
        <v>0</v>
      </c>
      <c r="R21" s="66">
        <v>0</v>
      </c>
      <c r="S21" s="66">
        <v>0</v>
      </c>
      <c r="T21" s="66">
        <v>0</v>
      </c>
      <c r="U21" s="66">
        <v>0</v>
      </c>
      <c r="V21" s="66">
        <v>0</v>
      </c>
      <c r="W21" s="66">
        <v>0</v>
      </c>
      <c r="X21" s="66">
        <v>0</v>
      </c>
      <c r="Y21" s="66">
        <v>0</v>
      </c>
      <c r="Z21" s="66">
        <v>0</v>
      </c>
      <c r="AA21" s="66">
        <v>0</v>
      </c>
      <c r="AB21" s="66">
        <v>0</v>
      </c>
      <c r="AC21" s="66">
        <v>0</v>
      </c>
      <c r="AD21" s="66">
        <v>0</v>
      </c>
      <c r="AE21" s="66">
        <v>0</v>
      </c>
      <c r="AF21" s="66">
        <v>0</v>
      </c>
      <c r="AG21" s="66">
        <v>162</v>
      </c>
      <c r="AH21" s="66">
        <v>0</v>
      </c>
      <c r="AI21" s="66"/>
      <c r="AJ21" s="66"/>
      <c r="AK21" s="66"/>
    </row>
    <row r="22" spans="1:37">
      <c r="A22" s="11">
        <v>19</v>
      </c>
      <c r="B22" s="11" t="s">
        <v>119</v>
      </c>
      <c r="C22" s="11" t="s">
        <v>17</v>
      </c>
      <c r="D22" s="66"/>
      <c r="E22" s="66">
        <v>0</v>
      </c>
      <c r="F22" s="66">
        <v>0</v>
      </c>
      <c r="G22" s="66">
        <v>162</v>
      </c>
      <c r="H22" s="66">
        <v>0</v>
      </c>
      <c r="I22" s="66">
        <v>0</v>
      </c>
      <c r="J22" s="66">
        <v>0</v>
      </c>
      <c r="K22" s="66">
        <v>0</v>
      </c>
      <c r="L22" s="66">
        <v>0</v>
      </c>
      <c r="M22" s="66">
        <v>0</v>
      </c>
      <c r="N22" s="66">
        <v>0</v>
      </c>
      <c r="O22" s="66">
        <v>0</v>
      </c>
      <c r="P22" s="66">
        <v>0</v>
      </c>
      <c r="Q22" s="66">
        <v>0</v>
      </c>
      <c r="R22" s="66">
        <v>0</v>
      </c>
      <c r="S22" s="66">
        <v>0</v>
      </c>
      <c r="T22" s="66">
        <v>0</v>
      </c>
      <c r="U22" s="66">
        <v>0</v>
      </c>
      <c r="V22" s="66">
        <v>0</v>
      </c>
      <c r="W22" s="66">
        <v>0</v>
      </c>
      <c r="X22" s="66">
        <v>0</v>
      </c>
      <c r="Y22" s="66">
        <v>0</v>
      </c>
      <c r="Z22" s="66">
        <v>0</v>
      </c>
      <c r="AA22" s="66">
        <v>0</v>
      </c>
      <c r="AB22" s="66">
        <v>0</v>
      </c>
      <c r="AC22" s="66">
        <v>0</v>
      </c>
      <c r="AD22" s="66">
        <v>162</v>
      </c>
      <c r="AE22" s="66">
        <v>0</v>
      </c>
      <c r="AF22" s="66">
        <v>0</v>
      </c>
      <c r="AG22" s="66">
        <v>0</v>
      </c>
      <c r="AH22" s="66">
        <v>0</v>
      </c>
      <c r="AI22" s="66"/>
      <c r="AJ22" s="66"/>
      <c r="AK22" s="66"/>
    </row>
    <row r="23" spans="1:37">
      <c r="A23" s="11">
        <v>20</v>
      </c>
      <c r="B23" s="11" t="s">
        <v>120</v>
      </c>
      <c r="C23" s="11" t="s">
        <v>17</v>
      </c>
      <c r="D23" s="66"/>
      <c r="E23" s="66">
        <v>0</v>
      </c>
      <c r="F23" s="66">
        <v>0</v>
      </c>
      <c r="G23" s="66">
        <v>0</v>
      </c>
      <c r="H23" s="66">
        <v>0</v>
      </c>
      <c r="I23" s="66">
        <v>0</v>
      </c>
      <c r="J23" s="66">
        <v>0</v>
      </c>
      <c r="K23" s="66">
        <v>0</v>
      </c>
      <c r="L23" s="66">
        <v>0</v>
      </c>
      <c r="M23" s="66">
        <v>0</v>
      </c>
      <c r="N23" s="66">
        <v>0</v>
      </c>
      <c r="O23" s="66">
        <v>0</v>
      </c>
      <c r="P23" s="66">
        <v>0</v>
      </c>
      <c r="Q23" s="66">
        <v>0</v>
      </c>
      <c r="R23" s="66">
        <v>0</v>
      </c>
      <c r="S23" s="66">
        <v>0</v>
      </c>
      <c r="T23" s="66">
        <v>0</v>
      </c>
      <c r="U23" s="66">
        <v>0</v>
      </c>
      <c r="V23" s="66">
        <v>0</v>
      </c>
      <c r="W23" s="66">
        <v>0</v>
      </c>
      <c r="X23" s="66">
        <v>0</v>
      </c>
      <c r="Y23" s="66">
        <v>0</v>
      </c>
      <c r="Z23" s="66">
        <v>0</v>
      </c>
      <c r="AA23" s="66">
        <v>0</v>
      </c>
      <c r="AB23" s="66">
        <v>0</v>
      </c>
      <c r="AC23" s="66">
        <v>0</v>
      </c>
      <c r="AD23" s="66">
        <v>0</v>
      </c>
      <c r="AE23" s="66">
        <v>0</v>
      </c>
      <c r="AF23" s="66">
        <v>0</v>
      </c>
      <c r="AG23" s="66">
        <v>0</v>
      </c>
      <c r="AH23" s="66">
        <v>0</v>
      </c>
      <c r="AI23" s="66"/>
      <c r="AJ23" s="66"/>
      <c r="AK23" s="66"/>
    </row>
    <row r="24" spans="1:37">
      <c r="A24" s="11">
        <v>21</v>
      </c>
      <c r="B24" s="11" t="s">
        <v>105</v>
      </c>
      <c r="C24" s="11" t="s">
        <v>18</v>
      </c>
      <c r="D24" s="66"/>
      <c r="E24" s="66">
        <v>0</v>
      </c>
      <c r="F24" s="66">
        <v>0</v>
      </c>
      <c r="G24" s="66">
        <v>0</v>
      </c>
      <c r="H24" s="66">
        <v>168</v>
      </c>
      <c r="I24" s="66">
        <v>0</v>
      </c>
      <c r="J24" s="66">
        <v>0</v>
      </c>
      <c r="K24" s="66">
        <v>0</v>
      </c>
      <c r="L24" s="66">
        <v>0</v>
      </c>
      <c r="M24" s="66">
        <v>3069</v>
      </c>
      <c r="N24" s="66">
        <v>0</v>
      </c>
      <c r="O24" s="66">
        <v>0</v>
      </c>
      <c r="P24" s="66">
        <v>0</v>
      </c>
      <c r="Q24" s="66">
        <v>0</v>
      </c>
      <c r="R24" s="66">
        <v>0</v>
      </c>
      <c r="S24" s="66">
        <v>0</v>
      </c>
      <c r="T24" s="66">
        <v>834</v>
      </c>
      <c r="U24" s="66">
        <v>0</v>
      </c>
      <c r="V24" s="66">
        <v>0</v>
      </c>
      <c r="W24" s="66">
        <v>0</v>
      </c>
      <c r="X24" s="66">
        <v>0</v>
      </c>
      <c r="Y24" s="66">
        <v>0</v>
      </c>
      <c r="Z24" s="66">
        <v>0</v>
      </c>
      <c r="AA24" s="66">
        <v>0</v>
      </c>
      <c r="AB24" s="66">
        <v>0</v>
      </c>
      <c r="AC24" s="66">
        <v>0</v>
      </c>
      <c r="AD24" s="66">
        <v>0</v>
      </c>
      <c r="AE24" s="66">
        <v>0</v>
      </c>
      <c r="AF24" s="66">
        <v>0</v>
      </c>
      <c r="AG24" s="66">
        <v>0</v>
      </c>
      <c r="AH24" s="66">
        <v>0</v>
      </c>
      <c r="AI24" s="66"/>
      <c r="AJ24" s="66"/>
      <c r="AK24" s="66"/>
    </row>
    <row r="25" spans="1:37">
      <c r="A25" s="11">
        <v>22</v>
      </c>
      <c r="B25" s="11" t="s">
        <v>121</v>
      </c>
      <c r="C25" s="11" t="s">
        <v>18</v>
      </c>
      <c r="D25" s="66"/>
      <c r="E25" s="66">
        <v>0</v>
      </c>
      <c r="F25" s="66">
        <v>0</v>
      </c>
      <c r="G25" s="66">
        <v>0</v>
      </c>
      <c r="H25" s="66">
        <v>0</v>
      </c>
      <c r="I25" s="66">
        <v>0</v>
      </c>
      <c r="J25" s="66">
        <v>0</v>
      </c>
      <c r="K25" s="66">
        <v>0</v>
      </c>
      <c r="L25" s="66">
        <v>0</v>
      </c>
      <c r="M25" s="66">
        <v>451</v>
      </c>
      <c r="N25" s="66">
        <v>0</v>
      </c>
      <c r="O25" s="66">
        <v>0</v>
      </c>
      <c r="P25" s="66">
        <v>8061</v>
      </c>
      <c r="Q25" s="66">
        <v>0</v>
      </c>
      <c r="R25" s="66">
        <v>0</v>
      </c>
      <c r="S25" s="66">
        <v>0</v>
      </c>
      <c r="T25" s="66">
        <v>707</v>
      </c>
      <c r="U25" s="66">
        <v>0</v>
      </c>
      <c r="V25" s="66">
        <v>0</v>
      </c>
      <c r="W25" s="66">
        <v>0</v>
      </c>
      <c r="X25" s="66">
        <v>0</v>
      </c>
      <c r="Y25" s="66">
        <v>0</v>
      </c>
      <c r="Z25" s="66">
        <v>0</v>
      </c>
      <c r="AA25" s="66">
        <v>0</v>
      </c>
      <c r="AB25" s="66">
        <v>0</v>
      </c>
      <c r="AC25" s="66">
        <v>0</v>
      </c>
      <c r="AD25" s="66">
        <v>0</v>
      </c>
      <c r="AE25" s="66">
        <v>0</v>
      </c>
      <c r="AF25" s="66">
        <v>0</v>
      </c>
      <c r="AG25" s="66">
        <v>0</v>
      </c>
      <c r="AH25" s="66">
        <v>0</v>
      </c>
      <c r="AI25" s="66"/>
      <c r="AJ25" s="66"/>
      <c r="AK25" s="66"/>
    </row>
    <row r="26" spans="1:37">
      <c r="A26" s="11">
        <v>23</v>
      </c>
      <c r="B26" s="11" t="s">
        <v>122</v>
      </c>
      <c r="C26" s="11" t="s">
        <v>18</v>
      </c>
      <c r="D26" s="66"/>
      <c r="E26" s="66">
        <v>0</v>
      </c>
      <c r="F26" s="66">
        <v>0</v>
      </c>
      <c r="G26" s="66">
        <v>0</v>
      </c>
      <c r="H26" s="66">
        <v>0</v>
      </c>
      <c r="I26" s="66">
        <v>0</v>
      </c>
      <c r="J26" s="66">
        <v>0</v>
      </c>
      <c r="K26" s="66">
        <v>0</v>
      </c>
      <c r="L26" s="66">
        <v>0</v>
      </c>
      <c r="M26" s="66">
        <v>0</v>
      </c>
      <c r="N26" s="66">
        <v>0</v>
      </c>
      <c r="O26" s="66">
        <v>0</v>
      </c>
      <c r="P26" s="66">
        <v>0</v>
      </c>
      <c r="Q26" s="66">
        <v>0</v>
      </c>
      <c r="R26" s="66">
        <v>0</v>
      </c>
      <c r="S26" s="66">
        <v>0</v>
      </c>
      <c r="T26" s="66">
        <v>707</v>
      </c>
      <c r="U26" s="66">
        <v>0</v>
      </c>
      <c r="V26" s="66">
        <v>0</v>
      </c>
      <c r="W26" s="66">
        <v>0</v>
      </c>
      <c r="X26" s="66">
        <v>0</v>
      </c>
      <c r="Y26" s="66">
        <v>0</v>
      </c>
      <c r="Z26" s="66">
        <v>0</v>
      </c>
      <c r="AA26" s="66">
        <v>0</v>
      </c>
      <c r="AB26" s="66">
        <v>0</v>
      </c>
      <c r="AC26" s="66">
        <v>0</v>
      </c>
      <c r="AD26" s="66">
        <v>0</v>
      </c>
      <c r="AE26" s="66">
        <v>0</v>
      </c>
      <c r="AF26" s="66">
        <v>0</v>
      </c>
      <c r="AG26" s="66">
        <v>0</v>
      </c>
      <c r="AH26" s="66">
        <v>0</v>
      </c>
      <c r="AI26" s="66"/>
      <c r="AJ26" s="66"/>
      <c r="AK26" s="66"/>
    </row>
    <row r="27" spans="1:37">
      <c r="A27" s="11">
        <v>24</v>
      </c>
      <c r="B27" s="11" t="s">
        <v>123</v>
      </c>
      <c r="C27" s="11" t="s">
        <v>18</v>
      </c>
      <c r="D27" s="66"/>
      <c r="E27" s="66">
        <v>0</v>
      </c>
      <c r="F27" s="66">
        <v>0</v>
      </c>
      <c r="G27" s="66">
        <v>0</v>
      </c>
      <c r="H27" s="66">
        <v>0</v>
      </c>
      <c r="I27" s="66">
        <v>0</v>
      </c>
      <c r="J27" s="66">
        <v>0</v>
      </c>
      <c r="K27" s="66">
        <v>0</v>
      </c>
      <c r="L27" s="66">
        <v>0</v>
      </c>
      <c r="M27" s="66">
        <v>0</v>
      </c>
      <c r="N27" s="66">
        <v>0</v>
      </c>
      <c r="O27" s="66">
        <v>0</v>
      </c>
      <c r="P27" s="66">
        <v>0</v>
      </c>
      <c r="Q27" s="66">
        <v>0</v>
      </c>
      <c r="R27" s="66">
        <v>0</v>
      </c>
      <c r="S27" s="66">
        <v>0</v>
      </c>
      <c r="T27" s="66">
        <v>774</v>
      </c>
      <c r="U27" s="66">
        <v>0</v>
      </c>
      <c r="V27" s="66">
        <v>0</v>
      </c>
      <c r="W27" s="66">
        <v>0</v>
      </c>
      <c r="X27" s="66">
        <v>0</v>
      </c>
      <c r="Y27" s="66">
        <v>0</v>
      </c>
      <c r="Z27" s="66">
        <v>0</v>
      </c>
      <c r="AA27" s="66">
        <v>0</v>
      </c>
      <c r="AB27" s="66">
        <v>0</v>
      </c>
      <c r="AC27" s="66">
        <v>0</v>
      </c>
      <c r="AD27" s="66">
        <v>0</v>
      </c>
      <c r="AE27" s="66">
        <v>0</v>
      </c>
      <c r="AF27" s="66">
        <v>0</v>
      </c>
      <c r="AG27" s="66">
        <v>0</v>
      </c>
      <c r="AH27" s="66">
        <v>0</v>
      </c>
      <c r="AI27" s="66"/>
      <c r="AJ27" s="66"/>
      <c r="AK27" s="66"/>
    </row>
    <row r="28" spans="1:37">
      <c r="A28" s="11">
        <v>25</v>
      </c>
      <c r="B28" s="11" t="s">
        <v>19</v>
      </c>
      <c r="C28" s="11" t="s">
        <v>20</v>
      </c>
      <c r="D28" s="66"/>
      <c r="E28" s="66">
        <v>0</v>
      </c>
      <c r="F28" s="66">
        <v>2394</v>
      </c>
      <c r="G28" s="66">
        <v>0</v>
      </c>
      <c r="H28" s="66">
        <v>0</v>
      </c>
      <c r="I28" s="66">
        <v>0</v>
      </c>
      <c r="J28" s="66">
        <v>0</v>
      </c>
      <c r="K28" s="66">
        <v>0</v>
      </c>
      <c r="L28" s="66">
        <v>216</v>
      </c>
      <c r="M28" s="66">
        <v>0</v>
      </c>
      <c r="N28" s="66">
        <v>0</v>
      </c>
      <c r="O28" s="66">
        <v>0</v>
      </c>
      <c r="P28" s="66">
        <v>0</v>
      </c>
      <c r="Q28" s="66">
        <v>0</v>
      </c>
      <c r="R28" s="66">
        <v>0</v>
      </c>
      <c r="S28" s="66">
        <v>0</v>
      </c>
      <c r="T28" s="66">
        <v>0</v>
      </c>
      <c r="U28" s="66">
        <v>0</v>
      </c>
      <c r="V28" s="66">
        <v>0</v>
      </c>
      <c r="W28" s="66">
        <v>0</v>
      </c>
      <c r="X28" s="66">
        <v>0</v>
      </c>
      <c r="Y28" s="66">
        <v>0</v>
      </c>
      <c r="Z28" s="66">
        <v>0</v>
      </c>
      <c r="AA28" s="66">
        <v>0</v>
      </c>
      <c r="AB28" s="66">
        <v>0</v>
      </c>
      <c r="AC28" s="66">
        <v>0</v>
      </c>
      <c r="AD28" s="66">
        <v>0</v>
      </c>
      <c r="AE28" s="66">
        <v>0</v>
      </c>
      <c r="AF28" s="66">
        <v>0</v>
      </c>
      <c r="AG28" s="66">
        <v>0</v>
      </c>
      <c r="AH28" s="66">
        <v>0</v>
      </c>
      <c r="AI28" s="66"/>
      <c r="AJ28" s="66"/>
      <c r="AK28" s="66"/>
    </row>
    <row r="29" spans="1:37">
      <c r="A29" s="11">
        <v>26</v>
      </c>
      <c r="B29" s="11" t="s">
        <v>124</v>
      </c>
      <c r="C29" s="11" t="s">
        <v>20</v>
      </c>
      <c r="D29" s="66"/>
      <c r="E29" s="66">
        <v>0</v>
      </c>
      <c r="F29" s="66">
        <v>0</v>
      </c>
      <c r="G29" s="66">
        <v>0</v>
      </c>
      <c r="H29" s="66">
        <v>0</v>
      </c>
      <c r="I29" s="66">
        <v>0</v>
      </c>
      <c r="J29" s="66">
        <v>0</v>
      </c>
      <c r="K29" s="66">
        <v>0</v>
      </c>
      <c r="L29" s="66">
        <v>0</v>
      </c>
      <c r="M29" s="66">
        <v>39720</v>
      </c>
      <c r="N29" s="66">
        <v>0</v>
      </c>
      <c r="O29" s="66">
        <v>0</v>
      </c>
      <c r="P29" s="66">
        <v>0</v>
      </c>
      <c r="Q29" s="66">
        <v>0</v>
      </c>
      <c r="R29" s="66">
        <v>0</v>
      </c>
      <c r="S29" s="66">
        <v>0</v>
      </c>
      <c r="T29" s="66">
        <v>0</v>
      </c>
      <c r="U29" s="66">
        <v>0</v>
      </c>
      <c r="V29" s="66">
        <v>0</v>
      </c>
      <c r="W29" s="66">
        <v>1360</v>
      </c>
      <c r="X29" s="66">
        <v>0</v>
      </c>
      <c r="Y29" s="66">
        <v>0</v>
      </c>
      <c r="Z29" s="66">
        <v>0</v>
      </c>
      <c r="AA29" s="66">
        <v>-21</v>
      </c>
      <c r="AB29" s="66">
        <v>0</v>
      </c>
      <c r="AC29" s="66">
        <v>0</v>
      </c>
      <c r="AD29" s="66">
        <v>0</v>
      </c>
      <c r="AE29" s="66">
        <v>0</v>
      </c>
      <c r="AF29" s="66">
        <v>0</v>
      </c>
      <c r="AG29" s="66">
        <v>0</v>
      </c>
      <c r="AH29" s="66">
        <v>0</v>
      </c>
      <c r="AI29" s="66"/>
      <c r="AJ29" s="66"/>
      <c r="AK29" s="66"/>
    </row>
    <row r="30" spans="1:37">
      <c r="A30" s="11">
        <v>27</v>
      </c>
      <c r="B30" s="11" t="s">
        <v>125</v>
      </c>
      <c r="C30" s="11" t="s">
        <v>20</v>
      </c>
      <c r="D30" s="66"/>
      <c r="E30" s="66">
        <v>6146</v>
      </c>
      <c r="F30" s="66">
        <v>0</v>
      </c>
      <c r="G30" s="66">
        <v>20</v>
      </c>
      <c r="H30" s="66">
        <v>0</v>
      </c>
      <c r="I30" s="66">
        <v>26</v>
      </c>
      <c r="J30" s="66">
        <v>0</v>
      </c>
      <c r="K30" s="66">
        <v>0</v>
      </c>
      <c r="L30" s="66">
        <v>41</v>
      </c>
      <c r="M30" s="66">
        <v>2593</v>
      </c>
      <c r="N30" s="66">
        <v>-3</v>
      </c>
      <c r="O30" s="66">
        <v>0</v>
      </c>
      <c r="P30" s="66">
        <v>0</v>
      </c>
      <c r="Q30" s="66">
        <v>0</v>
      </c>
      <c r="R30" s="66">
        <v>0</v>
      </c>
      <c r="S30" s="66">
        <v>57</v>
      </c>
      <c r="T30" s="66">
        <v>0</v>
      </c>
      <c r="U30" s="66">
        <v>0</v>
      </c>
      <c r="V30" s="66">
        <v>5813</v>
      </c>
      <c r="W30" s="66">
        <v>0</v>
      </c>
      <c r="X30" s="66">
        <v>0</v>
      </c>
      <c r="Y30" s="66">
        <v>0</v>
      </c>
      <c r="Z30" s="66">
        <v>0</v>
      </c>
      <c r="AA30" s="66">
        <v>0</v>
      </c>
      <c r="AB30" s="66">
        <v>0</v>
      </c>
      <c r="AC30" s="66">
        <v>0</v>
      </c>
      <c r="AD30" s="66">
        <v>0</v>
      </c>
      <c r="AE30" s="66">
        <v>0</v>
      </c>
      <c r="AF30" s="66">
        <v>0</v>
      </c>
      <c r="AG30" s="66">
        <v>0</v>
      </c>
      <c r="AH30" s="66">
        <v>0</v>
      </c>
      <c r="AI30" s="66"/>
      <c r="AJ30" s="66"/>
      <c r="AK30" s="66"/>
    </row>
    <row r="31" spans="1:37">
      <c r="A31" s="11">
        <v>28</v>
      </c>
      <c r="B31" s="11" t="s">
        <v>126</v>
      </c>
      <c r="C31" s="11" t="s">
        <v>20</v>
      </c>
      <c r="D31" s="66"/>
      <c r="E31" s="66">
        <v>0</v>
      </c>
      <c r="F31" s="66">
        <v>0</v>
      </c>
      <c r="G31" s="66">
        <v>0</v>
      </c>
      <c r="H31" s="66">
        <v>0</v>
      </c>
      <c r="I31" s="66">
        <v>0</v>
      </c>
      <c r="J31" s="66">
        <v>0</v>
      </c>
      <c r="K31" s="66">
        <v>0</v>
      </c>
      <c r="L31" s="66">
        <v>0</v>
      </c>
      <c r="M31" s="66">
        <v>0</v>
      </c>
      <c r="N31" s="66">
        <v>0</v>
      </c>
      <c r="O31" s="66">
        <v>0</v>
      </c>
      <c r="P31" s="66">
        <v>0</v>
      </c>
      <c r="Q31" s="66">
        <v>0</v>
      </c>
      <c r="R31" s="66">
        <v>0</v>
      </c>
      <c r="S31" s="66">
        <v>0</v>
      </c>
      <c r="T31" s="66">
        <v>0</v>
      </c>
      <c r="U31" s="66">
        <v>0</v>
      </c>
      <c r="V31" s="66">
        <v>0</v>
      </c>
      <c r="W31" s="66">
        <v>0</v>
      </c>
      <c r="X31" s="66">
        <v>0</v>
      </c>
      <c r="Y31" s="66">
        <v>0</v>
      </c>
      <c r="Z31" s="66">
        <v>0</v>
      </c>
      <c r="AA31" s="66">
        <v>0</v>
      </c>
      <c r="AB31" s="66">
        <v>0</v>
      </c>
      <c r="AC31" s="66">
        <v>0</v>
      </c>
      <c r="AD31" s="66">
        <v>0</v>
      </c>
      <c r="AE31" s="66">
        <v>0</v>
      </c>
      <c r="AF31" s="66">
        <v>0</v>
      </c>
      <c r="AG31" s="66">
        <v>0</v>
      </c>
      <c r="AH31" s="66">
        <v>0</v>
      </c>
      <c r="AI31" s="66"/>
      <c r="AJ31" s="66"/>
      <c r="AK31" s="66"/>
    </row>
    <row r="32" spans="1:37">
      <c r="A32" s="11">
        <v>29</v>
      </c>
      <c r="B32" s="11" t="s">
        <v>21</v>
      </c>
      <c r="C32" s="11" t="s">
        <v>22</v>
      </c>
      <c r="D32" s="66"/>
      <c r="E32" s="66">
        <v>0</v>
      </c>
      <c r="F32" s="66">
        <v>0</v>
      </c>
      <c r="G32" s="66">
        <v>0</v>
      </c>
      <c r="H32" s="66">
        <v>0</v>
      </c>
      <c r="I32" s="66">
        <v>0</v>
      </c>
      <c r="J32" s="66">
        <v>0</v>
      </c>
      <c r="K32" s="66">
        <v>0</v>
      </c>
      <c r="L32" s="66">
        <v>0</v>
      </c>
      <c r="M32" s="66">
        <v>0</v>
      </c>
      <c r="N32" s="66">
        <v>0</v>
      </c>
      <c r="O32" s="66">
        <v>3803</v>
      </c>
      <c r="P32" s="66">
        <v>0</v>
      </c>
      <c r="Q32" s="66">
        <v>0</v>
      </c>
      <c r="R32" s="66">
        <v>0</v>
      </c>
      <c r="S32" s="66">
        <v>0</v>
      </c>
      <c r="T32" s="66">
        <v>0</v>
      </c>
      <c r="U32" s="66">
        <v>0</v>
      </c>
      <c r="V32" s="66">
        <v>0</v>
      </c>
      <c r="W32" s="66">
        <v>0</v>
      </c>
      <c r="X32" s="66">
        <v>0</v>
      </c>
      <c r="Y32" s="66">
        <v>0</v>
      </c>
      <c r="Z32" s="66">
        <v>0</v>
      </c>
      <c r="AA32" s="66">
        <v>0</v>
      </c>
      <c r="AB32" s="66">
        <v>0</v>
      </c>
      <c r="AC32" s="66">
        <v>0</v>
      </c>
      <c r="AD32" s="66">
        <v>0</v>
      </c>
      <c r="AE32" s="66">
        <v>0</v>
      </c>
      <c r="AF32" s="66">
        <v>0</v>
      </c>
      <c r="AG32" s="66">
        <v>0</v>
      </c>
      <c r="AH32" s="66">
        <v>0</v>
      </c>
      <c r="AI32" s="66"/>
      <c r="AJ32" s="66"/>
      <c r="AK32" s="66"/>
    </row>
    <row r="33" spans="1:37">
      <c r="A33" s="11">
        <v>30</v>
      </c>
      <c r="B33" s="11" t="s">
        <v>127</v>
      </c>
      <c r="C33" s="11" t="s">
        <v>22</v>
      </c>
      <c r="D33" s="66"/>
      <c r="E33" s="66">
        <v>0</v>
      </c>
      <c r="F33" s="66">
        <v>0</v>
      </c>
      <c r="G33" s="66">
        <v>0</v>
      </c>
      <c r="H33" s="66">
        <v>0</v>
      </c>
      <c r="I33" s="66">
        <v>0</v>
      </c>
      <c r="J33" s="66">
        <v>0</v>
      </c>
      <c r="K33" s="66">
        <v>0</v>
      </c>
      <c r="L33" s="66">
        <v>0</v>
      </c>
      <c r="M33" s="66">
        <v>0</v>
      </c>
      <c r="N33" s="66">
        <v>0</v>
      </c>
      <c r="O33" s="66">
        <v>4187</v>
      </c>
      <c r="P33" s="66">
        <v>0</v>
      </c>
      <c r="Q33" s="66">
        <v>0</v>
      </c>
      <c r="R33" s="66">
        <v>0</v>
      </c>
      <c r="S33" s="66">
        <v>0</v>
      </c>
      <c r="T33" s="66">
        <v>0</v>
      </c>
      <c r="U33" s="66">
        <v>0</v>
      </c>
      <c r="V33" s="66">
        <v>0</v>
      </c>
      <c r="W33" s="66">
        <v>0</v>
      </c>
      <c r="X33" s="66">
        <v>0</v>
      </c>
      <c r="Y33" s="66">
        <v>0</v>
      </c>
      <c r="Z33" s="66">
        <v>0</v>
      </c>
      <c r="AA33" s="66">
        <v>0</v>
      </c>
      <c r="AB33" s="66">
        <v>0</v>
      </c>
      <c r="AC33" s="66">
        <v>0</v>
      </c>
      <c r="AD33" s="66">
        <v>0</v>
      </c>
      <c r="AE33" s="66">
        <v>0</v>
      </c>
      <c r="AF33" s="66">
        <v>0</v>
      </c>
      <c r="AG33" s="66">
        <v>0</v>
      </c>
      <c r="AH33" s="66">
        <v>0</v>
      </c>
      <c r="AI33" s="66"/>
      <c r="AJ33" s="66"/>
      <c r="AK33" s="66"/>
    </row>
    <row r="34" spans="1:37">
      <c r="A34" s="11">
        <v>31</v>
      </c>
      <c r="B34" s="11" t="s">
        <v>128</v>
      </c>
      <c r="C34" s="11" t="s">
        <v>22</v>
      </c>
      <c r="D34" s="66"/>
      <c r="E34" s="66">
        <v>0</v>
      </c>
      <c r="F34" s="66">
        <v>0</v>
      </c>
      <c r="G34" s="66">
        <v>0</v>
      </c>
      <c r="H34" s="66">
        <v>0</v>
      </c>
      <c r="I34" s="66">
        <v>0</v>
      </c>
      <c r="J34" s="66">
        <v>0</v>
      </c>
      <c r="K34" s="66">
        <v>0</v>
      </c>
      <c r="L34" s="66">
        <v>0</v>
      </c>
      <c r="M34" s="66">
        <v>0</v>
      </c>
      <c r="N34" s="66">
        <v>0</v>
      </c>
      <c r="O34" s="66">
        <v>4728</v>
      </c>
      <c r="P34" s="66">
        <v>0</v>
      </c>
      <c r="Q34" s="66">
        <v>0</v>
      </c>
      <c r="R34" s="66">
        <v>0</v>
      </c>
      <c r="S34" s="66">
        <v>0</v>
      </c>
      <c r="T34" s="66">
        <v>0</v>
      </c>
      <c r="U34" s="66">
        <v>0</v>
      </c>
      <c r="V34" s="66">
        <v>0</v>
      </c>
      <c r="W34" s="66">
        <v>0</v>
      </c>
      <c r="X34" s="66">
        <v>0</v>
      </c>
      <c r="Y34" s="66">
        <v>0</v>
      </c>
      <c r="Z34" s="66">
        <v>0</v>
      </c>
      <c r="AA34" s="66">
        <v>0</v>
      </c>
      <c r="AB34" s="66">
        <v>0</v>
      </c>
      <c r="AC34" s="66">
        <v>0</v>
      </c>
      <c r="AD34" s="66">
        <v>0</v>
      </c>
      <c r="AE34" s="66">
        <v>0</v>
      </c>
      <c r="AF34" s="66">
        <v>0</v>
      </c>
      <c r="AG34" s="66">
        <v>0</v>
      </c>
      <c r="AH34" s="66">
        <v>0</v>
      </c>
      <c r="AI34" s="66"/>
      <c r="AJ34" s="66"/>
      <c r="AK34" s="66"/>
    </row>
    <row r="35" spans="1:37">
      <c r="A35" s="11">
        <v>32</v>
      </c>
      <c r="B35" s="11" t="s">
        <v>129</v>
      </c>
      <c r="C35" s="11" t="s">
        <v>22</v>
      </c>
      <c r="D35" s="66"/>
      <c r="E35" s="66">
        <v>0</v>
      </c>
      <c r="F35" s="66">
        <v>0</v>
      </c>
      <c r="G35" s="66">
        <v>0</v>
      </c>
      <c r="H35" s="66">
        <v>0</v>
      </c>
      <c r="I35" s="66">
        <v>0</v>
      </c>
      <c r="J35" s="66">
        <v>0</v>
      </c>
      <c r="K35" s="66">
        <v>0</v>
      </c>
      <c r="L35" s="66">
        <v>0</v>
      </c>
      <c r="M35" s="66">
        <v>0</v>
      </c>
      <c r="N35" s="66">
        <v>0</v>
      </c>
      <c r="O35" s="66">
        <v>2817</v>
      </c>
      <c r="P35" s="66">
        <v>0</v>
      </c>
      <c r="Q35" s="66">
        <v>0</v>
      </c>
      <c r="R35" s="66">
        <v>0</v>
      </c>
      <c r="S35" s="66">
        <v>0</v>
      </c>
      <c r="T35" s="66">
        <v>0</v>
      </c>
      <c r="U35" s="66">
        <v>0</v>
      </c>
      <c r="V35" s="66">
        <v>0</v>
      </c>
      <c r="W35" s="66">
        <v>0</v>
      </c>
      <c r="X35" s="66">
        <v>0</v>
      </c>
      <c r="Y35" s="66">
        <v>0</v>
      </c>
      <c r="Z35" s="66">
        <v>0</v>
      </c>
      <c r="AA35" s="66">
        <v>0</v>
      </c>
      <c r="AB35" s="66">
        <v>0</v>
      </c>
      <c r="AC35" s="66">
        <v>0</v>
      </c>
      <c r="AD35" s="66">
        <v>0</v>
      </c>
      <c r="AE35" s="66">
        <v>0</v>
      </c>
      <c r="AF35" s="66">
        <v>0</v>
      </c>
      <c r="AG35" s="66">
        <v>0</v>
      </c>
      <c r="AH35" s="66">
        <v>0</v>
      </c>
      <c r="AI35" s="66"/>
      <c r="AJ35" s="66"/>
      <c r="AK35" s="66"/>
    </row>
    <row r="36" spans="1:37">
      <c r="A36" s="11">
        <v>33</v>
      </c>
      <c r="B36" s="11" t="s">
        <v>23</v>
      </c>
      <c r="C36" s="11" t="s">
        <v>24</v>
      </c>
      <c r="D36" s="66"/>
      <c r="E36" s="66">
        <v>0</v>
      </c>
      <c r="F36" s="66">
        <v>1645</v>
      </c>
      <c r="G36" s="66">
        <v>0</v>
      </c>
      <c r="H36" s="66">
        <v>399</v>
      </c>
      <c r="I36" s="66">
        <v>0</v>
      </c>
      <c r="J36" s="66">
        <v>0</v>
      </c>
      <c r="K36" s="66">
        <v>0</v>
      </c>
      <c r="L36" s="66">
        <v>1129</v>
      </c>
      <c r="M36" s="66">
        <v>0</v>
      </c>
      <c r="N36" s="66">
        <v>0</v>
      </c>
      <c r="O36" s="66">
        <v>0</v>
      </c>
      <c r="P36" s="66">
        <v>0</v>
      </c>
      <c r="Q36" s="66">
        <v>0</v>
      </c>
      <c r="R36" s="66">
        <v>0</v>
      </c>
      <c r="S36" s="66">
        <v>0</v>
      </c>
      <c r="T36" s="66">
        <v>1067</v>
      </c>
      <c r="U36" s="66">
        <v>0</v>
      </c>
      <c r="V36" s="66">
        <v>0</v>
      </c>
      <c r="W36" s="66">
        <v>0</v>
      </c>
      <c r="X36" s="66">
        <v>0</v>
      </c>
      <c r="Y36" s="66">
        <v>0</v>
      </c>
      <c r="Z36" s="66">
        <v>0</v>
      </c>
      <c r="AA36" s="66">
        <v>972</v>
      </c>
      <c r="AB36" s="66">
        <v>0</v>
      </c>
      <c r="AC36" s="66">
        <v>0</v>
      </c>
      <c r="AD36" s="66">
        <v>0</v>
      </c>
      <c r="AE36" s="66">
        <v>0</v>
      </c>
      <c r="AF36" s="66">
        <v>0</v>
      </c>
      <c r="AG36" s="66">
        <v>0</v>
      </c>
      <c r="AH36" s="66">
        <v>1395</v>
      </c>
      <c r="AI36" s="66"/>
      <c r="AJ36" s="66"/>
      <c r="AK36" s="66"/>
    </row>
    <row r="37" spans="1:37">
      <c r="A37" s="11">
        <v>34</v>
      </c>
      <c r="B37" s="11" t="s">
        <v>130</v>
      </c>
      <c r="C37" s="11" t="s">
        <v>24</v>
      </c>
      <c r="D37" s="66"/>
      <c r="E37" s="66">
        <v>0</v>
      </c>
      <c r="F37" s="66">
        <v>0</v>
      </c>
      <c r="G37" s="66">
        <v>0</v>
      </c>
      <c r="H37" s="66">
        <v>0</v>
      </c>
      <c r="I37" s="66">
        <v>0</v>
      </c>
      <c r="J37" s="66">
        <v>0</v>
      </c>
      <c r="K37" s="66">
        <v>0</v>
      </c>
      <c r="L37" s="66">
        <v>0</v>
      </c>
      <c r="M37" s="66">
        <v>0</v>
      </c>
      <c r="N37" s="66">
        <v>0</v>
      </c>
      <c r="O37" s="66">
        <v>0</v>
      </c>
      <c r="P37" s="66">
        <v>0</v>
      </c>
      <c r="Q37" s="66">
        <v>0</v>
      </c>
      <c r="R37" s="66">
        <v>0</v>
      </c>
      <c r="S37" s="66">
        <v>0</v>
      </c>
      <c r="T37" s="66">
        <v>0</v>
      </c>
      <c r="U37" s="66">
        <v>0</v>
      </c>
      <c r="V37" s="66">
        <v>0</v>
      </c>
      <c r="W37" s="66">
        <v>0</v>
      </c>
      <c r="X37" s="66">
        <v>0</v>
      </c>
      <c r="Y37" s="66">
        <v>0</v>
      </c>
      <c r="Z37" s="66">
        <v>81</v>
      </c>
      <c r="AA37" s="66">
        <v>91</v>
      </c>
      <c r="AB37" s="66">
        <v>0</v>
      </c>
      <c r="AC37" s="66">
        <v>0</v>
      </c>
      <c r="AD37" s="66">
        <v>0</v>
      </c>
      <c r="AE37" s="66">
        <v>0</v>
      </c>
      <c r="AF37" s="66">
        <v>0</v>
      </c>
      <c r="AG37" s="66">
        <v>0</v>
      </c>
      <c r="AH37" s="66">
        <v>0</v>
      </c>
      <c r="AI37" s="66"/>
      <c r="AJ37" s="66"/>
      <c r="AK37" s="66"/>
    </row>
    <row r="38" spans="1:37">
      <c r="A38" s="11">
        <v>35</v>
      </c>
      <c r="B38" s="11" t="s">
        <v>131</v>
      </c>
      <c r="C38" s="11" t="s">
        <v>24</v>
      </c>
      <c r="D38" s="66"/>
      <c r="E38" s="66">
        <v>0</v>
      </c>
      <c r="F38" s="66">
        <v>0</v>
      </c>
      <c r="G38" s="66">
        <v>0</v>
      </c>
      <c r="H38" s="66">
        <v>0</v>
      </c>
      <c r="I38" s="66">
        <v>0</v>
      </c>
      <c r="J38" s="66">
        <v>0</v>
      </c>
      <c r="K38" s="66">
        <v>0</v>
      </c>
      <c r="L38" s="66">
        <v>0</v>
      </c>
      <c r="M38" s="66">
        <v>0</v>
      </c>
      <c r="N38" s="66">
        <v>0</v>
      </c>
      <c r="O38" s="66">
        <v>0</v>
      </c>
      <c r="P38" s="66">
        <v>0</v>
      </c>
      <c r="Q38" s="66">
        <v>0</v>
      </c>
      <c r="R38" s="66">
        <v>0</v>
      </c>
      <c r="S38" s="66">
        <v>0</v>
      </c>
      <c r="T38" s="66">
        <v>0</v>
      </c>
      <c r="U38" s="66">
        <v>0</v>
      </c>
      <c r="V38" s="66">
        <v>0</v>
      </c>
      <c r="W38" s="66">
        <v>0</v>
      </c>
      <c r="X38" s="66">
        <v>0</v>
      </c>
      <c r="Y38" s="66">
        <v>0</v>
      </c>
      <c r="Z38" s="66">
        <v>0</v>
      </c>
      <c r="AA38" s="66">
        <v>0</v>
      </c>
      <c r="AB38" s="66">
        <v>64</v>
      </c>
      <c r="AC38" s="66">
        <v>0</v>
      </c>
      <c r="AD38" s="66">
        <v>0</v>
      </c>
      <c r="AE38" s="66">
        <v>0</v>
      </c>
      <c r="AF38" s="66">
        <v>0</v>
      </c>
      <c r="AG38" s="66">
        <v>0</v>
      </c>
      <c r="AH38" s="66">
        <v>0</v>
      </c>
      <c r="AI38" s="66"/>
      <c r="AJ38" s="66"/>
      <c r="AK38" s="66"/>
    </row>
    <row r="39" spans="1:37">
      <c r="A39" s="11">
        <v>36</v>
      </c>
      <c r="B39" s="11" t="s">
        <v>132</v>
      </c>
      <c r="C39" s="11" t="s">
        <v>24</v>
      </c>
      <c r="D39" s="66"/>
      <c r="E39" s="66">
        <v>0</v>
      </c>
      <c r="F39" s="66">
        <v>0</v>
      </c>
      <c r="G39" s="66">
        <v>0</v>
      </c>
      <c r="H39" s="66">
        <v>0</v>
      </c>
      <c r="I39" s="66">
        <v>0</v>
      </c>
      <c r="J39" s="66">
        <v>0</v>
      </c>
      <c r="K39" s="66">
        <v>0</v>
      </c>
      <c r="L39" s="66">
        <v>0</v>
      </c>
      <c r="M39" s="66">
        <v>0</v>
      </c>
      <c r="N39" s="66">
        <v>0</v>
      </c>
      <c r="O39" s="66">
        <v>0</v>
      </c>
      <c r="P39" s="66">
        <v>0</v>
      </c>
      <c r="Q39" s="66">
        <v>0</v>
      </c>
      <c r="R39" s="66">
        <v>0</v>
      </c>
      <c r="S39" s="66">
        <v>0</v>
      </c>
      <c r="T39" s="66">
        <v>0</v>
      </c>
      <c r="U39" s="66">
        <v>0</v>
      </c>
      <c r="V39" s="66">
        <v>0</v>
      </c>
      <c r="W39" s="66">
        <v>0</v>
      </c>
      <c r="X39" s="66">
        <v>0</v>
      </c>
      <c r="Y39" s="66">
        <v>0</v>
      </c>
      <c r="Z39" s="66">
        <v>0</v>
      </c>
      <c r="AA39" s="66">
        <v>0</v>
      </c>
      <c r="AB39" s="66">
        <v>0</v>
      </c>
      <c r="AC39" s="66">
        <v>0</v>
      </c>
      <c r="AD39" s="66">
        <v>0</v>
      </c>
      <c r="AE39" s="66">
        <v>0</v>
      </c>
      <c r="AF39" s="66">
        <v>0</v>
      </c>
      <c r="AG39" s="66">
        <v>0</v>
      </c>
      <c r="AH39" s="66">
        <v>0</v>
      </c>
      <c r="AI39" s="66"/>
      <c r="AJ39" s="66"/>
      <c r="AK39" s="66"/>
    </row>
    <row r="40" spans="1:37">
      <c r="A40" s="11">
        <v>37</v>
      </c>
      <c r="B40" s="11" t="s">
        <v>25</v>
      </c>
      <c r="C40" s="11" t="s">
        <v>26</v>
      </c>
      <c r="D40" s="66"/>
      <c r="E40" s="66">
        <v>101</v>
      </c>
      <c r="F40" s="66">
        <v>0</v>
      </c>
      <c r="G40" s="66">
        <v>0</v>
      </c>
      <c r="H40" s="66">
        <v>0</v>
      </c>
      <c r="I40" s="66">
        <v>0</v>
      </c>
      <c r="J40" s="66">
        <v>0</v>
      </c>
      <c r="K40" s="66">
        <v>0</v>
      </c>
      <c r="L40" s="66">
        <v>0</v>
      </c>
      <c r="M40" s="66">
        <v>0</v>
      </c>
      <c r="N40" s="66">
        <v>0</v>
      </c>
      <c r="O40" s="66">
        <v>0</v>
      </c>
      <c r="P40" s="66">
        <v>0</v>
      </c>
      <c r="Q40" s="66">
        <v>0</v>
      </c>
      <c r="R40" s="66">
        <v>0</v>
      </c>
      <c r="S40" s="66">
        <v>0</v>
      </c>
      <c r="T40" s="66">
        <v>0</v>
      </c>
      <c r="U40" s="66">
        <v>0</v>
      </c>
      <c r="V40" s="66">
        <v>0</v>
      </c>
      <c r="W40" s="66">
        <v>0</v>
      </c>
      <c r="X40" s="66">
        <v>0</v>
      </c>
      <c r="Y40" s="66">
        <v>0</v>
      </c>
      <c r="Z40" s="66">
        <v>0</v>
      </c>
      <c r="AA40" s="66">
        <v>0</v>
      </c>
      <c r="AB40" s="66">
        <v>0</v>
      </c>
      <c r="AC40" s="66">
        <v>0</v>
      </c>
      <c r="AD40" s="66">
        <v>0</v>
      </c>
      <c r="AE40" s="66">
        <v>0</v>
      </c>
      <c r="AF40" s="66">
        <v>0</v>
      </c>
      <c r="AG40" s="66">
        <v>0</v>
      </c>
      <c r="AH40" s="66">
        <v>0</v>
      </c>
      <c r="AI40" s="66"/>
      <c r="AJ40" s="66"/>
      <c r="AK40" s="66"/>
    </row>
    <row r="41" spans="1:37">
      <c r="A41" s="11">
        <v>38</v>
      </c>
      <c r="B41" s="11" t="s">
        <v>133</v>
      </c>
      <c r="C41" s="11" t="s">
        <v>26</v>
      </c>
      <c r="D41" s="66"/>
      <c r="E41" s="66">
        <v>0</v>
      </c>
      <c r="F41" s="66">
        <v>0</v>
      </c>
      <c r="G41" s="66">
        <v>0</v>
      </c>
      <c r="H41" s="66">
        <v>0</v>
      </c>
      <c r="I41" s="66">
        <v>0</v>
      </c>
      <c r="J41" s="66">
        <v>0</v>
      </c>
      <c r="K41" s="66">
        <v>0</v>
      </c>
      <c r="L41" s="66">
        <v>0</v>
      </c>
      <c r="M41" s="66">
        <v>0</v>
      </c>
      <c r="N41" s="66">
        <v>0</v>
      </c>
      <c r="O41" s="66">
        <v>0</v>
      </c>
      <c r="P41" s="66">
        <v>0</v>
      </c>
      <c r="Q41" s="66">
        <v>0</v>
      </c>
      <c r="R41" s="66">
        <v>0</v>
      </c>
      <c r="S41" s="66">
        <v>0</v>
      </c>
      <c r="T41" s="66">
        <v>0</v>
      </c>
      <c r="U41" s="66">
        <v>0</v>
      </c>
      <c r="V41" s="66">
        <v>0</v>
      </c>
      <c r="W41" s="66">
        <v>0</v>
      </c>
      <c r="X41" s="66">
        <v>0</v>
      </c>
      <c r="Y41" s="66">
        <v>0</v>
      </c>
      <c r="Z41" s="66">
        <v>0</v>
      </c>
      <c r="AA41" s="66">
        <v>0</v>
      </c>
      <c r="AB41" s="66">
        <v>0</v>
      </c>
      <c r="AC41" s="66">
        <v>0</v>
      </c>
      <c r="AD41" s="66">
        <v>0</v>
      </c>
      <c r="AE41" s="66">
        <v>0</v>
      </c>
      <c r="AF41" s="66">
        <v>0</v>
      </c>
      <c r="AG41" s="66">
        <v>0</v>
      </c>
      <c r="AH41" s="66">
        <v>0</v>
      </c>
      <c r="AI41" s="66"/>
      <c r="AJ41" s="66"/>
      <c r="AK41" s="66"/>
    </row>
    <row r="42" spans="1:37">
      <c r="A42" s="11">
        <v>39</v>
      </c>
      <c r="B42" s="11" t="s">
        <v>134</v>
      </c>
      <c r="C42" s="11" t="s">
        <v>26</v>
      </c>
      <c r="D42" s="66"/>
      <c r="E42" s="66">
        <v>0</v>
      </c>
      <c r="F42" s="66">
        <v>0</v>
      </c>
      <c r="G42" s="66">
        <v>0</v>
      </c>
      <c r="H42" s="66">
        <v>0</v>
      </c>
      <c r="I42" s="66">
        <v>0</v>
      </c>
      <c r="J42" s="66">
        <v>0</v>
      </c>
      <c r="K42" s="66">
        <v>0</v>
      </c>
      <c r="L42" s="66">
        <v>0</v>
      </c>
      <c r="M42" s="66">
        <v>0</v>
      </c>
      <c r="N42" s="66">
        <v>0</v>
      </c>
      <c r="O42" s="66">
        <v>0</v>
      </c>
      <c r="P42" s="66">
        <v>0</v>
      </c>
      <c r="Q42" s="66">
        <v>0</v>
      </c>
      <c r="R42" s="66">
        <v>0</v>
      </c>
      <c r="S42" s="66">
        <v>0</v>
      </c>
      <c r="T42" s="66">
        <v>0</v>
      </c>
      <c r="U42" s="66">
        <v>0</v>
      </c>
      <c r="V42" s="66">
        <v>0</v>
      </c>
      <c r="W42" s="66">
        <v>0</v>
      </c>
      <c r="X42" s="66">
        <v>0</v>
      </c>
      <c r="Y42" s="66">
        <v>0</v>
      </c>
      <c r="Z42" s="66">
        <v>0</v>
      </c>
      <c r="AA42" s="66">
        <v>0</v>
      </c>
      <c r="AB42" s="66">
        <v>0</v>
      </c>
      <c r="AC42" s="66">
        <v>0</v>
      </c>
      <c r="AD42" s="66">
        <v>0</v>
      </c>
      <c r="AE42" s="66">
        <v>0</v>
      </c>
      <c r="AF42" s="66">
        <v>0</v>
      </c>
      <c r="AG42" s="66">
        <v>0</v>
      </c>
      <c r="AH42" s="66">
        <v>0</v>
      </c>
      <c r="AI42" s="66"/>
      <c r="AJ42" s="66"/>
      <c r="AK42" s="66"/>
    </row>
    <row r="43" spans="1:37">
      <c r="A43" s="11">
        <v>40</v>
      </c>
      <c r="B43" s="11" t="s">
        <v>135</v>
      </c>
      <c r="C43" s="11" t="s">
        <v>26</v>
      </c>
      <c r="D43" s="66"/>
      <c r="E43" s="66">
        <v>0</v>
      </c>
      <c r="F43" s="66">
        <v>0</v>
      </c>
      <c r="G43" s="66">
        <v>0</v>
      </c>
      <c r="H43" s="66">
        <v>0</v>
      </c>
      <c r="I43" s="66">
        <v>0</v>
      </c>
      <c r="J43" s="66">
        <v>0</v>
      </c>
      <c r="K43" s="66">
        <v>0</v>
      </c>
      <c r="L43" s="66">
        <v>0</v>
      </c>
      <c r="M43" s="66">
        <v>0</v>
      </c>
      <c r="N43" s="66">
        <v>0</v>
      </c>
      <c r="O43" s="66">
        <v>0</v>
      </c>
      <c r="P43" s="66">
        <v>0</v>
      </c>
      <c r="Q43" s="66">
        <v>0</v>
      </c>
      <c r="R43" s="66">
        <v>0</v>
      </c>
      <c r="S43" s="66">
        <v>0</v>
      </c>
      <c r="T43" s="66">
        <v>0</v>
      </c>
      <c r="U43" s="66">
        <v>0</v>
      </c>
      <c r="V43" s="66">
        <v>0</v>
      </c>
      <c r="W43" s="66">
        <v>0</v>
      </c>
      <c r="X43" s="66">
        <v>0</v>
      </c>
      <c r="Y43" s="66">
        <v>0</v>
      </c>
      <c r="Z43" s="66">
        <v>0</v>
      </c>
      <c r="AA43" s="66">
        <v>0</v>
      </c>
      <c r="AB43" s="66">
        <v>0</v>
      </c>
      <c r="AC43" s="66">
        <v>0</v>
      </c>
      <c r="AD43" s="66">
        <v>0</v>
      </c>
      <c r="AE43" s="66">
        <v>0</v>
      </c>
      <c r="AF43" s="66">
        <v>0</v>
      </c>
      <c r="AG43" s="66">
        <v>0</v>
      </c>
      <c r="AH43" s="66">
        <v>0</v>
      </c>
      <c r="AI43" s="66"/>
      <c r="AJ43" s="66"/>
      <c r="AK43" s="66"/>
    </row>
    <row r="44" spans="1:37">
      <c r="A44" s="11">
        <v>41</v>
      </c>
      <c r="B44" s="11" t="s">
        <v>27</v>
      </c>
      <c r="C44" s="11" t="s">
        <v>28</v>
      </c>
      <c r="D44" s="66"/>
      <c r="E44" s="66">
        <v>0</v>
      </c>
      <c r="F44" s="66">
        <v>0</v>
      </c>
      <c r="G44" s="66">
        <v>0</v>
      </c>
      <c r="H44" s="66">
        <v>259</v>
      </c>
      <c r="I44" s="66">
        <v>0</v>
      </c>
      <c r="J44" s="66">
        <v>0</v>
      </c>
      <c r="K44" s="66">
        <v>0</v>
      </c>
      <c r="L44" s="66">
        <v>0</v>
      </c>
      <c r="M44" s="66">
        <v>0</v>
      </c>
      <c r="N44" s="66">
        <v>0</v>
      </c>
      <c r="O44" s="66">
        <v>0</v>
      </c>
      <c r="P44" s="66">
        <v>0</v>
      </c>
      <c r="Q44" s="66">
        <v>0</v>
      </c>
      <c r="R44" s="66">
        <v>0</v>
      </c>
      <c r="S44" s="66">
        <v>0</v>
      </c>
      <c r="T44" s="66">
        <v>0</v>
      </c>
      <c r="U44" s="66">
        <v>0</v>
      </c>
      <c r="V44" s="66">
        <v>0</v>
      </c>
      <c r="W44" s="66">
        <v>0</v>
      </c>
      <c r="X44" s="66">
        <v>0</v>
      </c>
      <c r="Y44" s="66">
        <v>0</v>
      </c>
      <c r="Z44" s="66">
        <v>0</v>
      </c>
      <c r="AA44" s="66">
        <v>0</v>
      </c>
      <c r="AB44" s="66">
        <v>0</v>
      </c>
      <c r="AC44" s="66">
        <v>0</v>
      </c>
      <c r="AD44" s="66">
        <v>0</v>
      </c>
      <c r="AE44" s="66">
        <v>0</v>
      </c>
      <c r="AF44" s="66">
        <v>0</v>
      </c>
      <c r="AG44" s="66">
        <v>572</v>
      </c>
      <c r="AH44" s="66">
        <v>0</v>
      </c>
      <c r="AI44" s="66"/>
      <c r="AJ44" s="66"/>
      <c r="AK44" s="66"/>
    </row>
    <row r="45" spans="1:37">
      <c r="A45" s="11">
        <v>42</v>
      </c>
      <c r="B45" s="11" t="s">
        <v>136</v>
      </c>
      <c r="C45" s="11" t="s">
        <v>28</v>
      </c>
      <c r="D45" s="66"/>
      <c r="E45" s="66">
        <v>0</v>
      </c>
      <c r="F45" s="66">
        <v>0</v>
      </c>
      <c r="G45" s="66">
        <v>0</v>
      </c>
      <c r="H45" s="66">
        <v>0</v>
      </c>
      <c r="I45" s="66">
        <v>0</v>
      </c>
      <c r="J45" s="66">
        <v>0</v>
      </c>
      <c r="K45" s="66">
        <v>0</v>
      </c>
      <c r="L45" s="66">
        <v>0</v>
      </c>
      <c r="M45" s="66">
        <v>0</v>
      </c>
      <c r="N45" s="66">
        <v>0</v>
      </c>
      <c r="O45" s="66">
        <v>0</v>
      </c>
      <c r="P45" s="66">
        <v>0</v>
      </c>
      <c r="Q45" s="66">
        <v>0</v>
      </c>
      <c r="R45" s="66">
        <v>0</v>
      </c>
      <c r="S45" s="66">
        <v>0</v>
      </c>
      <c r="T45" s="66">
        <v>0</v>
      </c>
      <c r="U45" s="66">
        <v>0</v>
      </c>
      <c r="V45" s="66">
        <v>0</v>
      </c>
      <c r="W45" s="66">
        <v>0</v>
      </c>
      <c r="X45" s="66">
        <v>0</v>
      </c>
      <c r="Y45" s="66">
        <v>0</v>
      </c>
      <c r="Z45" s="66">
        <v>0</v>
      </c>
      <c r="AA45" s="66">
        <v>0</v>
      </c>
      <c r="AB45" s="66">
        <v>0</v>
      </c>
      <c r="AC45" s="66">
        <v>0</v>
      </c>
      <c r="AD45" s="66">
        <v>0</v>
      </c>
      <c r="AE45" s="66">
        <v>0</v>
      </c>
      <c r="AF45" s="66">
        <v>0</v>
      </c>
      <c r="AG45" s="66">
        <v>0</v>
      </c>
      <c r="AH45" s="66">
        <v>0</v>
      </c>
      <c r="AI45" s="66"/>
      <c r="AJ45" s="66"/>
      <c r="AK45" s="66"/>
    </row>
    <row r="46" spans="1:37">
      <c r="A46" s="11">
        <v>43</v>
      </c>
      <c r="B46" s="11" t="s">
        <v>137</v>
      </c>
      <c r="C46" s="11" t="s">
        <v>28</v>
      </c>
      <c r="D46" s="66"/>
      <c r="E46" s="66">
        <v>0</v>
      </c>
      <c r="F46" s="66">
        <v>0</v>
      </c>
      <c r="G46" s="66">
        <v>0</v>
      </c>
      <c r="H46" s="66">
        <v>0</v>
      </c>
      <c r="I46" s="66">
        <v>0</v>
      </c>
      <c r="J46" s="66">
        <v>0</v>
      </c>
      <c r="K46" s="66">
        <v>0</v>
      </c>
      <c r="L46" s="66">
        <v>0</v>
      </c>
      <c r="M46" s="66">
        <v>0</v>
      </c>
      <c r="N46" s="66">
        <v>0</v>
      </c>
      <c r="O46" s="66">
        <v>0</v>
      </c>
      <c r="P46" s="66">
        <v>0</v>
      </c>
      <c r="Q46" s="66">
        <v>0</v>
      </c>
      <c r="R46" s="66">
        <v>0</v>
      </c>
      <c r="S46" s="66">
        <v>0</v>
      </c>
      <c r="T46" s="66">
        <v>0</v>
      </c>
      <c r="U46" s="66">
        <v>0</v>
      </c>
      <c r="V46" s="66">
        <v>0</v>
      </c>
      <c r="W46" s="66">
        <v>0</v>
      </c>
      <c r="X46" s="66">
        <v>0</v>
      </c>
      <c r="Y46" s="66">
        <v>0</v>
      </c>
      <c r="Z46" s="66">
        <v>0</v>
      </c>
      <c r="AA46" s="66">
        <v>0</v>
      </c>
      <c r="AB46" s="66">
        <v>0</v>
      </c>
      <c r="AC46" s="66">
        <v>0</v>
      </c>
      <c r="AD46" s="66">
        <v>0</v>
      </c>
      <c r="AE46" s="66">
        <v>0</v>
      </c>
      <c r="AF46" s="66">
        <v>0</v>
      </c>
      <c r="AG46" s="66">
        <v>0</v>
      </c>
      <c r="AH46" s="66">
        <v>0</v>
      </c>
      <c r="AI46" s="66"/>
      <c r="AJ46" s="66"/>
      <c r="AK46" s="66"/>
    </row>
    <row r="47" spans="1:37">
      <c r="A47" s="11">
        <v>44</v>
      </c>
      <c r="B47" s="11" t="s">
        <v>138</v>
      </c>
      <c r="C47" s="11" t="s">
        <v>28</v>
      </c>
      <c r="D47" s="66"/>
      <c r="E47" s="66">
        <v>0</v>
      </c>
      <c r="F47" s="66">
        <v>0</v>
      </c>
      <c r="G47" s="66">
        <v>0</v>
      </c>
      <c r="H47" s="66">
        <v>0</v>
      </c>
      <c r="I47" s="66">
        <v>0</v>
      </c>
      <c r="J47" s="66">
        <v>0</v>
      </c>
      <c r="K47" s="66">
        <v>0</v>
      </c>
      <c r="L47" s="66">
        <v>0</v>
      </c>
      <c r="M47" s="66">
        <v>0</v>
      </c>
      <c r="N47" s="66">
        <v>0</v>
      </c>
      <c r="O47" s="66">
        <v>0</v>
      </c>
      <c r="P47" s="66">
        <v>0</v>
      </c>
      <c r="Q47" s="66">
        <v>0</v>
      </c>
      <c r="R47" s="66">
        <v>0</v>
      </c>
      <c r="S47" s="66">
        <v>0</v>
      </c>
      <c r="T47" s="66">
        <v>0</v>
      </c>
      <c r="U47" s="66">
        <v>0</v>
      </c>
      <c r="V47" s="66">
        <v>0</v>
      </c>
      <c r="W47" s="66">
        <v>0</v>
      </c>
      <c r="X47" s="66">
        <v>0</v>
      </c>
      <c r="Y47" s="66">
        <v>0</v>
      </c>
      <c r="Z47" s="66">
        <v>0</v>
      </c>
      <c r="AA47" s="66">
        <v>0</v>
      </c>
      <c r="AB47" s="66">
        <v>0</v>
      </c>
      <c r="AC47" s="66">
        <v>0</v>
      </c>
      <c r="AD47" s="66">
        <v>0</v>
      </c>
      <c r="AE47" s="66">
        <v>0</v>
      </c>
      <c r="AF47" s="66">
        <v>0</v>
      </c>
      <c r="AG47" s="66">
        <v>0</v>
      </c>
      <c r="AH47" s="66">
        <v>0</v>
      </c>
      <c r="AI47" s="66"/>
      <c r="AJ47" s="66"/>
      <c r="AK47" s="66"/>
    </row>
    <row r="48" spans="1:37">
      <c r="A48" s="11">
        <v>45</v>
      </c>
      <c r="B48" s="11" t="s">
        <v>29</v>
      </c>
      <c r="C48" s="11" t="s">
        <v>30</v>
      </c>
      <c r="D48" s="66"/>
      <c r="E48" s="66">
        <v>0</v>
      </c>
      <c r="F48" s="66">
        <v>0</v>
      </c>
      <c r="G48" s="66">
        <v>0</v>
      </c>
      <c r="H48" s="66">
        <v>0</v>
      </c>
      <c r="I48" s="66">
        <v>0</v>
      </c>
      <c r="J48" s="66">
        <v>0</v>
      </c>
      <c r="K48" s="66">
        <v>0</v>
      </c>
      <c r="L48" s="66">
        <v>0</v>
      </c>
      <c r="M48" s="66">
        <v>0</v>
      </c>
      <c r="N48" s="66">
        <v>0</v>
      </c>
      <c r="O48" s="66">
        <v>0</v>
      </c>
      <c r="P48" s="66">
        <v>0</v>
      </c>
      <c r="Q48" s="66">
        <v>0</v>
      </c>
      <c r="R48" s="66">
        <v>0</v>
      </c>
      <c r="S48" s="66">
        <v>0</v>
      </c>
      <c r="T48" s="66">
        <v>0</v>
      </c>
      <c r="U48" s="66">
        <v>0</v>
      </c>
      <c r="V48" s="66">
        <v>0</v>
      </c>
      <c r="W48" s="66">
        <v>0</v>
      </c>
      <c r="X48" s="66">
        <v>0</v>
      </c>
      <c r="Y48" s="66">
        <v>0</v>
      </c>
      <c r="Z48" s="66">
        <v>0</v>
      </c>
      <c r="AA48" s="66">
        <v>0</v>
      </c>
      <c r="AB48" s="66">
        <v>0</v>
      </c>
      <c r="AC48" s="66">
        <v>0</v>
      </c>
      <c r="AD48" s="66">
        <v>0</v>
      </c>
      <c r="AE48" s="66">
        <v>0</v>
      </c>
      <c r="AF48" s="66">
        <v>0</v>
      </c>
      <c r="AG48" s="66">
        <v>0</v>
      </c>
      <c r="AH48" s="66">
        <v>0</v>
      </c>
      <c r="AI48" s="66"/>
      <c r="AJ48" s="66"/>
      <c r="AK48" s="66"/>
    </row>
    <row r="49" spans="1:37">
      <c r="A49" s="11">
        <v>46</v>
      </c>
      <c r="B49" s="11" t="s">
        <v>139</v>
      </c>
      <c r="C49" s="11" t="s">
        <v>30</v>
      </c>
      <c r="D49" s="66"/>
      <c r="E49" s="66">
        <v>0</v>
      </c>
      <c r="F49" s="66">
        <v>0</v>
      </c>
      <c r="G49" s="66">
        <v>0</v>
      </c>
      <c r="H49" s="66">
        <v>0</v>
      </c>
      <c r="I49" s="66">
        <v>0</v>
      </c>
      <c r="J49" s="66">
        <v>0</v>
      </c>
      <c r="K49" s="66">
        <v>0</v>
      </c>
      <c r="L49" s="66">
        <v>0</v>
      </c>
      <c r="M49" s="66">
        <v>0</v>
      </c>
      <c r="N49" s="66">
        <v>0</v>
      </c>
      <c r="O49" s="66">
        <v>0</v>
      </c>
      <c r="P49" s="66">
        <v>0</v>
      </c>
      <c r="Q49" s="66">
        <v>0</v>
      </c>
      <c r="R49" s="66">
        <v>0</v>
      </c>
      <c r="S49" s="66">
        <v>0</v>
      </c>
      <c r="T49" s="66">
        <v>0</v>
      </c>
      <c r="U49" s="66">
        <v>0</v>
      </c>
      <c r="V49" s="66">
        <v>0</v>
      </c>
      <c r="W49" s="66">
        <v>0</v>
      </c>
      <c r="X49" s="66">
        <v>0</v>
      </c>
      <c r="Y49" s="66">
        <v>0</v>
      </c>
      <c r="Z49" s="66">
        <v>0</v>
      </c>
      <c r="AA49" s="66">
        <v>0</v>
      </c>
      <c r="AB49" s="66">
        <v>0</v>
      </c>
      <c r="AC49" s="66">
        <v>0</v>
      </c>
      <c r="AD49" s="66">
        <v>0</v>
      </c>
      <c r="AE49" s="66">
        <v>0</v>
      </c>
      <c r="AF49" s="66">
        <v>0</v>
      </c>
      <c r="AG49" s="66">
        <v>0</v>
      </c>
      <c r="AH49" s="66">
        <v>0</v>
      </c>
      <c r="AI49" s="66"/>
      <c r="AJ49" s="66"/>
      <c r="AK49" s="66"/>
    </row>
    <row r="50" spans="1:37">
      <c r="A50" s="11">
        <v>47</v>
      </c>
      <c r="B50" s="11" t="s">
        <v>140</v>
      </c>
      <c r="C50" s="11" t="s">
        <v>30</v>
      </c>
      <c r="D50" s="66"/>
      <c r="E50" s="66">
        <v>0</v>
      </c>
      <c r="F50" s="66">
        <v>0</v>
      </c>
      <c r="G50" s="66">
        <v>0</v>
      </c>
      <c r="H50" s="66">
        <v>0</v>
      </c>
      <c r="I50" s="66">
        <v>0</v>
      </c>
      <c r="J50" s="66">
        <v>0</v>
      </c>
      <c r="K50" s="66">
        <v>0</v>
      </c>
      <c r="L50" s="66">
        <v>0</v>
      </c>
      <c r="M50" s="66">
        <v>0</v>
      </c>
      <c r="N50" s="66">
        <v>0</v>
      </c>
      <c r="O50" s="66">
        <v>0</v>
      </c>
      <c r="P50" s="66">
        <v>0</v>
      </c>
      <c r="Q50" s="66">
        <v>0</v>
      </c>
      <c r="R50" s="66">
        <v>0</v>
      </c>
      <c r="S50" s="66">
        <v>0</v>
      </c>
      <c r="T50" s="66">
        <v>0</v>
      </c>
      <c r="U50" s="66">
        <v>0</v>
      </c>
      <c r="V50" s="66">
        <v>0</v>
      </c>
      <c r="W50" s="66">
        <v>0</v>
      </c>
      <c r="X50" s="66">
        <v>0</v>
      </c>
      <c r="Y50" s="66">
        <v>0</v>
      </c>
      <c r="Z50" s="66">
        <v>0</v>
      </c>
      <c r="AA50" s="66">
        <v>0</v>
      </c>
      <c r="AB50" s="66">
        <v>0</v>
      </c>
      <c r="AC50" s="66">
        <v>0</v>
      </c>
      <c r="AD50" s="66">
        <v>0</v>
      </c>
      <c r="AE50" s="66">
        <v>0</v>
      </c>
      <c r="AF50" s="66">
        <v>0</v>
      </c>
      <c r="AG50" s="66">
        <v>0</v>
      </c>
      <c r="AH50" s="66">
        <v>0</v>
      </c>
      <c r="AI50" s="66"/>
      <c r="AJ50" s="66"/>
      <c r="AK50" s="66"/>
    </row>
    <row r="51" spans="1:37">
      <c r="A51" s="11">
        <v>48</v>
      </c>
      <c r="B51" s="11" t="s">
        <v>141</v>
      </c>
      <c r="C51" s="11" t="s">
        <v>30</v>
      </c>
      <c r="D51" s="66"/>
      <c r="E51" s="66">
        <v>0</v>
      </c>
      <c r="F51" s="66">
        <v>0</v>
      </c>
      <c r="G51" s="66">
        <v>0</v>
      </c>
      <c r="H51" s="66">
        <v>0</v>
      </c>
      <c r="I51" s="66">
        <v>0</v>
      </c>
      <c r="J51" s="66">
        <v>0</v>
      </c>
      <c r="K51" s="66">
        <v>0</v>
      </c>
      <c r="L51" s="66">
        <v>0</v>
      </c>
      <c r="M51" s="66">
        <v>0</v>
      </c>
      <c r="N51" s="66">
        <v>0</v>
      </c>
      <c r="O51" s="66">
        <v>0</v>
      </c>
      <c r="P51" s="66">
        <v>0</v>
      </c>
      <c r="Q51" s="66">
        <v>0</v>
      </c>
      <c r="R51" s="66">
        <v>0</v>
      </c>
      <c r="S51" s="66">
        <v>0</v>
      </c>
      <c r="T51" s="66">
        <v>0</v>
      </c>
      <c r="U51" s="66">
        <v>0</v>
      </c>
      <c r="V51" s="66">
        <v>0</v>
      </c>
      <c r="W51" s="66">
        <v>0</v>
      </c>
      <c r="X51" s="66">
        <v>0</v>
      </c>
      <c r="Y51" s="66">
        <v>0</v>
      </c>
      <c r="Z51" s="66">
        <v>0</v>
      </c>
      <c r="AA51" s="66">
        <v>0</v>
      </c>
      <c r="AB51" s="66">
        <v>0</v>
      </c>
      <c r="AC51" s="66">
        <v>0</v>
      </c>
      <c r="AD51" s="66">
        <v>0</v>
      </c>
      <c r="AE51" s="66">
        <v>0</v>
      </c>
      <c r="AF51" s="66">
        <v>0</v>
      </c>
      <c r="AG51" s="66">
        <v>0</v>
      </c>
      <c r="AH51" s="66">
        <v>0</v>
      </c>
      <c r="AI51" s="66"/>
      <c r="AJ51" s="66"/>
      <c r="AK51" s="66"/>
    </row>
    <row r="52" spans="1:37">
      <c r="A52" s="11">
        <v>49</v>
      </c>
      <c r="B52" s="11" t="s">
        <v>31</v>
      </c>
      <c r="C52" s="11" t="s">
        <v>32</v>
      </c>
      <c r="D52" s="66"/>
      <c r="E52" s="66">
        <v>0</v>
      </c>
      <c r="F52" s="66">
        <v>0</v>
      </c>
      <c r="G52" s="66">
        <v>0</v>
      </c>
      <c r="H52" s="66">
        <v>0</v>
      </c>
      <c r="I52" s="66">
        <v>0</v>
      </c>
      <c r="J52" s="66">
        <v>0</v>
      </c>
      <c r="K52" s="66">
        <v>0</v>
      </c>
      <c r="L52" s="66">
        <v>0</v>
      </c>
      <c r="M52" s="66">
        <v>0</v>
      </c>
      <c r="N52" s="66">
        <v>0</v>
      </c>
      <c r="O52" s="66">
        <v>0</v>
      </c>
      <c r="P52" s="66">
        <v>0</v>
      </c>
      <c r="Q52" s="66">
        <v>0</v>
      </c>
      <c r="R52" s="66">
        <v>0</v>
      </c>
      <c r="S52" s="66">
        <v>0</v>
      </c>
      <c r="T52" s="66">
        <v>0</v>
      </c>
      <c r="U52" s="66">
        <v>0</v>
      </c>
      <c r="V52" s="66">
        <v>0</v>
      </c>
      <c r="W52" s="66">
        <v>0</v>
      </c>
      <c r="X52" s="66">
        <v>0</v>
      </c>
      <c r="Y52" s="66">
        <v>0</v>
      </c>
      <c r="Z52" s="66">
        <v>0</v>
      </c>
      <c r="AA52" s="66">
        <v>0</v>
      </c>
      <c r="AB52" s="66">
        <v>0</v>
      </c>
      <c r="AC52" s="66">
        <v>0</v>
      </c>
      <c r="AD52" s="66">
        <v>0</v>
      </c>
      <c r="AE52" s="66">
        <v>0</v>
      </c>
      <c r="AF52" s="66">
        <v>0</v>
      </c>
      <c r="AG52" s="66">
        <v>0</v>
      </c>
      <c r="AH52" s="66">
        <v>0</v>
      </c>
      <c r="AI52" s="66"/>
      <c r="AJ52" s="66"/>
      <c r="AK52" s="66"/>
    </row>
    <row r="53" spans="1:37">
      <c r="A53" s="11">
        <v>50</v>
      </c>
      <c r="B53" s="11" t="s">
        <v>142</v>
      </c>
      <c r="C53" s="11" t="s">
        <v>32</v>
      </c>
      <c r="D53" s="66"/>
      <c r="E53" s="66">
        <v>0</v>
      </c>
      <c r="F53" s="66">
        <v>0</v>
      </c>
      <c r="G53" s="66">
        <v>0</v>
      </c>
      <c r="H53" s="66">
        <v>0</v>
      </c>
      <c r="I53" s="66">
        <v>0</v>
      </c>
      <c r="J53" s="66">
        <v>0</v>
      </c>
      <c r="K53" s="66">
        <v>0</v>
      </c>
      <c r="L53" s="66">
        <v>0</v>
      </c>
      <c r="M53" s="66">
        <v>0</v>
      </c>
      <c r="N53" s="66">
        <v>0</v>
      </c>
      <c r="O53" s="66">
        <v>0</v>
      </c>
      <c r="P53" s="66">
        <v>0</v>
      </c>
      <c r="Q53" s="66">
        <v>0</v>
      </c>
      <c r="R53" s="66">
        <v>0</v>
      </c>
      <c r="S53" s="66">
        <v>0</v>
      </c>
      <c r="T53" s="66">
        <v>0</v>
      </c>
      <c r="U53" s="66">
        <v>0</v>
      </c>
      <c r="V53" s="66">
        <v>0</v>
      </c>
      <c r="W53" s="66">
        <v>0</v>
      </c>
      <c r="X53" s="66">
        <v>0</v>
      </c>
      <c r="Y53" s="66">
        <v>0</v>
      </c>
      <c r="Z53" s="66">
        <v>0</v>
      </c>
      <c r="AA53" s="66">
        <v>0</v>
      </c>
      <c r="AB53" s="66">
        <v>0</v>
      </c>
      <c r="AC53" s="66">
        <v>0</v>
      </c>
      <c r="AD53" s="66">
        <v>0</v>
      </c>
      <c r="AE53" s="66">
        <v>0</v>
      </c>
      <c r="AF53" s="66">
        <v>0</v>
      </c>
      <c r="AG53" s="66">
        <v>0</v>
      </c>
      <c r="AH53" s="66">
        <v>0</v>
      </c>
      <c r="AI53" s="66"/>
      <c r="AJ53" s="66"/>
      <c r="AK53" s="66"/>
    </row>
    <row r="54" spans="1:37">
      <c r="A54" s="11">
        <v>51</v>
      </c>
      <c r="B54" s="11" t="s">
        <v>143</v>
      </c>
      <c r="C54" s="11" t="s">
        <v>32</v>
      </c>
      <c r="D54" s="66"/>
      <c r="E54" s="66">
        <v>0</v>
      </c>
      <c r="F54" s="66">
        <v>0</v>
      </c>
      <c r="G54" s="66">
        <v>0</v>
      </c>
      <c r="H54" s="66">
        <v>0</v>
      </c>
      <c r="I54" s="66">
        <v>0</v>
      </c>
      <c r="J54" s="66">
        <v>0</v>
      </c>
      <c r="K54" s="66">
        <v>0</v>
      </c>
      <c r="L54" s="66">
        <v>0</v>
      </c>
      <c r="M54" s="66">
        <v>0</v>
      </c>
      <c r="N54" s="66">
        <v>0</v>
      </c>
      <c r="O54" s="66">
        <v>0</v>
      </c>
      <c r="P54" s="66">
        <v>0</v>
      </c>
      <c r="Q54" s="66">
        <v>0</v>
      </c>
      <c r="R54" s="66">
        <v>0</v>
      </c>
      <c r="S54" s="66">
        <v>0</v>
      </c>
      <c r="T54" s="66">
        <v>0</v>
      </c>
      <c r="U54" s="66">
        <v>0</v>
      </c>
      <c r="V54" s="66">
        <v>0</v>
      </c>
      <c r="W54" s="66">
        <v>0</v>
      </c>
      <c r="X54" s="66">
        <v>0</v>
      </c>
      <c r="Y54" s="66">
        <v>0</v>
      </c>
      <c r="Z54" s="66">
        <v>0</v>
      </c>
      <c r="AA54" s="66">
        <v>0</v>
      </c>
      <c r="AB54" s="66">
        <v>0</v>
      </c>
      <c r="AC54" s="66">
        <v>0</v>
      </c>
      <c r="AD54" s="66">
        <v>0</v>
      </c>
      <c r="AE54" s="66">
        <v>0</v>
      </c>
      <c r="AF54" s="66">
        <v>0</v>
      </c>
      <c r="AG54" s="66">
        <v>0</v>
      </c>
      <c r="AH54" s="66">
        <v>0</v>
      </c>
      <c r="AI54" s="66"/>
      <c r="AJ54" s="66"/>
      <c r="AK54" s="66"/>
    </row>
    <row r="55" spans="1:37">
      <c r="A55" s="11">
        <v>52</v>
      </c>
      <c r="B55" s="11" t="s">
        <v>144</v>
      </c>
      <c r="C55" s="11" t="s">
        <v>32</v>
      </c>
      <c r="D55" s="66"/>
      <c r="E55" s="66">
        <v>0</v>
      </c>
      <c r="F55" s="66">
        <v>0</v>
      </c>
      <c r="G55" s="66">
        <v>0</v>
      </c>
      <c r="H55" s="66">
        <v>0</v>
      </c>
      <c r="I55" s="66">
        <v>0</v>
      </c>
      <c r="J55" s="66">
        <v>0</v>
      </c>
      <c r="K55" s="66">
        <v>0</v>
      </c>
      <c r="L55" s="66">
        <v>0</v>
      </c>
      <c r="M55" s="66">
        <v>0</v>
      </c>
      <c r="N55" s="66">
        <v>0</v>
      </c>
      <c r="O55" s="66">
        <v>0</v>
      </c>
      <c r="P55" s="66">
        <v>0</v>
      </c>
      <c r="Q55" s="66">
        <v>0</v>
      </c>
      <c r="R55" s="66">
        <v>0</v>
      </c>
      <c r="S55" s="66">
        <v>0</v>
      </c>
      <c r="T55" s="66">
        <v>0</v>
      </c>
      <c r="U55" s="66">
        <v>0</v>
      </c>
      <c r="V55" s="66">
        <v>0</v>
      </c>
      <c r="W55" s="66">
        <v>0</v>
      </c>
      <c r="X55" s="66">
        <v>0</v>
      </c>
      <c r="Y55" s="66">
        <v>0</v>
      </c>
      <c r="Z55" s="66">
        <v>0</v>
      </c>
      <c r="AA55" s="66">
        <v>0</v>
      </c>
      <c r="AB55" s="66">
        <v>0</v>
      </c>
      <c r="AC55" s="66">
        <v>202</v>
      </c>
      <c r="AD55" s="66">
        <v>0</v>
      </c>
      <c r="AE55" s="66">
        <v>0</v>
      </c>
      <c r="AF55" s="66">
        <v>0</v>
      </c>
      <c r="AG55" s="66">
        <v>0</v>
      </c>
      <c r="AH55" s="66">
        <v>0</v>
      </c>
      <c r="AI55" s="66"/>
      <c r="AJ55" s="66"/>
      <c r="AK55" s="66"/>
    </row>
    <row r="56" spans="1:37">
      <c r="A56" s="11">
        <v>53</v>
      </c>
      <c r="B56" s="11" t="s">
        <v>33</v>
      </c>
      <c r="C56" s="11" t="s">
        <v>34</v>
      </c>
      <c r="D56" s="66"/>
      <c r="E56" s="66">
        <v>0</v>
      </c>
      <c r="F56" s="66">
        <v>0</v>
      </c>
      <c r="G56" s="66">
        <v>0</v>
      </c>
      <c r="H56" s="66">
        <v>0</v>
      </c>
      <c r="I56" s="66">
        <v>0</v>
      </c>
      <c r="J56" s="66">
        <v>0</v>
      </c>
      <c r="K56" s="66">
        <v>0</v>
      </c>
      <c r="L56" s="66">
        <v>0</v>
      </c>
      <c r="M56" s="66">
        <v>0</v>
      </c>
      <c r="N56" s="66">
        <v>0</v>
      </c>
      <c r="O56" s="66">
        <v>0</v>
      </c>
      <c r="P56" s="66">
        <v>0</v>
      </c>
      <c r="Q56" s="66">
        <v>0</v>
      </c>
      <c r="R56" s="66">
        <v>0</v>
      </c>
      <c r="S56" s="66">
        <v>0</v>
      </c>
      <c r="T56" s="66">
        <v>0</v>
      </c>
      <c r="U56" s="66">
        <v>0</v>
      </c>
      <c r="V56" s="66">
        <v>0</v>
      </c>
      <c r="W56" s="66">
        <v>0</v>
      </c>
      <c r="X56" s="66">
        <v>0</v>
      </c>
      <c r="Y56" s="66">
        <v>0</v>
      </c>
      <c r="Z56" s="66">
        <v>0</v>
      </c>
      <c r="AA56" s="66">
        <v>0</v>
      </c>
      <c r="AB56" s="66">
        <v>493</v>
      </c>
      <c r="AC56" s="66">
        <v>0</v>
      </c>
      <c r="AD56" s="66">
        <v>0</v>
      </c>
      <c r="AE56" s="66">
        <v>0</v>
      </c>
      <c r="AF56" s="66">
        <v>0</v>
      </c>
      <c r="AG56" s="66">
        <v>0</v>
      </c>
      <c r="AH56" s="66">
        <v>0</v>
      </c>
      <c r="AI56" s="66"/>
      <c r="AJ56" s="66"/>
      <c r="AK56" s="66"/>
    </row>
    <row r="57" spans="1:37">
      <c r="A57" s="11">
        <v>54</v>
      </c>
      <c r="B57" s="11" t="s">
        <v>145</v>
      </c>
      <c r="C57" s="11" t="s">
        <v>34</v>
      </c>
      <c r="D57" s="66"/>
      <c r="E57" s="66">
        <v>0</v>
      </c>
      <c r="F57" s="66">
        <v>0</v>
      </c>
      <c r="G57" s="66">
        <v>0</v>
      </c>
      <c r="H57" s="66">
        <v>0</v>
      </c>
      <c r="I57" s="66">
        <v>0</v>
      </c>
      <c r="J57" s="66">
        <v>0</v>
      </c>
      <c r="K57" s="66">
        <v>0</v>
      </c>
      <c r="L57" s="66">
        <v>0</v>
      </c>
      <c r="M57" s="66">
        <v>0</v>
      </c>
      <c r="N57" s="66">
        <v>0</v>
      </c>
      <c r="O57" s="66">
        <v>0</v>
      </c>
      <c r="P57" s="66">
        <v>0</v>
      </c>
      <c r="Q57" s="66">
        <v>0</v>
      </c>
      <c r="R57" s="66">
        <v>0</v>
      </c>
      <c r="S57" s="66">
        <v>0</v>
      </c>
      <c r="T57" s="66">
        <v>0</v>
      </c>
      <c r="U57" s="66">
        <v>0</v>
      </c>
      <c r="V57" s="66">
        <v>0</v>
      </c>
      <c r="W57" s="66">
        <v>0</v>
      </c>
      <c r="X57" s="66">
        <v>0</v>
      </c>
      <c r="Y57" s="66">
        <v>0</v>
      </c>
      <c r="Z57" s="66">
        <v>0</v>
      </c>
      <c r="AA57" s="66">
        <v>0</v>
      </c>
      <c r="AB57" s="66">
        <v>0</v>
      </c>
      <c r="AC57" s="66">
        <v>0</v>
      </c>
      <c r="AD57" s="66">
        <v>0</v>
      </c>
      <c r="AE57" s="66">
        <v>0</v>
      </c>
      <c r="AF57" s="66">
        <v>0</v>
      </c>
      <c r="AG57" s="66">
        <v>0</v>
      </c>
      <c r="AH57" s="66">
        <v>0</v>
      </c>
      <c r="AI57" s="66"/>
      <c r="AJ57" s="66"/>
      <c r="AK57" s="66"/>
    </row>
    <row r="58" spans="1:37">
      <c r="A58" s="11">
        <v>55</v>
      </c>
      <c r="B58" s="11" t="s">
        <v>146</v>
      </c>
      <c r="C58" s="11" t="s">
        <v>34</v>
      </c>
      <c r="D58" s="66"/>
      <c r="E58" s="66">
        <v>0</v>
      </c>
      <c r="F58" s="66">
        <v>0</v>
      </c>
      <c r="G58" s="66">
        <v>0</v>
      </c>
      <c r="H58" s="66">
        <v>0</v>
      </c>
      <c r="I58" s="66">
        <v>0</v>
      </c>
      <c r="J58" s="66">
        <v>0</v>
      </c>
      <c r="K58" s="66">
        <v>0</v>
      </c>
      <c r="L58" s="66">
        <v>0</v>
      </c>
      <c r="M58" s="66">
        <v>0</v>
      </c>
      <c r="N58" s="66">
        <v>0</v>
      </c>
      <c r="O58" s="66">
        <v>0</v>
      </c>
      <c r="P58" s="66">
        <v>0</v>
      </c>
      <c r="Q58" s="66">
        <v>0</v>
      </c>
      <c r="R58" s="66">
        <v>0</v>
      </c>
      <c r="S58" s="66">
        <v>0</v>
      </c>
      <c r="T58" s="66">
        <v>0</v>
      </c>
      <c r="U58" s="66">
        <v>0</v>
      </c>
      <c r="V58" s="66">
        <v>0</v>
      </c>
      <c r="W58" s="66">
        <v>0</v>
      </c>
      <c r="X58" s="66">
        <v>0</v>
      </c>
      <c r="Y58" s="66">
        <v>0</v>
      </c>
      <c r="Z58" s="66">
        <v>0</v>
      </c>
      <c r="AA58" s="66">
        <v>0</v>
      </c>
      <c r="AB58" s="66">
        <v>0</v>
      </c>
      <c r="AC58" s="66">
        <v>0</v>
      </c>
      <c r="AD58" s="66">
        <v>0</v>
      </c>
      <c r="AE58" s="66">
        <v>0</v>
      </c>
      <c r="AF58" s="66">
        <v>0</v>
      </c>
      <c r="AG58" s="66">
        <v>0</v>
      </c>
      <c r="AH58" s="66">
        <v>0</v>
      </c>
      <c r="AI58" s="66"/>
      <c r="AJ58" s="66"/>
      <c r="AK58" s="66"/>
    </row>
    <row r="59" spans="1:37">
      <c r="A59" s="11">
        <v>56</v>
      </c>
      <c r="B59" s="11" t="s">
        <v>147</v>
      </c>
      <c r="C59" s="11" t="s">
        <v>34</v>
      </c>
      <c r="D59" s="66"/>
      <c r="E59" s="66">
        <v>0</v>
      </c>
      <c r="F59" s="66">
        <v>0</v>
      </c>
      <c r="G59" s="66">
        <v>0</v>
      </c>
      <c r="H59" s="66">
        <v>0</v>
      </c>
      <c r="I59" s="66">
        <v>0</v>
      </c>
      <c r="J59" s="66">
        <v>0</v>
      </c>
      <c r="K59" s="66">
        <v>0</v>
      </c>
      <c r="L59" s="66">
        <v>0</v>
      </c>
      <c r="M59" s="66">
        <v>0</v>
      </c>
      <c r="N59" s="66">
        <v>0</v>
      </c>
      <c r="O59" s="66">
        <v>0</v>
      </c>
      <c r="P59" s="66">
        <v>0</v>
      </c>
      <c r="Q59" s="66">
        <v>0</v>
      </c>
      <c r="R59" s="66">
        <v>0</v>
      </c>
      <c r="S59" s="66">
        <v>0</v>
      </c>
      <c r="T59" s="66">
        <v>0</v>
      </c>
      <c r="U59" s="66">
        <v>0</v>
      </c>
      <c r="V59" s="66">
        <v>0</v>
      </c>
      <c r="W59" s="66">
        <v>0</v>
      </c>
      <c r="X59" s="66">
        <v>0</v>
      </c>
      <c r="Y59" s="66">
        <v>0</v>
      </c>
      <c r="Z59" s="66">
        <v>0</v>
      </c>
      <c r="AA59" s="66">
        <v>0</v>
      </c>
      <c r="AB59" s="66">
        <v>0</v>
      </c>
      <c r="AC59" s="66">
        <v>0</v>
      </c>
      <c r="AD59" s="66">
        <v>0</v>
      </c>
      <c r="AE59" s="66">
        <v>0</v>
      </c>
      <c r="AF59" s="66">
        <v>0</v>
      </c>
      <c r="AG59" s="66">
        <v>0</v>
      </c>
      <c r="AH59" s="66">
        <v>0</v>
      </c>
      <c r="AI59" s="66"/>
      <c r="AJ59" s="66"/>
      <c r="AK59" s="66"/>
    </row>
    <row r="60" spans="1:37">
      <c r="A60" s="11">
        <v>57</v>
      </c>
      <c r="B60" s="11" t="s">
        <v>35</v>
      </c>
      <c r="C60" s="11" t="s">
        <v>36</v>
      </c>
      <c r="D60" s="66"/>
      <c r="E60" s="66">
        <v>0</v>
      </c>
      <c r="F60" s="66">
        <v>0</v>
      </c>
      <c r="G60" s="66">
        <v>0</v>
      </c>
      <c r="H60" s="66">
        <v>0</v>
      </c>
      <c r="I60" s="66">
        <v>0</v>
      </c>
      <c r="J60" s="66">
        <v>0</v>
      </c>
      <c r="K60" s="66">
        <v>0</v>
      </c>
      <c r="L60" s="66">
        <v>0</v>
      </c>
      <c r="M60" s="66">
        <v>0</v>
      </c>
      <c r="N60" s="66">
        <v>0</v>
      </c>
      <c r="O60" s="66">
        <v>0</v>
      </c>
      <c r="P60" s="66">
        <v>0</v>
      </c>
      <c r="Q60" s="66">
        <v>0</v>
      </c>
      <c r="R60" s="66">
        <v>0</v>
      </c>
      <c r="S60" s="66">
        <v>0</v>
      </c>
      <c r="T60" s="66">
        <v>0</v>
      </c>
      <c r="U60" s="66">
        <v>0</v>
      </c>
      <c r="V60" s="66">
        <v>0</v>
      </c>
      <c r="W60" s="66">
        <v>0</v>
      </c>
      <c r="X60" s="66">
        <v>0</v>
      </c>
      <c r="Y60" s="66">
        <v>0</v>
      </c>
      <c r="Z60" s="66">
        <v>0</v>
      </c>
      <c r="AA60" s="66">
        <v>0</v>
      </c>
      <c r="AB60" s="66">
        <v>0</v>
      </c>
      <c r="AC60" s="66">
        <v>0</v>
      </c>
      <c r="AD60" s="66">
        <v>0</v>
      </c>
      <c r="AE60" s="66">
        <v>0</v>
      </c>
      <c r="AF60" s="66">
        <v>0</v>
      </c>
      <c r="AG60" s="66">
        <v>0</v>
      </c>
      <c r="AH60" s="66">
        <v>0</v>
      </c>
      <c r="AI60" s="66"/>
      <c r="AJ60" s="66"/>
      <c r="AK60" s="66"/>
    </row>
    <row r="61" spans="1:37">
      <c r="A61" s="11">
        <v>58</v>
      </c>
      <c r="B61" s="11" t="s">
        <v>148</v>
      </c>
      <c r="C61" s="11" t="s">
        <v>36</v>
      </c>
      <c r="D61" s="66"/>
      <c r="E61" s="66">
        <v>0</v>
      </c>
      <c r="F61" s="66">
        <v>0</v>
      </c>
      <c r="G61" s="66">
        <v>0</v>
      </c>
      <c r="H61" s="66">
        <v>0</v>
      </c>
      <c r="I61" s="66">
        <v>0</v>
      </c>
      <c r="J61" s="66">
        <v>0</v>
      </c>
      <c r="K61" s="66">
        <v>0</v>
      </c>
      <c r="L61" s="66">
        <v>0</v>
      </c>
      <c r="M61" s="66">
        <v>0</v>
      </c>
      <c r="N61" s="66">
        <v>0</v>
      </c>
      <c r="O61" s="66">
        <v>0</v>
      </c>
      <c r="P61" s="66">
        <v>0</v>
      </c>
      <c r="Q61" s="66">
        <v>0</v>
      </c>
      <c r="R61" s="66">
        <v>0</v>
      </c>
      <c r="S61" s="66">
        <v>0</v>
      </c>
      <c r="T61" s="66">
        <v>0</v>
      </c>
      <c r="U61" s="66">
        <v>0</v>
      </c>
      <c r="V61" s="66">
        <v>0</v>
      </c>
      <c r="W61" s="66">
        <v>0</v>
      </c>
      <c r="X61" s="66">
        <v>0</v>
      </c>
      <c r="Y61" s="66">
        <v>0</v>
      </c>
      <c r="Z61" s="66">
        <v>0</v>
      </c>
      <c r="AA61" s="66">
        <v>0</v>
      </c>
      <c r="AB61" s="66">
        <v>0</v>
      </c>
      <c r="AC61" s="66">
        <v>0</v>
      </c>
      <c r="AD61" s="66">
        <v>0</v>
      </c>
      <c r="AE61" s="66">
        <v>0</v>
      </c>
      <c r="AF61" s="66">
        <v>0</v>
      </c>
      <c r="AG61" s="66">
        <v>0</v>
      </c>
      <c r="AH61" s="66">
        <v>0</v>
      </c>
      <c r="AI61" s="66"/>
      <c r="AJ61" s="66"/>
      <c r="AK61" s="66"/>
    </row>
    <row r="62" spans="1:37">
      <c r="A62" s="11">
        <v>59</v>
      </c>
      <c r="B62" s="11" t="s">
        <v>149</v>
      </c>
      <c r="C62" s="11" t="s">
        <v>36</v>
      </c>
      <c r="D62" s="66"/>
      <c r="E62" s="66">
        <v>0</v>
      </c>
      <c r="F62" s="66">
        <v>0</v>
      </c>
      <c r="G62" s="66">
        <v>0</v>
      </c>
      <c r="H62" s="66">
        <v>0</v>
      </c>
      <c r="I62" s="66">
        <v>0</v>
      </c>
      <c r="J62" s="66">
        <v>0</v>
      </c>
      <c r="K62" s="66">
        <v>0</v>
      </c>
      <c r="L62" s="66">
        <v>0</v>
      </c>
      <c r="M62" s="66">
        <v>0</v>
      </c>
      <c r="N62" s="66">
        <v>0</v>
      </c>
      <c r="O62" s="66">
        <v>0</v>
      </c>
      <c r="P62" s="66">
        <v>0</v>
      </c>
      <c r="Q62" s="66">
        <v>0</v>
      </c>
      <c r="R62" s="66">
        <v>0</v>
      </c>
      <c r="S62" s="66">
        <v>0</v>
      </c>
      <c r="T62" s="66">
        <v>0</v>
      </c>
      <c r="U62" s="66">
        <v>0</v>
      </c>
      <c r="V62" s="66">
        <v>0</v>
      </c>
      <c r="W62" s="66">
        <v>0</v>
      </c>
      <c r="X62" s="66">
        <v>0</v>
      </c>
      <c r="Y62" s="66">
        <v>0</v>
      </c>
      <c r="Z62" s="66">
        <v>0</v>
      </c>
      <c r="AA62" s="66">
        <v>0</v>
      </c>
      <c r="AB62" s="66">
        <v>0</v>
      </c>
      <c r="AC62" s="66">
        <v>0</v>
      </c>
      <c r="AD62" s="66">
        <v>0</v>
      </c>
      <c r="AE62" s="66">
        <v>0</v>
      </c>
      <c r="AF62" s="66">
        <v>0</v>
      </c>
      <c r="AG62" s="66">
        <v>0</v>
      </c>
      <c r="AH62" s="66">
        <v>0</v>
      </c>
      <c r="AI62" s="66"/>
      <c r="AJ62" s="66"/>
      <c r="AK62" s="66"/>
    </row>
    <row r="63" spans="1:37">
      <c r="A63" s="11">
        <v>60</v>
      </c>
      <c r="B63" s="11" t="s">
        <v>150</v>
      </c>
      <c r="C63" s="11" t="s">
        <v>36</v>
      </c>
      <c r="D63" s="66"/>
      <c r="E63" s="66">
        <v>0</v>
      </c>
      <c r="F63" s="66">
        <v>0</v>
      </c>
      <c r="G63" s="66">
        <v>0</v>
      </c>
      <c r="H63" s="66">
        <v>0</v>
      </c>
      <c r="I63" s="66">
        <v>0</v>
      </c>
      <c r="J63" s="66">
        <v>0</v>
      </c>
      <c r="K63" s="66">
        <v>0</v>
      </c>
      <c r="L63" s="66">
        <v>0</v>
      </c>
      <c r="M63" s="66">
        <v>0</v>
      </c>
      <c r="N63" s="66">
        <v>0</v>
      </c>
      <c r="O63" s="66">
        <v>0</v>
      </c>
      <c r="P63" s="66">
        <v>0</v>
      </c>
      <c r="Q63" s="66">
        <v>0</v>
      </c>
      <c r="R63" s="66">
        <v>0</v>
      </c>
      <c r="S63" s="66">
        <v>0</v>
      </c>
      <c r="T63" s="66">
        <v>0</v>
      </c>
      <c r="U63" s="66">
        <v>0</v>
      </c>
      <c r="V63" s="66">
        <v>0</v>
      </c>
      <c r="W63" s="66">
        <v>0</v>
      </c>
      <c r="X63" s="66">
        <v>0</v>
      </c>
      <c r="Y63" s="66">
        <v>0</v>
      </c>
      <c r="Z63" s="66">
        <v>0</v>
      </c>
      <c r="AA63" s="66">
        <v>0</v>
      </c>
      <c r="AB63" s="66">
        <v>0</v>
      </c>
      <c r="AC63" s="66">
        <v>0</v>
      </c>
      <c r="AD63" s="66">
        <v>0</v>
      </c>
      <c r="AE63" s="66">
        <v>0</v>
      </c>
      <c r="AF63" s="66">
        <v>0</v>
      </c>
      <c r="AG63" s="66">
        <v>0</v>
      </c>
      <c r="AH63" s="66">
        <v>0</v>
      </c>
      <c r="AI63" s="66"/>
      <c r="AJ63" s="66"/>
      <c r="AK63" s="66"/>
    </row>
    <row r="64" spans="1:37">
      <c r="A64" s="11">
        <v>61</v>
      </c>
      <c r="B64" s="11" t="s">
        <v>37</v>
      </c>
      <c r="C64" s="11" t="s">
        <v>38</v>
      </c>
      <c r="D64" s="66"/>
      <c r="E64" s="66">
        <v>0</v>
      </c>
      <c r="F64" s="66">
        <v>0</v>
      </c>
      <c r="G64" s="66">
        <v>0</v>
      </c>
      <c r="H64" s="66">
        <v>0</v>
      </c>
      <c r="I64" s="66">
        <v>0</v>
      </c>
      <c r="J64" s="66">
        <v>0</v>
      </c>
      <c r="K64" s="66">
        <v>0</v>
      </c>
      <c r="L64" s="66">
        <v>0</v>
      </c>
      <c r="M64" s="66">
        <v>0</v>
      </c>
      <c r="N64" s="66">
        <v>0</v>
      </c>
      <c r="O64" s="66">
        <v>0</v>
      </c>
      <c r="P64" s="66">
        <v>0</v>
      </c>
      <c r="Q64" s="66">
        <v>0</v>
      </c>
      <c r="R64" s="66">
        <v>0</v>
      </c>
      <c r="S64" s="66">
        <v>0</v>
      </c>
      <c r="T64" s="66">
        <v>0</v>
      </c>
      <c r="U64" s="66">
        <v>0</v>
      </c>
      <c r="V64" s="66">
        <v>0</v>
      </c>
      <c r="W64" s="66">
        <v>0</v>
      </c>
      <c r="X64" s="66">
        <v>0</v>
      </c>
      <c r="Y64" s="66">
        <v>0</v>
      </c>
      <c r="Z64" s="66">
        <v>0</v>
      </c>
      <c r="AA64" s="66">
        <v>0</v>
      </c>
      <c r="AB64" s="66">
        <v>0</v>
      </c>
      <c r="AC64" s="66">
        <v>0</v>
      </c>
      <c r="AD64" s="66">
        <v>0</v>
      </c>
      <c r="AE64" s="66">
        <v>0</v>
      </c>
      <c r="AF64" s="66">
        <v>0</v>
      </c>
      <c r="AG64" s="66">
        <v>0</v>
      </c>
      <c r="AH64" s="66">
        <v>0</v>
      </c>
      <c r="AI64" s="66"/>
      <c r="AJ64" s="66"/>
      <c r="AK64" s="66"/>
    </row>
    <row r="65" spans="1:37">
      <c r="A65" s="11">
        <v>62</v>
      </c>
      <c r="B65" s="11" t="s">
        <v>151</v>
      </c>
      <c r="C65" s="11" t="s">
        <v>38</v>
      </c>
      <c r="D65" s="66"/>
      <c r="E65" s="66">
        <v>0</v>
      </c>
      <c r="F65" s="66">
        <v>0</v>
      </c>
      <c r="G65" s="66">
        <v>0</v>
      </c>
      <c r="H65" s="66">
        <v>0</v>
      </c>
      <c r="I65" s="66">
        <v>0</v>
      </c>
      <c r="J65" s="66">
        <v>0</v>
      </c>
      <c r="K65" s="66">
        <v>0</v>
      </c>
      <c r="L65" s="66">
        <v>0</v>
      </c>
      <c r="M65" s="66">
        <v>0</v>
      </c>
      <c r="N65" s="66">
        <v>0</v>
      </c>
      <c r="O65" s="66">
        <v>0</v>
      </c>
      <c r="P65" s="66">
        <v>0</v>
      </c>
      <c r="Q65" s="66">
        <v>0</v>
      </c>
      <c r="R65" s="66">
        <v>0</v>
      </c>
      <c r="S65" s="66">
        <v>0</v>
      </c>
      <c r="T65" s="66">
        <v>0</v>
      </c>
      <c r="U65" s="66">
        <v>0</v>
      </c>
      <c r="V65" s="66">
        <v>0</v>
      </c>
      <c r="W65" s="66">
        <v>0</v>
      </c>
      <c r="X65" s="66">
        <v>0</v>
      </c>
      <c r="Y65" s="66">
        <v>0</v>
      </c>
      <c r="Z65" s="66">
        <v>0</v>
      </c>
      <c r="AA65" s="66">
        <v>0</v>
      </c>
      <c r="AB65" s="66">
        <v>0</v>
      </c>
      <c r="AC65" s="66">
        <v>0</v>
      </c>
      <c r="AD65" s="66">
        <v>0</v>
      </c>
      <c r="AE65" s="66">
        <v>0</v>
      </c>
      <c r="AF65" s="66">
        <v>0</v>
      </c>
      <c r="AG65" s="66">
        <v>0</v>
      </c>
      <c r="AH65" s="66">
        <v>0</v>
      </c>
      <c r="AI65" s="66"/>
      <c r="AJ65" s="66"/>
      <c r="AK65" s="66"/>
    </row>
    <row r="66" spans="1:37">
      <c r="A66" s="11">
        <v>63</v>
      </c>
      <c r="B66" s="11" t="s">
        <v>152</v>
      </c>
      <c r="C66" s="11" t="s">
        <v>38</v>
      </c>
      <c r="D66" s="66"/>
      <c r="E66" s="66">
        <v>0</v>
      </c>
      <c r="F66" s="66">
        <v>0</v>
      </c>
      <c r="G66" s="66">
        <v>0</v>
      </c>
      <c r="H66" s="66">
        <v>0</v>
      </c>
      <c r="I66" s="66">
        <v>0</v>
      </c>
      <c r="J66" s="66">
        <v>0</v>
      </c>
      <c r="K66" s="66">
        <v>0</v>
      </c>
      <c r="L66" s="66">
        <v>0</v>
      </c>
      <c r="M66" s="66">
        <v>0</v>
      </c>
      <c r="N66" s="66">
        <v>0</v>
      </c>
      <c r="O66" s="66">
        <v>0</v>
      </c>
      <c r="P66" s="66">
        <v>0</v>
      </c>
      <c r="Q66" s="66">
        <v>0</v>
      </c>
      <c r="R66" s="66">
        <v>0</v>
      </c>
      <c r="S66" s="66">
        <v>0</v>
      </c>
      <c r="T66" s="66">
        <v>0</v>
      </c>
      <c r="U66" s="66">
        <v>0</v>
      </c>
      <c r="V66" s="66">
        <v>0</v>
      </c>
      <c r="W66" s="66">
        <v>0</v>
      </c>
      <c r="X66" s="66">
        <v>0</v>
      </c>
      <c r="Y66" s="66">
        <v>0</v>
      </c>
      <c r="Z66" s="66">
        <v>0</v>
      </c>
      <c r="AA66" s="66">
        <v>0</v>
      </c>
      <c r="AB66" s="66">
        <v>0</v>
      </c>
      <c r="AC66" s="66">
        <v>0</v>
      </c>
      <c r="AD66" s="66">
        <v>0</v>
      </c>
      <c r="AE66" s="66">
        <v>0</v>
      </c>
      <c r="AF66" s="66">
        <v>0</v>
      </c>
      <c r="AG66" s="66">
        <v>0</v>
      </c>
      <c r="AH66" s="66">
        <v>0</v>
      </c>
      <c r="AI66" s="66"/>
      <c r="AJ66" s="66"/>
      <c r="AK66" s="66"/>
    </row>
    <row r="67" spans="1:37">
      <c r="A67" s="11">
        <v>64</v>
      </c>
      <c r="B67" s="11" t="s">
        <v>153</v>
      </c>
      <c r="C67" s="11" t="s">
        <v>38</v>
      </c>
      <c r="D67" s="66"/>
      <c r="E67" s="66">
        <v>0</v>
      </c>
      <c r="F67" s="66">
        <v>0</v>
      </c>
      <c r="G67" s="66">
        <v>0</v>
      </c>
      <c r="H67" s="66">
        <v>0</v>
      </c>
      <c r="I67" s="66">
        <v>0</v>
      </c>
      <c r="J67" s="66">
        <v>0</v>
      </c>
      <c r="K67" s="66">
        <v>0</v>
      </c>
      <c r="L67" s="66">
        <v>0</v>
      </c>
      <c r="M67" s="66">
        <v>0</v>
      </c>
      <c r="N67" s="66">
        <v>0</v>
      </c>
      <c r="O67" s="66">
        <v>0</v>
      </c>
      <c r="P67" s="66">
        <v>0</v>
      </c>
      <c r="Q67" s="66">
        <v>0</v>
      </c>
      <c r="R67" s="66">
        <v>0</v>
      </c>
      <c r="S67" s="66">
        <v>0</v>
      </c>
      <c r="T67" s="66">
        <v>0</v>
      </c>
      <c r="U67" s="66">
        <v>0</v>
      </c>
      <c r="V67" s="66">
        <v>0</v>
      </c>
      <c r="W67" s="66">
        <v>0</v>
      </c>
      <c r="X67" s="66">
        <v>0</v>
      </c>
      <c r="Y67" s="66">
        <v>0</v>
      </c>
      <c r="Z67" s="66">
        <v>0</v>
      </c>
      <c r="AA67" s="66">
        <v>0</v>
      </c>
      <c r="AB67" s="66">
        <v>0</v>
      </c>
      <c r="AC67" s="66">
        <v>0</v>
      </c>
      <c r="AD67" s="66">
        <v>0</v>
      </c>
      <c r="AE67" s="66">
        <v>0</v>
      </c>
      <c r="AF67" s="66">
        <v>0</v>
      </c>
      <c r="AG67" s="66">
        <v>0</v>
      </c>
      <c r="AH67" s="66">
        <v>0</v>
      </c>
      <c r="AI67" s="66"/>
      <c r="AJ67" s="66"/>
      <c r="AK67" s="66"/>
    </row>
    <row r="68" spans="1:37">
      <c r="A68" s="11">
        <v>65</v>
      </c>
      <c r="B68" s="11" t="s">
        <v>39</v>
      </c>
      <c r="C68" s="11" t="s">
        <v>40</v>
      </c>
      <c r="D68" s="66"/>
      <c r="E68" s="66">
        <v>0</v>
      </c>
      <c r="F68" s="66">
        <v>0</v>
      </c>
      <c r="G68" s="66">
        <v>0</v>
      </c>
      <c r="H68" s="66">
        <v>0</v>
      </c>
      <c r="I68" s="66">
        <v>0</v>
      </c>
      <c r="J68" s="66">
        <v>0</v>
      </c>
      <c r="K68" s="66">
        <v>0</v>
      </c>
      <c r="L68" s="66">
        <v>0</v>
      </c>
      <c r="M68" s="66">
        <v>0</v>
      </c>
      <c r="N68" s="66">
        <v>0</v>
      </c>
      <c r="O68" s="66">
        <v>0</v>
      </c>
      <c r="P68" s="66">
        <v>0</v>
      </c>
      <c r="Q68" s="66">
        <v>0</v>
      </c>
      <c r="R68" s="66">
        <v>0</v>
      </c>
      <c r="S68" s="66">
        <v>0</v>
      </c>
      <c r="T68" s="66">
        <v>0</v>
      </c>
      <c r="U68" s="66">
        <v>0</v>
      </c>
      <c r="V68" s="66">
        <v>0</v>
      </c>
      <c r="W68" s="66">
        <v>0</v>
      </c>
      <c r="X68" s="66">
        <v>0</v>
      </c>
      <c r="Y68" s="66">
        <v>0</v>
      </c>
      <c r="Z68" s="66">
        <v>0</v>
      </c>
      <c r="AA68" s="66">
        <v>0</v>
      </c>
      <c r="AB68" s="66">
        <v>0</v>
      </c>
      <c r="AC68" s="66">
        <v>0</v>
      </c>
      <c r="AD68" s="66">
        <v>0</v>
      </c>
      <c r="AE68" s="66">
        <v>0</v>
      </c>
      <c r="AF68" s="66">
        <v>0</v>
      </c>
      <c r="AG68" s="66">
        <v>0</v>
      </c>
      <c r="AH68" s="66">
        <v>0</v>
      </c>
      <c r="AI68" s="66"/>
      <c r="AJ68" s="66"/>
      <c r="AK68" s="66"/>
    </row>
    <row r="69" spans="1:37">
      <c r="A69" s="11">
        <v>66</v>
      </c>
      <c r="B69" s="11" t="s">
        <v>154</v>
      </c>
      <c r="C69" s="11" t="s">
        <v>40</v>
      </c>
      <c r="D69" s="66"/>
      <c r="E69" s="66">
        <v>0</v>
      </c>
      <c r="F69" s="66">
        <v>0</v>
      </c>
      <c r="G69" s="66">
        <v>0</v>
      </c>
      <c r="H69" s="66">
        <v>0</v>
      </c>
      <c r="I69" s="66">
        <v>0</v>
      </c>
      <c r="J69" s="66">
        <v>0</v>
      </c>
      <c r="K69" s="66">
        <v>0</v>
      </c>
      <c r="L69" s="66">
        <v>0</v>
      </c>
      <c r="M69" s="66">
        <v>0</v>
      </c>
      <c r="N69" s="66">
        <v>0</v>
      </c>
      <c r="O69" s="66">
        <v>0</v>
      </c>
      <c r="P69" s="66">
        <v>0</v>
      </c>
      <c r="Q69" s="66">
        <v>0</v>
      </c>
      <c r="R69" s="66">
        <v>0</v>
      </c>
      <c r="S69" s="66">
        <v>0</v>
      </c>
      <c r="T69" s="66">
        <v>0</v>
      </c>
      <c r="U69" s="66">
        <v>0</v>
      </c>
      <c r="V69" s="66">
        <v>0</v>
      </c>
      <c r="W69" s="66">
        <v>0</v>
      </c>
      <c r="X69" s="66">
        <v>0</v>
      </c>
      <c r="Y69" s="66">
        <v>0</v>
      </c>
      <c r="Z69" s="66">
        <v>0</v>
      </c>
      <c r="AA69" s="66">
        <v>0</v>
      </c>
      <c r="AB69" s="66">
        <v>0</v>
      </c>
      <c r="AC69" s="66">
        <v>0</v>
      </c>
      <c r="AD69" s="66">
        <v>0</v>
      </c>
      <c r="AE69" s="66">
        <v>0</v>
      </c>
      <c r="AF69" s="66">
        <v>0</v>
      </c>
      <c r="AG69" s="66">
        <v>0</v>
      </c>
      <c r="AH69" s="66">
        <v>0</v>
      </c>
      <c r="AI69" s="66"/>
      <c r="AJ69" s="66"/>
      <c r="AK69" s="66"/>
    </row>
    <row r="70" spans="1:37">
      <c r="A70" s="11">
        <v>67</v>
      </c>
      <c r="B70" s="11" t="s">
        <v>155</v>
      </c>
      <c r="C70" s="11" t="s">
        <v>40</v>
      </c>
      <c r="D70" s="66"/>
      <c r="E70" s="66">
        <v>0</v>
      </c>
      <c r="F70" s="66">
        <v>0</v>
      </c>
      <c r="G70" s="66">
        <v>0</v>
      </c>
      <c r="H70" s="66">
        <v>0</v>
      </c>
      <c r="I70" s="66">
        <v>0</v>
      </c>
      <c r="J70" s="66">
        <v>0</v>
      </c>
      <c r="K70" s="66">
        <v>0</v>
      </c>
      <c r="L70" s="66">
        <v>0</v>
      </c>
      <c r="M70" s="66">
        <v>0</v>
      </c>
      <c r="N70" s="66">
        <v>0</v>
      </c>
      <c r="O70" s="66">
        <v>0</v>
      </c>
      <c r="P70" s="66">
        <v>0</v>
      </c>
      <c r="Q70" s="66">
        <v>0</v>
      </c>
      <c r="R70" s="66">
        <v>0</v>
      </c>
      <c r="S70" s="66">
        <v>0</v>
      </c>
      <c r="T70" s="66">
        <v>0</v>
      </c>
      <c r="U70" s="66">
        <v>0</v>
      </c>
      <c r="V70" s="66">
        <v>0</v>
      </c>
      <c r="W70" s="66">
        <v>0</v>
      </c>
      <c r="X70" s="66">
        <v>0</v>
      </c>
      <c r="Y70" s="66">
        <v>0</v>
      </c>
      <c r="Z70" s="66">
        <v>0</v>
      </c>
      <c r="AA70" s="66">
        <v>0</v>
      </c>
      <c r="AB70" s="66">
        <v>0</v>
      </c>
      <c r="AC70" s="66">
        <v>0</v>
      </c>
      <c r="AD70" s="66">
        <v>0</v>
      </c>
      <c r="AE70" s="66">
        <v>0</v>
      </c>
      <c r="AF70" s="66">
        <v>0</v>
      </c>
      <c r="AG70" s="66">
        <v>0</v>
      </c>
      <c r="AH70" s="66">
        <v>0</v>
      </c>
      <c r="AI70" s="66"/>
      <c r="AJ70" s="66"/>
      <c r="AK70" s="66"/>
    </row>
    <row r="71" spans="1:37">
      <c r="A71" s="11">
        <v>68</v>
      </c>
      <c r="B71" s="11" t="s">
        <v>156</v>
      </c>
      <c r="C71" s="11" t="s">
        <v>40</v>
      </c>
      <c r="D71" s="66"/>
      <c r="E71" s="66">
        <v>0</v>
      </c>
      <c r="F71" s="66">
        <v>0</v>
      </c>
      <c r="G71" s="66">
        <v>0</v>
      </c>
      <c r="H71" s="66">
        <v>0</v>
      </c>
      <c r="I71" s="66">
        <v>0</v>
      </c>
      <c r="J71" s="66">
        <v>0</v>
      </c>
      <c r="K71" s="66">
        <v>0</v>
      </c>
      <c r="L71" s="66">
        <v>0</v>
      </c>
      <c r="M71" s="66">
        <v>0</v>
      </c>
      <c r="N71" s="66">
        <v>0</v>
      </c>
      <c r="O71" s="66">
        <v>0</v>
      </c>
      <c r="P71" s="66">
        <v>0</v>
      </c>
      <c r="Q71" s="66">
        <v>0</v>
      </c>
      <c r="R71" s="66">
        <v>0</v>
      </c>
      <c r="S71" s="66">
        <v>0</v>
      </c>
      <c r="T71" s="66">
        <v>0</v>
      </c>
      <c r="U71" s="66">
        <v>0</v>
      </c>
      <c r="V71" s="66">
        <v>0</v>
      </c>
      <c r="W71" s="66">
        <v>0</v>
      </c>
      <c r="X71" s="66">
        <v>0</v>
      </c>
      <c r="Y71" s="66">
        <v>0</v>
      </c>
      <c r="Z71" s="66">
        <v>0</v>
      </c>
      <c r="AA71" s="66">
        <v>0</v>
      </c>
      <c r="AB71" s="66">
        <v>0</v>
      </c>
      <c r="AC71" s="66">
        <v>0</v>
      </c>
      <c r="AD71" s="66">
        <v>0</v>
      </c>
      <c r="AE71" s="66">
        <v>0</v>
      </c>
      <c r="AF71" s="66">
        <v>0</v>
      </c>
      <c r="AG71" s="66">
        <v>0</v>
      </c>
      <c r="AH71" s="66">
        <v>0</v>
      </c>
      <c r="AI71" s="66"/>
      <c r="AJ71" s="66"/>
      <c r="AK71" s="66"/>
    </row>
    <row r="72" spans="1:37">
      <c r="A72" s="11">
        <v>69</v>
      </c>
      <c r="B72" s="11" t="s">
        <v>41</v>
      </c>
      <c r="C72" s="11" t="s">
        <v>42</v>
      </c>
      <c r="D72" s="66"/>
      <c r="E72" s="66">
        <v>0</v>
      </c>
      <c r="F72" s="66">
        <v>0</v>
      </c>
      <c r="G72" s="66">
        <v>0</v>
      </c>
      <c r="H72" s="66">
        <v>0</v>
      </c>
      <c r="I72" s="66">
        <v>0</v>
      </c>
      <c r="J72" s="66">
        <v>0</v>
      </c>
      <c r="K72" s="66">
        <v>0</v>
      </c>
      <c r="L72" s="66">
        <v>0</v>
      </c>
      <c r="M72" s="66">
        <v>0</v>
      </c>
      <c r="N72" s="66">
        <v>0</v>
      </c>
      <c r="O72" s="66">
        <v>0</v>
      </c>
      <c r="P72" s="66">
        <v>0</v>
      </c>
      <c r="Q72" s="66">
        <v>0</v>
      </c>
      <c r="R72" s="66">
        <v>0</v>
      </c>
      <c r="S72" s="66">
        <v>0</v>
      </c>
      <c r="T72" s="66">
        <v>0</v>
      </c>
      <c r="U72" s="66">
        <v>0</v>
      </c>
      <c r="V72" s="66">
        <v>0</v>
      </c>
      <c r="W72" s="66">
        <v>0</v>
      </c>
      <c r="X72" s="66">
        <v>0</v>
      </c>
      <c r="Y72" s="66">
        <v>0</v>
      </c>
      <c r="Z72" s="66">
        <v>0</v>
      </c>
      <c r="AA72" s="66">
        <v>0</v>
      </c>
      <c r="AB72" s="66">
        <v>0</v>
      </c>
      <c r="AC72" s="66">
        <v>0</v>
      </c>
      <c r="AD72" s="66">
        <v>0</v>
      </c>
      <c r="AE72" s="66">
        <v>0</v>
      </c>
      <c r="AF72" s="66">
        <v>0</v>
      </c>
      <c r="AG72" s="66">
        <v>758</v>
      </c>
      <c r="AH72" s="66">
        <v>0</v>
      </c>
      <c r="AI72" s="66"/>
      <c r="AJ72" s="66"/>
      <c r="AK72" s="66"/>
    </row>
    <row r="73" spans="1:37">
      <c r="A73" s="11">
        <v>70</v>
      </c>
      <c r="B73" s="11" t="s">
        <v>157</v>
      </c>
      <c r="C73" s="11" t="s">
        <v>42</v>
      </c>
      <c r="D73" s="66"/>
      <c r="E73" s="66">
        <v>0</v>
      </c>
      <c r="F73" s="66">
        <v>0</v>
      </c>
      <c r="G73" s="66">
        <v>0</v>
      </c>
      <c r="H73" s="66">
        <v>0</v>
      </c>
      <c r="I73" s="66">
        <v>0</v>
      </c>
      <c r="J73" s="66">
        <v>0</v>
      </c>
      <c r="K73" s="66">
        <v>0</v>
      </c>
      <c r="L73" s="66">
        <v>0</v>
      </c>
      <c r="M73" s="66">
        <v>0</v>
      </c>
      <c r="N73" s="66">
        <v>0</v>
      </c>
      <c r="O73" s="66">
        <v>0</v>
      </c>
      <c r="P73" s="66">
        <v>0</v>
      </c>
      <c r="Q73" s="66">
        <v>0</v>
      </c>
      <c r="R73" s="66">
        <v>0</v>
      </c>
      <c r="S73" s="66">
        <v>0</v>
      </c>
      <c r="T73" s="66">
        <v>0</v>
      </c>
      <c r="U73" s="66">
        <v>0</v>
      </c>
      <c r="V73" s="66">
        <v>0</v>
      </c>
      <c r="W73" s="66">
        <v>0</v>
      </c>
      <c r="X73" s="66">
        <v>0</v>
      </c>
      <c r="Y73" s="66">
        <v>0</v>
      </c>
      <c r="Z73" s="66">
        <v>152</v>
      </c>
      <c r="AA73" s="66">
        <v>0</v>
      </c>
      <c r="AB73" s="66">
        <v>0</v>
      </c>
      <c r="AC73" s="66">
        <v>0</v>
      </c>
      <c r="AD73" s="66">
        <v>0</v>
      </c>
      <c r="AE73" s="66">
        <v>0</v>
      </c>
      <c r="AF73" s="66">
        <v>0</v>
      </c>
      <c r="AG73" s="66">
        <v>0</v>
      </c>
      <c r="AH73" s="66">
        <v>0</v>
      </c>
      <c r="AI73" s="66"/>
      <c r="AJ73" s="66"/>
      <c r="AK73" s="66"/>
    </row>
    <row r="74" spans="1:37">
      <c r="A74" s="11">
        <v>71</v>
      </c>
      <c r="B74" s="11" t="s">
        <v>158</v>
      </c>
      <c r="C74" s="11" t="s">
        <v>42</v>
      </c>
      <c r="D74" s="66"/>
      <c r="E74" s="66">
        <v>0</v>
      </c>
      <c r="F74" s="66">
        <v>0</v>
      </c>
      <c r="G74" s="66">
        <v>0</v>
      </c>
      <c r="H74" s="66">
        <v>0</v>
      </c>
      <c r="I74" s="66">
        <v>0</v>
      </c>
      <c r="J74" s="66">
        <v>0</v>
      </c>
      <c r="K74" s="66">
        <v>0</v>
      </c>
      <c r="L74" s="66">
        <v>0</v>
      </c>
      <c r="M74" s="66">
        <v>0</v>
      </c>
      <c r="N74" s="66">
        <v>0</v>
      </c>
      <c r="O74" s="66">
        <v>0</v>
      </c>
      <c r="P74" s="66">
        <v>0</v>
      </c>
      <c r="Q74" s="66">
        <v>0</v>
      </c>
      <c r="R74" s="66">
        <v>0</v>
      </c>
      <c r="S74" s="66">
        <v>0</v>
      </c>
      <c r="T74" s="66">
        <v>0</v>
      </c>
      <c r="U74" s="66">
        <v>0</v>
      </c>
      <c r="V74" s="66">
        <v>0</v>
      </c>
      <c r="W74" s="66">
        <v>0</v>
      </c>
      <c r="X74" s="66">
        <v>0</v>
      </c>
      <c r="Y74" s="66">
        <v>0</v>
      </c>
      <c r="Z74" s="66">
        <v>0</v>
      </c>
      <c r="AA74" s="66">
        <v>0</v>
      </c>
      <c r="AB74" s="66">
        <v>0</v>
      </c>
      <c r="AC74" s="66">
        <v>0</v>
      </c>
      <c r="AD74" s="66">
        <v>0</v>
      </c>
      <c r="AE74" s="66">
        <v>0</v>
      </c>
      <c r="AF74" s="66">
        <v>0</v>
      </c>
      <c r="AG74" s="66">
        <v>0</v>
      </c>
      <c r="AH74" s="66">
        <v>0</v>
      </c>
      <c r="AI74" s="66"/>
      <c r="AJ74" s="66"/>
      <c r="AK74" s="66"/>
    </row>
    <row r="75" spans="1:37">
      <c r="A75" s="11">
        <v>72</v>
      </c>
      <c r="B75" s="11" t="s">
        <v>159</v>
      </c>
      <c r="C75" s="11" t="s">
        <v>42</v>
      </c>
      <c r="D75" s="66"/>
      <c r="E75" s="66">
        <v>0</v>
      </c>
      <c r="F75" s="66">
        <v>0</v>
      </c>
      <c r="G75" s="66">
        <v>0</v>
      </c>
      <c r="H75" s="66">
        <v>0</v>
      </c>
      <c r="I75" s="66">
        <v>0</v>
      </c>
      <c r="J75" s="66">
        <v>0</v>
      </c>
      <c r="K75" s="66">
        <v>0</v>
      </c>
      <c r="L75" s="66">
        <v>0</v>
      </c>
      <c r="M75" s="66">
        <v>0</v>
      </c>
      <c r="N75" s="66">
        <v>0</v>
      </c>
      <c r="O75" s="66">
        <v>0</v>
      </c>
      <c r="P75" s="66">
        <v>0</v>
      </c>
      <c r="Q75" s="66">
        <v>0</v>
      </c>
      <c r="R75" s="66">
        <v>0</v>
      </c>
      <c r="S75" s="66">
        <v>0</v>
      </c>
      <c r="T75" s="66">
        <v>0</v>
      </c>
      <c r="U75" s="66">
        <v>0</v>
      </c>
      <c r="V75" s="66">
        <v>0</v>
      </c>
      <c r="W75" s="66">
        <v>0</v>
      </c>
      <c r="X75" s="66">
        <v>0</v>
      </c>
      <c r="Y75" s="66">
        <v>0</v>
      </c>
      <c r="Z75" s="66">
        <v>0</v>
      </c>
      <c r="AA75" s="66">
        <v>0</v>
      </c>
      <c r="AB75" s="66">
        <v>0</v>
      </c>
      <c r="AC75" s="66">
        <v>0</v>
      </c>
      <c r="AD75" s="66">
        <v>0</v>
      </c>
      <c r="AE75" s="66">
        <v>0</v>
      </c>
      <c r="AF75" s="66">
        <v>0</v>
      </c>
      <c r="AG75" s="66">
        <v>0</v>
      </c>
      <c r="AH75" s="66">
        <v>0</v>
      </c>
      <c r="AI75" s="66"/>
      <c r="AJ75" s="66"/>
      <c r="AK75" s="66"/>
    </row>
    <row r="76" spans="1:37">
      <c r="A76" s="11">
        <v>73</v>
      </c>
      <c r="B76" s="11" t="s">
        <v>43</v>
      </c>
      <c r="C76" s="11" t="s">
        <v>44</v>
      </c>
      <c r="D76" s="66"/>
      <c r="E76" s="66">
        <v>26682</v>
      </c>
      <c r="F76" s="66">
        <v>3368</v>
      </c>
      <c r="G76" s="66">
        <v>0</v>
      </c>
      <c r="H76" s="66">
        <v>0</v>
      </c>
      <c r="I76" s="66">
        <v>12</v>
      </c>
      <c r="J76" s="66">
        <v>0</v>
      </c>
      <c r="K76" s="66">
        <v>0</v>
      </c>
      <c r="L76" s="66">
        <v>0</v>
      </c>
      <c r="M76" s="66">
        <v>0</v>
      </c>
      <c r="N76" s="66">
        <v>106</v>
      </c>
      <c r="O76" s="66">
        <v>1135</v>
      </c>
      <c r="P76" s="66">
        <v>8752</v>
      </c>
      <c r="Q76" s="66">
        <v>0</v>
      </c>
      <c r="R76" s="66">
        <v>0</v>
      </c>
      <c r="S76" s="66">
        <v>0</v>
      </c>
      <c r="T76" s="66">
        <v>0</v>
      </c>
      <c r="U76" s="66">
        <v>0</v>
      </c>
      <c r="V76" s="66">
        <v>0</v>
      </c>
      <c r="W76" s="66">
        <v>0</v>
      </c>
      <c r="X76" s="66">
        <v>0</v>
      </c>
      <c r="Y76" s="66">
        <v>0</v>
      </c>
      <c r="Z76" s="66">
        <v>47</v>
      </c>
      <c r="AA76" s="66">
        <v>0</v>
      </c>
      <c r="AB76" s="66">
        <v>0</v>
      </c>
      <c r="AC76" s="66">
        <v>0</v>
      </c>
      <c r="AD76" s="66">
        <v>1</v>
      </c>
      <c r="AE76" s="66">
        <v>0</v>
      </c>
      <c r="AF76" s="66">
        <v>0</v>
      </c>
      <c r="AG76" s="66">
        <v>67</v>
      </c>
      <c r="AH76" s="66">
        <v>0</v>
      </c>
      <c r="AI76" s="66"/>
      <c r="AJ76" s="66"/>
      <c r="AK76" s="66"/>
    </row>
    <row r="77" spans="1:37">
      <c r="A77" s="11">
        <v>74</v>
      </c>
      <c r="B77" s="11" t="s">
        <v>160</v>
      </c>
      <c r="C77" s="11" t="s">
        <v>44</v>
      </c>
      <c r="D77" s="66"/>
      <c r="E77" s="66">
        <v>0</v>
      </c>
      <c r="F77" s="66">
        <v>0</v>
      </c>
      <c r="G77" s="66">
        <v>0</v>
      </c>
      <c r="H77" s="66">
        <v>0</v>
      </c>
      <c r="I77" s="66">
        <v>0</v>
      </c>
      <c r="J77" s="66">
        <v>0</v>
      </c>
      <c r="K77" s="66">
        <v>0</v>
      </c>
      <c r="L77" s="66">
        <v>0</v>
      </c>
      <c r="M77" s="66">
        <v>7</v>
      </c>
      <c r="N77" s="66">
        <v>0</v>
      </c>
      <c r="O77" s="66">
        <v>1229</v>
      </c>
      <c r="P77" s="66">
        <v>5432</v>
      </c>
      <c r="Q77" s="66">
        <v>0</v>
      </c>
      <c r="R77" s="66">
        <v>0</v>
      </c>
      <c r="S77" s="66">
        <v>0</v>
      </c>
      <c r="T77" s="66">
        <v>0</v>
      </c>
      <c r="U77" s="66">
        <v>0</v>
      </c>
      <c r="V77" s="66">
        <v>0</v>
      </c>
      <c r="W77" s="66">
        <v>0</v>
      </c>
      <c r="X77" s="66">
        <v>0</v>
      </c>
      <c r="Y77" s="66">
        <v>0</v>
      </c>
      <c r="Z77" s="66">
        <v>1</v>
      </c>
      <c r="AA77" s="66">
        <v>1272</v>
      </c>
      <c r="AB77" s="66">
        <v>0</v>
      </c>
      <c r="AC77" s="66">
        <v>0</v>
      </c>
      <c r="AD77" s="66">
        <v>0</v>
      </c>
      <c r="AE77" s="66">
        <v>0</v>
      </c>
      <c r="AF77" s="66">
        <v>0</v>
      </c>
      <c r="AG77" s="66">
        <v>0</v>
      </c>
      <c r="AH77" s="66">
        <v>0</v>
      </c>
      <c r="AI77" s="66"/>
      <c r="AJ77" s="66"/>
      <c r="AK77" s="66"/>
    </row>
    <row r="78" spans="1:37">
      <c r="A78" s="11">
        <v>75</v>
      </c>
      <c r="B78" s="11" t="s">
        <v>161</v>
      </c>
      <c r="C78" s="11" t="s">
        <v>44</v>
      </c>
      <c r="D78" s="66"/>
      <c r="E78" s="66">
        <v>0</v>
      </c>
      <c r="F78" s="66">
        <v>0</v>
      </c>
      <c r="G78" s="66">
        <v>0</v>
      </c>
      <c r="H78" s="66">
        <v>0</v>
      </c>
      <c r="I78" s="66">
        <v>0</v>
      </c>
      <c r="J78" s="66">
        <v>0</v>
      </c>
      <c r="K78" s="66">
        <v>0</v>
      </c>
      <c r="L78" s="66">
        <v>10</v>
      </c>
      <c r="M78" s="66">
        <v>0</v>
      </c>
      <c r="N78" s="66">
        <v>0</v>
      </c>
      <c r="O78" s="66">
        <v>337</v>
      </c>
      <c r="P78" s="66">
        <v>5171</v>
      </c>
      <c r="Q78" s="66">
        <v>0</v>
      </c>
      <c r="R78" s="66">
        <v>0</v>
      </c>
      <c r="S78" s="66">
        <v>0</v>
      </c>
      <c r="T78" s="66">
        <v>0</v>
      </c>
      <c r="U78" s="66">
        <v>0</v>
      </c>
      <c r="V78" s="66">
        <v>1</v>
      </c>
      <c r="W78" s="66">
        <v>0</v>
      </c>
      <c r="X78" s="66">
        <v>0</v>
      </c>
      <c r="Y78" s="66">
        <v>0</v>
      </c>
      <c r="Z78" s="66">
        <v>0</v>
      </c>
      <c r="AA78" s="66">
        <v>0</v>
      </c>
      <c r="AB78" s="66">
        <v>113</v>
      </c>
      <c r="AC78" s="66">
        <v>0</v>
      </c>
      <c r="AD78" s="66">
        <v>0</v>
      </c>
      <c r="AE78" s="66">
        <v>0</v>
      </c>
      <c r="AF78" s="66">
        <v>0</v>
      </c>
      <c r="AG78" s="66">
        <v>0</v>
      </c>
      <c r="AH78" s="66">
        <v>0</v>
      </c>
      <c r="AI78" s="66"/>
      <c r="AJ78" s="66"/>
      <c r="AK78" s="66"/>
    </row>
    <row r="79" spans="1:37">
      <c r="A79" s="11">
        <v>76</v>
      </c>
      <c r="B79" s="11" t="s">
        <v>162</v>
      </c>
      <c r="C79" s="11" t="s">
        <v>44</v>
      </c>
      <c r="D79" s="66"/>
      <c r="E79" s="66">
        <v>0</v>
      </c>
      <c r="F79" s="66">
        <v>0</v>
      </c>
      <c r="G79" s="66">
        <v>0</v>
      </c>
      <c r="H79" s="66">
        <v>0</v>
      </c>
      <c r="I79" s="66">
        <v>0</v>
      </c>
      <c r="J79" s="66">
        <v>0</v>
      </c>
      <c r="K79" s="66">
        <v>0</v>
      </c>
      <c r="L79" s="66">
        <v>0</v>
      </c>
      <c r="M79" s="66">
        <v>0</v>
      </c>
      <c r="N79" s="66">
        <v>0</v>
      </c>
      <c r="O79" s="66">
        <v>0</v>
      </c>
      <c r="P79" s="66">
        <v>2185</v>
      </c>
      <c r="Q79" s="66">
        <v>0</v>
      </c>
      <c r="R79" s="66">
        <v>0</v>
      </c>
      <c r="S79" s="66">
        <v>0</v>
      </c>
      <c r="T79" s="66">
        <v>0</v>
      </c>
      <c r="U79" s="66">
        <v>0</v>
      </c>
      <c r="V79" s="66">
        <v>0</v>
      </c>
      <c r="W79" s="66">
        <v>0</v>
      </c>
      <c r="X79" s="66">
        <v>0</v>
      </c>
      <c r="Y79" s="66">
        <v>0</v>
      </c>
      <c r="Z79" s="66">
        <v>0</v>
      </c>
      <c r="AA79" s="66">
        <v>0</v>
      </c>
      <c r="AB79" s="66">
        <v>0</v>
      </c>
      <c r="AC79" s="66">
        <v>0</v>
      </c>
      <c r="AD79" s="66">
        <v>0</v>
      </c>
      <c r="AE79" s="66">
        <v>0</v>
      </c>
      <c r="AF79" s="66">
        <v>0</v>
      </c>
      <c r="AG79" s="66">
        <v>478</v>
      </c>
      <c r="AH79" s="66">
        <v>0</v>
      </c>
      <c r="AI79" s="66"/>
      <c r="AJ79" s="66"/>
      <c r="AK79" s="66"/>
    </row>
    <row r="80" spans="1:37">
      <c r="A80" s="11">
        <v>77</v>
      </c>
      <c r="B80" s="11" t="s">
        <v>45</v>
      </c>
      <c r="C80" s="11" t="s">
        <v>46</v>
      </c>
      <c r="D80" s="66"/>
      <c r="E80" s="66">
        <v>148</v>
      </c>
      <c r="F80" s="66">
        <v>0</v>
      </c>
      <c r="G80" s="66">
        <v>4</v>
      </c>
      <c r="H80" s="66">
        <v>16</v>
      </c>
      <c r="I80" s="66">
        <v>70</v>
      </c>
      <c r="J80" s="66">
        <v>0</v>
      </c>
      <c r="K80" s="66">
        <v>0</v>
      </c>
      <c r="L80" s="66">
        <v>2</v>
      </c>
      <c r="M80" s="66">
        <v>0</v>
      </c>
      <c r="N80" s="66">
        <v>0</v>
      </c>
      <c r="O80" s="66">
        <v>0</v>
      </c>
      <c r="P80" s="66">
        <v>0</v>
      </c>
      <c r="Q80" s="66">
        <v>0</v>
      </c>
      <c r="R80" s="66">
        <v>0</v>
      </c>
      <c r="S80" s="66">
        <v>0</v>
      </c>
      <c r="T80" s="66">
        <v>19</v>
      </c>
      <c r="U80" s="66">
        <v>0</v>
      </c>
      <c r="V80" s="66">
        <v>0</v>
      </c>
      <c r="W80" s="66">
        <v>0</v>
      </c>
      <c r="X80" s="66">
        <v>0</v>
      </c>
      <c r="Y80" s="66">
        <v>0</v>
      </c>
      <c r="Z80" s="66">
        <v>14</v>
      </c>
      <c r="AA80" s="66">
        <v>296</v>
      </c>
      <c r="AB80" s="66">
        <v>4</v>
      </c>
      <c r="AC80" s="66">
        <v>0</v>
      </c>
      <c r="AD80" s="66">
        <v>0</v>
      </c>
      <c r="AE80" s="66">
        <v>0</v>
      </c>
      <c r="AF80" s="66">
        <v>0</v>
      </c>
      <c r="AG80" s="66">
        <v>0</v>
      </c>
      <c r="AH80" s="66">
        <v>0</v>
      </c>
      <c r="AI80" s="66"/>
      <c r="AJ80" s="66"/>
      <c r="AK80" s="66"/>
    </row>
    <row r="81" spans="1:37">
      <c r="A81" s="11">
        <v>78</v>
      </c>
      <c r="B81" s="11" t="s">
        <v>163</v>
      </c>
      <c r="C81" s="11" t="s">
        <v>46</v>
      </c>
      <c r="D81" s="66"/>
      <c r="E81" s="66">
        <v>0</v>
      </c>
      <c r="F81" s="66">
        <v>0</v>
      </c>
      <c r="G81" s="66">
        <v>0</v>
      </c>
      <c r="H81" s="66">
        <v>0</v>
      </c>
      <c r="I81" s="66">
        <v>0</v>
      </c>
      <c r="J81" s="66">
        <v>0</v>
      </c>
      <c r="K81" s="66">
        <v>0</v>
      </c>
      <c r="L81" s="66">
        <v>0</v>
      </c>
      <c r="M81" s="66">
        <v>0</v>
      </c>
      <c r="N81" s="66">
        <v>0</v>
      </c>
      <c r="O81" s="66">
        <v>0</v>
      </c>
      <c r="P81" s="66">
        <v>0</v>
      </c>
      <c r="Q81" s="66">
        <v>0</v>
      </c>
      <c r="R81" s="66">
        <v>0</v>
      </c>
      <c r="S81" s="66">
        <v>0</v>
      </c>
      <c r="T81" s="66">
        <v>0</v>
      </c>
      <c r="U81" s="66">
        <v>0</v>
      </c>
      <c r="V81" s="66">
        <v>0</v>
      </c>
      <c r="W81" s="66">
        <v>0</v>
      </c>
      <c r="X81" s="66">
        <v>0</v>
      </c>
      <c r="Y81" s="66">
        <v>0</v>
      </c>
      <c r="Z81" s="66">
        <v>0</v>
      </c>
      <c r="AA81" s="66">
        <v>0</v>
      </c>
      <c r="AB81" s="66">
        <v>0</v>
      </c>
      <c r="AC81" s="66">
        <v>0</v>
      </c>
      <c r="AD81" s="66">
        <v>0</v>
      </c>
      <c r="AE81" s="66">
        <v>0</v>
      </c>
      <c r="AF81" s="66">
        <v>0</v>
      </c>
      <c r="AG81" s="66">
        <v>0</v>
      </c>
      <c r="AH81" s="66">
        <v>0</v>
      </c>
      <c r="AI81" s="66"/>
      <c r="AJ81" s="66"/>
      <c r="AK81" s="66"/>
    </row>
    <row r="82" spans="1:37">
      <c r="A82" s="11">
        <v>79</v>
      </c>
      <c r="B82" s="11" t="s">
        <v>164</v>
      </c>
      <c r="C82" s="11" t="s">
        <v>46</v>
      </c>
      <c r="D82" s="66"/>
      <c r="E82" s="66">
        <v>21</v>
      </c>
      <c r="F82" s="66">
        <v>0</v>
      </c>
      <c r="G82" s="66">
        <v>10</v>
      </c>
      <c r="H82" s="66">
        <v>0</v>
      </c>
      <c r="I82" s="66">
        <v>0</v>
      </c>
      <c r="J82" s="66">
        <v>0</v>
      </c>
      <c r="K82" s="66">
        <v>0</v>
      </c>
      <c r="L82" s="66">
        <v>0</v>
      </c>
      <c r="M82" s="66">
        <v>72</v>
      </c>
      <c r="N82" s="66">
        <v>17</v>
      </c>
      <c r="O82" s="66">
        <v>5</v>
      </c>
      <c r="P82" s="66">
        <v>4</v>
      </c>
      <c r="Q82" s="66">
        <v>0</v>
      </c>
      <c r="R82" s="66">
        <v>0</v>
      </c>
      <c r="S82" s="66">
        <v>0</v>
      </c>
      <c r="T82" s="66">
        <v>0</v>
      </c>
      <c r="U82" s="66">
        <v>0</v>
      </c>
      <c r="V82" s="66">
        <v>0</v>
      </c>
      <c r="W82" s="66">
        <v>71</v>
      </c>
      <c r="X82" s="66">
        <v>0</v>
      </c>
      <c r="Y82" s="66">
        <v>0</v>
      </c>
      <c r="Z82" s="66">
        <v>36</v>
      </c>
      <c r="AA82" s="66">
        <v>0</v>
      </c>
      <c r="AB82" s="66">
        <v>0</v>
      </c>
      <c r="AC82" s="66">
        <v>0</v>
      </c>
      <c r="AD82" s="66">
        <v>14</v>
      </c>
      <c r="AE82" s="66">
        <v>0</v>
      </c>
      <c r="AF82" s="66">
        <v>0</v>
      </c>
      <c r="AG82" s="66">
        <v>4</v>
      </c>
      <c r="AH82" s="66">
        <v>22</v>
      </c>
      <c r="AI82" s="66"/>
      <c r="AJ82" s="66"/>
      <c r="AK82" s="66"/>
    </row>
    <row r="83" spans="1:37">
      <c r="A83" s="11">
        <v>80</v>
      </c>
      <c r="B83" s="11" t="s">
        <v>165</v>
      </c>
      <c r="C83" s="11" t="s">
        <v>46</v>
      </c>
      <c r="D83" s="66"/>
      <c r="E83" s="66">
        <v>0</v>
      </c>
      <c r="F83" s="66">
        <v>0</v>
      </c>
      <c r="G83" s="66">
        <v>0</v>
      </c>
      <c r="H83" s="66">
        <v>0</v>
      </c>
      <c r="I83" s="66">
        <v>0</v>
      </c>
      <c r="J83" s="66">
        <v>0</v>
      </c>
      <c r="K83" s="66">
        <v>0</v>
      </c>
      <c r="L83" s="66">
        <v>0</v>
      </c>
      <c r="M83" s="66">
        <v>0</v>
      </c>
      <c r="N83" s="66">
        <v>0</v>
      </c>
      <c r="O83" s="66">
        <v>0</v>
      </c>
      <c r="P83" s="66">
        <v>0</v>
      </c>
      <c r="Q83" s="66">
        <v>0</v>
      </c>
      <c r="R83" s="66">
        <v>0</v>
      </c>
      <c r="S83" s="66">
        <v>0</v>
      </c>
      <c r="T83" s="66">
        <v>0</v>
      </c>
      <c r="U83" s="66">
        <v>0</v>
      </c>
      <c r="V83" s="66">
        <v>0</v>
      </c>
      <c r="W83" s="66">
        <v>0</v>
      </c>
      <c r="X83" s="66">
        <v>0</v>
      </c>
      <c r="Y83" s="66">
        <v>0</v>
      </c>
      <c r="Z83" s="66">
        <v>0</v>
      </c>
      <c r="AA83" s="66">
        <v>0</v>
      </c>
      <c r="AB83" s="66">
        <v>0</v>
      </c>
      <c r="AC83" s="66">
        <v>0</v>
      </c>
      <c r="AD83" s="66">
        <v>0</v>
      </c>
      <c r="AE83" s="66">
        <v>0</v>
      </c>
      <c r="AF83" s="66">
        <v>0</v>
      </c>
      <c r="AG83" s="66">
        <v>0</v>
      </c>
      <c r="AH83" s="66">
        <v>0</v>
      </c>
      <c r="AI83" s="66"/>
      <c r="AJ83" s="66"/>
      <c r="AK83" s="66"/>
    </row>
    <row r="84" spans="1:37">
      <c r="A84" s="11">
        <v>81</v>
      </c>
      <c r="B84" s="11" t="s">
        <v>47</v>
      </c>
      <c r="C84" s="11" t="s">
        <v>48</v>
      </c>
      <c r="D84" s="66"/>
      <c r="E84" s="66">
        <v>0</v>
      </c>
      <c r="F84" s="66">
        <v>0</v>
      </c>
      <c r="G84" s="66">
        <v>0</v>
      </c>
      <c r="H84" s="66">
        <v>0</v>
      </c>
      <c r="I84" s="66">
        <v>0</v>
      </c>
      <c r="J84" s="66">
        <v>0</v>
      </c>
      <c r="K84" s="66">
        <v>0</v>
      </c>
      <c r="L84" s="66">
        <v>0</v>
      </c>
      <c r="M84" s="66">
        <v>1206</v>
      </c>
      <c r="N84" s="66">
        <v>0</v>
      </c>
      <c r="O84" s="66">
        <v>0</v>
      </c>
      <c r="P84" s="66">
        <v>0</v>
      </c>
      <c r="Q84" s="66">
        <v>0</v>
      </c>
      <c r="R84" s="66">
        <v>0</v>
      </c>
      <c r="S84" s="66">
        <v>0</v>
      </c>
      <c r="T84" s="66">
        <v>3937</v>
      </c>
      <c r="U84" s="66">
        <v>0</v>
      </c>
      <c r="V84" s="66">
        <v>0</v>
      </c>
      <c r="W84" s="66">
        <v>0</v>
      </c>
      <c r="X84" s="66">
        <v>0</v>
      </c>
      <c r="Y84" s="66">
        <v>0</v>
      </c>
      <c r="Z84" s="66">
        <v>0</v>
      </c>
      <c r="AA84" s="66">
        <v>0</v>
      </c>
      <c r="AB84" s="66">
        <v>1554</v>
      </c>
      <c r="AC84" s="66">
        <v>2813</v>
      </c>
      <c r="AD84" s="66">
        <v>0</v>
      </c>
      <c r="AE84" s="66">
        <v>0</v>
      </c>
      <c r="AF84" s="66">
        <v>0</v>
      </c>
      <c r="AG84" s="66">
        <v>0</v>
      </c>
      <c r="AH84" s="66">
        <v>0</v>
      </c>
      <c r="AI84" s="66"/>
      <c r="AJ84" s="66"/>
      <c r="AK84" s="66"/>
    </row>
    <row r="85" spans="1:37">
      <c r="A85" s="11">
        <v>82</v>
      </c>
      <c r="B85" s="11" t="s">
        <v>166</v>
      </c>
      <c r="C85" s="11" t="s">
        <v>48</v>
      </c>
      <c r="D85" s="66"/>
      <c r="E85" s="66">
        <v>0</v>
      </c>
      <c r="F85" s="66">
        <v>0</v>
      </c>
      <c r="G85" s="66">
        <v>0</v>
      </c>
      <c r="H85" s="66">
        <v>0</v>
      </c>
      <c r="I85" s="66">
        <v>0</v>
      </c>
      <c r="J85" s="66">
        <v>0</v>
      </c>
      <c r="K85" s="66">
        <v>0</v>
      </c>
      <c r="L85" s="66">
        <v>0</v>
      </c>
      <c r="M85" s="66">
        <v>0</v>
      </c>
      <c r="N85" s="66">
        <v>0</v>
      </c>
      <c r="O85" s="66">
        <v>0</v>
      </c>
      <c r="P85" s="66">
        <v>0</v>
      </c>
      <c r="Q85" s="66">
        <v>0</v>
      </c>
      <c r="R85" s="66">
        <v>0</v>
      </c>
      <c r="S85" s="66">
        <v>0</v>
      </c>
      <c r="T85" s="66">
        <v>0</v>
      </c>
      <c r="U85" s="66">
        <v>0</v>
      </c>
      <c r="V85" s="66">
        <v>0</v>
      </c>
      <c r="W85" s="66">
        <v>0</v>
      </c>
      <c r="X85" s="66">
        <v>0</v>
      </c>
      <c r="Y85" s="66">
        <v>0</v>
      </c>
      <c r="Z85" s="66">
        <v>0</v>
      </c>
      <c r="AA85" s="66">
        <v>0</v>
      </c>
      <c r="AB85" s="66">
        <v>0</v>
      </c>
      <c r="AC85" s="66">
        <v>0</v>
      </c>
      <c r="AD85" s="66">
        <v>0</v>
      </c>
      <c r="AE85" s="66">
        <v>0</v>
      </c>
      <c r="AF85" s="66">
        <v>0</v>
      </c>
      <c r="AG85" s="66">
        <v>0</v>
      </c>
      <c r="AH85" s="66">
        <v>0</v>
      </c>
      <c r="AI85" s="66"/>
      <c r="AJ85" s="66"/>
      <c r="AK85" s="66"/>
    </row>
    <row r="86" spans="1:37">
      <c r="A86" s="11">
        <v>83</v>
      </c>
      <c r="B86" s="11" t="s">
        <v>167</v>
      </c>
      <c r="C86" s="11" t="s">
        <v>48</v>
      </c>
      <c r="D86" s="66"/>
      <c r="E86" s="66">
        <v>0</v>
      </c>
      <c r="F86" s="66">
        <v>0</v>
      </c>
      <c r="G86" s="66">
        <v>0</v>
      </c>
      <c r="H86" s="66">
        <v>0</v>
      </c>
      <c r="I86" s="66">
        <v>0</v>
      </c>
      <c r="J86" s="66">
        <v>0</v>
      </c>
      <c r="K86" s="66">
        <v>0</v>
      </c>
      <c r="L86" s="66">
        <v>0</v>
      </c>
      <c r="M86" s="66">
        <v>0</v>
      </c>
      <c r="N86" s="66">
        <v>0</v>
      </c>
      <c r="O86" s="66">
        <v>0</v>
      </c>
      <c r="P86" s="66">
        <v>0</v>
      </c>
      <c r="Q86" s="66">
        <v>0</v>
      </c>
      <c r="R86" s="66">
        <v>0</v>
      </c>
      <c r="S86" s="66">
        <v>0</v>
      </c>
      <c r="T86" s="66">
        <v>0</v>
      </c>
      <c r="U86" s="66">
        <v>0</v>
      </c>
      <c r="V86" s="66">
        <v>0</v>
      </c>
      <c r="W86" s="66">
        <v>0</v>
      </c>
      <c r="X86" s="66">
        <v>0</v>
      </c>
      <c r="Y86" s="66">
        <v>0</v>
      </c>
      <c r="Z86" s="66">
        <v>0</v>
      </c>
      <c r="AA86" s="66">
        <v>0</v>
      </c>
      <c r="AB86" s="66">
        <v>0</v>
      </c>
      <c r="AC86" s="66">
        <v>0</v>
      </c>
      <c r="AD86" s="66">
        <v>0</v>
      </c>
      <c r="AE86" s="66">
        <v>0</v>
      </c>
      <c r="AF86" s="66">
        <v>0</v>
      </c>
      <c r="AG86" s="66">
        <v>0</v>
      </c>
      <c r="AH86" s="66">
        <v>0</v>
      </c>
      <c r="AI86" s="66"/>
      <c r="AJ86" s="66"/>
      <c r="AK86" s="66"/>
    </row>
    <row r="87" spans="1:37">
      <c r="A87" s="11">
        <v>84</v>
      </c>
      <c r="B87" s="11" t="s">
        <v>168</v>
      </c>
      <c r="C87" s="11" t="s">
        <v>48</v>
      </c>
      <c r="D87" s="66"/>
      <c r="E87" s="66">
        <v>0</v>
      </c>
      <c r="F87" s="66">
        <v>0</v>
      </c>
      <c r="G87" s="66">
        <v>0</v>
      </c>
      <c r="H87" s="66">
        <v>0</v>
      </c>
      <c r="I87" s="66">
        <v>0</v>
      </c>
      <c r="J87" s="66">
        <v>0</v>
      </c>
      <c r="K87" s="66">
        <v>0</v>
      </c>
      <c r="L87" s="66">
        <v>0</v>
      </c>
      <c r="M87" s="66">
        <v>0</v>
      </c>
      <c r="N87" s="66">
        <v>0</v>
      </c>
      <c r="O87" s="66">
        <v>0</v>
      </c>
      <c r="P87" s="66">
        <v>0</v>
      </c>
      <c r="Q87" s="66">
        <v>0</v>
      </c>
      <c r="R87" s="66">
        <v>0</v>
      </c>
      <c r="S87" s="66">
        <v>0</v>
      </c>
      <c r="T87" s="66">
        <v>0</v>
      </c>
      <c r="U87" s="66">
        <v>0</v>
      </c>
      <c r="V87" s="66">
        <v>0</v>
      </c>
      <c r="W87" s="66">
        <v>0</v>
      </c>
      <c r="X87" s="66">
        <v>0</v>
      </c>
      <c r="Y87" s="66">
        <v>0</v>
      </c>
      <c r="Z87" s="66">
        <v>0</v>
      </c>
      <c r="AA87" s="66">
        <v>0</v>
      </c>
      <c r="AB87" s="66">
        <v>0</v>
      </c>
      <c r="AC87" s="66">
        <v>0</v>
      </c>
      <c r="AD87" s="66">
        <v>0</v>
      </c>
      <c r="AE87" s="66">
        <v>0</v>
      </c>
      <c r="AF87" s="66">
        <v>0</v>
      </c>
      <c r="AG87" s="66">
        <v>0</v>
      </c>
      <c r="AH87" s="66">
        <v>0</v>
      </c>
      <c r="AI87" s="66"/>
      <c r="AJ87" s="66"/>
      <c r="AK87" s="66"/>
    </row>
    <row r="88" spans="1:37">
      <c r="A88" s="11">
        <v>85</v>
      </c>
      <c r="B88" s="11" t="s">
        <v>49</v>
      </c>
      <c r="C88" s="11" t="s">
        <v>50</v>
      </c>
      <c r="D88" s="66"/>
      <c r="E88" s="66">
        <v>671</v>
      </c>
      <c r="F88" s="66">
        <v>1354</v>
      </c>
      <c r="G88" s="66">
        <v>0</v>
      </c>
      <c r="H88" s="66">
        <v>0</v>
      </c>
      <c r="I88" s="66">
        <v>1545</v>
      </c>
      <c r="J88" s="66">
        <v>0</v>
      </c>
      <c r="K88" s="66">
        <v>0</v>
      </c>
      <c r="L88" s="66">
        <v>152</v>
      </c>
      <c r="M88" s="66">
        <v>168</v>
      </c>
      <c r="N88" s="66">
        <v>133</v>
      </c>
      <c r="O88" s="66">
        <v>0</v>
      </c>
      <c r="P88" s="66">
        <v>1098</v>
      </c>
      <c r="Q88" s="66">
        <v>0</v>
      </c>
      <c r="R88" s="66">
        <v>0</v>
      </c>
      <c r="S88" s="66">
        <v>0</v>
      </c>
      <c r="T88" s="66">
        <v>2078</v>
      </c>
      <c r="U88" s="66">
        <v>0</v>
      </c>
      <c r="V88" s="66">
        <v>0</v>
      </c>
      <c r="W88" s="66">
        <v>3976</v>
      </c>
      <c r="X88" s="66">
        <v>0</v>
      </c>
      <c r="Y88" s="66">
        <v>0</v>
      </c>
      <c r="Z88" s="66">
        <v>1399</v>
      </c>
      <c r="AA88" s="66">
        <v>798</v>
      </c>
      <c r="AB88" s="66">
        <v>0</v>
      </c>
      <c r="AC88" s="66">
        <v>0</v>
      </c>
      <c r="AD88" s="66">
        <v>0</v>
      </c>
      <c r="AE88" s="66">
        <v>0</v>
      </c>
      <c r="AF88" s="66">
        <v>0</v>
      </c>
      <c r="AG88" s="66">
        <v>0</v>
      </c>
      <c r="AH88" s="66">
        <v>0</v>
      </c>
      <c r="AI88" s="66"/>
      <c r="AJ88" s="66"/>
      <c r="AK88" s="66"/>
    </row>
    <row r="89" spans="1:37">
      <c r="A89" s="11">
        <v>86</v>
      </c>
      <c r="B89" s="11" t="s">
        <v>169</v>
      </c>
      <c r="C89" s="11" t="s">
        <v>50</v>
      </c>
      <c r="D89" s="66"/>
      <c r="E89" s="66">
        <v>0</v>
      </c>
      <c r="F89" s="66">
        <v>0</v>
      </c>
      <c r="G89" s="66">
        <v>0</v>
      </c>
      <c r="H89" s="66">
        <v>0</v>
      </c>
      <c r="I89" s="66">
        <v>0</v>
      </c>
      <c r="J89" s="66">
        <v>0</v>
      </c>
      <c r="K89" s="66">
        <v>0</v>
      </c>
      <c r="L89" s="66">
        <v>0</v>
      </c>
      <c r="M89" s="66">
        <v>0</v>
      </c>
      <c r="N89" s="66">
        <v>0</v>
      </c>
      <c r="O89" s="66">
        <v>0</v>
      </c>
      <c r="P89" s="66">
        <v>0</v>
      </c>
      <c r="Q89" s="66">
        <v>0</v>
      </c>
      <c r="R89" s="66">
        <v>0</v>
      </c>
      <c r="S89" s="66">
        <v>0</v>
      </c>
      <c r="T89" s="66">
        <v>0</v>
      </c>
      <c r="U89" s="66">
        <v>0</v>
      </c>
      <c r="V89" s="66">
        <v>0</v>
      </c>
      <c r="W89" s="66">
        <v>979</v>
      </c>
      <c r="X89" s="66">
        <v>0</v>
      </c>
      <c r="Y89" s="66">
        <v>0</v>
      </c>
      <c r="Z89" s="66">
        <v>0</v>
      </c>
      <c r="AA89" s="66">
        <v>0</v>
      </c>
      <c r="AB89" s="66">
        <v>0</v>
      </c>
      <c r="AC89" s="66">
        <v>0</v>
      </c>
      <c r="AD89" s="66">
        <v>0</v>
      </c>
      <c r="AE89" s="66">
        <v>0</v>
      </c>
      <c r="AF89" s="66">
        <v>0</v>
      </c>
      <c r="AG89" s="66">
        <v>0</v>
      </c>
      <c r="AH89" s="66">
        <v>0</v>
      </c>
      <c r="AI89" s="66"/>
      <c r="AJ89" s="66"/>
      <c r="AK89" s="66"/>
    </row>
    <row r="90" spans="1:37">
      <c r="A90" s="11">
        <v>87</v>
      </c>
      <c r="B90" s="11" t="s">
        <v>170</v>
      </c>
      <c r="C90" s="11" t="s">
        <v>50</v>
      </c>
      <c r="D90" s="66"/>
      <c r="E90" s="66">
        <v>0</v>
      </c>
      <c r="F90" s="66">
        <v>0</v>
      </c>
      <c r="G90" s="66">
        <v>0</v>
      </c>
      <c r="H90" s="66">
        <v>0</v>
      </c>
      <c r="I90" s="66">
        <v>0</v>
      </c>
      <c r="J90" s="66">
        <v>0</v>
      </c>
      <c r="K90" s="66">
        <v>0</v>
      </c>
      <c r="L90" s="66">
        <v>0</v>
      </c>
      <c r="M90" s="66">
        <v>0</v>
      </c>
      <c r="N90" s="66">
        <v>0</v>
      </c>
      <c r="O90" s="66">
        <v>0</v>
      </c>
      <c r="P90" s="66">
        <v>0</v>
      </c>
      <c r="Q90" s="66">
        <v>0</v>
      </c>
      <c r="R90" s="66">
        <v>0</v>
      </c>
      <c r="S90" s="66">
        <v>0</v>
      </c>
      <c r="T90" s="66">
        <v>0</v>
      </c>
      <c r="U90" s="66">
        <v>0</v>
      </c>
      <c r="V90" s="66">
        <v>0</v>
      </c>
      <c r="W90" s="66">
        <v>0</v>
      </c>
      <c r="X90" s="66">
        <v>0</v>
      </c>
      <c r="Y90" s="66">
        <v>0</v>
      </c>
      <c r="Z90" s="66">
        <v>0</v>
      </c>
      <c r="AA90" s="66">
        <v>0</v>
      </c>
      <c r="AB90" s="66">
        <v>58</v>
      </c>
      <c r="AC90" s="66">
        <v>0</v>
      </c>
      <c r="AD90" s="66">
        <v>0</v>
      </c>
      <c r="AE90" s="66">
        <v>0</v>
      </c>
      <c r="AF90" s="66">
        <v>0</v>
      </c>
      <c r="AG90" s="66">
        <v>0</v>
      </c>
      <c r="AH90" s="66">
        <v>0</v>
      </c>
      <c r="AI90" s="66"/>
      <c r="AJ90" s="66"/>
      <c r="AK90" s="66"/>
    </row>
    <row r="91" spans="1:37">
      <c r="A91" s="11">
        <v>88</v>
      </c>
      <c r="B91" s="11" t="s">
        <v>171</v>
      </c>
      <c r="C91" s="11" t="s">
        <v>50</v>
      </c>
      <c r="D91" s="66"/>
      <c r="E91" s="66">
        <v>0</v>
      </c>
      <c r="F91" s="66">
        <v>0</v>
      </c>
      <c r="G91" s="66">
        <v>0</v>
      </c>
      <c r="H91" s="66">
        <v>0</v>
      </c>
      <c r="I91" s="66">
        <v>0</v>
      </c>
      <c r="J91" s="66">
        <v>0</v>
      </c>
      <c r="K91" s="66">
        <v>0</v>
      </c>
      <c r="L91" s="66">
        <v>0</v>
      </c>
      <c r="M91" s="66">
        <v>0</v>
      </c>
      <c r="N91" s="66">
        <v>0</v>
      </c>
      <c r="O91" s="66">
        <v>0</v>
      </c>
      <c r="P91" s="66">
        <v>0</v>
      </c>
      <c r="Q91" s="66">
        <v>0</v>
      </c>
      <c r="R91" s="66">
        <v>0</v>
      </c>
      <c r="S91" s="66">
        <v>0</v>
      </c>
      <c r="T91" s="66">
        <v>0</v>
      </c>
      <c r="U91" s="66">
        <v>0</v>
      </c>
      <c r="V91" s="66">
        <v>0</v>
      </c>
      <c r="W91" s="66">
        <v>0</v>
      </c>
      <c r="X91" s="66">
        <v>0</v>
      </c>
      <c r="Y91" s="66">
        <v>0</v>
      </c>
      <c r="Z91" s="66">
        <v>0</v>
      </c>
      <c r="AA91" s="66">
        <v>0</v>
      </c>
      <c r="AB91" s="66">
        <v>0</v>
      </c>
      <c r="AC91" s="66">
        <v>0</v>
      </c>
      <c r="AD91" s="66">
        <v>0</v>
      </c>
      <c r="AE91" s="66">
        <v>0</v>
      </c>
      <c r="AF91" s="66">
        <v>0</v>
      </c>
      <c r="AG91" s="66">
        <v>0</v>
      </c>
      <c r="AH91" s="66">
        <v>0</v>
      </c>
      <c r="AI91" s="66"/>
      <c r="AJ91" s="66"/>
      <c r="AK91" s="66"/>
    </row>
    <row r="92" spans="1:37">
      <c r="A92" s="11">
        <v>89</v>
      </c>
      <c r="B92" s="11" t="s">
        <v>51</v>
      </c>
      <c r="C92" s="11" t="s">
        <v>52</v>
      </c>
      <c r="D92" s="66"/>
      <c r="E92" s="66">
        <v>0</v>
      </c>
      <c r="F92" s="66">
        <v>461</v>
      </c>
      <c r="G92" s="66">
        <v>0</v>
      </c>
      <c r="H92" s="66">
        <v>0</v>
      </c>
      <c r="I92" s="66">
        <v>0</v>
      </c>
      <c r="J92" s="66">
        <v>0</v>
      </c>
      <c r="K92" s="66">
        <v>0</v>
      </c>
      <c r="L92" s="66">
        <v>168</v>
      </c>
      <c r="M92" s="66">
        <v>289</v>
      </c>
      <c r="N92" s="66">
        <v>0</v>
      </c>
      <c r="O92" s="66">
        <v>0</v>
      </c>
      <c r="P92" s="66">
        <v>0</v>
      </c>
      <c r="Q92" s="66">
        <v>0</v>
      </c>
      <c r="R92" s="66">
        <v>0</v>
      </c>
      <c r="S92" s="66">
        <v>0</v>
      </c>
      <c r="T92" s="66">
        <v>0</v>
      </c>
      <c r="U92" s="66">
        <v>0</v>
      </c>
      <c r="V92" s="66">
        <v>0</v>
      </c>
      <c r="W92" s="66">
        <v>0</v>
      </c>
      <c r="X92" s="66">
        <v>0</v>
      </c>
      <c r="Y92" s="66">
        <v>0</v>
      </c>
      <c r="Z92" s="66">
        <v>0</v>
      </c>
      <c r="AA92" s="66">
        <v>690</v>
      </c>
      <c r="AB92" s="66">
        <v>0</v>
      </c>
      <c r="AC92" s="66">
        <v>0</v>
      </c>
      <c r="AD92" s="66">
        <v>0</v>
      </c>
      <c r="AE92" s="66">
        <v>0</v>
      </c>
      <c r="AF92" s="66">
        <v>0</v>
      </c>
      <c r="AG92" s="66">
        <v>0</v>
      </c>
      <c r="AH92" s="66">
        <v>0</v>
      </c>
      <c r="AI92" s="66"/>
      <c r="AJ92" s="66"/>
      <c r="AK92" s="66"/>
    </row>
    <row r="93" spans="1:37">
      <c r="A93" s="11">
        <v>90</v>
      </c>
      <c r="B93" s="11" t="s">
        <v>172</v>
      </c>
      <c r="C93" s="11" t="s">
        <v>52</v>
      </c>
      <c r="D93" s="66"/>
      <c r="E93" s="66">
        <v>0</v>
      </c>
      <c r="F93" s="66">
        <v>0</v>
      </c>
      <c r="G93" s="66">
        <v>0</v>
      </c>
      <c r="H93" s="66">
        <v>0</v>
      </c>
      <c r="I93" s="66">
        <v>0</v>
      </c>
      <c r="J93" s="66">
        <v>0</v>
      </c>
      <c r="K93" s="66">
        <v>0</v>
      </c>
      <c r="L93" s="66">
        <v>0</v>
      </c>
      <c r="M93" s="66">
        <v>0</v>
      </c>
      <c r="N93" s="66">
        <v>0</v>
      </c>
      <c r="O93" s="66">
        <v>0</v>
      </c>
      <c r="P93" s="66">
        <v>0</v>
      </c>
      <c r="Q93" s="66">
        <v>0</v>
      </c>
      <c r="R93" s="66">
        <v>0</v>
      </c>
      <c r="S93" s="66">
        <v>0</v>
      </c>
      <c r="T93" s="66">
        <v>0</v>
      </c>
      <c r="U93" s="66">
        <v>0</v>
      </c>
      <c r="V93" s="66">
        <v>0</v>
      </c>
      <c r="W93" s="66">
        <v>0</v>
      </c>
      <c r="X93" s="66">
        <v>0</v>
      </c>
      <c r="Y93" s="66">
        <v>0</v>
      </c>
      <c r="Z93" s="66">
        <v>0</v>
      </c>
      <c r="AA93" s="66">
        <v>0</v>
      </c>
      <c r="AB93" s="66">
        <v>0</v>
      </c>
      <c r="AC93" s="66">
        <v>0</v>
      </c>
      <c r="AD93" s="66">
        <v>0</v>
      </c>
      <c r="AE93" s="66">
        <v>0</v>
      </c>
      <c r="AF93" s="66">
        <v>0</v>
      </c>
      <c r="AG93" s="66">
        <v>0</v>
      </c>
      <c r="AH93" s="66">
        <v>0</v>
      </c>
      <c r="AI93" s="66"/>
      <c r="AJ93" s="66"/>
      <c r="AK93" s="66"/>
    </row>
    <row r="94" spans="1:37">
      <c r="A94" s="11">
        <v>91</v>
      </c>
      <c r="B94" s="11" t="s">
        <v>173</v>
      </c>
      <c r="C94" s="11" t="s">
        <v>52</v>
      </c>
      <c r="D94" s="66"/>
      <c r="E94" s="66">
        <v>0</v>
      </c>
      <c r="F94" s="66">
        <v>0</v>
      </c>
      <c r="G94" s="66">
        <v>0</v>
      </c>
      <c r="H94" s="66">
        <v>0</v>
      </c>
      <c r="I94" s="66">
        <v>0</v>
      </c>
      <c r="J94" s="66">
        <v>0</v>
      </c>
      <c r="K94" s="66">
        <v>0</v>
      </c>
      <c r="L94" s="66">
        <v>0</v>
      </c>
      <c r="M94" s="66">
        <v>0</v>
      </c>
      <c r="N94" s="66">
        <v>0</v>
      </c>
      <c r="O94" s="66">
        <v>0</v>
      </c>
      <c r="P94" s="66">
        <v>0</v>
      </c>
      <c r="Q94" s="66">
        <v>0</v>
      </c>
      <c r="R94" s="66">
        <v>0</v>
      </c>
      <c r="S94" s="66">
        <v>0</v>
      </c>
      <c r="T94" s="66">
        <v>0</v>
      </c>
      <c r="U94" s="66">
        <v>0</v>
      </c>
      <c r="V94" s="66">
        <v>0</v>
      </c>
      <c r="W94" s="66">
        <v>0</v>
      </c>
      <c r="X94" s="66">
        <v>0</v>
      </c>
      <c r="Y94" s="66">
        <v>0</v>
      </c>
      <c r="Z94" s="66">
        <v>0</v>
      </c>
      <c r="AA94" s="66">
        <v>0</v>
      </c>
      <c r="AB94" s="66">
        <v>0</v>
      </c>
      <c r="AC94" s="66">
        <v>0</v>
      </c>
      <c r="AD94" s="66">
        <v>0</v>
      </c>
      <c r="AE94" s="66">
        <v>0</v>
      </c>
      <c r="AF94" s="66">
        <v>0</v>
      </c>
      <c r="AG94" s="66">
        <v>0</v>
      </c>
      <c r="AH94" s="66">
        <v>0</v>
      </c>
      <c r="AI94" s="66"/>
      <c r="AJ94" s="66"/>
      <c r="AK94" s="66"/>
    </row>
    <row r="95" spans="1:37">
      <c r="A95" s="11">
        <v>92</v>
      </c>
      <c r="B95" s="11" t="s">
        <v>174</v>
      </c>
      <c r="C95" s="11" t="s">
        <v>52</v>
      </c>
      <c r="D95" s="66"/>
      <c r="E95" s="66">
        <v>0</v>
      </c>
      <c r="F95" s="66">
        <v>0</v>
      </c>
      <c r="G95" s="66">
        <v>0</v>
      </c>
      <c r="H95" s="66">
        <v>0</v>
      </c>
      <c r="I95" s="66">
        <v>0</v>
      </c>
      <c r="J95" s="66">
        <v>0</v>
      </c>
      <c r="K95" s="66">
        <v>0</v>
      </c>
      <c r="L95" s="66">
        <v>0</v>
      </c>
      <c r="M95" s="66">
        <v>0</v>
      </c>
      <c r="N95" s="66">
        <v>0</v>
      </c>
      <c r="O95" s="66">
        <v>0</v>
      </c>
      <c r="P95" s="66">
        <v>0</v>
      </c>
      <c r="Q95" s="66">
        <v>0</v>
      </c>
      <c r="R95" s="66">
        <v>0</v>
      </c>
      <c r="S95" s="66">
        <v>0</v>
      </c>
      <c r="T95" s="66">
        <v>0</v>
      </c>
      <c r="U95" s="66">
        <v>0</v>
      </c>
      <c r="V95" s="66">
        <v>0</v>
      </c>
      <c r="W95" s="66">
        <v>0</v>
      </c>
      <c r="X95" s="66">
        <v>0</v>
      </c>
      <c r="Y95" s="66">
        <v>0</v>
      </c>
      <c r="Z95" s="66">
        <v>0</v>
      </c>
      <c r="AA95" s="66">
        <v>0</v>
      </c>
      <c r="AB95" s="66">
        <v>0</v>
      </c>
      <c r="AC95" s="66">
        <v>0</v>
      </c>
      <c r="AD95" s="66">
        <v>0</v>
      </c>
      <c r="AE95" s="66">
        <v>0</v>
      </c>
      <c r="AF95" s="66">
        <v>0</v>
      </c>
      <c r="AG95" s="66">
        <v>0</v>
      </c>
      <c r="AH95" s="66">
        <v>0</v>
      </c>
      <c r="AI95" s="66"/>
      <c r="AJ95" s="66"/>
      <c r="AK95" s="66"/>
    </row>
    <row r="96" spans="1:37">
      <c r="A96" s="11">
        <v>93</v>
      </c>
      <c r="B96" s="11" t="s">
        <v>53</v>
      </c>
      <c r="C96" s="11" t="s">
        <v>54</v>
      </c>
      <c r="D96" s="66"/>
      <c r="E96" s="66">
        <v>0</v>
      </c>
      <c r="F96" s="66">
        <v>0</v>
      </c>
      <c r="G96" s="66">
        <v>0</v>
      </c>
      <c r="H96" s="66">
        <v>0</v>
      </c>
      <c r="I96" s="66">
        <v>0</v>
      </c>
      <c r="J96" s="66">
        <v>0</v>
      </c>
      <c r="K96" s="66">
        <v>0</v>
      </c>
      <c r="L96" s="66">
        <v>10694</v>
      </c>
      <c r="M96" s="66">
        <v>0</v>
      </c>
      <c r="N96" s="66">
        <v>0</v>
      </c>
      <c r="O96" s="66">
        <v>0</v>
      </c>
      <c r="P96" s="66">
        <v>0</v>
      </c>
      <c r="Q96" s="66">
        <v>0</v>
      </c>
      <c r="R96" s="66">
        <v>0</v>
      </c>
      <c r="S96" s="66">
        <v>0</v>
      </c>
      <c r="T96" s="66">
        <v>0</v>
      </c>
      <c r="U96" s="66">
        <v>0</v>
      </c>
      <c r="V96" s="66">
        <v>0</v>
      </c>
      <c r="W96" s="66">
        <v>0</v>
      </c>
      <c r="X96" s="66">
        <v>0</v>
      </c>
      <c r="Y96" s="66">
        <v>0</v>
      </c>
      <c r="Z96" s="66">
        <v>0</v>
      </c>
      <c r="AA96" s="66">
        <v>0</v>
      </c>
      <c r="AB96" s="66">
        <v>0</v>
      </c>
      <c r="AC96" s="66">
        <v>0</v>
      </c>
      <c r="AD96" s="66">
        <v>0</v>
      </c>
      <c r="AE96" s="66">
        <v>0</v>
      </c>
      <c r="AF96" s="66">
        <v>0</v>
      </c>
      <c r="AG96" s="66">
        <v>0</v>
      </c>
      <c r="AH96" s="66">
        <v>0</v>
      </c>
      <c r="AI96" s="66"/>
      <c r="AJ96" s="66"/>
      <c r="AK96" s="66"/>
    </row>
    <row r="97" spans="1:37">
      <c r="A97" s="11">
        <v>94</v>
      </c>
      <c r="B97" s="11" t="s">
        <v>175</v>
      </c>
      <c r="C97" s="11" t="s">
        <v>54</v>
      </c>
      <c r="D97" s="66"/>
      <c r="E97" s="66">
        <v>0</v>
      </c>
      <c r="F97" s="66">
        <v>0</v>
      </c>
      <c r="G97" s="66">
        <v>0</v>
      </c>
      <c r="H97" s="66">
        <v>0</v>
      </c>
      <c r="I97" s="66">
        <v>0</v>
      </c>
      <c r="J97" s="66">
        <v>0</v>
      </c>
      <c r="K97" s="66">
        <v>0</v>
      </c>
      <c r="L97" s="66">
        <v>0</v>
      </c>
      <c r="M97" s="66">
        <v>0</v>
      </c>
      <c r="N97" s="66">
        <v>0</v>
      </c>
      <c r="O97" s="66">
        <v>0</v>
      </c>
      <c r="P97" s="66">
        <v>0</v>
      </c>
      <c r="Q97" s="66">
        <v>0</v>
      </c>
      <c r="R97" s="66">
        <v>0</v>
      </c>
      <c r="S97" s="66">
        <v>0</v>
      </c>
      <c r="T97" s="66">
        <v>0</v>
      </c>
      <c r="U97" s="66">
        <v>0</v>
      </c>
      <c r="V97" s="66">
        <v>0</v>
      </c>
      <c r="W97" s="66">
        <v>0</v>
      </c>
      <c r="X97" s="66">
        <v>0</v>
      </c>
      <c r="Y97" s="66">
        <v>0</v>
      </c>
      <c r="Z97" s="66">
        <v>0</v>
      </c>
      <c r="AA97" s="66">
        <v>0</v>
      </c>
      <c r="AB97" s="66">
        <v>0</v>
      </c>
      <c r="AC97" s="66">
        <v>0</v>
      </c>
      <c r="AD97" s="66">
        <v>0</v>
      </c>
      <c r="AE97" s="66">
        <v>0</v>
      </c>
      <c r="AF97" s="66">
        <v>0</v>
      </c>
      <c r="AG97" s="66">
        <v>0</v>
      </c>
      <c r="AH97" s="66">
        <v>0</v>
      </c>
      <c r="AI97" s="66"/>
      <c r="AJ97" s="66"/>
      <c r="AK97" s="66"/>
    </row>
    <row r="98" spans="1:37">
      <c r="A98" s="11">
        <v>95</v>
      </c>
      <c r="B98" s="11" t="s">
        <v>176</v>
      </c>
      <c r="C98" s="11" t="s">
        <v>54</v>
      </c>
      <c r="D98" s="66"/>
      <c r="E98" s="66">
        <v>0</v>
      </c>
      <c r="F98" s="66">
        <v>0</v>
      </c>
      <c r="G98" s="66">
        <v>0</v>
      </c>
      <c r="H98" s="66">
        <v>0</v>
      </c>
      <c r="I98" s="66">
        <v>0</v>
      </c>
      <c r="J98" s="66">
        <v>0</v>
      </c>
      <c r="K98" s="66">
        <v>0</v>
      </c>
      <c r="L98" s="66">
        <v>0</v>
      </c>
      <c r="M98" s="66">
        <v>0</v>
      </c>
      <c r="N98" s="66">
        <v>0</v>
      </c>
      <c r="O98" s="66">
        <v>0</v>
      </c>
      <c r="P98" s="66">
        <v>0</v>
      </c>
      <c r="Q98" s="66">
        <v>0</v>
      </c>
      <c r="R98" s="66">
        <v>0</v>
      </c>
      <c r="S98" s="66">
        <v>0</v>
      </c>
      <c r="T98" s="66">
        <v>0</v>
      </c>
      <c r="U98" s="66">
        <v>0</v>
      </c>
      <c r="V98" s="66">
        <v>0</v>
      </c>
      <c r="W98" s="66">
        <v>0</v>
      </c>
      <c r="X98" s="66">
        <v>0</v>
      </c>
      <c r="Y98" s="66">
        <v>0</v>
      </c>
      <c r="Z98" s="66">
        <v>0</v>
      </c>
      <c r="AA98" s="66">
        <v>0</v>
      </c>
      <c r="AB98" s="66">
        <v>0</v>
      </c>
      <c r="AC98" s="66">
        <v>0</v>
      </c>
      <c r="AD98" s="66">
        <v>0</v>
      </c>
      <c r="AE98" s="66">
        <v>0</v>
      </c>
      <c r="AF98" s="66">
        <v>0</v>
      </c>
      <c r="AG98" s="66">
        <v>0</v>
      </c>
      <c r="AH98" s="66">
        <v>0</v>
      </c>
      <c r="AI98" s="66"/>
      <c r="AJ98" s="66"/>
      <c r="AK98" s="66"/>
    </row>
    <row r="99" spans="1:37">
      <c r="A99" s="11">
        <v>96</v>
      </c>
      <c r="B99" s="11" t="s">
        <v>177</v>
      </c>
      <c r="C99" s="11" t="s">
        <v>54</v>
      </c>
      <c r="D99" s="66"/>
      <c r="E99" s="66">
        <v>0</v>
      </c>
      <c r="F99" s="66">
        <v>0</v>
      </c>
      <c r="G99" s="66">
        <v>0</v>
      </c>
      <c r="H99" s="66">
        <v>0</v>
      </c>
      <c r="I99" s="66">
        <v>0</v>
      </c>
      <c r="J99" s="66">
        <v>0</v>
      </c>
      <c r="K99" s="66">
        <v>0</v>
      </c>
      <c r="L99" s="66">
        <v>0</v>
      </c>
      <c r="M99" s="66">
        <v>0</v>
      </c>
      <c r="N99" s="66">
        <v>0</v>
      </c>
      <c r="O99" s="66">
        <v>0</v>
      </c>
      <c r="P99" s="66">
        <v>0</v>
      </c>
      <c r="Q99" s="66">
        <v>0</v>
      </c>
      <c r="R99" s="66">
        <v>0</v>
      </c>
      <c r="S99" s="66">
        <v>0</v>
      </c>
      <c r="T99" s="66">
        <v>0</v>
      </c>
      <c r="U99" s="66">
        <v>0</v>
      </c>
      <c r="V99" s="66">
        <v>0</v>
      </c>
      <c r="W99" s="66">
        <v>0</v>
      </c>
      <c r="X99" s="66">
        <v>0</v>
      </c>
      <c r="Y99" s="66">
        <v>0</v>
      </c>
      <c r="Z99" s="66">
        <v>0</v>
      </c>
      <c r="AA99" s="66">
        <v>0</v>
      </c>
      <c r="AB99" s="66">
        <v>0</v>
      </c>
      <c r="AC99" s="66">
        <v>0</v>
      </c>
      <c r="AD99" s="66">
        <v>0</v>
      </c>
      <c r="AE99" s="66">
        <v>0</v>
      </c>
      <c r="AF99" s="66">
        <v>0</v>
      </c>
      <c r="AG99" s="66">
        <v>0</v>
      </c>
      <c r="AH99" s="66">
        <v>0</v>
      </c>
      <c r="AI99" s="66"/>
      <c r="AJ99" s="66"/>
      <c r="AK99" s="66"/>
    </row>
    <row r="100" spans="1:37">
      <c r="A100" s="11">
        <v>97</v>
      </c>
      <c r="B100" s="11" t="s">
        <v>55</v>
      </c>
      <c r="C100" s="11" t="s">
        <v>56</v>
      </c>
      <c r="D100" s="66"/>
      <c r="E100" s="66">
        <v>0</v>
      </c>
      <c r="F100" s="66">
        <v>1045</v>
      </c>
      <c r="G100" s="66">
        <v>0</v>
      </c>
      <c r="H100" s="66">
        <v>0</v>
      </c>
      <c r="I100" s="66">
        <v>0</v>
      </c>
      <c r="J100" s="66">
        <v>0</v>
      </c>
      <c r="K100" s="66">
        <v>0</v>
      </c>
      <c r="L100" s="66">
        <v>0</v>
      </c>
      <c r="M100" s="66">
        <v>0</v>
      </c>
      <c r="N100" s="66">
        <v>0</v>
      </c>
      <c r="O100" s="66">
        <v>0</v>
      </c>
      <c r="P100" s="66">
        <v>0</v>
      </c>
      <c r="Q100" s="66">
        <v>0</v>
      </c>
      <c r="R100" s="66">
        <v>0</v>
      </c>
      <c r="S100" s="66">
        <v>39</v>
      </c>
      <c r="T100" s="66">
        <v>0</v>
      </c>
      <c r="U100" s="66">
        <v>0</v>
      </c>
      <c r="V100" s="66">
        <v>0</v>
      </c>
      <c r="W100" s="66">
        <v>0</v>
      </c>
      <c r="X100" s="66">
        <v>0</v>
      </c>
      <c r="Y100" s="66">
        <v>0</v>
      </c>
      <c r="Z100" s="66">
        <v>0</v>
      </c>
      <c r="AA100" s="66">
        <v>196</v>
      </c>
      <c r="AB100" s="66">
        <v>0</v>
      </c>
      <c r="AC100" s="66">
        <v>0</v>
      </c>
      <c r="AD100" s="66">
        <v>0</v>
      </c>
      <c r="AE100" s="66">
        <v>0</v>
      </c>
      <c r="AF100" s="66">
        <v>0</v>
      </c>
      <c r="AG100" s="66">
        <v>0</v>
      </c>
      <c r="AH100" s="66">
        <v>0</v>
      </c>
      <c r="AI100" s="66"/>
      <c r="AJ100" s="66"/>
      <c r="AK100" s="66"/>
    </row>
    <row r="101" spans="1:37">
      <c r="A101" s="11">
        <v>98</v>
      </c>
      <c r="B101" s="11" t="s">
        <v>178</v>
      </c>
      <c r="C101" s="11" t="s">
        <v>56</v>
      </c>
      <c r="D101" s="66"/>
      <c r="E101" s="66">
        <v>0</v>
      </c>
      <c r="F101" s="66">
        <v>0</v>
      </c>
      <c r="G101" s="66">
        <v>0</v>
      </c>
      <c r="H101" s="66">
        <v>0</v>
      </c>
      <c r="I101" s="66">
        <v>0</v>
      </c>
      <c r="J101" s="66">
        <v>0</v>
      </c>
      <c r="K101" s="66">
        <v>0</v>
      </c>
      <c r="L101" s="66">
        <v>0</v>
      </c>
      <c r="M101" s="66">
        <v>0</v>
      </c>
      <c r="N101" s="66">
        <v>0</v>
      </c>
      <c r="O101" s="66">
        <v>0</v>
      </c>
      <c r="P101" s="66">
        <v>0</v>
      </c>
      <c r="Q101" s="66">
        <v>0</v>
      </c>
      <c r="R101" s="66">
        <v>0</v>
      </c>
      <c r="S101" s="66">
        <v>0</v>
      </c>
      <c r="T101" s="66">
        <v>0</v>
      </c>
      <c r="U101" s="66">
        <v>0</v>
      </c>
      <c r="V101" s="66">
        <v>0</v>
      </c>
      <c r="W101" s="66">
        <v>0</v>
      </c>
      <c r="X101" s="66">
        <v>0</v>
      </c>
      <c r="Y101" s="66">
        <v>0</v>
      </c>
      <c r="Z101" s="66">
        <v>0</v>
      </c>
      <c r="AA101" s="66">
        <v>0</v>
      </c>
      <c r="AB101" s="66">
        <v>0</v>
      </c>
      <c r="AC101" s="66">
        <v>0</v>
      </c>
      <c r="AD101" s="66">
        <v>0</v>
      </c>
      <c r="AE101" s="66">
        <v>0</v>
      </c>
      <c r="AF101" s="66">
        <v>0</v>
      </c>
      <c r="AG101" s="66">
        <v>0</v>
      </c>
      <c r="AH101" s="66">
        <v>0</v>
      </c>
      <c r="AI101" s="66"/>
      <c r="AJ101" s="66"/>
      <c r="AK101" s="66"/>
    </row>
    <row r="102" spans="1:37">
      <c r="A102" s="11">
        <v>99</v>
      </c>
      <c r="B102" s="11" t="s">
        <v>179</v>
      </c>
      <c r="C102" s="11" t="s">
        <v>56</v>
      </c>
      <c r="D102" s="66"/>
      <c r="E102" s="66">
        <v>0</v>
      </c>
      <c r="F102" s="66">
        <v>0</v>
      </c>
      <c r="G102" s="66">
        <v>0</v>
      </c>
      <c r="H102" s="66">
        <v>0</v>
      </c>
      <c r="I102" s="66">
        <v>0</v>
      </c>
      <c r="J102" s="66">
        <v>0</v>
      </c>
      <c r="K102" s="66">
        <v>0</v>
      </c>
      <c r="L102" s="66">
        <v>0</v>
      </c>
      <c r="M102" s="66">
        <v>0</v>
      </c>
      <c r="N102" s="66">
        <v>0</v>
      </c>
      <c r="O102" s="66">
        <v>0</v>
      </c>
      <c r="P102" s="66">
        <v>0</v>
      </c>
      <c r="Q102" s="66">
        <v>0</v>
      </c>
      <c r="R102" s="66">
        <v>0</v>
      </c>
      <c r="S102" s="66">
        <v>0</v>
      </c>
      <c r="T102" s="66">
        <v>0</v>
      </c>
      <c r="U102" s="66">
        <v>0</v>
      </c>
      <c r="V102" s="66">
        <v>0</v>
      </c>
      <c r="W102" s="66">
        <v>0</v>
      </c>
      <c r="X102" s="66">
        <v>0</v>
      </c>
      <c r="Y102" s="66">
        <v>0</v>
      </c>
      <c r="Z102" s="66">
        <v>0</v>
      </c>
      <c r="AA102" s="66">
        <v>0</v>
      </c>
      <c r="AB102" s="66">
        <v>0</v>
      </c>
      <c r="AC102" s="66">
        <v>0</v>
      </c>
      <c r="AD102" s="66">
        <v>0</v>
      </c>
      <c r="AE102" s="66">
        <v>0</v>
      </c>
      <c r="AF102" s="66">
        <v>0</v>
      </c>
      <c r="AG102" s="66">
        <v>0</v>
      </c>
      <c r="AH102" s="66">
        <v>0</v>
      </c>
      <c r="AI102" s="66"/>
      <c r="AJ102" s="66"/>
      <c r="AK102" s="66"/>
    </row>
    <row r="103" spans="1:37">
      <c r="A103" s="11">
        <v>100</v>
      </c>
      <c r="B103" s="11" t="s">
        <v>180</v>
      </c>
      <c r="C103" s="11" t="s">
        <v>56</v>
      </c>
      <c r="D103" s="66"/>
      <c r="E103" s="66">
        <v>0</v>
      </c>
      <c r="F103" s="66">
        <v>0</v>
      </c>
      <c r="G103" s="66">
        <v>0</v>
      </c>
      <c r="H103" s="66">
        <v>0</v>
      </c>
      <c r="I103" s="66">
        <v>0</v>
      </c>
      <c r="J103" s="66">
        <v>0</v>
      </c>
      <c r="K103" s="66">
        <v>0</v>
      </c>
      <c r="L103" s="66">
        <v>0</v>
      </c>
      <c r="M103" s="66">
        <v>0</v>
      </c>
      <c r="N103" s="66">
        <v>0</v>
      </c>
      <c r="O103" s="66">
        <v>0</v>
      </c>
      <c r="P103" s="66">
        <v>0</v>
      </c>
      <c r="Q103" s="66">
        <v>0</v>
      </c>
      <c r="R103" s="66">
        <v>0</v>
      </c>
      <c r="S103" s="66">
        <v>0</v>
      </c>
      <c r="T103" s="66">
        <v>0</v>
      </c>
      <c r="U103" s="66">
        <v>0</v>
      </c>
      <c r="V103" s="66">
        <v>0</v>
      </c>
      <c r="W103" s="66">
        <v>0</v>
      </c>
      <c r="X103" s="66">
        <v>0</v>
      </c>
      <c r="Y103" s="66">
        <v>0</v>
      </c>
      <c r="Z103" s="66">
        <v>0</v>
      </c>
      <c r="AA103" s="66">
        <v>0</v>
      </c>
      <c r="AB103" s="66">
        <v>0</v>
      </c>
      <c r="AC103" s="66">
        <v>0</v>
      </c>
      <c r="AD103" s="66">
        <v>0</v>
      </c>
      <c r="AE103" s="66">
        <v>0</v>
      </c>
      <c r="AF103" s="66">
        <v>0</v>
      </c>
      <c r="AG103" s="66">
        <v>0</v>
      </c>
      <c r="AH103" s="66">
        <v>0</v>
      </c>
      <c r="AI103" s="66"/>
      <c r="AJ103" s="66"/>
      <c r="AK103" s="66"/>
    </row>
    <row r="104" spans="1:37">
      <c r="A104" s="11">
        <v>101</v>
      </c>
      <c r="B104" s="11" t="s">
        <v>57</v>
      </c>
      <c r="C104" s="11" t="s">
        <v>58</v>
      </c>
      <c r="D104" s="66"/>
      <c r="E104" s="66">
        <v>0</v>
      </c>
      <c r="F104" s="66">
        <v>0</v>
      </c>
      <c r="G104" s="66">
        <v>0</v>
      </c>
      <c r="H104" s="66">
        <v>0</v>
      </c>
      <c r="I104" s="66">
        <v>0</v>
      </c>
      <c r="J104" s="66">
        <v>0</v>
      </c>
      <c r="K104" s="66">
        <v>0</v>
      </c>
      <c r="L104" s="66">
        <v>0</v>
      </c>
      <c r="M104" s="66">
        <v>0</v>
      </c>
      <c r="N104" s="66">
        <v>0</v>
      </c>
      <c r="O104" s="66">
        <v>0</v>
      </c>
      <c r="P104" s="66">
        <v>0</v>
      </c>
      <c r="Q104" s="66">
        <v>0</v>
      </c>
      <c r="R104" s="66">
        <v>0</v>
      </c>
      <c r="S104" s="66">
        <v>0</v>
      </c>
      <c r="T104" s="66">
        <v>0</v>
      </c>
      <c r="U104" s="66">
        <v>0</v>
      </c>
      <c r="V104" s="66">
        <v>0</v>
      </c>
      <c r="W104" s="66">
        <v>0</v>
      </c>
      <c r="X104" s="66">
        <v>0</v>
      </c>
      <c r="Y104" s="66">
        <v>0</v>
      </c>
      <c r="Z104" s="66">
        <v>0</v>
      </c>
      <c r="AA104" s="66">
        <v>0</v>
      </c>
      <c r="AB104" s="66">
        <v>0</v>
      </c>
      <c r="AC104" s="66">
        <v>0</v>
      </c>
      <c r="AD104" s="66">
        <v>0</v>
      </c>
      <c r="AE104" s="66">
        <v>0</v>
      </c>
      <c r="AF104" s="66">
        <v>0</v>
      </c>
      <c r="AG104" s="66">
        <v>998</v>
      </c>
      <c r="AH104" s="66">
        <v>45908</v>
      </c>
      <c r="AI104" s="66"/>
      <c r="AJ104" s="66"/>
      <c r="AK104" s="66"/>
    </row>
    <row r="105" spans="1:37">
      <c r="A105" s="11">
        <v>102</v>
      </c>
      <c r="B105" s="11" t="s">
        <v>181</v>
      </c>
      <c r="C105" s="11" t="s">
        <v>58</v>
      </c>
      <c r="D105" s="66"/>
      <c r="E105" s="66">
        <v>0</v>
      </c>
      <c r="F105" s="66">
        <v>0</v>
      </c>
      <c r="G105" s="66">
        <v>0</v>
      </c>
      <c r="H105" s="66">
        <v>0</v>
      </c>
      <c r="I105" s="66">
        <v>0</v>
      </c>
      <c r="J105" s="66">
        <v>0</v>
      </c>
      <c r="K105" s="66">
        <v>0</v>
      </c>
      <c r="L105" s="66">
        <v>0</v>
      </c>
      <c r="M105" s="66">
        <v>0</v>
      </c>
      <c r="N105" s="66">
        <v>0</v>
      </c>
      <c r="O105" s="66">
        <v>0</v>
      </c>
      <c r="P105" s="66">
        <v>0</v>
      </c>
      <c r="Q105" s="66">
        <v>0</v>
      </c>
      <c r="R105" s="66">
        <v>0</v>
      </c>
      <c r="S105" s="66">
        <v>0</v>
      </c>
      <c r="T105" s="66">
        <v>0</v>
      </c>
      <c r="U105" s="66">
        <v>0</v>
      </c>
      <c r="V105" s="66">
        <v>0</v>
      </c>
      <c r="W105" s="66">
        <v>0</v>
      </c>
      <c r="X105" s="66">
        <v>0</v>
      </c>
      <c r="Y105" s="66">
        <v>0</v>
      </c>
      <c r="Z105" s="66">
        <v>0</v>
      </c>
      <c r="AA105" s="66">
        <v>0</v>
      </c>
      <c r="AB105" s="66">
        <v>0</v>
      </c>
      <c r="AC105" s="66">
        <v>0</v>
      </c>
      <c r="AD105" s="66">
        <v>0</v>
      </c>
      <c r="AE105" s="66">
        <v>0</v>
      </c>
      <c r="AF105" s="66">
        <v>0</v>
      </c>
      <c r="AG105" s="66">
        <v>0</v>
      </c>
      <c r="AH105" s="66">
        <v>5054</v>
      </c>
      <c r="AI105" s="66"/>
      <c r="AJ105" s="66"/>
      <c r="AK105" s="66"/>
    </row>
    <row r="106" spans="1:37">
      <c r="A106" s="11">
        <v>103</v>
      </c>
      <c r="B106" s="11" t="s">
        <v>182</v>
      </c>
      <c r="C106" s="11" t="s">
        <v>58</v>
      </c>
      <c r="D106" s="66"/>
      <c r="E106" s="66">
        <v>0</v>
      </c>
      <c r="F106" s="66">
        <v>0</v>
      </c>
      <c r="G106" s="66">
        <v>0</v>
      </c>
      <c r="H106" s="66">
        <v>0</v>
      </c>
      <c r="I106" s="66">
        <v>0</v>
      </c>
      <c r="J106" s="66">
        <v>0</v>
      </c>
      <c r="K106" s="66">
        <v>0</v>
      </c>
      <c r="L106" s="66">
        <v>0</v>
      </c>
      <c r="M106" s="66">
        <v>0</v>
      </c>
      <c r="N106" s="66">
        <v>0</v>
      </c>
      <c r="O106" s="66">
        <v>0</v>
      </c>
      <c r="P106" s="66">
        <v>0</v>
      </c>
      <c r="Q106" s="66">
        <v>0</v>
      </c>
      <c r="R106" s="66">
        <v>0</v>
      </c>
      <c r="S106" s="66">
        <v>0</v>
      </c>
      <c r="T106" s="66">
        <v>0</v>
      </c>
      <c r="U106" s="66">
        <v>0</v>
      </c>
      <c r="V106" s="66">
        <v>0</v>
      </c>
      <c r="W106" s="66">
        <v>0</v>
      </c>
      <c r="X106" s="66">
        <v>0</v>
      </c>
      <c r="Y106" s="66">
        <v>0</v>
      </c>
      <c r="Z106" s="66">
        <v>0</v>
      </c>
      <c r="AA106" s="66">
        <v>0</v>
      </c>
      <c r="AB106" s="66">
        <v>0</v>
      </c>
      <c r="AC106" s="66">
        <v>0</v>
      </c>
      <c r="AD106" s="66">
        <v>0</v>
      </c>
      <c r="AE106" s="66">
        <v>0</v>
      </c>
      <c r="AF106" s="66">
        <v>0</v>
      </c>
      <c r="AG106" s="66">
        <v>0</v>
      </c>
      <c r="AH106" s="66">
        <v>10540</v>
      </c>
      <c r="AI106" s="66"/>
      <c r="AJ106" s="66"/>
      <c r="AK106" s="66"/>
    </row>
    <row r="107" spans="1:37">
      <c r="A107" s="11">
        <v>104</v>
      </c>
      <c r="B107" s="11" t="s">
        <v>183</v>
      </c>
      <c r="C107" s="11" t="s">
        <v>58</v>
      </c>
      <c r="D107" s="66"/>
      <c r="E107" s="66">
        <v>0</v>
      </c>
      <c r="F107" s="66">
        <v>0</v>
      </c>
      <c r="G107" s="66">
        <v>0</v>
      </c>
      <c r="H107" s="66">
        <v>0</v>
      </c>
      <c r="I107" s="66">
        <v>0</v>
      </c>
      <c r="J107" s="66">
        <v>0</v>
      </c>
      <c r="K107" s="66">
        <v>0</v>
      </c>
      <c r="L107" s="66">
        <v>0</v>
      </c>
      <c r="M107" s="66">
        <v>0</v>
      </c>
      <c r="N107" s="66">
        <v>0</v>
      </c>
      <c r="O107" s="66">
        <v>0</v>
      </c>
      <c r="P107" s="66">
        <v>0</v>
      </c>
      <c r="Q107" s="66">
        <v>0</v>
      </c>
      <c r="R107" s="66">
        <v>0</v>
      </c>
      <c r="S107" s="66">
        <v>0</v>
      </c>
      <c r="T107" s="66">
        <v>0</v>
      </c>
      <c r="U107" s="66">
        <v>0</v>
      </c>
      <c r="V107" s="66">
        <v>0</v>
      </c>
      <c r="W107" s="66">
        <v>0</v>
      </c>
      <c r="X107" s="66">
        <v>0</v>
      </c>
      <c r="Y107" s="66">
        <v>0</v>
      </c>
      <c r="Z107" s="66">
        <v>0</v>
      </c>
      <c r="AA107" s="66">
        <v>0</v>
      </c>
      <c r="AB107" s="66">
        <v>0</v>
      </c>
      <c r="AC107" s="66">
        <v>0</v>
      </c>
      <c r="AD107" s="66">
        <v>0</v>
      </c>
      <c r="AE107" s="66">
        <v>0</v>
      </c>
      <c r="AF107" s="66">
        <v>0</v>
      </c>
      <c r="AG107" s="66">
        <v>0</v>
      </c>
      <c r="AH107" s="66">
        <v>1283</v>
      </c>
      <c r="AI107" s="66"/>
      <c r="AJ107" s="66"/>
      <c r="AK107" s="66"/>
    </row>
    <row r="108" spans="1:37">
      <c r="A108" s="11">
        <v>105</v>
      </c>
      <c r="B108" s="11" t="s">
        <v>59</v>
      </c>
      <c r="C108" s="11" t="s">
        <v>11</v>
      </c>
      <c r="D108" s="66"/>
      <c r="E108" s="66">
        <v>0</v>
      </c>
      <c r="F108" s="66">
        <v>0</v>
      </c>
      <c r="G108" s="66">
        <v>0</v>
      </c>
      <c r="H108" s="66">
        <v>0</v>
      </c>
      <c r="I108" s="66">
        <v>0</v>
      </c>
      <c r="J108" s="66">
        <v>0</v>
      </c>
      <c r="K108" s="66">
        <v>0</v>
      </c>
      <c r="L108" s="66">
        <v>0</v>
      </c>
      <c r="M108" s="66">
        <v>89</v>
      </c>
      <c r="N108" s="66">
        <v>0</v>
      </c>
      <c r="O108" s="66">
        <v>4141</v>
      </c>
      <c r="P108" s="66">
        <v>0</v>
      </c>
      <c r="Q108" s="66">
        <v>0</v>
      </c>
      <c r="R108" s="66">
        <v>0</v>
      </c>
      <c r="S108" s="66">
        <v>0</v>
      </c>
      <c r="T108" s="66">
        <v>0</v>
      </c>
      <c r="U108" s="66">
        <v>0</v>
      </c>
      <c r="V108" s="66">
        <v>0</v>
      </c>
      <c r="W108" s="66">
        <v>0</v>
      </c>
      <c r="X108" s="66">
        <v>0</v>
      </c>
      <c r="Y108" s="66">
        <v>0</v>
      </c>
      <c r="Z108" s="66">
        <v>0</v>
      </c>
      <c r="AA108" s="66">
        <v>0</v>
      </c>
      <c r="AB108" s="66">
        <v>0</v>
      </c>
      <c r="AC108" s="66">
        <v>0</v>
      </c>
      <c r="AD108" s="66">
        <v>0</v>
      </c>
      <c r="AE108" s="66">
        <v>0</v>
      </c>
      <c r="AF108" s="66">
        <v>0</v>
      </c>
      <c r="AG108" s="66">
        <v>0</v>
      </c>
      <c r="AH108" s="66">
        <v>-737</v>
      </c>
      <c r="AI108" s="66"/>
      <c r="AJ108" s="66"/>
      <c r="AK108" s="66"/>
    </row>
    <row r="109" spans="1:37">
      <c r="A109" s="11">
        <v>106</v>
      </c>
      <c r="B109" s="11" t="s">
        <v>184</v>
      </c>
      <c r="C109" s="11" t="s">
        <v>11</v>
      </c>
      <c r="D109" s="66"/>
      <c r="E109" s="66">
        <v>0</v>
      </c>
      <c r="F109" s="66">
        <v>0</v>
      </c>
      <c r="G109" s="66">
        <v>0</v>
      </c>
      <c r="H109" s="66">
        <v>0</v>
      </c>
      <c r="I109" s="66">
        <v>0</v>
      </c>
      <c r="J109" s="66">
        <v>0</v>
      </c>
      <c r="K109" s="66">
        <v>0</v>
      </c>
      <c r="L109" s="66">
        <v>0</v>
      </c>
      <c r="M109" s="66">
        <v>0</v>
      </c>
      <c r="N109" s="66">
        <v>0</v>
      </c>
      <c r="O109" s="66">
        <v>0</v>
      </c>
      <c r="P109" s="66">
        <v>0</v>
      </c>
      <c r="Q109" s="66">
        <v>0</v>
      </c>
      <c r="R109" s="66">
        <v>0</v>
      </c>
      <c r="S109" s="66">
        <v>0</v>
      </c>
      <c r="T109" s="66">
        <v>0</v>
      </c>
      <c r="U109" s="66">
        <v>0</v>
      </c>
      <c r="V109" s="66">
        <v>0</v>
      </c>
      <c r="W109" s="66">
        <v>0</v>
      </c>
      <c r="X109" s="66">
        <v>0</v>
      </c>
      <c r="Y109" s="66">
        <v>0</v>
      </c>
      <c r="Z109" s="66">
        <v>0</v>
      </c>
      <c r="AA109" s="66">
        <v>0</v>
      </c>
      <c r="AB109" s="66">
        <v>0</v>
      </c>
      <c r="AC109" s="66">
        <v>0</v>
      </c>
      <c r="AD109" s="66">
        <v>0</v>
      </c>
      <c r="AE109" s="66">
        <v>0</v>
      </c>
      <c r="AF109" s="66">
        <v>0</v>
      </c>
      <c r="AG109" s="66">
        <v>0</v>
      </c>
      <c r="AH109" s="66">
        <v>-49</v>
      </c>
      <c r="AI109" s="66"/>
      <c r="AJ109" s="66"/>
      <c r="AK109" s="66"/>
    </row>
    <row r="110" spans="1:37">
      <c r="A110" s="11">
        <v>107</v>
      </c>
      <c r="B110" s="11" t="s">
        <v>185</v>
      </c>
      <c r="C110" s="11" t="s">
        <v>11</v>
      </c>
      <c r="D110" s="66"/>
      <c r="E110" s="66">
        <v>0</v>
      </c>
      <c r="F110" s="66">
        <v>0</v>
      </c>
      <c r="G110" s="66">
        <v>0</v>
      </c>
      <c r="H110" s="66">
        <v>0</v>
      </c>
      <c r="I110" s="66">
        <v>0</v>
      </c>
      <c r="J110" s="66">
        <v>0</v>
      </c>
      <c r="K110" s="66">
        <v>0</v>
      </c>
      <c r="L110" s="66">
        <v>0</v>
      </c>
      <c r="M110" s="66">
        <v>0</v>
      </c>
      <c r="N110" s="66">
        <v>0</v>
      </c>
      <c r="O110" s="66">
        <v>0</v>
      </c>
      <c r="P110" s="66">
        <v>0</v>
      </c>
      <c r="Q110" s="66">
        <v>0</v>
      </c>
      <c r="R110" s="66">
        <v>0</v>
      </c>
      <c r="S110" s="66">
        <v>0</v>
      </c>
      <c r="T110" s="66">
        <v>0</v>
      </c>
      <c r="U110" s="66">
        <v>0</v>
      </c>
      <c r="V110" s="66">
        <v>0</v>
      </c>
      <c r="W110" s="66">
        <v>0</v>
      </c>
      <c r="X110" s="66">
        <v>0</v>
      </c>
      <c r="Y110" s="66">
        <v>0</v>
      </c>
      <c r="Z110" s="66">
        <v>0</v>
      </c>
      <c r="AA110" s="66">
        <v>0</v>
      </c>
      <c r="AB110" s="66">
        <v>0</v>
      </c>
      <c r="AC110" s="66">
        <v>0</v>
      </c>
      <c r="AD110" s="66">
        <v>0</v>
      </c>
      <c r="AE110" s="66">
        <v>0</v>
      </c>
      <c r="AF110" s="66">
        <v>0</v>
      </c>
      <c r="AG110" s="66">
        <v>0</v>
      </c>
      <c r="AH110" s="66">
        <v>-108</v>
      </c>
      <c r="AI110" s="66"/>
      <c r="AJ110" s="66"/>
      <c r="AK110" s="66"/>
    </row>
    <row r="111" spans="1:37">
      <c r="A111" s="11">
        <v>108</v>
      </c>
      <c r="B111" s="11" t="s">
        <v>186</v>
      </c>
      <c r="C111" s="11" t="s">
        <v>11</v>
      </c>
      <c r="D111" s="66"/>
      <c r="E111" s="66">
        <v>0</v>
      </c>
      <c r="F111" s="66">
        <v>0</v>
      </c>
      <c r="G111" s="66">
        <v>0</v>
      </c>
      <c r="H111" s="66">
        <v>0</v>
      </c>
      <c r="I111" s="66">
        <v>0</v>
      </c>
      <c r="J111" s="66">
        <v>0</v>
      </c>
      <c r="K111" s="66">
        <v>0</v>
      </c>
      <c r="L111" s="66">
        <v>0</v>
      </c>
      <c r="M111" s="66">
        <v>0</v>
      </c>
      <c r="N111" s="66">
        <v>0</v>
      </c>
      <c r="O111" s="66">
        <v>0</v>
      </c>
      <c r="P111" s="66">
        <v>0</v>
      </c>
      <c r="Q111" s="66">
        <v>0</v>
      </c>
      <c r="R111" s="66">
        <v>0</v>
      </c>
      <c r="S111" s="66">
        <v>0</v>
      </c>
      <c r="T111" s="66">
        <v>0</v>
      </c>
      <c r="U111" s="66">
        <v>0</v>
      </c>
      <c r="V111" s="66">
        <v>0</v>
      </c>
      <c r="W111" s="66">
        <v>0</v>
      </c>
      <c r="X111" s="66">
        <v>0</v>
      </c>
      <c r="Y111" s="66">
        <v>0</v>
      </c>
      <c r="Z111" s="66">
        <v>0</v>
      </c>
      <c r="AA111" s="66">
        <v>0</v>
      </c>
      <c r="AB111" s="66">
        <v>0</v>
      </c>
      <c r="AC111" s="66">
        <v>0</v>
      </c>
      <c r="AD111" s="66">
        <v>0</v>
      </c>
      <c r="AE111" s="66">
        <v>0</v>
      </c>
      <c r="AF111" s="66">
        <v>0</v>
      </c>
      <c r="AG111" s="66">
        <v>0</v>
      </c>
      <c r="AH111" s="66">
        <v>0</v>
      </c>
      <c r="AI111" s="66"/>
      <c r="AJ111" s="66"/>
      <c r="AK111" s="66"/>
    </row>
    <row r="112" spans="1:37">
      <c r="A112" s="11">
        <v>109</v>
      </c>
      <c r="B112" s="11" t="s">
        <v>60</v>
      </c>
      <c r="C112" s="11" t="s">
        <v>61</v>
      </c>
      <c r="D112" s="66"/>
      <c r="E112" s="66">
        <v>0</v>
      </c>
      <c r="F112" s="66">
        <v>0</v>
      </c>
      <c r="G112" s="66">
        <v>0</v>
      </c>
      <c r="H112" s="66">
        <v>0</v>
      </c>
      <c r="I112" s="66">
        <v>0</v>
      </c>
      <c r="J112" s="66">
        <v>0</v>
      </c>
      <c r="K112" s="66">
        <v>0</v>
      </c>
      <c r="L112" s="66">
        <v>0</v>
      </c>
      <c r="M112" s="66">
        <v>0</v>
      </c>
      <c r="N112" s="66">
        <v>0</v>
      </c>
      <c r="O112" s="66">
        <v>0</v>
      </c>
      <c r="P112" s="66">
        <v>0</v>
      </c>
      <c r="Q112" s="66">
        <v>0</v>
      </c>
      <c r="R112" s="66">
        <v>0</v>
      </c>
      <c r="S112" s="66">
        <v>0</v>
      </c>
      <c r="T112" s="66">
        <v>0</v>
      </c>
      <c r="U112" s="66">
        <v>0</v>
      </c>
      <c r="V112" s="66">
        <v>0</v>
      </c>
      <c r="W112" s="66">
        <v>0</v>
      </c>
      <c r="X112" s="66">
        <v>0</v>
      </c>
      <c r="Y112" s="66">
        <v>0</v>
      </c>
      <c r="Z112" s="66">
        <v>0</v>
      </c>
      <c r="AA112" s="66">
        <v>0</v>
      </c>
      <c r="AB112" s="66">
        <v>0</v>
      </c>
      <c r="AC112" s="66">
        <v>0</v>
      </c>
      <c r="AD112" s="66">
        <v>0</v>
      </c>
      <c r="AE112" s="66">
        <v>0</v>
      </c>
      <c r="AF112" s="66">
        <v>0</v>
      </c>
      <c r="AG112" s="66">
        <v>0</v>
      </c>
      <c r="AH112" s="66">
        <v>0</v>
      </c>
      <c r="AI112" s="66"/>
      <c r="AJ112" s="66"/>
      <c r="AK112" s="66"/>
    </row>
    <row r="113" spans="1:37">
      <c r="A113" s="11">
        <v>110</v>
      </c>
      <c r="B113" s="11" t="s">
        <v>187</v>
      </c>
      <c r="C113" s="11" t="s">
        <v>61</v>
      </c>
      <c r="D113" s="66"/>
      <c r="E113" s="66">
        <v>0</v>
      </c>
      <c r="F113" s="66">
        <v>0</v>
      </c>
      <c r="G113" s="66">
        <v>0</v>
      </c>
      <c r="H113" s="66">
        <v>0</v>
      </c>
      <c r="I113" s="66">
        <v>0</v>
      </c>
      <c r="J113" s="66">
        <v>0</v>
      </c>
      <c r="K113" s="66">
        <v>0</v>
      </c>
      <c r="L113" s="66">
        <v>0</v>
      </c>
      <c r="M113" s="66">
        <v>0</v>
      </c>
      <c r="N113" s="66">
        <v>0</v>
      </c>
      <c r="O113" s="66">
        <v>0</v>
      </c>
      <c r="P113" s="66">
        <v>0</v>
      </c>
      <c r="Q113" s="66">
        <v>0</v>
      </c>
      <c r="R113" s="66">
        <v>0</v>
      </c>
      <c r="S113" s="66">
        <v>0</v>
      </c>
      <c r="T113" s="66">
        <v>0</v>
      </c>
      <c r="U113" s="66">
        <v>0</v>
      </c>
      <c r="V113" s="66">
        <v>0</v>
      </c>
      <c r="W113" s="66">
        <v>0</v>
      </c>
      <c r="X113" s="66">
        <v>0</v>
      </c>
      <c r="Y113" s="66">
        <v>0</v>
      </c>
      <c r="Z113" s="66">
        <v>0</v>
      </c>
      <c r="AA113" s="66">
        <v>0</v>
      </c>
      <c r="AB113" s="66">
        <v>0</v>
      </c>
      <c r="AC113" s="66">
        <v>0</v>
      </c>
      <c r="AD113" s="66">
        <v>0</v>
      </c>
      <c r="AE113" s="66">
        <v>0</v>
      </c>
      <c r="AF113" s="66">
        <v>0</v>
      </c>
      <c r="AG113" s="66">
        <v>0</v>
      </c>
      <c r="AH113" s="66">
        <v>0</v>
      </c>
      <c r="AI113" s="66"/>
      <c r="AJ113" s="66"/>
      <c r="AK113" s="66"/>
    </row>
    <row r="114" spans="1:37">
      <c r="A114" s="11">
        <v>111</v>
      </c>
      <c r="B114" s="11" t="s">
        <v>188</v>
      </c>
      <c r="C114" s="11" t="s">
        <v>61</v>
      </c>
      <c r="D114" s="66"/>
      <c r="E114" s="66">
        <v>0</v>
      </c>
      <c r="F114" s="66">
        <v>0</v>
      </c>
      <c r="G114" s="66">
        <v>0</v>
      </c>
      <c r="H114" s="66">
        <v>0</v>
      </c>
      <c r="I114" s="66">
        <v>0</v>
      </c>
      <c r="J114" s="66">
        <v>0</v>
      </c>
      <c r="K114" s="66">
        <v>0</v>
      </c>
      <c r="L114" s="66">
        <v>0</v>
      </c>
      <c r="M114" s="66">
        <v>0</v>
      </c>
      <c r="N114" s="66">
        <v>0</v>
      </c>
      <c r="O114" s="66">
        <v>0</v>
      </c>
      <c r="P114" s="66">
        <v>0</v>
      </c>
      <c r="Q114" s="66">
        <v>0</v>
      </c>
      <c r="R114" s="66">
        <v>0</v>
      </c>
      <c r="S114" s="66">
        <v>0</v>
      </c>
      <c r="T114" s="66">
        <v>0</v>
      </c>
      <c r="U114" s="66">
        <v>0</v>
      </c>
      <c r="V114" s="66">
        <v>0</v>
      </c>
      <c r="W114" s="66">
        <v>0</v>
      </c>
      <c r="X114" s="66">
        <v>0</v>
      </c>
      <c r="Y114" s="66">
        <v>0</v>
      </c>
      <c r="Z114" s="66">
        <v>0</v>
      </c>
      <c r="AA114" s="66">
        <v>0</v>
      </c>
      <c r="AB114" s="66">
        <v>0</v>
      </c>
      <c r="AC114" s="66">
        <v>0</v>
      </c>
      <c r="AD114" s="66">
        <v>0</v>
      </c>
      <c r="AE114" s="66">
        <v>0</v>
      </c>
      <c r="AF114" s="66">
        <v>0</v>
      </c>
      <c r="AG114" s="66">
        <v>0</v>
      </c>
      <c r="AH114" s="66">
        <v>0</v>
      </c>
      <c r="AI114" s="66"/>
      <c r="AJ114" s="66"/>
      <c r="AK114" s="66"/>
    </row>
    <row r="115" spans="1:37">
      <c r="A115" s="11">
        <v>112</v>
      </c>
      <c r="B115" s="11" t="s">
        <v>189</v>
      </c>
      <c r="C115" s="11" t="s">
        <v>61</v>
      </c>
      <c r="D115" s="66"/>
      <c r="E115" s="66">
        <v>0</v>
      </c>
      <c r="F115" s="66">
        <v>0</v>
      </c>
      <c r="G115" s="66">
        <v>0</v>
      </c>
      <c r="H115" s="66">
        <v>0</v>
      </c>
      <c r="I115" s="66">
        <v>0</v>
      </c>
      <c r="J115" s="66">
        <v>0</v>
      </c>
      <c r="K115" s="66">
        <v>0</v>
      </c>
      <c r="L115" s="66">
        <v>0</v>
      </c>
      <c r="M115" s="66">
        <v>0</v>
      </c>
      <c r="N115" s="66">
        <v>0</v>
      </c>
      <c r="O115" s="66">
        <v>0</v>
      </c>
      <c r="P115" s="66">
        <v>0</v>
      </c>
      <c r="Q115" s="66">
        <v>0</v>
      </c>
      <c r="R115" s="66">
        <v>0</v>
      </c>
      <c r="S115" s="66">
        <v>0</v>
      </c>
      <c r="T115" s="66">
        <v>0</v>
      </c>
      <c r="U115" s="66">
        <v>0</v>
      </c>
      <c r="V115" s="66">
        <v>0</v>
      </c>
      <c r="W115" s="66">
        <v>0</v>
      </c>
      <c r="X115" s="66">
        <v>0</v>
      </c>
      <c r="Y115" s="66">
        <v>0</v>
      </c>
      <c r="Z115" s="66">
        <v>0</v>
      </c>
      <c r="AA115" s="66">
        <v>0</v>
      </c>
      <c r="AB115" s="66">
        <v>0</v>
      </c>
      <c r="AC115" s="66">
        <v>0</v>
      </c>
      <c r="AD115" s="66">
        <v>0</v>
      </c>
      <c r="AE115" s="66">
        <v>0</v>
      </c>
      <c r="AF115" s="66">
        <v>0</v>
      </c>
      <c r="AG115" s="66">
        <v>0</v>
      </c>
      <c r="AH115" s="66">
        <v>0</v>
      </c>
      <c r="AI115" s="66"/>
      <c r="AJ115" s="66"/>
      <c r="AK115" s="66"/>
    </row>
    <row r="116" spans="1:37">
      <c r="A116" s="11">
        <v>113</v>
      </c>
      <c r="B116" s="11" t="s">
        <v>62</v>
      </c>
      <c r="C116" s="11" t="s">
        <v>63</v>
      </c>
      <c r="D116" s="66"/>
      <c r="E116" s="66">
        <v>0</v>
      </c>
      <c r="F116" s="66">
        <v>0</v>
      </c>
      <c r="G116" s="66">
        <v>0</v>
      </c>
      <c r="H116" s="66">
        <v>0</v>
      </c>
      <c r="I116" s="66">
        <v>0</v>
      </c>
      <c r="J116" s="66">
        <v>0</v>
      </c>
      <c r="K116" s="66">
        <v>0</v>
      </c>
      <c r="L116" s="66">
        <v>0</v>
      </c>
      <c r="M116" s="66">
        <v>0</v>
      </c>
      <c r="N116" s="66">
        <v>0</v>
      </c>
      <c r="O116" s="66">
        <v>627</v>
      </c>
      <c r="P116" s="66">
        <v>0</v>
      </c>
      <c r="Q116" s="66">
        <v>0</v>
      </c>
      <c r="R116" s="66">
        <v>0</v>
      </c>
      <c r="S116" s="66">
        <v>0</v>
      </c>
      <c r="T116" s="66">
        <v>0</v>
      </c>
      <c r="U116" s="66">
        <v>0</v>
      </c>
      <c r="V116" s="66">
        <v>0</v>
      </c>
      <c r="W116" s="66">
        <v>0</v>
      </c>
      <c r="X116" s="66">
        <v>0</v>
      </c>
      <c r="Y116" s="66">
        <v>0</v>
      </c>
      <c r="Z116" s="66">
        <v>0</v>
      </c>
      <c r="AA116" s="66">
        <v>0</v>
      </c>
      <c r="AB116" s="66">
        <v>0</v>
      </c>
      <c r="AC116" s="66">
        <v>0</v>
      </c>
      <c r="AD116" s="66">
        <v>0</v>
      </c>
      <c r="AE116" s="66">
        <v>0</v>
      </c>
      <c r="AF116" s="66">
        <v>0</v>
      </c>
      <c r="AG116" s="66">
        <v>0</v>
      </c>
      <c r="AH116" s="66">
        <v>0</v>
      </c>
      <c r="AI116" s="66"/>
      <c r="AJ116" s="66"/>
      <c r="AK116" s="66"/>
    </row>
    <row r="117" spans="1:37">
      <c r="A117" s="11">
        <v>114</v>
      </c>
      <c r="B117" s="11" t="s">
        <v>190</v>
      </c>
      <c r="C117" s="11" t="s">
        <v>63</v>
      </c>
      <c r="D117" s="66"/>
      <c r="E117" s="66">
        <v>0</v>
      </c>
      <c r="F117" s="66">
        <v>0</v>
      </c>
      <c r="G117" s="66">
        <v>0</v>
      </c>
      <c r="H117" s="66">
        <v>0</v>
      </c>
      <c r="I117" s="66">
        <v>0</v>
      </c>
      <c r="J117" s="66">
        <v>0</v>
      </c>
      <c r="K117" s="66">
        <v>0</v>
      </c>
      <c r="L117" s="66">
        <v>0</v>
      </c>
      <c r="M117" s="66">
        <v>0</v>
      </c>
      <c r="N117" s="66">
        <v>0</v>
      </c>
      <c r="O117" s="66">
        <v>0</v>
      </c>
      <c r="P117" s="66">
        <v>0</v>
      </c>
      <c r="Q117" s="66">
        <v>0</v>
      </c>
      <c r="R117" s="66">
        <v>0</v>
      </c>
      <c r="S117" s="66">
        <v>0</v>
      </c>
      <c r="T117" s="66">
        <v>336</v>
      </c>
      <c r="U117" s="66">
        <v>0</v>
      </c>
      <c r="V117" s="66">
        <v>0</v>
      </c>
      <c r="W117" s="66">
        <v>0</v>
      </c>
      <c r="X117" s="66">
        <v>0</v>
      </c>
      <c r="Y117" s="66">
        <v>0</v>
      </c>
      <c r="Z117" s="66">
        <v>0</v>
      </c>
      <c r="AA117" s="66">
        <v>0</v>
      </c>
      <c r="AB117" s="66">
        <v>0</v>
      </c>
      <c r="AC117" s="66">
        <v>0</v>
      </c>
      <c r="AD117" s="66">
        <v>0</v>
      </c>
      <c r="AE117" s="66">
        <v>0</v>
      </c>
      <c r="AF117" s="66">
        <v>0</v>
      </c>
      <c r="AG117" s="66">
        <v>0</v>
      </c>
      <c r="AH117" s="66">
        <v>0</v>
      </c>
      <c r="AI117" s="66"/>
      <c r="AJ117" s="66"/>
      <c r="AK117" s="66"/>
    </row>
    <row r="118" spans="1:37">
      <c r="A118" s="11">
        <v>115</v>
      </c>
      <c r="B118" s="11" t="s">
        <v>191</v>
      </c>
      <c r="C118" s="11" t="s">
        <v>63</v>
      </c>
      <c r="D118" s="66"/>
      <c r="E118" s="66">
        <v>0</v>
      </c>
      <c r="F118" s="66">
        <v>0</v>
      </c>
      <c r="G118" s="66">
        <v>0</v>
      </c>
      <c r="H118" s="66">
        <v>0</v>
      </c>
      <c r="I118" s="66">
        <v>0</v>
      </c>
      <c r="J118" s="66">
        <v>0</v>
      </c>
      <c r="K118" s="66">
        <v>0</v>
      </c>
      <c r="L118" s="66">
        <v>0</v>
      </c>
      <c r="M118" s="66">
        <v>0</v>
      </c>
      <c r="N118" s="66">
        <v>0</v>
      </c>
      <c r="O118" s="66">
        <v>0</v>
      </c>
      <c r="P118" s="66">
        <v>0</v>
      </c>
      <c r="Q118" s="66">
        <v>0</v>
      </c>
      <c r="R118" s="66">
        <v>0</v>
      </c>
      <c r="S118" s="66">
        <v>0</v>
      </c>
      <c r="T118" s="66">
        <v>0</v>
      </c>
      <c r="U118" s="66">
        <v>0</v>
      </c>
      <c r="V118" s="66">
        <v>0</v>
      </c>
      <c r="W118" s="66">
        <v>0</v>
      </c>
      <c r="X118" s="66">
        <v>0</v>
      </c>
      <c r="Y118" s="66">
        <v>0</v>
      </c>
      <c r="Z118" s="66">
        <v>0</v>
      </c>
      <c r="AA118" s="66">
        <v>0</v>
      </c>
      <c r="AB118" s="66">
        <v>0</v>
      </c>
      <c r="AC118" s="66">
        <v>0</v>
      </c>
      <c r="AD118" s="66">
        <v>0</v>
      </c>
      <c r="AE118" s="66">
        <v>0</v>
      </c>
      <c r="AF118" s="66">
        <v>0</v>
      </c>
      <c r="AG118" s="66">
        <v>0</v>
      </c>
      <c r="AH118" s="66">
        <v>0</v>
      </c>
      <c r="AI118" s="66"/>
      <c r="AJ118" s="66"/>
      <c r="AK118" s="66"/>
    </row>
    <row r="119" spans="1:37">
      <c r="A119" s="11">
        <v>116</v>
      </c>
      <c r="B119" s="11" t="s">
        <v>192</v>
      </c>
      <c r="C119" s="11" t="s">
        <v>63</v>
      </c>
      <c r="D119" s="66"/>
      <c r="E119" s="66">
        <v>0</v>
      </c>
      <c r="F119" s="66">
        <v>0</v>
      </c>
      <c r="G119" s="66">
        <v>0</v>
      </c>
      <c r="H119" s="66">
        <v>0</v>
      </c>
      <c r="I119" s="66">
        <v>0</v>
      </c>
      <c r="J119" s="66">
        <v>0</v>
      </c>
      <c r="K119" s="66">
        <v>0</v>
      </c>
      <c r="L119" s="66">
        <v>0</v>
      </c>
      <c r="M119" s="66">
        <v>0</v>
      </c>
      <c r="N119" s="66">
        <v>0</v>
      </c>
      <c r="O119" s="66">
        <v>0</v>
      </c>
      <c r="P119" s="66">
        <v>0</v>
      </c>
      <c r="Q119" s="66">
        <v>0</v>
      </c>
      <c r="R119" s="66">
        <v>0</v>
      </c>
      <c r="S119" s="66">
        <v>0</v>
      </c>
      <c r="T119" s="66">
        <v>0</v>
      </c>
      <c r="U119" s="66">
        <v>0</v>
      </c>
      <c r="V119" s="66">
        <v>0</v>
      </c>
      <c r="W119" s="66">
        <v>0</v>
      </c>
      <c r="X119" s="66">
        <v>0</v>
      </c>
      <c r="Y119" s="66">
        <v>0</v>
      </c>
      <c r="Z119" s="66">
        <v>0</v>
      </c>
      <c r="AA119" s="66">
        <v>0</v>
      </c>
      <c r="AB119" s="66">
        <v>0</v>
      </c>
      <c r="AC119" s="66">
        <v>0</v>
      </c>
      <c r="AD119" s="66">
        <v>0</v>
      </c>
      <c r="AE119" s="66">
        <v>0</v>
      </c>
      <c r="AF119" s="66">
        <v>0</v>
      </c>
      <c r="AG119" s="66">
        <v>0</v>
      </c>
      <c r="AH119" s="66">
        <v>0</v>
      </c>
      <c r="AI119" s="66"/>
      <c r="AJ119" s="66"/>
      <c r="AK119" s="66"/>
    </row>
    <row r="120" spans="1:37">
      <c r="A120" s="11">
        <v>117</v>
      </c>
      <c r="B120" s="11" t="s">
        <v>64</v>
      </c>
      <c r="C120" s="11" t="s">
        <v>65</v>
      </c>
      <c r="D120" s="66"/>
      <c r="E120" s="66">
        <v>0</v>
      </c>
      <c r="F120" s="66">
        <v>0</v>
      </c>
      <c r="G120" s="66">
        <v>0</v>
      </c>
      <c r="H120" s="66">
        <v>0</v>
      </c>
      <c r="I120" s="66">
        <v>0</v>
      </c>
      <c r="J120" s="66">
        <v>0</v>
      </c>
      <c r="K120" s="66">
        <v>0</v>
      </c>
      <c r="L120" s="66">
        <v>0</v>
      </c>
      <c r="M120" s="66">
        <v>0</v>
      </c>
      <c r="N120" s="66">
        <v>0</v>
      </c>
      <c r="O120" s="66">
        <v>0</v>
      </c>
      <c r="P120" s="66">
        <v>0</v>
      </c>
      <c r="Q120" s="66">
        <v>0</v>
      </c>
      <c r="R120" s="66">
        <v>0</v>
      </c>
      <c r="S120" s="66">
        <v>0</v>
      </c>
      <c r="T120" s="66">
        <v>0</v>
      </c>
      <c r="U120" s="66">
        <v>0</v>
      </c>
      <c r="V120" s="66">
        <v>0</v>
      </c>
      <c r="W120" s="66">
        <v>0</v>
      </c>
      <c r="X120" s="66">
        <v>0</v>
      </c>
      <c r="Y120" s="66">
        <v>0</v>
      </c>
      <c r="Z120" s="66">
        <v>0</v>
      </c>
      <c r="AA120" s="66">
        <v>0</v>
      </c>
      <c r="AB120" s="66">
        <v>0</v>
      </c>
      <c r="AC120" s="66">
        <v>0</v>
      </c>
      <c r="AD120" s="66">
        <v>0</v>
      </c>
      <c r="AE120" s="66">
        <v>0</v>
      </c>
      <c r="AF120" s="66">
        <v>0</v>
      </c>
      <c r="AG120" s="66">
        <v>0</v>
      </c>
      <c r="AH120" s="66">
        <v>0</v>
      </c>
      <c r="AI120" s="66"/>
      <c r="AJ120" s="66"/>
      <c r="AK120" s="66"/>
    </row>
    <row r="121" spans="1:37">
      <c r="A121" s="11">
        <v>118</v>
      </c>
      <c r="B121" s="11" t="s">
        <v>193</v>
      </c>
      <c r="C121" s="11" t="s">
        <v>65</v>
      </c>
      <c r="D121" s="66"/>
      <c r="E121" s="66">
        <v>0</v>
      </c>
      <c r="F121" s="66">
        <v>0</v>
      </c>
      <c r="G121" s="66">
        <v>0</v>
      </c>
      <c r="H121" s="66">
        <v>0</v>
      </c>
      <c r="I121" s="66">
        <v>0</v>
      </c>
      <c r="J121" s="66">
        <v>0</v>
      </c>
      <c r="K121" s="66">
        <v>0</v>
      </c>
      <c r="L121" s="66">
        <v>0</v>
      </c>
      <c r="M121" s="66">
        <v>0</v>
      </c>
      <c r="N121" s="66">
        <v>0</v>
      </c>
      <c r="O121" s="66">
        <v>0</v>
      </c>
      <c r="P121" s="66">
        <v>0</v>
      </c>
      <c r="Q121" s="66">
        <v>0</v>
      </c>
      <c r="R121" s="66">
        <v>0</v>
      </c>
      <c r="S121" s="66">
        <v>0</v>
      </c>
      <c r="T121" s="66">
        <v>0</v>
      </c>
      <c r="U121" s="66">
        <v>0</v>
      </c>
      <c r="V121" s="66">
        <v>0</v>
      </c>
      <c r="W121" s="66">
        <v>0</v>
      </c>
      <c r="X121" s="66">
        <v>0</v>
      </c>
      <c r="Y121" s="66">
        <v>0</v>
      </c>
      <c r="Z121" s="66">
        <v>0</v>
      </c>
      <c r="AA121" s="66">
        <v>0</v>
      </c>
      <c r="AB121" s="66">
        <v>0</v>
      </c>
      <c r="AC121" s="66">
        <v>0</v>
      </c>
      <c r="AD121" s="66">
        <v>0</v>
      </c>
      <c r="AE121" s="66">
        <v>0</v>
      </c>
      <c r="AF121" s="66">
        <v>0</v>
      </c>
      <c r="AG121" s="66">
        <v>0</v>
      </c>
      <c r="AH121" s="66">
        <v>0</v>
      </c>
      <c r="AI121" s="66"/>
      <c r="AJ121" s="66"/>
      <c r="AK121" s="66"/>
    </row>
    <row r="122" spans="1:37">
      <c r="A122" s="11">
        <v>119</v>
      </c>
      <c r="B122" s="11" t="s">
        <v>194</v>
      </c>
      <c r="C122" s="11" t="s">
        <v>65</v>
      </c>
      <c r="D122" s="66"/>
      <c r="E122" s="66">
        <v>0</v>
      </c>
      <c r="F122" s="66">
        <v>0</v>
      </c>
      <c r="G122" s="66">
        <v>0</v>
      </c>
      <c r="H122" s="66">
        <v>0</v>
      </c>
      <c r="I122" s="66">
        <v>0</v>
      </c>
      <c r="J122" s="66">
        <v>0</v>
      </c>
      <c r="K122" s="66">
        <v>0</v>
      </c>
      <c r="L122" s="66">
        <v>0</v>
      </c>
      <c r="M122" s="66">
        <v>0</v>
      </c>
      <c r="N122" s="66">
        <v>0</v>
      </c>
      <c r="O122" s="66">
        <v>0</v>
      </c>
      <c r="P122" s="66">
        <v>0</v>
      </c>
      <c r="Q122" s="66">
        <v>0</v>
      </c>
      <c r="R122" s="66">
        <v>0</v>
      </c>
      <c r="S122" s="66">
        <v>0</v>
      </c>
      <c r="T122" s="66">
        <v>0</v>
      </c>
      <c r="U122" s="66">
        <v>0</v>
      </c>
      <c r="V122" s="66">
        <v>0</v>
      </c>
      <c r="W122" s="66">
        <v>0</v>
      </c>
      <c r="X122" s="66">
        <v>0</v>
      </c>
      <c r="Y122" s="66">
        <v>0</v>
      </c>
      <c r="Z122" s="66">
        <v>0</v>
      </c>
      <c r="AA122" s="66">
        <v>0</v>
      </c>
      <c r="AB122" s="66">
        <v>0</v>
      </c>
      <c r="AC122" s="66">
        <v>0</v>
      </c>
      <c r="AD122" s="66">
        <v>0</v>
      </c>
      <c r="AE122" s="66">
        <v>0</v>
      </c>
      <c r="AF122" s="66">
        <v>0</v>
      </c>
      <c r="AG122" s="66">
        <v>0</v>
      </c>
      <c r="AH122" s="66">
        <v>0</v>
      </c>
      <c r="AI122" s="66"/>
      <c r="AJ122" s="66"/>
      <c r="AK122" s="66"/>
    </row>
    <row r="123" spans="1:37">
      <c r="A123" s="11">
        <v>120</v>
      </c>
      <c r="B123" s="11" t="s">
        <v>195</v>
      </c>
      <c r="C123" s="11" t="s">
        <v>65</v>
      </c>
      <c r="D123" s="66"/>
      <c r="E123" s="66">
        <v>0</v>
      </c>
      <c r="F123" s="66">
        <v>0</v>
      </c>
      <c r="G123" s="66">
        <v>0</v>
      </c>
      <c r="H123" s="66">
        <v>0</v>
      </c>
      <c r="I123" s="66">
        <v>0</v>
      </c>
      <c r="J123" s="66">
        <v>0</v>
      </c>
      <c r="K123" s="66">
        <v>0</v>
      </c>
      <c r="L123" s="66">
        <v>0</v>
      </c>
      <c r="M123" s="66">
        <v>0</v>
      </c>
      <c r="N123" s="66">
        <v>0</v>
      </c>
      <c r="O123" s="66">
        <v>0</v>
      </c>
      <c r="P123" s="66">
        <v>0</v>
      </c>
      <c r="Q123" s="66">
        <v>0</v>
      </c>
      <c r="R123" s="66">
        <v>0</v>
      </c>
      <c r="S123" s="66">
        <v>0</v>
      </c>
      <c r="T123" s="66">
        <v>0</v>
      </c>
      <c r="U123" s="66">
        <v>0</v>
      </c>
      <c r="V123" s="66">
        <v>0</v>
      </c>
      <c r="W123" s="66">
        <v>0</v>
      </c>
      <c r="X123" s="66">
        <v>0</v>
      </c>
      <c r="Y123" s="66">
        <v>0</v>
      </c>
      <c r="Z123" s="66">
        <v>0</v>
      </c>
      <c r="AA123" s="66">
        <v>0</v>
      </c>
      <c r="AB123" s="66">
        <v>0</v>
      </c>
      <c r="AC123" s="66">
        <v>0</v>
      </c>
      <c r="AD123" s="66">
        <v>0</v>
      </c>
      <c r="AE123" s="66">
        <v>0</v>
      </c>
      <c r="AF123" s="66">
        <v>0</v>
      </c>
      <c r="AG123" s="66">
        <v>0</v>
      </c>
      <c r="AH123" s="66">
        <v>0</v>
      </c>
      <c r="AI123" s="66"/>
      <c r="AJ123" s="66"/>
      <c r="AK123" s="66"/>
    </row>
    <row r="124" spans="1:37">
      <c r="A124" s="11">
        <v>121</v>
      </c>
      <c r="B124" s="11" t="s">
        <v>66</v>
      </c>
      <c r="C124" s="11" t="s">
        <v>67</v>
      </c>
      <c r="D124" s="66"/>
      <c r="E124" s="66">
        <v>0</v>
      </c>
      <c r="F124" s="66">
        <v>0</v>
      </c>
      <c r="G124" s="66">
        <v>0</v>
      </c>
      <c r="H124" s="66">
        <v>0</v>
      </c>
      <c r="I124" s="66">
        <v>0</v>
      </c>
      <c r="J124" s="66">
        <v>0</v>
      </c>
      <c r="K124" s="66">
        <v>0</v>
      </c>
      <c r="L124" s="66">
        <v>0</v>
      </c>
      <c r="M124" s="66">
        <v>0</v>
      </c>
      <c r="N124" s="66">
        <v>0</v>
      </c>
      <c r="O124" s="66">
        <v>0</v>
      </c>
      <c r="P124" s="66">
        <v>0</v>
      </c>
      <c r="Q124" s="66">
        <v>0</v>
      </c>
      <c r="R124" s="66">
        <v>0</v>
      </c>
      <c r="S124" s="66">
        <v>0</v>
      </c>
      <c r="T124" s="66">
        <v>0</v>
      </c>
      <c r="U124" s="66">
        <v>0</v>
      </c>
      <c r="V124" s="66">
        <v>0</v>
      </c>
      <c r="W124" s="66">
        <v>0</v>
      </c>
      <c r="X124" s="66">
        <v>0</v>
      </c>
      <c r="Y124" s="66">
        <v>0</v>
      </c>
      <c r="Z124" s="66">
        <v>0</v>
      </c>
      <c r="AA124" s="66">
        <v>0</v>
      </c>
      <c r="AB124" s="66">
        <v>0</v>
      </c>
      <c r="AC124" s="66">
        <v>0</v>
      </c>
      <c r="AD124" s="66">
        <v>0</v>
      </c>
      <c r="AE124" s="66">
        <v>0</v>
      </c>
      <c r="AF124" s="66">
        <v>0</v>
      </c>
      <c r="AG124" s="66">
        <v>0</v>
      </c>
      <c r="AH124" s="66">
        <v>0</v>
      </c>
      <c r="AI124" s="66"/>
      <c r="AJ124" s="66"/>
      <c r="AK124" s="66"/>
    </row>
    <row r="125" spans="1:37">
      <c r="A125" s="11">
        <v>122</v>
      </c>
      <c r="B125" s="11" t="s">
        <v>196</v>
      </c>
      <c r="C125" s="11" t="s">
        <v>67</v>
      </c>
      <c r="D125" s="66"/>
      <c r="E125" s="66">
        <v>0</v>
      </c>
      <c r="F125" s="66">
        <v>0</v>
      </c>
      <c r="G125" s="66">
        <v>0</v>
      </c>
      <c r="H125" s="66">
        <v>67</v>
      </c>
      <c r="I125" s="66">
        <v>0</v>
      </c>
      <c r="J125" s="66">
        <v>0</v>
      </c>
      <c r="K125" s="66">
        <v>0</v>
      </c>
      <c r="L125" s="66">
        <v>0</v>
      </c>
      <c r="M125" s="66">
        <v>0</v>
      </c>
      <c r="N125" s="66">
        <v>0</v>
      </c>
      <c r="O125" s="66">
        <v>0</v>
      </c>
      <c r="P125" s="66">
        <v>0</v>
      </c>
      <c r="Q125" s="66">
        <v>0</v>
      </c>
      <c r="R125" s="66">
        <v>0</v>
      </c>
      <c r="S125" s="66">
        <v>0</v>
      </c>
      <c r="T125" s="66">
        <v>0</v>
      </c>
      <c r="U125" s="66">
        <v>0</v>
      </c>
      <c r="V125" s="66">
        <v>0</v>
      </c>
      <c r="W125" s="66">
        <v>0</v>
      </c>
      <c r="X125" s="66">
        <v>0</v>
      </c>
      <c r="Y125" s="66">
        <v>0</v>
      </c>
      <c r="Z125" s="66">
        <v>0</v>
      </c>
      <c r="AA125" s="66">
        <v>0</v>
      </c>
      <c r="AB125" s="66">
        <v>0</v>
      </c>
      <c r="AC125" s="66">
        <v>0</v>
      </c>
      <c r="AD125" s="66">
        <v>0</v>
      </c>
      <c r="AE125" s="66">
        <v>0</v>
      </c>
      <c r="AF125" s="66">
        <v>0</v>
      </c>
      <c r="AG125" s="66">
        <v>0</v>
      </c>
      <c r="AH125" s="66">
        <v>0</v>
      </c>
      <c r="AI125" s="66"/>
      <c r="AJ125" s="66"/>
      <c r="AK125" s="66"/>
    </row>
    <row r="126" spans="1:37">
      <c r="A126" s="11">
        <v>123</v>
      </c>
      <c r="B126" s="11" t="s">
        <v>197</v>
      </c>
      <c r="C126" s="11" t="s">
        <v>67</v>
      </c>
      <c r="D126" s="66"/>
      <c r="E126" s="66">
        <v>0</v>
      </c>
      <c r="F126" s="66">
        <v>0</v>
      </c>
      <c r="G126" s="66">
        <v>0</v>
      </c>
      <c r="H126" s="66">
        <v>0</v>
      </c>
      <c r="I126" s="66">
        <v>0</v>
      </c>
      <c r="J126" s="66">
        <v>0</v>
      </c>
      <c r="K126" s="66">
        <v>0</v>
      </c>
      <c r="L126" s="66">
        <v>0</v>
      </c>
      <c r="M126" s="66">
        <v>0</v>
      </c>
      <c r="N126" s="66">
        <v>0</v>
      </c>
      <c r="O126" s="66">
        <v>0</v>
      </c>
      <c r="P126" s="66">
        <v>0</v>
      </c>
      <c r="Q126" s="66">
        <v>0</v>
      </c>
      <c r="R126" s="66">
        <v>0</v>
      </c>
      <c r="S126" s="66">
        <v>0</v>
      </c>
      <c r="T126" s="66">
        <v>0</v>
      </c>
      <c r="U126" s="66">
        <v>0</v>
      </c>
      <c r="V126" s="66">
        <v>0</v>
      </c>
      <c r="W126" s="66">
        <v>0</v>
      </c>
      <c r="X126" s="66">
        <v>0</v>
      </c>
      <c r="Y126" s="66">
        <v>0</v>
      </c>
      <c r="Z126" s="66">
        <v>0</v>
      </c>
      <c r="AA126" s="66">
        <v>0</v>
      </c>
      <c r="AB126" s="66">
        <v>0</v>
      </c>
      <c r="AC126" s="66">
        <v>0</v>
      </c>
      <c r="AD126" s="66">
        <v>0</v>
      </c>
      <c r="AE126" s="66">
        <v>0</v>
      </c>
      <c r="AF126" s="66">
        <v>0</v>
      </c>
      <c r="AG126" s="66">
        <v>0</v>
      </c>
      <c r="AH126" s="66">
        <v>0</v>
      </c>
      <c r="AI126" s="66"/>
      <c r="AJ126" s="66"/>
      <c r="AK126" s="66"/>
    </row>
    <row r="127" spans="1:37">
      <c r="A127" s="11">
        <v>124</v>
      </c>
      <c r="B127" s="11" t="s">
        <v>198</v>
      </c>
      <c r="C127" s="11" t="s">
        <v>67</v>
      </c>
      <c r="D127" s="66"/>
      <c r="E127" s="66">
        <v>0</v>
      </c>
      <c r="F127" s="66">
        <v>0</v>
      </c>
      <c r="G127" s="66">
        <v>0</v>
      </c>
      <c r="H127" s="66">
        <v>0</v>
      </c>
      <c r="I127" s="66">
        <v>0</v>
      </c>
      <c r="J127" s="66">
        <v>0</v>
      </c>
      <c r="K127" s="66">
        <v>0</v>
      </c>
      <c r="L127" s="66">
        <v>0</v>
      </c>
      <c r="M127" s="66">
        <v>0</v>
      </c>
      <c r="N127" s="66">
        <v>0</v>
      </c>
      <c r="O127" s="66">
        <v>0</v>
      </c>
      <c r="P127" s="66">
        <v>0</v>
      </c>
      <c r="Q127" s="66">
        <v>0</v>
      </c>
      <c r="R127" s="66">
        <v>0</v>
      </c>
      <c r="S127" s="66">
        <v>0</v>
      </c>
      <c r="T127" s="66">
        <v>0</v>
      </c>
      <c r="U127" s="66">
        <v>0</v>
      </c>
      <c r="V127" s="66">
        <v>0</v>
      </c>
      <c r="W127" s="66">
        <v>0</v>
      </c>
      <c r="X127" s="66">
        <v>0</v>
      </c>
      <c r="Y127" s="66">
        <v>0</v>
      </c>
      <c r="Z127" s="66">
        <v>0</v>
      </c>
      <c r="AA127" s="66">
        <v>0</v>
      </c>
      <c r="AB127" s="66">
        <v>0</v>
      </c>
      <c r="AC127" s="66">
        <v>0</v>
      </c>
      <c r="AD127" s="66">
        <v>0</v>
      </c>
      <c r="AE127" s="66">
        <v>0</v>
      </c>
      <c r="AF127" s="66">
        <v>0</v>
      </c>
      <c r="AG127" s="66">
        <v>0</v>
      </c>
      <c r="AH127" s="66">
        <v>0</v>
      </c>
      <c r="AI127" s="66"/>
      <c r="AJ127" s="66"/>
      <c r="AK127" s="66"/>
    </row>
    <row r="128" spans="1:37">
      <c r="A128" s="11">
        <v>125</v>
      </c>
      <c r="B128" s="11" t="s">
        <v>68</v>
      </c>
      <c r="C128" s="11" t="s">
        <v>7</v>
      </c>
      <c r="D128" s="66"/>
      <c r="E128" s="66">
        <v>0</v>
      </c>
      <c r="F128" s="66">
        <v>626</v>
      </c>
      <c r="G128" s="66">
        <v>0</v>
      </c>
      <c r="H128" s="66">
        <v>0</v>
      </c>
      <c r="I128" s="66">
        <v>0</v>
      </c>
      <c r="J128" s="66">
        <v>0</v>
      </c>
      <c r="K128" s="66">
        <v>0</v>
      </c>
      <c r="L128" s="66">
        <v>0</v>
      </c>
      <c r="M128" s="66">
        <v>583</v>
      </c>
      <c r="N128" s="66">
        <v>0</v>
      </c>
      <c r="O128" s="66">
        <v>0</v>
      </c>
      <c r="P128" s="66">
        <v>0</v>
      </c>
      <c r="Q128" s="66">
        <v>0</v>
      </c>
      <c r="R128" s="66">
        <v>0</v>
      </c>
      <c r="S128" s="66">
        <v>0</v>
      </c>
      <c r="T128" s="66">
        <v>0</v>
      </c>
      <c r="U128" s="66">
        <v>0</v>
      </c>
      <c r="V128" s="66">
        <v>705</v>
      </c>
      <c r="W128" s="66">
        <v>0</v>
      </c>
      <c r="X128" s="66">
        <v>0</v>
      </c>
      <c r="Y128" s="66">
        <v>0</v>
      </c>
      <c r="Z128" s="66">
        <v>0</v>
      </c>
      <c r="AA128" s="66">
        <v>541</v>
      </c>
      <c r="AB128" s="66">
        <v>0</v>
      </c>
      <c r="AC128" s="66">
        <v>0</v>
      </c>
      <c r="AD128" s="66">
        <v>0</v>
      </c>
      <c r="AE128" s="66">
        <v>0</v>
      </c>
      <c r="AF128" s="66">
        <v>0</v>
      </c>
      <c r="AG128" s="66">
        <v>0</v>
      </c>
      <c r="AH128" s="66">
        <v>0</v>
      </c>
      <c r="AI128" s="66"/>
      <c r="AJ128" s="66"/>
      <c r="AK128" s="66"/>
    </row>
    <row r="129" spans="1:37">
      <c r="A129" s="11">
        <v>126</v>
      </c>
      <c r="B129" s="11" t="s">
        <v>199</v>
      </c>
      <c r="C129" s="11" t="s">
        <v>7</v>
      </c>
      <c r="D129" s="66"/>
      <c r="E129" s="66">
        <v>0</v>
      </c>
      <c r="F129" s="66">
        <v>0</v>
      </c>
      <c r="G129" s="66">
        <v>0</v>
      </c>
      <c r="H129" s="66">
        <v>0</v>
      </c>
      <c r="I129" s="66">
        <v>414</v>
      </c>
      <c r="J129" s="66">
        <v>0</v>
      </c>
      <c r="K129" s="66">
        <v>0</v>
      </c>
      <c r="L129" s="66">
        <v>0</v>
      </c>
      <c r="M129" s="66">
        <v>0</v>
      </c>
      <c r="N129" s="66">
        <v>0</v>
      </c>
      <c r="O129" s="66">
        <v>0</v>
      </c>
      <c r="P129" s="66">
        <v>386</v>
      </c>
      <c r="Q129" s="66">
        <v>0</v>
      </c>
      <c r="R129" s="66">
        <v>0</v>
      </c>
      <c r="S129" s="66">
        <v>0</v>
      </c>
      <c r="T129" s="66">
        <v>0</v>
      </c>
      <c r="U129" s="66">
        <v>0</v>
      </c>
      <c r="V129" s="66">
        <v>0</v>
      </c>
      <c r="W129" s="66">
        <v>0</v>
      </c>
      <c r="X129" s="66">
        <v>0</v>
      </c>
      <c r="Y129" s="66">
        <v>0</v>
      </c>
      <c r="Z129" s="66">
        <v>16</v>
      </c>
      <c r="AA129" s="66">
        <v>500</v>
      </c>
      <c r="AB129" s="66">
        <v>0</v>
      </c>
      <c r="AC129" s="66">
        <v>0</v>
      </c>
      <c r="AD129" s="66">
        <v>0</v>
      </c>
      <c r="AE129" s="66">
        <v>0</v>
      </c>
      <c r="AF129" s="66">
        <v>0</v>
      </c>
      <c r="AG129" s="66">
        <v>0</v>
      </c>
      <c r="AH129" s="66">
        <v>0</v>
      </c>
      <c r="AI129" s="66"/>
      <c r="AJ129" s="66"/>
      <c r="AK129" s="66"/>
    </row>
    <row r="130" spans="1:37">
      <c r="A130" s="11">
        <v>127</v>
      </c>
      <c r="B130" s="11" t="s">
        <v>200</v>
      </c>
      <c r="C130" s="11" t="s">
        <v>7</v>
      </c>
      <c r="D130" s="66"/>
      <c r="E130" s="66">
        <v>0</v>
      </c>
      <c r="F130" s="66">
        <v>0</v>
      </c>
      <c r="G130" s="66">
        <v>0</v>
      </c>
      <c r="H130" s="66">
        <v>0</v>
      </c>
      <c r="I130" s="66">
        <v>0</v>
      </c>
      <c r="J130" s="66">
        <v>0</v>
      </c>
      <c r="K130" s="66">
        <v>0</v>
      </c>
      <c r="L130" s="66">
        <v>0</v>
      </c>
      <c r="M130" s="66">
        <v>0</v>
      </c>
      <c r="N130" s="66">
        <v>0</v>
      </c>
      <c r="O130" s="66">
        <v>0</v>
      </c>
      <c r="P130" s="66">
        <v>0</v>
      </c>
      <c r="Q130" s="66">
        <v>0</v>
      </c>
      <c r="R130" s="66">
        <v>0</v>
      </c>
      <c r="S130" s="66">
        <v>0</v>
      </c>
      <c r="T130" s="66">
        <v>0</v>
      </c>
      <c r="U130" s="66">
        <v>0</v>
      </c>
      <c r="V130" s="66">
        <v>0</v>
      </c>
      <c r="W130" s="66">
        <v>0</v>
      </c>
      <c r="X130" s="66">
        <v>0</v>
      </c>
      <c r="Y130" s="66">
        <v>0</v>
      </c>
      <c r="Z130" s="66">
        <v>0</v>
      </c>
      <c r="AA130" s="66">
        <v>0</v>
      </c>
      <c r="AB130" s="66">
        <v>0</v>
      </c>
      <c r="AC130" s="66">
        <v>0</v>
      </c>
      <c r="AD130" s="66">
        <v>0</v>
      </c>
      <c r="AE130" s="66">
        <v>0</v>
      </c>
      <c r="AF130" s="66">
        <v>0</v>
      </c>
      <c r="AG130" s="66">
        <v>0</v>
      </c>
      <c r="AH130" s="66">
        <v>0</v>
      </c>
      <c r="AI130" s="66"/>
      <c r="AJ130" s="66"/>
      <c r="AK130" s="66"/>
    </row>
    <row r="131" spans="1:37">
      <c r="A131" s="11">
        <v>128</v>
      </c>
      <c r="B131" s="11" t="s">
        <v>201</v>
      </c>
      <c r="C131" s="11" t="s">
        <v>7</v>
      </c>
      <c r="D131" s="66"/>
      <c r="E131" s="66">
        <v>0</v>
      </c>
      <c r="F131" s="66">
        <v>0</v>
      </c>
      <c r="G131" s="66">
        <v>0</v>
      </c>
      <c r="H131" s="66">
        <v>0</v>
      </c>
      <c r="I131" s="66">
        <v>0</v>
      </c>
      <c r="J131" s="66">
        <v>0</v>
      </c>
      <c r="K131" s="66">
        <v>0</v>
      </c>
      <c r="L131" s="66">
        <v>0</v>
      </c>
      <c r="M131" s="66">
        <v>0</v>
      </c>
      <c r="N131" s="66">
        <v>0</v>
      </c>
      <c r="O131" s="66">
        <v>0</v>
      </c>
      <c r="P131" s="66">
        <v>0</v>
      </c>
      <c r="Q131" s="66">
        <v>0</v>
      </c>
      <c r="R131" s="66">
        <v>0</v>
      </c>
      <c r="S131" s="66">
        <v>0</v>
      </c>
      <c r="T131" s="66">
        <v>0</v>
      </c>
      <c r="U131" s="66">
        <v>0</v>
      </c>
      <c r="V131" s="66">
        <v>0</v>
      </c>
      <c r="W131" s="66">
        <v>0</v>
      </c>
      <c r="X131" s="66">
        <v>0</v>
      </c>
      <c r="Y131" s="66">
        <v>0</v>
      </c>
      <c r="Z131" s="66">
        <v>0</v>
      </c>
      <c r="AA131" s="66">
        <v>0</v>
      </c>
      <c r="AB131" s="66">
        <v>0</v>
      </c>
      <c r="AC131" s="66">
        <v>0</v>
      </c>
      <c r="AD131" s="66">
        <v>0</v>
      </c>
      <c r="AE131" s="66">
        <v>0</v>
      </c>
      <c r="AF131" s="66">
        <v>0</v>
      </c>
      <c r="AG131" s="66">
        <v>0</v>
      </c>
      <c r="AH131" s="66">
        <v>0</v>
      </c>
      <c r="AI131" s="66"/>
      <c r="AJ131" s="66"/>
      <c r="AK131" s="66"/>
    </row>
    <row r="132" spans="1:37">
      <c r="A132" s="11">
        <v>129</v>
      </c>
      <c r="B132" s="11" t="s">
        <v>69</v>
      </c>
      <c r="C132" s="11" t="s">
        <v>70</v>
      </c>
      <c r="D132" s="66"/>
      <c r="E132" s="66">
        <v>0</v>
      </c>
      <c r="F132" s="66">
        <v>0</v>
      </c>
      <c r="G132" s="66">
        <v>0</v>
      </c>
      <c r="H132" s="66">
        <v>0</v>
      </c>
      <c r="I132" s="66">
        <v>0</v>
      </c>
      <c r="J132" s="66">
        <v>0</v>
      </c>
      <c r="K132" s="66">
        <v>0</v>
      </c>
      <c r="L132" s="66">
        <v>0</v>
      </c>
      <c r="M132" s="66">
        <v>0</v>
      </c>
      <c r="N132" s="66">
        <v>572</v>
      </c>
      <c r="O132" s="66">
        <v>0</v>
      </c>
      <c r="P132" s="66">
        <v>101</v>
      </c>
      <c r="Q132" s="66">
        <v>0</v>
      </c>
      <c r="R132" s="66">
        <v>0</v>
      </c>
      <c r="S132" s="66">
        <v>0</v>
      </c>
      <c r="T132" s="66">
        <v>281</v>
      </c>
      <c r="U132" s="66">
        <v>0</v>
      </c>
      <c r="V132" s="66">
        <v>0</v>
      </c>
      <c r="W132" s="66">
        <v>0</v>
      </c>
      <c r="X132" s="66">
        <v>0</v>
      </c>
      <c r="Y132" s="66">
        <v>0</v>
      </c>
      <c r="Z132" s="66">
        <v>0</v>
      </c>
      <c r="AA132" s="66">
        <v>168</v>
      </c>
      <c r="AB132" s="66">
        <v>0</v>
      </c>
      <c r="AC132" s="66">
        <v>0</v>
      </c>
      <c r="AD132" s="66">
        <v>0</v>
      </c>
      <c r="AE132" s="66">
        <v>0</v>
      </c>
      <c r="AF132" s="66">
        <v>0</v>
      </c>
      <c r="AG132" s="66">
        <v>534</v>
      </c>
      <c r="AH132" s="66">
        <v>0</v>
      </c>
      <c r="AI132" s="66"/>
      <c r="AJ132" s="66"/>
      <c r="AK132" s="66"/>
    </row>
    <row r="133" spans="1:37">
      <c r="A133" s="11">
        <v>130</v>
      </c>
      <c r="B133" s="11" t="s">
        <v>202</v>
      </c>
      <c r="C133" s="11" t="s">
        <v>70</v>
      </c>
      <c r="D133" s="66"/>
      <c r="E133" s="66">
        <v>0</v>
      </c>
      <c r="F133" s="66">
        <v>0</v>
      </c>
      <c r="G133" s="66">
        <v>0</v>
      </c>
      <c r="H133" s="66">
        <v>0</v>
      </c>
      <c r="I133" s="66">
        <v>0</v>
      </c>
      <c r="J133" s="66">
        <v>0</v>
      </c>
      <c r="K133" s="66">
        <v>0</v>
      </c>
      <c r="L133" s="66">
        <v>0</v>
      </c>
      <c r="M133" s="66">
        <v>17</v>
      </c>
      <c r="N133" s="66">
        <v>0</v>
      </c>
      <c r="O133" s="66">
        <v>0</v>
      </c>
      <c r="P133" s="66">
        <v>0</v>
      </c>
      <c r="Q133" s="66">
        <v>0</v>
      </c>
      <c r="R133" s="66">
        <v>0</v>
      </c>
      <c r="S133" s="66">
        <v>0</v>
      </c>
      <c r="T133" s="66">
        <v>0</v>
      </c>
      <c r="U133" s="66">
        <v>0</v>
      </c>
      <c r="V133" s="66">
        <v>0</v>
      </c>
      <c r="W133" s="66">
        <v>0</v>
      </c>
      <c r="X133" s="66">
        <v>0</v>
      </c>
      <c r="Y133" s="66">
        <v>0</v>
      </c>
      <c r="Z133" s="66">
        <v>54</v>
      </c>
      <c r="AA133" s="66">
        <v>962</v>
      </c>
      <c r="AB133" s="66">
        <v>0</v>
      </c>
      <c r="AC133" s="66">
        <v>0</v>
      </c>
      <c r="AD133" s="66">
        <v>0</v>
      </c>
      <c r="AE133" s="66">
        <v>0</v>
      </c>
      <c r="AF133" s="66">
        <v>0</v>
      </c>
      <c r="AG133" s="66">
        <v>6203</v>
      </c>
      <c r="AH133" s="66">
        <v>0</v>
      </c>
      <c r="AI133" s="66"/>
      <c r="AJ133" s="66"/>
      <c r="AK133" s="66"/>
    </row>
    <row r="134" spans="1:37">
      <c r="A134" s="11">
        <v>131</v>
      </c>
      <c r="B134" s="11" t="s">
        <v>203</v>
      </c>
      <c r="C134" s="11" t="s">
        <v>70</v>
      </c>
      <c r="D134" s="66"/>
      <c r="E134" s="66">
        <v>0</v>
      </c>
      <c r="F134" s="66">
        <v>0</v>
      </c>
      <c r="G134" s="66">
        <v>0</v>
      </c>
      <c r="H134" s="66">
        <v>0</v>
      </c>
      <c r="I134" s="66">
        <v>0</v>
      </c>
      <c r="J134" s="66">
        <v>0</v>
      </c>
      <c r="K134" s="66">
        <v>0</v>
      </c>
      <c r="L134" s="66">
        <v>0</v>
      </c>
      <c r="M134" s="66">
        <v>0</v>
      </c>
      <c r="N134" s="66">
        <v>0</v>
      </c>
      <c r="O134" s="66">
        <v>0</v>
      </c>
      <c r="P134" s="66">
        <v>0</v>
      </c>
      <c r="Q134" s="66">
        <v>0</v>
      </c>
      <c r="R134" s="66">
        <v>0</v>
      </c>
      <c r="S134" s="66">
        <v>0</v>
      </c>
      <c r="T134" s="66">
        <v>0</v>
      </c>
      <c r="U134" s="66">
        <v>0</v>
      </c>
      <c r="V134" s="66">
        <v>0</v>
      </c>
      <c r="W134" s="66">
        <v>0</v>
      </c>
      <c r="X134" s="66">
        <v>0</v>
      </c>
      <c r="Y134" s="66">
        <v>0</v>
      </c>
      <c r="Z134" s="66">
        <v>0</v>
      </c>
      <c r="AA134" s="66">
        <v>0</v>
      </c>
      <c r="AB134" s="66">
        <v>0</v>
      </c>
      <c r="AC134" s="66">
        <v>0</v>
      </c>
      <c r="AD134" s="66">
        <v>0</v>
      </c>
      <c r="AE134" s="66">
        <v>0</v>
      </c>
      <c r="AF134" s="66">
        <v>0</v>
      </c>
      <c r="AG134" s="66">
        <v>0</v>
      </c>
      <c r="AH134" s="66">
        <v>0</v>
      </c>
      <c r="AI134" s="66"/>
      <c r="AJ134" s="66"/>
      <c r="AK134" s="66"/>
    </row>
    <row r="135" spans="1:37">
      <c r="A135" s="11">
        <v>132</v>
      </c>
      <c r="B135" s="11" t="s">
        <v>204</v>
      </c>
      <c r="C135" s="11" t="s">
        <v>70</v>
      </c>
      <c r="D135" s="66"/>
      <c r="E135" s="66">
        <v>0</v>
      </c>
      <c r="F135" s="66">
        <v>0</v>
      </c>
      <c r="G135" s="66">
        <v>0</v>
      </c>
      <c r="H135" s="66">
        <v>0</v>
      </c>
      <c r="I135" s="66">
        <v>0</v>
      </c>
      <c r="J135" s="66">
        <v>0</v>
      </c>
      <c r="K135" s="66">
        <v>0</v>
      </c>
      <c r="L135" s="66">
        <v>0</v>
      </c>
      <c r="M135" s="66">
        <v>0</v>
      </c>
      <c r="N135" s="66">
        <v>0</v>
      </c>
      <c r="O135" s="66">
        <v>0</v>
      </c>
      <c r="P135" s="66">
        <v>0</v>
      </c>
      <c r="Q135" s="66">
        <v>0</v>
      </c>
      <c r="R135" s="66">
        <v>0</v>
      </c>
      <c r="S135" s="66">
        <v>0</v>
      </c>
      <c r="T135" s="66">
        <v>0</v>
      </c>
      <c r="U135" s="66">
        <v>0</v>
      </c>
      <c r="V135" s="66">
        <v>0</v>
      </c>
      <c r="W135" s="66">
        <v>0</v>
      </c>
      <c r="X135" s="66">
        <v>0</v>
      </c>
      <c r="Y135" s="66">
        <v>0</v>
      </c>
      <c r="Z135" s="66">
        <v>0</v>
      </c>
      <c r="AA135" s="66">
        <v>0</v>
      </c>
      <c r="AB135" s="66">
        <v>0</v>
      </c>
      <c r="AC135" s="66">
        <v>0</v>
      </c>
      <c r="AD135" s="66">
        <v>0</v>
      </c>
      <c r="AE135" s="66">
        <v>0</v>
      </c>
      <c r="AF135" s="66">
        <v>0</v>
      </c>
      <c r="AG135" s="66">
        <v>0</v>
      </c>
      <c r="AH135" s="66">
        <v>0</v>
      </c>
      <c r="AI135" s="66"/>
      <c r="AJ135" s="66"/>
      <c r="AK135" s="66"/>
    </row>
    <row r="136" spans="1:37">
      <c r="A136" s="11">
        <v>133</v>
      </c>
      <c r="B136" s="11" t="s">
        <v>71</v>
      </c>
      <c r="C136" s="11" t="s">
        <v>72</v>
      </c>
      <c r="D136" s="66"/>
      <c r="E136" s="66">
        <v>0</v>
      </c>
      <c r="F136" s="66">
        <v>0</v>
      </c>
      <c r="G136" s="66">
        <v>0</v>
      </c>
      <c r="H136" s="66">
        <v>0</v>
      </c>
      <c r="I136" s="66">
        <v>0</v>
      </c>
      <c r="J136" s="66">
        <v>0</v>
      </c>
      <c r="K136" s="66">
        <v>0</v>
      </c>
      <c r="L136" s="66">
        <v>0</v>
      </c>
      <c r="M136" s="66">
        <v>0</v>
      </c>
      <c r="N136" s="66">
        <v>35</v>
      </c>
      <c r="O136" s="66">
        <v>243</v>
      </c>
      <c r="P136" s="66">
        <v>0</v>
      </c>
      <c r="Q136" s="66">
        <v>0</v>
      </c>
      <c r="R136" s="66">
        <v>0</v>
      </c>
      <c r="S136" s="66">
        <v>0</v>
      </c>
      <c r="T136" s="66">
        <v>0</v>
      </c>
      <c r="U136" s="66">
        <v>0</v>
      </c>
      <c r="V136" s="66">
        <v>0</v>
      </c>
      <c r="W136" s="66">
        <v>0</v>
      </c>
      <c r="X136" s="66">
        <v>0</v>
      </c>
      <c r="Y136" s="66">
        <v>0</v>
      </c>
      <c r="Z136" s="66">
        <v>0</v>
      </c>
      <c r="AA136" s="66">
        <v>0</v>
      </c>
      <c r="AB136" s="66">
        <v>0</v>
      </c>
      <c r="AC136" s="66">
        <v>140</v>
      </c>
      <c r="AD136" s="66">
        <v>0</v>
      </c>
      <c r="AE136" s="66">
        <v>0</v>
      </c>
      <c r="AF136" s="66">
        <v>0</v>
      </c>
      <c r="AG136" s="66">
        <v>0</v>
      </c>
      <c r="AH136" s="66">
        <v>0</v>
      </c>
      <c r="AI136" s="66"/>
      <c r="AJ136" s="66"/>
      <c r="AK136" s="66"/>
    </row>
    <row r="137" spans="1:37">
      <c r="A137" s="11">
        <v>134</v>
      </c>
      <c r="B137" s="11" t="s">
        <v>205</v>
      </c>
      <c r="C137" s="11" t="s">
        <v>72</v>
      </c>
      <c r="D137" s="66"/>
      <c r="E137" s="66">
        <v>0</v>
      </c>
      <c r="F137" s="66">
        <v>0</v>
      </c>
      <c r="G137" s="66">
        <v>0</v>
      </c>
      <c r="H137" s="66">
        <v>0</v>
      </c>
      <c r="I137" s="66">
        <v>0</v>
      </c>
      <c r="J137" s="66">
        <v>0</v>
      </c>
      <c r="K137" s="66">
        <v>0</v>
      </c>
      <c r="L137" s="66">
        <v>0</v>
      </c>
      <c r="M137" s="66">
        <v>0</v>
      </c>
      <c r="N137" s="66">
        <v>1762</v>
      </c>
      <c r="O137" s="66">
        <v>148</v>
      </c>
      <c r="P137" s="66">
        <v>0</v>
      </c>
      <c r="Q137" s="66">
        <v>0</v>
      </c>
      <c r="R137" s="66">
        <v>0</v>
      </c>
      <c r="S137" s="66">
        <v>0</v>
      </c>
      <c r="T137" s="66">
        <v>0</v>
      </c>
      <c r="U137" s="66">
        <v>0</v>
      </c>
      <c r="V137" s="66">
        <v>0</v>
      </c>
      <c r="W137" s="66">
        <v>0</v>
      </c>
      <c r="X137" s="66">
        <v>0</v>
      </c>
      <c r="Y137" s="66">
        <v>0</v>
      </c>
      <c r="Z137" s="66">
        <v>0</v>
      </c>
      <c r="AA137" s="66">
        <v>0</v>
      </c>
      <c r="AB137" s="66">
        <v>0</v>
      </c>
      <c r="AC137" s="66">
        <v>0</v>
      </c>
      <c r="AD137" s="66">
        <v>0</v>
      </c>
      <c r="AE137" s="66">
        <v>0</v>
      </c>
      <c r="AF137" s="66">
        <v>0</v>
      </c>
      <c r="AG137" s="66">
        <v>0</v>
      </c>
      <c r="AH137" s="66">
        <v>0</v>
      </c>
      <c r="AI137" s="66"/>
      <c r="AJ137" s="66"/>
      <c r="AK137" s="66"/>
    </row>
    <row r="138" spans="1:37">
      <c r="A138" s="11">
        <v>135</v>
      </c>
      <c r="B138" s="11" t="s">
        <v>206</v>
      </c>
      <c r="C138" s="11" t="s">
        <v>72</v>
      </c>
      <c r="D138" s="66"/>
      <c r="E138" s="66">
        <v>0</v>
      </c>
      <c r="F138" s="66">
        <v>0</v>
      </c>
      <c r="G138" s="66">
        <v>0</v>
      </c>
      <c r="H138" s="66">
        <v>0</v>
      </c>
      <c r="I138" s="66">
        <v>0</v>
      </c>
      <c r="J138" s="66">
        <v>0</v>
      </c>
      <c r="K138" s="66">
        <v>0</v>
      </c>
      <c r="L138" s="66">
        <v>0</v>
      </c>
      <c r="M138" s="66">
        <v>0</v>
      </c>
      <c r="N138" s="66">
        <v>0</v>
      </c>
      <c r="O138" s="66">
        <v>148</v>
      </c>
      <c r="P138" s="66">
        <v>0</v>
      </c>
      <c r="Q138" s="66">
        <v>0</v>
      </c>
      <c r="R138" s="66">
        <v>0</v>
      </c>
      <c r="S138" s="66">
        <v>0</v>
      </c>
      <c r="T138" s="66">
        <v>0</v>
      </c>
      <c r="U138" s="66">
        <v>0</v>
      </c>
      <c r="V138" s="66">
        <v>0</v>
      </c>
      <c r="W138" s="66">
        <v>0</v>
      </c>
      <c r="X138" s="66">
        <v>0</v>
      </c>
      <c r="Y138" s="66">
        <v>0</v>
      </c>
      <c r="Z138" s="66">
        <v>0</v>
      </c>
      <c r="AA138" s="66">
        <v>0</v>
      </c>
      <c r="AB138" s="66">
        <v>0</v>
      </c>
      <c r="AC138" s="66">
        <v>0</v>
      </c>
      <c r="AD138" s="66">
        <v>0</v>
      </c>
      <c r="AE138" s="66">
        <v>0</v>
      </c>
      <c r="AF138" s="66">
        <v>0</v>
      </c>
      <c r="AG138" s="66">
        <v>0</v>
      </c>
      <c r="AH138" s="66">
        <v>0</v>
      </c>
      <c r="AI138" s="66"/>
      <c r="AJ138" s="66"/>
      <c r="AK138" s="66"/>
    </row>
    <row r="139" spans="1:37">
      <c r="A139" s="11">
        <v>136</v>
      </c>
      <c r="B139" s="11" t="s">
        <v>207</v>
      </c>
      <c r="C139" s="11" t="s">
        <v>72</v>
      </c>
      <c r="D139" s="66"/>
      <c r="E139" s="66">
        <v>0</v>
      </c>
      <c r="F139" s="66">
        <v>0</v>
      </c>
      <c r="G139" s="66">
        <v>0</v>
      </c>
      <c r="H139" s="66">
        <v>0</v>
      </c>
      <c r="I139" s="66">
        <v>0</v>
      </c>
      <c r="J139" s="66">
        <v>0</v>
      </c>
      <c r="K139" s="66">
        <v>0</v>
      </c>
      <c r="L139" s="66">
        <v>0</v>
      </c>
      <c r="M139" s="66">
        <v>0</v>
      </c>
      <c r="N139" s="66">
        <v>0</v>
      </c>
      <c r="O139" s="66">
        <v>114</v>
      </c>
      <c r="P139" s="66">
        <v>0</v>
      </c>
      <c r="Q139" s="66">
        <v>0</v>
      </c>
      <c r="R139" s="66">
        <v>0</v>
      </c>
      <c r="S139" s="66">
        <v>0</v>
      </c>
      <c r="T139" s="66">
        <v>0</v>
      </c>
      <c r="U139" s="66">
        <v>0</v>
      </c>
      <c r="V139" s="66">
        <v>0</v>
      </c>
      <c r="W139" s="66">
        <v>0</v>
      </c>
      <c r="X139" s="66">
        <v>0</v>
      </c>
      <c r="Y139" s="66">
        <v>0</v>
      </c>
      <c r="Z139" s="66">
        <v>0</v>
      </c>
      <c r="AA139" s="66">
        <v>0</v>
      </c>
      <c r="AB139" s="66">
        <v>0</v>
      </c>
      <c r="AC139" s="66">
        <v>0</v>
      </c>
      <c r="AD139" s="66">
        <v>114</v>
      </c>
      <c r="AE139" s="66">
        <v>0</v>
      </c>
      <c r="AF139" s="66">
        <v>0</v>
      </c>
      <c r="AG139" s="66">
        <v>0</v>
      </c>
      <c r="AH139" s="66">
        <v>0</v>
      </c>
      <c r="AI139" s="66"/>
      <c r="AJ139" s="66"/>
      <c r="AK139" s="66"/>
    </row>
    <row r="140" spans="1:37">
      <c r="A140" s="11">
        <v>137</v>
      </c>
      <c r="B140" s="11" t="s">
        <v>73</v>
      </c>
      <c r="C140" s="11" t="s">
        <v>74</v>
      </c>
      <c r="D140" s="66"/>
      <c r="E140" s="66">
        <v>0</v>
      </c>
      <c r="F140" s="66">
        <v>0</v>
      </c>
      <c r="G140" s="66">
        <v>0</v>
      </c>
      <c r="H140" s="66">
        <v>0</v>
      </c>
      <c r="I140" s="66">
        <v>0</v>
      </c>
      <c r="J140" s="66">
        <v>0</v>
      </c>
      <c r="K140" s="66">
        <v>0</v>
      </c>
      <c r="L140" s="66">
        <v>0</v>
      </c>
      <c r="M140" s="66">
        <v>0</v>
      </c>
      <c r="N140" s="66">
        <v>0</v>
      </c>
      <c r="O140" s="66">
        <v>0</v>
      </c>
      <c r="P140" s="66">
        <v>0</v>
      </c>
      <c r="Q140" s="66">
        <v>0</v>
      </c>
      <c r="R140" s="66">
        <v>0</v>
      </c>
      <c r="S140" s="66">
        <v>0</v>
      </c>
      <c r="T140" s="66">
        <v>0</v>
      </c>
      <c r="U140" s="66">
        <v>0</v>
      </c>
      <c r="V140" s="66">
        <v>0</v>
      </c>
      <c r="W140" s="66">
        <v>0</v>
      </c>
      <c r="X140" s="66">
        <v>0</v>
      </c>
      <c r="Y140" s="66">
        <v>0</v>
      </c>
      <c r="Z140" s="66">
        <v>0</v>
      </c>
      <c r="AA140" s="66">
        <v>0</v>
      </c>
      <c r="AB140" s="66">
        <v>0</v>
      </c>
      <c r="AC140" s="66">
        <v>0</v>
      </c>
      <c r="AD140" s="66">
        <v>0</v>
      </c>
      <c r="AE140" s="66">
        <v>0</v>
      </c>
      <c r="AF140" s="66">
        <v>0</v>
      </c>
      <c r="AG140" s="66">
        <v>0</v>
      </c>
      <c r="AH140" s="66">
        <v>0</v>
      </c>
      <c r="AI140" s="66"/>
      <c r="AJ140" s="66"/>
      <c r="AK140" s="66"/>
    </row>
    <row r="141" spans="1:37">
      <c r="A141" s="11">
        <v>138</v>
      </c>
      <c r="B141" s="11" t="s">
        <v>208</v>
      </c>
      <c r="C141" s="11" t="s">
        <v>74</v>
      </c>
      <c r="D141" s="66"/>
      <c r="E141" s="66">
        <v>0</v>
      </c>
      <c r="F141" s="66">
        <v>0</v>
      </c>
      <c r="G141" s="66">
        <v>0</v>
      </c>
      <c r="H141" s="66">
        <v>0</v>
      </c>
      <c r="I141" s="66">
        <v>0</v>
      </c>
      <c r="J141" s="66">
        <v>0</v>
      </c>
      <c r="K141" s="66">
        <v>0</v>
      </c>
      <c r="L141" s="66">
        <v>0</v>
      </c>
      <c r="M141" s="66">
        <v>0</v>
      </c>
      <c r="N141" s="66">
        <v>0</v>
      </c>
      <c r="O141" s="66">
        <v>0</v>
      </c>
      <c r="P141" s="66">
        <v>0</v>
      </c>
      <c r="Q141" s="66">
        <v>0</v>
      </c>
      <c r="R141" s="66">
        <v>0</v>
      </c>
      <c r="S141" s="66">
        <v>0</v>
      </c>
      <c r="T141" s="66">
        <v>0</v>
      </c>
      <c r="U141" s="66">
        <v>0</v>
      </c>
      <c r="V141" s="66">
        <v>0</v>
      </c>
      <c r="W141" s="66">
        <v>0</v>
      </c>
      <c r="X141" s="66">
        <v>0</v>
      </c>
      <c r="Y141" s="66">
        <v>0</v>
      </c>
      <c r="Z141" s="66">
        <v>0</v>
      </c>
      <c r="AA141" s="66">
        <v>0</v>
      </c>
      <c r="AB141" s="66">
        <v>0</v>
      </c>
      <c r="AC141" s="66">
        <v>0</v>
      </c>
      <c r="AD141" s="66">
        <v>0</v>
      </c>
      <c r="AE141" s="66">
        <v>0</v>
      </c>
      <c r="AF141" s="66">
        <v>0</v>
      </c>
      <c r="AG141" s="66">
        <v>0</v>
      </c>
      <c r="AH141" s="66">
        <v>0</v>
      </c>
      <c r="AI141" s="66"/>
      <c r="AJ141" s="66"/>
      <c r="AK141" s="66"/>
    </row>
    <row r="142" spans="1:37">
      <c r="A142" s="11">
        <v>139</v>
      </c>
      <c r="B142" s="11" t="s">
        <v>209</v>
      </c>
      <c r="C142" s="11" t="s">
        <v>74</v>
      </c>
      <c r="D142" s="66"/>
      <c r="E142" s="66">
        <v>0</v>
      </c>
      <c r="F142" s="66">
        <v>0</v>
      </c>
      <c r="G142" s="66">
        <v>0</v>
      </c>
      <c r="H142" s="66">
        <v>0</v>
      </c>
      <c r="I142" s="66">
        <v>0</v>
      </c>
      <c r="J142" s="66">
        <v>0</v>
      </c>
      <c r="K142" s="66">
        <v>0</v>
      </c>
      <c r="L142" s="66">
        <v>0</v>
      </c>
      <c r="M142" s="66">
        <v>0</v>
      </c>
      <c r="N142" s="66">
        <v>0</v>
      </c>
      <c r="O142" s="66">
        <v>0</v>
      </c>
      <c r="P142" s="66">
        <v>0</v>
      </c>
      <c r="Q142" s="66">
        <v>0</v>
      </c>
      <c r="R142" s="66">
        <v>0</v>
      </c>
      <c r="S142" s="66">
        <v>0</v>
      </c>
      <c r="T142" s="66">
        <v>0</v>
      </c>
      <c r="U142" s="66">
        <v>0</v>
      </c>
      <c r="V142" s="66">
        <v>0</v>
      </c>
      <c r="W142" s="66">
        <v>0</v>
      </c>
      <c r="X142" s="66">
        <v>0</v>
      </c>
      <c r="Y142" s="66">
        <v>0</v>
      </c>
      <c r="Z142" s="66">
        <v>0</v>
      </c>
      <c r="AA142" s="66">
        <v>0</v>
      </c>
      <c r="AB142" s="66">
        <v>0</v>
      </c>
      <c r="AC142" s="66">
        <v>0</v>
      </c>
      <c r="AD142" s="66">
        <v>0</v>
      </c>
      <c r="AE142" s="66">
        <v>0</v>
      </c>
      <c r="AF142" s="66">
        <v>0</v>
      </c>
      <c r="AG142" s="66">
        <v>0</v>
      </c>
      <c r="AH142" s="66">
        <v>0</v>
      </c>
      <c r="AI142" s="66"/>
      <c r="AJ142" s="66"/>
      <c r="AK142" s="66"/>
    </row>
    <row r="143" spans="1:37">
      <c r="A143" s="11">
        <v>140</v>
      </c>
      <c r="B143" s="11" t="s">
        <v>210</v>
      </c>
      <c r="C143" s="11" t="s">
        <v>74</v>
      </c>
      <c r="D143" s="66"/>
      <c r="E143" s="66">
        <v>0</v>
      </c>
      <c r="F143" s="66">
        <v>0</v>
      </c>
      <c r="G143" s="66">
        <v>0</v>
      </c>
      <c r="H143" s="66">
        <v>0</v>
      </c>
      <c r="I143" s="66">
        <v>0</v>
      </c>
      <c r="J143" s="66">
        <v>0</v>
      </c>
      <c r="K143" s="66">
        <v>0</v>
      </c>
      <c r="L143" s="66">
        <v>0</v>
      </c>
      <c r="M143" s="66">
        <v>0</v>
      </c>
      <c r="N143" s="66">
        <v>0</v>
      </c>
      <c r="O143" s="66">
        <v>0</v>
      </c>
      <c r="P143" s="66">
        <v>0</v>
      </c>
      <c r="Q143" s="66">
        <v>0</v>
      </c>
      <c r="R143" s="66">
        <v>0</v>
      </c>
      <c r="S143" s="66">
        <v>0</v>
      </c>
      <c r="T143" s="66">
        <v>0</v>
      </c>
      <c r="U143" s="66">
        <v>0</v>
      </c>
      <c r="V143" s="66">
        <v>0</v>
      </c>
      <c r="W143" s="66">
        <v>0</v>
      </c>
      <c r="X143" s="66">
        <v>0</v>
      </c>
      <c r="Y143" s="66">
        <v>0</v>
      </c>
      <c r="Z143" s="66">
        <v>0</v>
      </c>
      <c r="AA143" s="66">
        <v>0</v>
      </c>
      <c r="AB143" s="66">
        <v>0</v>
      </c>
      <c r="AC143" s="66">
        <v>0</v>
      </c>
      <c r="AD143" s="66">
        <v>0</v>
      </c>
      <c r="AE143" s="66">
        <v>0</v>
      </c>
      <c r="AF143" s="66">
        <v>0</v>
      </c>
      <c r="AG143" s="66">
        <v>0</v>
      </c>
      <c r="AH143" s="66">
        <v>0</v>
      </c>
      <c r="AI143" s="66"/>
      <c r="AJ143" s="66"/>
      <c r="AK143" s="66"/>
    </row>
    <row r="144" spans="1:37">
      <c r="A144" s="11">
        <v>141</v>
      </c>
      <c r="B144" s="11" t="s">
        <v>75</v>
      </c>
      <c r="C144" s="11" t="s">
        <v>76</v>
      </c>
      <c r="D144" s="66"/>
      <c r="E144" s="66">
        <v>0</v>
      </c>
      <c r="F144" s="66">
        <v>0</v>
      </c>
      <c r="G144" s="66">
        <v>0</v>
      </c>
      <c r="H144" s="66">
        <v>0</v>
      </c>
      <c r="I144" s="66">
        <v>0</v>
      </c>
      <c r="J144" s="66">
        <v>0</v>
      </c>
      <c r="K144" s="66">
        <v>0</v>
      </c>
      <c r="L144" s="66">
        <v>0</v>
      </c>
      <c r="M144" s="66">
        <v>0</v>
      </c>
      <c r="N144" s="66">
        <v>0</v>
      </c>
      <c r="O144" s="66">
        <v>0</v>
      </c>
      <c r="P144" s="66">
        <v>0</v>
      </c>
      <c r="Q144" s="66">
        <v>0</v>
      </c>
      <c r="R144" s="66">
        <v>0</v>
      </c>
      <c r="S144" s="66">
        <v>0</v>
      </c>
      <c r="T144" s="66">
        <v>0</v>
      </c>
      <c r="U144" s="66">
        <v>0</v>
      </c>
      <c r="V144" s="66">
        <v>0</v>
      </c>
      <c r="W144" s="66">
        <v>0</v>
      </c>
      <c r="X144" s="66">
        <v>0</v>
      </c>
      <c r="Y144" s="66">
        <v>0</v>
      </c>
      <c r="Z144" s="66">
        <v>0</v>
      </c>
      <c r="AA144" s="66">
        <v>0</v>
      </c>
      <c r="AB144" s="66">
        <v>0</v>
      </c>
      <c r="AC144" s="66">
        <v>0</v>
      </c>
      <c r="AD144" s="66">
        <v>0</v>
      </c>
      <c r="AE144" s="66">
        <v>0</v>
      </c>
      <c r="AF144" s="66">
        <v>0</v>
      </c>
      <c r="AG144" s="66">
        <v>0</v>
      </c>
      <c r="AH144" s="66">
        <v>0</v>
      </c>
      <c r="AI144" s="66"/>
      <c r="AJ144" s="66"/>
      <c r="AK144" s="66"/>
    </row>
    <row r="145" spans="1:37">
      <c r="A145" s="11">
        <v>142</v>
      </c>
      <c r="B145" s="11" t="s">
        <v>211</v>
      </c>
      <c r="C145" s="11" t="s">
        <v>76</v>
      </c>
      <c r="D145" s="66"/>
      <c r="E145" s="66">
        <v>0</v>
      </c>
      <c r="F145" s="66">
        <v>0</v>
      </c>
      <c r="G145" s="66">
        <v>0</v>
      </c>
      <c r="H145" s="66">
        <v>0</v>
      </c>
      <c r="I145" s="66">
        <v>0</v>
      </c>
      <c r="J145" s="66">
        <v>0</v>
      </c>
      <c r="K145" s="66">
        <v>0</v>
      </c>
      <c r="L145" s="66">
        <v>0</v>
      </c>
      <c r="M145" s="66">
        <v>0</v>
      </c>
      <c r="N145" s="66">
        <v>0</v>
      </c>
      <c r="O145" s="66">
        <v>0</v>
      </c>
      <c r="P145" s="66">
        <v>0</v>
      </c>
      <c r="Q145" s="66">
        <v>0</v>
      </c>
      <c r="R145" s="66">
        <v>0</v>
      </c>
      <c r="S145" s="66">
        <v>0</v>
      </c>
      <c r="T145" s="66">
        <v>0</v>
      </c>
      <c r="U145" s="66">
        <v>0</v>
      </c>
      <c r="V145" s="66">
        <v>0</v>
      </c>
      <c r="W145" s="66">
        <v>0</v>
      </c>
      <c r="X145" s="66">
        <v>0</v>
      </c>
      <c r="Y145" s="66">
        <v>0</v>
      </c>
      <c r="Z145" s="66">
        <v>0</v>
      </c>
      <c r="AA145" s="66">
        <v>0</v>
      </c>
      <c r="AB145" s="66">
        <v>0</v>
      </c>
      <c r="AC145" s="66">
        <v>0</v>
      </c>
      <c r="AD145" s="66">
        <v>0</v>
      </c>
      <c r="AE145" s="66">
        <v>0</v>
      </c>
      <c r="AF145" s="66">
        <v>0</v>
      </c>
      <c r="AG145" s="66">
        <v>0</v>
      </c>
      <c r="AH145" s="66">
        <v>0</v>
      </c>
      <c r="AI145" s="66"/>
      <c r="AJ145" s="66"/>
      <c r="AK145" s="66"/>
    </row>
    <row r="146" spans="1:37">
      <c r="A146" s="11">
        <v>143</v>
      </c>
      <c r="B146" s="11" t="s">
        <v>212</v>
      </c>
      <c r="C146" s="11" t="s">
        <v>76</v>
      </c>
      <c r="D146" s="66"/>
      <c r="E146" s="66">
        <v>0</v>
      </c>
      <c r="F146" s="66">
        <v>0</v>
      </c>
      <c r="G146" s="66">
        <v>0</v>
      </c>
      <c r="H146" s="66">
        <v>0</v>
      </c>
      <c r="I146" s="66">
        <v>0</v>
      </c>
      <c r="J146" s="66">
        <v>0</v>
      </c>
      <c r="K146" s="66">
        <v>0</v>
      </c>
      <c r="L146" s="66">
        <v>0</v>
      </c>
      <c r="M146" s="66">
        <v>0</v>
      </c>
      <c r="N146" s="66">
        <v>0</v>
      </c>
      <c r="O146" s="66">
        <v>0</v>
      </c>
      <c r="P146" s="66">
        <v>0</v>
      </c>
      <c r="Q146" s="66">
        <v>0</v>
      </c>
      <c r="R146" s="66">
        <v>0</v>
      </c>
      <c r="S146" s="66">
        <v>0</v>
      </c>
      <c r="T146" s="66">
        <v>0</v>
      </c>
      <c r="U146" s="66">
        <v>0</v>
      </c>
      <c r="V146" s="66">
        <v>0</v>
      </c>
      <c r="W146" s="66">
        <v>0</v>
      </c>
      <c r="X146" s="66">
        <v>0</v>
      </c>
      <c r="Y146" s="66">
        <v>0</v>
      </c>
      <c r="Z146" s="66">
        <v>0</v>
      </c>
      <c r="AA146" s="66">
        <v>0</v>
      </c>
      <c r="AB146" s="66">
        <v>0</v>
      </c>
      <c r="AC146" s="66">
        <v>0</v>
      </c>
      <c r="AD146" s="66">
        <v>0</v>
      </c>
      <c r="AE146" s="66">
        <v>0</v>
      </c>
      <c r="AF146" s="66">
        <v>0</v>
      </c>
      <c r="AG146" s="66">
        <v>0</v>
      </c>
      <c r="AH146" s="66">
        <v>0</v>
      </c>
      <c r="AI146" s="66"/>
      <c r="AJ146" s="66"/>
      <c r="AK146" s="66"/>
    </row>
    <row r="147" spans="1:37">
      <c r="A147" s="11">
        <v>144</v>
      </c>
      <c r="B147" s="11" t="s">
        <v>213</v>
      </c>
      <c r="C147" s="11" t="s">
        <v>76</v>
      </c>
      <c r="D147" s="66"/>
      <c r="E147" s="66">
        <v>0</v>
      </c>
      <c r="F147" s="66">
        <v>0</v>
      </c>
      <c r="G147" s="66">
        <v>0</v>
      </c>
      <c r="H147" s="66">
        <v>0</v>
      </c>
      <c r="I147" s="66">
        <v>0</v>
      </c>
      <c r="J147" s="66">
        <v>0</v>
      </c>
      <c r="K147" s="66">
        <v>0</v>
      </c>
      <c r="L147" s="66">
        <v>0</v>
      </c>
      <c r="M147" s="66">
        <v>0</v>
      </c>
      <c r="N147" s="66">
        <v>0</v>
      </c>
      <c r="O147" s="66">
        <v>0</v>
      </c>
      <c r="P147" s="66">
        <v>0</v>
      </c>
      <c r="Q147" s="66">
        <v>0</v>
      </c>
      <c r="R147" s="66">
        <v>0</v>
      </c>
      <c r="S147" s="66">
        <v>0</v>
      </c>
      <c r="T147" s="66">
        <v>0</v>
      </c>
      <c r="U147" s="66">
        <v>0</v>
      </c>
      <c r="V147" s="66">
        <v>0</v>
      </c>
      <c r="W147" s="66">
        <v>0</v>
      </c>
      <c r="X147" s="66">
        <v>0</v>
      </c>
      <c r="Y147" s="66">
        <v>0</v>
      </c>
      <c r="Z147" s="66">
        <v>0</v>
      </c>
      <c r="AA147" s="66">
        <v>0</v>
      </c>
      <c r="AB147" s="66">
        <v>0</v>
      </c>
      <c r="AC147" s="66">
        <v>0</v>
      </c>
      <c r="AD147" s="66">
        <v>0</v>
      </c>
      <c r="AE147" s="66">
        <v>0</v>
      </c>
      <c r="AF147" s="66">
        <v>0</v>
      </c>
      <c r="AG147" s="66">
        <v>0</v>
      </c>
      <c r="AH147" s="66">
        <v>0</v>
      </c>
      <c r="AI147" s="66"/>
      <c r="AJ147" s="66"/>
      <c r="AK147" s="66"/>
    </row>
    <row r="148" spans="1:37">
      <c r="A148" s="11">
        <v>145</v>
      </c>
      <c r="B148" s="11" t="s">
        <v>77</v>
      </c>
      <c r="C148" s="11" t="s">
        <v>78</v>
      </c>
      <c r="D148" s="66"/>
      <c r="E148" s="66">
        <v>0</v>
      </c>
      <c r="F148" s="66">
        <v>0</v>
      </c>
      <c r="G148" s="66">
        <v>0</v>
      </c>
      <c r="H148" s="66">
        <v>0</v>
      </c>
      <c r="I148" s="66">
        <v>468</v>
      </c>
      <c r="J148" s="66">
        <v>0</v>
      </c>
      <c r="K148" s="66">
        <v>0</v>
      </c>
      <c r="L148" s="66">
        <v>0</v>
      </c>
      <c r="M148" s="66">
        <v>0</v>
      </c>
      <c r="N148" s="66">
        <v>259</v>
      </c>
      <c r="O148" s="66">
        <v>0</v>
      </c>
      <c r="P148" s="66">
        <v>468</v>
      </c>
      <c r="Q148" s="66">
        <v>0</v>
      </c>
      <c r="R148" s="66">
        <v>0</v>
      </c>
      <c r="S148" s="66">
        <v>0</v>
      </c>
      <c r="T148" s="66">
        <v>0</v>
      </c>
      <c r="U148" s="66">
        <v>0</v>
      </c>
      <c r="V148" s="66">
        <v>963</v>
      </c>
      <c r="W148" s="66">
        <v>0</v>
      </c>
      <c r="X148" s="66">
        <v>0</v>
      </c>
      <c r="Y148" s="66">
        <v>0</v>
      </c>
      <c r="Z148" s="66">
        <v>0</v>
      </c>
      <c r="AA148" s="66">
        <v>0</v>
      </c>
      <c r="AB148" s="66">
        <v>0</v>
      </c>
      <c r="AC148" s="66">
        <v>0</v>
      </c>
      <c r="AD148" s="66">
        <v>441</v>
      </c>
      <c r="AE148" s="66">
        <v>0</v>
      </c>
      <c r="AF148" s="66">
        <v>0</v>
      </c>
      <c r="AG148" s="66">
        <v>498</v>
      </c>
      <c r="AH148" s="66">
        <v>0</v>
      </c>
      <c r="AI148" s="66"/>
      <c r="AJ148" s="66"/>
      <c r="AK148" s="66"/>
    </row>
    <row r="149" spans="1:37">
      <c r="A149" s="11">
        <v>146</v>
      </c>
      <c r="B149" s="11" t="s">
        <v>214</v>
      </c>
      <c r="C149" s="11" t="s">
        <v>78</v>
      </c>
      <c r="D149" s="66"/>
      <c r="E149" s="66">
        <v>0</v>
      </c>
      <c r="F149" s="66">
        <v>0</v>
      </c>
      <c r="G149" s="66">
        <v>0</v>
      </c>
      <c r="H149" s="66">
        <v>0</v>
      </c>
      <c r="I149" s="66">
        <v>0</v>
      </c>
      <c r="J149" s="66">
        <v>0</v>
      </c>
      <c r="K149" s="66">
        <v>0</v>
      </c>
      <c r="L149" s="66">
        <v>0</v>
      </c>
      <c r="M149" s="66">
        <v>953</v>
      </c>
      <c r="N149" s="66">
        <v>26</v>
      </c>
      <c r="O149" s="66">
        <v>0</v>
      </c>
      <c r="P149" s="66">
        <v>0</v>
      </c>
      <c r="Q149" s="66">
        <v>0</v>
      </c>
      <c r="R149" s="66">
        <v>0</v>
      </c>
      <c r="S149" s="66">
        <v>0</v>
      </c>
      <c r="T149" s="66">
        <v>0</v>
      </c>
      <c r="U149" s="66">
        <v>0</v>
      </c>
      <c r="V149" s="66">
        <v>0</v>
      </c>
      <c r="W149" s="66">
        <v>0</v>
      </c>
      <c r="X149" s="66">
        <v>0</v>
      </c>
      <c r="Y149" s="66">
        <v>0</v>
      </c>
      <c r="Z149" s="66">
        <v>836</v>
      </c>
      <c r="AA149" s="66">
        <v>703</v>
      </c>
      <c r="AB149" s="66">
        <v>0</v>
      </c>
      <c r="AC149" s="66">
        <v>0</v>
      </c>
      <c r="AD149" s="66">
        <v>0</v>
      </c>
      <c r="AE149" s="66">
        <v>0</v>
      </c>
      <c r="AF149" s="66">
        <v>0</v>
      </c>
      <c r="AG149" s="66">
        <v>75</v>
      </c>
      <c r="AH149" s="66">
        <v>0</v>
      </c>
      <c r="AI149" s="66"/>
      <c r="AJ149" s="66"/>
      <c r="AK149" s="66"/>
    </row>
    <row r="150" spans="1:37">
      <c r="A150" s="11">
        <v>147</v>
      </c>
      <c r="B150" s="11" t="s">
        <v>215</v>
      </c>
      <c r="C150" s="11" t="s">
        <v>78</v>
      </c>
      <c r="D150" s="66"/>
      <c r="E150" s="66">
        <v>0</v>
      </c>
      <c r="F150" s="66">
        <v>0</v>
      </c>
      <c r="G150" s="66">
        <v>0</v>
      </c>
      <c r="H150" s="66">
        <v>0</v>
      </c>
      <c r="I150" s="66">
        <v>0</v>
      </c>
      <c r="J150" s="66">
        <v>0</v>
      </c>
      <c r="K150" s="66">
        <v>0</v>
      </c>
      <c r="L150" s="66">
        <v>0</v>
      </c>
      <c r="M150" s="66">
        <v>0</v>
      </c>
      <c r="N150" s="66">
        <v>0</v>
      </c>
      <c r="O150" s="66">
        <v>0</v>
      </c>
      <c r="P150" s="66">
        <v>0</v>
      </c>
      <c r="Q150" s="66">
        <v>0</v>
      </c>
      <c r="R150" s="66">
        <v>0</v>
      </c>
      <c r="S150" s="66">
        <v>0</v>
      </c>
      <c r="T150" s="66">
        <v>0</v>
      </c>
      <c r="U150" s="66">
        <v>0</v>
      </c>
      <c r="V150" s="66">
        <v>0</v>
      </c>
      <c r="W150" s="66">
        <v>0</v>
      </c>
      <c r="X150" s="66">
        <v>0</v>
      </c>
      <c r="Y150" s="66">
        <v>0</v>
      </c>
      <c r="Z150" s="66">
        <v>0</v>
      </c>
      <c r="AA150" s="66">
        <v>0</v>
      </c>
      <c r="AB150" s="66">
        <v>0</v>
      </c>
      <c r="AC150" s="66">
        <v>0</v>
      </c>
      <c r="AD150" s="66">
        <v>0</v>
      </c>
      <c r="AE150" s="66">
        <v>0</v>
      </c>
      <c r="AF150" s="66">
        <v>0</v>
      </c>
      <c r="AG150" s="66">
        <v>0</v>
      </c>
      <c r="AH150" s="66">
        <v>0</v>
      </c>
      <c r="AI150" s="66"/>
      <c r="AJ150" s="66"/>
      <c r="AK150" s="66"/>
    </row>
    <row r="151" spans="1:37">
      <c r="A151" s="11">
        <v>148</v>
      </c>
      <c r="B151" s="11" t="s">
        <v>216</v>
      </c>
      <c r="C151" s="11" t="s">
        <v>78</v>
      </c>
      <c r="D151" s="66"/>
      <c r="E151" s="66">
        <v>0</v>
      </c>
      <c r="F151" s="66">
        <v>0</v>
      </c>
      <c r="G151" s="66">
        <v>0</v>
      </c>
      <c r="H151" s="66">
        <v>0</v>
      </c>
      <c r="I151" s="66">
        <v>0</v>
      </c>
      <c r="J151" s="66">
        <v>0</v>
      </c>
      <c r="K151" s="66">
        <v>0</v>
      </c>
      <c r="L151" s="66">
        <v>0</v>
      </c>
      <c r="M151" s="66">
        <v>0</v>
      </c>
      <c r="N151" s="66">
        <v>0</v>
      </c>
      <c r="O151" s="66">
        <v>0</v>
      </c>
      <c r="P151" s="66">
        <v>0</v>
      </c>
      <c r="Q151" s="66">
        <v>0</v>
      </c>
      <c r="R151" s="66">
        <v>0</v>
      </c>
      <c r="S151" s="66">
        <v>0</v>
      </c>
      <c r="T151" s="66">
        <v>0</v>
      </c>
      <c r="U151" s="66">
        <v>0</v>
      </c>
      <c r="V151" s="66">
        <v>0</v>
      </c>
      <c r="W151" s="66">
        <v>0</v>
      </c>
      <c r="X151" s="66">
        <v>0</v>
      </c>
      <c r="Y151" s="66">
        <v>0</v>
      </c>
      <c r="Z151" s="66">
        <v>0</v>
      </c>
      <c r="AA151" s="66">
        <v>0</v>
      </c>
      <c r="AB151" s="66">
        <v>0</v>
      </c>
      <c r="AC151" s="66">
        <v>0</v>
      </c>
      <c r="AD151" s="66">
        <v>0</v>
      </c>
      <c r="AE151" s="66">
        <v>0</v>
      </c>
      <c r="AF151" s="66">
        <v>0</v>
      </c>
      <c r="AG151" s="66">
        <v>669</v>
      </c>
      <c r="AH151" s="66">
        <v>0</v>
      </c>
      <c r="AI151" s="66"/>
      <c r="AJ151" s="66"/>
      <c r="AK151" s="66"/>
    </row>
    <row r="152" spans="1:37">
      <c r="A152" s="11">
        <v>149</v>
      </c>
      <c r="B152" s="11" t="s">
        <v>79</v>
      </c>
      <c r="C152" s="11" t="s">
        <v>80</v>
      </c>
      <c r="D152" s="66"/>
      <c r="E152" s="66">
        <v>0</v>
      </c>
      <c r="F152" s="66">
        <v>0</v>
      </c>
      <c r="G152" s="66">
        <v>0</v>
      </c>
      <c r="H152" s="66">
        <v>0</v>
      </c>
      <c r="I152" s="66">
        <v>0</v>
      </c>
      <c r="J152" s="66">
        <v>0</v>
      </c>
      <c r="K152" s="66">
        <v>0</v>
      </c>
      <c r="L152" s="66">
        <v>0</v>
      </c>
      <c r="M152" s="66">
        <v>0</v>
      </c>
      <c r="N152" s="66">
        <v>59</v>
      </c>
      <c r="O152" s="66">
        <v>0</v>
      </c>
      <c r="P152" s="66">
        <v>0</v>
      </c>
      <c r="Q152" s="66">
        <v>0</v>
      </c>
      <c r="R152" s="66">
        <v>0</v>
      </c>
      <c r="S152" s="66">
        <v>202</v>
      </c>
      <c r="T152" s="66">
        <v>0</v>
      </c>
      <c r="U152" s="66">
        <v>0</v>
      </c>
      <c r="V152" s="66">
        <v>0</v>
      </c>
      <c r="W152" s="66">
        <v>0</v>
      </c>
      <c r="X152" s="66">
        <v>0</v>
      </c>
      <c r="Y152" s="66">
        <v>0</v>
      </c>
      <c r="Z152" s="66">
        <v>0</v>
      </c>
      <c r="AA152" s="66">
        <v>0</v>
      </c>
      <c r="AB152" s="66">
        <v>0</v>
      </c>
      <c r="AC152" s="66">
        <v>0</v>
      </c>
      <c r="AD152" s="66">
        <v>0</v>
      </c>
      <c r="AE152" s="66">
        <v>0</v>
      </c>
      <c r="AF152" s="66">
        <v>0</v>
      </c>
      <c r="AG152" s="66">
        <v>226</v>
      </c>
      <c r="AH152" s="66">
        <v>0</v>
      </c>
      <c r="AI152" s="66"/>
      <c r="AJ152" s="66"/>
      <c r="AK152" s="66"/>
    </row>
    <row r="153" spans="1:37">
      <c r="A153" s="11">
        <v>150</v>
      </c>
      <c r="B153" s="11" t="s">
        <v>217</v>
      </c>
      <c r="C153" s="11" t="s">
        <v>80</v>
      </c>
      <c r="D153" s="66"/>
      <c r="E153" s="66">
        <v>0</v>
      </c>
      <c r="F153" s="66">
        <v>0</v>
      </c>
      <c r="G153" s="66">
        <v>0</v>
      </c>
      <c r="H153" s="66">
        <v>0</v>
      </c>
      <c r="I153" s="66">
        <v>0</v>
      </c>
      <c r="J153" s="66">
        <v>0</v>
      </c>
      <c r="K153" s="66">
        <v>0</v>
      </c>
      <c r="L153" s="66">
        <v>202</v>
      </c>
      <c r="M153" s="66">
        <v>65</v>
      </c>
      <c r="N153" s="66">
        <v>0</v>
      </c>
      <c r="O153" s="66">
        <v>0</v>
      </c>
      <c r="P153" s="66">
        <v>0</v>
      </c>
      <c r="Q153" s="66">
        <v>0</v>
      </c>
      <c r="R153" s="66">
        <v>0</v>
      </c>
      <c r="S153" s="66">
        <v>0</v>
      </c>
      <c r="T153" s="66">
        <v>0</v>
      </c>
      <c r="U153" s="66">
        <v>0</v>
      </c>
      <c r="V153" s="66">
        <v>0</v>
      </c>
      <c r="W153" s="66">
        <v>0</v>
      </c>
      <c r="X153" s="66">
        <v>0</v>
      </c>
      <c r="Y153" s="66">
        <v>0</v>
      </c>
      <c r="Z153" s="66">
        <v>180</v>
      </c>
      <c r="AA153" s="66">
        <v>116</v>
      </c>
      <c r="AB153" s="66">
        <v>0</v>
      </c>
      <c r="AC153" s="66">
        <v>0</v>
      </c>
      <c r="AD153" s="66">
        <v>0</v>
      </c>
      <c r="AE153" s="66">
        <v>0</v>
      </c>
      <c r="AF153" s="66">
        <v>0</v>
      </c>
      <c r="AG153" s="66">
        <v>0</v>
      </c>
      <c r="AH153" s="66">
        <v>0</v>
      </c>
      <c r="AI153" s="66"/>
      <c r="AJ153" s="66"/>
      <c r="AK153" s="66"/>
    </row>
    <row r="154" spans="1:37">
      <c r="A154" s="11">
        <v>151</v>
      </c>
      <c r="B154" s="11" t="s">
        <v>218</v>
      </c>
      <c r="C154" s="11" t="s">
        <v>80</v>
      </c>
      <c r="D154" s="66"/>
      <c r="E154" s="66">
        <v>0</v>
      </c>
      <c r="F154" s="66">
        <v>0</v>
      </c>
      <c r="G154" s="66">
        <v>0</v>
      </c>
      <c r="H154" s="66">
        <v>0</v>
      </c>
      <c r="I154" s="66">
        <v>0</v>
      </c>
      <c r="J154" s="66">
        <v>0</v>
      </c>
      <c r="K154" s="66">
        <v>0</v>
      </c>
      <c r="L154" s="66">
        <v>0</v>
      </c>
      <c r="M154" s="66">
        <v>0</v>
      </c>
      <c r="N154" s="66">
        <v>0</v>
      </c>
      <c r="O154" s="66">
        <v>0</v>
      </c>
      <c r="P154" s="66">
        <v>0</v>
      </c>
      <c r="Q154" s="66">
        <v>0</v>
      </c>
      <c r="R154" s="66">
        <v>0</v>
      </c>
      <c r="S154" s="66">
        <v>0</v>
      </c>
      <c r="T154" s="66">
        <v>0</v>
      </c>
      <c r="U154" s="66">
        <v>0</v>
      </c>
      <c r="V154" s="66">
        <v>0</v>
      </c>
      <c r="W154" s="66">
        <v>0</v>
      </c>
      <c r="X154" s="66">
        <v>0</v>
      </c>
      <c r="Y154" s="66">
        <v>0</v>
      </c>
      <c r="Z154" s="66">
        <v>0</v>
      </c>
      <c r="AA154" s="66">
        <v>0</v>
      </c>
      <c r="AB154" s="66">
        <v>0</v>
      </c>
      <c r="AC154" s="66">
        <v>0</v>
      </c>
      <c r="AD154" s="66">
        <v>0</v>
      </c>
      <c r="AE154" s="66">
        <v>0</v>
      </c>
      <c r="AF154" s="66">
        <v>0</v>
      </c>
      <c r="AG154" s="66">
        <v>0</v>
      </c>
      <c r="AH154" s="66">
        <v>0</v>
      </c>
      <c r="AI154" s="66"/>
      <c r="AJ154" s="66"/>
      <c r="AK154" s="66"/>
    </row>
    <row r="155" spans="1:37">
      <c r="A155" s="11">
        <v>152</v>
      </c>
      <c r="B155" s="11" t="s">
        <v>219</v>
      </c>
      <c r="C155" s="11" t="s">
        <v>80</v>
      </c>
      <c r="D155" s="66"/>
      <c r="E155" s="66">
        <v>0</v>
      </c>
      <c r="F155" s="66">
        <v>0</v>
      </c>
      <c r="G155" s="66">
        <v>0</v>
      </c>
      <c r="H155" s="66">
        <v>0</v>
      </c>
      <c r="I155" s="66">
        <v>0</v>
      </c>
      <c r="J155" s="66">
        <v>0</v>
      </c>
      <c r="K155" s="66">
        <v>0</v>
      </c>
      <c r="L155" s="66">
        <v>0</v>
      </c>
      <c r="M155" s="66">
        <v>0</v>
      </c>
      <c r="N155" s="66">
        <v>0</v>
      </c>
      <c r="O155" s="66">
        <v>0</v>
      </c>
      <c r="P155" s="66">
        <v>0</v>
      </c>
      <c r="Q155" s="66">
        <v>0</v>
      </c>
      <c r="R155" s="66">
        <v>0</v>
      </c>
      <c r="S155" s="66">
        <v>0</v>
      </c>
      <c r="T155" s="66">
        <v>0</v>
      </c>
      <c r="U155" s="66">
        <v>0</v>
      </c>
      <c r="V155" s="66">
        <v>0</v>
      </c>
      <c r="W155" s="66">
        <v>0</v>
      </c>
      <c r="X155" s="66">
        <v>0</v>
      </c>
      <c r="Y155" s="66">
        <v>0</v>
      </c>
      <c r="Z155" s="66">
        <v>0</v>
      </c>
      <c r="AA155" s="66">
        <v>0</v>
      </c>
      <c r="AB155" s="66">
        <v>0</v>
      </c>
      <c r="AC155" s="66">
        <v>0</v>
      </c>
      <c r="AD155" s="66">
        <v>0</v>
      </c>
      <c r="AE155" s="66">
        <v>0</v>
      </c>
      <c r="AF155" s="66">
        <v>0</v>
      </c>
      <c r="AG155" s="66">
        <v>0</v>
      </c>
      <c r="AH155" s="66">
        <v>0</v>
      </c>
      <c r="AI155" s="66"/>
      <c r="AJ155" s="66"/>
      <c r="AK155" s="66"/>
    </row>
    <row r="156" spans="1:37">
      <c r="A156" s="11">
        <v>153</v>
      </c>
      <c r="B156" s="11" t="s">
        <v>81</v>
      </c>
      <c r="C156" s="11" t="s">
        <v>82</v>
      </c>
      <c r="D156" s="66"/>
      <c r="E156" s="66">
        <v>0</v>
      </c>
      <c r="F156" s="66">
        <v>0</v>
      </c>
      <c r="G156" s="66">
        <v>0</v>
      </c>
      <c r="H156" s="66">
        <v>0</v>
      </c>
      <c r="I156" s="66">
        <v>0</v>
      </c>
      <c r="J156" s="66">
        <v>0</v>
      </c>
      <c r="K156" s="66">
        <v>0</v>
      </c>
      <c r="L156" s="66">
        <v>0</v>
      </c>
      <c r="M156" s="66">
        <v>0</v>
      </c>
      <c r="N156" s="66">
        <v>0</v>
      </c>
      <c r="O156" s="66">
        <v>0</v>
      </c>
      <c r="P156" s="66">
        <v>0</v>
      </c>
      <c r="Q156" s="66">
        <v>0</v>
      </c>
      <c r="R156" s="66">
        <v>0</v>
      </c>
      <c r="S156" s="66">
        <v>0</v>
      </c>
      <c r="T156" s="66">
        <v>0</v>
      </c>
      <c r="U156" s="66">
        <v>0</v>
      </c>
      <c r="V156" s="66">
        <v>0</v>
      </c>
      <c r="W156" s="66">
        <v>0</v>
      </c>
      <c r="X156" s="66">
        <v>0</v>
      </c>
      <c r="Y156" s="66">
        <v>0</v>
      </c>
      <c r="Z156" s="66">
        <v>0</v>
      </c>
      <c r="AA156" s="66">
        <v>0</v>
      </c>
      <c r="AB156" s="66">
        <v>0</v>
      </c>
      <c r="AC156" s="66">
        <v>0</v>
      </c>
      <c r="AD156" s="66">
        <v>0</v>
      </c>
      <c r="AE156" s="66">
        <v>0</v>
      </c>
      <c r="AF156" s="66">
        <v>0</v>
      </c>
      <c r="AG156" s="66">
        <v>0</v>
      </c>
      <c r="AH156" s="66">
        <v>0</v>
      </c>
      <c r="AI156" s="66"/>
      <c r="AJ156" s="66"/>
      <c r="AK156" s="66"/>
    </row>
    <row r="157" spans="1:37">
      <c r="A157" s="11">
        <v>154</v>
      </c>
      <c r="B157" s="11" t="s">
        <v>220</v>
      </c>
      <c r="C157" s="11" t="s">
        <v>82</v>
      </c>
      <c r="D157" s="66"/>
      <c r="E157" s="66">
        <v>0</v>
      </c>
      <c r="F157" s="66">
        <v>0</v>
      </c>
      <c r="G157" s="66">
        <v>0</v>
      </c>
      <c r="H157" s="66">
        <v>0</v>
      </c>
      <c r="I157" s="66">
        <v>0</v>
      </c>
      <c r="J157" s="66">
        <v>0</v>
      </c>
      <c r="K157" s="66">
        <v>0</v>
      </c>
      <c r="L157" s="66">
        <v>0</v>
      </c>
      <c r="M157" s="66">
        <v>0</v>
      </c>
      <c r="N157" s="66">
        <v>0</v>
      </c>
      <c r="O157" s="66">
        <v>0</v>
      </c>
      <c r="P157" s="66">
        <v>437</v>
      </c>
      <c r="Q157" s="66">
        <v>0</v>
      </c>
      <c r="R157" s="66">
        <v>0</v>
      </c>
      <c r="S157" s="66">
        <v>0</v>
      </c>
      <c r="T157" s="66">
        <v>0</v>
      </c>
      <c r="U157" s="66">
        <v>0</v>
      </c>
      <c r="V157" s="66">
        <v>0</v>
      </c>
      <c r="W157" s="66">
        <v>0</v>
      </c>
      <c r="X157" s="66">
        <v>0</v>
      </c>
      <c r="Y157" s="66">
        <v>0</v>
      </c>
      <c r="Z157" s="66">
        <v>0</v>
      </c>
      <c r="AA157" s="66">
        <v>0</v>
      </c>
      <c r="AB157" s="66">
        <v>0</v>
      </c>
      <c r="AC157" s="66">
        <v>0</v>
      </c>
      <c r="AD157" s="66">
        <v>0</v>
      </c>
      <c r="AE157" s="66">
        <v>0</v>
      </c>
      <c r="AF157" s="66">
        <v>0</v>
      </c>
      <c r="AG157" s="66">
        <v>0</v>
      </c>
      <c r="AH157" s="66">
        <v>0</v>
      </c>
      <c r="AI157" s="66"/>
      <c r="AJ157" s="66"/>
      <c r="AK157" s="66"/>
    </row>
    <row r="158" spans="1:37">
      <c r="A158" s="11">
        <v>155</v>
      </c>
      <c r="B158" s="11" t="s">
        <v>221</v>
      </c>
      <c r="C158" s="11" t="s">
        <v>82</v>
      </c>
      <c r="D158" s="66"/>
      <c r="E158" s="66">
        <v>0</v>
      </c>
      <c r="F158" s="66">
        <v>0</v>
      </c>
      <c r="G158" s="66">
        <v>0</v>
      </c>
      <c r="H158" s="66">
        <v>0</v>
      </c>
      <c r="I158" s="66">
        <v>0</v>
      </c>
      <c r="J158" s="66">
        <v>0</v>
      </c>
      <c r="K158" s="66">
        <v>0</v>
      </c>
      <c r="L158" s="66">
        <v>0</v>
      </c>
      <c r="M158" s="66">
        <v>0</v>
      </c>
      <c r="N158" s="66">
        <v>0</v>
      </c>
      <c r="O158" s="66">
        <v>0</v>
      </c>
      <c r="P158" s="66">
        <v>0</v>
      </c>
      <c r="Q158" s="66">
        <v>0</v>
      </c>
      <c r="R158" s="66">
        <v>0</v>
      </c>
      <c r="S158" s="66">
        <v>0</v>
      </c>
      <c r="T158" s="66">
        <v>0</v>
      </c>
      <c r="U158" s="66">
        <v>0</v>
      </c>
      <c r="V158" s="66">
        <v>0</v>
      </c>
      <c r="W158" s="66">
        <v>0</v>
      </c>
      <c r="X158" s="66">
        <v>0</v>
      </c>
      <c r="Y158" s="66">
        <v>0</v>
      </c>
      <c r="Z158" s="66">
        <v>0</v>
      </c>
      <c r="AA158" s="66">
        <v>0</v>
      </c>
      <c r="AB158" s="66">
        <v>0</v>
      </c>
      <c r="AC158" s="66">
        <v>0</v>
      </c>
      <c r="AD158" s="66">
        <v>0</v>
      </c>
      <c r="AE158" s="66">
        <v>0</v>
      </c>
      <c r="AF158" s="66">
        <v>0</v>
      </c>
      <c r="AG158" s="66">
        <v>0</v>
      </c>
      <c r="AH158" s="66">
        <v>0</v>
      </c>
      <c r="AI158" s="66"/>
      <c r="AJ158" s="66"/>
      <c r="AK158" s="66"/>
    </row>
    <row r="159" spans="1:37">
      <c r="A159" s="11">
        <v>156</v>
      </c>
      <c r="B159" s="11" t="s">
        <v>222</v>
      </c>
      <c r="C159" s="11" t="s">
        <v>82</v>
      </c>
      <c r="D159" s="66"/>
      <c r="E159" s="66">
        <v>0</v>
      </c>
      <c r="F159" s="66">
        <v>0</v>
      </c>
      <c r="G159" s="66">
        <v>0</v>
      </c>
      <c r="H159" s="66">
        <v>0</v>
      </c>
      <c r="I159" s="66">
        <v>0</v>
      </c>
      <c r="J159" s="66">
        <v>0</v>
      </c>
      <c r="K159" s="66">
        <v>0</v>
      </c>
      <c r="L159" s="66">
        <v>0</v>
      </c>
      <c r="M159" s="66">
        <v>0</v>
      </c>
      <c r="N159" s="66">
        <v>0</v>
      </c>
      <c r="O159" s="66">
        <v>0</v>
      </c>
      <c r="P159" s="66">
        <v>0</v>
      </c>
      <c r="Q159" s="66">
        <v>0</v>
      </c>
      <c r="R159" s="66">
        <v>0</v>
      </c>
      <c r="S159" s="66">
        <v>0</v>
      </c>
      <c r="T159" s="66">
        <v>0</v>
      </c>
      <c r="U159" s="66">
        <v>0</v>
      </c>
      <c r="V159" s="66">
        <v>0</v>
      </c>
      <c r="W159" s="66">
        <v>0</v>
      </c>
      <c r="X159" s="66">
        <v>0</v>
      </c>
      <c r="Y159" s="66">
        <v>0</v>
      </c>
      <c r="Z159" s="66">
        <v>0</v>
      </c>
      <c r="AA159" s="66">
        <v>0</v>
      </c>
      <c r="AB159" s="66">
        <v>0</v>
      </c>
      <c r="AC159" s="66">
        <v>0</v>
      </c>
      <c r="AD159" s="66">
        <v>0</v>
      </c>
      <c r="AE159" s="66">
        <v>0</v>
      </c>
      <c r="AF159" s="66">
        <v>0</v>
      </c>
      <c r="AG159" s="66">
        <v>0</v>
      </c>
      <c r="AH159" s="66">
        <v>0</v>
      </c>
      <c r="AI159" s="66"/>
      <c r="AJ159" s="66"/>
      <c r="AK159" s="66"/>
    </row>
    <row r="160" spans="1:37">
      <c r="A160" s="11">
        <v>157</v>
      </c>
      <c r="B160" s="11" t="s">
        <v>83</v>
      </c>
      <c r="C160" s="11" t="s">
        <v>84</v>
      </c>
      <c r="D160" s="66"/>
      <c r="E160" s="66">
        <v>0</v>
      </c>
      <c r="F160" s="66">
        <v>0</v>
      </c>
      <c r="G160" s="66">
        <v>0</v>
      </c>
      <c r="H160" s="66">
        <v>0</v>
      </c>
      <c r="I160" s="66">
        <v>0</v>
      </c>
      <c r="J160" s="66">
        <v>0</v>
      </c>
      <c r="K160" s="66">
        <v>0</v>
      </c>
      <c r="L160" s="66">
        <v>0</v>
      </c>
      <c r="M160" s="66">
        <v>0</v>
      </c>
      <c r="N160" s="66">
        <v>0</v>
      </c>
      <c r="O160" s="66">
        <v>0</v>
      </c>
      <c r="P160" s="66">
        <v>0</v>
      </c>
      <c r="Q160" s="66">
        <v>0</v>
      </c>
      <c r="R160" s="66">
        <v>0</v>
      </c>
      <c r="S160" s="66">
        <v>0</v>
      </c>
      <c r="T160" s="66">
        <v>0</v>
      </c>
      <c r="U160" s="66">
        <v>0</v>
      </c>
      <c r="V160" s="66">
        <v>0</v>
      </c>
      <c r="W160" s="66">
        <v>0</v>
      </c>
      <c r="X160" s="66">
        <v>0</v>
      </c>
      <c r="Y160" s="66">
        <v>0</v>
      </c>
      <c r="Z160" s="66">
        <v>0</v>
      </c>
      <c r="AA160" s="66">
        <v>0</v>
      </c>
      <c r="AB160" s="66">
        <v>0</v>
      </c>
      <c r="AC160" s="66">
        <v>0</v>
      </c>
      <c r="AD160" s="66">
        <v>0</v>
      </c>
      <c r="AE160" s="66">
        <v>0</v>
      </c>
      <c r="AF160" s="66">
        <v>0</v>
      </c>
      <c r="AG160" s="66">
        <v>0</v>
      </c>
      <c r="AH160" s="66">
        <v>0</v>
      </c>
      <c r="AI160" s="66"/>
      <c r="AJ160" s="66"/>
      <c r="AK160" s="66"/>
    </row>
    <row r="161" spans="1:37">
      <c r="A161" s="11">
        <v>158</v>
      </c>
      <c r="B161" s="11" t="s">
        <v>223</v>
      </c>
      <c r="C161" s="11" t="s">
        <v>84</v>
      </c>
      <c r="D161" s="66"/>
      <c r="E161" s="66">
        <v>0</v>
      </c>
      <c r="F161" s="66">
        <v>0</v>
      </c>
      <c r="G161" s="66">
        <v>0</v>
      </c>
      <c r="H161" s="66">
        <v>0</v>
      </c>
      <c r="I161" s="66">
        <v>0</v>
      </c>
      <c r="J161" s="66">
        <v>0</v>
      </c>
      <c r="K161" s="66">
        <v>0</v>
      </c>
      <c r="L161" s="66">
        <v>0</v>
      </c>
      <c r="M161" s="66">
        <v>0</v>
      </c>
      <c r="N161" s="66">
        <v>0</v>
      </c>
      <c r="O161" s="66">
        <v>0</v>
      </c>
      <c r="P161" s="66">
        <v>0</v>
      </c>
      <c r="Q161" s="66">
        <v>0</v>
      </c>
      <c r="R161" s="66">
        <v>0</v>
      </c>
      <c r="S161" s="66">
        <v>0</v>
      </c>
      <c r="T161" s="66">
        <v>0</v>
      </c>
      <c r="U161" s="66">
        <v>0</v>
      </c>
      <c r="V161" s="66">
        <v>0</v>
      </c>
      <c r="W161" s="66">
        <v>0</v>
      </c>
      <c r="X161" s="66">
        <v>0</v>
      </c>
      <c r="Y161" s="66">
        <v>0</v>
      </c>
      <c r="Z161" s="66">
        <v>0</v>
      </c>
      <c r="AA161" s="66">
        <v>0</v>
      </c>
      <c r="AB161" s="66">
        <v>0</v>
      </c>
      <c r="AC161" s="66">
        <v>0</v>
      </c>
      <c r="AD161" s="66">
        <v>0</v>
      </c>
      <c r="AE161" s="66">
        <v>0</v>
      </c>
      <c r="AF161" s="66">
        <v>0</v>
      </c>
      <c r="AG161" s="66">
        <v>0</v>
      </c>
      <c r="AH161" s="66">
        <v>0</v>
      </c>
      <c r="AI161" s="66"/>
      <c r="AJ161" s="66"/>
      <c r="AK161" s="66"/>
    </row>
    <row r="162" spans="1:37">
      <c r="A162" s="11">
        <v>159</v>
      </c>
      <c r="B162" s="11" t="s">
        <v>224</v>
      </c>
      <c r="C162" s="11" t="s">
        <v>84</v>
      </c>
      <c r="D162" s="66"/>
      <c r="E162" s="66">
        <v>0</v>
      </c>
      <c r="F162" s="66">
        <v>0</v>
      </c>
      <c r="G162" s="66">
        <v>0</v>
      </c>
      <c r="H162" s="66">
        <v>0</v>
      </c>
      <c r="I162" s="66">
        <v>0</v>
      </c>
      <c r="J162" s="66">
        <v>0</v>
      </c>
      <c r="K162" s="66">
        <v>0</v>
      </c>
      <c r="L162" s="66">
        <v>0</v>
      </c>
      <c r="M162" s="66">
        <v>0</v>
      </c>
      <c r="N162" s="66">
        <v>0</v>
      </c>
      <c r="O162" s="66">
        <v>0</v>
      </c>
      <c r="P162" s="66">
        <v>0</v>
      </c>
      <c r="Q162" s="66">
        <v>0</v>
      </c>
      <c r="R162" s="66">
        <v>0</v>
      </c>
      <c r="S162" s="66">
        <v>0</v>
      </c>
      <c r="T162" s="66">
        <v>0</v>
      </c>
      <c r="U162" s="66">
        <v>0</v>
      </c>
      <c r="V162" s="66">
        <v>0</v>
      </c>
      <c r="W162" s="66">
        <v>0</v>
      </c>
      <c r="X162" s="66">
        <v>0</v>
      </c>
      <c r="Y162" s="66">
        <v>0</v>
      </c>
      <c r="Z162" s="66">
        <v>0</v>
      </c>
      <c r="AA162" s="66">
        <v>0</v>
      </c>
      <c r="AB162" s="66">
        <v>0</v>
      </c>
      <c r="AC162" s="66">
        <v>0</v>
      </c>
      <c r="AD162" s="66">
        <v>0</v>
      </c>
      <c r="AE162" s="66">
        <v>0</v>
      </c>
      <c r="AF162" s="66">
        <v>0</v>
      </c>
      <c r="AG162" s="66">
        <v>0</v>
      </c>
      <c r="AH162" s="66">
        <v>0</v>
      </c>
      <c r="AI162" s="66"/>
      <c r="AJ162" s="66"/>
      <c r="AK162" s="66"/>
    </row>
    <row r="163" spans="1:37">
      <c r="A163" s="11">
        <v>160</v>
      </c>
      <c r="B163" s="11" t="s">
        <v>225</v>
      </c>
      <c r="C163" s="11" t="s">
        <v>84</v>
      </c>
      <c r="D163" s="66"/>
      <c r="E163" s="66">
        <v>0</v>
      </c>
      <c r="F163" s="66">
        <v>0</v>
      </c>
      <c r="G163" s="66">
        <v>0</v>
      </c>
      <c r="H163" s="66">
        <v>0</v>
      </c>
      <c r="I163" s="66">
        <v>0</v>
      </c>
      <c r="J163" s="66">
        <v>0</v>
      </c>
      <c r="K163" s="66">
        <v>0</v>
      </c>
      <c r="L163" s="66">
        <v>0</v>
      </c>
      <c r="M163" s="66">
        <v>0</v>
      </c>
      <c r="N163" s="66">
        <v>0</v>
      </c>
      <c r="O163" s="66">
        <v>0</v>
      </c>
      <c r="P163" s="66">
        <v>0</v>
      </c>
      <c r="Q163" s="66">
        <v>0</v>
      </c>
      <c r="R163" s="66">
        <v>0</v>
      </c>
      <c r="S163" s="66">
        <v>0</v>
      </c>
      <c r="T163" s="66">
        <v>0</v>
      </c>
      <c r="U163" s="66">
        <v>0</v>
      </c>
      <c r="V163" s="66">
        <v>0</v>
      </c>
      <c r="W163" s="66">
        <v>0</v>
      </c>
      <c r="X163" s="66">
        <v>0</v>
      </c>
      <c r="Y163" s="66">
        <v>0</v>
      </c>
      <c r="Z163" s="66">
        <v>0</v>
      </c>
      <c r="AA163" s="66">
        <v>0</v>
      </c>
      <c r="AB163" s="66">
        <v>0</v>
      </c>
      <c r="AC163" s="66">
        <v>0</v>
      </c>
      <c r="AD163" s="66">
        <v>0</v>
      </c>
      <c r="AE163" s="66">
        <v>0</v>
      </c>
      <c r="AF163" s="66">
        <v>0</v>
      </c>
      <c r="AG163" s="66">
        <v>0</v>
      </c>
      <c r="AH163" s="66">
        <v>0</v>
      </c>
      <c r="AI163" s="66"/>
      <c r="AJ163" s="66"/>
      <c r="AK163" s="66"/>
    </row>
    <row r="164" spans="1:37">
      <c r="A164" s="11">
        <v>161</v>
      </c>
      <c r="B164" s="11" t="s">
        <v>85</v>
      </c>
      <c r="C164" s="11" t="s">
        <v>86</v>
      </c>
      <c r="D164" s="66"/>
      <c r="E164" s="66">
        <v>0</v>
      </c>
      <c r="F164" s="66">
        <v>0</v>
      </c>
      <c r="G164" s="66">
        <v>0</v>
      </c>
      <c r="H164" s="66">
        <v>0</v>
      </c>
      <c r="I164" s="66">
        <v>0</v>
      </c>
      <c r="J164" s="66">
        <v>0</v>
      </c>
      <c r="K164" s="66">
        <v>0</v>
      </c>
      <c r="L164" s="66">
        <v>0</v>
      </c>
      <c r="M164" s="66">
        <v>0</v>
      </c>
      <c r="N164" s="66">
        <v>0</v>
      </c>
      <c r="O164" s="66">
        <v>0</v>
      </c>
      <c r="P164" s="66">
        <v>0</v>
      </c>
      <c r="Q164" s="66">
        <v>0</v>
      </c>
      <c r="R164" s="66">
        <v>0</v>
      </c>
      <c r="S164" s="66">
        <v>0</v>
      </c>
      <c r="T164" s="66">
        <v>0</v>
      </c>
      <c r="U164" s="66">
        <v>0</v>
      </c>
      <c r="V164" s="66">
        <v>0</v>
      </c>
      <c r="W164" s="66">
        <v>0</v>
      </c>
      <c r="X164" s="66">
        <v>0</v>
      </c>
      <c r="Y164" s="66">
        <v>0</v>
      </c>
      <c r="Z164" s="66">
        <v>0</v>
      </c>
      <c r="AA164" s="66">
        <v>0</v>
      </c>
      <c r="AB164" s="66">
        <v>0</v>
      </c>
      <c r="AC164" s="66">
        <v>0</v>
      </c>
      <c r="AD164" s="66">
        <v>0</v>
      </c>
      <c r="AE164" s="66">
        <v>0</v>
      </c>
      <c r="AF164" s="66">
        <v>0</v>
      </c>
      <c r="AG164" s="66">
        <v>0</v>
      </c>
      <c r="AH164" s="66">
        <v>0</v>
      </c>
      <c r="AI164" s="66"/>
      <c r="AJ164" s="66"/>
      <c r="AK164" s="66"/>
    </row>
    <row r="165" spans="1:37">
      <c r="A165" s="11">
        <v>162</v>
      </c>
      <c r="B165" s="11" t="s">
        <v>226</v>
      </c>
      <c r="C165" s="11" t="s">
        <v>86</v>
      </c>
      <c r="D165" s="66"/>
      <c r="E165" s="66">
        <v>0</v>
      </c>
      <c r="F165" s="66">
        <v>0</v>
      </c>
      <c r="G165" s="66">
        <v>0</v>
      </c>
      <c r="H165" s="66">
        <v>0</v>
      </c>
      <c r="I165" s="66">
        <v>0</v>
      </c>
      <c r="J165" s="66">
        <v>0</v>
      </c>
      <c r="K165" s="66">
        <v>0</v>
      </c>
      <c r="L165" s="66">
        <v>0</v>
      </c>
      <c r="M165" s="66">
        <v>0</v>
      </c>
      <c r="N165" s="66">
        <v>0</v>
      </c>
      <c r="O165" s="66">
        <v>0</v>
      </c>
      <c r="P165" s="66">
        <v>0</v>
      </c>
      <c r="Q165" s="66">
        <v>0</v>
      </c>
      <c r="R165" s="66">
        <v>0</v>
      </c>
      <c r="S165" s="66">
        <v>0</v>
      </c>
      <c r="T165" s="66">
        <v>0</v>
      </c>
      <c r="U165" s="66">
        <v>0</v>
      </c>
      <c r="V165" s="66">
        <v>0</v>
      </c>
      <c r="W165" s="66">
        <v>0</v>
      </c>
      <c r="X165" s="66">
        <v>0</v>
      </c>
      <c r="Y165" s="66">
        <v>0</v>
      </c>
      <c r="Z165" s="66">
        <v>0</v>
      </c>
      <c r="AA165" s="66">
        <v>0</v>
      </c>
      <c r="AB165" s="66">
        <v>0</v>
      </c>
      <c r="AC165" s="66">
        <v>0</v>
      </c>
      <c r="AD165" s="66">
        <v>0</v>
      </c>
      <c r="AE165" s="66">
        <v>0</v>
      </c>
      <c r="AF165" s="66">
        <v>0</v>
      </c>
      <c r="AG165" s="66">
        <v>0</v>
      </c>
      <c r="AH165" s="66">
        <v>0</v>
      </c>
      <c r="AI165" s="66"/>
      <c r="AJ165" s="66"/>
      <c r="AK165" s="66"/>
    </row>
    <row r="166" spans="1:37">
      <c r="A166" s="11">
        <v>163</v>
      </c>
      <c r="B166" s="11" t="s">
        <v>227</v>
      </c>
      <c r="C166" s="11" t="s">
        <v>86</v>
      </c>
      <c r="D166" s="66"/>
      <c r="E166" s="66">
        <v>0</v>
      </c>
      <c r="F166" s="66">
        <v>0</v>
      </c>
      <c r="G166" s="66">
        <v>0</v>
      </c>
      <c r="H166" s="66">
        <v>0</v>
      </c>
      <c r="I166" s="66">
        <v>0</v>
      </c>
      <c r="J166" s="66">
        <v>0</v>
      </c>
      <c r="K166" s="66">
        <v>0</v>
      </c>
      <c r="L166" s="66">
        <v>0</v>
      </c>
      <c r="M166" s="66">
        <v>0</v>
      </c>
      <c r="N166" s="66">
        <v>0</v>
      </c>
      <c r="O166" s="66">
        <v>0</v>
      </c>
      <c r="P166" s="66">
        <v>0</v>
      </c>
      <c r="Q166" s="66">
        <v>0</v>
      </c>
      <c r="R166" s="66">
        <v>0</v>
      </c>
      <c r="S166" s="66">
        <v>0</v>
      </c>
      <c r="T166" s="66">
        <v>0</v>
      </c>
      <c r="U166" s="66">
        <v>0</v>
      </c>
      <c r="V166" s="66">
        <v>0</v>
      </c>
      <c r="W166" s="66">
        <v>0</v>
      </c>
      <c r="X166" s="66">
        <v>0</v>
      </c>
      <c r="Y166" s="66">
        <v>0</v>
      </c>
      <c r="Z166" s="66">
        <v>0</v>
      </c>
      <c r="AA166" s="66">
        <v>0</v>
      </c>
      <c r="AB166" s="66">
        <v>0</v>
      </c>
      <c r="AC166" s="66">
        <v>0</v>
      </c>
      <c r="AD166" s="66">
        <v>0</v>
      </c>
      <c r="AE166" s="66">
        <v>0</v>
      </c>
      <c r="AF166" s="66">
        <v>0</v>
      </c>
      <c r="AG166" s="66">
        <v>0</v>
      </c>
      <c r="AH166" s="66">
        <v>0</v>
      </c>
      <c r="AI166" s="66"/>
      <c r="AJ166" s="66"/>
      <c r="AK166" s="66"/>
    </row>
    <row r="167" spans="1:37">
      <c r="A167" s="11">
        <v>164</v>
      </c>
      <c r="B167" s="11" t="s">
        <v>228</v>
      </c>
      <c r="C167" s="11" t="s">
        <v>86</v>
      </c>
      <c r="D167" s="66"/>
      <c r="E167" s="66">
        <v>0</v>
      </c>
      <c r="F167" s="66">
        <v>0</v>
      </c>
      <c r="G167" s="66">
        <v>0</v>
      </c>
      <c r="H167" s="66">
        <v>0</v>
      </c>
      <c r="I167" s="66">
        <v>0</v>
      </c>
      <c r="J167" s="66">
        <v>0</v>
      </c>
      <c r="K167" s="66">
        <v>0</v>
      </c>
      <c r="L167" s="66">
        <v>0</v>
      </c>
      <c r="M167" s="66">
        <v>0</v>
      </c>
      <c r="N167" s="66">
        <v>0</v>
      </c>
      <c r="O167" s="66">
        <v>0</v>
      </c>
      <c r="P167" s="66">
        <v>0</v>
      </c>
      <c r="Q167" s="66">
        <v>0</v>
      </c>
      <c r="R167" s="66">
        <v>0</v>
      </c>
      <c r="S167" s="66">
        <v>0</v>
      </c>
      <c r="T167" s="66">
        <v>0</v>
      </c>
      <c r="U167" s="66">
        <v>0</v>
      </c>
      <c r="V167" s="66">
        <v>0</v>
      </c>
      <c r="W167" s="66">
        <v>0</v>
      </c>
      <c r="X167" s="66">
        <v>0</v>
      </c>
      <c r="Y167" s="66">
        <v>0</v>
      </c>
      <c r="Z167" s="66">
        <v>0</v>
      </c>
      <c r="AA167" s="66">
        <v>0</v>
      </c>
      <c r="AB167" s="66">
        <v>0</v>
      </c>
      <c r="AC167" s="66">
        <v>0</v>
      </c>
      <c r="AD167" s="66">
        <v>0</v>
      </c>
      <c r="AE167" s="66">
        <v>0</v>
      </c>
      <c r="AF167" s="66">
        <v>0</v>
      </c>
      <c r="AG167" s="66">
        <v>0</v>
      </c>
      <c r="AH167" s="66">
        <v>0</v>
      </c>
      <c r="AI167" s="66"/>
      <c r="AJ167" s="66"/>
      <c r="AK167" s="66"/>
    </row>
    <row r="168" spans="1:37">
      <c r="A168" s="11">
        <v>165</v>
      </c>
      <c r="B168" s="11" t="s">
        <v>87</v>
      </c>
      <c r="C168" s="11" t="s">
        <v>88</v>
      </c>
      <c r="D168" s="66"/>
      <c r="E168" s="66">
        <v>0</v>
      </c>
      <c r="F168" s="66">
        <v>0</v>
      </c>
      <c r="G168" s="66">
        <v>0</v>
      </c>
      <c r="H168" s="66">
        <v>0</v>
      </c>
      <c r="I168" s="66">
        <v>0</v>
      </c>
      <c r="J168" s="66">
        <v>0</v>
      </c>
      <c r="K168" s="66">
        <v>0</v>
      </c>
      <c r="L168" s="66">
        <v>0</v>
      </c>
      <c r="M168" s="66">
        <v>0</v>
      </c>
      <c r="N168" s="66">
        <v>0</v>
      </c>
      <c r="O168" s="66">
        <v>0</v>
      </c>
      <c r="P168" s="66">
        <v>0</v>
      </c>
      <c r="Q168" s="66">
        <v>0</v>
      </c>
      <c r="R168" s="66">
        <v>0</v>
      </c>
      <c r="S168" s="66">
        <v>0</v>
      </c>
      <c r="T168" s="66">
        <v>1480</v>
      </c>
      <c r="U168" s="66">
        <v>0</v>
      </c>
      <c r="V168" s="66">
        <v>0</v>
      </c>
      <c r="W168" s="66">
        <v>0</v>
      </c>
      <c r="X168" s="66">
        <v>0</v>
      </c>
      <c r="Y168" s="66">
        <v>0</v>
      </c>
      <c r="Z168" s="66">
        <v>0</v>
      </c>
      <c r="AA168" s="66">
        <v>0</v>
      </c>
      <c r="AB168" s="66">
        <v>0</v>
      </c>
      <c r="AC168" s="66">
        <v>0</v>
      </c>
      <c r="AD168" s="66">
        <v>0</v>
      </c>
      <c r="AE168" s="66">
        <v>0</v>
      </c>
      <c r="AF168" s="66">
        <v>0</v>
      </c>
      <c r="AG168" s="66">
        <v>0</v>
      </c>
      <c r="AH168" s="66">
        <v>0</v>
      </c>
      <c r="AI168" s="66"/>
      <c r="AJ168" s="66"/>
      <c r="AK168" s="66"/>
    </row>
    <row r="169" spans="1:37">
      <c r="A169" s="11">
        <v>166</v>
      </c>
      <c r="B169" s="11" t="s">
        <v>229</v>
      </c>
      <c r="C169" s="11" t="s">
        <v>88</v>
      </c>
      <c r="D169" s="66"/>
      <c r="E169" s="66">
        <v>0</v>
      </c>
      <c r="F169" s="66">
        <v>0</v>
      </c>
      <c r="G169" s="66">
        <v>0</v>
      </c>
      <c r="H169" s="66">
        <v>0</v>
      </c>
      <c r="I169" s="66">
        <v>0</v>
      </c>
      <c r="J169" s="66">
        <v>0</v>
      </c>
      <c r="K169" s="66">
        <v>0</v>
      </c>
      <c r="L169" s="66">
        <v>0</v>
      </c>
      <c r="M169" s="66">
        <v>0</v>
      </c>
      <c r="N169" s="66">
        <v>0</v>
      </c>
      <c r="O169" s="66">
        <v>0</v>
      </c>
      <c r="P169" s="66">
        <v>0</v>
      </c>
      <c r="Q169" s="66">
        <v>0</v>
      </c>
      <c r="R169" s="66">
        <v>0</v>
      </c>
      <c r="S169" s="66">
        <v>0</v>
      </c>
      <c r="T169" s="66">
        <v>0</v>
      </c>
      <c r="U169" s="66">
        <v>0</v>
      </c>
      <c r="V169" s="66">
        <v>0</v>
      </c>
      <c r="W169" s="66">
        <v>0</v>
      </c>
      <c r="X169" s="66">
        <v>0</v>
      </c>
      <c r="Y169" s="66">
        <v>0</v>
      </c>
      <c r="Z169" s="66">
        <v>0</v>
      </c>
      <c r="AA169" s="66">
        <v>0</v>
      </c>
      <c r="AB169" s="66">
        <v>0</v>
      </c>
      <c r="AC169" s="66">
        <v>0</v>
      </c>
      <c r="AD169" s="66">
        <v>0</v>
      </c>
      <c r="AE169" s="66">
        <v>0</v>
      </c>
      <c r="AF169" s="66">
        <v>0</v>
      </c>
      <c r="AG169" s="66">
        <v>0</v>
      </c>
      <c r="AH169" s="66">
        <v>0</v>
      </c>
      <c r="AI169" s="66"/>
      <c r="AJ169" s="66"/>
      <c r="AK169" s="66"/>
    </row>
    <row r="170" spans="1:37">
      <c r="A170" s="11">
        <v>167</v>
      </c>
      <c r="B170" s="11" t="s">
        <v>230</v>
      </c>
      <c r="C170" s="11" t="s">
        <v>88</v>
      </c>
      <c r="D170" s="66"/>
      <c r="E170" s="66">
        <v>0</v>
      </c>
      <c r="F170" s="66">
        <v>0</v>
      </c>
      <c r="G170" s="66">
        <v>0</v>
      </c>
      <c r="H170" s="66">
        <v>0</v>
      </c>
      <c r="I170" s="66">
        <v>0</v>
      </c>
      <c r="J170" s="66">
        <v>0</v>
      </c>
      <c r="K170" s="66">
        <v>0</v>
      </c>
      <c r="L170" s="66">
        <v>0</v>
      </c>
      <c r="M170" s="66">
        <v>161</v>
      </c>
      <c r="N170" s="66">
        <v>0</v>
      </c>
      <c r="O170" s="66">
        <v>0</v>
      </c>
      <c r="P170" s="66">
        <v>0</v>
      </c>
      <c r="Q170" s="66">
        <v>0</v>
      </c>
      <c r="R170" s="66">
        <v>0</v>
      </c>
      <c r="S170" s="66">
        <v>0</v>
      </c>
      <c r="T170" s="66">
        <v>0</v>
      </c>
      <c r="U170" s="66">
        <v>0</v>
      </c>
      <c r="V170" s="66">
        <v>0</v>
      </c>
      <c r="W170" s="66">
        <v>0</v>
      </c>
      <c r="X170" s="66">
        <v>0</v>
      </c>
      <c r="Y170" s="66">
        <v>0</v>
      </c>
      <c r="Z170" s="66">
        <v>0</v>
      </c>
      <c r="AA170" s="66">
        <v>0</v>
      </c>
      <c r="AB170" s="66">
        <v>0</v>
      </c>
      <c r="AC170" s="66">
        <v>0</v>
      </c>
      <c r="AD170" s="66">
        <v>0</v>
      </c>
      <c r="AE170" s="66">
        <v>0</v>
      </c>
      <c r="AF170" s="66">
        <v>0</v>
      </c>
      <c r="AG170" s="66">
        <v>0</v>
      </c>
      <c r="AH170" s="66">
        <v>0</v>
      </c>
      <c r="AI170" s="66"/>
      <c r="AJ170" s="66"/>
      <c r="AK170" s="66"/>
    </row>
    <row r="171" spans="1:37">
      <c r="A171" s="11">
        <v>168</v>
      </c>
      <c r="B171" s="11" t="s">
        <v>231</v>
      </c>
      <c r="C171" s="11" t="s">
        <v>88</v>
      </c>
      <c r="D171" s="66"/>
      <c r="E171" s="66">
        <v>0</v>
      </c>
      <c r="F171" s="66">
        <v>0</v>
      </c>
      <c r="G171" s="66">
        <v>0</v>
      </c>
      <c r="H171" s="66">
        <v>0</v>
      </c>
      <c r="I171" s="66">
        <v>0</v>
      </c>
      <c r="J171" s="66">
        <v>0</v>
      </c>
      <c r="K171" s="66">
        <v>0</v>
      </c>
      <c r="L171" s="66">
        <v>0</v>
      </c>
      <c r="M171" s="66">
        <v>0</v>
      </c>
      <c r="N171" s="66">
        <v>0</v>
      </c>
      <c r="O171" s="66">
        <v>0</v>
      </c>
      <c r="P171" s="66">
        <v>0</v>
      </c>
      <c r="Q171" s="66">
        <v>0</v>
      </c>
      <c r="R171" s="66">
        <v>0</v>
      </c>
      <c r="S171" s="66">
        <v>0</v>
      </c>
      <c r="T171" s="66">
        <v>0</v>
      </c>
      <c r="U171" s="66">
        <v>0</v>
      </c>
      <c r="V171" s="66">
        <v>0</v>
      </c>
      <c r="W171" s="66">
        <v>0</v>
      </c>
      <c r="X171" s="66">
        <v>0</v>
      </c>
      <c r="Y171" s="66">
        <v>0</v>
      </c>
      <c r="Z171" s="66">
        <v>0</v>
      </c>
      <c r="AA171" s="66">
        <v>0</v>
      </c>
      <c r="AB171" s="66">
        <v>0</v>
      </c>
      <c r="AC171" s="66">
        <v>0</v>
      </c>
      <c r="AD171" s="66">
        <v>0</v>
      </c>
      <c r="AE171" s="66">
        <v>0</v>
      </c>
      <c r="AF171" s="66">
        <v>0</v>
      </c>
      <c r="AG171" s="66">
        <v>0</v>
      </c>
      <c r="AH171" s="66">
        <v>0</v>
      </c>
      <c r="AI171" s="66"/>
      <c r="AJ171" s="66"/>
      <c r="AK171" s="66"/>
    </row>
    <row r="172" spans="1:37">
      <c r="A172" s="11">
        <v>169</v>
      </c>
      <c r="B172" s="11" t="s">
        <v>89</v>
      </c>
      <c r="C172" s="11" t="s">
        <v>90</v>
      </c>
      <c r="D172" s="66"/>
      <c r="E172" s="66">
        <v>0</v>
      </c>
      <c r="F172" s="66">
        <v>0</v>
      </c>
      <c r="G172" s="66">
        <v>0</v>
      </c>
      <c r="H172" s="66">
        <v>0</v>
      </c>
      <c r="I172" s="66">
        <v>0</v>
      </c>
      <c r="J172" s="66">
        <v>0</v>
      </c>
      <c r="K172" s="66">
        <v>0</v>
      </c>
      <c r="L172" s="66">
        <v>0</v>
      </c>
      <c r="M172" s="66">
        <v>0</v>
      </c>
      <c r="N172" s="66">
        <v>0</v>
      </c>
      <c r="O172" s="66">
        <v>0</v>
      </c>
      <c r="P172" s="66">
        <v>0</v>
      </c>
      <c r="Q172" s="66">
        <v>0</v>
      </c>
      <c r="R172" s="66">
        <v>0</v>
      </c>
      <c r="S172" s="66">
        <v>0</v>
      </c>
      <c r="T172" s="66">
        <v>0</v>
      </c>
      <c r="U172" s="66">
        <v>0</v>
      </c>
      <c r="V172" s="66">
        <v>0</v>
      </c>
      <c r="W172" s="66">
        <v>0</v>
      </c>
      <c r="X172" s="66">
        <v>0</v>
      </c>
      <c r="Y172" s="66">
        <v>0</v>
      </c>
      <c r="Z172" s="66">
        <v>0</v>
      </c>
      <c r="AA172" s="66">
        <v>505</v>
      </c>
      <c r="AB172" s="66">
        <v>0</v>
      </c>
      <c r="AC172" s="66">
        <v>0</v>
      </c>
      <c r="AD172" s="66">
        <v>0</v>
      </c>
      <c r="AE172" s="66">
        <v>0</v>
      </c>
      <c r="AF172" s="66">
        <v>0</v>
      </c>
      <c r="AG172" s="66">
        <v>0</v>
      </c>
      <c r="AH172" s="66">
        <v>0</v>
      </c>
      <c r="AI172" s="66"/>
      <c r="AJ172" s="66"/>
      <c r="AK172" s="66"/>
    </row>
    <row r="173" spans="1:37">
      <c r="A173" s="11">
        <v>170</v>
      </c>
      <c r="B173" s="11" t="s">
        <v>232</v>
      </c>
      <c r="C173" s="11" t="s">
        <v>90</v>
      </c>
      <c r="D173" s="66"/>
      <c r="E173" s="66">
        <v>0</v>
      </c>
      <c r="F173" s="66">
        <v>0</v>
      </c>
      <c r="G173" s="66">
        <v>0</v>
      </c>
      <c r="H173" s="66">
        <v>0</v>
      </c>
      <c r="I173" s="66">
        <v>0</v>
      </c>
      <c r="J173" s="66">
        <v>0</v>
      </c>
      <c r="K173" s="66">
        <v>0</v>
      </c>
      <c r="L173" s="66">
        <v>0</v>
      </c>
      <c r="M173" s="66">
        <v>0</v>
      </c>
      <c r="N173" s="66">
        <v>0</v>
      </c>
      <c r="O173" s="66">
        <v>0</v>
      </c>
      <c r="P173" s="66">
        <v>0</v>
      </c>
      <c r="Q173" s="66">
        <v>0</v>
      </c>
      <c r="R173" s="66">
        <v>0</v>
      </c>
      <c r="S173" s="66">
        <v>0</v>
      </c>
      <c r="T173" s="66">
        <v>0</v>
      </c>
      <c r="U173" s="66">
        <v>0</v>
      </c>
      <c r="V173" s="66">
        <v>0</v>
      </c>
      <c r="W173" s="66">
        <v>0</v>
      </c>
      <c r="X173" s="66">
        <v>0</v>
      </c>
      <c r="Y173" s="66">
        <v>0</v>
      </c>
      <c r="Z173" s="66">
        <v>0</v>
      </c>
      <c r="AA173" s="66">
        <v>0</v>
      </c>
      <c r="AB173" s="66">
        <v>0</v>
      </c>
      <c r="AC173" s="66">
        <v>0</v>
      </c>
      <c r="AD173" s="66">
        <v>0</v>
      </c>
      <c r="AE173" s="66">
        <v>0</v>
      </c>
      <c r="AF173" s="66">
        <v>0</v>
      </c>
      <c r="AG173" s="66">
        <v>0</v>
      </c>
      <c r="AH173" s="66">
        <v>0</v>
      </c>
      <c r="AI173" s="66"/>
      <c r="AJ173" s="66"/>
      <c r="AK173" s="66"/>
    </row>
    <row r="174" spans="1:37">
      <c r="A174" s="11">
        <v>171</v>
      </c>
      <c r="B174" s="11" t="s">
        <v>233</v>
      </c>
      <c r="C174" s="11" t="s">
        <v>90</v>
      </c>
      <c r="D174" s="66"/>
      <c r="E174" s="66">
        <v>0</v>
      </c>
      <c r="F174" s="66">
        <v>0</v>
      </c>
      <c r="G174" s="66">
        <v>0</v>
      </c>
      <c r="H174" s="66">
        <v>0</v>
      </c>
      <c r="I174" s="66">
        <v>0</v>
      </c>
      <c r="J174" s="66">
        <v>0</v>
      </c>
      <c r="K174" s="66">
        <v>0</v>
      </c>
      <c r="L174" s="66">
        <v>0</v>
      </c>
      <c r="M174" s="66">
        <v>0</v>
      </c>
      <c r="N174" s="66">
        <v>0</v>
      </c>
      <c r="O174" s="66">
        <v>0</v>
      </c>
      <c r="P174" s="66">
        <v>0</v>
      </c>
      <c r="Q174" s="66">
        <v>0</v>
      </c>
      <c r="R174" s="66">
        <v>0</v>
      </c>
      <c r="S174" s="66">
        <v>0</v>
      </c>
      <c r="T174" s="66">
        <v>0</v>
      </c>
      <c r="U174" s="66">
        <v>0</v>
      </c>
      <c r="V174" s="66">
        <v>0</v>
      </c>
      <c r="W174" s="66">
        <v>0</v>
      </c>
      <c r="X174" s="66">
        <v>0</v>
      </c>
      <c r="Y174" s="66">
        <v>0</v>
      </c>
      <c r="Z174" s="66">
        <v>0</v>
      </c>
      <c r="AA174" s="66">
        <v>0</v>
      </c>
      <c r="AB174" s="66">
        <v>0</v>
      </c>
      <c r="AC174" s="66">
        <v>0</v>
      </c>
      <c r="AD174" s="66">
        <v>0</v>
      </c>
      <c r="AE174" s="66">
        <v>0</v>
      </c>
      <c r="AF174" s="66">
        <v>0</v>
      </c>
      <c r="AG174" s="66">
        <v>0</v>
      </c>
      <c r="AH174" s="66">
        <v>0</v>
      </c>
      <c r="AI174" s="66"/>
      <c r="AJ174" s="66"/>
      <c r="AK174" s="66"/>
    </row>
    <row r="175" spans="1:37">
      <c r="A175" s="11">
        <v>172</v>
      </c>
      <c r="B175" s="11" t="s">
        <v>234</v>
      </c>
      <c r="C175" s="11" t="s">
        <v>90</v>
      </c>
      <c r="D175" s="66"/>
      <c r="E175" s="66">
        <v>0</v>
      </c>
      <c r="F175" s="66">
        <v>0</v>
      </c>
      <c r="G175" s="66">
        <v>0</v>
      </c>
      <c r="H175" s="66">
        <v>0</v>
      </c>
      <c r="I175" s="66">
        <v>0</v>
      </c>
      <c r="J175" s="66">
        <v>0</v>
      </c>
      <c r="K175" s="66">
        <v>0</v>
      </c>
      <c r="L175" s="66">
        <v>0</v>
      </c>
      <c r="M175" s="66">
        <v>0</v>
      </c>
      <c r="N175" s="66">
        <v>0</v>
      </c>
      <c r="O175" s="66">
        <v>0</v>
      </c>
      <c r="P175" s="66">
        <v>0</v>
      </c>
      <c r="Q175" s="66">
        <v>0</v>
      </c>
      <c r="R175" s="66">
        <v>0</v>
      </c>
      <c r="S175" s="66">
        <v>0</v>
      </c>
      <c r="T175" s="66">
        <v>0</v>
      </c>
      <c r="U175" s="66">
        <v>0</v>
      </c>
      <c r="V175" s="66">
        <v>0</v>
      </c>
      <c r="W175" s="66">
        <v>0</v>
      </c>
      <c r="X175" s="66">
        <v>0</v>
      </c>
      <c r="Y175" s="66">
        <v>0</v>
      </c>
      <c r="Z175" s="66">
        <v>0</v>
      </c>
      <c r="AA175" s="66">
        <v>0</v>
      </c>
      <c r="AB175" s="66">
        <v>0</v>
      </c>
      <c r="AC175" s="66">
        <v>0</v>
      </c>
      <c r="AD175" s="66">
        <v>0</v>
      </c>
      <c r="AE175" s="66">
        <v>0</v>
      </c>
      <c r="AF175" s="66">
        <v>0</v>
      </c>
      <c r="AG175" s="66">
        <v>0</v>
      </c>
      <c r="AH175" s="66">
        <v>0</v>
      </c>
      <c r="AI175" s="66"/>
      <c r="AJ175" s="66"/>
      <c r="AK175" s="66"/>
    </row>
    <row r="176" spans="1:37">
      <c r="A176" s="11">
        <v>173</v>
      </c>
      <c r="B176" s="11" t="s">
        <v>91</v>
      </c>
      <c r="C176" s="11" t="s">
        <v>92</v>
      </c>
      <c r="D176" s="66"/>
      <c r="E176" s="66">
        <v>892</v>
      </c>
      <c r="F176" s="66">
        <v>79</v>
      </c>
      <c r="G176" s="66">
        <v>0</v>
      </c>
      <c r="H176" s="66">
        <v>1</v>
      </c>
      <c r="I176" s="66">
        <v>0</v>
      </c>
      <c r="J176" s="66">
        <v>0</v>
      </c>
      <c r="K176" s="66">
        <v>0</v>
      </c>
      <c r="L176" s="66">
        <v>0</v>
      </c>
      <c r="M176" s="66">
        <v>519</v>
      </c>
      <c r="N176" s="66">
        <v>386</v>
      </c>
      <c r="O176" s="66">
        <v>81</v>
      </c>
      <c r="P176" s="66">
        <v>0</v>
      </c>
      <c r="Q176" s="66">
        <v>0</v>
      </c>
      <c r="R176" s="66">
        <v>0</v>
      </c>
      <c r="S176" s="66">
        <v>27</v>
      </c>
      <c r="T176" s="66">
        <v>0</v>
      </c>
      <c r="U176" s="66">
        <v>0</v>
      </c>
      <c r="V176" s="66">
        <v>0</v>
      </c>
      <c r="W176" s="66">
        <v>0</v>
      </c>
      <c r="X176" s="66">
        <v>0</v>
      </c>
      <c r="Y176" s="66">
        <v>0</v>
      </c>
      <c r="Z176" s="66">
        <v>0</v>
      </c>
      <c r="AA176" s="66">
        <v>0</v>
      </c>
      <c r="AB176" s="66">
        <v>1085</v>
      </c>
      <c r="AC176" s="66">
        <v>0</v>
      </c>
      <c r="AD176" s="66">
        <v>202</v>
      </c>
      <c r="AE176" s="66">
        <v>0</v>
      </c>
      <c r="AF176" s="66">
        <v>0</v>
      </c>
      <c r="AG176" s="66">
        <v>0</v>
      </c>
      <c r="AH176" s="66">
        <v>0</v>
      </c>
      <c r="AI176" s="66"/>
      <c r="AJ176" s="66"/>
      <c r="AK176" s="66"/>
    </row>
    <row r="177" spans="1:37">
      <c r="A177" s="11">
        <v>174</v>
      </c>
      <c r="B177" s="11" t="s">
        <v>235</v>
      </c>
      <c r="C177" s="11" t="s">
        <v>92</v>
      </c>
      <c r="D177" s="66"/>
      <c r="E177" s="66">
        <v>0</v>
      </c>
      <c r="F177" s="66">
        <v>0</v>
      </c>
      <c r="G177" s="66">
        <v>0</v>
      </c>
      <c r="H177" s="66">
        <v>4</v>
      </c>
      <c r="I177" s="66">
        <v>0</v>
      </c>
      <c r="J177" s="66">
        <v>0</v>
      </c>
      <c r="K177" s="66">
        <v>0</v>
      </c>
      <c r="L177" s="66">
        <v>0</v>
      </c>
      <c r="M177" s="66">
        <v>466</v>
      </c>
      <c r="N177" s="66">
        <v>86</v>
      </c>
      <c r="O177" s="66">
        <v>44</v>
      </c>
      <c r="P177" s="66">
        <v>0</v>
      </c>
      <c r="Q177" s="66">
        <v>0</v>
      </c>
      <c r="R177" s="66">
        <v>0</v>
      </c>
      <c r="S177" s="66">
        <v>0</v>
      </c>
      <c r="T177" s="66">
        <v>293</v>
      </c>
      <c r="U177" s="66">
        <v>0</v>
      </c>
      <c r="V177" s="66">
        <v>0</v>
      </c>
      <c r="W177" s="66">
        <v>47</v>
      </c>
      <c r="X177" s="66">
        <v>0</v>
      </c>
      <c r="Y177" s="66">
        <v>0</v>
      </c>
      <c r="Z177" s="66">
        <v>0</v>
      </c>
      <c r="AA177" s="66">
        <v>0</v>
      </c>
      <c r="AB177" s="66">
        <v>409</v>
      </c>
      <c r="AC177" s="66">
        <v>0</v>
      </c>
      <c r="AD177" s="66">
        <v>0</v>
      </c>
      <c r="AE177" s="66">
        <v>0</v>
      </c>
      <c r="AF177" s="66">
        <v>0</v>
      </c>
      <c r="AG177" s="66">
        <v>0</v>
      </c>
      <c r="AH177" s="66">
        <v>0</v>
      </c>
      <c r="AI177" s="66"/>
      <c r="AJ177" s="66"/>
      <c r="AK177" s="66"/>
    </row>
    <row r="178" spans="1:37">
      <c r="A178" s="11">
        <v>175</v>
      </c>
      <c r="B178" s="11" t="s">
        <v>236</v>
      </c>
      <c r="C178" s="11" t="s">
        <v>92</v>
      </c>
      <c r="D178" s="66"/>
      <c r="E178" s="66">
        <v>0</v>
      </c>
      <c r="F178" s="66">
        <v>0</v>
      </c>
      <c r="G178" s="66">
        <v>0</v>
      </c>
      <c r="H178" s="66">
        <v>0</v>
      </c>
      <c r="I178" s="66">
        <v>0</v>
      </c>
      <c r="J178" s="66">
        <v>0</v>
      </c>
      <c r="K178" s="66">
        <v>0</v>
      </c>
      <c r="L178" s="66">
        <v>205</v>
      </c>
      <c r="M178" s="66">
        <v>0</v>
      </c>
      <c r="N178" s="66">
        <v>17</v>
      </c>
      <c r="O178" s="66">
        <v>41</v>
      </c>
      <c r="P178" s="66">
        <v>0</v>
      </c>
      <c r="Q178" s="66">
        <v>0</v>
      </c>
      <c r="R178" s="66">
        <v>0</v>
      </c>
      <c r="S178" s="66">
        <v>0</v>
      </c>
      <c r="T178" s="66">
        <v>505</v>
      </c>
      <c r="U178" s="66">
        <v>0</v>
      </c>
      <c r="V178" s="66">
        <v>0</v>
      </c>
      <c r="W178" s="66">
        <v>0</v>
      </c>
      <c r="X178" s="66">
        <v>0</v>
      </c>
      <c r="Y178" s="66">
        <v>0</v>
      </c>
      <c r="Z178" s="66">
        <v>0</v>
      </c>
      <c r="AA178" s="66">
        <v>0</v>
      </c>
      <c r="AB178" s="66">
        <v>0</v>
      </c>
      <c r="AC178" s="66">
        <v>0</v>
      </c>
      <c r="AD178" s="66">
        <v>0</v>
      </c>
      <c r="AE178" s="66">
        <v>0</v>
      </c>
      <c r="AF178" s="66">
        <v>0</v>
      </c>
      <c r="AG178" s="66">
        <v>0</v>
      </c>
      <c r="AH178" s="66">
        <v>0</v>
      </c>
      <c r="AI178" s="66"/>
      <c r="AJ178" s="66"/>
      <c r="AK178" s="66"/>
    </row>
    <row r="179" spans="1:37">
      <c r="A179" s="11">
        <v>176</v>
      </c>
      <c r="B179" s="11" t="s">
        <v>237</v>
      </c>
      <c r="C179" s="11" t="s">
        <v>92</v>
      </c>
      <c r="D179" s="66"/>
      <c r="E179" s="66">
        <v>0</v>
      </c>
      <c r="F179" s="66">
        <v>0</v>
      </c>
      <c r="G179" s="66">
        <v>0</v>
      </c>
      <c r="H179" s="66">
        <v>0</v>
      </c>
      <c r="I179" s="66">
        <v>0</v>
      </c>
      <c r="J179" s="66">
        <v>0</v>
      </c>
      <c r="K179" s="66">
        <v>0</v>
      </c>
      <c r="L179" s="66">
        <v>0</v>
      </c>
      <c r="M179" s="66">
        <v>0</v>
      </c>
      <c r="N179" s="66">
        <v>0</v>
      </c>
      <c r="O179" s="66">
        <v>0</v>
      </c>
      <c r="P179" s="66">
        <v>0</v>
      </c>
      <c r="Q179" s="66">
        <v>0</v>
      </c>
      <c r="R179" s="66">
        <v>0</v>
      </c>
      <c r="S179" s="66">
        <v>0</v>
      </c>
      <c r="T179" s="66">
        <v>0</v>
      </c>
      <c r="U179" s="66">
        <v>0</v>
      </c>
      <c r="V179" s="66">
        <v>0</v>
      </c>
      <c r="W179" s="66">
        <v>0</v>
      </c>
      <c r="X179" s="66">
        <v>0</v>
      </c>
      <c r="Y179" s="66">
        <v>0</v>
      </c>
      <c r="Z179" s="66">
        <v>0</v>
      </c>
      <c r="AA179" s="66">
        <v>0</v>
      </c>
      <c r="AB179" s="66">
        <v>0</v>
      </c>
      <c r="AC179" s="66">
        <v>0</v>
      </c>
      <c r="AD179" s="66">
        <v>0</v>
      </c>
      <c r="AE179" s="66">
        <v>0</v>
      </c>
      <c r="AF179" s="66">
        <v>0</v>
      </c>
      <c r="AG179" s="66">
        <v>0</v>
      </c>
      <c r="AH179" s="66">
        <v>0</v>
      </c>
      <c r="AI179" s="66"/>
      <c r="AJ179" s="66"/>
      <c r="AK179" s="66"/>
    </row>
    <row r="180" spans="1:37">
      <c r="A180" s="11">
        <v>177</v>
      </c>
      <c r="B180" s="11" t="s">
        <v>93</v>
      </c>
      <c r="C180" s="11" t="s">
        <v>94</v>
      </c>
      <c r="D180" s="66"/>
      <c r="E180" s="66">
        <v>0</v>
      </c>
      <c r="F180" s="66">
        <v>0</v>
      </c>
      <c r="G180" s="66">
        <v>0</v>
      </c>
      <c r="H180" s="66">
        <v>0</v>
      </c>
      <c r="I180" s="66">
        <v>0</v>
      </c>
      <c r="J180" s="66">
        <v>0</v>
      </c>
      <c r="K180" s="66">
        <v>0</v>
      </c>
      <c r="L180" s="66">
        <v>0</v>
      </c>
      <c r="M180" s="66">
        <v>0</v>
      </c>
      <c r="N180" s="66">
        <v>0</v>
      </c>
      <c r="O180" s="66">
        <v>0</v>
      </c>
      <c r="P180" s="66">
        <v>0</v>
      </c>
      <c r="Q180" s="66">
        <v>0</v>
      </c>
      <c r="R180" s="66">
        <v>0</v>
      </c>
      <c r="S180" s="66">
        <v>0</v>
      </c>
      <c r="T180" s="66">
        <v>0</v>
      </c>
      <c r="U180" s="66">
        <v>0</v>
      </c>
      <c r="V180" s="66">
        <v>0</v>
      </c>
      <c r="W180" s="66">
        <v>0</v>
      </c>
      <c r="X180" s="66">
        <v>0</v>
      </c>
      <c r="Y180" s="66">
        <v>0</v>
      </c>
      <c r="Z180" s="66">
        <v>0</v>
      </c>
      <c r="AA180" s="66">
        <v>0</v>
      </c>
      <c r="AB180" s="66">
        <v>0</v>
      </c>
      <c r="AC180" s="66">
        <v>0</v>
      </c>
      <c r="AD180" s="66">
        <v>0</v>
      </c>
      <c r="AE180" s="66">
        <v>0</v>
      </c>
      <c r="AF180" s="66">
        <v>0</v>
      </c>
      <c r="AG180" s="66">
        <v>0</v>
      </c>
      <c r="AH180" s="66">
        <v>0</v>
      </c>
      <c r="AI180" s="66"/>
      <c r="AJ180" s="66"/>
      <c r="AK180" s="66"/>
    </row>
    <row r="181" spans="1:37">
      <c r="A181" s="11">
        <v>178</v>
      </c>
      <c r="B181" s="11" t="s">
        <v>238</v>
      </c>
      <c r="C181" s="11" t="s">
        <v>94</v>
      </c>
      <c r="D181" s="66"/>
      <c r="E181" s="66">
        <v>0</v>
      </c>
      <c r="F181" s="66">
        <v>0</v>
      </c>
      <c r="G181" s="66">
        <v>0</v>
      </c>
      <c r="H181" s="66">
        <v>0</v>
      </c>
      <c r="I181" s="66">
        <v>0</v>
      </c>
      <c r="J181" s="66">
        <v>0</v>
      </c>
      <c r="K181" s="66">
        <v>0</v>
      </c>
      <c r="L181" s="66">
        <v>0</v>
      </c>
      <c r="M181" s="66">
        <v>0</v>
      </c>
      <c r="N181" s="66">
        <v>0</v>
      </c>
      <c r="O181" s="66">
        <v>0</v>
      </c>
      <c r="P181" s="66">
        <v>0</v>
      </c>
      <c r="Q181" s="66">
        <v>0</v>
      </c>
      <c r="R181" s="66">
        <v>0</v>
      </c>
      <c r="S181" s="66">
        <v>0</v>
      </c>
      <c r="T181" s="66">
        <v>0</v>
      </c>
      <c r="U181" s="66">
        <v>0</v>
      </c>
      <c r="V181" s="66">
        <v>0</v>
      </c>
      <c r="W181" s="66">
        <v>0</v>
      </c>
      <c r="X181" s="66">
        <v>0</v>
      </c>
      <c r="Y181" s="66">
        <v>0</v>
      </c>
      <c r="Z181" s="66">
        <v>0</v>
      </c>
      <c r="AA181" s="66">
        <v>0</v>
      </c>
      <c r="AB181" s="66">
        <v>0</v>
      </c>
      <c r="AC181" s="66">
        <v>0</v>
      </c>
      <c r="AD181" s="66">
        <v>0</v>
      </c>
      <c r="AE181" s="66">
        <v>0</v>
      </c>
      <c r="AF181" s="66">
        <v>0</v>
      </c>
      <c r="AG181" s="66">
        <v>0</v>
      </c>
      <c r="AH181" s="66">
        <v>0</v>
      </c>
      <c r="AI181" s="66"/>
      <c r="AJ181" s="66"/>
      <c r="AK181" s="66"/>
    </row>
    <row r="182" spans="1:37">
      <c r="A182" s="11">
        <v>179</v>
      </c>
      <c r="B182" s="11" t="s">
        <v>239</v>
      </c>
      <c r="C182" s="11" t="s">
        <v>94</v>
      </c>
      <c r="D182" s="66"/>
      <c r="E182" s="66">
        <v>0</v>
      </c>
      <c r="F182" s="66">
        <v>0</v>
      </c>
      <c r="G182" s="66">
        <v>0</v>
      </c>
      <c r="H182" s="66">
        <v>0</v>
      </c>
      <c r="I182" s="66">
        <v>0</v>
      </c>
      <c r="J182" s="66">
        <v>0</v>
      </c>
      <c r="K182" s="66">
        <v>0</v>
      </c>
      <c r="L182" s="66">
        <v>0</v>
      </c>
      <c r="M182" s="66">
        <v>0</v>
      </c>
      <c r="N182" s="66">
        <v>0</v>
      </c>
      <c r="O182" s="66">
        <v>0</v>
      </c>
      <c r="P182" s="66">
        <v>0</v>
      </c>
      <c r="Q182" s="66">
        <v>0</v>
      </c>
      <c r="R182" s="66">
        <v>0</v>
      </c>
      <c r="S182" s="66">
        <v>0</v>
      </c>
      <c r="T182" s="66">
        <v>0</v>
      </c>
      <c r="U182" s="66">
        <v>0</v>
      </c>
      <c r="V182" s="66">
        <v>0</v>
      </c>
      <c r="W182" s="66">
        <v>0</v>
      </c>
      <c r="X182" s="66">
        <v>0</v>
      </c>
      <c r="Y182" s="66">
        <v>0</v>
      </c>
      <c r="Z182" s="66">
        <v>0</v>
      </c>
      <c r="AA182" s="66">
        <v>0</v>
      </c>
      <c r="AB182" s="66">
        <v>0</v>
      </c>
      <c r="AC182" s="66">
        <v>0</v>
      </c>
      <c r="AD182" s="66">
        <v>0</v>
      </c>
      <c r="AE182" s="66">
        <v>0</v>
      </c>
      <c r="AF182" s="66">
        <v>0</v>
      </c>
      <c r="AG182" s="66">
        <v>0</v>
      </c>
      <c r="AH182" s="66">
        <v>0</v>
      </c>
      <c r="AI182" s="66"/>
      <c r="AJ182" s="66"/>
      <c r="AK182" s="66"/>
    </row>
    <row r="183" spans="1:37">
      <c r="A183" s="11">
        <v>180</v>
      </c>
      <c r="B183" s="11" t="s">
        <v>240</v>
      </c>
      <c r="C183" s="11" t="s">
        <v>94</v>
      </c>
      <c r="D183" s="66"/>
      <c r="E183" s="66">
        <v>0</v>
      </c>
      <c r="F183" s="66">
        <v>0</v>
      </c>
      <c r="G183" s="66">
        <v>0</v>
      </c>
      <c r="H183" s="66">
        <v>0</v>
      </c>
      <c r="I183" s="66">
        <v>0</v>
      </c>
      <c r="J183" s="66">
        <v>0</v>
      </c>
      <c r="K183" s="66">
        <v>0</v>
      </c>
      <c r="L183" s="66">
        <v>0</v>
      </c>
      <c r="M183" s="66">
        <v>0</v>
      </c>
      <c r="N183" s="66">
        <v>0</v>
      </c>
      <c r="O183" s="66">
        <v>0</v>
      </c>
      <c r="P183" s="66">
        <v>0</v>
      </c>
      <c r="Q183" s="66">
        <v>0</v>
      </c>
      <c r="R183" s="66">
        <v>0</v>
      </c>
      <c r="S183" s="66">
        <v>0</v>
      </c>
      <c r="T183" s="66">
        <v>0</v>
      </c>
      <c r="U183" s="66">
        <v>0</v>
      </c>
      <c r="V183" s="66">
        <v>0</v>
      </c>
      <c r="W183" s="66">
        <v>0</v>
      </c>
      <c r="X183" s="66">
        <v>0</v>
      </c>
      <c r="Y183" s="66">
        <v>0</v>
      </c>
      <c r="Z183" s="66">
        <v>0</v>
      </c>
      <c r="AA183" s="66">
        <v>0</v>
      </c>
      <c r="AB183" s="66">
        <v>0</v>
      </c>
      <c r="AC183" s="66">
        <v>0</v>
      </c>
      <c r="AD183" s="66">
        <v>0</v>
      </c>
      <c r="AE183" s="66">
        <v>0</v>
      </c>
      <c r="AF183" s="66">
        <v>0</v>
      </c>
      <c r="AG183" s="66">
        <v>0</v>
      </c>
      <c r="AH183" s="66">
        <v>0</v>
      </c>
      <c r="AI183" s="66"/>
      <c r="AJ183" s="66"/>
      <c r="AK183" s="66"/>
    </row>
    <row r="184" spans="1:37">
      <c r="A184" s="11">
        <v>181</v>
      </c>
      <c r="B184" s="11" t="s">
        <v>95</v>
      </c>
      <c r="C184" s="11" t="s">
        <v>96</v>
      </c>
      <c r="D184" s="66"/>
      <c r="E184" s="66">
        <v>0</v>
      </c>
      <c r="F184" s="66">
        <v>0</v>
      </c>
      <c r="G184" s="66">
        <v>0</v>
      </c>
      <c r="H184" s="66">
        <v>0</v>
      </c>
      <c r="I184" s="66">
        <v>0</v>
      </c>
      <c r="J184" s="66">
        <v>0</v>
      </c>
      <c r="K184" s="66">
        <v>0</v>
      </c>
      <c r="L184" s="66">
        <v>0</v>
      </c>
      <c r="M184" s="66">
        <v>0</v>
      </c>
      <c r="N184" s="66">
        <v>0</v>
      </c>
      <c r="O184" s="66">
        <v>0</v>
      </c>
      <c r="P184" s="66">
        <v>0</v>
      </c>
      <c r="Q184" s="66">
        <v>0</v>
      </c>
      <c r="R184" s="66">
        <v>0</v>
      </c>
      <c r="S184" s="66">
        <v>0</v>
      </c>
      <c r="T184" s="66">
        <v>0</v>
      </c>
      <c r="U184" s="66">
        <v>0</v>
      </c>
      <c r="V184" s="66">
        <v>0</v>
      </c>
      <c r="W184" s="66">
        <v>0</v>
      </c>
      <c r="X184" s="66">
        <v>0</v>
      </c>
      <c r="Y184" s="66">
        <v>0</v>
      </c>
      <c r="Z184" s="66">
        <v>0</v>
      </c>
      <c r="AA184" s="66">
        <v>0</v>
      </c>
      <c r="AB184" s="66">
        <v>0</v>
      </c>
      <c r="AC184" s="66">
        <v>0</v>
      </c>
      <c r="AD184" s="66">
        <v>0</v>
      </c>
      <c r="AE184" s="66">
        <v>0</v>
      </c>
      <c r="AF184" s="66">
        <v>0</v>
      </c>
      <c r="AG184" s="66">
        <v>0</v>
      </c>
      <c r="AH184" s="66">
        <v>0</v>
      </c>
      <c r="AI184" s="66"/>
      <c r="AJ184" s="66"/>
      <c r="AK184" s="66"/>
    </row>
    <row r="185" spans="1:37">
      <c r="A185" s="11">
        <v>182</v>
      </c>
      <c r="B185" s="11" t="s">
        <v>241</v>
      </c>
      <c r="C185" s="11" t="s">
        <v>96</v>
      </c>
      <c r="D185" s="66"/>
      <c r="E185" s="66">
        <v>0</v>
      </c>
      <c r="F185" s="66">
        <v>0</v>
      </c>
      <c r="G185" s="66">
        <v>0</v>
      </c>
      <c r="H185" s="66">
        <v>0</v>
      </c>
      <c r="I185" s="66">
        <v>0</v>
      </c>
      <c r="J185" s="66">
        <v>0</v>
      </c>
      <c r="K185" s="66">
        <v>0</v>
      </c>
      <c r="L185" s="66">
        <v>0</v>
      </c>
      <c r="M185" s="66">
        <v>0</v>
      </c>
      <c r="N185" s="66">
        <v>0</v>
      </c>
      <c r="O185" s="66">
        <v>0</v>
      </c>
      <c r="P185" s="66">
        <v>0</v>
      </c>
      <c r="Q185" s="66">
        <v>0</v>
      </c>
      <c r="R185" s="66">
        <v>0</v>
      </c>
      <c r="S185" s="66">
        <v>0</v>
      </c>
      <c r="T185" s="66">
        <v>0</v>
      </c>
      <c r="U185" s="66">
        <v>0</v>
      </c>
      <c r="V185" s="66">
        <v>0</v>
      </c>
      <c r="W185" s="66">
        <v>0</v>
      </c>
      <c r="X185" s="66">
        <v>0</v>
      </c>
      <c r="Y185" s="66">
        <v>0</v>
      </c>
      <c r="Z185" s="66">
        <v>0</v>
      </c>
      <c r="AA185" s="66">
        <v>0</v>
      </c>
      <c r="AB185" s="66">
        <v>0</v>
      </c>
      <c r="AC185" s="66">
        <v>0</v>
      </c>
      <c r="AD185" s="66">
        <v>0</v>
      </c>
      <c r="AE185" s="66">
        <v>0</v>
      </c>
      <c r="AF185" s="66">
        <v>0</v>
      </c>
      <c r="AG185" s="66">
        <v>0</v>
      </c>
      <c r="AH185" s="66">
        <v>0</v>
      </c>
      <c r="AI185" s="66"/>
      <c r="AJ185" s="66"/>
      <c r="AK185" s="66"/>
    </row>
    <row r="186" spans="1:37">
      <c r="A186" s="11">
        <v>183</v>
      </c>
      <c r="B186" s="11" t="s">
        <v>242</v>
      </c>
      <c r="C186" s="11" t="s">
        <v>96</v>
      </c>
      <c r="D186" s="66"/>
      <c r="E186" s="66">
        <v>0</v>
      </c>
      <c r="F186" s="66">
        <v>0</v>
      </c>
      <c r="G186" s="66">
        <v>0</v>
      </c>
      <c r="H186" s="66">
        <v>0</v>
      </c>
      <c r="I186" s="66">
        <v>0</v>
      </c>
      <c r="J186" s="66">
        <v>0</v>
      </c>
      <c r="K186" s="66">
        <v>0</v>
      </c>
      <c r="L186" s="66">
        <v>0</v>
      </c>
      <c r="M186" s="66">
        <v>0</v>
      </c>
      <c r="N186" s="66">
        <v>0</v>
      </c>
      <c r="O186" s="66">
        <v>0</v>
      </c>
      <c r="P186" s="66">
        <v>0</v>
      </c>
      <c r="Q186" s="66">
        <v>0</v>
      </c>
      <c r="R186" s="66">
        <v>0</v>
      </c>
      <c r="S186" s="66">
        <v>0</v>
      </c>
      <c r="T186" s="66">
        <v>0</v>
      </c>
      <c r="U186" s="66">
        <v>0</v>
      </c>
      <c r="V186" s="66">
        <v>0</v>
      </c>
      <c r="W186" s="66">
        <v>0</v>
      </c>
      <c r="X186" s="66">
        <v>0</v>
      </c>
      <c r="Y186" s="66">
        <v>0</v>
      </c>
      <c r="Z186" s="66">
        <v>0</v>
      </c>
      <c r="AA186" s="66">
        <v>0</v>
      </c>
      <c r="AB186" s="66">
        <v>0</v>
      </c>
      <c r="AC186" s="66">
        <v>0</v>
      </c>
      <c r="AD186" s="66">
        <v>0</v>
      </c>
      <c r="AE186" s="66">
        <v>0</v>
      </c>
      <c r="AF186" s="66">
        <v>0</v>
      </c>
      <c r="AG186" s="66">
        <v>0</v>
      </c>
      <c r="AH186" s="66">
        <v>0</v>
      </c>
      <c r="AI186" s="66"/>
      <c r="AJ186" s="66"/>
      <c r="AK186" s="66"/>
    </row>
    <row r="187" spans="1:37">
      <c r="A187" s="11">
        <v>184</v>
      </c>
      <c r="B187" s="11" t="s">
        <v>243</v>
      </c>
      <c r="C187" s="11" t="s">
        <v>96</v>
      </c>
      <c r="D187" s="66"/>
      <c r="E187" s="66">
        <v>0</v>
      </c>
      <c r="F187" s="66">
        <v>0</v>
      </c>
      <c r="G187" s="66">
        <v>0</v>
      </c>
      <c r="H187" s="66">
        <v>0</v>
      </c>
      <c r="I187" s="66">
        <v>0</v>
      </c>
      <c r="J187" s="66">
        <v>0</v>
      </c>
      <c r="K187" s="66">
        <v>0</v>
      </c>
      <c r="L187" s="66">
        <v>0</v>
      </c>
      <c r="M187" s="66">
        <v>0</v>
      </c>
      <c r="N187" s="66">
        <v>0</v>
      </c>
      <c r="O187" s="66">
        <v>0</v>
      </c>
      <c r="P187" s="66">
        <v>0</v>
      </c>
      <c r="Q187" s="66">
        <v>0</v>
      </c>
      <c r="R187" s="66">
        <v>0</v>
      </c>
      <c r="S187" s="66">
        <v>0</v>
      </c>
      <c r="T187" s="66">
        <v>0</v>
      </c>
      <c r="U187" s="66">
        <v>0</v>
      </c>
      <c r="V187" s="66">
        <v>0</v>
      </c>
      <c r="W187" s="66">
        <v>0</v>
      </c>
      <c r="X187" s="66">
        <v>0</v>
      </c>
      <c r="Y187" s="66">
        <v>0</v>
      </c>
      <c r="Z187" s="66">
        <v>0</v>
      </c>
      <c r="AA187" s="66">
        <v>0</v>
      </c>
      <c r="AB187" s="66">
        <v>0</v>
      </c>
      <c r="AC187" s="66">
        <v>0</v>
      </c>
      <c r="AD187" s="66">
        <v>0</v>
      </c>
      <c r="AE187" s="66">
        <v>0</v>
      </c>
      <c r="AF187" s="66">
        <v>0</v>
      </c>
      <c r="AG187" s="66">
        <v>0</v>
      </c>
      <c r="AH187" s="66">
        <v>0</v>
      </c>
      <c r="AI187" s="66"/>
      <c r="AJ187" s="66"/>
      <c r="AK187" s="66"/>
    </row>
    <row r="188" spans="1:37">
      <c r="A188" s="11">
        <v>185</v>
      </c>
      <c r="B188" s="11" t="s">
        <v>97</v>
      </c>
      <c r="C188" s="11" t="s">
        <v>98</v>
      </c>
      <c r="D188" s="66"/>
      <c r="E188" s="66">
        <v>0</v>
      </c>
      <c r="F188" s="66">
        <v>0</v>
      </c>
      <c r="G188" s="66">
        <v>0</v>
      </c>
      <c r="H188" s="66">
        <v>0</v>
      </c>
      <c r="I188" s="66">
        <v>0</v>
      </c>
      <c r="J188" s="66">
        <v>0</v>
      </c>
      <c r="K188" s="66">
        <v>0</v>
      </c>
      <c r="L188" s="66">
        <v>0</v>
      </c>
      <c r="M188" s="66">
        <v>0</v>
      </c>
      <c r="N188" s="66">
        <v>0</v>
      </c>
      <c r="O188" s="66">
        <v>0</v>
      </c>
      <c r="P188" s="66">
        <v>1887</v>
      </c>
      <c r="Q188" s="66">
        <v>0</v>
      </c>
      <c r="R188" s="66">
        <v>0</v>
      </c>
      <c r="S188" s="66">
        <v>0</v>
      </c>
      <c r="T188" s="66">
        <v>0</v>
      </c>
      <c r="U188" s="66">
        <v>0</v>
      </c>
      <c r="V188" s="66">
        <v>0</v>
      </c>
      <c r="W188" s="66">
        <v>0</v>
      </c>
      <c r="X188" s="66">
        <v>0</v>
      </c>
      <c r="Y188" s="66">
        <v>0</v>
      </c>
      <c r="Z188" s="66">
        <v>0</v>
      </c>
      <c r="AA188" s="66">
        <v>0</v>
      </c>
      <c r="AB188" s="66">
        <v>0</v>
      </c>
      <c r="AC188" s="66">
        <v>0</v>
      </c>
      <c r="AD188" s="66">
        <v>0</v>
      </c>
      <c r="AE188" s="66">
        <v>0</v>
      </c>
      <c r="AF188" s="66">
        <v>0</v>
      </c>
      <c r="AG188" s="66">
        <v>0</v>
      </c>
      <c r="AH188" s="66">
        <v>0</v>
      </c>
      <c r="AI188" s="66"/>
      <c r="AJ188" s="66"/>
      <c r="AK188" s="66"/>
    </row>
    <row r="189" spans="1:37">
      <c r="A189" s="11">
        <v>186</v>
      </c>
      <c r="B189" s="11" t="s">
        <v>244</v>
      </c>
      <c r="C189" s="11" t="s">
        <v>98</v>
      </c>
      <c r="D189" s="66"/>
      <c r="E189" s="66">
        <v>0</v>
      </c>
      <c r="F189" s="66">
        <v>0</v>
      </c>
      <c r="G189" s="66">
        <v>0</v>
      </c>
      <c r="H189" s="66">
        <v>0</v>
      </c>
      <c r="I189" s="66">
        <v>0</v>
      </c>
      <c r="J189" s="66">
        <v>0</v>
      </c>
      <c r="K189" s="66">
        <v>0</v>
      </c>
      <c r="L189" s="66">
        <v>0</v>
      </c>
      <c r="M189" s="66">
        <v>0</v>
      </c>
      <c r="N189" s="66">
        <v>0</v>
      </c>
      <c r="O189" s="66">
        <v>0</v>
      </c>
      <c r="P189" s="66">
        <v>0</v>
      </c>
      <c r="Q189" s="66">
        <v>0</v>
      </c>
      <c r="R189" s="66">
        <v>0</v>
      </c>
      <c r="S189" s="66">
        <v>0</v>
      </c>
      <c r="T189" s="66">
        <v>0</v>
      </c>
      <c r="U189" s="66">
        <v>0</v>
      </c>
      <c r="V189" s="66">
        <v>0</v>
      </c>
      <c r="W189" s="66">
        <v>0</v>
      </c>
      <c r="X189" s="66">
        <v>0</v>
      </c>
      <c r="Y189" s="66">
        <v>0</v>
      </c>
      <c r="Z189" s="66">
        <v>0</v>
      </c>
      <c r="AA189" s="66">
        <v>0</v>
      </c>
      <c r="AB189" s="66">
        <v>0</v>
      </c>
      <c r="AC189" s="66">
        <v>0</v>
      </c>
      <c r="AD189" s="66">
        <v>0</v>
      </c>
      <c r="AE189" s="66">
        <v>0</v>
      </c>
      <c r="AF189" s="66">
        <v>0</v>
      </c>
      <c r="AG189" s="66">
        <v>0</v>
      </c>
      <c r="AH189" s="66">
        <v>0</v>
      </c>
      <c r="AI189" s="66"/>
      <c r="AJ189" s="66"/>
      <c r="AK189" s="66"/>
    </row>
    <row r="190" spans="1:37">
      <c r="A190" s="11">
        <v>187</v>
      </c>
      <c r="B190" s="11" t="s">
        <v>245</v>
      </c>
      <c r="C190" s="11" t="s">
        <v>98</v>
      </c>
      <c r="D190" s="66"/>
      <c r="E190" s="66">
        <v>0</v>
      </c>
      <c r="F190" s="66">
        <v>0</v>
      </c>
      <c r="G190" s="66">
        <v>0</v>
      </c>
      <c r="H190" s="66">
        <v>0</v>
      </c>
      <c r="I190" s="66">
        <v>0</v>
      </c>
      <c r="J190" s="66">
        <v>0</v>
      </c>
      <c r="K190" s="66">
        <v>0</v>
      </c>
      <c r="L190" s="66">
        <v>0</v>
      </c>
      <c r="M190" s="66">
        <v>0</v>
      </c>
      <c r="N190" s="66">
        <v>0</v>
      </c>
      <c r="O190" s="66">
        <v>0</v>
      </c>
      <c r="P190" s="66">
        <v>0</v>
      </c>
      <c r="Q190" s="66">
        <v>0</v>
      </c>
      <c r="R190" s="66">
        <v>0</v>
      </c>
      <c r="S190" s="66">
        <v>0</v>
      </c>
      <c r="T190" s="66">
        <v>0</v>
      </c>
      <c r="U190" s="66">
        <v>0</v>
      </c>
      <c r="V190" s="66">
        <v>0</v>
      </c>
      <c r="W190" s="66">
        <v>0</v>
      </c>
      <c r="X190" s="66">
        <v>0</v>
      </c>
      <c r="Y190" s="66">
        <v>0</v>
      </c>
      <c r="Z190" s="66">
        <v>0</v>
      </c>
      <c r="AA190" s="66">
        <v>0</v>
      </c>
      <c r="AB190" s="66">
        <v>0</v>
      </c>
      <c r="AC190" s="66">
        <v>0</v>
      </c>
      <c r="AD190" s="66">
        <v>0</v>
      </c>
      <c r="AE190" s="66">
        <v>0</v>
      </c>
      <c r="AF190" s="66">
        <v>0</v>
      </c>
      <c r="AG190" s="66">
        <v>0</v>
      </c>
      <c r="AH190" s="66">
        <v>0</v>
      </c>
      <c r="AI190" s="66"/>
      <c r="AJ190" s="66"/>
      <c r="AK190" s="66"/>
    </row>
    <row r="191" spans="1:37">
      <c r="A191" s="11">
        <v>188</v>
      </c>
      <c r="B191" s="11" t="s">
        <v>246</v>
      </c>
      <c r="C191" s="11" t="s">
        <v>98</v>
      </c>
      <c r="D191" s="66"/>
      <c r="E191" s="66">
        <v>0</v>
      </c>
      <c r="F191" s="66">
        <v>0</v>
      </c>
      <c r="G191" s="66">
        <v>0</v>
      </c>
      <c r="H191" s="66">
        <v>0</v>
      </c>
      <c r="I191" s="66">
        <v>0</v>
      </c>
      <c r="J191" s="66">
        <v>0</v>
      </c>
      <c r="K191" s="66">
        <v>0</v>
      </c>
      <c r="L191" s="66">
        <v>0</v>
      </c>
      <c r="M191" s="66">
        <v>0</v>
      </c>
      <c r="N191" s="66">
        <v>0</v>
      </c>
      <c r="O191" s="66">
        <v>0</v>
      </c>
      <c r="P191" s="66">
        <v>0</v>
      </c>
      <c r="Q191" s="66">
        <v>0</v>
      </c>
      <c r="R191" s="66">
        <v>0</v>
      </c>
      <c r="S191" s="66">
        <v>0</v>
      </c>
      <c r="T191" s="66">
        <v>0</v>
      </c>
      <c r="U191" s="66">
        <v>0</v>
      </c>
      <c r="V191" s="66">
        <v>0</v>
      </c>
      <c r="W191" s="66">
        <v>0</v>
      </c>
      <c r="X191" s="66">
        <v>0</v>
      </c>
      <c r="Y191" s="66">
        <v>0</v>
      </c>
      <c r="Z191" s="66">
        <v>0</v>
      </c>
      <c r="AA191" s="66">
        <v>0</v>
      </c>
      <c r="AB191" s="66">
        <v>0</v>
      </c>
      <c r="AC191" s="66">
        <v>0</v>
      </c>
      <c r="AD191" s="66">
        <v>0</v>
      </c>
      <c r="AE191" s="66">
        <v>0</v>
      </c>
      <c r="AF191" s="66">
        <v>0</v>
      </c>
      <c r="AG191" s="66">
        <v>0</v>
      </c>
      <c r="AH191" s="66">
        <v>0</v>
      </c>
      <c r="AI191" s="66"/>
      <c r="AJ191" s="66"/>
      <c r="AK191" s="66"/>
    </row>
    <row r="192" spans="1:37">
      <c r="A192" s="11">
        <v>189</v>
      </c>
      <c r="B192" s="11" t="s">
        <v>99</v>
      </c>
      <c r="C192" s="11" t="s">
        <v>100</v>
      </c>
      <c r="D192" s="66"/>
      <c r="E192" s="66">
        <v>259</v>
      </c>
      <c r="F192" s="66">
        <v>38</v>
      </c>
      <c r="G192" s="66">
        <v>0</v>
      </c>
      <c r="H192" s="66">
        <v>0</v>
      </c>
      <c r="I192" s="66">
        <v>0</v>
      </c>
      <c r="J192" s="66">
        <v>0</v>
      </c>
      <c r="K192" s="66">
        <v>0</v>
      </c>
      <c r="L192" s="66">
        <v>1</v>
      </c>
      <c r="M192" s="66">
        <v>0</v>
      </c>
      <c r="N192" s="66">
        <v>1</v>
      </c>
      <c r="O192" s="66">
        <v>36</v>
      </c>
      <c r="P192" s="66">
        <v>97</v>
      </c>
      <c r="Q192" s="66">
        <v>0</v>
      </c>
      <c r="R192" s="66">
        <v>0</v>
      </c>
      <c r="S192" s="66">
        <v>0</v>
      </c>
      <c r="T192" s="66">
        <v>75</v>
      </c>
      <c r="U192" s="66">
        <v>0</v>
      </c>
      <c r="V192" s="66">
        <v>0</v>
      </c>
      <c r="W192" s="66">
        <v>0</v>
      </c>
      <c r="X192" s="66">
        <v>0</v>
      </c>
      <c r="Y192" s="66">
        <v>0</v>
      </c>
      <c r="Z192" s="66">
        <v>0</v>
      </c>
      <c r="AA192" s="66">
        <v>8</v>
      </c>
      <c r="AB192" s="66">
        <v>0</v>
      </c>
      <c r="AC192" s="66">
        <v>0</v>
      </c>
      <c r="AD192" s="66">
        <v>3</v>
      </c>
      <c r="AE192" s="66">
        <v>0</v>
      </c>
      <c r="AF192" s="66">
        <v>0</v>
      </c>
      <c r="AG192" s="66">
        <v>4337</v>
      </c>
      <c r="AH192" s="66">
        <v>0</v>
      </c>
      <c r="AI192" s="66"/>
      <c r="AJ192" s="66"/>
      <c r="AK192" s="66"/>
    </row>
    <row r="193" spans="1:37">
      <c r="A193" s="11">
        <v>190</v>
      </c>
      <c r="B193" s="11" t="s">
        <v>247</v>
      </c>
      <c r="C193" s="11" t="s">
        <v>100</v>
      </c>
      <c r="D193" s="66"/>
      <c r="E193" s="66">
        <v>0</v>
      </c>
      <c r="F193" s="66">
        <v>0</v>
      </c>
      <c r="G193" s="66">
        <v>0</v>
      </c>
      <c r="H193" s="66">
        <v>0</v>
      </c>
      <c r="I193" s="66">
        <v>0</v>
      </c>
      <c r="J193" s="66">
        <v>0</v>
      </c>
      <c r="K193" s="66">
        <v>0</v>
      </c>
      <c r="L193" s="66">
        <v>0</v>
      </c>
      <c r="M193" s="66">
        <v>0</v>
      </c>
      <c r="N193" s="66">
        <v>0</v>
      </c>
      <c r="O193" s="66">
        <v>21</v>
      </c>
      <c r="P193" s="66">
        <v>941</v>
      </c>
      <c r="Q193" s="66">
        <v>0</v>
      </c>
      <c r="R193" s="66">
        <v>0</v>
      </c>
      <c r="S193" s="66">
        <v>0</v>
      </c>
      <c r="T193" s="66">
        <v>78</v>
      </c>
      <c r="U193" s="66">
        <v>0</v>
      </c>
      <c r="V193" s="66">
        <v>68</v>
      </c>
      <c r="W193" s="66">
        <v>0</v>
      </c>
      <c r="X193" s="66">
        <v>0</v>
      </c>
      <c r="Y193" s="66">
        <v>0</v>
      </c>
      <c r="Z193" s="66">
        <v>0</v>
      </c>
      <c r="AA193" s="66">
        <v>0</v>
      </c>
      <c r="AB193" s="66">
        <v>0</v>
      </c>
      <c r="AC193" s="66">
        <v>0</v>
      </c>
      <c r="AD193" s="66">
        <v>0</v>
      </c>
      <c r="AE193" s="66">
        <v>0</v>
      </c>
      <c r="AF193" s="66">
        <v>0</v>
      </c>
      <c r="AG193" s="66">
        <v>0</v>
      </c>
      <c r="AH193" s="66">
        <v>0</v>
      </c>
      <c r="AI193" s="66"/>
      <c r="AJ193" s="66"/>
      <c r="AK193" s="66"/>
    </row>
    <row r="194" spans="1:37">
      <c r="A194" s="11">
        <v>191</v>
      </c>
      <c r="B194" s="11" t="s">
        <v>248</v>
      </c>
      <c r="C194" s="11" t="s">
        <v>100</v>
      </c>
      <c r="D194" s="66"/>
      <c r="E194" s="66">
        <v>0</v>
      </c>
      <c r="F194" s="66">
        <v>607</v>
      </c>
      <c r="G194" s="66">
        <v>0</v>
      </c>
      <c r="H194" s="66">
        <v>0</v>
      </c>
      <c r="I194" s="66">
        <v>0</v>
      </c>
      <c r="J194" s="66">
        <v>0</v>
      </c>
      <c r="K194" s="66">
        <v>0</v>
      </c>
      <c r="L194" s="66">
        <v>0</v>
      </c>
      <c r="M194" s="66">
        <v>0</v>
      </c>
      <c r="N194" s="66">
        <v>0</v>
      </c>
      <c r="O194" s="66">
        <v>21</v>
      </c>
      <c r="P194" s="66">
        <v>52</v>
      </c>
      <c r="Q194" s="66">
        <v>0</v>
      </c>
      <c r="R194" s="66">
        <v>0</v>
      </c>
      <c r="S194" s="66">
        <v>0</v>
      </c>
      <c r="T194" s="66">
        <v>78</v>
      </c>
      <c r="U194" s="66">
        <v>0</v>
      </c>
      <c r="V194" s="66">
        <v>0</v>
      </c>
      <c r="W194" s="66">
        <v>0</v>
      </c>
      <c r="X194" s="66">
        <v>0</v>
      </c>
      <c r="Y194" s="66">
        <v>0</v>
      </c>
      <c r="Z194" s="66">
        <v>0</v>
      </c>
      <c r="AA194" s="66">
        <v>0</v>
      </c>
      <c r="AB194" s="66">
        <v>0</v>
      </c>
      <c r="AC194" s="66">
        <v>0</v>
      </c>
      <c r="AD194" s="66">
        <v>0</v>
      </c>
      <c r="AE194" s="66">
        <v>0</v>
      </c>
      <c r="AF194" s="66">
        <v>0</v>
      </c>
      <c r="AG194" s="66">
        <v>8</v>
      </c>
      <c r="AH194" s="66">
        <v>0</v>
      </c>
      <c r="AI194" s="66"/>
      <c r="AJ194" s="66"/>
      <c r="AK194" s="66"/>
    </row>
    <row r="195" spans="1:37">
      <c r="A195" s="11">
        <v>192</v>
      </c>
      <c r="B195" s="11" t="s">
        <v>249</v>
      </c>
      <c r="C195" s="11" t="s">
        <v>100</v>
      </c>
      <c r="D195" s="66"/>
      <c r="E195" s="66">
        <v>0</v>
      </c>
      <c r="F195" s="66">
        <v>0</v>
      </c>
      <c r="G195" s="66">
        <v>0</v>
      </c>
      <c r="H195" s="66">
        <v>0</v>
      </c>
      <c r="I195" s="66">
        <v>0</v>
      </c>
      <c r="J195" s="66">
        <v>0</v>
      </c>
      <c r="K195" s="66">
        <v>0</v>
      </c>
      <c r="L195" s="66">
        <v>0</v>
      </c>
      <c r="M195" s="66">
        <v>0</v>
      </c>
      <c r="N195" s="66">
        <v>0</v>
      </c>
      <c r="O195" s="66">
        <v>13</v>
      </c>
      <c r="P195" s="66">
        <v>22</v>
      </c>
      <c r="Q195" s="66">
        <v>0</v>
      </c>
      <c r="R195" s="66">
        <v>0</v>
      </c>
      <c r="S195" s="66">
        <v>0</v>
      </c>
      <c r="T195" s="66">
        <v>85</v>
      </c>
      <c r="U195" s="66">
        <v>0</v>
      </c>
      <c r="V195" s="66">
        <v>0</v>
      </c>
      <c r="W195" s="66">
        <v>0</v>
      </c>
      <c r="X195" s="66">
        <v>0</v>
      </c>
      <c r="Y195" s="66">
        <v>0</v>
      </c>
      <c r="Z195" s="66">
        <v>0</v>
      </c>
      <c r="AA195" s="66">
        <v>0</v>
      </c>
      <c r="AB195" s="66">
        <v>0</v>
      </c>
      <c r="AC195" s="66">
        <v>0</v>
      </c>
      <c r="AD195" s="66">
        <v>13</v>
      </c>
      <c r="AE195" s="66">
        <v>0</v>
      </c>
      <c r="AF195" s="66">
        <v>0</v>
      </c>
      <c r="AG195" s="66">
        <v>0</v>
      </c>
      <c r="AH195" s="66">
        <v>0</v>
      </c>
      <c r="AI195" s="66"/>
      <c r="AJ195" s="66"/>
      <c r="AK195" s="66"/>
    </row>
    <row r="196" spans="1:37">
      <c r="A196" s="11">
        <v>193</v>
      </c>
      <c r="B196" s="11" t="s">
        <v>101</v>
      </c>
      <c r="C196" s="11" t="s">
        <v>102</v>
      </c>
      <c r="D196" s="66"/>
      <c r="E196" s="66">
        <v>2583</v>
      </c>
      <c r="F196" s="66">
        <v>0</v>
      </c>
      <c r="G196" s="66">
        <v>0</v>
      </c>
      <c r="H196" s="66">
        <v>0</v>
      </c>
      <c r="I196" s="66">
        <v>0</v>
      </c>
      <c r="J196" s="66">
        <v>0</v>
      </c>
      <c r="K196" s="66">
        <v>0</v>
      </c>
      <c r="L196" s="66">
        <v>0</v>
      </c>
      <c r="M196" s="66">
        <v>0</v>
      </c>
      <c r="N196" s="66">
        <v>0</v>
      </c>
      <c r="O196" s="66">
        <v>0</v>
      </c>
      <c r="P196" s="66">
        <v>0</v>
      </c>
      <c r="Q196" s="66">
        <v>0</v>
      </c>
      <c r="R196" s="66">
        <v>0</v>
      </c>
      <c r="S196" s="66">
        <v>0</v>
      </c>
      <c r="T196" s="66">
        <v>0</v>
      </c>
      <c r="U196" s="66">
        <v>0</v>
      </c>
      <c r="V196" s="66">
        <v>0</v>
      </c>
      <c r="W196" s="66">
        <v>0</v>
      </c>
      <c r="X196" s="66">
        <v>0</v>
      </c>
      <c r="Y196" s="66">
        <v>0</v>
      </c>
      <c r="Z196" s="66">
        <v>0</v>
      </c>
      <c r="AA196" s="66">
        <v>0</v>
      </c>
      <c r="AB196" s="66">
        <v>0</v>
      </c>
      <c r="AC196" s="66">
        <v>0</v>
      </c>
      <c r="AD196" s="66">
        <v>0</v>
      </c>
      <c r="AE196" s="66">
        <v>0</v>
      </c>
      <c r="AF196" s="66">
        <v>0</v>
      </c>
      <c r="AG196" s="66">
        <v>0</v>
      </c>
      <c r="AH196" s="66">
        <v>0</v>
      </c>
      <c r="AI196" s="66"/>
      <c r="AJ196" s="66"/>
      <c r="AK196" s="66"/>
    </row>
    <row r="197" spans="1:37">
      <c r="A197" s="11">
        <v>194</v>
      </c>
      <c r="B197" s="11" t="s">
        <v>250</v>
      </c>
      <c r="C197" s="11" t="s">
        <v>102</v>
      </c>
      <c r="D197" s="66"/>
      <c r="E197" s="66">
        <v>0</v>
      </c>
      <c r="F197" s="66">
        <v>0</v>
      </c>
      <c r="G197" s="66">
        <v>0</v>
      </c>
      <c r="H197" s="66">
        <v>0</v>
      </c>
      <c r="I197" s="66">
        <v>0</v>
      </c>
      <c r="J197" s="66">
        <v>0</v>
      </c>
      <c r="K197" s="66">
        <v>0</v>
      </c>
      <c r="L197" s="66">
        <v>0</v>
      </c>
      <c r="M197" s="66">
        <v>0</v>
      </c>
      <c r="N197" s="66">
        <v>0</v>
      </c>
      <c r="O197" s="66">
        <v>0</v>
      </c>
      <c r="P197" s="66">
        <v>0</v>
      </c>
      <c r="Q197" s="66">
        <v>0</v>
      </c>
      <c r="R197" s="66">
        <v>0</v>
      </c>
      <c r="S197" s="66">
        <v>0</v>
      </c>
      <c r="T197" s="66">
        <v>0</v>
      </c>
      <c r="U197" s="66">
        <v>0</v>
      </c>
      <c r="V197" s="66">
        <v>0</v>
      </c>
      <c r="W197" s="66">
        <v>0</v>
      </c>
      <c r="X197" s="66">
        <v>0</v>
      </c>
      <c r="Y197" s="66">
        <v>0</v>
      </c>
      <c r="Z197" s="66">
        <v>0</v>
      </c>
      <c r="AA197" s="66">
        <v>0</v>
      </c>
      <c r="AB197" s="66">
        <v>0</v>
      </c>
      <c r="AC197" s="66">
        <v>0</v>
      </c>
      <c r="AD197" s="66">
        <v>0</v>
      </c>
      <c r="AE197" s="66">
        <v>0</v>
      </c>
      <c r="AF197" s="66">
        <v>0</v>
      </c>
      <c r="AG197" s="66">
        <v>0</v>
      </c>
      <c r="AH197" s="66">
        <v>0</v>
      </c>
      <c r="AI197" s="66"/>
      <c r="AJ197" s="66"/>
      <c r="AK197" s="66"/>
    </row>
    <row r="198" spans="1:37">
      <c r="A198" s="11">
        <v>195</v>
      </c>
      <c r="B198" s="11" t="s">
        <v>251</v>
      </c>
      <c r="C198" s="11" t="s">
        <v>102</v>
      </c>
      <c r="D198" s="66"/>
      <c r="E198" s="66">
        <v>0</v>
      </c>
      <c r="F198" s="66">
        <v>0</v>
      </c>
      <c r="G198" s="66">
        <v>0</v>
      </c>
      <c r="H198" s="66">
        <v>0</v>
      </c>
      <c r="I198" s="66">
        <v>0</v>
      </c>
      <c r="J198" s="66">
        <v>0</v>
      </c>
      <c r="K198" s="66">
        <v>0</v>
      </c>
      <c r="L198" s="66">
        <v>0</v>
      </c>
      <c r="M198" s="66">
        <v>0</v>
      </c>
      <c r="N198" s="66">
        <v>0</v>
      </c>
      <c r="O198" s="66">
        <v>0</v>
      </c>
      <c r="P198" s="66">
        <v>0</v>
      </c>
      <c r="Q198" s="66">
        <v>0</v>
      </c>
      <c r="R198" s="66">
        <v>0</v>
      </c>
      <c r="S198" s="66">
        <v>0</v>
      </c>
      <c r="T198" s="66">
        <v>0</v>
      </c>
      <c r="U198" s="66">
        <v>0</v>
      </c>
      <c r="V198" s="66">
        <v>0</v>
      </c>
      <c r="W198" s="66">
        <v>0</v>
      </c>
      <c r="X198" s="66">
        <v>0</v>
      </c>
      <c r="Y198" s="66">
        <v>0</v>
      </c>
      <c r="Z198" s="66">
        <v>0</v>
      </c>
      <c r="AA198" s="66">
        <v>0</v>
      </c>
      <c r="AB198" s="66">
        <v>0</v>
      </c>
      <c r="AC198" s="66">
        <v>0</v>
      </c>
      <c r="AD198" s="66">
        <v>0</v>
      </c>
      <c r="AE198" s="66">
        <v>0</v>
      </c>
      <c r="AF198" s="66">
        <v>0</v>
      </c>
      <c r="AG198" s="66">
        <v>0</v>
      </c>
      <c r="AH198" s="66">
        <v>0</v>
      </c>
      <c r="AI198" s="66"/>
      <c r="AJ198" s="66"/>
      <c r="AK198" s="66"/>
    </row>
    <row r="199" spans="1:37">
      <c r="A199" s="11">
        <v>196</v>
      </c>
      <c r="B199" s="11" t="s">
        <v>252</v>
      </c>
      <c r="C199" s="11" t="s">
        <v>102</v>
      </c>
      <c r="D199" s="66"/>
      <c r="E199" s="66">
        <v>0</v>
      </c>
      <c r="F199" s="66">
        <v>0</v>
      </c>
      <c r="G199" s="66">
        <v>0</v>
      </c>
      <c r="H199" s="66">
        <v>0</v>
      </c>
      <c r="I199" s="66">
        <v>0</v>
      </c>
      <c r="J199" s="66">
        <v>0</v>
      </c>
      <c r="K199" s="66">
        <v>0</v>
      </c>
      <c r="L199" s="66">
        <v>0</v>
      </c>
      <c r="M199" s="66">
        <v>0</v>
      </c>
      <c r="N199" s="66">
        <v>0</v>
      </c>
      <c r="O199" s="66">
        <v>0</v>
      </c>
      <c r="P199" s="66">
        <v>0</v>
      </c>
      <c r="Q199" s="66">
        <v>0</v>
      </c>
      <c r="R199" s="66">
        <v>0</v>
      </c>
      <c r="S199" s="66">
        <v>0</v>
      </c>
      <c r="T199" s="66">
        <v>0</v>
      </c>
      <c r="U199" s="66">
        <v>0</v>
      </c>
      <c r="V199" s="66">
        <v>0</v>
      </c>
      <c r="W199" s="66">
        <v>0</v>
      </c>
      <c r="X199" s="66">
        <v>0</v>
      </c>
      <c r="Y199" s="66">
        <v>0</v>
      </c>
      <c r="Z199" s="66">
        <v>0</v>
      </c>
      <c r="AA199" s="66">
        <v>0</v>
      </c>
      <c r="AB199" s="66">
        <v>0</v>
      </c>
      <c r="AC199" s="66">
        <v>0</v>
      </c>
      <c r="AD199" s="66">
        <v>0</v>
      </c>
      <c r="AE199" s="66">
        <v>0</v>
      </c>
      <c r="AF199" s="66">
        <v>0</v>
      </c>
      <c r="AG199" s="66">
        <v>0</v>
      </c>
      <c r="AH199" s="66">
        <v>0</v>
      </c>
      <c r="AI199" s="66"/>
      <c r="AJ199" s="66"/>
      <c r="AK199" s="66"/>
    </row>
    <row r="200" spans="1:37">
      <c r="A200" s="11">
        <v>197</v>
      </c>
      <c r="B200" s="11" t="s">
        <v>103</v>
      </c>
      <c r="C200" s="11" t="s">
        <v>104</v>
      </c>
      <c r="D200" s="66"/>
      <c r="E200" s="66">
        <v>3</v>
      </c>
      <c r="F200" s="66">
        <v>0</v>
      </c>
      <c r="G200" s="66">
        <v>0</v>
      </c>
      <c r="H200" s="66">
        <v>0</v>
      </c>
      <c r="I200" s="66">
        <v>298</v>
      </c>
      <c r="J200" s="66">
        <v>0</v>
      </c>
      <c r="K200" s="66">
        <v>0</v>
      </c>
      <c r="L200" s="66">
        <v>0</v>
      </c>
      <c r="M200" s="66">
        <v>0</v>
      </c>
      <c r="N200" s="66">
        <v>159</v>
      </c>
      <c r="O200" s="66">
        <v>0</v>
      </c>
      <c r="P200" s="66">
        <v>327</v>
      </c>
      <c r="Q200" s="66">
        <v>0</v>
      </c>
      <c r="R200" s="66">
        <v>0</v>
      </c>
      <c r="S200" s="66">
        <v>0</v>
      </c>
      <c r="T200" s="66">
        <v>0</v>
      </c>
      <c r="U200" s="66">
        <v>0</v>
      </c>
      <c r="V200" s="66">
        <v>0</v>
      </c>
      <c r="W200" s="66">
        <v>229</v>
      </c>
      <c r="X200" s="66">
        <v>5</v>
      </c>
      <c r="Y200" s="66">
        <v>0</v>
      </c>
      <c r="Z200" s="66">
        <v>42</v>
      </c>
      <c r="AA200" s="66">
        <v>0</v>
      </c>
      <c r="AB200" s="66">
        <v>0</v>
      </c>
      <c r="AC200" s="66">
        <v>0</v>
      </c>
      <c r="AD200" s="66">
        <v>307</v>
      </c>
      <c r="AE200" s="66">
        <v>0</v>
      </c>
      <c r="AF200" s="66">
        <v>0</v>
      </c>
      <c r="AG200" s="66">
        <v>0</v>
      </c>
      <c r="AH200" s="66">
        <v>0</v>
      </c>
      <c r="AI200" s="66"/>
      <c r="AJ200" s="66"/>
      <c r="AK200" s="66"/>
    </row>
    <row r="201" spans="1:37">
      <c r="A201" s="11">
        <v>198</v>
      </c>
      <c r="B201" s="11" t="s">
        <v>253</v>
      </c>
      <c r="C201" s="11" t="s">
        <v>104</v>
      </c>
      <c r="D201" s="66"/>
      <c r="E201" s="66">
        <v>0</v>
      </c>
      <c r="F201" s="66">
        <v>0</v>
      </c>
      <c r="G201" s="66">
        <v>0</v>
      </c>
      <c r="H201" s="66">
        <v>0</v>
      </c>
      <c r="I201" s="66">
        <v>0</v>
      </c>
      <c r="J201" s="66">
        <v>0</v>
      </c>
      <c r="K201" s="66">
        <v>0</v>
      </c>
      <c r="L201" s="66">
        <v>0</v>
      </c>
      <c r="M201" s="66">
        <v>0</v>
      </c>
      <c r="N201" s="66">
        <v>0</v>
      </c>
      <c r="O201" s="66">
        <v>0</v>
      </c>
      <c r="P201" s="66">
        <v>0</v>
      </c>
      <c r="Q201" s="66">
        <v>0</v>
      </c>
      <c r="R201" s="66">
        <v>0</v>
      </c>
      <c r="S201" s="66">
        <v>0</v>
      </c>
      <c r="T201" s="66">
        <v>0</v>
      </c>
      <c r="U201" s="66">
        <v>0</v>
      </c>
      <c r="V201" s="66">
        <v>0</v>
      </c>
      <c r="W201" s="66">
        <v>0</v>
      </c>
      <c r="X201" s="66">
        <v>0</v>
      </c>
      <c r="Y201" s="66">
        <v>0</v>
      </c>
      <c r="Z201" s="66">
        <v>0</v>
      </c>
      <c r="AA201" s="66">
        <v>0</v>
      </c>
      <c r="AB201" s="66">
        <v>0</v>
      </c>
      <c r="AC201" s="66">
        <v>0</v>
      </c>
      <c r="AD201" s="66">
        <v>0</v>
      </c>
      <c r="AE201" s="66">
        <v>0</v>
      </c>
      <c r="AF201" s="66">
        <v>0</v>
      </c>
      <c r="AG201" s="66">
        <v>0</v>
      </c>
      <c r="AH201" s="66">
        <v>0</v>
      </c>
      <c r="AI201" s="66"/>
      <c r="AJ201" s="66"/>
      <c r="AK201" s="66"/>
    </row>
    <row r="202" spans="1:37">
      <c r="A202" s="11">
        <v>199</v>
      </c>
      <c r="B202" s="11" t="s">
        <v>254</v>
      </c>
      <c r="C202" s="11" t="s">
        <v>104</v>
      </c>
      <c r="D202" s="66"/>
      <c r="E202" s="66">
        <v>0</v>
      </c>
      <c r="F202" s="66">
        <v>0</v>
      </c>
      <c r="G202" s="66">
        <v>0</v>
      </c>
      <c r="H202" s="66">
        <v>0</v>
      </c>
      <c r="I202" s="66">
        <v>0</v>
      </c>
      <c r="J202" s="66">
        <v>0</v>
      </c>
      <c r="K202" s="66">
        <v>0</v>
      </c>
      <c r="L202" s="66">
        <v>0</v>
      </c>
      <c r="M202" s="66">
        <v>0</v>
      </c>
      <c r="N202" s="66">
        <v>0</v>
      </c>
      <c r="O202" s="66">
        <v>0</v>
      </c>
      <c r="P202" s="66">
        <v>0</v>
      </c>
      <c r="Q202" s="66">
        <v>0</v>
      </c>
      <c r="R202" s="66">
        <v>0</v>
      </c>
      <c r="S202" s="66">
        <v>0</v>
      </c>
      <c r="T202" s="66">
        <v>0</v>
      </c>
      <c r="U202" s="66">
        <v>0</v>
      </c>
      <c r="V202" s="66">
        <v>0</v>
      </c>
      <c r="W202" s="66">
        <v>0</v>
      </c>
      <c r="X202" s="66">
        <v>0</v>
      </c>
      <c r="Y202" s="66">
        <v>0</v>
      </c>
      <c r="Z202" s="66">
        <v>0</v>
      </c>
      <c r="AA202" s="66">
        <v>0</v>
      </c>
      <c r="AB202" s="66">
        <v>0</v>
      </c>
      <c r="AC202" s="66">
        <v>0</v>
      </c>
      <c r="AD202" s="66">
        <v>0</v>
      </c>
      <c r="AE202" s="66">
        <v>0</v>
      </c>
      <c r="AF202" s="66">
        <v>0</v>
      </c>
      <c r="AG202" s="66">
        <v>0</v>
      </c>
      <c r="AH202" s="66">
        <v>0</v>
      </c>
      <c r="AI202" s="66"/>
      <c r="AJ202" s="66"/>
      <c r="AK202" s="66"/>
    </row>
    <row r="203" spans="1:37">
      <c r="A203" s="11">
        <v>200</v>
      </c>
      <c r="B203" s="11" t="s">
        <v>255</v>
      </c>
      <c r="C203" s="11" t="s">
        <v>104</v>
      </c>
      <c r="D203" s="66"/>
      <c r="E203" s="66">
        <v>0</v>
      </c>
      <c r="F203" s="66">
        <v>0</v>
      </c>
      <c r="G203" s="66">
        <v>0</v>
      </c>
      <c r="H203" s="66">
        <v>0</v>
      </c>
      <c r="I203" s="66">
        <v>0</v>
      </c>
      <c r="J203" s="66">
        <v>0</v>
      </c>
      <c r="K203" s="66">
        <v>0</v>
      </c>
      <c r="L203" s="66">
        <v>0</v>
      </c>
      <c r="M203" s="66">
        <v>0</v>
      </c>
      <c r="N203" s="66">
        <v>0</v>
      </c>
      <c r="O203" s="66">
        <v>0</v>
      </c>
      <c r="P203" s="66">
        <v>0</v>
      </c>
      <c r="Q203" s="66">
        <v>0</v>
      </c>
      <c r="R203" s="66">
        <v>0</v>
      </c>
      <c r="S203" s="66">
        <v>0</v>
      </c>
      <c r="T203" s="66">
        <v>0</v>
      </c>
      <c r="U203" s="66">
        <v>0</v>
      </c>
      <c r="V203" s="66">
        <v>0</v>
      </c>
      <c r="W203" s="66">
        <v>0</v>
      </c>
      <c r="X203" s="66">
        <v>0</v>
      </c>
      <c r="Y203" s="66">
        <v>0</v>
      </c>
      <c r="Z203" s="66">
        <v>0</v>
      </c>
      <c r="AA203" s="66">
        <v>0</v>
      </c>
      <c r="AB203" s="66">
        <v>0</v>
      </c>
      <c r="AC203" s="66">
        <v>0</v>
      </c>
      <c r="AD203" s="66">
        <v>0</v>
      </c>
      <c r="AE203" s="66">
        <v>0</v>
      </c>
      <c r="AF203" s="66">
        <v>0</v>
      </c>
      <c r="AG203" s="66">
        <v>0</v>
      </c>
      <c r="AH203" s="66">
        <v>0</v>
      </c>
      <c r="AI203" s="66"/>
      <c r="AJ203" s="66"/>
      <c r="AK203" s="66"/>
    </row>
    <row r="204" spans="1:37" s="3" customFormat="1">
      <c r="A204" s="78" t="s">
        <v>1091</v>
      </c>
      <c r="B204" s="78"/>
      <c r="C204" s="78"/>
      <c r="D204" s="67">
        <f>SUM(D4:D203)</f>
        <v>0</v>
      </c>
      <c r="E204" s="67">
        <f>SUM(E4:E203)</f>
        <v>38150</v>
      </c>
      <c r="F204" s="67">
        <f>SUM(F4:F203)</f>
        <v>12173</v>
      </c>
      <c r="G204" s="67">
        <f>SUM(G4:G203)</f>
        <v>196</v>
      </c>
      <c r="H204" s="67">
        <f>SUM(H4:H203)</f>
        <v>914</v>
      </c>
      <c r="I204" s="67">
        <f>SUM(I4:I203)</f>
        <v>25822</v>
      </c>
      <c r="J204" s="67">
        <f>SUM(J4:J203)</f>
        <v>0</v>
      </c>
      <c r="K204" s="67">
        <f>SUM(K4:K203)</f>
        <v>0</v>
      </c>
      <c r="L204" s="67">
        <f>SUM(L4:L203)</f>
        <v>12820</v>
      </c>
      <c r="M204" s="67">
        <f>SUM(M4:M203)</f>
        <v>50955</v>
      </c>
      <c r="N204" s="67">
        <f>SUM(N4:N203)</f>
        <v>3967</v>
      </c>
      <c r="O204" s="67">
        <f>SUM(O4:O203)</f>
        <v>24456</v>
      </c>
      <c r="P204" s="67">
        <f>SUM(P4:P203)</f>
        <v>35421</v>
      </c>
      <c r="Q204" s="67">
        <f>SUM(Q4:Q203)</f>
        <v>0</v>
      </c>
      <c r="R204" s="67">
        <f>SUM(R4:R203)</f>
        <v>0</v>
      </c>
      <c r="S204" s="67">
        <f>SUM(S4:S203)</f>
        <v>325</v>
      </c>
      <c r="T204" s="67">
        <f>SUM(T4:T203)</f>
        <v>13334</v>
      </c>
      <c r="U204" s="67">
        <f>SUM(U4:U203)</f>
        <v>0</v>
      </c>
      <c r="V204" s="67">
        <f>SUM(V4:V203)</f>
        <v>8090</v>
      </c>
      <c r="W204" s="67">
        <f>SUM(W4:W203)</f>
        <v>6662</v>
      </c>
      <c r="X204" s="67">
        <f>SUM(X4:X203)</f>
        <v>5</v>
      </c>
      <c r="Y204" s="67">
        <f>SUM(Y4:Y203)</f>
        <v>0</v>
      </c>
      <c r="Z204" s="67">
        <f>SUM(Z4:Z203)</f>
        <v>2858</v>
      </c>
      <c r="AA204" s="67">
        <f>SUM(AA4:AA203)</f>
        <v>8688</v>
      </c>
      <c r="AB204" s="67">
        <f>SUM(AB4:AB203)</f>
        <v>3780</v>
      </c>
      <c r="AC204" s="67">
        <f>SUM(AC4:AC203)</f>
        <v>6906</v>
      </c>
      <c r="AD204" s="67">
        <f>SUM(AD4:AD203)</f>
        <v>414883</v>
      </c>
      <c r="AE204" s="67">
        <f>SUM(AE4:AE203)</f>
        <v>0</v>
      </c>
      <c r="AF204" s="67">
        <f>SUM(AF4:AF203)</f>
        <v>0</v>
      </c>
      <c r="AG204" s="67">
        <f>SUM(AG4:AG203)</f>
        <v>15772</v>
      </c>
      <c r="AH204" s="67">
        <f>SUM(AH4:AH203)</f>
        <v>97447</v>
      </c>
      <c r="AI204" s="67">
        <f>SUM(AI4:AI203)</f>
        <v>0</v>
      </c>
      <c r="AJ204" s="67">
        <f>D204-(SUM(E204:AH204))</f>
        <v>-783624</v>
      </c>
      <c r="AK204" s="67">
        <f>SUM(AK4:AK203)</f>
        <v>0</v>
      </c>
    </row>
  </sheetData>
  <mergeCells count="9">
    <mergeCell ref="AK2:AK3"/>
    <mergeCell ref="A204:C204"/>
    <mergeCell ref="A1:L1"/>
    <mergeCell ref="A2:A3"/>
    <mergeCell ref="B2:B3"/>
    <mergeCell ref="C2:C3"/>
    <mergeCell ref="D2:D3"/>
    <mergeCell ref="AJ2:AJ3"/>
    <mergeCell ref="E2:AI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PETUNJUK</vt:lpstr>
      <vt:lpstr>BREAKDOWN</vt:lpstr>
      <vt:lpstr>FILE JDE</vt:lpstr>
      <vt:lpstr>TABEL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DESKTOP-PC</dc:creator>
  <cp:lastModifiedBy>Aldi Prasetyo hari</cp:lastModifiedBy>
  <dcterms:created xsi:type="dcterms:W3CDTF">2021-09-03T03:22:05Z</dcterms:created>
  <dcterms:modified xsi:type="dcterms:W3CDTF">2022-08-31T02:20:26Z</dcterms:modified>
</cp:coreProperties>
</file>