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On Develop Profit Loss 26-8-22\"/>
    </mc:Choice>
  </mc:AlternateContent>
  <xr:revisionPtr revIDLastSave="0" documentId="13_ncr:1_{38C67605-0926-4876-ADE6-E7F8AB998375}" xr6:coauthVersionLast="47" xr6:coauthVersionMax="47" xr10:uidLastSave="{00000000-0000-0000-0000-000000000000}"/>
  <bookViews>
    <workbookView xWindow="-120" yWindow="-120" windowWidth="20730" windowHeight="11310" tabRatio="900" xr2:uid="{5C3F0230-7534-4645-B150-7FFF903A9C44}"/>
  </bookViews>
  <sheets>
    <sheet name="PETUNJUK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H1" i="1" l="1"/>
  <c r="DH2" i="1" l="1"/>
  <c r="CT3" i="1"/>
  <c r="DJ1" i="1" s="1"/>
  <c r="DI5" i="1" s="1"/>
  <c r="CQ1" i="1"/>
  <c r="CT2" i="1" s="1"/>
  <c r="DI1" i="1" l="1"/>
  <c r="DI6" i="1" s="1"/>
  <c r="N4" i="1" s="1"/>
  <c r="DH3" i="1"/>
  <c r="DD32" i="1" l="1"/>
  <c r="CX2" i="1" l="1"/>
  <c r="DA4" i="1" s="1"/>
  <c r="DI2" i="1" l="1"/>
  <c r="DI4" i="1"/>
  <c r="DI3" i="1"/>
  <c r="DC1" i="1" l="1"/>
  <c r="DD1" i="1" s="1"/>
  <c r="DC31" i="1"/>
  <c r="DD31" i="1" s="1"/>
  <c r="DC12" i="1"/>
  <c r="DD12" i="1" s="1"/>
  <c r="DC19" i="1"/>
  <c r="DD19" i="1" s="1"/>
  <c r="DC17" i="1"/>
  <c r="DD17" i="1" s="1"/>
  <c r="DC23" i="1"/>
  <c r="DD23" i="1" s="1"/>
  <c r="DC6" i="1"/>
  <c r="DD6" i="1" s="1"/>
  <c r="DC26" i="1"/>
  <c r="DD26" i="1" s="1"/>
  <c r="DC29" i="1"/>
  <c r="DD29" i="1" s="1"/>
  <c r="DC27" i="1"/>
  <c r="DD27" i="1" s="1"/>
  <c r="DC22" i="1"/>
  <c r="DD22" i="1" s="1"/>
  <c r="DC8" i="1"/>
  <c r="DD8" i="1" s="1"/>
  <c r="DC4" i="1"/>
  <c r="DD4" i="1" s="1"/>
  <c r="DC30" i="1"/>
  <c r="DD30" i="1" s="1"/>
  <c r="DC7" i="1"/>
  <c r="DD7" i="1" s="1"/>
  <c r="DC2" i="1"/>
  <c r="DD2" i="1" s="1"/>
  <c r="DC28" i="1"/>
  <c r="DD28" i="1" s="1"/>
  <c r="DC5" i="1"/>
  <c r="DD5" i="1" s="1"/>
  <c r="DC16" i="1"/>
  <c r="DD16" i="1" s="1"/>
  <c r="DC11" i="1"/>
  <c r="DD11" i="1" s="1"/>
  <c r="DC20" i="1"/>
  <c r="DD20" i="1" s="1"/>
  <c r="DC24" i="1"/>
  <c r="DD24" i="1" s="1"/>
  <c r="DC15" i="1"/>
  <c r="DD15" i="1" s="1"/>
  <c r="DC13" i="1"/>
  <c r="DD13" i="1" s="1"/>
  <c r="DC25" i="1"/>
  <c r="DD25" i="1" s="1"/>
  <c r="DC9" i="1"/>
  <c r="DD9" i="1" s="1"/>
  <c r="DC14" i="1"/>
  <c r="DD14" i="1" s="1"/>
  <c r="DC18" i="1"/>
  <c r="DD18" i="1" s="1"/>
  <c r="DC3" i="1"/>
  <c r="DD3" i="1" s="1"/>
  <c r="DC21" i="1"/>
  <c r="DD21" i="1" s="1"/>
  <c r="DC10" i="1"/>
  <c r="DD10" i="1" s="1"/>
  <c r="DL1" i="1" l="1"/>
  <c r="DE2" i="1"/>
  <c r="DE3" i="1" s="1"/>
  <c r="DE4" i="1" s="1"/>
  <c r="DE5" i="1" s="1"/>
  <c r="DE6" i="1" s="1"/>
  <c r="DE7" i="1" s="1"/>
  <c r="DE8" i="1" s="1"/>
  <c r="DE9" i="1" s="1"/>
  <c r="DE10" i="1" s="1"/>
  <c r="DE11" i="1" s="1"/>
  <c r="DE12" i="1" s="1"/>
  <c r="DE13" i="1" s="1"/>
  <c r="DE14" i="1" s="1"/>
  <c r="DE15" i="1" s="1"/>
  <c r="DE16" i="1" s="1"/>
  <c r="DE17" i="1" s="1"/>
  <c r="DE18" i="1" s="1"/>
  <c r="DE19" i="1" s="1"/>
  <c r="DE20" i="1" s="1"/>
  <c r="DE21" i="1" s="1"/>
  <c r="DE22" i="1" s="1"/>
  <c r="DE23" i="1" s="1"/>
  <c r="DE24" i="1" s="1"/>
  <c r="DE25" i="1" s="1"/>
  <c r="DE26" i="1" s="1"/>
  <c r="DE27" i="1" s="1"/>
  <c r="DE28" i="1" s="1"/>
  <c r="DE29" i="1" s="1"/>
  <c r="DE30" i="1" s="1"/>
  <c r="DE31" i="1" s="1"/>
</calcChain>
</file>

<file path=xl/sharedStrings.xml><?xml version="1.0" encoding="utf-8"?>
<sst xmlns="http://schemas.openxmlformats.org/spreadsheetml/2006/main" count="617" uniqueCount="263">
  <si>
    <t>No Account</t>
  </si>
  <si>
    <t>MONTH :</t>
  </si>
  <si>
    <t>YEAR :</t>
  </si>
  <si>
    <t/>
  </si>
  <si>
    <t>No</t>
  </si>
  <si>
    <t>Plan Budget</t>
  </si>
  <si>
    <t>Lokasi Tarikan :</t>
  </si>
  <si>
    <t>FUEL FOR MOTOR VEHICLE</t>
  </si>
  <si>
    <t>1201.630110</t>
  </si>
  <si>
    <t>LABOR COST</t>
  </si>
  <si>
    <t>1201.630130</t>
  </si>
  <si>
    <t>MEDICAL ALLOWANCE</t>
  </si>
  <si>
    <t>1201.801160</t>
  </si>
  <si>
    <t>JAMSOSTEK</t>
  </si>
  <si>
    <t>1201.630200</t>
  </si>
  <si>
    <t>FARE ALLOWANCE</t>
  </si>
  <si>
    <t>1201.630520</t>
  </si>
  <si>
    <t>FREIGHT EXPENSES</t>
  </si>
  <si>
    <t>FREIGHT IN</t>
  </si>
  <si>
    <t>1201.630600</t>
  </si>
  <si>
    <t>VENDOR EXPENSES</t>
  </si>
  <si>
    <t>1201.630400</t>
  </si>
  <si>
    <t>ELECTRICITY</t>
  </si>
  <si>
    <t>1201.630710</t>
  </si>
  <si>
    <t>MAINT. &amp; REP. BUILDING</t>
  </si>
  <si>
    <t>1201.630720</t>
  </si>
  <si>
    <t>MAINT. &amp; REP. MACHINERIE</t>
  </si>
  <si>
    <t>1201.630730</t>
  </si>
  <si>
    <t>MAINT. &amp; REP. PLANT EQUI</t>
  </si>
  <si>
    <t>1201.630740</t>
  </si>
  <si>
    <t>MAINT. &amp; REP. WATER INSTL.</t>
  </si>
  <si>
    <t>1201.630750</t>
  </si>
  <si>
    <t>MAINT. &amp; REP. GEN&amp;BOILER</t>
  </si>
  <si>
    <t>1201.630760</t>
  </si>
  <si>
    <t>MAINT. &amp; REP. MOTOR VEHICLE</t>
  </si>
  <si>
    <t>1201.630770</t>
  </si>
  <si>
    <t>MAINT. &amp; REP. ELECTRICITY</t>
  </si>
  <si>
    <t>1201.630900</t>
  </si>
  <si>
    <t>INSURANCE EXP. OF BUILD.&amp;</t>
  </si>
  <si>
    <t>1201.631000</t>
  </si>
  <si>
    <t>RENT EXPENSES</t>
  </si>
  <si>
    <t>1201.630450</t>
  </si>
  <si>
    <t>WATER</t>
  </si>
  <si>
    <t>1201.631100</t>
  </si>
  <si>
    <t>OTHER PRODUCTION COST</t>
  </si>
  <si>
    <t>1201.710200</t>
  </si>
  <si>
    <t>SAMPLE EXPENSES</t>
  </si>
  <si>
    <t>1201.720100</t>
  </si>
  <si>
    <t>TRUCKING EXPENSES</t>
  </si>
  <si>
    <t>1201.720400</t>
  </si>
  <si>
    <t>EXPEDITION/SEA FREIGHT</t>
  </si>
  <si>
    <t>1201.720500</t>
  </si>
  <si>
    <t>AIR FREIGHT</t>
  </si>
  <si>
    <t>1201.730200</t>
  </si>
  <si>
    <t>SALES COMMISSION</t>
  </si>
  <si>
    <t>1201.730300</t>
  </si>
  <si>
    <t>FABRIC TESTED CHARGES</t>
  </si>
  <si>
    <t>1201.801110</t>
  </si>
  <si>
    <t>OFFICER SALARIES</t>
  </si>
  <si>
    <t>1201.801120</t>
  </si>
  <si>
    <t>1201.802120</t>
  </si>
  <si>
    <t>TELEPHONE EXPENSES</t>
  </si>
  <si>
    <t>1201.802140</t>
  </si>
  <si>
    <t>INTERNET EXPENSES</t>
  </si>
  <si>
    <t>1201.805120</t>
  </si>
  <si>
    <t>PREMIUM COST</t>
  </si>
  <si>
    <t>1201.807100</t>
  </si>
  <si>
    <t>CONTRIBUTION COST</t>
  </si>
  <si>
    <t>1201.808100</t>
  </si>
  <si>
    <t>1201.809100</t>
  </si>
  <si>
    <t>LEGAL EXPENSES</t>
  </si>
  <si>
    <t>1201.810110</t>
  </si>
  <si>
    <t>MAINT. OFFICE EQUIP.</t>
  </si>
  <si>
    <t>1201.810120</t>
  </si>
  <si>
    <t>MAINT. MOTOR VEHICLE</t>
  </si>
  <si>
    <t>1201.810130</t>
  </si>
  <si>
    <t>MAINTENANCE HOUSE</t>
  </si>
  <si>
    <t>1201.812100</t>
  </si>
  <si>
    <t>BUSINESS TRIP EXPENSES</t>
  </si>
  <si>
    <t>1201.813100</t>
  </si>
  <si>
    <t>ENTERTAINMENT</t>
  </si>
  <si>
    <t>1201.814110</t>
  </si>
  <si>
    <t>TRAINING BY EMPLOYEE</t>
  </si>
  <si>
    <t>1201.815110</t>
  </si>
  <si>
    <t>RENT EXPENSES BUILDING</t>
  </si>
  <si>
    <t>1201.815120</t>
  </si>
  <si>
    <t>RENT EXPENSES LAND</t>
  </si>
  <si>
    <t>1201.816110</t>
  </si>
  <si>
    <t>INSURANCE EXPENSES</t>
  </si>
  <si>
    <t>1201.816120</t>
  </si>
  <si>
    <t>ACCOUNTING &amp; TAX ADVISORY EXP.</t>
  </si>
  <si>
    <t>1201.816130</t>
  </si>
  <si>
    <t>OFFICE SUPPLIES EXPENSES</t>
  </si>
  <si>
    <t>1201.911000</t>
  </si>
  <si>
    <t>AMENDS/CLAIMS REVENUE</t>
  </si>
  <si>
    <t>1201.910100</t>
  </si>
  <si>
    <t>INTEREST INCOME</t>
  </si>
  <si>
    <t>1201.920600</t>
  </si>
  <si>
    <t>WASTE &amp; SCRAP COST</t>
  </si>
  <si>
    <t>1201.920700</t>
  </si>
  <si>
    <t>TAXES</t>
  </si>
  <si>
    <t>1201.920120</t>
  </si>
  <si>
    <t>INTEREST EXP OF DOMESTIC</t>
  </si>
  <si>
    <t>1201.920410</t>
  </si>
  <si>
    <t>BANK CHARGES</t>
  </si>
  <si>
    <t>1201.630530</t>
  </si>
  <si>
    <t>1204.630110</t>
  </si>
  <si>
    <t>1205.630110</t>
  </si>
  <si>
    <t>1206.630110</t>
  </si>
  <si>
    <t>1204.630130</t>
  </si>
  <si>
    <t>1205.630130</t>
  </si>
  <si>
    <t>1206.630130</t>
  </si>
  <si>
    <t>1204.801160</t>
  </si>
  <si>
    <t>1205.801160</t>
  </si>
  <si>
    <t>1206.801160</t>
  </si>
  <si>
    <t>1204.630200</t>
  </si>
  <si>
    <t>1205.630200</t>
  </si>
  <si>
    <t>1206.630200</t>
  </si>
  <si>
    <t>1204.630520</t>
  </si>
  <si>
    <t>1205.630520</t>
  </si>
  <si>
    <t>1206.630520</t>
  </si>
  <si>
    <t>1204.630530</t>
  </si>
  <si>
    <t>1205.630530</t>
  </si>
  <si>
    <t>1206.630530</t>
  </si>
  <si>
    <t>1204.630600</t>
  </si>
  <si>
    <t>1205.630600</t>
  </si>
  <si>
    <t>1206.630600</t>
  </si>
  <si>
    <t>1204.630400</t>
  </si>
  <si>
    <t>1205.630400</t>
  </si>
  <si>
    <t>1206.630400</t>
  </si>
  <si>
    <t>1204.630710</t>
  </si>
  <si>
    <t>1205.630710</t>
  </si>
  <si>
    <t>1206.630710</t>
  </si>
  <si>
    <t>1204.630720</t>
  </si>
  <si>
    <t>1205.630720</t>
  </si>
  <si>
    <t>1206.630720</t>
  </si>
  <si>
    <t>1204.630730</t>
  </si>
  <si>
    <t>1205.630730</t>
  </si>
  <si>
    <t>1206.630730</t>
  </si>
  <si>
    <t>1204.630740</t>
  </si>
  <si>
    <t>1205.630740</t>
  </si>
  <si>
    <t>1206.630740</t>
  </si>
  <si>
    <t>1204.630750</t>
  </si>
  <si>
    <t>1205.630750</t>
  </si>
  <si>
    <t>1206.630750</t>
  </si>
  <si>
    <t>1204.630760</t>
  </si>
  <si>
    <t>1205.630760</t>
  </si>
  <si>
    <t>1206.630760</t>
  </si>
  <si>
    <t>1204.630770</t>
  </si>
  <si>
    <t>1205.630770</t>
  </si>
  <si>
    <t>1206.630770</t>
  </si>
  <si>
    <t>1204.630900</t>
  </si>
  <si>
    <t>1205.630900</t>
  </si>
  <si>
    <t>1206.630900</t>
  </si>
  <si>
    <t>1204.631000</t>
  </si>
  <si>
    <t>1205.631000</t>
  </si>
  <si>
    <t>1206.631000</t>
  </si>
  <si>
    <t>1204.630450</t>
  </si>
  <si>
    <t>1205.630450</t>
  </si>
  <si>
    <t>1206.630450</t>
  </si>
  <si>
    <t>1204.631100</t>
  </si>
  <si>
    <t>1205.631100</t>
  </si>
  <si>
    <t>1206.631100</t>
  </si>
  <si>
    <t>1204.710200</t>
  </si>
  <si>
    <t>1205.710200</t>
  </si>
  <si>
    <t>1206.710200</t>
  </si>
  <si>
    <t>1204.720100</t>
  </si>
  <si>
    <t>1205.720100</t>
  </si>
  <si>
    <t>1206.720100</t>
  </si>
  <si>
    <t>1204.720400</t>
  </si>
  <si>
    <t>1205.720400</t>
  </si>
  <si>
    <t>1206.720400</t>
  </si>
  <si>
    <t>1204.720500</t>
  </si>
  <si>
    <t>1205.720500</t>
  </si>
  <si>
    <t>1206.720500</t>
  </si>
  <si>
    <t>1204.730200</t>
  </si>
  <si>
    <t>1205.730200</t>
  </si>
  <si>
    <t>1206.730200</t>
  </si>
  <si>
    <t>1204.730300</t>
  </si>
  <si>
    <t>1205.730300</t>
  </si>
  <si>
    <t>1206.730300</t>
  </si>
  <si>
    <t>1204.801110</t>
  </si>
  <si>
    <t>1205.801110</t>
  </si>
  <si>
    <t>1206.801110</t>
  </si>
  <si>
    <t>1204.801120</t>
  </si>
  <si>
    <t>1205.801120</t>
  </si>
  <si>
    <t>1206.801120</t>
  </si>
  <si>
    <t>1204.802120</t>
  </si>
  <si>
    <t>1205.802120</t>
  </si>
  <si>
    <t>1206.802120</t>
  </si>
  <si>
    <t>1204.802140</t>
  </si>
  <si>
    <t>1205.802140</t>
  </si>
  <si>
    <t>1206.802140</t>
  </si>
  <si>
    <t>1204.805120</t>
  </si>
  <si>
    <t>1205.805120</t>
  </si>
  <si>
    <t>1206.805120</t>
  </si>
  <si>
    <t>1204.807100</t>
  </si>
  <si>
    <t>1205.807100</t>
  </si>
  <si>
    <t>1206.807100</t>
  </si>
  <si>
    <t>1204.808100</t>
  </si>
  <si>
    <t>1205.808100</t>
  </si>
  <si>
    <t>1206.808100</t>
  </si>
  <si>
    <t>1204.809100</t>
  </si>
  <si>
    <t>1205.809100</t>
  </si>
  <si>
    <t>1206.809100</t>
  </si>
  <si>
    <t>1204.810110</t>
  </si>
  <si>
    <t>1205.810110</t>
  </si>
  <si>
    <t>1206.810110</t>
  </si>
  <si>
    <t>1204.810120</t>
  </si>
  <si>
    <t>1205.810120</t>
  </si>
  <si>
    <t>1206.810120</t>
  </si>
  <si>
    <t>1204.810130</t>
  </si>
  <si>
    <t>1205.810130</t>
  </si>
  <si>
    <t>1206.810130</t>
  </si>
  <si>
    <t>1204.812100</t>
  </si>
  <si>
    <t>1205.812100</t>
  </si>
  <si>
    <t>1206.812100</t>
  </si>
  <si>
    <t>1204.813100</t>
  </si>
  <si>
    <t>1205.813100</t>
  </si>
  <si>
    <t>1206.813100</t>
  </si>
  <si>
    <t>1204.814110</t>
  </si>
  <si>
    <t>1205.814110</t>
  </si>
  <si>
    <t>1206.814110</t>
  </si>
  <si>
    <t>1204.815110</t>
  </si>
  <si>
    <t>1205.815110</t>
  </si>
  <si>
    <t>1206.815110</t>
  </si>
  <si>
    <t>1204.815120</t>
  </si>
  <si>
    <t>1205.815120</t>
  </si>
  <si>
    <t>1206.815120</t>
  </si>
  <si>
    <t>1204.816110</t>
  </si>
  <si>
    <t>1205.816110</t>
  </si>
  <si>
    <t>1206.816110</t>
  </si>
  <si>
    <t>1204.816120</t>
  </si>
  <si>
    <t>1205.816120</t>
  </si>
  <si>
    <t>1206.816120</t>
  </si>
  <si>
    <t>1204.816130</t>
  </si>
  <si>
    <t>1205.816130</t>
  </si>
  <si>
    <t>1206.816130</t>
  </si>
  <si>
    <t>1204.911000</t>
  </si>
  <si>
    <t>1205.911000</t>
  </si>
  <si>
    <t>1206.911000</t>
  </si>
  <si>
    <t>1204.910100</t>
  </si>
  <si>
    <t>1205.910100</t>
  </si>
  <si>
    <t>1206.910100</t>
  </si>
  <si>
    <t>1204.920600</t>
  </si>
  <si>
    <t>1205.920600</t>
  </si>
  <si>
    <t>1206.920600</t>
  </si>
  <si>
    <t>1204.920700</t>
  </si>
  <si>
    <t>1205.920700</t>
  </si>
  <si>
    <t>1206.920700</t>
  </si>
  <si>
    <t>1204.920120</t>
  </si>
  <si>
    <t>1205.920120</t>
  </si>
  <si>
    <t>1206.920120</t>
  </si>
  <si>
    <t>1204.920410</t>
  </si>
  <si>
    <t>1205.920410</t>
  </si>
  <si>
    <t>1206.920410</t>
  </si>
  <si>
    <t>Tanggal awal bulan</t>
  </si>
  <si>
    <t>Tanggal akhir bulan</t>
  </si>
  <si>
    <t>Tanggal sekarang</t>
  </si>
  <si>
    <t>D:\On Develop Profit Loss 26-8-22\Hasil Tarikan</t>
  </si>
  <si>
    <t>Lokasi Rekap</t>
  </si>
  <si>
    <t>Nama File Simpan</t>
  </si>
  <si>
    <t>D:\On Develop Profit Loss 26-8-22\Rekap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</si>
</sst>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00"/>
    <numFmt numFmtId="165" formatCode="_-[$$-409]* #,##0.00_ ;_-[$$-409]* \-#,##0.00\ ;_-[$$-409]* &quot;-&quot;??_ ;_-@_ "/>
    <numFmt numFmtId="166" formatCode="[$$-409]#,##0;[Red]&quot;-&quot;[$$-409]#,##0"/>
  </numFmts>
  <fonts count="1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u/>
      <sz val="11"/>
      <color theme="10"/>
      <name val="Calibri"/>
      <family val="2"/>
      <scheme val="minor"/>
    </font>
    <font>
      <sz val="12"/>
      <name val="Abadi MT Condensed Light"/>
    </font>
    <font>
      <sz val="10"/>
      <name val="Lucida Sans Unicode"/>
      <family val="2"/>
    </font>
    <font>
      <i/>
      <sz val="8"/>
      <color rgb="FF454545"/>
      <name val="Arial"/>
      <family val="2"/>
    </font>
    <font>
      <sz val="8"/>
      <color theme="1"/>
      <name val="Arial"/>
      <family val="2"/>
    </font>
    <font>
      <sz val="8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0" fontId="6" fillId="0" borderId="0"/>
  </cellStyleXfs>
  <cellXfs count="29">
    <xf numFmtId="0" fontId="0" fillId="0" borderId="0" xfId="0"/>
    <xf numFmtId="0" fontId="0" fillId="2" borderId="2" xfId="0" applyFill="1" applyBorder="1" applyAlignment="1">
      <alignment horizontal="right"/>
    </xf>
    <xf numFmtId="0" fontId="0" fillId="3" borderId="3" xfId="0" applyFill="1" applyBorder="1" applyAlignment="1">
      <alignment horizontal="center"/>
    </xf>
    <xf numFmtId="0" fontId="1" fillId="0" borderId="0" xfId="0" applyFont="1"/>
    <xf numFmtId="0" fontId="2" fillId="0" borderId="0" xfId="0" applyFont="1"/>
    <xf numFmtId="0" fontId="0" fillId="0" borderId="0" xfId="0" quotePrefix="1"/>
    <xf numFmtId="14" fontId="0" fillId="0" borderId="0" xfId="0" applyNumberFormat="1"/>
    <xf numFmtId="2" fontId="0" fillId="0" borderId="0" xfId="0" applyNumberFormat="1"/>
    <xf numFmtId="0" fontId="4" fillId="0" borderId="0" xfId="0" applyFont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165" fontId="0" fillId="0" borderId="0" xfId="0" applyNumberFormat="1"/>
    <xf numFmtId="0" fontId="4" fillId="0" borderId="4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7" fillId="0" borderId="0" xfId="2" quotePrefix="1" applyFont="1" applyAlignment="1">
      <alignment horizontal="left"/>
    </xf>
    <xf numFmtId="0" fontId="8" fillId="0" borderId="0" xfId="0" applyFont="1" applyAlignment="1">
      <alignment vertical="center"/>
    </xf>
    <xf numFmtId="0" fontId="8" fillId="0" borderId="0" xfId="0" applyFont="1"/>
    <xf numFmtId="164" fontId="7" fillId="0" borderId="0" xfId="2" quotePrefix="1" applyNumberFormat="1" applyFont="1" applyAlignment="1">
      <alignment horizontal="left"/>
    </xf>
    <xf numFmtId="49" fontId="4" fillId="0" borderId="0" xfId="2" quotePrefix="1" applyNumberFormat="1" applyFont="1" applyAlignment="1">
      <alignment horizontal="left"/>
    </xf>
    <xf numFmtId="49" fontId="9" fillId="0" borderId="0" xfId="0" applyNumberFormat="1" applyFont="1" applyAlignment="1">
      <alignment vertical="center"/>
    </xf>
    <xf numFmtId="49" fontId="9" fillId="0" borderId="0" xfId="0" applyNumberFormat="1" applyFont="1"/>
    <xf numFmtId="49" fontId="4" fillId="0" borderId="4" xfId="0" applyNumberFormat="1" applyFont="1" applyBorder="1" applyAlignment="1">
      <alignment horizontal="center" vertical="center"/>
    </xf>
    <xf numFmtId="166" fontId="0" fillId="0" borderId="4" xfId="0" applyNumberFormat="1" applyBorder="1" applyAlignment="1">
      <alignment horizontal="center" vertical="center" wrapText="1"/>
    </xf>
    <xf numFmtId="0" fontId="0" fillId="0" borderId="0" xfId="0" applyNumberFormat="1"/>
    <xf numFmtId="0" fontId="1" fillId="5" borderId="5" xfId="0" applyFont="1" applyFill="1" applyBorder="1" applyAlignment="1">
      <alignment horizontal="right"/>
    </xf>
    <xf numFmtId="0" fontId="5" fillId="3" borderId="6" xfId="1" applyFill="1" applyBorder="1" applyAlignment="1">
      <alignment horizontal="center"/>
    </xf>
    <xf numFmtId="0" fontId="1" fillId="5" borderId="7" xfId="0" applyFont="1" applyFill="1" applyBorder="1" applyAlignment="1">
      <alignment horizontal="center" vertical="center"/>
    </xf>
    <xf numFmtId="0" fontId="1" fillId="5" borderId="9" xfId="0" applyFont="1" applyFill="1" applyBorder="1" applyAlignment="1">
      <alignment horizontal="center" vertical="center"/>
    </xf>
    <xf numFmtId="0" fontId="5" fillId="3" borderId="10" xfId="1" applyFill="1" applyBorder="1" applyAlignment="1">
      <alignment horizontal="center"/>
    </xf>
    <xf numFmtId="0" fontId="5" fillId="3" borderId="8" xfId="1" applyNumberFormat="1" applyFill="1" applyBorder="1" applyAlignment="1">
      <alignment horizontal="center"/>
    </xf>
  </cellXfs>
  <cellStyles count="3">
    <cellStyle name="Hyperlink" xfId="1" builtinId="8"/>
    <cellStyle name="Normal" xfId="0" builtinId="0"/>
    <cellStyle name="Normal_COSTU-05" xfId="2" xr:uid="{FF61F350-1DBC-4094-93A6-29F1EC0ECB5B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79561</xdr:colOff>
      <xdr:row>10</xdr:row>
      <xdr:rowOff>170890</xdr:rowOff>
    </xdr:from>
    <xdr:to>
      <xdr:col>2</xdr:col>
      <xdr:colOff>459442</xdr:colOff>
      <xdr:row>13</xdr:row>
      <xdr:rowOff>67235</xdr:rowOff>
    </xdr:to>
    <xdr:sp macro="[0]!PROCES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D38C36AA-F83C-418C-884A-51C26EC79EF8}"/>
            </a:ext>
          </a:extLst>
        </xdr:cNvPr>
        <xdr:cNvSpPr/>
      </xdr:nvSpPr>
      <xdr:spPr>
        <a:xfrm>
          <a:off x="673473" y="2131919"/>
          <a:ext cx="984998" cy="46784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1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PROCESS</a:t>
          </a:r>
        </a:p>
      </xdr:txBody>
    </xdr:sp>
    <xdr:clientData/>
  </xdr:twoCellAnchor>
  <xdr:twoCellAnchor>
    <xdr:from>
      <xdr:col>4</xdr:col>
      <xdr:colOff>81242</xdr:colOff>
      <xdr:row>15</xdr:row>
      <xdr:rowOff>71718</xdr:rowOff>
    </xdr:from>
    <xdr:to>
      <xdr:col>5</xdr:col>
      <xdr:colOff>537883</xdr:colOff>
      <xdr:row>17</xdr:row>
      <xdr:rowOff>112059</xdr:rowOff>
    </xdr:to>
    <xdr:sp macro="[0]!HAPU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6E572E63-6007-4DAA-8C7E-D2D162D14385}"/>
            </a:ext>
          </a:extLst>
        </xdr:cNvPr>
        <xdr:cNvSpPr/>
      </xdr:nvSpPr>
      <xdr:spPr>
        <a:xfrm>
          <a:off x="2042271" y="2985247"/>
          <a:ext cx="1061759" cy="421341"/>
        </a:xfrm>
        <a:prstGeom prst="roundRect">
          <a:avLst/>
        </a:prstGeom>
        <a:solidFill>
          <a:schemeClr val="accent6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16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CLEAR</a:t>
          </a:r>
        </a:p>
      </xdr:txBody>
    </xdr:sp>
    <xdr:clientData/>
  </xdr:twoCellAnchor>
  <xdr:twoCellAnchor>
    <xdr:from>
      <xdr:col>4</xdr:col>
      <xdr:colOff>71718</xdr:colOff>
      <xdr:row>10</xdr:row>
      <xdr:rowOff>156323</xdr:rowOff>
    </xdr:from>
    <xdr:to>
      <xdr:col>5</xdr:col>
      <xdr:colOff>515472</xdr:colOff>
      <xdr:row>13</xdr:row>
      <xdr:rowOff>89647</xdr:rowOff>
    </xdr:to>
    <xdr:sp macro="[0]!RP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3834A27-22B4-4ACE-A143-FC739802BEA6}"/>
            </a:ext>
          </a:extLst>
        </xdr:cNvPr>
        <xdr:cNvSpPr/>
      </xdr:nvSpPr>
      <xdr:spPr>
        <a:xfrm>
          <a:off x="2032747" y="2117352"/>
          <a:ext cx="1048872" cy="504824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1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INPUT</a:t>
          </a:r>
          <a:r>
            <a:rPr lang="en-ID" sz="14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RPA</a:t>
          </a:r>
          <a:endParaRPr lang="en-ID" sz="14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</xdr:col>
      <xdr:colOff>79562</xdr:colOff>
      <xdr:row>15</xdr:row>
      <xdr:rowOff>36419</xdr:rowOff>
    </xdr:from>
    <xdr:to>
      <xdr:col>2</xdr:col>
      <xdr:colOff>459443</xdr:colOff>
      <xdr:row>17</xdr:row>
      <xdr:rowOff>123264</xdr:rowOff>
    </xdr:to>
    <xdr:sp macro="[0]!simpan_rekap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2B402280-6362-4A21-9821-D97DCC8480ED}"/>
            </a:ext>
          </a:extLst>
        </xdr:cNvPr>
        <xdr:cNvSpPr/>
      </xdr:nvSpPr>
      <xdr:spPr>
        <a:xfrm>
          <a:off x="740709" y="2949948"/>
          <a:ext cx="984999" cy="46784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1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REKAP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E1FAE8-DF53-4B59-A5C6-DDA2FCDDB9ED}">
  <sheetPr codeName="Sheet1"/>
  <dimension ref="A1:DO202"/>
  <sheetViews>
    <sheetView tabSelected="1" zoomScale="85" zoomScaleNormal="85" workbookViewId="0">
      <selection activeCell="F23" sqref="F23"/>
    </sheetView>
  </sheetViews>
  <sheetFormatPr defaultRowHeight="15"/>
  <cols>
    <col min="1" max="1" width="9.85546875" bestFit="1" customWidth="1"/>
    <col min="3" max="3" width="9.140625" customWidth="1"/>
    <col min="4" max="4" width="2.42578125" customWidth="1"/>
    <col min="5" max="6" width="9.140625" customWidth="1"/>
    <col min="7" max="8" width="3.85546875" customWidth="1"/>
    <col min="9" max="9" width="4" bestFit="1" customWidth="1"/>
    <col min="10" max="10" width="18.42578125" style="8" bestFit="1" customWidth="1"/>
    <col min="11" max="11" width="12.140625" style="8" bestFit="1" customWidth="1"/>
    <col min="12" max="12" width="9.140625" customWidth="1"/>
    <col min="13" max="13" width="18.28515625" bestFit="1" customWidth="1"/>
    <col min="14" max="14" width="66" bestFit="1" customWidth="1"/>
    <col min="15" max="15" width="9.140625" customWidth="1"/>
    <col min="16" max="16" width="9.140625" style="22" customWidth="1"/>
    <col min="17" max="17" width="11.5703125" style="22" bestFit="1" customWidth="1"/>
    <col min="18" max="18" width="9.140625" style="22" customWidth="1"/>
    <col min="19" max="93" width="9.140625" customWidth="1"/>
    <col min="94" max="94" width="16.140625" bestFit="1" customWidth="1"/>
    <col min="95" max="95" width="9.7109375" bestFit="1" customWidth="1"/>
    <col min="96" max="96" width="9.140625" customWidth="1"/>
    <col min="97" max="97" width="18" bestFit="1" customWidth="1"/>
    <col min="98" max="104" width="9.140625" customWidth="1"/>
    <col min="105" max="105" width="9.7109375" customWidth="1"/>
    <col min="106" max="106" width="9.140625" customWidth="1"/>
    <col min="107" max="107" width="11.85546875" bestFit="1" customWidth="1"/>
    <col min="108" max="108" width="9.7109375" customWidth="1"/>
    <col min="109" max="109" width="9.140625" customWidth="1"/>
    <col min="110" max="110" width="11.5703125" customWidth="1"/>
    <col min="111" max="111" width="69.28515625" customWidth="1"/>
    <col min="112" max="112" width="9.85546875" style="22" bestFit="1" customWidth="1"/>
    <col min="113" max="113" width="13.140625" bestFit="1" customWidth="1"/>
    <col min="114" max="114" width="10.7109375" customWidth="1"/>
    <col min="115" max="115" width="9.140625" customWidth="1"/>
    <col min="116" max="117" width="11.85546875" style="6" bestFit="1" customWidth="1"/>
  </cols>
  <sheetData>
    <row r="1" spans="1:119" ht="15.75" thickBot="1">
      <c r="CP1" t="s">
        <v>258</v>
      </c>
      <c r="CQ1" s="6">
        <f ca="1">TODAY()</f>
        <v>44802</v>
      </c>
      <c r="CS1" t="s">
        <v>256</v>
      </c>
      <c r="CT1">
        <v>1</v>
      </c>
      <c r="CW1">
        <v>1</v>
      </c>
      <c r="CX1">
        <v>31</v>
      </c>
      <c r="CZ1">
        <v>1</v>
      </c>
      <c r="DA1">
        <v>7</v>
      </c>
      <c r="DB1">
        <v>1</v>
      </c>
      <c r="DC1" s="6">
        <f ca="1">IF(DB1&lt;=$DI$2,DATE($DI$4,$DI$3,DB1),"")</f>
        <v>44774</v>
      </c>
      <c r="DD1">
        <f ca="1">IF(DC1&lt;&gt;"",WEEKNUM(DC1,2),"")</f>
        <v>32</v>
      </c>
      <c r="DE1">
        <v>1</v>
      </c>
      <c r="DF1" s="17" t="s">
        <v>8</v>
      </c>
      <c r="DG1" s="18" t="s">
        <v>9</v>
      </c>
      <c r="DH1" s="6">
        <f ca="1">TODAY()</f>
        <v>44802</v>
      </c>
      <c r="DI1" s="6" t="str">
        <f ca="1">CONCATENATE(B7,"/",DH2,"/",CT3)</f>
        <v>8/29/2022</v>
      </c>
      <c r="DJ1" s="6" t="str">
        <f>CONCATENATE(B7,"/",CT1,"/",CT3)</f>
        <v>8/1/2022</v>
      </c>
      <c r="DL1" s="6">
        <f ca="1">DC1</f>
        <v>44774</v>
      </c>
      <c r="DM1" s="6">
        <v>44780</v>
      </c>
      <c r="DO1" s="7"/>
    </row>
    <row r="2" spans="1:119">
      <c r="I2" s="9" t="s">
        <v>4</v>
      </c>
      <c r="J2" s="9" t="s">
        <v>0</v>
      </c>
      <c r="K2" s="9" t="s">
        <v>5</v>
      </c>
      <c r="M2" s="23" t="s">
        <v>6</v>
      </c>
      <c r="N2" s="24" t="s">
        <v>259</v>
      </c>
      <c r="CS2" t="s">
        <v>257</v>
      </c>
      <c r="CT2">
        <f ca="1">DAY(EOMONTH(CQ1,0))</f>
        <v>31</v>
      </c>
      <c r="CW2">
        <v>2</v>
      </c>
      <c r="CX2">
        <f>IF(MOD(B8,4)=0,29,28)</f>
        <v>28</v>
      </c>
      <c r="CZ2">
        <v>8</v>
      </c>
      <c r="DA2">
        <v>14</v>
      </c>
      <c r="DB2">
        <v>2</v>
      </c>
      <c r="DC2" s="6">
        <f t="shared" ref="DC2:DC31" ca="1" si="0">IF(DB2&lt;=$DI$2,DATE($DI$4,$DI$3,DB2),"")</f>
        <v>44775</v>
      </c>
      <c r="DD2">
        <f ca="1">IF(DC2&lt;&gt;"",WEEKNUM(DC2,2),"")</f>
        <v>32</v>
      </c>
      <c r="DE2">
        <f ca="1">IF(DD2&lt;&gt;"",IF(DD2=DD1,DE1,DE1+1),"")</f>
        <v>1</v>
      </c>
      <c r="DF2" s="17" t="s">
        <v>106</v>
      </c>
      <c r="DG2" s="18" t="s">
        <v>9</v>
      </c>
      <c r="DH2" s="22">
        <f ca="1">DAY(DH1)</f>
        <v>29</v>
      </c>
      <c r="DI2">
        <f ca="1">DAY(DI1)</f>
        <v>29</v>
      </c>
      <c r="DJ2" s="6"/>
      <c r="DL2" s="6">
        <v>44781</v>
      </c>
      <c r="DM2" s="6">
        <v>44787</v>
      </c>
      <c r="DN2" t="s">
        <v>3</v>
      </c>
    </row>
    <row r="3" spans="1:119">
      <c r="I3" s="11">
        <v>1</v>
      </c>
      <c r="J3" s="20" t="s">
        <v>8</v>
      </c>
      <c r="K3" s="21">
        <v>0</v>
      </c>
      <c r="M3" s="26" t="s">
        <v>260</v>
      </c>
      <c r="N3" s="27" t="s">
        <v>262</v>
      </c>
      <c r="CT3">
        <f>B8</f>
        <v>2022</v>
      </c>
      <c r="CW3">
        <v>3</v>
      </c>
      <c r="CX3">
        <v>31</v>
      </c>
      <c r="CZ3">
        <v>15</v>
      </c>
      <c r="DA3">
        <v>21</v>
      </c>
      <c r="DB3">
        <v>3</v>
      </c>
      <c r="DC3" s="6">
        <f t="shared" ca="1" si="0"/>
        <v>44776</v>
      </c>
      <c r="DD3">
        <f ca="1">IF(DC3&lt;&gt;"",WEEKNUM(DC3,2),"")</f>
        <v>32</v>
      </c>
      <c r="DE3">
        <f ca="1">IF(DD3&lt;&gt;"",IF(DD3=DD2,DE2,DE2+1),"")</f>
        <v>1</v>
      </c>
      <c r="DF3" s="17" t="s">
        <v>107</v>
      </c>
      <c r="DG3" s="19" t="s">
        <v>9</v>
      </c>
      <c r="DH3" s="22">
        <f ca="1">MONTH(DH1)</f>
        <v>8</v>
      </c>
      <c r="DI3">
        <f ca="1">MONTH(DI1)</f>
        <v>8</v>
      </c>
      <c r="DJ3" s="6"/>
      <c r="DL3" s="6">
        <v>44788</v>
      </c>
      <c r="DM3" s="6">
        <v>44794</v>
      </c>
      <c r="DN3" t="s">
        <v>3</v>
      </c>
    </row>
    <row r="4" spans="1:119" ht="15.75" thickBot="1">
      <c r="A4" s="6"/>
      <c r="I4" s="11">
        <v>2</v>
      </c>
      <c r="J4" s="20" t="s">
        <v>106</v>
      </c>
      <c r="K4" s="21">
        <v>0</v>
      </c>
      <c r="M4" s="25" t="s">
        <v>261</v>
      </c>
      <c r="N4" s="28" t="str">
        <f ca="1">CONCATENATE("Rekap Profit Loss_",$DI$6)</f>
        <v>Rekap Profit Loss_8-29-2022</v>
      </c>
      <c r="CW4">
        <v>4</v>
      </c>
      <c r="CX4">
        <v>30</v>
      </c>
      <c r="CZ4">
        <v>22</v>
      </c>
      <c r="DA4">
        <f>VLOOKUP(B7,CW:CX,2,0)</f>
        <v>31</v>
      </c>
      <c r="DB4">
        <v>4</v>
      </c>
      <c r="DC4" s="6">
        <f t="shared" ca="1" si="0"/>
        <v>44777</v>
      </c>
      <c r="DD4">
        <f t="shared" ref="DD4:DD32" ca="1" si="1">IF(DC4&lt;&gt;"",WEEKNUM(DC4,2),"")</f>
        <v>32</v>
      </c>
      <c r="DE4">
        <f t="shared" ref="DE4:DE31" ca="1" si="2">IF(DD4&lt;&gt;"",IF(DD4=DD3,DE3,DE3+1),"")</f>
        <v>1</v>
      </c>
      <c r="DF4" s="17" t="s">
        <v>108</v>
      </c>
      <c r="DG4" s="18" t="s">
        <v>9</v>
      </c>
      <c r="DI4">
        <f ca="1">YEAR(DI1)</f>
        <v>2022</v>
      </c>
      <c r="DJ4" s="6"/>
      <c r="DL4" s="6">
        <v>44795</v>
      </c>
      <c r="DM4" s="6">
        <v>44801</v>
      </c>
      <c r="DN4" t="s">
        <v>3</v>
      </c>
    </row>
    <row r="5" spans="1:119">
      <c r="I5" s="11">
        <v>3</v>
      </c>
      <c r="J5" s="20" t="s">
        <v>107</v>
      </c>
      <c r="K5" s="21">
        <v>0</v>
      </c>
      <c r="N5" s="22"/>
      <c r="CW5">
        <v>5</v>
      </c>
      <c r="CX5">
        <v>31</v>
      </c>
      <c r="DB5">
        <v>5</v>
      </c>
      <c r="DC5" s="6">
        <f t="shared" ca="1" si="0"/>
        <v>44778</v>
      </c>
      <c r="DD5">
        <f t="shared" ca="1" si="1"/>
        <v>32</v>
      </c>
      <c r="DE5">
        <f t="shared" ca="1" si="2"/>
        <v>1</v>
      </c>
      <c r="DF5" s="17" t="s">
        <v>10</v>
      </c>
      <c r="DG5" s="18" t="s">
        <v>11</v>
      </c>
      <c r="DI5">
        <f>DAY(EOMONTH(DJ1,0))</f>
        <v>31</v>
      </c>
      <c r="DL5" s="6">
        <v>44802</v>
      </c>
      <c r="DM5" s="6">
        <v>44802</v>
      </c>
    </row>
    <row r="6" spans="1:119" ht="15.75" thickBot="1">
      <c r="I6" s="11">
        <v>4</v>
      </c>
      <c r="J6" s="20" t="s">
        <v>108</v>
      </c>
      <c r="K6" s="21">
        <v>0</v>
      </c>
      <c r="N6" s="22"/>
      <c r="CW6">
        <v>6</v>
      </c>
      <c r="CX6">
        <v>30</v>
      </c>
      <c r="DB6">
        <v>6</v>
      </c>
      <c r="DC6" s="6">
        <f t="shared" ca="1" si="0"/>
        <v>44779</v>
      </c>
      <c r="DD6">
        <f t="shared" ca="1" si="1"/>
        <v>32</v>
      </c>
      <c r="DE6">
        <f t="shared" ca="1" si="2"/>
        <v>1</v>
      </c>
      <c r="DF6" s="17" t="s">
        <v>109</v>
      </c>
      <c r="DG6" s="18" t="s">
        <v>11</v>
      </c>
      <c r="DI6" t="str">
        <f ca="1">SUBSTITUTE(DI1,"/","-")</f>
        <v>8-29-2022</v>
      </c>
      <c r="DL6" s="6" t="s">
        <v>3</v>
      </c>
    </row>
    <row r="7" spans="1:119" ht="15.75" thickBot="1">
      <c r="A7" s="1" t="s">
        <v>1</v>
      </c>
      <c r="B7" s="2">
        <v>8</v>
      </c>
      <c r="I7" s="11">
        <v>5</v>
      </c>
      <c r="J7" s="20" t="s">
        <v>10</v>
      </c>
      <c r="K7" s="21">
        <v>0</v>
      </c>
      <c r="N7" s="22"/>
      <c r="CW7">
        <v>7</v>
      </c>
      <c r="CX7">
        <v>31</v>
      </c>
      <c r="DA7" s="7"/>
      <c r="DB7">
        <v>7</v>
      </c>
      <c r="DC7" s="6">
        <f t="shared" ca="1" si="0"/>
        <v>44780</v>
      </c>
      <c r="DD7">
        <f t="shared" ca="1" si="1"/>
        <v>32</v>
      </c>
      <c r="DE7">
        <f ca="1">IF(DD7&lt;&gt;"",IF(DD7=DD6,DE6,DE6+1),"")</f>
        <v>1</v>
      </c>
      <c r="DF7" s="17" t="s">
        <v>110</v>
      </c>
      <c r="DG7" s="18" t="s">
        <v>11</v>
      </c>
      <c r="DI7" s="12"/>
      <c r="DJ7" s="12"/>
    </row>
    <row r="8" spans="1:119" ht="15.75" thickBot="1">
      <c r="A8" s="1" t="s">
        <v>2</v>
      </c>
      <c r="B8" s="2">
        <v>2022</v>
      </c>
      <c r="I8" s="11">
        <v>6</v>
      </c>
      <c r="J8" s="20" t="s">
        <v>109</v>
      </c>
      <c r="K8" s="21">
        <v>0</v>
      </c>
      <c r="CW8">
        <v>8</v>
      </c>
      <c r="CX8">
        <v>31</v>
      </c>
      <c r="DB8">
        <v>8</v>
      </c>
      <c r="DC8" s="6">
        <f t="shared" ca="1" si="0"/>
        <v>44781</v>
      </c>
      <c r="DD8">
        <f t="shared" ca="1" si="1"/>
        <v>33</v>
      </c>
      <c r="DE8">
        <f t="shared" ca="1" si="2"/>
        <v>2</v>
      </c>
      <c r="DF8" s="17" t="s">
        <v>111</v>
      </c>
      <c r="DG8" s="18" t="s">
        <v>11</v>
      </c>
      <c r="DI8" s="13"/>
      <c r="DJ8" s="14"/>
    </row>
    <row r="9" spans="1:119">
      <c r="I9" s="11">
        <v>7</v>
      </c>
      <c r="J9" s="20" t="s">
        <v>110</v>
      </c>
      <c r="K9" s="21">
        <v>0</v>
      </c>
      <c r="CW9">
        <v>9</v>
      </c>
      <c r="CX9">
        <v>30</v>
      </c>
      <c r="DB9">
        <v>9</v>
      </c>
      <c r="DC9" s="6">
        <f t="shared" ca="1" si="0"/>
        <v>44782</v>
      </c>
      <c r="DD9">
        <f t="shared" ca="1" si="1"/>
        <v>33</v>
      </c>
      <c r="DE9">
        <f t="shared" ca="1" si="2"/>
        <v>2</v>
      </c>
      <c r="DF9" s="17" t="s">
        <v>12</v>
      </c>
      <c r="DG9" s="18" t="s">
        <v>13</v>
      </c>
      <c r="DI9" s="13"/>
      <c r="DJ9" s="14"/>
    </row>
    <row r="10" spans="1:119">
      <c r="I10" s="11">
        <v>8</v>
      </c>
      <c r="J10" s="20" t="s">
        <v>111</v>
      </c>
      <c r="K10" s="21">
        <v>0</v>
      </c>
      <c r="CW10">
        <v>10</v>
      </c>
      <c r="CX10">
        <v>31</v>
      </c>
      <c r="DB10">
        <v>10</v>
      </c>
      <c r="DC10" s="6">
        <f t="shared" ca="1" si="0"/>
        <v>44783</v>
      </c>
      <c r="DD10">
        <f t="shared" ca="1" si="1"/>
        <v>33</v>
      </c>
      <c r="DE10">
        <f t="shared" ca="1" si="2"/>
        <v>2</v>
      </c>
      <c r="DF10" s="17" t="s">
        <v>112</v>
      </c>
      <c r="DG10" s="18" t="s">
        <v>13</v>
      </c>
      <c r="DI10" s="13"/>
      <c r="DJ10" s="15"/>
    </row>
    <row r="11" spans="1:119">
      <c r="A11" s="3"/>
      <c r="I11" s="11">
        <v>9</v>
      </c>
      <c r="J11" s="20" t="s">
        <v>12</v>
      </c>
      <c r="K11" s="21">
        <v>0</v>
      </c>
      <c r="CW11">
        <v>11</v>
      </c>
      <c r="CX11">
        <v>30</v>
      </c>
      <c r="DB11">
        <v>11</v>
      </c>
      <c r="DC11" s="6">
        <f t="shared" ca="1" si="0"/>
        <v>44784</v>
      </c>
      <c r="DD11">
        <f t="shared" ca="1" si="1"/>
        <v>33</v>
      </c>
      <c r="DE11">
        <f t="shared" ca="1" si="2"/>
        <v>2</v>
      </c>
      <c r="DF11" s="17" t="s">
        <v>113</v>
      </c>
      <c r="DG11" s="18" t="s">
        <v>13</v>
      </c>
      <c r="DI11" s="13"/>
      <c r="DJ11" s="14"/>
    </row>
    <row r="12" spans="1:119">
      <c r="I12" s="11">
        <v>10</v>
      </c>
      <c r="J12" s="20" t="s">
        <v>112</v>
      </c>
      <c r="K12" s="21">
        <v>0</v>
      </c>
      <c r="CW12">
        <v>12</v>
      </c>
      <c r="CX12">
        <v>31</v>
      </c>
      <c r="DB12">
        <v>12</v>
      </c>
      <c r="DC12" s="6">
        <f t="shared" ca="1" si="0"/>
        <v>44785</v>
      </c>
      <c r="DD12">
        <f t="shared" ca="1" si="1"/>
        <v>33</v>
      </c>
      <c r="DE12">
        <f t="shared" ca="1" si="2"/>
        <v>2</v>
      </c>
      <c r="DF12" s="17" t="s">
        <v>114</v>
      </c>
      <c r="DG12" s="18" t="s">
        <v>13</v>
      </c>
      <c r="DI12" s="13"/>
      <c r="DJ12" s="14"/>
    </row>
    <row r="13" spans="1:119">
      <c r="I13" s="11">
        <v>11</v>
      </c>
      <c r="J13" s="20" t="s">
        <v>113</v>
      </c>
      <c r="K13" s="21">
        <v>0</v>
      </c>
      <c r="DB13">
        <v>13</v>
      </c>
      <c r="DC13" s="6">
        <f t="shared" ca="1" si="0"/>
        <v>44786</v>
      </c>
      <c r="DD13">
        <f t="shared" ca="1" si="1"/>
        <v>33</v>
      </c>
      <c r="DE13">
        <f t="shared" ca="1" si="2"/>
        <v>2</v>
      </c>
      <c r="DF13" s="17" t="s">
        <v>14</v>
      </c>
      <c r="DG13" s="18" t="s">
        <v>15</v>
      </c>
      <c r="DI13" s="16"/>
      <c r="DJ13" s="14"/>
    </row>
    <row r="14" spans="1:119">
      <c r="I14" s="11">
        <v>12</v>
      </c>
      <c r="J14" s="20" t="s">
        <v>114</v>
      </c>
      <c r="K14" s="21">
        <v>0</v>
      </c>
      <c r="DB14">
        <v>14</v>
      </c>
      <c r="DC14" s="6">
        <f t="shared" ca="1" si="0"/>
        <v>44787</v>
      </c>
      <c r="DD14">
        <f t="shared" ca="1" si="1"/>
        <v>33</v>
      </c>
      <c r="DE14">
        <f t="shared" ca="1" si="2"/>
        <v>2</v>
      </c>
      <c r="DF14" s="17" t="s">
        <v>115</v>
      </c>
      <c r="DG14" s="18" t="s">
        <v>15</v>
      </c>
      <c r="DI14" s="13"/>
      <c r="DJ14" s="14"/>
    </row>
    <row r="15" spans="1:119">
      <c r="I15" s="11">
        <v>13</v>
      </c>
      <c r="J15" s="20" t="s">
        <v>14</v>
      </c>
      <c r="K15" s="21">
        <v>0</v>
      </c>
      <c r="DB15">
        <v>15</v>
      </c>
      <c r="DC15" s="6">
        <f t="shared" ca="1" si="0"/>
        <v>44788</v>
      </c>
      <c r="DD15">
        <f t="shared" ca="1" si="1"/>
        <v>34</v>
      </c>
      <c r="DE15">
        <f t="shared" ca="1" si="2"/>
        <v>3</v>
      </c>
      <c r="DF15" s="17" t="s">
        <v>116</v>
      </c>
      <c r="DG15" s="18" t="s">
        <v>15</v>
      </c>
      <c r="DI15" s="13"/>
      <c r="DJ15" s="14"/>
    </row>
    <row r="16" spans="1:119">
      <c r="A16" s="4"/>
      <c r="I16" s="11">
        <v>14</v>
      </c>
      <c r="J16" s="20" t="s">
        <v>115</v>
      </c>
      <c r="K16" s="21">
        <v>0</v>
      </c>
      <c r="DB16">
        <v>16</v>
      </c>
      <c r="DC16" s="6">
        <f t="shared" ca="1" si="0"/>
        <v>44789</v>
      </c>
      <c r="DD16">
        <f t="shared" ca="1" si="1"/>
        <v>34</v>
      </c>
      <c r="DE16">
        <f t="shared" ca="1" si="2"/>
        <v>3</v>
      </c>
      <c r="DF16" s="17" t="s">
        <v>117</v>
      </c>
      <c r="DG16" s="18" t="s">
        <v>15</v>
      </c>
      <c r="DI16" s="13"/>
      <c r="DJ16" s="14"/>
    </row>
    <row r="17" spans="1:114">
      <c r="A17" s="5"/>
      <c r="E17" s="10"/>
      <c r="I17" s="11">
        <v>15</v>
      </c>
      <c r="J17" s="20" t="s">
        <v>116</v>
      </c>
      <c r="K17" s="21">
        <v>0</v>
      </c>
      <c r="DB17">
        <v>17</v>
      </c>
      <c r="DC17" s="6">
        <f t="shared" ca="1" si="0"/>
        <v>44790</v>
      </c>
      <c r="DD17">
        <f t="shared" ca="1" si="1"/>
        <v>34</v>
      </c>
      <c r="DE17">
        <f t="shared" ca="1" si="2"/>
        <v>3</v>
      </c>
      <c r="DF17" s="17" t="s">
        <v>16</v>
      </c>
      <c r="DG17" s="18" t="s">
        <v>17</v>
      </c>
      <c r="DI17" s="13"/>
      <c r="DJ17" s="14"/>
    </row>
    <row r="18" spans="1:114">
      <c r="A18" s="5"/>
      <c r="I18" s="11">
        <v>16</v>
      </c>
      <c r="J18" s="20" t="s">
        <v>117</v>
      </c>
      <c r="K18" s="21">
        <v>0</v>
      </c>
      <c r="DB18">
        <v>18</v>
      </c>
      <c r="DC18" s="6">
        <f t="shared" ca="1" si="0"/>
        <v>44791</v>
      </c>
      <c r="DD18">
        <f t="shared" ca="1" si="1"/>
        <v>34</v>
      </c>
      <c r="DE18">
        <f t="shared" ca="1" si="2"/>
        <v>3</v>
      </c>
      <c r="DF18" s="17" t="s">
        <v>118</v>
      </c>
      <c r="DG18" s="18" t="s">
        <v>17</v>
      </c>
      <c r="DI18" s="13"/>
      <c r="DJ18" s="14"/>
    </row>
    <row r="19" spans="1:114">
      <c r="I19" s="11">
        <v>17</v>
      </c>
      <c r="J19" s="20" t="s">
        <v>16</v>
      </c>
      <c r="K19" s="21">
        <v>0</v>
      </c>
      <c r="DB19">
        <v>19</v>
      </c>
      <c r="DC19" s="6">
        <f t="shared" ca="1" si="0"/>
        <v>44792</v>
      </c>
      <c r="DD19">
        <f t="shared" ca="1" si="1"/>
        <v>34</v>
      </c>
      <c r="DE19">
        <f t="shared" ca="1" si="2"/>
        <v>3</v>
      </c>
      <c r="DF19" s="17" t="s">
        <v>119</v>
      </c>
      <c r="DG19" s="18" t="s">
        <v>17</v>
      </c>
      <c r="DI19" s="13"/>
      <c r="DJ19" s="14"/>
    </row>
    <row r="20" spans="1:114">
      <c r="I20" s="11">
        <v>18</v>
      </c>
      <c r="J20" s="20" t="s">
        <v>118</v>
      </c>
      <c r="K20" s="21">
        <v>0</v>
      </c>
      <c r="DB20">
        <v>20</v>
      </c>
      <c r="DC20" s="6">
        <f t="shared" ca="1" si="0"/>
        <v>44793</v>
      </c>
      <c r="DD20">
        <f t="shared" ca="1" si="1"/>
        <v>34</v>
      </c>
      <c r="DE20">
        <f t="shared" ca="1" si="2"/>
        <v>3</v>
      </c>
      <c r="DF20" s="17" t="s">
        <v>120</v>
      </c>
      <c r="DG20" s="18" t="s">
        <v>17</v>
      </c>
      <c r="DI20" s="13"/>
      <c r="DJ20" s="14"/>
    </row>
    <row r="21" spans="1:114">
      <c r="I21" s="11">
        <v>19</v>
      </c>
      <c r="J21" s="20" t="s">
        <v>119</v>
      </c>
      <c r="K21" s="21">
        <v>0</v>
      </c>
      <c r="DB21">
        <v>21</v>
      </c>
      <c r="DC21" s="6">
        <f t="shared" ca="1" si="0"/>
        <v>44794</v>
      </c>
      <c r="DD21">
        <f t="shared" ca="1" si="1"/>
        <v>34</v>
      </c>
      <c r="DE21">
        <f t="shared" ca="1" si="2"/>
        <v>3</v>
      </c>
      <c r="DF21" s="17" t="s">
        <v>105</v>
      </c>
      <c r="DG21" s="18" t="s">
        <v>18</v>
      </c>
      <c r="DI21" s="13"/>
      <c r="DJ21" s="14"/>
    </row>
    <row r="22" spans="1:114">
      <c r="I22" s="11">
        <v>20</v>
      </c>
      <c r="J22" s="20" t="s">
        <v>120</v>
      </c>
      <c r="K22" s="21">
        <v>0</v>
      </c>
      <c r="DB22">
        <v>22</v>
      </c>
      <c r="DC22" s="6">
        <f t="shared" ca="1" si="0"/>
        <v>44795</v>
      </c>
      <c r="DD22">
        <f t="shared" ca="1" si="1"/>
        <v>35</v>
      </c>
      <c r="DE22">
        <f t="shared" ca="1" si="2"/>
        <v>4</v>
      </c>
      <c r="DF22" s="17" t="s">
        <v>121</v>
      </c>
      <c r="DG22" s="18" t="s">
        <v>18</v>
      </c>
      <c r="DI22" s="13"/>
      <c r="DJ22" s="14"/>
    </row>
    <row r="23" spans="1:114">
      <c r="I23" s="11">
        <v>21</v>
      </c>
      <c r="J23" s="20" t="s">
        <v>105</v>
      </c>
      <c r="K23" s="21">
        <v>0</v>
      </c>
      <c r="DB23">
        <v>23</v>
      </c>
      <c r="DC23" s="6">
        <f t="shared" ca="1" si="0"/>
        <v>44796</v>
      </c>
      <c r="DD23">
        <f t="shared" ca="1" si="1"/>
        <v>35</v>
      </c>
      <c r="DE23">
        <f t="shared" ca="1" si="2"/>
        <v>4</v>
      </c>
      <c r="DF23" s="17" t="s">
        <v>122</v>
      </c>
      <c r="DG23" s="18" t="s">
        <v>18</v>
      </c>
      <c r="DI23" s="13"/>
      <c r="DJ23" s="14"/>
    </row>
    <row r="24" spans="1:114">
      <c r="I24" s="11">
        <v>22</v>
      </c>
      <c r="J24" s="20" t="s">
        <v>121</v>
      </c>
      <c r="K24" s="21">
        <v>0</v>
      </c>
      <c r="DB24">
        <v>24</v>
      </c>
      <c r="DC24" s="6">
        <f t="shared" ca="1" si="0"/>
        <v>44797</v>
      </c>
      <c r="DD24">
        <f t="shared" ca="1" si="1"/>
        <v>35</v>
      </c>
      <c r="DE24">
        <f t="shared" ca="1" si="2"/>
        <v>4</v>
      </c>
      <c r="DF24" s="17" t="s">
        <v>123</v>
      </c>
      <c r="DG24" s="18" t="s">
        <v>18</v>
      </c>
      <c r="DI24" s="13"/>
      <c r="DJ24" s="14"/>
    </row>
    <row r="25" spans="1:114">
      <c r="I25" s="11">
        <v>23</v>
      </c>
      <c r="J25" s="20" t="s">
        <v>122</v>
      </c>
      <c r="K25" s="21">
        <v>0</v>
      </c>
      <c r="DB25">
        <v>25</v>
      </c>
      <c r="DC25" s="6">
        <f t="shared" ca="1" si="0"/>
        <v>44798</v>
      </c>
      <c r="DD25">
        <f t="shared" ca="1" si="1"/>
        <v>35</v>
      </c>
      <c r="DE25">
        <f t="shared" ca="1" si="2"/>
        <v>4</v>
      </c>
      <c r="DF25" s="17" t="s">
        <v>19</v>
      </c>
      <c r="DG25" s="18" t="s">
        <v>20</v>
      </c>
      <c r="DI25" s="13"/>
      <c r="DJ25" s="14"/>
    </row>
    <row r="26" spans="1:114">
      <c r="I26" s="11">
        <v>24</v>
      </c>
      <c r="J26" s="20" t="s">
        <v>123</v>
      </c>
      <c r="K26" s="21">
        <v>0</v>
      </c>
      <c r="DB26">
        <v>26</v>
      </c>
      <c r="DC26" s="6">
        <f t="shared" ca="1" si="0"/>
        <v>44799</v>
      </c>
      <c r="DD26">
        <f t="shared" ca="1" si="1"/>
        <v>35</v>
      </c>
      <c r="DE26">
        <f t="shared" ca="1" si="2"/>
        <v>4</v>
      </c>
      <c r="DF26" s="17" t="s">
        <v>124</v>
      </c>
      <c r="DG26" s="18" t="s">
        <v>20</v>
      </c>
      <c r="DI26" s="13"/>
      <c r="DJ26" s="14"/>
    </row>
    <row r="27" spans="1:114">
      <c r="I27" s="11">
        <v>25</v>
      </c>
      <c r="J27" s="20" t="s">
        <v>19</v>
      </c>
      <c r="K27" s="21">
        <v>0</v>
      </c>
      <c r="DB27">
        <v>27</v>
      </c>
      <c r="DC27" s="6">
        <f t="shared" ca="1" si="0"/>
        <v>44800</v>
      </c>
      <c r="DD27">
        <f t="shared" ca="1" si="1"/>
        <v>35</v>
      </c>
      <c r="DE27">
        <f t="shared" ca="1" si="2"/>
        <v>4</v>
      </c>
      <c r="DF27" s="17" t="s">
        <v>125</v>
      </c>
      <c r="DG27" s="18" t="s">
        <v>20</v>
      </c>
      <c r="DI27" s="13"/>
      <c r="DJ27" s="14"/>
    </row>
    <row r="28" spans="1:114">
      <c r="I28" s="11">
        <v>26</v>
      </c>
      <c r="J28" s="20" t="s">
        <v>124</v>
      </c>
      <c r="K28" s="21">
        <v>0</v>
      </c>
      <c r="DB28">
        <v>28</v>
      </c>
      <c r="DC28" s="6">
        <f t="shared" ca="1" si="0"/>
        <v>44801</v>
      </c>
      <c r="DD28">
        <f t="shared" ca="1" si="1"/>
        <v>35</v>
      </c>
      <c r="DE28">
        <f t="shared" ca="1" si="2"/>
        <v>4</v>
      </c>
      <c r="DF28" s="17" t="s">
        <v>126</v>
      </c>
      <c r="DG28" s="18" t="s">
        <v>20</v>
      </c>
      <c r="DI28" s="13"/>
      <c r="DJ28" s="14"/>
    </row>
    <row r="29" spans="1:114">
      <c r="I29" s="11">
        <v>27</v>
      </c>
      <c r="J29" s="20" t="s">
        <v>125</v>
      </c>
      <c r="K29" s="21">
        <v>0</v>
      </c>
      <c r="DB29">
        <v>29</v>
      </c>
      <c r="DC29" s="6">
        <f t="shared" ca="1" si="0"/>
        <v>44802</v>
      </c>
      <c r="DD29">
        <f t="shared" ca="1" si="1"/>
        <v>36</v>
      </c>
      <c r="DE29">
        <f t="shared" ca="1" si="2"/>
        <v>5</v>
      </c>
      <c r="DF29" s="17" t="s">
        <v>21</v>
      </c>
      <c r="DG29" s="18" t="s">
        <v>22</v>
      </c>
      <c r="DI29" s="13"/>
      <c r="DJ29" s="14"/>
    </row>
    <row r="30" spans="1:114">
      <c r="I30" s="11">
        <v>28</v>
      </c>
      <c r="J30" s="20" t="s">
        <v>126</v>
      </c>
      <c r="K30" s="21">
        <v>0</v>
      </c>
      <c r="DB30">
        <v>30</v>
      </c>
      <c r="DC30" s="6" t="str">
        <f t="shared" ca="1" si="0"/>
        <v/>
      </c>
      <c r="DD30" t="str">
        <f t="shared" ca="1" si="1"/>
        <v/>
      </c>
      <c r="DE30" t="str">
        <f t="shared" ca="1" si="2"/>
        <v/>
      </c>
      <c r="DF30" s="17" t="s">
        <v>127</v>
      </c>
      <c r="DG30" s="18" t="s">
        <v>22</v>
      </c>
      <c r="DI30" s="13"/>
      <c r="DJ30" s="14"/>
    </row>
    <row r="31" spans="1:114">
      <c r="I31" s="11">
        <v>29</v>
      </c>
      <c r="J31" s="20" t="s">
        <v>21</v>
      </c>
      <c r="K31" s="21">
        <v>0</v>
      </c>
      <c r="DB31">
        <v>31</v>
      </c>
      <c r="DC31" s="6" t="str">
        <f t="shared" ca="1" si="0"/>
        <v/>
      </c>
      <c r="DD31" t="str">
        <f t="shared" ca="1" si="1"/>
        <v/>
      </c>
      <c r="DE31" t="str">
        <f t="shared" ca="1" si="2"/>
        <v/>
      </c>
      <c r="DF31" s="17" t="s">
        <v>128</v>
      </c>
      <c r="DG31" s="18" t="s">
        <v>22</v>
      </c>
      <c r="DI31" s="13"/>
      <c r="DJ31" s="14"/>
    </row>
    <row r="32" spans="1:114">
      <c r="I32" s="11">
        <v>30</v>
      </c>
      <c r="J32" s="20" t="s">
        <v>127</v>
      </c>
      <c r="K32" s="21">
        <v>0</v>
      </c>
      <c r="DC32" s="6"/>
      <c r="DD32" t="str">
        <f t="shared" si="1"/>
        <v/>
      </c>
      <c r="DF32" s="17" t="s">
        <v>129</v>
      </c>
      <c r="DG32" s="18" t="s">
        <v>22</v>
      </c>
      <c r="DI32" s="13"/>
      <c r="DJ32" s="14"/>
    </row>
    <row r="33" spans="9:114">
      <c r="I33" s="11">
        <v>31</v>
      </c>
      <c r="J33" s="20" t="s">
        <v>128</v>
      </c>
      <c r="K33" s="21">
        <v>0</v>
      </c>
      <c r="DF33" s="17" t="s">
        <v>23</v>
      </c>
      <c r="DG33" s="18" t="s">
        <v>24</v>
      </c>
      <c r="DI33" s="13"/>
      <c r="DJ33" s="14"/>
    </row>
    <row r="34" spans="9:114">
      <c r="I34" s="11">
        <v>32</v>
      </c>
      <c r="J34" s="20" t="s">
        <v>129</v>
      </c>
      <c r="K34" s="21">
        <v>0</v>
      </c>
      <c r="DF34" s="17" t="s">
        <v>130</v>
      </c>
      <c r="DG34" s="18" t="s">
        <v>24</v>
      </c>
      <c r="DI34" s="13"/>
      <c r="DJ34" s="14"/>
    </row>
    <row r="35" spans="9:114">
      <c r="I35" s="11">
        <v>33</v>
      </c>
      <c r="J35" s="20" t="s">
        <v>23</v>
      </c>
      <c r="K35" s="21">
        <v>0</v>
      </c>
      <c r="DF35" s="17" t="s">
        <v>131</v>
      </c>
      <c r="DG35" s="18" t="s">
        <v>24</v>
      </c>
      <c r="DI35" s="13"/>
      <c r="DJ35" s="14"/>
    </row>
    <row r="36" spans="9:114">
      <c r="I36" s="11">
        <v>34</v>
      </c>
      <c r="J36" s="20" t="s">
        <v>130</v>
      </c>
      <c r="K36" s="21">
        <v>0</v>
      </c>
      <c r="DF36" s="17" t="s">
        <v>132</v>
      </c>
      <c r="DG36" s="18" t="s">
        <v>24</v>
      </c>
      <c r="DI36" s="13"/>
      <c r="DJ36" s="14"/>
    </row>
    <row r="37" spans="9:114">
      <c r="I37" s="11">
        <v>35</v>
      </c>
      <c r="J37" s="20" t="s">
        <v>131</v>
      </c>
      <c r="K37" s="21">
        <v>0</v>
      </c>
      <c r="DF37" s="17" t="s">
        <v>25</v>
      </c>
      <c r="DG37" s="18" t="s">
        <v>26</v>
      </c>
      <c r="DI37" s="13"/>
      <c r="DJ37" s="14"/>
    </row>
    <row r="38" spans="9:114">
      <c r="I38" s="11">
        <v>36</v>
      </c>
      <c r="J38" s="20" t="s">
        <v>132</v>
      </c>
      <c r="K38" s="21">
        <v>0</v>
      </c>
      <c r="DF38" s="17" t="s">
        <v>133</v>
      </c>
      <c r="DG38" s="18" t="s">
        <v>26</v>
      </c>
      <c r="DI38" s="13"/>
      <c r="DJ38" s="14"/>
    </row>
    <row r="39" spans="9:114">
      <c r="I39" s="11">
        <v>37</v>
      </c>
      <c r="J39" s="20" t="s">
        <v>25</v>
      </c>
      <c r="K39" s="21">
        <v>0</v>
      </c>
      <c r="DF39" s="17" t="s">
        <v>134</v>
      </c>
      <c r="DG39" s="18" t="s">
        <v>26</v>
      </c>
      <c r="DI39" s="13"/>
      <c r="DJ39" s="14"/>
    </row>
    <row r="40" spans="9:114">
      <c r="I40" s="11">
        <v>38</v>
      </c>
      <c r="J40" s="20" t="s">
        <v>133</v>
      </c>
      <c r="K40" s="21">
        <v>0</v>
      </c>
      <c r="DF40" s="17" t="s">
        <v>135</v>
      </c>
      <c r="DG40" s="18" t="s">
        <v>26</v>
      </c>
      <c r="DI40" s="13"/>
      <c r="DJ40" s="14"/>
    </row>
    <row r="41" spans="9:114">
      <c r="I41" s="11">
        <v>39</v>
      </c>
      <c r="J41" s="20" t="s">
        <v>134</v>
      </c>
      <c r="K41" s="21">
        <v>0</v>
      </c>
      <c r="DF41" s="17" t="s">
        <v>27</v>
      </c>
      <c r="DG41" s="18" t="s">
        <v>28</v>
      </c>
      <c r="DI41" s="13"/>
      <c r="DJ41" s="14"/>
    </row>
    <row r="42" spans="9:114">
      <c r="I42" s="11">
        <v>40</v>
      </c>
      <c r="J42" s="20" t="s">
        <v>135</v>
      </c>
      <c r="K42" s="21">
        <v>0</v>
      </c>
      <c r="DF42" s="17" t="s">
        <v>136</v>
      </c>
      <c r="DG42" s="18" t="s">
        <v>28</v>
      </c>
      <c r="DI42" s="13"/>
      <c r="DJ42" s="14"/>
    </row>
    <row r="43" spans="9:114">
      <c r="I43" s="11">
        <v>41</v>
      </c>
      <c r="J43" s="20" t="s">
        <v>27</v>
      </c>
      <c r="K43" s="21">
        <v>0</v>
      </c>
      <c r="DF43" s="17" t="s">
        <v>137</v>
      </c>
      <c r="DG43" s="18" t="s">
        <v>28</v>
      </c>
      <c r="DI43" s="13"/>
      <c r="DJ43" s="14"/>
    </row>
    <row r="44" spans="9:114">
      <c r="I44" s="11">
        <v>42</v>
      </c>
      <c r="J44" s="20" t="s">
        <v>136</v>
      </c>
      <c r="K44" s="21">
        <v>0</v>
      </c>
      <c r="DF44" s="17" t="s">
        <v>138</v>
      </c>
      <c r="DG44" s="18" t="s">
        <v>28</v>
      </c>
      <c r="DI44" s="13"/>
      <c r="DJ44" s="14"/>
    </row>
    <row r="45" spans="9:114">
      <c r="I45" s="11">
        <v>43</v>
      </c>
      <c r="J45" s="20" t="s">
        <v>137</v>
      </c>
      <c r="K45" s="21">
        <v>0</v>
      </c>
      <c r="DF45" s="17" t="s">
        <v>29</v>
      </c>
      <c r="DG45" s="18" t="s">
        <v>30</v>
      </c>
      <c r="DI45" s="13"/>
      <c r="DJ45" s="14"/>
    </row>
    <row r="46" spans="9:114">
      <c r="I46" s="11">
        <v>44</v>
      </c>
      <c r="J46" s="20" t="s">
        <v>138</v>
      </c>
      <c r="K46" s="21">
        <v>0</v>
      </c>
      <c r="DF46" s="17" t="s">
        <v>139</v>
      </c>
      <c r="DG46" s="18" t="s">
        <v>30</v>
      </c>
      <c r="DI46" s="13"/>
      <c r="DJ46" s="14"/>
    </row>
    <row r="47" spans="9:114">
      <c r="I47" s="11">
        <v>45</v>
      </c>
      <c r="J47" s="20" t="s">
        <v>29</v>
      </c>
      <c r="K47" s="21">
        <v>0</v>
      </c>
      <c r="DF47" s="17" t="s">
        <v>140</v>
      </c>
      <c r="DG47" s="18" t="s">
        <v>30</v>
      </c>
      <c r="DI47" s="13"/>
      <c r="DJ47" s="14"/>
    </row>
    <row r="48" spans="9:114">
      <c r="I48" s="11">
        <v>46</v>
      </c>
      <c r="J48" s="20" t="s">
        <v>139</v>
      </c>
      <c r="K48" s="21">
        <v>0</v>
      </c>
      <c r="DF48" s="17" t="s">
        <v>141</v>
      </c>
      <c r="DG48" s="19" t="s">
        <v>30</v>
      </c>
      <c r="DI48" s="13"/>
      <c r="DJ48" s="14"/>
    </row>
    <row r="49" spans="9:114">
      <c r="I49" s="11">
        <v>47</v>
      </c>
      <c r="J49" s="20" t="s">
        <v>140</v>
      </c>
      <c r="K49" s="21">
        <v>0</v>
      </c>
      <c r="DF49" s="17" t="s">
        <v>31</v>
      </c>
      <c r="DG49" s="18" t="s">
        <v>32</v>
      </c>
      <c r="DI49" s="13"/>
      <c r="DJ49" s="14"/>
    </row>
    <row r="50" spans="9:114">
      <c r="I50" s="11">
        <v>48</v>
      </c>
      <c r="J50" s="20" t="s">
        <v>141</v>
      </c>
      <c r="K50" s="21">
        <v>0</v>
      </c>
      <c r="DF50" s="17" t="s">
        <v>142</v>
      </c>
      <c r="DG50" s="18" t="s">
        <v>32</v>
      </c>
      <c r="DI50" s="13"/>
      <c r="DJ50" s="14"/>
    </row>
    <row r="51" spans="9:114">
      <c r="I51" s="11">
        <v>49</v>
      </c>
      <c r="J51" s="20" t="s">
        <v>31</v>
      </c>
      <c r="K51" s="21">
        <v>0</v>
      </c>
      <c r="DF51" s="18" t="s">
        <v>143</v>
      </c>
      <c r="DG51" s="18" t="s">
        <v>32</v>
      </c>
      <c r="DI51" s="13"/>
      <c r="DJ51" s="14"/>
    </row>
    <row r="52" spans="9:114">
      <c r="I52" s="11">
        <v>50</v>
      </c>
      <c r="J52" s="20" t="s">
        <v>142</v>
      </c>
      <c r="K52" s="21">
        <v>0</v>
      </c>
      <c r="DF52" s="18" t="s">
        <v>144</v>
      </c>
      <c r="DG52" s="18" t="s">
        <v>32</v>
      </c>
      <c r="DI52" s="13"/>
      <c r="DJ52" s="14"/>
    </row>
    <row r="53" spans="9:114">
      <c r="I53" s="11">
        <v>51</v>
      </c>
      <c r="J53" s="20" t="s">
        <v>143</v>
      </c>
      <c r="K53" s="21">
        <v>0</v>
      </c>
      <c r="DF53" s="18" t="s">
        <v>33</v>
      </c>
      <c r="DG53" s="19" t="s">
        <v>34</v>
      </c>
      <c r="DI53" s="13"/>
      <c r="DJ53" s="14"/>
    </row>
    <row r="54" spans="9:114">
      <c r="I54" s="11">
        <v>52</v>
      </c>
      <c r="J54" s="20" t="s">
        <v>144</v>
      </c>
      <c r="K54" s="21">
        <v>0</v>
      </c>
      <c r="DF54" s="18" t="s">
        <v>145</v>
      </c>
      <c r="DG54" s="18" t="s">
        <v>34</v>
      </c>
      <c r="DI54" s="13"/>
      <c r="DJ54" s="14"/>
    </row>
    <row r="55" spans="9:114">
      <c r="I55" s="11">
        <v>53</v>
      </c>
      <c r="J55" s="20" t="s">
        <v>33</v>
      </c>
      <c r="K55" s="21">
        <v>0</v>
      </c>
      <c r="DF55" s="18" t="s">
        <v>146</v>
      </c>
      <c r="DG55" s="18" t="s">
        <v>34</v>
      </c>
      <c r="DI55" s="13"/>
      <c r="DJ55" s="15"/>
    </row>
    <row r="56" spans="9:114">
      <c r="I56" s="11">
        <v>54</v>
      </c>
      <c r="J56" s="20" t="s">
        <v>145</v>
      </c>
      <c r="K56" s="21">
        <v>0</v>
      </c>
      <c r="DF56" s="18" t="s">
        <v>147</v>
      </c>
      <c r="DG56" s="18" t="s">
        <v>34</v>
      </c>
      <c r="DI56" s="13"/>
      <c r="DJ56" s="14"/>
    </row>
    <row r="57" spans="9:114">
      <c r="I57" s="11">
        <v>55</v>
      </c>
      <c r="J57" s="20" t="s">
        <v>146</v>
      </c>
      <c r="K57" s="21">
        <v>0</v>
      </c>
      <c r="DF57" s="18" t="s">
        <v>35</v>
      </c>
      <c r="DG57" s="18" t="s">
        <v>36</v>
      </c>
      <c r="DI57" s="13"/>
      <c r="DJ57" s="14"/>
    </row>
    <row r="58" spans="9:114">
      <c r="I58" s="11">
        <v>56</v>
      </c>
      <c r="J58" s="20" t="s">
        <v>147</v>
      </c>
      <c r="K58" s="21">
        <v>0</v>
      </c>
      <c r="DF58" s="18" t="s">
        <v>148</v>
      </c>
      <c r="DG58" s="18" t="s">
        <v>36</v>
      </c>
    </row>
    <row r="59" spans="9:114">
      <c r="I59" s="11">
        <v>57</v>
      </c>
      <c r="J59" s="20" t="s">
        <v>35</v>
      </c>
      <c r="K59" s="21">
        <v>0</v>
      </c>
      <c r="DF59" s="18" t="s">
        <v>149</v>
      </c>
      <c r="DG59" s="18" t="s">
        <v>36</v>
      </c>
    </row>
    <row r="60" spans="9:114">
      <c r="I60" s="11">
        <v>58</v>
      </c>
      <c r="J60" s="20" t="s">
        <v>148</v>
      </c>
      <c r="K60" s="21">
        <v>0</v>
      </c>
      <c r="DF60" s="18" t="s">
        <v>150</v>
      </c>
      <c r="DG60" s="18" t="s">
        <v>36</v>
      </c>
    </row>
    <row r="61" spans="9:114">
      <c r="I61" s="11">
        <v>59</v>
      </c>
      <c r="J61" s="20" t="s">
        <v>149</v>
      </c>
      <c r="K61" s="21">
        <v>0</v>
      </c>
      <c r="DF61" s="18" t="s">
        <v>37</v>
      </c>
      <c r="DG61" s="18" t="s">
        <v>38</v>
      </c>
    </row>
    <row r="62" spans="9:114">
      <c r="I62" s="11">
        <v>60</v>
      </c>
      <c r="J62" s="20" t="s">
        <v>150</v>
      </c>
      <c r="K62" s="21">
        <v>0</v>
      </c>
      <c r="DF62" s="18" t="s">
        <v>151</v>
      </c>
      <c r="DG62" s="18" t="s">
        <v>38</v>
      </c>
    </row>
    <row r="63" spans="9:114">
      <c r="I63" s="11">
        <v>61</v>
      </c>
      <c r="J63" s="20" t="s">
        <v>37</v>
      </c>
      <c r="K63" s="21">
        <v>0</v>
      </c>
      <c r="DF63" s="18" t="s">
        <v>152</v>
      </c>
      <c r="DG63" s="18" t="s">
        <v>38</v>
      </c>
    </row>
    <row r="64" spans="9:114">
      <c r="I64" s="11">
        <v>62</v>
      </c>
      <c r="J64" s="20" t="s">
        <v>151</v>
      </c>
      <c r="K64" s="21">
        <v>0</v>
      </c>
      <c r="DF64" s="18" t="s">
        <v>153</v>
      </c>
      <c r="DG64" s="18" t="s">
        <v>38</v>
      </c>
    </row>
    <row r="65" spans="9:111">
      <c r="I65" s="11">
        <v>63</v>
      </c>
      <c r="J65" s="20" t="s">
        <v>152</v>
      </c>
      <c r="K65" s="21">
        <v>0</v>
      </c>
      <c r="DF65" s="18" t="s">
        <v>39</v>
      </c>
      <c r="DG65" s="18" t="s">
        <v>40</v>
      </c>
    </row>
    <row r="66" spans="9:111">
      <c r="I66" s="11">
        <v>64</v>
      </c>
      <c r="J66" s="20" t="s">
        <v>153</v>
      </c>
      <c r="K66" s="21">
        <v>0</v>
      </c>
      <c r="DF66" s="18" t="s">
        <v>154</v>
      </c>
      <c r="DG66" s="18" t="s">
        <v>40</v>
      </c>
    </row>
    <row r="67" spans="9:111">
      <c r="I67" s="11">
        <v>65</v>
      </c>
      <c r="J67" s="20" t="s">
        <v>39</v>
      </c>
      <c r="K67" s="21">
        <v>0</v>
      </c>
      <c r="DF67" s="18" t="s">
        <v>155</v>
      </c>
      <c r="DG67" s="18" t="s">
        <v>40</v>
      </c>
    </row>
    <row r="68" spans="9:111">
      <c r="I68" s="11">
        <v>66</v>
      </c>
      <c r="J68" s="20" t="s">
        <v>154</v>
      </c>
      <c r="K68" s="21">
        <v>0</v>
      </c>
      <c r="DF68" s="18" t="s">
        <v>156</v>
      </c>
      <c r="DG68" s="18" t="s">
        <v>40</v>
      </c>
    </row>
    <row r="69" spans="9:111">
      <c r="I69" s="11">
        <v>67</v>
      </c>
      <c r="J69" s="20" t="s">
        <v>155</v>
      </c>
      <c r="K69" s="21">
        <v>0</v>
      </c>
      <c r="DF69" s="18" t="s">
        <v>41</v>
      </c>
      <c r="DG69" s="18" t="s">
        <v>42</v>
      </c>
    </row>
    <row r="70" spans="9:111">
      <c r="I70" s="11">
        <v>68</v>
      </c>
      <c r="J70" s="20" t="s">
        <v>156</v>
      </c>
      <c r="K70" s="21">
        <v>0</v>
      </c>
      <c r="DF70" s="18" t="s">
        <v>157</v>
      </c>
      <c r="DG70" s="18" t="s">
        <v>42</v>
      </c>
    </row>
    <row r="71" spans="9:111">
      <c r="I71" s="11">
        <v>69</v>
      </c>
      <c r="J71" s="20" t="s">
        <v>41</v>
      </c>
      <c r="K71" s="21">
        <v>0</v>
      </c>
      <c r="DF71" s="18" t="s">
        <v>158</v>
      </c>
      <c r="DG71" s="18" t="s">
        <v>42</v>
      </c>
    </row>
    <row r="72" spans="9:111">
      <c r="I72" s="11">
        <v>70</v>
      </c>
      <c r="J72" s="20" t="s">
        <v>157</v>
      </c>
      <c r="K72" s="21">
        <v>0</v>
      </c>
      <c r="DF72" s="18" t="s">
        <v>159</v>
      </c>
      <c r="DG72" s="18" t="s">
        <v>42</v>
      </c>
    </row>
    <row r="73" spans="9:111">
      <c r="I73" s="11">
        <v>71</v>
      </c>
      <c r="J73" s="20" t="s">
        <v>158</v>
      </c>
      <c r="K73" s="21">
        <v>0</v>
      </c>
      <c r="DF73" s="18" t="s">
        <v>43</v>
      </c>
      <c r="DG73" s="18" t="s">
        <v>44</v>
      </c>
    </row>
    <row r="74" spans="9:111">
      <c r="I74" s="11">
        <v>72</v>
      </c>
      <c r="J74" s="20" t="s">
        <v>159</v>
      </c>
      <c r="K74" s="21">
        <v>0</v>
      </c>
      <c r="DF74" s="18" t="s">
        <v>160</v>
      </c>
      <c r="DG74" s="18" t="s">
        <v>44</v>
      </c>
    </row>
    <row r="75" spans="9:111">
      <c r="I75" s="11">
        <v>73</v>
      </c>
      <c r="J75" s="20" t="s">
        <v>43</v>
      </c>
      <c r="K75" s="21">
        <v>0</v>
      </c>
      <c r="DF75" s="18" t="s">
        <v>161</v>
      </c>
      <c r="DG75" s="18" t="s">
        <v>44</v>
      </c>
    </row>
    <row r="76" spans="9:111">
      <c r="I76" s="11">
        <v>74</v>
      </c>
      <c r="J76" s="20" t="s">
        <v>160</v>
      </c>
      <c r="K76" s="21">
        <v>0</v>
      </c>
      <c r="DF76" s="18" t="s">
        <v>162</v>
      </c>
      <c r="DG76" s="18" t="s">
        <v>44</v>
      </c>
    </row>
    <row r="77" spans="9:111">
      <c r="I77" s="11">
        <v>75</v>
      </c>
      <c r="J77" s="20" t="s">
        <v>161</v>
      </c>
      <c r="K77" s="21">
        <v>0</v>
      </c>
      <c r="DF77" s="18" t="s">
        <v>45</v>
      </c>
      <c r="DG77" s="18" t="s">
        <v>46</v>
      </c>
    </row>
    <row r="78" spans="9:111">
      <c r="I78" s="11">
        <v>76</v>
      </c>
      <c r="J78" s="20" t="s">
        <v>162</v>
      </c>
      <c r="K78" s="21">
        <v>0</v>
      </c>
      <c r="DF78" s="18" t="s">
        <v>163</v>
      </c>
      <c r="DG78" s="18" t="s">
        <v>46</v>
      </c>
    </row>
    <row r="79" spans="9:111">
      <c r="I79" s="11">
        <v>77</v>
      </c>
      <c r="J79" s="20" t="s">
        <v>45</v>
      </c>
      <c r="K79" s="21">
        <v>0</v>
      </c>
      <c r="DF79" s="18" t="s">
        <v>164</v>
      </c>
      <c r="DG79" s="18" t="s">
        <v>46</v>
      </c>
    </row>
    <row r="80" spans="9:111">
      <c r="I80" s="11">
        <v>78</v>
      </c>
      <c r="J80" s="20" t="s">
        <v>163</v>
      </c>
      <c r="K80" s="21">
        <v>0</v>
      </c>
      <c r="DF80" s="18" t="s">
        <v>165</v>
      </c>
      <c r="DG80" s="18" t="s">
        <v>46</v>
      </c>
    </row>
    <row r="81" spans="9:111">
      <c r="I81" s="11">
        <v>79</v>
      </c>
      <c r="J81" s="20" t="s">
        <v>164</v>
      </c>
      <c r="K81" s="21">
        <v>0</v>
      </c>
      <c r="DF81" s="18" t="s">
        <v>47</v>
      </c>
      <c r="DG81" s="18" t="s">
        <v>48</v>
      </c>
    </row>
    <row r="82" spans="9:111">
      <c r="I82" s="11">
        <v>80</v>
      </c>
      <c r="J82" s="20" t="s">
        <v>165</v>
      </c>
      <c r="K82" s="21">
        <v>0</v>
      </c>
      <c r="DF82" s="18" t="s">
        <v>166</v>
      </c>
      <c r="DG82" s="18" t="s">
        <v>48</v>
      </c>
    </row>
    <row r="83" spans="9:111">
      <c r="I83" s="11">
        <v>81</v>
      </c>
      <c r="J83" s="20" t="s">
        <v>47</v>
      </c>
      <c r="K83" s="21">
        <v>0</v>
      </c>
      <c r="DF83" s="18" t="s">
        <v>167</v>
      </c>
      <c r="DG83" s="18" t="s">
        <v>48</v>
      </c>
    </row>
    <row r="84" spans="9:111">
      <c r="I84" s="11">
        <v>82</v>
      </c>
      <c r="J84" s="20" t="s">
        <v>166</v>
      </c>
      <c r="K84" s="21">
        <v>0</v>
      </c>
      <c r="DF84" s="18" t="s">
        <v>168</v>
      </c>
      <c r="DG84" s="18" t="s">
        <v>48</v>
      </c>
    </row>
    <row r="85" spans="9:111">
      <c r="I85" s="11">
        <v>83</v>
      </c>
      <c r="J85" s="20" t="s">
        <v>167</v>
      </c>
      <c r="K85" s="21">
        <v>0</v>
      </c>
      <c r="DF85" s="18" t="s">
        <v>49</v>
      </c>
      <c r="DG85" s="18" t="s">
        <v>50</v>
      </c>
    </row>
    <row r="86" spans="9:111">
      <c r="I86" s="11">
        <v>84</v>
      </c>
      <c r="J86" s="20" t="s">
        <v>168</v>
      </c>
      <c r="K86" s="21">
        <v>0</v>
      </c>
      <c r="DF86" s="18" t="s">
        <v>169</v>
      </c>
      <c r="DG86" s="18" t="s">
        <v>50</v>
      </c>
    </row>
    <row r="87" spans="9:111">
      <c r="I87" s="11">
        <v>85</v>
      </c>
      <c r="J87" s="20" t="s">
        <v>49</v>
      </c>
      <c r="K87" s="21">
        <v>0</v>
      </c>
      <c r="DF87" s="18" t="s">
        <v>170</v>
      </c>
      <c r="DG87" s="18" t="s">
        <v>50</v>
      </c>
    </row>
    <row r="88" spans="9:111">
      <c r="I88" s="11">
        <v>86</v>
      </c>
      <c r="J88" s="20" t="s">
        <v>169</v>
      </c>
      <c r="K88" s="21">
        <v>0</v>
      </c>
      <c r="DF88" s="18" t="s">
        <v>171</v>
      </c>
      <c r="DG88" s="18" t="s">
        <v>50</v>
      </c>
    </row>
    <row r="89" spans="9:111">
      <c r="I89" s="11">
        <v>87</v>
      </c>
      <c r="J89" s="20" t="s">
        <v>170</v>
      </c>
      <c r="K89" s="21">
        <v>0</v>
      </c>
      <c r="DF89" s="18" t="s">
        <v>51</v>
      </c>
      <c r="DG89" s="18" t="s">
        <v>52</v>
      </c>
    </row>
    <row r="90" spans="9:111">
      <c r="I90" s="11">
        <v>88</v>
      </c>
      <c r="J90" s="20" t="s">
        <v>171</v>
      </c>
      <c r="K90" s="21">
        <v>0</v>
      </c>
      <c r="DF90" s="18" t="s">
        <v>172</v>
      </c>
      <c r="DG90" s="18" t="s">
        <v>52</v>
      </c>
    </row>
    <row r="91" spans="9:111">
      <c r="I91" s="11">
        <v>89</v>
      </c>
      <c r="J91" s="20" t="s">
        <v>51</v>
      </c>
      <c r="K91" s="21">
        <v>0</v>
      </c>
      <c r="DF91" s="18" t="s">
        <v>173</v>
      </c>
      <c r="DG91" s="18" t="s">
        <v>52</v>
      </c>
    </row>
    <row r="92" spans="9:111">
      <c r="I92" s="11">
        <v>90</v>
      </c>
      <c r="J92" s="20" t="s">
        <v>172</v>
      </c>
      <c r="K92" s="21">
        <v>0</v>
      </c>
      <c r="DF92" s="18" t="s">
        <v>174</v>
      </c>
      <c r="DG92" s="18" t="s">
        <v>52</v>
      </c>
    </row>
    <row r="93" spans="9:111">
      <c r="I93" s="11">
        <v>91</v>
      </c>
      <c r="J93" s="20" t="s">
        <v>173</v>
      </c>
      <c r="K93" s="21">
        <v>0</v>
      </c>
      <c r="DF93" s="18" t="s">
        <v>53</v>
      </c>
      <c r="DG93" s="18" t="s">
        <v>54</v>
      </c>
    </row>
    <row r="94" spans="9:111">
      <c r="I94" s="11">
        <v>92</v>
      </c>
      <c r="J94" s="20" t="s">
        <v>174</v>
      </c>
      <c r="K94" s="21">
        <v>0</v>
      </c>
      <c r="DF94" s="18" t="s">
        <v>175</v>
      </c>
      <c r="DG94" s="18" t="s">
        <v>54</v>
      </c>
    </row>
    <row r="95" spans="9:111">
      <c r="I95" s="11">
        <v>93</v>
      </c>
      <c r="J95" s="20" t="s">
        <v>53</v>
      </c>
      <c r="K95" s="21">
        <v>0</v>
      </c>
      <c r="DF95" s="18" t="s">
        <v>176</v>
      </c>
      <c r="DG95" s="18" t="s">
        <v>54</v>
      </c>
    </row>
    <row r="96" spans="9:111">
      <c r="I96" s="11">
        <v>94</v>
      </c>
      <c r="J96" s="20" t="s">
        <v>175</v>
      </c>
      <c r="K96" s="21">
        <v>0</v>
      </c>
      <c r="DF96" s="18" t="s">
        <v>177</v>
      </c>
      <c r="DG96" s="18" t="s">
        <v>54</v>
      </c>
    </row>
    <row r="97" spans="9:111">
      <c r="I97" s="11">
        <v>95</v>
      </c>
      <c r="J97" s="20" t="s">
        <v>176</v>
      </c>
      <c r="K97" s="21">
        <v>0</v>
      </c>
      <c r="DF97" s="18" t="s">
        <v>55</v>
      </c>
      <c r="DG97" s="18" t="s">
        <v>56</v>
      </c>
    </row>
    <row r="98" spans="9:111">
      <c r="I98" s="11">
        <v>96</v>
      </c>
      <c r="J98" s="20" t="s">
        <v>177</v>
      </c>
      <c r="K98" s="21">
        <v>0</v>
      </c>
      <c r="DF98" s="18" t="s">
        <v>178</v>
      </c>
      <c r="DG98" s="19" t="s">
        <v>56</v>
      </c>
    </row>
    <row r="99" spans="9:111">
      <c r="I99" s="11">
        <v>97</v>
      </c>
      <c r="J99" s="20" t="s">
        <v>55</v>
      </c>
      <c r="K99" s="21">
        <v>0</v>
      </c>
      <c r="DF99" s="18" t="s">
        <v>179</v>
      </c>
      <c r="DG99" s="18" t="s">
        <v>56</v>
      </c>
    </row>
    <row r="100" spans="9:111">
      <c r="I100" s="11">
        <v>98</v>
      </c>
      <c r="J100" s="20" t="s">
        <v>178</v>
      </c>
      <c r="K100" s="21">
        <v>0</v>
      </c>
      <c r="DF100" s="18" t="s">
        <v>180</v>
      </c>
      <c r="DG100" s="18" t="s">
        <v>56</v>
      </c>
    </row>
    <row r="101" spans="9:111">
      <c r="I101" s="11">
        <v>99</v>
      </c>
      <c r="J101" s="20" t="s">
        <v>179</v>
      </c>
      <c r="K101" s="21">
        <v>0</v>
      </c>
      <c r="DF101" s="18" t="s">
        <v>57</v>
      </c>
      <c r="DG101" s="18" t="s">
        <v>58</v>
      </c>
    </row>
    <row r="102" spans="9:111">
      <c r="I102" s="11">
        <v>100</v>
      </c>
      <c r="J102" s="20" t="s">
        <v>180</v>
      </c>
      <c r="K102" s="21">
        <v>0</v>
      </c>
      <c r="DF102" s="18" t="s">
        <v>181</v>
      </c>
      <c r="DG102" s="18" t="s">
        <v>58</v>
      </c>
    </row>
    <row r="103" spans="9:111">
      <c r="I103" s="11">
        <v>101</v>
      </c>
      <c r="J103" s="20" t="s">
        <v>57</v>
      </c>
      <c r="K103" s="21">
        <v>0</v>
      </c>
      <c r="DF103" s="18" t="s">
        <v>182</v>
      </c>
      <c r="DG103" s="19" t="s">
        <v>58</v>
      </c>
    </row>
    <row r="104" spans="9:111">
      <c r="I104" s="11">
        <v>102</v>
      </c>
      <c r="J104" s="20" t="s">
        <v>181</v>
      </c>
      <c r="K104" s="21">
        <v>0</v>
      </c>
      <c r="DF104" s="18" t="s">
        <v>183</v>
      </c>
      <c r="DG104" s="18" t="s">
        <v>58</v>
      </c>
    </row>
    <row r="105" spans="9:111">
      <c r="I105" s="11">
        <v>103</v>
      </c>
      <c r="J105" s="20" t="s">
        <v>182</v>
      </c>
      <c r="K105" s="21">
        <v>0</v>
      </c>
      <c r="DF105" s="18" t="s">
        <v>59</v>
      </c>
      <c r="DG105" s="18" t="s">
        <v>11</v>
      </c>
    </row>
    <row r="106" spans="9:111">
      <c r="I106" s="11">
        <v>104</v>
      </c>
      <c r="J106" s="20" t="s">
        <v>183</v>
      </c>
      <c r="K106" s="21">
        <v>0</v>
      </c>
      <c r="DF106" s="18" t="s">
        <v>184</v>
      </c>
      <c r="DG106" s="18" t="s">
        <v>11</v>
      </c>
    </row>
    <row r="107" spans="9:111">
      <c r="I107" s="11">
        <v>105</v>
      </c>
      <c r="J107" s="20" t="s">
        <v>59</v>
      </c>
      <c r="K107" s="21">
        <v>0</v>
      </c>
      <c r="DF107" s="18" t="s">
        <v>185</v>
      </c>
      <c r="DG107" s="18" t="s">
        <v>11</v>
      </c>
    </row>
    <row r="108" spans="9:111">
      <c r="I108" s="11">
        <v>106</v>
      </c>
      <c r="J108" s="20" t="s">
        <v>184</v>
      </c>
      <c r="K108" s="21">
        <v>0</v>
      </c>
      <c r="DF108" s="18" t="s">
        <v>186</v>
      </c>
      <c r="DG108" s="18" t="s">
        <v>11</v>
      </c>
    </row>
    <row r="109" spans="9:111">
      <c r="I109" s="11">
        <v>107</v>
      </c>
      <c r="J109" s="20" t="s">
        <v>185</v>
      </c>
      <c r="K109" s="21">
        <v>0</v>
      </c>
      <c r="DF109" s="18" t="s">
        <v>60</v>
      </c>
      <c r="DG109" s="18" t="s">
        <v>61</v>
      </c>
    </row>
    <row r="110" spans="9:111">
      <c r="I110" s="11">
        <v>108</v>
      </c>
      <c r="J110" s="20" t="s">
        <v>186</v>
      </c>
      <c r="K110" s="21">
        <v>0</v>
      </c>
      <c r="DF110" s="18" t="s">
        <v>187</v>
      </c>
      <c r="DG110" s="18" t="s">
        <v>61</v>
      </c>
    </row>
    <row r="111" spans="9:111">
      <c r="I111" s="11">
        <v>109</v>
      </c>
      <c r="J111" s="20" t="s">
        <v>60</v>
      </c>
      <c r="K111" s="21">
        <v>0</v>
      </c>
      <c r="DF111" s="18" t="s">
        <v>188</v>
      </c>
      <c r="DG111" s="18" t="s">
        <v>61</v>
      </c>
    </row>
    <row r="112" spans="9:111">
      <c r="I112" s="11">
        <v>110</v>
      </c>
      <c r="J112" s="20" t="s">
        <v>187</v>
      </c>
      <c r="K112" s="21">
        <v>0</v>
      </c>
      <c r="DF112" s="18" t="s">
        <v>189</v>
      </c>
      <c r="DG112" s="18" t="s">
        <v>61</v>
      </c>
    </row>
    <row r="113" spans="9:111">
      <c r="I113" s="11">
        <v>111</v>
      </c>
      <c r="J113" s="20" t="s">
        <v>188</v>
      </c>
      <c r="K113" s="21">
        <v>0</v>
      </c>
      <c r="DF113" s="18" t="s">
        <v>62</v>
      </c>
      <c r="DG113" s="18" t="s">
        <v>63</v>
      </c>
    </row>
    <row r="114" spans="9:111">
      <c r="I114" s="11">
        <v>112</v>
      </c>
      <c r="J114" s="20" t="s">
        <v>189</v>
      </c>
      <c r="K114" s="21">
        <v>0</v>
      </c>
      <c r="DF114" s="18" t="s">
        <v>190</v>
      </c>
      <c r="DG114" s="18" t="s">
        <v>63</v>
      </c>
    </row>
    <row r="115" spans="9:111">
      <c r="I115" s="11">
        <v>113</v>
      </c>
      <c r="J115" s="20" t="s">
        <v>62</v>
      </c>
      <c r="K115" s="21">
        <v>0</v>
      </c>
      <c r="DF115" s="18" t="s">
        <v>191</v>
      </c>
      <c r="DG115" s="18" t="s">
        <v>63</v>
      </c>
    </row>
    <row r="116" spans="9:111">
      <c r="I116" s="11">
        <v>114</v>
      </c>
      <c r="J116" s="20" t="s">
        <v>190</v>
      </c>
      <c r="K116" s="21">
        <v>0</v>
      </c>
      <c r="DF116" s="18" t="s">
        <v>192</v>
      </c>
      <c r="DG116" s="18" t="s">
        <v>63</v>
      </c>
    </row>
    <row r="117" spans="9:111">
      <c r="I117" s="11">
        <v>115</v>
      </c>
      <c r="J117" s="20" t="s">
        <v>191</v>
      </c>
      <c r="K117" s="21">
        <v>0</v>
      </c>
      <c r="DF117" s="18" t="s">
        <v>64</v>
      </c>
      <c r="DG117" s="18" t="s">
        <v>65</v>
      </c>
    </row>
    <row r="118" spans="9:111">
      <c r="I118" s="11">
        <v>116</v>
      </c>
      <c r="J118" s="20" t="s">
        <v>192</v>
      </c>
      <c r="K118" s="21">
        <v>0</v>
      </c>
      <c r="DF118" s="18" t="s">
        <v>193</v>
      </c>
      <c r="DG118" s="18" t="s">
        <v>65</v>
      </c>
    </row>
    <row r="119" spans="9:111">
      <c r="I119" s="11">
        <v>117</v>
      </c>
      <c r="J119" s="20" t="s">
        <v>64</v>
      </c>
      <c r="K119" s="21">
        <v>0</v>
      </c>
      <c r="DF119" s="18" t="s">
        <v>194</v>
      </c>
      <c r="DG119" s="18" t="s">
        <v>65</v>
      </c>
    </row>
    <row r="120" spans="9:111">
      <c r="I120" s="11">
        <v>118</v>
      </c>
      <c r="J120" s="20" t="s">
        <v>193</v>
      </c>
      <c r="K120" s="21">
        <v>0</v>
      </c>
      <c r="DF120" s="18" t="s">
        <v>195</v>
      </c>
      <c r="DG120" s="18" t="s">
        <v>65</v>
      </c>
    </row>
    <row r="121" spans="9:111">
      <c r="I121" s="11">
        <v>119</v>
      </c>
      <c r="J121" s="20" t="s">
        <v>194</v>
      </c>
      <c r="K121" s="21">
        <v>0</v>
      </c>
      <c r="DF121" s="18" t="s">
        <v>66</v>
      </c>
      <c r="DG121" s="18" t="s">
        <v>67</v>
      </c>
    </row>
    <row r="122" spans="9:111">
      <c r="I122" s="11">
        <v>120</v>
      </c>
      <c r="J122" s="20" t="s">
        <v>195</v>
      </c>
      <c r="K122" s="21">
        <v>0</v>
      </c>
      <c r="DF122" s="18" t="s">
        <v>196</v>
      </c>
      <c r="DG122" s="18" t="s">
        <v>67</v>
      </c>
    </row>
    <row r="123" spans="9:111">
      <c r="I123" s="11">
        <v>121</v>
      </c>
      <c r="J123" s="20" t="s">
        <v>66</v>
      </c>
      <c r="K123" s="21">
        <v>0</v>
      </c>
      <c r="DF123" s="18" t="s">
        <v>197</v>
      </c>
      <c r="DG123" s="18" t="s">
        <v>67</v>
      </c>
    </row>
    <row r="124" spans="9:111">
      <c r="I124" s="11">
        <v>122</v>
      </c>
      <c r="J124" s="20" t="s">
        <v>196</v>
      </c>
      <c r="K124" s="21">
        <v>0</v>
      </c>
      <c r="DF124" s="18" t="s">
        <v>198</v>
      </c>
      <c r="DG124" s="18" t="s">
        <v>67</v>
      </c>
    </row>
    <row r="125" spans="9:111">
      <c r="I125" s="11">
        <v>123</v>
      </c>
      <c r="J125" s="20" t="s">
        <v>197</v>
      </c>
      <c r="K125" s="21">
        <v>0</v>
      </c>
      <c r="DF125" s="18" t="s">
        <v>68</v>
      </c>
      <c r="DG125" s="18" t="s">
        <v>7</v>
      </c>
    </row>
    <row r="126" spans="9:111">
      <c r="I126" s="11">
        <v>124</v>
      </c>
      <c r="J126" s="20" t="s">
        <v>198</v>
      </c>
      <c r="K126" s="21">
        <v>0</v>
      </c>
      <c r="DF126" s="18" t="s">
        <v>199</v>
      </c>
      <c r="DG126" s="18" t="s">
        <v>7</v>
      </c>
    </row>
    <row r="127" spans="9:111">
      <c r="I127" s="11">
        <v>125</v>
      </c>
      <c r="J127" s="20" t="s">
        <v>68</v>
      </c>
      <c r="K127" s="21">
        <v>0</v>
      </c>
      <c r="DF127" s="18" t="s">
        <v>200</v>
      </c>
      <c r="DG127" s="18" t="s">
        <v>7</v>
      </c>
    </row>
    <row r="128" spans="9:111">
      <c r="I128" s="11">
        <v>126</v>
      </c>
      <c r="J128" s="20" t="s">
        <v>199</v>
      </c>
      <c r="K128" s="21">
        <v>0</v>
      </c>
      <c r="DF128" s="18" t="s">
        <v>201</v>
      </c>
      <c r="DG128" s="18" t="s">
        <v>7</v>
      </c>
    </row>
    <row r="129" spans="9:111">
      <c r="I129" s="11">
        <v>127</v>
      </c>
      <c r="J129" s="20" t="s">
        <v>200</v>
      </c>
      <c r="K129" s="21">
        <v>0</v>
      </c>
      <c r="DF129" s="18" t="s">
        <v>69</v>
      </c>
      <c r="DG129" s="18" t="s">
        <v>70</v>
      </c>
    </row>
    <row r="130" spans="9:111">
      <c r="I130" s="11">
        <v>128</v>
      </c>
      <c r="J130" s="20" t="s">
        <v>201</v>
      </c>
      <c r="K130" s="21">
        <v>0</v>
      </c>
      <c r="DF130" s="18" t="s">
        <v>202</v>
      </c>
      <c r="DG130" s="18" t="s">
        <v>70</v>
      </c>
    </row>
    <row r="131" spans="9:111">
      <c r="I131" s="11">
        <v>129</v>
      </c>
      <c r="J131" s="20" t="s">
        <v>69</v>
      </c>
      <c r="K131" s="21">
        <v>0</v>
      </c>
      <c r="DF131" s="18" t="s">
        <v>203</v>
      </c>
      <c r="DG131" s="18" t="s">
        <v>70</v>
      </c>
    </row>
    <row r="132" spans="9:111">
      <c r="I132" s="11">
        <v>130</v>
      </c>
      <c r="J132" s="20" t="s">
        <v>202</v>
      </c>
      <c r="K132" s="21">
        <v>0</v>
      </c>
      <c r="DF132" s="18" t="s">
        <v>204</v>
      </c>
      <c r="DG132" s="18" t="s">
        <v>70</v>
      </c>
    </row>
    <row r="133" spans="9:111">
      <c r="I133" s="11">
        <v>131</v>
      </c>
      <c r="J133" s="20" t="s">
        <v>203</v>
      </c>
      <c r="K133" s="21">
        <v>0</v>
      </c>
      <c r="DF133" s="18" t="s">
        <v>71</v>
      </c>
      <c r="DG133" s="18" t="s">
        <v>72</v>
      </c>
    </row>
    <row r="134" spans="9:111">
      <c r="I134" s="11">
        <v>132</v>
      </c>
      <c r="J134" s="20" t="s">
        <v>204</v>
      </c>
      <c r="K134" s="21">
        <v>0</v>
      </c>
      <c r="DF134" s="18" t="s">
        <v>205</v>
      </c>
      <c r="DG134" s="18" t="s">
        <v>72</v>
      </c>
    </row>
    <row r="135" spans="9:111">
      <c r="I135" s="11">
        <v>133</v>
      </c>
      <c r="J135" s="20" t="s">
        <v>71</v>
      </c>
      <c r="K135" s="21">
        <v>0</v>
      </c>
      <c r="DF135" s="18" t="s">
        <v>206</v>
      </c>
      <c r="DG135" s="18" t="s">
        <v>72</v>
      </c>
    </row>
    <row r="136" spans="9:111">
      <c r="I136" s="11">
        <v>134</v>
      </c>
      <c r="J136" s="20" t="s">
        <v>205</v>
      </c>
      <c r="K136" s="21">
        <v>0</v>
      </c>
      <c r="DF136" s="18" t="s">
        <v>207</v>
      </c>
      <c r="DG136" s="18" t="s">
        <v>72</v>
      </c>
    </row>
    <row r="137" spans="9:111">
      <c r="I137" s="11">
        <v>135</v>
      </c>
      <c r="J137" s="20" t="s">
        <v>206</v>
      </c>
      <c r="K137" s="21">
        <v>0</v>
      </c>
      <c r="DF137" s="18" t="s">
        <v>73</v>
      </c>
      <c r="DG137" s="18" t="s">
        <v>74</v>
      </c>
    </row>
    <row r="138" spans="9:111">
      <c r="I138" s="11">
        <v>136</v>
      </c>
      <c r="J138" s="20" t="s">
        <v>207</v>
      </c>
      <c r="K138" s="21">
        <v>0</v>
      </c>
      <c r="DF138" s="18" t="s">
        <v>208</v>
      </c>
      <c r="DG138" s="18" t="s">
        <v>74</v>
      </c>
    </row>
    <row r="139" spans="9:111">
      <c r="I139" s="11">
        <v>137</v>
      </c>
      <c r="J139" s="20" t="s">
        <v>73</v>
      </c>
      <c r="K139" s="21">
        <v>0</v>
      </c>
      <c r="DF139" s="18" t="s">
        <v>209</v>
      </c>
      <c r="DG139" s="18" t="s">
        <v>74</v>
      </c>
    </row>
    <row r="140" spans="9:111">
      <c r="I140" s="11">
        <v>138</v>
      </c>
      <c r="J140" s="20" t="s">
        <v>208</v>
      </c>
      <c r="K140" s="21">
        <v>0</v>
      </c>
      <c r="DF140" s="18" t="s">
        <v>210</v>
      </c>
      <c r="DG140" s="18" t="s">
        <v>74</v>
      </c>
    </row>
    <row r="141" spans="9:111">
      <c r="I141" s="11">
        <v>139</v>
      </c>
      <c r="J141" s="20" t="s">
        <v>209</v>
      </c>
      <c r="K141" s="21">
        <v>0</v>
      </c>
      <c r="DF141" s="18" t="s">
        <v>75</v>
      </c>
      <c r="DG141" s="18" t="s">
        <v>76</v>
      </c>
    </row>
    <row r="142" spans="9:111">
      <c r="I142" s="11">
        <v>140</v>
      </c>
      <c r="J142" s="20" t="s">
        <v>210</v>
      </c>
      <c r="K142" s="21">
        <v>0</v>
      </c>
      <c r="DF142" s="18" t="s">
        <v>211</v>
      </c>
      <c r="DG142" s="18" t="s">
        <v>76</v>
      </c>
    </row>
    <row r="143" spans="9:111">
      <c r="I143" s="11">
        <v>141</v>
      </c>
      <c r="J143" s="20" t="s">
        <v>75</v>
      </c>
      <c r="K143" s="21">
        <v>0</v>
      </c>
      <c r="DF143" s="18" t="s">
        <v>212</v>
      </c>
      <c r="DG143" s="18" t="s">
        <v>76</v>
      </c>
    </row>
    <row r="144" spans="9:111">
      <c r="I144" s="11">
        <v>142</v>
      </c>
      <c r="J144" s="20" t="s">
        <v>211</v>
      </c>
      <c r="K144" s="21">
        <v>0</v>
      </c>
      <c r="DF144" s="18" t="s">
        <v>213</v>
      </c>
      <c r="DG144" s="18" t="s">
        <v>76</v>
      </c>
    </row>
    <row r="145" spans="9:111">
      <c r="I145" s="11">
        <v>143</v>
      </c>
      <c r="J145" s="20" t="s">
        <v>212</v>
      </c>
      <c r="K145" s="21">
        <v>0</v>
      </c>
      <c r="DF145" s="18" t="s">
        <v>77</v>
      </c>
      <c r="DG145" s="18" t="s">
        <v>78</v>
      </c>
    </row>
    <row r="146" spans="9:111">
      <c r="I146" s="11">
        <v>144</v>
      </c>
      <c r="J146" s="20" t="s">
        <v>213</v>
      </c>
      <c r="K146" s="21">
        <v>0</v>
      </c>
      <c r="DF146" s="18" t="s">
        <v>214</v>
      </c>
      <c r="DG146" s="18" t="s">
        <v>78</v>
      </c>
    </row>
    <row r="147" spans="9:111">
      <c r="I147" s="11">
        <v>145</v>
      </c>
      <c r="J147" s="20" t="s">
        <v>77</v>
      </c>
      <c r="K147" s="21">
        <v>0</v>
      </c>
      <c r="DF147" s="18" t="s">
        <v>215</v>
      </c>
      <c r="DG147" s="18" t="s">
        <v>78</v>
      </c>
    </row>
    <row r="148" spans="9:111">
      <c r="I148" s="11">
        <v>146</v>
      </c>
      <c r="J148" s="20" t="s">
        <v>214</v>
      </c>
      <c r="K148" s="21">
        <v>0</v>
      </c>
      <c r="DF148" s="18" t="s">
        <v>216</v>
      </c>
      <c r="DG148" s="19" t="s">
        <v>78</v>
      </c>
    </row>
    <row r="149" spans="9:111">
      <c r="I149" s="11">
        <v>147</v>
      </c>
      <c r="J149" s="20" t="s">
        <v>215</v>
      </c>
      <c r="K149" s="21">
        <v>0</v>
      </c>
      <c r="DF149" s="18" t="s">
        <v>79</v>
      </c>
      <c r="DG149" s="18" t="s">
        <v>80</v>
      </c>
    </row>
    <row r="150" spans="9:111">
      <c r="I150" s="11">
        <v>148</v>
      </c>
      <c r="J150" s="20" t="s">
        <v>216</v>
      </c>
      <c r="K150" s="21">
        <v>0</v>
      </c>
      <c r="DF150" s="18" t="s">
        <v>217</v>
      </c>
      <c r="DG150" s="18" t="s">
        <v>80</v>
      </c>
    </row>
    <row r="151" spans="9:111">
      <c r="I151" s="11">
        <v>149</v>
      </c>
      <c r="J151" s="20" t="s">
        <v>79</v>
      </c>
      <c r="K151" s="21">
        <v>0</v>
      </c>
      <c r="DF151" s="18" t="s">
        <v>218</v>
      </c>
      <c r="DG151" s="18" t="s">
        <v>80</v>
      </c>
    </row>
    <row r="152" spans="9:111">
      <c r="I152" s="11">
        <v>150</v>
      </c>
      <c r="J152" s="20" t="s">
        <v>217</v>
      </c>
      <c r="K152" s="21">
        <v>0</v>
      </c>
      <c r="DF152" s="18" t="s">
        <v>219</v>
      </c>
      <c r="DG152" s="18" t="s">
        <v>80</v>
      </c>
    </row>
    <row r="153" spans="9:111">
      <c r="I153" s="11">
        <v>151</v>
      </c>
      <c r="J153" s="20" t="s">
        <v>218</v>
      </c>
      <c r="K153" s="21">
        <v>0</v>
      </c>
      <c r="DF153" s="18" t="s">
        <v>81</v>
      </c>
      <c r="DG153" s="19" t="s">
        <v>82</v>
      </c>
    </row>
    <row r="154" spans="9:111">
      <c r="I154" s="11">
        <v>152</v>
      </c>
      <c r="J154" s="20" t="s">
        <v>219</v>
      </c>
      <c r="K154" s="21">
        <v>0</v>
      </c>
      <c r="DF154" s="18" t="s">
        <v>220</v>
      </c>
      <c r="DG154" s="18" t="s">
        <v>82</v>
      </c>
    </row>
    <row r="155" spans="9:111">
      <c r="I155" s="11">
        <v>153</v>
      </c>
      <c r="J155" s="20" t="s">
        <v>81</v>
      </c>
      <c r="K155" s="21">
        <v>0</v>
      </c>
      <c r="DF155" s="18" t="s">
        <v>221</v>
      </c>
      <c r="DG155" s="18" t="s">
        <v>82</v>
      </c>
    </row>
    <row r="156" spans="9:111">
      <c r="I156" s="11">
        <v>154</v>
      </c>
      <c r="J156" s="20" t="s">
        <v>220</v>
      </c>
      <c r="K156" s="21">
        <v>0</v>
      </c>
      <c r="DF156" s="18" t="s">
        <v>222</v>
      </c>
      <c r="DG156" s="18" t="s">
        <v>82</v>
      </c>
    </row>
    <row r="157" spans="9:111">
      <c r="I157" s="11">
        <v>155</v>
      </c>
      <c r="J157" s="20" t="s">
        <v>221</v>
      </c>
      <c r="K157" s="21">
        <v>0</v>
      </c>
      <c r="DF157" s="18" t="s">
        <v>83</v>
      </c>
      <c r="DG157" s="18" t="s">
        <v>84</v>
      </c>
    </row>
    <row r="158" spans="9:111">
      <c r="I158" s="11">
        <v>156</v>
      </c>
      <c r="J158" s="20" t="s">
        <v>222</v>
      </c>
      <c r="K158" s="21">
        <v>0</v>
      </c>
      <c r="DF158" s="18" t="s">
        <v>223</v>
      </c>
      <c r="DG158" s="18" t="s">
        <v>84</v>
      </c>
    </row>
    <row r="159" spans="9:111">
      <c r="I159" s="11">
        <v>157</v>
      </c>
      <c r="J159" s="20" t="s">
        <v>83</v>
      </c>
      <c r="K159" s="21">
        <v>0</v>
      </c>
      <c r="DF159" s="18" t="s">
        <v>224</v>
      </c>
      <c r="DG159" s="18" t="s">
        <v>84</v>
      </c>
    </row>
    <row r="160" spans="9:111">
      <c r="I160" s="11">
        <v>158</v>
      </c>
      <c r="J160" s="20" t="s">
        <v>223</v>
      </c>
      <c r="K160" s="21">
        <v>0</v>
      </c>
      <c r="DF160" s="18" t="s">
        <v>225</v>
      </c>
      <c r="DG160" s="18" t="s">
        <v>84</v>
      </c>
    </row>
    <row r="161" spans="9:111">
      <c r="I161" s="11">
        <v>159</v>
      </c>
      <c r="J161" s="20" t="s">
        <v>224</v>
      </c>
      <c r="K161" s="21">
        <v>0</v>
      </c>
      <c r="DF161" s="18" t="s">
        <v>85</v>
      </c>
      <c r="DG161" s="18" t="s">
        <v>86</v>
      </c>
    </row>
    <row r="162" spans="9:111">
      <c r="I162" s="11">
        <v>160</v>
      </c>
      <c r="J162" s="20" t="s">
        <v>225</v>
      </c>
      <c r="K162" s="21">
        <v>0</v>
      </c>
      <c r="DF162" s="18" t="s">
        <v>226</v>
      </c>
      <c r="DG162" s="18" t="s">
        <v>86</v>
      </c>
    </row>
    <row r="163" spans="9:111">
      <c r="I163" s="11">
        <v>161</v>
      </c>
      <c r="J163" s="20" t="s">
        <v>85</v>
      </c>
      <c r="K163" s="21">
        <v>0</v>
      </c>
      <c r="DF163" s="18" t="s">
        <v>227</v>
      </c>
      <c r="DG163" s="18" t="s">
        <v>86</v>
      </c>
    </row>
    <row r="164" spans="9:111">
      <c r="I164" s="11">
        <v>162</v>
      </c>
      <c r="J164" s="20" t="s">
        <v>226</v>
      </c>
      <c r="K164" s="21">
        <v>0</v>
      </c>
      <c r="DF164" s="18" t="s">
        <v>228</v>
      </c>
      <c r="DG164" s="18" t="s">
        <v>86</v>
      </c>
    </row>
    <row r="165" spans="9:111">
      <c r="I165" s="11">
        <v>163</v>
      </c>
      <c r="J165" s="20" t="s">
        <v>227</v>
      </c>
      <c r="K165" s="21">
        <v>0</v>
      </c>
      <c r="DF165" s="18" t="s">
        <v>87</v>
      </c>
      <c r="DG165" s="18" t="s">
        <v>88</v>
      </c>
    </row>
    <row r="166" spans="9:111">
      <c r="I166" s="11">
        <v>164</v>
      </c>
      <c r="J166" s="20" t="s">
        <v>228</v>
      </c>
      <c r="K166" s="21">
        <v>0</v>
      </c>
      <c r="DF166" s="18" t="s">
        <v>229</v>
      </c>
      <c r="DG166" s="18" t="s">
        <v>88</v>
      </c>
    </row>
    <row r="167" spans="9:111">
      <c r="I167" s="11">
        <v>165</v>
      </c>
      <c r="J167" s="20" t="s">
        <v>87</v>
      </c>
      <c r="K167" s="21">
        <v>0</v>
      </c>
      <c r="DF167" s="18" t="s">
        <v>230</v>
      </c>
      <c r="DG167" s="18" t="s">
        <v>88</v>
      </c>
    </row>
    <row r="168" spans="9:111">
      <c r="I168" s="11">
        <v>166</v>
      </c>
      <c r="J168" s="20" t="s">
        <v>229</v>
      </c>
      <c r="K168" s="21">
        <v>0</v>
      </c>
      <c r="DF168" s="18" t="s">
        <v>231</v>
      </c>
      <c r="DG168" s="18" t="s">
        <v>88</v>
      </c>
    </row>
    <row r="169" spans="9:111">
      <c r="I169" s="11">
        <v>167</v>
      </c>
      <c r="J169" s="20" t="s">
        <v>230</v>
      </c>
      <c r="K169" s="21">
        <v>0</v>
      </c>
      <c r="DF169" s="18" t="s">
        <v>89</v>
      </c>
      <c r="DG169" s="18" t="s">
        <v>90</v>
      </c>
    </row>
    <row r="170" spans="9:111">
      <c r="I170" s="11">
        <v>168</v>
      </c>
      <c r="J170" s="20" t="s">
        <v>231</v>
      </c>
      <c r="K170" s="21">
        <v>0</v>
      </c>
      <c r="DF170" s="18" t="s">
        <v>232</v>
      </c>
      <c r="DG170" s="18" t="s">
        <v>90</v>
      </c>
    </row>
    <row r="171" spans="9:111">
      <c r="I171" s="11">
        <v>169</v>
      </c>
      <c r="J171" s="20" t="s">
        <v>89</v>
      </c>
      <c r="K171" s="21">
        <v>0</v>
      </c>
      <c r="DF171" s="18" t="s">
        <v>233</v>
      </c>
      <c r="DG171" s="18" t="s">
        <v>90</v>
      </c>
    </row>
    <row r="172" spans="9:111">
      <c r="I172" s="11">
        <v>170</v>
      </c>
      <c r="J172" s="20" t="s">
        <v>232</v>
      </c>
      <c r="K172" s="21">
        <v>0</v>
      </c>
      <c r="DF172" s="18" t="s">
        <v>234</v>
      </c>
      <c r="DG172" s="18" t="s">
        <v>90</v>
      </c>
    </row>
    <row r="173" spans="9:111">
      <c r="I173" s="11">
        <v>171</v>
      </c>
      <c r="J173" s="20" t="s">
        <v>233</v>
      </c>
      <c r="K173" s="21">
        <v>0</v>
      </c>
      <c r="DF173" s="18" t="s">
        <v>91</v>
      </c>
      <c r="DG173" s="18" t="s">
        <v>92</v>
      </c>
    </row>
    <row r="174" spans="9:111">
      <c r="I174" s="11">
        <v>172</v>
      </c>
      <c r="J174" s="20" t="s">
        <v>234</v>
      </c>
      <c r="K174" s="21">
        <v>0</v>
      </c>
      <c r="DF174" s="18" t="s">
        <v>235</v>
      </c>
      <c r="DG174" s="18" t="s">
        <v>92</v>
      </c>
    </row>
    <row r="175" spans="9:111">
      <c r="I175" s="11">
        <v>173</v>
      </c>
      <c r="J175" s="20" t="s">
        <v>91</v>
      </c>
      <c r="K175" s="21">
        <v>0</v>
      </c>
      <c r="DF175" s="18" t="s">
        <v>236</v>
      </c>
      <c r="DG175" s="18" t="s">
        <v>92</v>
      </c>
    </row>
    <row r="176" spans="9:111">
      <c r="I176" s="11">
        <v>174</v>
      </c>
      <c r="J176" s="20" t="s">
        <v>235</v>
      </c>
      <c r="K176" s="21">
        <v>0</v>
      </c>
      <c r="DF176" s="18" t="s">
        <v>237</v>
      </c>
      <c r="DG176" s="18" t="s">
        <v>92</v>
      </c>
    </row>
    <row r="177" spans="9:111">
      <c r="I177" s="11">
        <v>175</v>
      </c>
      <c r="J177" s="20" t="s">
        <v>236</v>
      </c>
      <c r="K177" s="21">
        <v>0</v>
      </c>
      <c r="DF177" s="18" t="s">
        <v>93</v>
      </c>
      <c r="DG177" s="18" t="s">
        <v>94</v>
      </c>
    </row>
    <row r="178" spans="9:111">
      <c r="I178" s="11">
        <v>176</v>
      </c>
      <c r="J178" s="20" t="s">
        <v>237</v>
      </c>
      <c r="K178" s="21">
        <v>0</v>
      </c>
      <c r="DF178" s="18" t="s">
        <v>238</v>
      </c>
      <c r="DG178" s="18" t="s">
        <v>94</v>
      </c>
    </row>
    <row r="179" spans="9:111">
      <c r="I179" s="11">
        <v>177</v>
      </c>
      <c r="J179" s="20" t="s">
        <v>93</v>
      </c>
      <c r="K179" s="21">
        <v>0</v>
      </c>
      <c r="DF179" s="18" t="s">
        <v>239</v>
      </c>
      <c r="DG179" s="18" t="s">
        <v>94</v>
      </c>
    </row>
    <row r="180" spans="9:111">
      <c r="I180" s="11">
        <v>178</v>
      </c>
      <c r="J180" s="20" t="s">
        <v>238</v>
      </c>
      <c r="K180" s="21">
        <v>0</v>
      </c>
      <c r="DF180" s="18" t="s">
        <v>240</v>
      </c>
      <c r="DG180" s="18" t="s">
        <v>94</v>
      </c>
    </row>
    <row r="181" spans="9:111">
      <c r="I181" s="11">
        <v>179</v>
      </c>
      <c r="J181" s="20" t="s">
        <v>239</v>
      </c>
      <c r="K181" s="21">
        <v>0</v>
      </c>
      <c r="DF181" s="18" t="s">
        <v>95</v>
      </c>
      <c r="DG181" s="18" t="s">
        <v>96</v>
      </c>
    </row>
    <row r="182" spans="9:111">
      <c r="I182" s="11">
        <v>180</v>
      </c>
      <c r="J182" s="20" t="s">
        <v>240</v>
      </c>
      <c r="K182" s="21">
        <v>0</v>
      </c>
      <c r="DF182" s="18" t="s">
        <v>241</v>
      </c>
      <c r="DG182" s="18" t="s">
        <v>96</v>
      </c>
    </row>
    <row r="183" spans="9:111">
      <c r="I183" s="11">
        <v>181</v>
      </c>
      <c r="J183" s="20" t="s">
        <v>95</v>
      </c>
      <c r="K183" s="21">
        <v>0</v>
      </c>
      <c r="DF183" s="18" t="s">
        <v>242</v>
      </c>
      <c r="DG183" s="18" t="s">
        <v>96</v>
      </c>
    </row>
    <row r="184" spans="9:111">
      <c r="I184" s="11">
        <v>182</v>
      </c>
      <c r="J184" s="20" t="s">
        <v>241</v>
      </c>
      <c r="K184" s="21">
        <v>0</v>
      </c>
      <c r="DF184" s="18" t="s">
        <v>243</v>
      </c>
      <c r="DG184" s="18" t="s">
        <v>96</v>
      </c>
    </row>
    <row r="185" spans="9:111">
      <c r="I185" s="11">
        <v>183</v>
      </c>
      <c r="J185" s="20" t="s">
        <v>242</v>
      </c>
      <c r="K185" s="21">
        <v>0</v>
      </c>
      <c r="DF185" s="18" t="s">
        <v>97</v>
      </c>
      <c r="DG185" s="18" t="s">
        <v>98</v>
      </c>
    </row>
    <row r="186" spans="9:111">
      <c r="I186" s="11">
        <v>184</v>
      </c>
      <c r="J186" s="20" t="s">
        <v>243</v>
      </c>
      <c r="K186" s="21">
        <v>0</v>
      </c>
      <c r="DF186" s="18" t="s">
        <v>244</v>
      </c>
      <c r="DG186" s="18" t="s">
        <v>98</v>
      </c>
    </row>
    <row r="187" spans="9:111">
      <c r="I187" s="11">
        <v>185</v>
      </c>
      <c r="J187" s="20" t="s">
        <v>97</v>
      </c>
      <c r="K187" s="21">
        <v>0</v>
      </c>
      <c r="DF187" s="18" t="s">
        <v>245</v>
      </c>
      <c r="DG187" s="18" t="s">
        <v>98</v>
      </c>
    </row>
    <row r="188" spans="9:111">
      <c r="I188" s="11">
        <v>186</v>
      </c>
      <c r="J188" s="20" t="s">
        <v>244</v>
      </c>
      <c r="K188" s="21">
        <v>0</v>
      </c>
      <c r="DF188" s="18" t="s">
        <v>246</v>
      </c>
      <c r="DG188" s="18" t="s">
        <v>98</v>
      </c>
    </row>
    <row r="189" spans="9:111">
      <c r="I189" s="11">
        <v>187</v>
      </c>
      <c r="J189" s="20" t="s">
        <v>245</v>
      </c>
      <c r="K189" s="21">
        <v>0</v>
      </c>
      <c r="DF189" s="18" t="s">
        <v>99</v>
      </c>
      <c r="DG189" s="18" t="s">
        <v>100</v>
      </c>
    </row>
    <row r="190" spans="9:111">
      <c r="I190" s="11">
        <v>188</v>
      </c>
      <c r="J190" s="20" t="s">
        <v>246</v>
      </c>
      <c r="K190" s="21">
        <v>0</v>
      </c>
      <c r="DF190" s="18" t="s">
        <v>247</v>
      </c>
      <c r="DG190" s="18" t="s">
        <v>100</v>
      </c>
    </row>
    <row r="191" spans="9:111">
      <c r="I191" s="11">
        <v>189</v>
      </c>
      <c r="J191" s="20" t="s">
        <v>99</v>
      </c>
      <c r="K191" s="21">
        <v>0</v>
      </c>
      <c r="DF191" s="18" t="s">
        <v>248</v>
      </c>
      <c r="DG191" s="18" t="s">
        <v>100</v>
      </c>
    </row>
    <row r="192" spans="9:111">
      <c r="I192" s="11">
        <v>190</v>
      </c>
      <c r="J192" s="20" t="s">
        <v>247</v>
      </c>
      <c r="K192" s="21">
        <v>0</v>
      </c>
      <c r="DF192" s="18" t="s">
        <v>249</v>
      </c>
      <c r="DG192" s="18" t="s">
        <v>100</v>
      </c>
    </row>
    <row r="193" spans="9:111">
      <c r="I193" s="11">
        <v>191</v>
      </c>
      <c r="J193" s="20" t="s">
        <v>248</v>
      </c>
      <c r="K193" s="21">
        <v>0</v>
      </c>
      <c r="DF193" s="18" t="s">
        <v>101</v>
      </c>
      <c r="DG193" s="18" t="s">
        <v>102</v>
      </c>
    </row>
    <row r="194" spans="9:111">
      <c r="I194" s="11">
        <v>192</v>
      </c>
      <c r="J194" s="20" t="s">
        <v>249</v>
      </c>
      <c r="K194" s="21">
        <v>0</v>
      </c>
      <c r="DF194" s="18" t="s">
        <v>250</v>
      </c>
      <c r="DG194" s="18" t="s">
        <v>102</v>
      </c>
    </row>
    <row r="195" spans="9:111">
      <c r="I195" s="11">
        <v>193</v>
      </c>
      <c r="J195" s="20" t="s">
        <v>101</v>
      </c>
      <c r="K195" s="21">
        <v>0</v>
      </c>
      <c r="DF195" s="18" t="s">
        <v>251</v>
      </c>
      <c r="DG195" s="18" t="s">
        <v>102</v>
      </c>
    </row>
    <row r="196" spans="9:111">
      <c r="I196" s="11">
        <v>194</v>
      </c>
      <c r="J196" s="20" t="s">
        <v>250</v>
      </c>
      <c r="K196" s="21">
        <v>0</v>
      </c>
      <c r="DF196" s="18" t="s">
        <v>252</v>
      </c>
      <c r="DG196" s="18" t="s">
        <v>102</v>
      </c>
    </row>
    <row r="197" spans="9:111">
      <c r="I197" s="11">
        <v>195</v>
      </c>
      <c r="J197" s="20" t="s">
        <v>251</v>
      </c>
      <c r="K197" s="21">
        <v>0</v>
      </c>
      <c r="DF197" s="18" t="s">
        <v>103</v>
      </c>
      <c r="DG197" s="18" t="s">
        <v>104</v>
      </c>
    </row>
    <row r="198" spans="9:111">
      <c r="I198" s="11">
        <v>196</v>
      </c>
      <c r="J198" s="20" t="s">
        <v>252</v>
      </c>
      <c r="K198" s="21">
        <v>0</v>
      </c>
      <c r="DF198" s="18" t="s">
        <v>253</v>
      </c>
      <c r="DG198" s="19" t="s">
        <v>104</v>
      </c>
    </row>
    <row r="199" spans="9:111">
      <c r="I199" s="11">
        <v>197</v>
      </c>
      <c r="J199" s="20" t="s">
        <v>103</v>
      </c>
      <c r="K199" s="21">
        <v>0</v>
      </c>
      <c r="DF199" s="18" t="s">
        <v>254</v>
      </c>
      <c r="DG199" s="18" t="s">
        <v>104</v>
      </c>
    </row>
    <row r="200" spans="9:111">
      <c r="I200" s="11">
        <v>198</v>
      </c>
      <c r="J200" s="20" t="s">
        <v>253</v>
      </c>
      <c r="K200" s="21">
        <v>0</v>
      </c>
      <c r="DF200" s="18" t="s">
        <v>255</v>
      </c>
      <c r="DG200" s="18" t="s">
        <v>104</v>
      </c>
    </row>
    <row r="201" spans="9:111">
      <c r="I201" s="11">
        <v>199</v>
      </c>
      <c r="J201" s="20" t="s">
        <v>254</v>
      </c>
      <c r="K201" s="21">
        <v>0</v>
      </c>
    </row>
    <row r="202" spans="9:111">
      <c r="I202" s="11">
        <v>200</v>
      </c>
      <c r="J202" s="20" t="s">
        <v>255</v>
      </c>
      <c r="K202" s="21">
        <v>0</v>
      </c>
    </row>
  </sheetData>
  <phoneticPr fontId="10" type="noConversion"/>
  <dataValidations count="1">
    <dataValidation type="list" allowBlank="1" showInputMessage="1" showErrorMessage="1" sqref="B7" xr:uid="{CB9626BF-50EC-45B4-9DE0-080DF99BD5D8}">
      <formula1>$CW$1:$CW$12</formula1>
    </dataValidation>
  </dataValidations>
  <pageMargins left="0.7" right="0.7" top="0.75" bottom="0.75" header="0.3" footer="0.3"/>
  <pageSetup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PETUNJUK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DESKTOP-PC</dc:creator>
  <cp:lastModifiedBy>Aldi Prasetyo hari</cp:lastModifiedBy>
  <dcterms:created xsi:type="dcterms:W3CDTF">2021-09-03T03:22:05Z</dcterms:created>
  <dcterms:modified xsi:type="dcterms:W3CDTF">2022-08-29T09:46:55Z</dcterms:modified>
</cp:coreProperties>
</file>