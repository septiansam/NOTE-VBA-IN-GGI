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xr:revisionPtr revIDLastSave="0" documentId="13_ncr:1_{57F9647B-7DB1-4623-8636-ABD972D336D2}" xr6:coauthVersionLast="47" xr6:coauthVersionMax="47" xr10:uidLastSave="{00000000-0000-0000-0000-000000000000}"/>
  <bookViews>
    <workbookView xWindow="-120" yWindow="-120" windowWidth="15600" windowHeight="11160" firstSheet="2" activeTab="2" xr2:uid="{00000000-000D-0000-FFFF-FFFF00000000}"/>
  </bookViews>
  <sheets>
    <sheet name="(HOME)" sheetId="11" r:id="rId1"/>
    <sheet name="Ref1" sheetId="10" state="hidden" r:id="rId2"/>
    <sheet name="All Costing" sheetId="1" r:id="rId3"/>
    <sheet name="RESUME" sheetId="16" state="hidden" r:id="rId4"/>
    <sheet name="Ref_Account" sheetId="22" state="hidden" r:id="rId5"/>
    <sheet name="temp_laporan1" sheetId="14" state="hidden" r:id="rId6"/>
    <sheet name="Asep Ridwan Subiana" sheetId="74" r:id="rId7"/>
    <sheet name="Choeruman" sheetId="75" r:id="rId8"/>
    <sheet name="Firawaty" sheetId="76" r:id="rId9"/>
    <sheet name="Fungfung" sheetId="77" r:id="rId10"/>
    <sheet name="Owi Wijaya" sheetId="78" r:id="rId11"/>
    <sheet name="Wawan Iskandar" sheetId="79" r:id="rId12"/>
    <sheet name="Tony Teja" sheetId="80" r:id="rId13"/>
    <sheet name="Santy Silalahi" sheetId="81" r:id="rId14"/>
  </sheets>
  <functionGroups builtInGroupCount="19"/>
  <definedNames>
    <definedName name="_xlnm._FilterDatabase" localSheetId="2" hidden="1">'All Costing'!$A$5:$O$162</definedName>
    <definedName name="_xlnm._FilterDatabase" localSheetId="1" hidden="1">'Ref1'!$A$1:$V$27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5" i="81" l="1"/>
  <c r="I14" i="81"/>
  <c r="I13" i="81"/>
  <c r="I12" i="81"/>
  <c r="I11" i="81"/>
  <c r="I10" i="81"/>
  <c r="I9" i="81"/>
  <c r="I8" i="81"/>
  <c r="I7" i="81"/>
  <c r="I6" i="81"/>
  <c r="I42" i="80"/>
  <c r="I41" i="80"/>
  <c r="I40" i="80"/>
  <c r="I39" i="80"/>
  <c r="I38" i="80"/>
  <c r="I37" i="80"/>
  <c r="I36" i="80"/>
  <c r="I35" i="80"/>
  <c r="I34" i="80"/>
  <c r="I33" i="80"/>
  <c r="I32" i="80"/>
  <c r="I31" i="80"/>
  <c r="I30" i="80"/>
  <c r="I29" i="80"/>
  <c r="I28" i="80"/>
  <c r="I27" i="80"/>
  <c r="I26" i="80"/>
  <c r="I25" i="80"/>
  <c r="I24" i="80"/>
  <c r="I23" i="80"/>
  <c r="I22" i="80"/>
  <c r="I21" i="80"/>
  <c r="I20" i="80"/>
  <c r="I19" i="80"/>
  <c r="I18" i="80"/>
  <c r="I17" i="80"/>
  <c r="I16" i="80"/>
  <c r="I15" i="80"/>
  <c r="I14" i="80"/>
  <c r="I13" i="80"/>
  <c r="I12" i="80"/>
  <c r="I11" i="80"/>
  <c r="I10" i="80"/>
  <c r="I9" i="80"/>
  <c r="I8" i="80"/>
  <c r="I7" i="80"/>
  <c r="I6" i="80"/>
  <c r="I27" i="79"/>
  <c r="I26" i="79"/>
  <c r="I25" i="79"/>
  <c r="I24" i="79"/>
  <c r="I23" i="79"/>
  <c r="I22" i="79"/>
  <c r="I21" i="79"/>
  <c r="I20" i="79"/>
  <c r="I19" i="79"/>
  <c r="I18" i="79"/>
  <c r="I17" i="79"/>
  <c r="I16" i="79"/>
  <c r="I15" i="79"/>
  <c r="I14" i="79"/>
  <c r="I13" i="79"/>
  <c r="I12" i="79"/>
  <c r="I11" i="79"/>
  <c r="I10" i="79"/>
  <c r="I9" i="79"/>
  <c r="I8" i="79"/>
  <c r="I7" i="79"/>
  <c r="I6" i="79"/>
  <c r="I60" i="78"/>
  <c r="I59" i="78"/>
  <c r="I58" i="78"/>
  <c r="I57" i="78"/>
  <c r="I56" i="78"/>
  <c r="I55" i="78"/>
  <c r="I54" i="78"/>
  <c r="I53" i="78"/>
  <c r="I52" i="78"/>
  <c r="I51" i="78"/>
  <c r="I50" i="78"/>
  <c r="I49" i="78"/>
  <c r="I48" i="78"/>
  <c r="I47" i="78"/>
  <c r="I46" i="78"/>
  <c r="I45" i="78"/>
  <c r="I44" i="78"/>
  <c r="I43" i="78"/>
  <c r="I42" i="78"/>
  <c r="I41" i="78"/>
  <c r="I40" i="78"/>
  <c r="I39" i="78"/>
  <c r="I38" i="78"/>
  <c r="I37" i="78"/>
  <c r="I36" i="78"/>
  <c r="I35" i="78"/>
  <c r="I34" i="78"/>
  <c r="I33" i="78"/>
  <c r="I32" i="78"/>
  <c r="I31" i="78"/>
  <c r="I30" i="78"/>
  <c r="I29" i="78"/>
  <c r="I28" i="78"/>
  <c r="I27" i="78"/>
  <c r="I26" i="78"/>
  <c r="I25" i="78"/>
  <c r="I24" i="78"/>
  <c r="I23" i="78"/>
  <c r="I22" i="78"/>
  <c r="I21" i="78"/>
  <c r="I20" i="78"/>
  <c r="I19" i="78"/>
  <c r="I18" i="78"/>
  <c r="I17" i="78"/>
  <c r="I16" i="78"/>
  <c r="I15" i="78"/>
  <c r="I14" i="78"/>
  <c r="I13" i="78"/>
  <c r="I12" i="78"/>
  <c r="I11" i="78"/>
  <c r="I10" i="78"/>
  <c r="I9" i="78"/>
  <c r="I8" i="78"/>
  <c r="I7" i="78"/>
  <c r="I6" i="78"/>
  <c r="I10" i="77"/>
  <c r="I9" i="77"/>
  <c r="I8" i="77"/>
  <c r="I7" i="77"/>
  <c r="I6" i="77"/>
  <c r="I15" i="76"/>
  <c r="I14" i="76"/>
  <c r="I13" i="76"/>
  <c r="I12" i="76"/>
  <c r="I11" i="76"/>
  <c r="I10" i="76"/>
  <c r="I9" i="76"/>
  <c r="I8" i="76"/>
  <c r="I7" i="76"/>
  <c r="I6" i="76"/>
  <c r="I11" i="75"/>
  <c r="I10" i="75"/>
  <c r="I9" i="75"/>
  <c r="I8" i="75"/>
  <c r="I7" i="75"/>
  <c r="I6" i="75"/>
  <c r="I19" i="74"/>
  <c r="I18" i="74"/>
  <c r="I17" i="74"/>
  <c r="I16" i="74"/>
  <c r="I15" i="74"/>
  <c r="I14" i="74"/>
  <c r="I13" i="74"/>
  <c r="I12" i="74"/>
  <c r="I11" i="74"/>
  <c r="I10" i="74"/>
  <c r="I9" i="74"/>
  <c r="I8" i="74"/>
  <c r="I7" i="74"/>
  <c r="I6" i="74"/>
  <c r="I6" i="1"/>
  <c r="O6" i="1" s="1"/>
  <c r="I7" i="1"/>
  <c r="O7" i="1" s="1"/>
  <c r="I8" i="1"/>
  <c r="O8" i="1" s="1"/>
  <c r="I9" i="1"/>
  <c r="O9" i="1" s="1"/>
  <c r="I10" i="1"/>
  <c r="O10" i="1" s="1"/>
  <c r="I11" i="1"/>
  <c r="O11" i="1" s="1"/>
  <c r="I12" i="1"/>
  <c r="O12" i="1" s="1"/>
  <c r="I13" i="1"/>
  <c r="O13" i="1" s="1"/>
  <c r="I14" i="1"/>
  <c r="O14" i="1" s="1"/>
  <c r="I15" i="1"/>
  <c r="O15" i="1" s="1"/>
  <c r="I16" i="1"/>
  <c r="O16" i="1" s="1"/>
  <c r="I17" i="1"/>
  <c r="O17" i="1" s="1"/>
  <c r="I18" i="1"/>
  <c r="O18" i="1" s="1"/>
  <c r="I19" i="1"/>
  <c r="O19" i="1" s="1"/>
  <c r="I20" i="1"/>
  <c r="O20" i="1" s="1"/>
  <c r="I21" i="1"/>
  <c r="O21" i="1" s="1"/>
  <c r="I22" i="1"/>
  <c r="O22" i="1" s="1"/>
  <c r="I23" i="1"/>
  <c r="O23" i="1" s="1"/>
  <c r="I24" i="1"/>
  <c r="O24" i="1" s="1"/>
  <c r="I25" i="1"/>
  <c r="O25" i="1" s="1"/>
  <c r="I26" i="1"/>
  <c r="O26" i="1" s="1"/>
  <c r="I27" i="1"/>
  <c r="O27" i="1" s="1"/>
  <c r="I28" i="1"/>
  <c r="O28" i="1" s="1"/>
  <c r="I29" i="1"/>
  <c r="O29" i="1" s="1"/>
  <c r="I30" i="1"/>
  <c r="O30" i="1" s="1"/>
  <c r="I31" i="1"/>
  <c r="O31" i="1" s="1"/>
  <c r="I32" i="1"/>
  <c r="O32" i="1" s="1"/>
  <c r="I33" i="1"/>
  <c r="O33" i="1" s="1"/>
  <c r="I34" i="1"/>
  <c r="O34" i="1" s="1"/>
  <c r="I35" i="1"/>
  <c r="O35" i="1" s="1"/>
  <c r="I36" i="1"/>
  <c r="O36" i="1" s="1"/>
  <c r="I37" i="1"/>
  <c r="O37" i="1" s="1"/>
  <c r="I38" i="1"/>
  <c r="O38" i="1" s="1"/>
  <c r="I39" i="1"/>
  <c r="O39" i="1" s="1"/>
  <c r="I40" i="1"/>
  <c r="O40" i="1" s="1"/>
  <c r="I41" i="1"/>
  <c r="O41" i="1" s="1"/>
  <c r="I42" i="1"/>
  <c r="O42" i="1" s="1"/>
  <c r="I43" i="1"/>
  <c r="O43" i="1" s="1"/>
  <c r="I44" i="1"/>
  <c r="O44" i="1" s="1"/>
  <c r="I45" i="1"/>
  <c r="O45" i="1" s="1"/>
  <c r="I46" i="1"/>
  <c r="O46" i="1" s="1"/>
  <c r="I47" i="1"/>
  <c r="O47" i="1" s="1"/>
  <c r="I48" i="1"/>
  <c r="O48" i="1" s="1"/>
  <c r="I49" i="1"/>
  <c r="O49" i="1" s="1"/>
  <c r="I50" i="1"/>
  <c r="O50" i="1" s="1"/>
  <c r="I51" i="1"/>
  <c r="O51" i="1" s="1"/>
  <c r="I52" i="1"/>
  <c r="O52" i="1" s="1"/>
  <c r="I53" i="1"/>
  <c r="O53" i="1" s="1"/>
  <c r="I54" i="1"/>
  <c r="O54" i="1" s="1"/>
  <c r="I55" i="1"/>
  <c r="O55" i="1" s="1"/>
  <c r="I56" i="1"/>
  <c r="O56" i="1" s="1"/>
  <c r="I57" i="1"/>
  <c r="O57" i="1" s="1"/>
  <c r="I58" i="1"/>
  <c r="O58" i="1" s="1"/>
  <c r="I59" i="1"/>
  <c r="O59" i="1" s="1"/>
  <c r="I60" i="1"/>
  <c r="O60" i="1" s="1"/>
  <c r="I61" i="1"/>
  <c r="O61" i="1" s="1"/>
  <c r="I62" i="1"/>
  <c r="O62" i="1" s="1"/>
  <c r="I63" i="1"/>
  <c r="O63" i="1" s="1"/>
  <c r="I64" i="1"/>
  <c r="O64" i="1" s="1"/>
  <c r="I65" i="1"/>
  <c r="O65" i="1" s="1"/>
  <c r="I66" i="1"/>
  <c r="O66" i="1" s="1"/>
  <c r="I67" i="1"/>
  <c r="O67" i="1" s="1"/>
  <c r="I68" i="1"/>
  <c r="O68" i="1" s="1"/>
  <c r="I69" i="1"/>
  <c r="O69" i="1" s="1"/>
  <c r="I70" i="1"/>
  <c r="O70" i="1" s="1"/>
  <c r="I71" i="1"/>
  <c r="O71" i="1" s="1"/>
  <c r="I72" i="1"/>
  <c r="O72" i="1" s="1"/>
  <c r="I73" i="1"/>
  <c r="O73" i="1" s="1"/>
  <c r="I74" i="1"/>
  <c r="O74" i="1" s="1"/>
  <c r="I75" i="1"/>
  <c r="O75" i="1" s="1"/>
  <c r="I76" i="1"/>
  <c r="O76" i="1" s="1"/>
  <c r="I77" i="1"/>
  <c r="O77" i="1" s="1"/>
  <c r="I78" i="1"/>
  <c r="O78" i="1" s="1"/>
  <c r="I79" i="1"/>
  <c r="O79" i="1" s="1"/>
  <c r="I80" i="1"/>
  <c r="O80" i="1" s="1"/>
  <c r="I81" i="1"/>
  <c r="O81" i="1" s="1"/>
  <c r="I82" i="1"/>
  <c r="O82" i="1" s="1"/>
  <c r="I83" i="1"/>
  <c r="O83" i="1" s="1"/>
  <c r="I84" i="1"/>
  <c r="O84" i="1" s="1"/>
  <c r="I85" i="1"/>
  <c r="O85" i="1" s="1"/>
  <c r="I86" i="1"/>
  <c r="O86" i="1" s="1"/>
  <c r="I87" i="1"/>
  <c r="O87" i="1" s="1"/>
  <c r="I88" i="1"/>
  <c r="O88" i="1" s="1"/>
  <c r="I89" i="1"/>
  <c r="O89" i="1" s="1"/>
  <c r="I90" i="1"/>
  <c r="O90" i="1" s="1"/>
  <c r="I91" i="1"/>
  <c r="O91" i="1" s="1"/>
  <c r="I92" i="1"/>
  <c r="O92" i="1" s="1"/>
  <c r="I93" i="1"/>
  <c r="O93" i="1" s="1"/>
  <c r="I94" i="1"/>
  <c r="O94" i="1" s="1"/>
  <c r="I95" i="1"/>
  <c r="O95" i="1" s="1"/>
  <c r="I96" i="1"/>
  <c r="O96" i="1" s="1"/>
  <c r="I97" i="1"/>
  <c r="O97" i="1" s="1"/>
  <c r="I98" i="1"/>
  <c r="O98" i="1" s="1"/>
  <c r="I99" i="1"/>
  <c r="O99" i="1" s="1"/>
  <c r="I100" i="1"/>
  <c r="O100" i="1" s="1"/>
  <c r="I101" i="1"/>
  <c r="O101" i="1" s="1"/>
  <c r="I102" i="1"/>
  <c r="O102" i="1" s="1"/>
  <c r="I103" i="1"/>
  <c r="O103" i="1" s="1"/>
  <c r="I104" i="1"/>
  <c r="O104" i="1" s="1"/>
  <c r="I105" i="1"/>
  <c r="O105" i="1" s="1"/>
  <c r="I106" i="1"/>
  <c r="O106" i="1" s="1"/>
  <c r="I107" i="1"/>
  <c r="O107" i="1" s="1"/>
  <c r="I108" i="1"/>
  <c r="O108" i="1" s="1"/>
  <c r="I109" i="1"/>
  <c r="O109" i="1" s="1"/>
  <c r="I110" i="1"/>
  <c r="O110" i="1" s="1"/>
  <c r="I111" i="1"/>
  <c r="O111" i="1" s="1"/>
  <c r="I112" i="1"/>
  <c r="O112" i="1" s="1"/>
  <c r="I113" i="1"/>
  <c r="O113" i="1" s="1"/>
  <c r="I114" i="1"/>
  <c r="O114" i="1" s="1"/>
  <c r="I115" i="1"/>
  <c r="O115" i="1" s="1"/>
  <c r="I116" i="1"/>
  <c r="O116" i="1" s="1"/>
  <c r="I117" i="1"/>
  <c r="O117" i="1" s="1"/>
  <c r="I118" i="1"/>
  <c r="O118" i="1" s="1"/>
  <c r="I119" i="1"/>
  <c r="O119" i="1" s="1"/>
  <c r="I120" i="1"/>
  <c r="O120" i="1" s="1"/>
  <c r="I121" i="1"/>
  <c r="O121" i="1" s="1"/>
  <c r="I122" i="1"/>
  <c r="O122" i="1" s="1"/>
  <c r="I123" i="1"/>
  <c r="O123" i="1" s="1"/>
  <c r="I124" i="1"/>
  <c r="O124" i="1" s="1"/>
  <c r="I125" i="1"/>
  <c r="O125" i="1" s="1"/>
  <c r="I126" i="1"/>
  <c r="O126" i="1" s="1"/>
  <c r="I127" i="1"/>
  <c r="O127" i="1" s="1"/>
  <c r="I128" i="1"/>
  <c r="O128" i="1" s="1"/>
  <c r="I129" i="1"/>
  <c r="O129" i="1" s="1"/>
  <c r="I130" i="1"/>
  <c r="O130" i="1" s="1"/>
  <c r="I131" i="1"/>
  <c r="O131" i="1" s="1"/>
  <c r="I132" i="1"/>
  <c r="O132" i="1" s="1"/>
  <c r="I133" i="1"/>
  <c r="O133" i="1" s="1"/>
  <c r="I134" i="1"/>
  <c r="O134" i="1" s="1"/>
  <c r="I135" i="1"/>
  <c r="O135" i="1" s="1"/>
  <c r="I136" i="1"/>
  <c r="O136" i="1" s="1"/>
  <c r="I137" i="1"/>
  <c r="O137" i="1" s="1"/>
  <c r="I138" i="1"/>
  <c r="O138" i="1" s="1"/>
  <c r="I139" i="1"/>
  <c r="O139" i="1" s="1"/>
  <c r="I140" i="1"/>
  <c r="O140" i="1" s="1"/>
  <c r="I141" i="1"/>
  <c r="O141" i="1" s="1"/>
  <c r="I142" i="1"/>
  <c r="O142" i="1" s="1"/>
  <c r="I143" i="1"/>
  <c r="O143" i="1" s="1"/>
  <c r="I144" i="1"/>
  <c r="O144" i="1" s="1"/>
  <c r="I145" i="1"/>
  <c r="O145" i="1" s="1"/>
  <c r="I146" i="1"/>
  <c r="O146" i="1" s="1"/>
  <c r="I147" i="1"/>
  <c r="O147" i="1" s="1"/>
  <c r="I148" i="1"/>
  <c r="O148" i="1" s="1"/>
  <c r="I149" i="1"/>
  <c r="O149" i="1" s="1"/>
  <c r="I150" i="1"/>
  <c r="O150" i="1" s="1"/>
  <c r="I151" i="1"/>
  <c r="O151" i="1" s="1"/>
  <c r="I152" i="1"/>
  <c r="O152" i="1" s="1"/>
  <c r="I153" i="1"/>
  <c r="O153" i="1" s="1"/>
  <c r="I154" i="1"/>
  <c r="O154" i="1" s="1"/>
  <c r="I155" i="1"/>
  <c r="O155" i="1" s="1"/>
  <c r="I156" i="1"/>
  <c r="O156" i="1" s="1"/>
  <c r="I157" i="1"/>
  <c r="O157" i="1" s="1"/>
  <c r="I158" i="1"/>
  <c r="O158" i="1" s="1"/>
  <c r="I159" i="1"/>
  <c r="O159" i="1" s="1"/>
  <c r="I160" i="1"/>
  <c r="O160" i="1" s="1"/>
  <c r="I161" i="1"/>
  <c r="O161" i="1" s="1"/>
  <c r="I162" i="1"/>
  <c r="O162" i="1" s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C10" i="16"/>
  <c r="C9" i="16"/>
  <c r="C12" i="16"/>
  <c r="C11" i="16"/>
  <c r="C8" i="16"/>
  <c r="C7" i="16"/>
  <c r="C6" i="16"/>
  <c r="C5" i="16"/>
  <c r="C4" i="16"/>
  <c r="C3" i="16"/>
  <c r="L11" i="1" l="1"/>
  <c r="L10" i="1"/>
  <c r="L6" i="1"/>
  <c r="L7" i="1"/>
  <c r="L8" i="1"/>
  <c r="L9" i="1"/>
  <c r="L85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15" i="81" l="1"/>
  <c r="K15" i="81" s="1"/>
  <c r="J14" i="81"/>
  <c r="K14" i="81" s="1"/>
  <c r="J13" i="81"/>
  <c r="K13" i="81" s="1"/>
  <c r="J12" i="81"/>
  <c r="K12" i="81" s="1"/>
  <c r="J11" i="81"/>
  <c r="K11" i="81" s="1"/>
  <c r="J10" i="81"/>
  <c r="K10" i="81" s="1"/>
  <c r="J9" i="81"/>
  <c r="K9" i="81" s="1"/>
  <c r="J8" i="81"/>
  <c r="K8" i="81" s="1"/>
  <c r="J7" i="81"/>
  <c r="K7" i="81" s="1"/>
  <c r="J6" i="81"/>
  <c r="K6" i="81" s="1"/>
  <c r="J42" i="80"/>
  <c r="K42" i="80" s="1"/>
  <c r="J41" i="80"/>
  <c r="K41" i="80" s="1"/>
  <c r="J40" i="80"/>
  <c r="K40" i="80" s="1"/>
  <c r="J39" i="80"/>
  <c r="K39" i="80" s="1"/>
  <c r="J38" i="80"/>
  <c r="K38" i="80" s="1"/>
  <c r="J37" i="80"/>
  <c r="K37" i="80" s="1"/>
  <c r="J36" i="80"/>
  <c r="K36" i="80" s="1"/>
  <c r="J35" i="80"/>
  <c r="K35" i="80" s="1"/>
  <c r="J34" i="80"/>
  <c r="K34" i="80" s="1"/>
  <c r="J33" i="80"/>
  <c r="K33" i="80" s="1"/>
  <c r="J32" i="80"/>
  <c r="K32" i="80" s="1"/>
  <c r="J31" i="80"/>
  <c r="K31" i="80" s="1"/>
  <c r="J30" i="80"/>
  <c r="K30" i="80" s="1"/>
  <c r="J29" i="80"/>
  <c r="K29" i="80" s="1"/>
  <c r="J28" i="80"/>
  <c r="K28" i="80" s="1"/>
  <c r="J27" i="80"/>
  <c r="K27" i="80" s="1"/>
  <c r="J26" i="80"/>
  <c r="K26" i="80" s="1"/>
  <c r="J25" i="80"/>
  <c r="K25" i="80" s="1"/>
  <c r="J24" i="80"/>
  <c r="K24" i="80" s="1"/>
  <c r="J23" i="80"/>
  <c r="K23" i="80" s="1"/>
  <c r="J22" i="80"/>
  <c r="K22" i="80" s="1"/>
  <c r="J21" i="80"/>
  <c r="K21" i="80" s="1"/>
  <c r="J20" i="80"/>
  <c r="K20" i="80" s="1"/>
  <c r="J19" i="80"/>
  <c r="K19" i="80" s="1"/>
  <c r="J18" i="80"/>
  <c r="K18" i="80" s="1"/>
  <c r="J17" i="80"/>
  <c r="K17" i="80" s="1"/>
  <c r="J16" i="80"/>
  <c r="K16" i="80" s="1"/>
  <c r="J15" i="80"/>
  <c r="K15" i="80" s="1"/>
  <c r="J14" i="80"/>
  <c r="K14" i="80" s="1"/>
  <c r="J13" i="80"/>
  <c r="K13" i="80" s="1"/>
  <c r="J12" i="80"/>
  <c r="K12" i="80" s="1"/>
  <c r="J11" i="80"/>
  <c r="K11" i="80" s="1"/>
  <c r="J10" i="80"/>
  <c r="K10" i="80" s="1"/>
  <c r="J9" i="80"/>
  <c r="K9" i="80" s="1"/>
  <c r="J8" i="80"/>
  <c r="K8" i="80" s="1"/>
  <c r="J7" i="80"/>
  <c r="K7" i="80" s="1"/>
  <c r="J6" i="80"/>
  <c r="K6" i="80" s="1"/>
  <c r="J27" i="79"/>
  <c r="K27" i="79" s="1"/>
  <c r="J26" i="79"/>
  <c r="K26" i="79" s="1"/>
  <c r="J25" i="79"/>
  <c r="K25" i="79" s="1"/>
  <c r="J24" i="79"/>
  <c r="K24" i="79" s="1"/>
  <c r="J23" i="79"/>
  <c r="K23" i="79" s="1"/>
  <c r="J22" i="79"/>
  <c r="K22" i="79" s="1"/>
  <c r="J21" i="79"/>
  <c r="K21" i="79" s="1"/>
  <c r="J20" i="79"/>
  <c r="K20" i="79" s="1"/>
  <c r="J19" i="79"/>
  <c r="K19" i="79" s="1"/>
  <c r="J18" i="79"/>
  <c r="K18" i="79" s="1"/>
  <c r="J17" i="79"/>
  <c r="K17" i="79" s="1"/>
  <c r="J16" i="79"/>
  <c r="K16" i="79" s="1"/>
  <c r="J15" i="79"/>
  <c r="K15" i="79" s="1"/>
  <c r="J14" i="79"/>
  <c r="K14" i="79" s="1"/>
  <c r="J13" i="79"/>
  <c r="K13" i="79" s="1"/>
  <c r="J12" i="79"/>
  <c r="K12" i="79" s="1"/>
  <c r="J11" i="79"/>
  <c r="K11" i="79" s="1"/>
  <c r="J10" i="79"/>
  <c r="K10" i="79" s="1"/>
  <c r="J9" i="79"/>
  <c r="K9" i="79" s="1"/>
  <c r="J8" i="79"/>
  <c r="K8" i="79" s="1"/>
  <c r="J7" i="79"/>
  <c r="K7" i="79" s="1"/>
  <c r="J6" i="79"/>
  <c r="K6" i="79" s="1"/>
  <c r="J60" i="78"/>
  <c r="K60" i="78" s="1"/>
  <c r="J59" i="78"/>
  <c r="K59" i="78" s="1"/>
  <c r="J58" i="78"/>
  <c r="K58" i="78" s="1"/>
  <c r="J57" i="78"/>
  <c r="K57" i="78" s="1"/>
  <c r="J56" i="78"/>
  <c r="K56" i="78" s="1"/>
  <c r="J55" i="78"/>
  <c r="K55" i="78" s="1"/>
  <c r="J54" i="78"/>
  <c r="K54" i="78" s="1"/>
  <c r="J53" i="78"/>
  <c r="K53" i="78" s="1"/>
  <c r="J52" i="78"/>
  <c r="K52" i="78" s="1"/>
  <c r="J51" i="78"/>
  <c r="K51" i="78" s="1"/>
  <c r="J50" i="78"/>
  <c r="K50" i="78" s="1"/>
  <c r="J49" i="78"/>
  <c r="K49" i="78" s="1"/>
  <c r="J48" i="78"/>
  <c r="K48" i="78" s="1"/>
  <c r="J47" i="78"/>
  <c r="K47" i="78" s="1"/>
  <c r="J46" i="78"/>
  <c r="K46" i="78" s="1"/>
  <c r="J45" i="78"/>
  <c r="K45" i="78" s="1"/>
  <c r="J44" i="78"/>
  <c r="K44" i="78" s="1"/>
  <c r="J43" i="78"/>
  <c r="K43" i="78" s="1"/>
  <c r="J42" i="78"/>
  <c r="K42" i="78" s="1"/>
  <c r="J41" i="78"/>
  <c r="K41" i="78" s="1"/>
  <c r="J40" i="78"/>
  <c r="K40" i="78" s="1"/>
  <c r="J39" i="78"/>
  <c r="K39" i="78" s="1"/>
  <c r="J38" i="78"/>
  <c r="K38" i="78" s="1"/>
  <c r="J37" i="78"/>
  <c r="K37" i="78" s="1"/>
  <c r="J36" i="78"/>
  <c r="K36" i="78" s="1"/>
  <c r="J35" i="78"/>
  <c r="K35" i="78" s="1"/>
  <c r="J34" i="78"/>
  <c r="K34" i="78" s="1"/>
  <c r="J33" i="78"/>
  <c r="K33" i="78" s="1"/>
  <c r="J32" i="78"/>
  <c r="K32" i="78" s="1"/>
  <c r="J31" i="78"/>
  <c r="K31" i="78" s="1"/>
  <c r="J30" i="78"/>
  <c r="K30" i="78" s="1"/>
  <c r="J29" i="78"/>
  <c r="K29" i="78" s="1"/>
  <c r="J28" i="78"/>
  <c r="K28" i="78" s="1"/>
  <c r="J27" i="78"/>
  <c r="K27" i="78" s="1"/>
  <c r="J26" i="78"/>
  <c r="K26" i="78" s="1"/>
  <c r="J25" i="78"/>
  <c r="K25" i="78" s="1"/>
  <c r="J24" i="78"/>
  <c r="K24" i="78" s="1"/>
  <c r="J23" i="78"/>
  <c r="K23" i="78" s="1"/>
  <c r="J22" i="78"/>
  <c r="K22" i="78" s="1"/>
  <c r="J21" i="78"/>
  <c r="K21" i="78" s="1"/>
  <c r="J20" i="78"/>
  <c r="K20" i="78" s="1"/>
  <c r="J19" i="78"/>
  <c r="K19" i="78" s="1"/>
  <c r="J18" i="78"/>
  <c r="K18" i="78" s="1"/>
  <c r="J17" i="78"/>
  <c r="K17" i="78" s="1"/>
  <c r="J16" i="78"/>
  <c r="K16" i="78" s="1"/>
  <c r="J15" i="78"/>
  <c r="K15" i="78" s="1"/>
  <c r="J14" i="78"/>
  <c r="K14" i="78" s="1"/>
  <c r="J13" i="78"/>
  <c r="K13" i="78" s="1"/>
  <c r="J12" i="78"/>
  <c r="K12" i="78" s="1"/>
  <c r="J11" i="78"/>
  <c r="K11" i="78" s="1"/>
  <c r="J10" i="78"/>
  <c r="K10" i="78" s="1"/>
  <c r="J9" i="78"/>
  <c r="K9" i="78" s="1"/>
  <c r="J8" i="78"/>
  <c r="K8" i="78" s="1"/>
  <c r="J7" i="78"/>
  <c r="K7" i="78" s="1"/>
  <c r="J6" i="78"/>
  <c r="K6" i="78" s="1"/>
  <c r="J10" i="77"/>
  <c r="K10" i="77" s="1"/>
  <c r="J9" i="77"/>
  <c r="K9" i="77" s="1"/>
  <c r="J8" i="77"/>
  <c r="K8" i="77" s="1"/>
  <c r="J7" i="77"/>
  <c r="K7" i="77" s="1"/>
  <c r="J6" i="77"/>
  <c r="K6" i="77" s="1"/>
  <c r="J15" i="76"/>
  <c r="K15" i="76" s="1"/>
  <c r="J14" i="76"/>
  <c r="K14" i="76" s="1"/>
  <c r="J13" i="76"/>
  <c r="K13" i="76" s="1"/>
  <c r="J12" i="76"/>
  <c r="K12" i="76" s="1"/>
  <c r="J11" i="76"/>
  <c r="K11" i="76" s="1"/>
  <c r="J10" i="76"/>
  <c r="K10" i="76" s="1"/>
  <c r="J9" i="76"/>
  <c r="K9" i="76" s="1"/>
  <c r="J8" i="76"/>
  <c r="K8" i="76" s="1"/>
  <c r="J7" i="76"/>
  <c r="K7" i="76" s="1"/>
  <c r="J6" i="76"/>
  <c r="K6" i="76" s="1"/>
  <c r="J11" i="75"/>
  <c r="K11" i="75" s="1"/>
  <c r="J10" i="75"/>
  <c r="K10" i="75" s="1"/>
  <c r="J9" i="75"/>
  <c r="K9" i="75" s="1"/>
  <c r="J8" i="75"/>
  <c r="K8" i="75" s="1"/>
  <c r="J7" i="75"/>
  <c r="K7" i="75" s="1"/>
  <c r="J6" i="75"/>
  <c r="K6" i="75" s="1"/>
  <c r="J19" i="74"/>
  <c r="K19" i="74" s="1"/>
  <c r="J18" i="74"/>
  <c r="K18" i="74" s="1"/>
  <c r="J17" i="74"/>
  <c r="K17" i="74" s="1"/>
  <c r="J16" i="74"/>
  <c r="K16" i="74" s="1"/>
  <c r="J15" i="74"/>
  <c r="K15" i="74" s="1"/>
  <c r="J14" i="74"/>
  <c r="K14" i="74" s="1"/>
  <c r="J13" i="74"/>
  <c r="K13" i="74" s="1"/>
  <c r="J12" i="74"/>
  <c r="K12" i="74" s="1"/>
  <c r="J11" i="74"/>
  <c r="K11" i="74" s="1"/>
  <c r="J10" i="74"/>
  <c r="K10" i="74" s="1"/>
  <c r="J9" i="74"/>
  <c r="K9" i="74" s="1"/>
  <c r="J8" i="74"/>
  <c r="K8" i="74" s="1"/>
  <c r="J7" i="74"/>
  <c r="K7" i="74" s="1"/>
  <c r="J6" i="74"/>
  <c r="K6" i="74" s="1"/>
  <c r="J154" i="1"/>
  <c r="K154" i="1" s="1"/>
  <c r="J118" i="1"/>
  <c r="K118" i="1" s="1"/>
  <c r="J94" i="1"/>
  <c r="K94" i="1" s="1"/>
  <c r="J40" i="1"/>
  <c r="K40" i="1" s="1"/>
  <c r="J29" i="1"/>
  <c r="K29" i="1" s="1"/>
  <c r="J24" i="1"/>
  <c r="K24" i="1" s="1"/>
  <c r="J6" i="1"/>
  <c r="K6" i="1" s="1"/>
  <c r="L91" i="1"/>
  <c r="L79" i="1"/>
  <c r="L145" i="1"/>
  <c r="L32" i="1"/>
  <c r="L139" i="1"/>
  <c r="L43" i="1"/>
  <c r="L127" i="1"/>
  <c r="L133" i="1"/>
  <c r="L97" i="1"/>
  <c r="L37" i="1"/>
  <c r="L26" i="1"/>
  <c r="L21" i="1"/>
  <c r="L73" i="1"/>
  <c r="L67" i="1"/>
  <c r="L157" i="1"/>
  <c r="L109" i="1"/>
  <c r="L61" i="1"/>
  <c r="L15" i="1"/>
  <c r="L121" i="1"/>
  <c r="L115" i="1"/>
  <c r="L151" i="1"/>
  <c r="L103" i="1"/>
  <c r="L55" i="1"/>
  <c r="L49" i="1"/>
  <c r="L150" i="1"/>
  <c r="L120" i="1"/>
  <c r="L143" i="1"/>
  <c r="L119" i="1"/>
  <c r="L89" i="1"/>
  <c r="L148" i="1"/>
  <c r="L130" i="1"/>
  <c r="L112" i="1"/>
  <c r="L94" i="1"/>
  <c r="L82" i="1"/>
  <c r="L64" i="1"/>
  <c r="L46" i="1"/>
  <c r="L159" i="1"/>
  <c r="L147" i="1"/>
  <c r="L141" i="1"/>
  <c r="L129" i="1"/>
  <c r="L117" i="1"/>
  <c r="L105" i="1"/>
  <c r="L93" i="1"/>
  <c r="L81" i="1"/>
  <c r="L69" i="1"/>
  <c r="L51" i="1"/>
  <c r="L39" i="1"/>
  <c r="L158" i="1"/>
  <c r="L152" i="1"/>
  <c r="L146" i="1"/>
  <c r="L140" i="1"/>
  <c r="L134" i="1"/>
  <c r="L128" i="1"/>
  <c r="L122" i="1"/>
  <c r="L116" i="1"/>
  <c r="L110" i="1"/>
  <c r="L104" i="1"/>
  <c r="L98" i="1"/>
  <c r="L92" i="1"/>
  <c r="L86" i="1"/>
  <c r="L80" i="1"/>
  <c r="L74" i="1"/>
  <c r="L68" i="1"/>
  <c r="L62" i="1"/>
  <c r="L56" i="1"/>
  <c r="L50" i="1"/>
  <c r="L44" i="1"/>
  <c r="L38" i="1"/>
  <c r="L33" i="1"/>
  <c r="L27" i="1"/>
  <c r="L22" i="1"/>
  <c r="L16" i="1"/>
  <c r="L162" i="1"/>
  <c r="L138" i="1"/>
  <c r="L114" i="1"/>
  <c r="L108" i="1"/>
  <c r="L102" i="1"/>
  <c r="L96" i="1"/>
  <c r="L90" i="1"/>
  <c r="L84" i="1"/>
  <c r="L78" i="1"/>
  <c r="L72" i="1"/>
  <c r="L66" i="1"/>
  <c r="L60" i="1"/>
  <c r="L54" i="1"/>
  <c r="L48" i="1"/>
  <c r="L42" i="1"/>
  <c r="L36" i="1"/>
  <c r="L31" i="1"/>
  <c r="L20" i="1"/>
  <c r="L14" i="1"/>
  <c r="L144" i="1"/>
  <c r="L161" i="1"/>
  <c r="L137" i="1"/>
  <c r="L113" i="1"/>
  <c r="L95" i="1"/>
  <c r="L83" i="1"/>
  <c r="L77" i="1"/>
  <c r="L71" i="1"/>
  <c r="L65" i="1"/>
  <c r="L59" i="1"/>
  <c r="L53" i="1"/>
  <c r="L47" i="1"/>
  <c r="L41" i="1"/>
  <c r="L35" i="1"/>
  <c r="L30" i="1"/>
  <c r="L25" i="1"/>
  <c r="L19" i="1"/>
  <c r="L13" i="1"/>
  <c r="L156" i="1"/>
  <c r="L132" i="1"/>
  <c r="L155" i="1"/>
  <c r="L131" i="1"/>
  <c r="L101" i="1"/>
  <c r="L154" i="1"/>
  <c r="L136" i="1"/>
  <c r="L118" i="1"/>
  <c r="L100" i="1"/>
  <c r="L76" i="1"/>
  <c r="L58" i="1"/>
  <c r="L40" i="1"/>
  <c r="L29" i="1"/>
  <c r="L24" i="1"/>
  <c r="L18" i="1"/>
  <c r="L12" i="1"/>
  <c r="L126" i="1"/>
  <c r="L149" i="1"/>
  <c r="L125" i="1"/>
  <c r="L107" i="1"/>
  <c r="L160" i="1"/>
  <c r="L142" i="1"/>
  <c r="L124" i="1"/>
  <c r="L106" i="1"/>
  <c r="L88" i="1"/>
  <c r="L70" i="1"/>
  <c r="L52" i="1"/>
  <c r="L153" i="1"/>
  <c r="L135" i="1"/>
  <c r="L123" i="1"/>
  <c r="L111" i="1"/>
  <c r="L99" i="1"/>
  <c r="L87" i="1"/>
  <c r="L75" i="1"/>
  <c r="L63" i="1"/>
  <c r="L57" i="1"/>
  <c r="L45" i="1"/>
  <c r="L34" i="1"/>
  <c r="L28" i="1"/>
  <c r="L23" i="1"/>
  <c r="L17" i="1"/>
  <c r="N17" i="1" s="1"/>
  <c r="J11" i="16"/>
  <c r="K7" i="16"/>
  <c r="J159" i="1"/>
  <c r="K159" i="1" s="1"/>
  <c r="J153" i="1"/>
  <c r="K153" i="1" s="1"/>
  <c r="J147" i="1"/>
  <c r="K147" i="1" s="1"/>
  <c r="J141" i="1"/>
  <c r="K141" i="1" s="1"/>
  <c r="J135" i="1"/>
  <c r="K135" i="1" s="1"/>
  <c r="J129" i="1"/>
  <c r="K129" i="1" s="1"/>
  <c r="J123" i="1"/>
  <c r="K123" i="1" s="1"/>
  <c r="J117" i="1"/>
  <c r="K117" i="1" s="1"/>
  <c r="J111" i="1"/>
  <c r="K111" i="1" s="1"/>
  <c r="J105" i="1"/>
  <c r="K105" i="1" s="1"/>
  <c r="J99" i="1"/>
  <c r="K99" i="1" s="1"/>
  <c r="J93" i="1"/>
  <c r="K93" i="1" s="1"/>
  <c r="J87" i="1"/>
  <c r="K87" i="1" s="1"/>
  <c r="J81" i="1"/>
  <c r="K81" i="1" s="1"/>
  <c r="J75" i="1"/>
  <c r="K75" i="1" s="1"/>
  <c r="J69" i="1"/>
  <c r="K69" i="1" s="1"/>
  <c r="J63" i="1"/>
  <c r="K63" i="1" s="1"/>
  <c r="J57" i="1"/>
  <c r="K57" i="1" s="1"/>
  <c r="J51" i="1"/>
  <c r="K51" i="1" s="1"/>
  <c r="J45" i="1"/>
  <c r="K45" i="1" s="1"/>
  <c r="J39" i="1"/>
  <c r="K39" i="1" s="1"/>
  <c r="J34" i="1"/>
  <c r="K34" i="1" s="1"/>
  <c r="J28" i="1"/>
  <c r="K28" i="1" s="1"/>
  <c r="J23" i="1"/>
  <c r="K23" i="1" s="1"/>
  <c r="J17" i="1"/>
  <c r="K17" i="1" s="1"/>
  <c r="J11" i="1"/>
  <c r="K11" i="1" s="1"/>
  <c r="K6" i="16"/>
  <c r="J158" i="1"/>
  <c r="K158" i="1" s="1"/>
  <c r="J152" i="1"/>
  <c r="K152" i="1" s="1"/>
  <c r="J146" i="1"/>
  <c r="K146" i="1" s="1"/>
  <c r="J140" i="1"/>
  <c r="K140" i="1" s="1"/>
  <c r="J134" i="1"/>
  <c r="K134" i="1" s="1"/>
  <c r="J128" i="1"/>
  <c r="K128" i="1" s="1"/>
  <c r="J122" i="1"/>
  <c r="K122" i="1" s="1"/>
  <c r="J116" i="1"/>
  <c r="K116" i="1" s="1"/>
  <c r="J110" i="1"/>
  <c r="K110" i="1" s="1"/>
  <c r="J104" i="1"/>
  <c r="K104" i="1" s="1"/>
  <c r="J98" i="1"/>
  <c r="K98" i="1" s="1"/>
  <c r="J92" i="1"/>
  <c r="K92" i="1" s="1"/>
  <c r="J86" i="1"/>
  <c r="K86" i="1" s="1"/>
  <c r="J80" i="1"/>
  <c r="K80" i="1" s="1"/>
  <c r="J74" i="1"/>
  <c r="K74" i="1" s="1"/>
  <c r="J68" i="1"/>
  <c r="K68" i="1" s="1"/>
  <c r="J62" i="1"/>
  <c r="K62" i="1" s="1"/>
  <c r="J56" i="1"/>
  <c r="K56" i="1" s="1"/>
  <c r="J50" i="1"/>
  <c r="K50" i="1" s="1"/>
  <c r="J44" i="1"/>
  <c r="K44" i="1" s="1"/>
  <c r="J38" i="1"/>
  <c r="K38" i="1" s="1"/>
  <c r="J33" i="1"/>
  <c r="K33" i="1" s="1"/>
  <c r="J27" i="1"/>
  <c r="K27" i="1" s="1"/>
  <c r="J22" i="1"/>
  <c r="K22" i="1" s="1"/>
  <c r="J16" i="1"/>
  <c r="K16" i="1" s="1"/>
  <c r="J10" i="1"/>
  <c r="K10" i="1" s="1"/>
  <c r="J157" i="1"/>
  <c r="K157" i="1" s="1"/>
  <c r="J151" i="1"/>
  <c r="K151" i="1" s="1"/>
  <c r="J145" i="1"/>
  <c r="K145" i="1" s="1"/>
  <c r="J139" i="1"/>
  <c r="K139" i="1" s="1"/>
  <c r="J133" i="1"/>
  <c r="K133" i="1" s="1"/>
  <c r="J127" i="1"/>
  <c r="K127" i="1" s="1"/>
  <c r="J121" i="1"/>
  <c r="K121" i="1" s="1"/>
  <c r="J115" i="1"/>
  <c r="K115" i="1" s="1"/>
  <c r="J109" i="1"/>
  <c r="K109" i="1" s="1"/>
  <c r="J103" i="1"/>
  <c r="K103" i="1" s="1"/>
  <c r="J97" i="1"/>
  <c r="K97" i="1" s="1"/>
  <c r="J91" i="1"/>
  <c r="K91" i="1" s="1"/>
  <c r="J85" i="1"/>
  <c r="K85" i="1" s="1"/>
  <c r="J79" i="1"/>
  <c r="K79" i="1" s="1"/>
  <c r="J73" i="1"/>
  <c r="K73" i="1" s="1"/>
  <c r="J67" i="1"/>
  <c r="K67" i="1" s="1"/>
  <c r="J61" i="1"/>
  <c r="K61" i="1" s="1"/>
  <c r="J55" i="1"/>
  <c r="K55" i="1" s="1"/>
  <c r="J49" i="1"/>
  <c r="K49" i="1" s="1"/>
  <c r="J43" i="1"/>
  <c r="K43" i="1" s="1"/>
  <c r="J37" i="1"/>
  <c r="K37" i="1" s="1"/>
  <c r="J32" i="1"/>
  <c r="K32" i="1" s="1"/>
  <c r="J26" i="1"/>
  <c r="K26" i="1" s="1"/>
  <c r="J21" i="1"/>
  <c r="K21" i="1" s="1"/>
  <c r="J15" i="1"/>
  <c r="K15" i="1" s="1"/>
  <c r="J9" i="1"/>
  <c r="K9" i="1" s="1"/>
  <c r="K10" i="16"/>
  <c r="K4" i="16"/>
  <c r="J162" i="1"/>
  <c r="K162" i="1" s="1"/>
  <c r="J156" i="1"/>
  <c r="K156" i="1" s="1"/>
  <c r="J150" i="1"/>
  <c r="K150" i="1" s="1"/>
  <c r="J144" i="1"/>
  <c r="K144" i="1" s="1"/>
  <c r="J138" i="1"/>
  <c r="K138" i="1" s="1"/>
  <c r="J132" i="1"/>
  <c r="K132" i="1" s="1"/>
  <c r="J126" i="1"/>
  <c r="K126" i="1" s="1"/>
  <c r="J120" i="1"/>
  <c r="K120" i="1" s="1"/>
  <c r="J114" i="1"/>
  <c r="K114" i="1" s="1"/>
  <c r="J108" i="1"/>
  <c r="K108" i="1" s="1"/>
  <c r="J102" i="1"/>
  <c r="K102" i="1" s="1"/>
  <c r="J96" i="1"/>
  <c r="K96" i="1" s="1"/>
  <c r="J90" i="1"/>
  <c r="K90" i="1" s="1"/>
  <c r="J84" i="1"/>
  <c r="K84" i="1" s="1"/>
  <c r="J78" i="1"/>
  <c r="K78" i="1" s="1"/>
  <c r="J72" i="1"/>
  <c r="K72" i="1" s="1"/>
  <c r="J66" i="1"/>
  <c r="K66" i="1" s="1"/>
  <c r="J60" i="1"/>
  <c r="K60" i="1" s="1"/>
  <c r="J54" i="1"/>
  <c r="K54" i="1" s="1"/>
  <c r="J48" i="1"/>
  <c r="K48" i="1" s="1"/>
  <c r="J42" i="1"/>
  <c r="K42" i="1" s="1"/>
  <c r="J36" i="1"/>
  <c r="K36" i="1" s="1"/>
  <c r="J31" i="1"/>
  <c r="K31" i="1" s="1"/>
  <c r="J20" i="1"/>
  <c r="K20" i="1" s="1"/>
  <c r="J14" i="1"/>
  <c r="K14" i="1" s="1"/>
  <c r="J8" i="1"/>
  <c r="K8" i="1" s="1"/>
  <c r="I11" i="16"/>
  <c r="H10" i="16" s="1"/>
  <c r="K9" i="16"/>
  <c r="K3" i="16"/>
  <c r="J161" i="1"/>
  <c r="K161" i="1" s="1"/>
  <c r="J155" i="1"/>
  <c r="K155" i="1" s="1"/>
  <c r="J149" i="1"/>
  <c r="K149" i="1" s="1"/>
  <c r="J143" i="1"/>
  <c r="K143" i="1" s="1"/>
  <c r="J137" i="1"/>
  <c r="K137" i="1" s="1"/>
  <c r="J131" i="1"/>
  <c r="K131" i="1" s="1"/>
  <c r="J125" i="1"/>
  <c r="K125" i="1" s="1"/>
  <c r="J119" i="1"/>
  <c r="K119" i="1" s="1"/>
  <c r="J113" i="1"/>
  <c r="K113" i="1" s="1"/>
  <c r="J107" i="1"/>
  <c r="K107" i="1" s="1"/>
  <c r="J101" i="1"/>
  <c r="K101" i="1" s="1"/>
  <c r="J95" i="1"/>
  <c r="K95" i="1" s="1"/>
  <c r="J89" i="1"/>
  <c r="K89" i="1" s="1"/>
  <c r="J83" i="1"/>
  <c r="K83" i="1" s="1"/>
  <c r="J77" i="1"/>
  <c r="K77" i="1" s="1"/>
  <c r="J71" i="1"/>
  <c r="K71" i="1" s="1"/>
  <c r="J65" i="1"/>
  <c r="K65" i="1" s="1"/>
  <c r="J59" i="1"/>
  <c r="K59" i="1" s="1"/>
  <c r="J53" i="1"/>
  <c r="K53" i="1" s="1"/>
  <c r="J47" i="1"/>
  <c r="K47" i="1" s="1"/>
  <c r="J41" i="1"/>
  <c r="K41" i="1" s="1"/>
  <c r="J35" i="1"/>
  <c r="K35" i="1" s="1"/>
  <c r="J30" i="1"/>
  <c r="K30" i="1" s="1"/>
  <c r="J25" i="1"/>
  <c r="K25" i="1" s="1"/>
  <c r="J19" i="1"/>
  <c r="K19" i="1" s="1"/>
  <c r="J13" i="1"/>
  <c r="K13" i="1" s="1"/>
  <c r="J7" i="1"/>
  <c r="K7" i="1" s="1"/>
  <c r="K5" i="16"/>
  <c r="K8" i="16"/>
  <c r="J160" i="1"/>
  <c r="K160" i="1" s="1"/>
  <c r="J148" i="1"/>
  <c r="K148" i="1" s="1"/>
  <c r="J142" i="1"/>
  <c r="K142" i="1" s="1"/>
  <c r="J136" i="1"/>
  <c r="K136" i="1" s="1"/>
  <c r="J130" i="1"/>
  <c r="K130" i="1" s="1"/>
  <c r="J124" i="1"/>
  <c r="K124" i="1" s="1"/>
  <c r="J112" i="1"/>
  <c r="K112" i="1" s="1"/>
  <c r="J106" i="1"/>
  <c r="K106" i="1" s="1"/>
  <c r="J100" i="1"/>
  <c r="K100" i="1" s="1"/>
  <c r="J88" i="1"/>
  <c r="K88" i="1" s="1"/>
  <c r="J82" i="1"/>
  <c r="K82" i="1" s="1"/>
  <c r="J76" i="1"/>
  <c r="K76" i="1" s="1"/>
  <c r="J70" i="1"/>
  <c r="K70" i="1" s="1"/>
  <c r="J64" i="1"/>
  <c r="K64" i="1" s="1"/>
  <c r="J58" i="1"/>
  <c r="K58" i="1" s="1"/>
  <c r="J52" i="1"/>
  <c r="K52" i="1" s="1"/>
  <c r="J46" i="1"/>
  <c r="K46" i="1" s="1"/>
  <c r="J18" i="1"/>
  <c r="K18" i="1" s="1"/>
  <c r="J12" i="1"/>
  <c r="K12" i="1" s="1"/>
  <c r="A2" i="1"/>
  <c r="N23" i="1" l="1"/>
  <c r="N28" i="1"/>
  <c r="N34" i="1"/>
  <c r="N45" i="1"/>
  <c r="N57" i="1"/>
  <c r="N63" i="1"/>
  <c r="N75" i="1"/>
  <c r="N87" i="1"/>
  <c r="N99" i="1"/>
  <c r="N111" i="1"/>
  <c r="N123" i="1"/>
  <c r="N135" i="1"/>
  <c r="N153" i="1"/>
  <c r="N52" i="1"/>
  <c r="N70" i="1"/>
  <c r="N88" i="1"/>
  <c r="N106" i="1"/>
  <c r="N124" i="1"/>
  <c r="N142" i="1"/>
  <c r="N160" i="1"/>
  <c r="N107" i="1"/>
  <c r="N125" i="1"/>
  <c r="N149" i="1"/>
  <c r="N126" i="1"/>
  <c r="N12" i="1"/>
  <c r="N85" i="1"/>
  <c r="N9" i="1"/>
  <c r="N8" i="1"/>
  <c r="N7" i="1"/>
  <c r="N6" i="1"/>
  <c r="N10" i="1"/>
  <c r="N11" i="1"/>
  <c r="N18" i="1"/>
  <c r="N24" i="1"/>
  <c r="N29" i="1"/>
  <c r="N40" i="1"/>
  <c r="N58" i="1"/>
  <c r="N76" i="1"/>
  <c r="N100" i="1"/>
  <c r="N118" i="1"/>
  <c r="N136" i="1"/>
  <c r="N154" i="1"/>
  <c r="N101" i="1"/>
  <c r="N131" i="1"/>
  <c r="N155" i="1"/>
  <c r="N132" i="1"/>
  <c r="N156" i="1"/>
  <c r="N13" i="1"/>
  <c r="N19" i="1"/>
  <c r="N25" i="1"/>
  <c r="N30" i="1"/>
  <c r="N35" i="1"/>
  <c r="N41" i="1"/>
  <c r="N47" i="1"/>
  <c r="N53" i="1"/>
  <c r="N59" i="1"/>
  <c r="N65" i="1"/>
  <c r="N71" i="1"/>
  <c r="N77" i="1"/>
  <c r="N83" i="1"/>
  <c r="N95" i="1"/>
  <c r="N113" i="1"/>
  <c r="N137" i="1"/>
  <c r="N161" i="1"/>
  <c r="N144" i="1"/>
  <c r="N14" i="1"/>
  <c r="N20" i="1"/>
  <c r="N31" i="1"/>
  <c r="N36" i="1"/>
  <c r="N42" i="1"/>
  <c r="N48" i="1"/>
  <c r="N54" i="1"/>
  <c r="N60" i="1"/>
  <c r="N66" i="1"/>
  <c r="N72" i="1"/>
  <c r="N78" i="1"/>
  <c r="N84" i="1"/>
  <c r="N90" i="1"/>
  <c r="N96" i="1"/>
  <c r="N102" i="1"/>
  <c r="N108" i="1"/>
  <c r="N114" i="1"/>
  <c r="N138" i="1"/>
  <c r="N162" i="1"/>
  <c r="N16" i="1"/>
  <c r="N22" i="1"/>
  <c r="N27" i="1"/>
  <c r="N33" i="1"/>
  <c r="N38" i="1"/>
  <c r="N44" i="1"/>
  <c r="N50" i="1"/>
  <c r="N56" i="1"/>
  <c r="N62" i="1"/>
  <c r="N68" i="1"/>
  <c r="N74" i="1"/>
  <c r="N80" i="1"/>
  <c r="N86" i="1"/>
  <c r="N92" i="1"/>
  <c r="N98" i="1"/>
  <c r="N104" i="1"/>
  <c r="N110" i="1"/>
  <c r="N116" i="1"/>
  <c r="N122" i="1"/>
  <c r="N128" i="1"/>
  <c r="N134" i="1"/>
  <c r="N140" i="1"/>
  <c r="N146" i="1"/>
  <c r="N152" i="1"/>
  <c r="N158" i="1"/>
  <c r="N39" i="1"/>
  <c r="N51" i="1"/>
  <c r="N69" i="1"/>
  <c r="N81" i="1"/>
  <c r="N93" i="1"/>
  <c r="N105" i="1"/>
  <c r="N117" i="1"/>
  <c r="N129" i="1"/>
  <c r="N141" i="1"/>
  <c r="N147" i="1"/>
  <c r="N159" i="1"/>
  <c r="N46" i="1"/>
  <c r="N64" i="1"/>
  <c r="N82" i="1"/>
  <c r="N94" i="1"/>
  <c r="N112" i="1"/>
  <c r="N130" i="1"/>
  <c r="N148" i="1"/>
  <c r="N89" i="1"/>
  <c r="N119" i="1"/>
  <c r="N143" i="1"/>
  <c r="N120" i="1"/>
  <c r="N150" i="1"/>
  <c r="N49" i="1"/>
  <c r="N55" i="1"/>
  <c r="N103" i="1"/>
  <c r="N151" i="1"/>
  <c r="N115" i="1"/>
  <c r="N121" i="1"/>
  <c r="N15" i="1"/>
  <c r="N61" i="1"/>
  <c r="N109" i="1"/>
  <c r="N157" i="1"/>
  <c r="N67" i="1"/>
  <c r="N73" i="1"/>
  <c r="N21" i="1"/>
  <c r="N26" i="1"/>
  <c r="N37" i="1"/>
  <c r="N97" i="1"/>
  <c r="N133" i="1"/>
  <c r="N127" i="1"/>
  <c r="N43" i="1"/>
  <c r="N139" i="1"/>
  <c r="N32" i="1"/>
  <c r="N145" i="1"/>
  <c r="N79" i="1"/>
  <c r="N91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sharedStrings.xml><?xml version="1.0" encoding="utf-8"?>
<sst xmlns="http://schemas.openxmlformats.org/spreadsheetml/2006/main" count="2672" uniqueCount="363">
  <si>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</si>
  <si>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</si>
  <si>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</si>
  <si>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</si>
  <si>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</si>
  <si>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</si>
  <si>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</si>
  <si>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</si>
  <si>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</si>
  <si>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</si>
  <si>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</si>
  <si>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</si>
  <si>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</si>
  <si>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</si>
  <si>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</si>
  <si>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</si>
  <si>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</si>
  <si>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</si>
  <si>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</si>
  <si>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</si>
  <si>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</si>
  <si>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</si>
  <si>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</si>
  <si>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</si>
  <si>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</si>
  <si>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</si>
  <si>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</si>
  <si>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</si>
  <si>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</si>
  <si>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</si>
  <si>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</si>
  <si>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</si>
  <si>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</si>
  <si>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</si>
  <si>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</si>
  <si>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</si>
  <si>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</si>
  <si>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</si>
  <si>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</si>
  <si>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</si>
  <si>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</si>
  <si>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</si>
  <si>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</si>
  <si>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</si>
  <si>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</si>
  <si>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 xml:space="preserve">SALES 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</si>
  <si>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</si>
  <si>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</si>
  <si>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</si>
  <si>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</si>
  <si>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</si>
  <si>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</si>
  <si>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</si>
  <si>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</si>
  <si>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</si>
  <si>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</si>
  <si>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</si>
  <si>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</si>
  <si>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</si>
  <si>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</si>
  <si>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</si>
  <si>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</si>
  <si>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</si>
  <si>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</si>
  <si>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</si>
  <si>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</si>
  <si>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</si>
  <si>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</si>
  <si>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</si>
  <si>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</si>
  <si>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</si>
  <si>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</si>
  <si>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</si>
  <si>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</si>
  <si>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</si>
  <si>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</si>
  <si>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</si>
  <si>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</si>
  <si>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</si>
  <si>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</si>
  <si>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</si>
  <si>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</si>
  <si>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</si>
  <si>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</si>
  <si>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</si>
  <si>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</si>
  <si>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</si>
  <si>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</si>
  <si>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</si>
  <si>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</si>
  <si>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</si>
  <si>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</si>
  <si>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</si>
  <si>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</si>
  <si>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</si>
  <si>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</si>
  <si>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</si>
  <si>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</si>
  <si>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</si>
  <si>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</si>
  <si>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</si>
  <si>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</si>
  <si>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</si>
  <si>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</si>
  <si>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</si>
  <si>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</si>
  <si>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</si>
  <si>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</si>
  <si>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</si>
  <si>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</si>
  <si>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</si>
  <si>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</si>
  <si>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</si>
  <si>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</si>
  <si>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</si>
  <si>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</si>
  <si>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</si>
  <si>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</si>
  <si>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</si>
  <si>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</si>
  <si>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</si>
  <si>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</si>
  <si>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</si>
  <si>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</si>
  <si>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</si>
  <si>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</si>
  <si>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</si>
  <si>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</si>
  <si>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</si>
  <si>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</si>
  <si>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</si>
  <si>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</si>
  <si>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</si>
  <si>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</si>
  <si>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</si>
  <si>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</si>
  <si>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</si>
  <si>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</si>
  <si>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</si>
  <si>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</si>
  <si>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</si>
  <si>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</si>
  <si>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</si>
  <si>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</si>
  <si>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</si>
  <si>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</si>
  <si>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</si>
  <si>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</si>
  <si>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</si>
  <si>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</si>
  <si>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</si>
  <si>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</si>
  <si>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</si>
  <si>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</si>
  <si>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</si>
  <si>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</si>
  <si>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</si>
  <si>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</si>
  <si>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</si>
  <si>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</si>
  <si>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</si>
  <si>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</si>
  <si>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</si>
  <si>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</si>
  <si>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</si>
  <si>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</si>
  <si>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</si>
  <si>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</si>
  <si>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</si>
  <si>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</si>
  <si>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</si>
  <si>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</si>
  <si>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</si>
  <si>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</si>
  <si>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</si>
  <si>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</si>
  <si>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</si>
  <si>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</si>
  <si>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</si>
  <si>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</si>
  <si>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</si>
  <si>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</si>
  <si>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</si>
  <si>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</si>
  <si>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</si>
  <si>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</si>
  <si>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</si>
  <si>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</si>
  <si>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</si>
  <si>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</si>
  <si>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</si>
  <si>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</si>
  <si>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</si>
  <si>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</si>
  <si>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</si>
  <si>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</si>
  <si>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</si>
  <si>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</si>
  <si>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</si>
  <si>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</si>
  <si>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</si>
  <si>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</si>
  <si>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</si>
  <si>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</si>
  <si>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</si>
  <si>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</si>
  <si>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</si>
  <si>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</si>
  <si>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</si>
  <si>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</si>
  <si>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</si>
  <si>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MOTHER</t>
  </si>
  <si>
    <t>ADIDAS COCSO PENGGANTI RIJEK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</si>
  <si>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</si>
  <si>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</si>
  <si>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</si>
  <si>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</si>
  <si>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</si>
  <si>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</si>
  <si>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</si>
  <si>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</si>
  <si>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</si>
  <si>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</si>
  <si>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</si>
  <si>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</si>
  <si>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</si>
  <si>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</si>
  <si>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</si>
  <si>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</si>
  <si>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</si>
  <si>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</si>
  <si>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</si>
  <si>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</si>
  <si>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</si>
  <si>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</si>
  <si>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</si>
  <si>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</si>
  <si>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</si>
  <si>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</si>
  <si>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</si>
  <si>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</si>
  <si>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</si>
  <si>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</si>
  <si>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</si>
  <si>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</si>
  <si>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</si>
  <si>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</si>
  <si>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</si>
  <si>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</si>
  <si>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</si>
  <si>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</si>
  <si>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</si>
  <si>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</si>
  <si>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</si>
  <si>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</si>
  <si>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</si>
  <si>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</si>
  <si>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</si>
  <si>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</si>
  <si>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</si>
  <si>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</si>
  <si>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</si>
  <si>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</si>
  <si>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</si>
  <si>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</si>
  <si>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</si>
  <si>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</si>
  <si>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</si>
  <si>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</si>
  <si>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</si>
  <si>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</si>
  <si>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</si>
  <si>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</si>
  <si>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</si>
  <si>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</si>
  <si>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</si>
  <si>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</si>
  <si>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</si>
  <si>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</si>
  <si>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</si>
  <si>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</si>
  <si>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</si>
  <si>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</si>
  <si>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</si>
  <si>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</si>
  <si>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</si>
  <si>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</si>
  <si>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</si>
  <si>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</si>
  <si>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</si>
  <si>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</si>
  <si>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</si>
  <si>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</si>
  <si>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</si>
  <si>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</si>
  <si>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</si>
  <si>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</si>
  <si>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</si>
  <si>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</si>
  <si>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</si>
  <si>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</si>
  <si>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</si>
  <si>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</si>
  <si>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</si>
  <si>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</si>
  <si>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</si>
  <si>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</si>
  <si>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</si>
  <si>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</si>
  <si>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</si>
  <si>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</si>
  <si>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</si>
  <si>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</si>
  <si>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</si>
  <si>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</si>
  <si>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</si>
  <si>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</si>
  <si>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</si>
  <si>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</si>
  <si>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Remark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</si>
  <si>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</si>
  <si>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</si>
  <si>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</si>
  <si>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</si>
  <si>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</si>
  <si>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</si>
  <si>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</si>
  <si>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</si>
  <si>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</si>
  <si>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</si>
  <si>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</si>
  <si>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</si>
  <si>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LOKASI FOLDER  (Tarikan JDE)</t>
  </si>
  <si>
    <t>LOKASI FILE  (All Costing - Data PIC Budget)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</si>
  <si>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</si>
  <si>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</si>
  <si>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</si>
  <si>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</si>
  <si>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</si>
  <si>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SELAIN diatas masuk ke Pa asep</t>
  </si>
  <si>
    <t>1204.631100.xlsx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</si>
  <si>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</si>
  <si>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</si>
  <si>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</si>
  <si>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</si>
  <si>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</si>
  <si>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</si>
  <si>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</si>
  <si>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</si>
  <si>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</si>
  <si>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</si>
  <si>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</si>
  <si>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</si>
  <si>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</si>
  <si>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</si>
  <si>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</si>
  <si>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BULAN int (Periode Penarikan Data untuk RPA)</t>
  </si>
  <si>
    <t>TAHUN int (Periode Penarikan Data untuk RPA)</t>
  </si>
  <si>
    <t>02</t>
  </si>
  <si>
    <t>2024</t>
  </si>
  <si>
    <t>OK</t>
  </si>
  <si>
    <t>OVER</t>
  </si>
  <si>
    <t>\\10.8.0.35\rpa$\RPA Excel Template\Accounting Finance\Santy\Profit Loss\Tarikan JDE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</si>
</sst>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7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2" applyNumberFormat="1" applyFont="1"/>
    <xf numFmtId="0" fontId="4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2" fillId="0" borderId="0" xfId="0" applyFont="1"/>
    <xf numFmtId="0" fontId="8" fillId="0" borderId="0" xfId="0" applyFont="1"/>
    <xf numFmtId="0" fontId="12" fillId="2" borderId="1" xfId="0" applyFont="1" applyFill="1" applyBorder="1" applyAlignment="1">
      <alignment horizontal="center"/>
    </xf>
    <xf numFmtId="164" fontId="12" fillId="2" borderId="1" xfId="1" applyNumberFormat="1" applyFont="1" applyFill="1" applyBorder="1" applyAlignment="1">
      <alignment horizontal="center"/>
    </xf>
    <xf numFmtId="10" fontId="12" fillId="2" borderId="1" xfId="2" applyNumberFormat="1" applyFont="1" applyFill="1" applyBorder="1" applyAlignment="1">
      <alignment horizontal="center"/>
    </xf>
    <xf numFmtId="0" fontId="13" fillId="5" borderId="1" xfId="0" applyFont="1" applyFill="1" applyBorder="1" applyAlignment="1">
      <alignment horizontal="left"/>
    </xf>
    <xf numFmtId="0" fontId="6" fillId="6" borderId="10" xfId="0" applyFont="1" applyFill="1" applyBorder="1" applyAlignment="1">
      <alignment horizontal="center"/>
    </xf>
    <xf numFmtId="0" fontId="11" fillId="6" borderId="11" xfId="0" applyFont="1" applyFill="1" applyBorder="1" applyAlignment="1">
      <alignment horizontal="left" vertical="center"/>
    </xf>
    <xf numFmtId="0" fontId="10" fillId="0" borderId="0" xfId="3" applyFill="1"/>
    <xf numFmtId="0" fontId="11" fillId="6" borderId="11" xfId="0" applyFont="1" applyFill="1" applyBorder="1" applyAlignment="1">
      <alignment vertical="center"/>
    </xf>
    <xf numFmtId="0" fontId="11" fillId="6" borderId="12" xfId="0" applyFont="1" applyFill="1" applyBorder="1" applyAlignment="1">
      <alignment vertical="center"/>
    </xf>
    <xf numFmtId="0" fontId="19" fillId="0" borderId="0" xfId="0" applyFont="1"/>
    <xf numFmtId="9" fontId="0" fillId="0" borderId="0" xfId="2" applyFont="1" applyAlignment="1">
      <alignment horizontal="center" vertical="center"/>
    </xf>
    <xf numFmtId="9" fontId="6" fillId="6" borderId="10" xfId="2" applyFont="1" applyFill="1" applyBorder="1" applyAlignment="1">
      <alignment horizontal="center" vertical="center"/>
    </xf>
    <xf numFmtId="43" fontId="0" fillId="0" borderId="0" xfId="1" applyFont="1"/>
    <xf numFmtId="43" fontId="6" fillId="6" borderId="10" xfId="1" applyFont="1" applyFill="1" applyBorder="1" applyAlignment="1">
      <alignment horizontal="center"/>
    </xf>
    <xf numFmtId="9" fontId="0" fillId="0" borderId="0" xfId="2" applyFont="1" applyAlignment="1">
      <alignment vertical="center"/>
    </xf>
    <xf numFmtId="0" fontId="14" fillId="0" borderId="0" xfId="0" applyFont="1" applyAlignment="1">
      <alignment horizontal="left"/>
    </xf>
    <xf numFmtId="9" fontId="0" fillId="0" borderId="0" xfId="2" applyFont="1"/>
    <xf numFmtId="0" fontId="7" fillId="0" borderId="0" xfId="0" applyFont="1"/>
    <xf numFmtId="0" fontId="21" fillId="0" borderId="0" xfId="0" applyFont="1"/>
    <xf numFmtId="43" fontId="0" fillId="0" borderId="0" xfId="0" applyNumberFormat="1"/>
    <xf numFmtId="43" fontId="12" fillId="2" borderId="1" xfId="1" applyFont="1" applyFill="1" applyBorder="1" applyAlignment="1">
      <alignment horizontal="center"/>
    </xf>
    <xf numFmtId="43" fontId="2" fillId="0" borderId="0" xfId="1" applyFont="1"/>
    <xf numFmtId="43" fontId="3" fillId="0" borderId="0" xfId="1" applyFont="1"/>
    <xf numFmtId="43" fontId="4" fillId="0" borderId="0" xfId="1" applyFont="1"/>
    <xf numFmtId="10" fontId="2" fillId="0" borderId="0" xfId="2" applyNumberFormat="1" applyFont="1"/>
    <xf numFmtId="0" fontId="10" fillId="0" borderId="0" xfId="3"/>
    <xf numFmtId="0" fontId="3" fillId="0" borderId="0" xfId="0" applyFont="1" applyAlignment="1">
      <alignment horizontal="center"/>
    </xf>
    <xf numFmtId="0" fontId="0" fillId="0" borderId="0" xfId="0" quotePrefix="1"/>
    <xf numFmtId="0" fontId="22" fillId="0" borderId="0" xfId="0" applyFont="1" applyAlignment="1">
      <alignment horizontal="center"/>
    </xf>
    <xf numFmtId="49" fontId="0" fillId="0" borderId="0" xfId="0" applyNumberFormat="1"/>
    <xf numFmtId="43" fontId="23" fillId="0" borderId="0" xfId="1" applyFont="1"/>
    <xf numFmtId="0" fontId="0" fillId="6" borderId="0" xfId="0" applyFill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20" fillId="4" borderId="3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 vertical="center"/>
    </xf>
    <xf numFmtId="0" fontId="20" fillId="4" borderId="6" xfId="0" applyFont="1" applyFill="1" applyBorder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8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6" fillId="3" borderId="13" xfId="0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64" fontId="21" fillId="0" borderId="0" xfId="1" applyNumberFormat="1" applyFont="1"/>
    <xf numFmtId="164" fontId="2" fillId="0" borderId="0" xfId="1" applyNumberFormat="1" applyFont="1" applyAlignment="1">
      <alignment horizontal="left" indent="1"/>
    </xf>
    <xf numFmtId="164" fontId="3" fillId="0" borderId="0" xfId="1" applyNumberFormat="1" applyFont="1" applyAlignment="1">
      <alignment horizontal="left" indent="1"/>
    </xf>
    <xf numFmtId="164" fontId="4" fillId="0" borderId="0" xfId="1" applyNumberFormat="1" applyFont="1" applyAlignment="1">
      <alignment horizontal="left" indent="1"/>
    </xf>
    <xf numFmtId="164" fontId="12" fillId="2" borderId="1" xfId="1" applyNumberFormat="1" applyFont="1" applyFill="1" applyBorder="1" applyAlignment="1">
      <alignment horizontal="left" indent="1"/>
    </xf>
    <xf numFmtId="164" fontId="23" fillId="0" borderId="0" xfId="1" applyNumberFormat="1" applyFont="1" applyAlignment="1">
      <alignment horizontal="left" indent="1"/>
    </xf>
    <xf numFmtId="164" fontId="24" fillId="0" borderId="0" xfId="1" applyNumberFormat="1" applyFont="1" applyAlignment="1">
      <alignment horizontal="left" indent="1"/>
    </xf>
    <xf numFmtId="164" fontId="24" fillId="0" borderId="0" xfId="1" applyNumberFormat="1" applyFont="1" applyFill="1" applyAlignment="1">
      <alignment horizontal="left" indent="1"/>
    </xf>
    <xf numFmtId="0" fontId="25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9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FFBFF"/>
      <color rgb="FFD5F4FF"/>
      <color rgb="FF2FC9FF"/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350260</xdr:colOff>
      <xdr:row>4</xdr:row>
      <xdr:rowOff>103584</xdr:rowOff>
    </xdr:from>
    <xdr:to>
      <xdr:col>2</xdr:col>
      <xdr:colOff>2020958</xdr:colOff>
      <xdr:row>7</xdr:row>
      <xdr:rowOff>85568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50310" y="713184"/>
          <a:ext cx="1670698" cy="439184"/>
          <a:chOff x="2984128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354081</xdr:colOff>
      <xdr:row>2</xdr:row>
      <xdr:rowOff>5383</xdr:rowOff>
    </xdr:from>
    <xdr:to>
      <xdr:col>2</xdr:col>
      <xdr:colOff>2030896</xdr:colOff>
      <xdr:row>4</xdr:row>
      <xdr:rowOff>136454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54131" y="310183"/>
          <a:ext cx="1676815" cy="435871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1639959</xdr:colOff>
      <xdr:row>2</xdr:row>
      <xdr:rowOff>24848</xdr:rowOff>
    </xdr:from>
    <xdr:to>
      <xdr:col>4</xdr:col>
      <xdr:colOff>3221937</xdr:colOff>
      <xdr:row>4</xdr:row>
      <xdr:rowOff>105710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049909" y="329648"/>
          <a:ext cx="1581978" cy="385662"/>
          <a:chOff x="-1606825" y="140806"/>
          <a:chExt cx="1805608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1606825" y="140806"/>
            <a:ext cx="1805608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1431930" y="196235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../07-02-2024/NEW%20of%20Data%20PIC%20Budget%20Th%202024-3.xlsx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Tarikan%20JDE/1205.631100.xlsx" TargetMode="External"/><Relationship Id="rId21" Type="http://schemas.openxmlformats.org/officeDocument/2006/relationships/hyperlink" Target="../Tarikan%20JDE/1201.730300.xlsx" TargetMode="External"/><Relationship Id="rId42" Type="http://schemas.openxmlformats.org/officeDocument/2006/relationships/hyperlink" Target="../Tarikan%20JDE/1201.630200.xlsx" TargetMode="External"/><Relationship Id="rId63" Type="http://schemas.openxmlformats.org/officeDocument/2006/relationships/hyperlink" Target="../Tarikan%20JDE/1205.630760.xlsx" TargetMode="External"/><Relationship Id="rId84" Type="http://schemas.openxmlformats.org/officeDocument/2006/relationships/hyperlink" Target="../Tarikan%20JDE/1201.630450.xlsx" TargetMode="External"/><Relationship Id="rId138" Type="http://schemas.openxmlformats.org/officeDocument/2006/relationships/hyperlink" Target="../Tarikan%20JDE/1204.630400.xlsx" TargetMode="External"/><Relationship Id="rId107" Type="http://schemas.openxmlformats.org/officeDocument/2006/relationships/hyperlink" Target="../Tarikan%20JDE/1206.630110.xlsx" TargetMode="External"/><Relationship Id="rId11" Type="http://schemas.openxmlformats.org/officeDocument/2006/relationships/hyperlink" Target="../Tarikan%20JDE/1201.631150.xlsx" TargetMode="External"/><Relationship Id="rId32" Type="http://schemas.openxmlformats.org/officeDocument/2006/relationships/hyperlink" Target="../Tarikan%20JDE/1201.710200.xlsx" TargetMode="External"/><Relationship Id="rId53" Type="http://schemas.openxmlformats.org/officeDocument/2006/relationships/hyperlink" Target="../Tarikan%20JDE/1201.630110.xlsx" TargetMode="External"/><Relationship Id="rId74" Type="http://schemas.openxmlformats.org/officeDocument/2006/relationships/hyperlink" Target="../Tarikan%20JDE/1205.816130.xlsx" TargetMode="External"/><Relationship Id="rId128" Type="http://schemas.openxmlformats.org/officeDocument/2006/relationships/hyperlink" Target="../Tarikan%20JDE/1205.631110.xlsx" TargetMode="External"/><Relationship Id="rId149" Type="http://schemas.openxmlformats.org/officeDocument/2006/relationships/hyperlink" Target="../Tarikan%20JDE/1201.920410.xlsx" TargetMode="External"/><Relationship Id="rId5" Type="http://schemas.openxmlformats.org/officeDocument/2006/relationships/hyperlink" Target="../Tarikan%20JDE/1201.631100.xlsx" TargetMode="External"/><Relationship Id="rId95" Type="http://schemas.openxmlformats.org/officeDocument/2006/relationships/hyperlink" Target="../Tarikan%20JDE/1206.630450.xlsx" TargetMode="External"/><Relationship Id="rId22" Type="http://schemas.openxmlformats.org/officeDocument/2006/relationships/hyperlink" Target="../Tarikan%20JDE/1201.730300.xlsx" TargetMode="External"/><Relationship Id="rId43" Type="http://schemas.openxmlformats.org/officeDocument/2006/relationships/hyperlink" Target="../Tarikan%20JDE/1201.630530.xlsx" TargetMode="External"/><Relationship Id="rId64" Type="http://schemas.openxmlformats.org/officeDocument/2006/relationships/hyperlink" Target="../Tarikan%20JDE/1204.630760.xlsx" TargetMode="External"/><Relationship Id="rId118" Type="http://schemas.openxmlformats.org/officeDocument/2006/relationships/hyperlink" Target="../Tarikan%20JDE/1205.812100.xlsx" TargetMode="External"/><Relationship Id="rId139" Type="http://schemas.openxmlformats.org/officeDocument/2006/relationships/hyperlink" Target="../Tarikan%20JDE/1204.630300.xlsx" TargetMode="External"/><Relationship Id="rId80" Type="http://schemas.openxmlformats.org/officeDocument/2006/relationships/hyperlink" Target="../Tarikan%20JDE/1201.815110.xlsx" TargetMode="External"/><Relationship Id="rId85" Type="http://schemas.openxmlformats.org/officeDocument/2006/relationships/hyperlink" Target="../Tarikan%20JDE/1201.631100.xlsx" TargetMode="External"/><Relationship Id="rId150" Type="http://schemas.openxmlformats.org/officeDocument/2006/relationships/hyperlink" Target="../Tarikan%20JDE/1201.920120.xlsx" TargetMode="External"/><Relationship Id="rId155" Type="http://schemas.openxmlformats.org/officeDocument/2006/relationships/hyperlink" Target="../Tarikan%20JDE/1204.920700.xlsx" TargetMode="External"/><Relationship Id="rId12" Type="http://schemas.openxmlformats.org/officeDocument/2006/relationships/hyperlink" Target="../Tarikan%20JDE/1201.720100.xlsx" TargetMode="External"/><Relationship Id="rId17" Type="http://schemas.openxmlformats.org/officeDocument/2006/relationships/hyperlink" Target="../Tarikan%20JDE/1204.630600.xlsx" TargetMode="External"/><Relationship Id="rId33" Type="http://schemas.openxmlformats.org/officeDocument/2006/relationships/hyperlink" Target="../Tarikan%20JDE/1201.710200.xlsx" TargetMode="External"/><Relationship Id="rId38" Type="http://schemas.openxmlformats.org/officeDocument/2006/relationships/hyperlink" Target="../Tarikan%20JDE/1201.630400.xlsx" TargetMode="External"/><Relationship Id="rId59" Type="http://schemas.openxmlformats.org/officeDocument/2006/relationships/hyperlink" Target="../Tarikan%20JDE/1201.630770.xlsx" TargetMode="External"/><Relationship Id="rId103" Type="http://schemas.openxmlformats.org/officeDocument/2006/relationships/hyperlink" Target="../Tarikan%20JDE/1206.631110.xlsx" TargetMode="External"/><Relationship Id="rId108" Type="http://schemas.openxmlformats.org/officeDocument/2006/relationships/hyperlink" Target="../Tarikan%20JDE/1206.801110.xlsx" TargetMode="External"/><Relationship Id="rId124" Type="http://schemas.openxmlformats.org/officeDocument/2006/relationships/hyperlink" Target="../Tarikan%20JDE/1205.630750.xlsx" TargetMode="External"/><Relationship Id="rId129" Type="http://schemas.openxmlformats.org/officeDocument/2006/relationships/hyperlink" Target="../Tarikan%20JDE/1204.813100.xlsx" TargetMode="External"/><Relationship Id="rId54" Type="http://schemas.openxmlformats.org/officeDocument/2006/relationships/hyperlink" Target="../Tarikan%20JDE/1201.809100.xlsx" TargetMode="External"/><Relationship Id="rId70" Type="http://schemas.openxmlformats.org/officeDocument/2006/relationships/hyperlink" Target="../Tarikan%20JDE/1204.810110.xlsx" TargetMode="External"/><Relationship Id="rId75" Type="http://schemas.openxmlformats.org/officeDocument/2006/relationships/hyperlink" Target="../Tarikan%20JDE/1204.816130.xlsx" TargetMode="External"/><Relationship Id="rId91" Type="http://schemas.openxmlformats.org/officeDocument/2006/relationships/hyperlink" Target="../Tarikan%20JDE/1206.630130.xlsx" TargetMode="External"/><Relationship Id="rId96" Type="http://schemas.openxmlformats.org/officeDocument/2006/relationships/hyperlink" Target="../Tarikan%20JDE/1206.630300.xlsx" TargetMode="External"/><Relationship Id="rId140" Type="http://schemas.openxmlformats.org/officeDocument/2006/relationships/hyperlink" Target="../Tarikan%20JDE/1204.630200.xlsx" TargetMode="External"/><Relationship Id="rId145" Type="http://schemas.openxmlformats.org/officeDocument/2006/relationships/hyperlink" Target="../Tarikan%20JDE/1204.63073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1100.xlsx" TargetMode="External"/><Relationship Id="rId23" Type="http://schemas.openxmlformats.org/officeDocument/2006/relationships/hyperlink" Target="../Tarikan%20JDE/1201.730300.xlsx" TargetMode="External"/><Relationship Id="rId28" Type="http://schemas.openxmlformats.org/officeDocument/2006/relationships/hyperlink" Target="../Tarikan%20JDE/1201.710200.xlsx" TargetMode="External"/><Relationship Id="rId49" Type="http://schemas.openxmlformats.org/officeDocument/2006/relationships/hyperlink" Target="../Tarikan%20JDE/1204.630900.xlsx" TargetMode="External"/><Relationship Id="rId114" Type="http://schemas.openxmlformats.org/officeDocument/2006/relationships/hyperlink" Target="../Tarikan%20JDE/1205.630740.xlsx" TargetMode="External"/><Relationship Id="rId119" Type="http://schemas.openxmlformats.org/officeDocument/2006/relationships/hyperlink" Target="../Tarikan%20JDE/1205.630400.xlsx" TargetMode="External"/><Relationship Id="rId44" Type="http://schemas.openxmlformats.org/officeDocument/2006/relationships/hyperlink" Target="../Tarikan%20JDE/1204.630530.xlsx" TargetMode="External"/><Relationship Id="rId60" Type="http://schemas.openxmlformats.org/officeDocument/2006/relationships/hyperlink" Target="../Tarikan%20JDE/1201.630750.xlsx" TargetMode="External"/><Relationship Id="rId65" Type="http://schemas.openxmlformats.org/officeDocument/2006/relationships/hyperlink" Target="../Tarikan%20JDE/1201.630730.xlsx" TargetMode="External"/><Relationship Id="rId81" Type="http://schemas.openxmlformats.org/officeDocument/2006/relationships/hyperlink" Target="../Tarikan%20JDE/1201.815120.xlsx" TargetMode="External"/><Relationship Id="rId86" Type="http://schemas.openxmlformats.org/officeDocument/2006/relationships/hyperlink" Target="../Tarikan%20JDE/1201.631100.xlsx" TargetMode="External"/><Relationship Id="rId130" Type="http://schemas.openxmlformats.org/officeDocument/2006/relationships/hyperlink" Target="../Tarikan%20JDE/1204.801160.xlsx" TargetMode="External"/><Relationship Id="rId135" Type="http://schemas.openxmlformats.org/officeDocument/2006/relationships/hyperlink" Target="../Tarikan%20JDE/1204.631100.xlsx" TargetMode="External"/><Relationship Id="rId151" Type="http://schemas.openxmlformats.org/officeDocument/2006/relationships/hyperlink" Target="../Tarikan%20JDE/1201.805120.xlsx" TargetMode="External"/><Relationship Id="rId156" Type="http://schemas.openxmlformats.org/officeDocument/2006/relationships/hyperlink" Target="../Tarikan%20JDE/1201.801110.xlsx" TargetMode="External"/><Relationship Id="rId13" Type="http://schemas.openxmlformats.org/officeDocument/2006/relationships/hyperlink" Target="../Tarikan%20JDE/1205.720100.xlsx" TargetMode="External"/><Relationship Id="rId18" Type="http://schemas.openxmlformats.org/officeDocument/2006/relationships/hyperlink" Target="../Tarikan%20JDE/1201.630600.xlsx" TargetMode="External"/><Relationship Id="rId39" Type="http://schemas.openxmlformats.org/officeDocument/2006/relationships/hyperlink" Target="../Tarikan%20JDE/1201.813100.xlsx" TargetMode="External"/><Relationship Id="rId109" Type="http://schemas.openxmlformats.org/officeDocument/2006/relationships/hyperlink" Target="../Tarikan%20JDE/1206.631180.xlsx" TargetMode="External"/><Relationship Id="rId34" Type="http://schemas.openxmlformats.org/officeDocument/2006/relationships/hyperlink" Target="../Tarikan%20JDE/1201.720500.xlsx" TargetMode="External"/><Relationship Id="rId50" Type="http://schemas.openxmlformats.org/officeDocument/2006/relationships/hyperlink" Target="../Tarikan%20JDE/1201.802140.xlsx" TargetMode="External"/><Relationship Id="rId55" Type="http://schemas.openxmlformats.org/officeDocument/2006/relationships/hyperlink" Target="../Tarikan%20JDE/1206.809100.xlsx" TargetMode="External"/><Relationship Id="rId76" Type="http://schemas.openxmlformats.org/officeDocument/2006/relationships/hyperlink" Target="../Tarikan%20JDE/1206.631100.xlsx" TargetMode="External"/><Relationship Id="rId97" Type="http://schemas.openxmlformats.org/officeDocument/2006/relationships/hyperlink" Target="../Tarikan%20JDE/1206.630770.xlsx" TargetMode="External"/><Relationship Id="rId104" Type="http://schemas.openxmlformats.org/officeDocument/2006/relationships/hyperlink" Target="../Tarikan%20JDE/1206.812100.xlsx" TargetMode="External"/><Relationship Id="rId120" Type="http://schemas.openxmlformats.org/officeDocument/2006/relationships/hyperlink" Target="../Tarikan%20JDE/1205.630300.xlsx" TargetMode="External"/><Relationship Id="rId125" Type="http://schemas.openxmlformats.org/officeDocument/2006/relationships/hyperlink" Target="../Tarikan%20JDE/1205.630720.xlsx" TargetMode="External"/><Relationship Id="rId141" Type="http://schemas.openxmlformats.org/officeDocument/2006/relationships/hyperlink" Target="../Tarikan%20JDE/1204.630110.xlsx" TargetMode="External"/><Relationship Id="rId146" Type="http://schemas.openxmlformats.org/officeDocument/2006/relationships/hyperlink" Target="../Tarikan%20JDE/1204.631110.xlsx" TargetMode="External"/><Relationship Id="rId7" Type="http://schemas.openxmlformats.org/officeDocument/2006/relationships/hyperlink" Target="..\Tarikan%20JDE\1204.631100.xlsx" TargetMode="External"/><Relationship Id="rId71" Type="http://schemas.openxmlformats.org/officeDocument/2006/relationships/hyperlink" Target="../Tarikan%20JDE/1201.630130.xlsx" TargetMode="External"/><Relationship Id="rId92" Type="http://schemas.openxmlformats.org/officeDocument/2006/relationships/hyperlink" Target="../Tarikan%20JDE/1206.631000.xlsx" TargetMode="External"/><Relationship Id="rId2" Type="http://schemas.openxmlformats.org/officeDocument/2006/relationships/hyperlink" Target="../Tarikan%20JDE/1204.720400.xlsx" TargetMode="External"/><Relationship Id="rId29" Type="http://schemas.openxmlformats.org/officeDocument/2006/relationships/hyperlink" Target="../Tarikan%20JDE/1201.710200.xlsx" TargetMode="External"/><Relationship Id="rId24" Type="http://schemas.openxmlformats.org/officeDocument/2006/relationships/hyperlink" Target="../Tarikan%20JDE/1201.730300.xlsx" TargetMode="External"/><Relationship Id="rId40" Type="http://schemas.openxmlformats.org/officeDocument/2006/relationships/hyperlink" Target="../Tarikan%20JDE/1201.630300.xlsx" TargetMode="External"/><Relationship Id="rId45" Type="http://schemas.openxmlformats.org/officeDocument/2006/relationships/hyperlink" Target="../Tarikan%20JDE/1201.808100.xlsx" TargetMode="External"/><Relationship Id="rId66" Type="http://schemas.openxmlformats.org/officeDocument/2006/relationships/hyperlink" Target="../Tarikan%20JDE/1201.630740.xlsx" TargetMode="External"/><Relationship Id="rId87" Type="http://schemas.openxmlformats.org/officeDocument/2006/relationships/hyperlink" Target="../Tarikan%20JDE/1205.631100.xlsx" TargetMode="External"/><Relationship Id="rId110" Type="http://schemas.openxmlformats.org/officeDocument/2006/relationships/hyperlink" Target="../Tarikan%20JDE/1206.630600.xlsx" TargetMode="External"/><Relationship Id="rId115" Type="http://schemas.openxmlformats.org/officeDocument/2006/relationships/hyperlink" Target="../Tarikan%20JDE/1205.630130.xlsx" TargetMode="External"/><Relationship Id="rId131" Type="http://schemas.openxmlformats.org/officeDocument/2006/relationships/hyperlink" Target="../Tarikan%20JDE/1204.630710.xlsx" TargetMode="External"/><Relationship Id="rId136" Type="http://schemas.openxmlformats.org/officeDocument/2006/relationships/hyperlink" Target="../Tarikan%20JDE/1204.720500.xlsx" TargetMode="External"/><Relationship Id="rId157" Type="http://schemas.openxmlformats.org/officeDocument/2006/relationships/hyperlink" Target="../Tarikan%20JDE/1204.801110.xlsx" TargetMode="External"/><Relationship Id="rId61" Type="http://schemas.openxmlformats.org/officeDocument/2006/relationships/hyperlink" Target="../Tarikan%20JDE/1201.630720.xlsx" TargetMode="External"/><Relationship Id="rId82" Type="http://schemas.openxmlformats.org/officeDocument/2006/relationships/hyperlink" Target="../Tarikan%20JDE/1201.802120.xlsx" TargetMode="External"/><Relationship Id="rId152" Type="http://schemas.openxmlformats.org/officeDocument/2006/relationships/hyperlink" Target="../Tarikan%20JDE/1201.920700.xlsx" TargetMode="External"/><Relationship Id="rId19" Type="http://schemas.openxmlformats.org/officeDocument/2006/relationships/hyperlink" Target="../Tarikan%20JDE/1205.630600.xlsx" TargetMode="External"/><Relationship Id="rId14" Type="http://schemas.openxmlformats.org/officeDocument/2006/relationships/hyperlink" Target="../Tarikan%20JDE/1204.720100.xlsx" TargetMode="External"/><Relationship Id="rId30" Type="http://schemas.openxmlformats.org/officeDocument/2006/relationships/hyperlink" Target="../Tarikan%20JDE/1201.730300.xlsx" TargetMode="External"/><Relationship Id="rId35" Type="http://schemas.openxmlformats.org/officeDocument/2006/relationships/hyperlink" Target="../Tarikan%20JDE/1201.812100.xlsx" TargetMode="External"/><Relationship Id="rId56" Type="http://schemas.openxmlformats.org/officeDocument/2006/relationships/hyperlink" Target="../Tarikan%20JDE/1205.809100.xlsx" TargetMode="External"/><Relationship Id="rId77" Type="http://schemas.openxmlformats.org/officeDocument/2006/relationships/hyperlink" Target="../Tarikan%20JDE/1201.631110.xlsx" TargetMode="External"/><Relationship Id="rId100" Type="http://schemas.openxmlformats.org/officeDocument/2006/relationships/hyperlink" Target="../Tarikan%20JDE/1206.630760.xlsx" TargetMode="External"/><Relationship Id="rId105" Type="http://schemas.openxmlformats.org/officeDocument/2006/relationships/hyperlink" Target="../Tarikan%20JDE/1206.630400.xlsx" TargetMode="External"/><Relationship Id="rId126" Type="http://schemas.openxmlformats.org/officeDocument/2006/relationships/hyperlink" Target="../Tarikan%20JDE/1205.630730.xlsx" TargetMode="External"/><Relationship Id="rId147" Type="http://schemas.openxmlformats.org/officeDocument/2006/relationships/hyperlink" Target="../Tarikan%20JDE/1204.631140.xlsx" TargetMode="External"/><Relationship Id="rId8" Type="http://schemas.openxmlformats.org/officeDocument/2006/relationships/hyperlink" Target="../Tarikan%20JDE/1201.631180.xlsx" TargetMode="External"/><Relationship Id="rId51" Type="http://schemas.openxmlformats.org/officeDocument/2006/relationships/hyperlink" Target="../Tarikan%20JDE/1204.802140.xlsx" TargetMode="External"/><Relationship Id="rId72" Type="http://schemas.openxmlformats.org/officeDocument/2006/relationships/hyperlink" Target="../Tarikan%20JDE/1201.816130.xlsx" TargetMode="External"/><Relationship Id="rId93" Type="http://schemas.openxmlformats.org/officeDocument/2006/relationships/hyperlink" Target="../Tarikan%20JDE/1206.815110.xlsx" TargetMode="External"/><Relationship Id="rId98" Type="http://schemas.openxmlformats.org/officeDocument/2006/relationships/hyperlink" Target="../Tarikan%20JDE/1206.630750.xlsx" TargetMode="External"/><Relationship Id="rId121" Type="http://schemas.openxmlformats.org/officeDocument/2006/relationships/hyperlink" Target="../Tarikan%20JDE/1205.630200.xlsx" TargetMode="External"/><Relationship Id="rId142" Type="http://schemas.openxmlformats.org/officeDocument/2006/relationships/hyperlink" Target="../Tarikan%20JDE/1204.630770.xlsx" TargetMode="External"/><Relationship Id="rId3" Type="http://schemas.openxmlformats.org/officeDocument/2006/relationships/hyperlink" Target="../Tarikan%20JDE/1201.816110.xlsx" TargetMode="External"/><Relationship Id="rId25" Type="http://schemas.openxmlformats.org/officeDocument/2006/relationships/hyperlink" Target="../Tarikan%20JDE/1201.730200.xlsx" TargetMode="External"/><Relationship Id="rId46" Type="http://schemas.openxmlformats.org/officeDocument/2006/relationships/hyperlink" Target="../Tarikan%20JDE/1205.808100.xlsx" TargetMode="External"/><Relationship Id="rId67" Type="http://schemas.openxmlformats.org/officeDocument/2006/relationships/hyperlink" Target="../Tarikan%20JDE/1201.810110.xlsx" TargetMode="External"/><Relationship Id="rId116" Type="http://schemas.openxmlformats.org/officeDocument/2006/relationships/hyperlink" Target="../Tarikan%20JDE/1205.815110.xlsx" TargetMode="External"/><Relationship Id="rId137" Type="http://schemas.openxmlformats.org/officeDocument/2006/relationships/hyperlink" Target="..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Tarikan%20JDE/1204.630600.xlsx" TargetMode="External"/><Relationship Id="rId41" Type="http://schemas.openxmlformats.org/officeDocument/2006/relationships/hyperlink" Target="../Tarikan%20JDE/1201.630200.xlsx" TargetMode="External"/><Relationship Id="rId62" Type="http://schemas.openxmlformats.org/officeDocument/2006/relationships/hyperlink" Target="../Tarikan%20JDE/1201.630760.xlsx" TargetMode="External"/><Relationship Id="rId83" Type="http://schemas.openxmlformats.org/officeDocument/2006/relationships/hyperlink" Target="../Tarikan%20JDE/1201.814110.xlsx" TargetMode="External"/><Relationship Id="rId88" Type="http://schemas.openxmlformats.org/officeDocument/2006/relationships/hyperlink" Target="../Tarikan%20JDE/1204.631100.xlsx" TargetMode="External"/><Relationship Id="rId111" Type="http://schemas.openxmlformats.org/officeDocument/2006/relationships/hyperlink" Target="../Tarikan%20JDE/1205.813100.xlsx" TargetMode="External"/><Relationship Id="rId132" Type="http://schemas.openxmlformats.org/officeDocument/2006/relationships/hyperlink" Target="../Tarikan%20JDE/1204.630740.xlsx" TargetMode="External"/><Relationship Id="rId153" Type="http://schemas.openxmlformats.org/officeDocument/2006/relationships/hyperlink" Target="../Tarikan%20JDE/1206.920700.xlsx" TargetMode="External"/><Relationship Id="rId15" Type="http://schemas.openxmlformats.org/officeDocument/2006/relationships/hyperlink" Target="../Tarikan%20JDE/1201.630600.xlsx" TargetMode="External"/><Relationship Id="rId36" Type="http://schemas.openxmlformats.org/officeDocument/2006/relationships/hyperlink" Target="../Tarikan%20JDE/1201.807100.xlsx" TargetMode="External"/><Relationship Id="rId57" Type="http://schemas.openxmlformats.org/officeDocument/2006/relationships/hyperlink" Target="../Tarikan%20JDE/1204.809100.xlsx" TargetMode="External"/><Relationship Id="rId106" Type="http://schemas.openxmlformats.org/officeDocument/2006/relationships/hyperlink" Target="../Tarikan%20JDE/1206.808100.xlsx" TargetMode="External"/><Relationship Id="rId127" Type="http://schemas.openxmlformats.org/officeDocument/2006/relationships/hyperlink" Target="../Tarikan%20JDE/1205.801110.xlsx" TargetMode="External"/><Relationship Id="rId10" Type="http://schemas.openxmlformats.org/officeDocument/2006/relationships/hyperlink" Target="../Tarikan%20JDE/1205.631180.xlsx" TargetMode="External"/><Relationship Id="rId31" Type="http://schemas.openxmlformats.org/officeDocument/2006/relationships/hyperlink" Target="../Tarikan%20JDE/1201.730200.xlsx" TargetMode="External"/><Relationship Id="rId52" Type="http://schemas.openxmlformats.org/officeDocument/2006/relationships/hyperlink" Target="../Tarikan%20JDE/1201.801160.xlsx" TargetMode="External"/><Relationship Id="rId73" Type="http://schemas.openxmlformats.org/officeDocument/2006/relationships/hyperlink" Target="../Tarikan%20JDE/1206.816130.xlsx" TargetMode="External"/><Relationship Id="rId78" Type="http://schemas.openxmlformats.org/officeDocument/2006/relationships/hyperlink" Target="../Tarikan%20JDE/1201.631140.xlsx" TargetMode="External"/><Relationship Id="rId94" Type="http://schemas.openxmlformats.org/officeDocument/2006/relationships/hyperlink" Target="../Tarikan%20JDE/1206.802120.xlsx" TargetMode="External"/><Relationship Id="rId99" Type="http://schemas.openxmlformats.org/officeDocument/2006/relationships/hyperlink" Target="../Tarikan%20JDE/1206.630720.xlsx" TargetMode="External"/><Relationship Id="rId101" Type="http://schemas.openxmlformats.org/officeDocument/2006/relationships/hyperlink" Target="../Tarikan%20JDE/1206.630730.xlsx" TargetMode="External"/><Relationship Id="rId122" Type="http://schemas.openxmlformats.org/officeDocument/2006/relationships/hyperlink" Target="../Tarikan%20JDE/1205.630110.xlsx" TargetMode="External"/><Relationship Id="rId143" Type="http://schemas.openxmlformats.org/officeDocument/2006/relationships/hyperlink" Target="../Tarikan%20JDE/1204.630750.xlsx" TargetMode="External"/><Relationship Id="rId148" Type="http://schemas.openxmlformats.org/officeDocument/2006/relationships/hyperlink" Target="../Tarikan%20JDE/1201.816120.xlsx" TargetMode="External"/><Relationship Id="rId4" Type="http://schemas.openxmlformats.org/officeDocument/2006/relationships/hyperlink" Target="../Tarikan%20JDE/1204.816110.xlsx" TargetMode="External"/><Relationship Id="rId9" Type="http://schemas.openxmlformats.org/officeDocument/2006/relationships/hyperlink" Target="../Tarikan%20JDE/1204.631180.xlsx" TargetMode="External"/><Relationship Id="rId26" Type="http://schemas.openxmlformats.org/officeDocument/2006/relationships/hyperlink" Target="../Tarikan%20JDE/1201.710200.xlsx" TargetMode="External"/><Relationship Id="rId47" Type="http://schemas.openxmlformats.org/officeDocument/2006/relationships/hyperlink" Target="../Tarikan%20JDE/1204.808100.xlsx" TargetMode="External"/><Relationship Id="rId68" Type="http://schemas.openxmlformats.org/officeDocument/2006/relationships/hyperlink" Target="../Tarikan%20JDE/1206.810110.xlsx" TargetMode="External"/><Relationship Id="rId89" Type="http://schemas.openxmlformats.org/officeDocument/2006/relationships/hyperlink" Target="../Tarikan%20JDE/1206.801160.xlsx" TargetMode="External"/><Relationship Id="rId112" Type="http://schemas.openxmlformats.org/officeDocument/2006/relationships/hyperlink" Target="../Tarikan%20JDE/1205.801160.xlsx" TargetMode="External"/><Relationship Id="rId133" Type="http://schemas.openxmlformats.org/officeDocument/2006/relationships/hyperlink" Target="../Tarikan%20JDE/1204.630130.xlsx" TargetMode="External"/><Relationship Id="rId154" Type="http://schemas.openxmlformats.org/officeDocument/2006/relationships/hyperlink" Target="../Tarikan%20JDE/1205.920700.xlsx" TargetMode="External"/><Relationship Id="rId16" Type="http://schemas.openxmlformats.org/officeDocument/2006/relationships/hyperlink" Target="../Tarikan%20JDE/1205.630600.xlsx" TargetMode="External"/><Relationship Id="rId37" Type="http://schemas.openxmlformats.org/officeDocument/2006/relationships/hyperlink" Target="../Tarikan%20JDE/1204.807100.xlsx" TargetMode="External"/><Relationship Id="rId58" Type="http://schemas.openxmlformats.org/officeDocument/2006/relationships/hyperlink" Target="../Tarikan%20JDE/1201.630710.xlsx" TargetMode="External"/><Relationship Id="rId79" Type="http://schemas.openxmlformats.org/officeDocument/2006/relationships/hyperlink" Target="../Tarikan%20JDE/1201.631000.xlsx" TargetMode="External"/><Relationship Id="rId102" Type="http://schemas.openxmlformats.org/officeDocument/2006/relationships/hyperlink" Target="../Tarikan%20JDE/1206.630740.xlsx" TargetMode="External"/><Relationship Id="rId123" Type="http://schemas.openxmlformats.org/officeDocument/2006/relationships/hyperlink" Target="../Tarikan%20JDE/1205.630770.xlsx" TargetMode="External"/><Relationship Id="rId144" Type="http://schemas.openxmlformats.org/officeDocument/2006/relationships/hyperlink" Target="../Tarikan%20JDE/1204.630720.xlsx" TargetMode="External"/><Relationship Id="rId90" Type="http://schemas.openxmlformats.org/officeDocument/2006/relationships/hyperlink" Target="../Tarikan%20JDE/1206.630710.xlsx" TargetMode="External"/><Relationship Id="rId27" Type="http://schemas.openxmlformats.org/officeDocument/2006/relationships/hyperlink" Target="../Tarikan%20JDE/1201.710200.xlsx" TargetMode="External"/><Relationship Id="rId48" Type="http://schemas.openxmlformats.org/officeDocument/2006/relationships/hyperlink" Target="../Tarikan%20JDE/1201.630900.xlsx" TargetMode="External"/><Relationship Id="rId69" Type="http://schemas.openxmlformats.org/officeDocument/2006/relationships/hyperlink" Target="../Tarikan%20JDE/1205.810110.xlsx" TargetMode="External"/><Relationship Id="rId113" Type="http://schemas.openxmlformats.org/officeDocument/2006/relationships/hyperlink" Target="../Tarikan%20JDE/1205.630710.xlsx" TargetMode="External"/><Relationship Id="rId134" Type="http://schemas.openxmlformats.org/officeDocument/2006/relationships/hyperlink" Target="../Tarikan%20JDE/1204.815110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../Tarikan%20JDE/1201.631180.xlsx" TargetMode="External"/><Relationship Id="rId13" Type="http://schemas.openxmlformats.org/officeDocument/2006/relationships/hyperlink" Target="../Tarikan%20JDE/1205.720100.xlsx" TargetMode="External"/><Relationship Id="rId3" Type="http://schemas.openxmlformats.org/officeDocument/2006/relationships/hyperlink" Target="../Tarikan%20JDE/1201.816110.xlsx" TargetMode="External"/><Relationship Id="rId7" Type="http://schemas.openxmlformats.org/officeDocument/2006/relationships/hyperlink" Target="../Tarikan%20JDE/1204.631100.xlsx" TargetMode="External"/><Relationship Id="rId12" Type="http://schemas.openxmlformats.org/officeDocument/2006/relationships/hyperlink" Target="../Tarikan%20JDE/1201.720100.xlsx" TargetMode="External"/><Relationship Id="rId2" Type="http://schemas.openxmlformats.org/officeDocument/2006/relationships/hyperlink" Target="../Tarikan%20JDE/1204.72040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1100.xlsx" TargetMode="External"/><Relationship Id="rId11" Type="http://schemas.openxmlformats.org/officeDocument/2006/relationships/hyperlink" Target="../Tarikan%20JDE/1201.631150.xlsx" TargetMode="External"/><Relationship Id="rId5" Type="http://schemas.openxmlformats.org/officeDocument/2006/relationships/hyperlink" Target="../Tarikan%20JDE/1201.631100.xlsx" TargetMode="External"/><Relationship Id="rId10" Type="http://schemas.openxmlformats.org/officeDocument/2006/relationships/hyperlink" Target="../Tarikan%20JDE/1205.631180.xlsx" TargetMode="External"/><Relationship Id="rId4" Type="http://schemas.openxmlformats.org/officeDocument/2006/relationships/hyperlink" Target="../Tarikan%20JDE/1204.816110.xlsx" TargetMode="External"/><Relationship Id="rId9" Type="http://schemas.openxmlformats.org/officeDocument/2006/relationships/hyperlink" Target="../Tarikan%20JDE/1204.631180.xlsx" TargetMode="External"/><Relationship Id="rId14" Type="http://schemas.openxmlformats.org/officeDocument/2006/relationships/hyperlink" Target="../Tarikan%20JDE/1204.720100.xlsx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../Tarikan%20JDE/1204.630600.xlsx" TargetMode="External"/><Relationship Id="rId2" Type="http://schemas.openxmlformats.org/officeDocument/2006/relationships/hyperlink" Target="../Tarikan%20JDE/1205.630600.xlsx" TargetMode="External"/><Relationship Id="rId1" Type="http://schemas.openxmlformats.org/officeDocument/2006/relationships/hyperlink" Target="../Tarikan%20JDE/1201.630600.xlsx" TargetMode="External"/><Relationship Id="rId6" Type="http://schemas.openxmlformats.org/officeDocument/2006/relationships/hyperlink" Target="../Tarikan%20JDE/1204.630600.xlsx" TargetMode="External"/><Relationship Id="rId5" Type="http://schemas.openxmlformats.org/officeDocument/2006/relationships/hyperlink" Target="../Tarikan%20JDE/1205.630600.xlsx" TargetMode="External"/><Relationship Id="rId4" Type="http://schemas.openxmlformats.org/officeDocument/2006/relationships/hyperlink" Target="../Tarikan%20JDE/1201.630600.xlsx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../Tarikan%20JDE/1201.710200.xlsx" TargetMode="External"/><Relationship Id="rId3" Type="http://schemas.openxmlformats.org/officeDocument/2006/relationships/hyperlink" Target="../Tarikan%20JDE/1201.730300.xlsx" TargetMode="External"/><Relationship Id="rId7" Type="http://schemas.openxmlformats.org/officeDocument/2006/relationships/hyperlink" Target="../Tarikan%20JDE/1201.710200.xlsx" TargetMode="External"/><Relationship Id="rId2" Type="http://schemas.openxmlformats.org/officeDocument/2006/relationships/hyperlink" Target="../Tarikan%20JDE/1201.730300.xlsx" TargetMode="External"/><Relationship Id="rId1" Type="http://schemas.openxmlformats.org/officeDocument/2006/relationships/hyperlink" Target="../Tarikan%20JDE/ACCOUNT%20TIDAK%20DITEMUKAN.xlsx" TargetMode="External"/><Relationship Id="rId6" Type="http://schemas.openxmlformats.org/officeDocument/2006/relationships/hyperlink" Target="../Tarikan%20JDE/1201.730200.xlsx" TargetMode="External"/><Relationship Id="rId5" Type="http://schemas.openxmlformats.org/officeDocument/2006/relationships/hyperlink" Target="../Tarikan%20JDE/1201.730300.xlsx" TargetMode="External"/><Relationship Id="rId10" Type="http://schemas.openxmlformats.org/officeDocument/2006/relationships/hyperlink" Target="../Tarikan%20JDE/1201.710200.xlsx" TargetMode="External"/><Relationship Id="rId4" Type="http://schemas.openxmlformats.org/officeDocument/2006/relationships/hyperlink" Target="../Tarikan%20JDE/1201.730300.xlsx" TargetMode="External"/><Relationship Id="rId9" Type="http://schemas.openxmlformats.org/officeDocument/2006/relationships/hyperlink" Target="../Tarikan%20JDE/1201.710200.xlsx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../Tarikan%20JDE/1201.730200.xlsx" TargetMode="External"/><Relationship Id="rId2" Type="http://schemas.openxmlformats.org/officeDocument/2006/relationships/hyperlink" Target="../Tarikan%20JDE/1201.730300.xlsx" TargetMode="External"/><Relationship Id="rId1" Type="http://schemas.openxmlformats.org/officeDocument/2006/relationships/hyperlink" Target="../Tarikan%20JDE/ACCOUNT%20TIDAK%20DITEMUKAN.xlsx" TargetMode="External"/><Relationship Id="rId5" Type="http://schemas.openxmlformats.org/officeDocument/2006/relationships/hyperlink" Target="../Tarikan%20JDE/1201.710200.xlsx" TargetMode="External"/><Relationship Id="rId4" Type="http://schemas.openxmlformats.org/officeDocument/2006/relationships/hyperlink" Target="../Tarikan%20JDE/1201.710200.xlsx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../Tarikan%20JDE/1205.808100.xlsx" TargetMode="External"/><Relationship Id="rId18" Type="http://schemas.openxmlformats.org/officeDocument/2006/relationships/hyperlink" Target="../Tarikan%20JDE/1204.802140.xlsx" TargetMode="External"/><Relationship Id="rId26" Type="http://schemas.openxmlformats.org/officeDocument/2006/relationships/hyperlink" Target="../Tarikan%20JDE/1201.630770.xlsx" TargetMode="External"/><Relationship Id="rId39" Type="http://schemas.openxmlformats.org/officeDocument/2006/relationships/hyperlink" Target="../Tarikan%20JDE/1201.816130.xlsx" TargetMode="External"/><Relationship Id="rId21" Type="http://schemas.openxmlformats.org/officeDocument/2006/relationships/hyperlink" Target="../Tarikan%20JDE/1201.809100.xlsx" TargetMode="External"/><Relationship Id="rId34" Type="http://schemas.openxmlformats.org/officeDocument/2006/relationships/hyperlink" Target="../Tarikan%20JDE/1201.810110.xlsx" TargetMode="External"/><Relationship Id="rId42" Type="http://schemas.openxmlformats.org/officeDocument/2006/relationships/hyperlink" Target="../Tarikan%20JDE/1204.816130.xlsx" TargetMode="External"/><Relationship Id="rId47" Type="http://schemas.openxmlformats.org/officeDocument/2006/relationships/hyperlink" Target="../Tarikan%20JDE/1201.815110.xlsx" TargetMode="External"/><Relationship Id="rId50" Type="http://schemas.openxmlformats.org/officeDocument/2006/relationships/hyperlink" Target="../Tarikan%20JDE/1201.814110.xlsx" TargetMode="External"/><Relationship Id="rId55" Type="http://schemas.openxmlformats.org/officeDocument/2006/relationships/hyperlink" Target="../Tarikan%20JDE/1204.631100.xlsx" TargetMode="External"/><Relationship Id="rId7" Type="http://schemas.openxmlformats.org/officeDocument/2006/relationships/hyperlink" Target="../Tarikan%20JDE/1201.630300.xlsx" TargetMode="External"/><Relationship Id="rId2" Type="http://schemas.openxmlformats.org/officeDocument/2006/relationships/hyperlink" Target="../Tarikan%20JDE/1201.812100.xlsx" TargetMode="External"/><Relationship Id="rId16" Type="http://schemas.openxmlformats.org/officeDocument/2006/relationships/hyperlink" Target="../Tarikan%20JDE/1204.630900.xlsx" TargetMode="External"/><Relationship Id="rId29" Type="http://schemas.openxmlformats.org/officeDocument/2006/relationships/hyperlink" Target="../Tarikan%20JDE/1201.630760.xlsx" TargetMode="External"/><Relationship Id="rId11" Type="http://schemas.openxmlformats.org/officeDocument/2006/relationships/hyperlink" Target="../Tarikan%20JDE/1204.630530.xlsx" TargetMode="External"/><Relationship Id="rId24" Type="http://schemas.openxmlformats.org/officeDocument/2006/relationships/hyperlink" Target="../Tarikan%20JDE/1204.809100.xlsx" TargetMode="External"/><Relationship Id="rId32" Type="http://schemas.openxmlformats.org/officeDocument/2006/relationships/hyperlink" Target="../Tarikan%20JDE/1201.630730.xlsx" TargetMode="External"/><Relationship Id="rId37" Type="http://schemas.openxmlformats.org/officeDocument/2006/relationships/hyperlink" Target="../Tarikan%20JDE/1204.810110.xlsx" TargetMode="External"/><Relationship Id="rId40" Type="http://schemas.openxmlformats.org/officeDocument/2006/relationships/hyperlink" Target="../Tarikan%20JDE/1206.816130.xlsx" TargetMode="External"/><Relationship Id="rId45" Type="http://schemas.openxmlformats.org/officeDocument/2006/relationships/hyperlink" Target="../Tarikan%20JDE/1201.631140.xlsx" TargetMode="External"/><Relationship Id="rId53" Type="http://schemas.openxmlformats.org/officeDocument/2006/relationships/hyperlink" Target="../Tarikan%20JDE/1201.631100.xlsx" TargetMode="External"/><Relationship Id="rId5" Type="http://schemas.openxmlformats.org/officeDocument/2006/relationships/hyperlink" Target="../Tarikan%20JDE/1201.630400.xlsx" TargetMode="External"/><Relationship Id="rId10" Type="http://schemas.openxmlformats.org/officeDocument/2006/relationships/hyperlink" Target="../Tarikan%20JDE/1201.630530.xlsx" TargetMode="External"/><Relationship Id="rId19" Type="http://schemas.openxmlformats.org/officeDocument/2006/relationships/hyperlink" Target="../Tarikan%20JDE/1201.801160.xlsx" TargetMode="External"/><Relationship Id="rId31" Type="http://schemas.openxmlformats.org/officeDocument/2006/relationships/hyperlink" Target="../Tarikan%20JDE/1204.630760.xlsx" TargetMode="External"/><Relationship Id="rId44" Type="http://schemas.openxmlformats.org/officeDocument/2006/relationships/hyperlink" Target="../Tarikan%20JDE/1201.631110.xlsx" TargetMode="External"/><Relationship Id="rId52" Type="http://schemas.openxmlformats.org/officeDocument/2006/relationships/hyperlink" Target="../Tarikan%20JDE/1201.631100.xlsx" TargetMode="External"/><Relationship Id="rId4" Type="http://schemas.openxmlformats.org/officeDocument/2006/relationships/hyperlink" Target="../Tarikan%20JDE/1204.807100.xlsx" TargetMode="External"/><Relationship Id="rId9" Type="http://schemas.openxmlformats.org/officeDocument/2006/relationships/hyperlink" Target="../Tarikan%20JDE/1201.630200.xlsx" TargetMode="External"/><Relationship Id="rId14" Type="http://schemas.openxmlformats.org/officeDocument/2006/relationships/hyperlink" Target="../Tarikan%20JDE/1204.808100.xlsx" TargetMode="External"/><Relationship Id="rId22" Type="http://schemas.openxmlformats.org/officeDocument/2006/relationships/hyperlink" Target="../Tarikan%20JDE/1206.809100.xlsx" TargetMode="External"/><Relationship Id="rId27" Type="http://schemas.openxmlformats.org/officeDocument/2006/relationships/hyperlink" Target="../Tarikan%20JDE/1201.630750.xlsx" TargetMode="External"/><Relationship Id="rId30" Type="http://schemas.openxmlformats.org/officeDocument/2006/relationships/hyperlink" Target="../Tarikan%20JDE/1205.630760.xlsx" TargetMode="External"/><Relationship Id="rId35" Type="http://schemas.openxmlformats.org/officeDocument/2006/relationships/hyperlink" Target="../Tarikan%20JDE/1206.810110.xlsx" TargetMode="External"/><Relationship Id="rId43" Type="http://schemas.openxmlformats.org/officeDocument/2006/relationships/hyperlink" Target="../Tarikan%20JDE/1206.631100.xlsx" TargetMode="External"/><Relationship Id="rId48" Type="http://schemas.openxmlformats.org/officeDocument/2006/relationships/hyperlink" Target="../Tarikan%20JDE/1201.815120.xlsx" TargetMode="External"/><Relationship Id="rId8" Type="http://schemas.openxmlformats.org/officeDocument/2006/relationships/hyperlink" Target="../Tarikan%20JDE/1201.630200.xlsx" TargetMode="External"/><Relationship Id="rId51" Type="http://schemas.openxmlformats.org/officeDocument/2006/relationships/hyperlink" Target="../Tarikan%20JDE/1201.630450.xlsx" TargetMode="External"/><Relationship Id="rId3" Type="http://schemas.openxmlformats.org/officeDocument/2006/relationships/hyperlink" Target="../Tarikan%20JDE/1201.807100.xlsx" TargetMode="External"/><Relationship Id="rId12" Type="http://schemas.openxmlformats.org/officeDocument/2006/relationships/hyperlink" Target="../Tarikan%20JDE/1201.808100.xlsx" TargetMode="External"/><Relationship Id="rId17" Type="http://schemas.openxmlformats.org/officeDocument/2006/relationships/hyperlink" Target="../Tarikan%20JDE/1201.802140.xlsx" TargetMode="External"/><Relationship Id="rId25" Type="http://schemas.openxmlformats.org/officeDocument/2006/relationships/hyperlink" Target="../Tarikan%20JDE/1201.630710.xlsx" TargetMode="External"/><Relationship Id="rId33" Type="http://schemas.openxmlformats.org/officeDocument/2006/relationships/hyperlink" Target="../Tarikan%20JDE/1201.630740.xlsx" TargetMode="External"/><Relationship Id="rId38" Type="http://schemas.openxmlformats.org/officeDocument/2006/relationships/hyperlink" Target="../Tarikan%20JDE/1201.630130.xlsx" TargetMode="External"/><Relationship Id="rId46" Type="http://schemas.openxmlformats.org/officeDocument/2006/relationships/hyperlink" Target="../Tarikan%20JDE/1201.631000.xlsx" TargetMode="External"/><Relationship Id="rId20" Type="http://schemas.openxmlformats.org/officeDocument/2006/relationships/hyperlink" Target="../Tarikan%20JDE/1201.630110.xlsx" TargetMode="External"/><Relationship Id="rId41" Type="http://schemas.openxmlformats.org/officeDocument/2006/relationships/hyperlink" Target="../Tarikan%20JDE/1205.816130.xlsx" TargetMode="External"/><Relationship Id="rId54" Type="http://schemas.openxmlformats.org/officeDocument/2006/relationships/hyperlink" Target="../Tarikan%20JDE/1205.631100.xlsx" TargetMode="External"/><Relationship Id="rId1" Type="http://schemas.openxmlformats.org/officeDocument/2006/relationships/hyperlink" Target="../Tarikan%20JDE/1201.720500.xlsx" TargetMode="External"/><Relationship Id="rId6" Type="http://schemas.openxmlformats.org/officeDocument/2006/relationships/hyperlink" Target="../Tarikan%20JDE/1201.813100.xlsx" TargetMode="External"/><Relationship Id="rId15" Type="http://schemas.openxmlformats.org/officeDocument/2006/relationships/hyperlink" Target="../Tarikan%20JDE/1201.630900.xlsx" TargetMode="External"/><Relationship Id="rId23" Type="http://schemas.openxmlformats.org/officeDocument/2006/relationships/hyperlink" Target="../Tarikan%20JDE/1205.809100.xlsx" TargetMode="External"/><Relationship Id="rId28" Type="http://schemas.openxmlformats.org/officeDocument/2006/relationships/hyperlink" Target="../Tarikan%20JDE/1201.630720.xlsx" TargetMode="External"/><Relationship Id="rId36" Type="http://schemas.openxmlformats.org/officeDocument/2006/relationships/hyperlink" Target="../Tarikan%20JDE/1205.810110.xlsx" TargetMode="External"/><Relationship Id="rId49" Type="http://schemas.openxmlformats.org/officeDocument/2006/relationships/hyperlink" Target="../Tarikan%20JDE/1201.802120.xlsx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../Tarikan%20JDE/1206.630300.xlsx" TargetMode="External"/><Relationship Id="rId13" Type="http://schemas.openxmlformats.org/officeDocument/2006/relationships/hyperlink" Target="../Tarikan%20JDE/1206.630730.xlsx" TargetMode="External"/><Relationship Id="rId18" Type="http://schemas.openxmlformats.org/officeDocument/2006/relationships/hyperlink" Target="../Tarikan%20JDE/1206.808100.xlsx" TargetMode="External"/><Relationship Id="rId3" Type="http://schemas.openxmlformats.org/officeDocument/2006/relationships/hyperlink" Target="../Tarikan%20JDE/1206.630130.xlsx" TargetMode="External"/><Relationship Id="rId21" Type="http://schemas.openxmlformats.org/officeDocument/2006/relationships/hyperlink" Target="../Tarikan%20JDE/1206.631180.xlsx" TargetMode="External"/><Relationship Id="rId7" Type="http://schemas.openxmlformats.org/officeDocument/2006/relationships/hyperlink" Target="../Tarikan%20JDE/1206.630450.xlsx" TargetMode="External"/><Relationship Id="rId12" Type="http://schemas.openxmlformats.org/officeDocument/2006/relationships/hyperlink" Target="../Tarikan%20JDE/1206.630760.xlsx" TargetMode="External"/><Relationship Id="rId17" Type="http://schemas.openxmlformats.org/officeDocument/2006/relationships/hyperlink" Target="../Tarikan%20JDE/1206.630400.xlsx" TargetMode="External"/><Relationship Id="rId2" Type="http://schemas.openxmlformats.org/officeDocument/2006/relationships/hyperlink" Target="../Tarikan%20JDE/1206.630710.xlsx" TargetMode="External"/><Relationship Id="rId16" Type="http://schemas.openxmlformats.org/officeDocument/2006/relationships/hyperlink" Target="../Tarikan%20JDE/1206.812100.xlsx" TargetMode="External"/><Relationship Id="rId20" Type="http://schemas.openxmlformats.org/officeDocument/2006/relationships/hyperlink" Target="../Tarikan%20JDE/1206.801110.xlsx" TargetMode="External"/><Relationship Id="rId1" Type="http://schemas.openxmlformats.org/officeDocument/2006/relationships/hyperlink" Target="../Tarikan%20JDE/1206.801160.xlsx" TargetMode="External"/><Relationship Id="rId6" Type="http://schemas.openxmlformats.org/officeDocument/2006/relationships/hyperlink" Target="../Tarikan%20JDE/1206.802120.xlsx" TargetMode="External"/><Relationship Id="rId11" Type="http://schemas.openxmlformats.org/officeDocument/2006/relationships/hyperlink" Target="../Tarikan%20JDE/1206.630720.xlsx" TargetMode="External"/><Relationship Id="rId5" Type="http://schemas.openxmlformats.org/officeDocument/2006/relationships/hyperlink" Target="../Tarikan%20JDE/1206.815110.xlsx" TargetMode="External"/><Relationship Id="rId15" Type="http://schemas.openxmlformats.org/officeDocument/2006/relationships/hyperlink" Target="../Tarikan%20JDE/1206.631110.xlsx" TargetMode="External"/><Relationship Id="rId10" Type="http://schemas.openxmlformats.org/officeDocument/2006/relationships/hyperlink" Target="../Tarikan%20JDE/1206.630750.xlsx" TargetMode="External"/><Relationship Id="rId19" Type="http://schemas.openxmlformats.org/officeDocument/2006/relationships/hyperlink" Target="../Tarikan%20JDE/1206.630110.xlsx" TargetMode="External"/><Relationship Id="rId4" Type="http://schemas.openxmlformats.org/officeDocument/2006/relationships/hyperlink" Target="../Tarikan%20JDE/1206.631000.xlsx" TargetMode="External"/><Relationship Id="rId9" Type="http://schemas.openxmlformats.org/officeDocument/2006/relationships/hyperlink" Target="../Tarikan%20JDE/1206.630770.xlsx" TargetMode="External"/><Relationship Id="rId14" Type="http://schemas.openxmlformats.org/officeDocument/2006/relationships/hyperlink" Target="../Tarikan%20JDE/1206.630740.xlsx" TargetMode="External"/><Relationship Id="rId22" Type="http://schemas.openxmlformats.org/officeDocument/2006/relationships/hyperlink" Target="../Tarikan%20JDE/1206.630600.xlsx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../Tarikan%20JDE/1205.630770.xlsx" TargetMode="External"/><Relationship Id="rId18" Type="http://schemas.openxmlformats.org/officeDocument/2006/relationships/hyperlink" Target="../Tarikan%20JDE/1205.631110.xlsx" TargetMode="External"/><Relationship Id="rId26" Type="http://schemas.openxmlformats.org/officeDocument/2006/relationships/hyperlink" Target="../Tarikan%20JDE/1204.720500.xlsx" TargetMode="External"/><Relationship Id="rId21" Type="http://schemas.openxmlformats.org/officeDocument/2006/relationships/hyperlink" Target="../Tarikan%20JDE/1204.630710.xlsx" TargetMode="External"/><Relationship Id="rId34" Type="http://schemas.openxmlformats.org/officeDocument/2006/relationships/hyperlink" Target="../Tarikan%20JDE/1204.630720.xlsx" TargetMode="External"/><Relationship Id="rId7" Type="http://schemas.openxmlformats.org/officeDocument/2006/relationships/hyperlink" Target="../Tarikan%20JDE/1205.631100.xlsx" TargetMode="External"/><Relationship Id="rId12" Type="http://schemas.openxmlformats.org/officeDocument/2006/relationships/hyperlink" Target="../Tarikan%20JDE/1205.630110.xlsx" TargetMode="External"/><Relationship Id="rId17" Type="http://schemas.openxmlformats.org/officeDocument/2006/relationships/hyperlink" Target="../Tarikan%20JDE/1205.801110.xlsx" TargetMode="External"/><Relationship Id="rId25" Type="http://schemas.openxmlformats.org/officeDocument/2006/relationships/hyperlink" Target="../Tarikan%20JDE/1204.631100.xlsx" TargetMode="External"/><Relationship Id="rId33" Type="http://schemas.openxmlformats.org/officeDocument/2006/relationships/hyperlink" Target="../Tarikan%20JDE/1204.630750.xlsx" TargetMode="External"/><Relationship Id="rId2" Type="http://schemas.openxmlformats.org/officeDocument/2006/relationships/hyperlink" Target="../Tarikan%20JDE/1205.801160.xlsx" TargetMode="External"/><Relationship Id="rId16" Type="http://schemas.openxmlformats.org/officeDocument/2006/relationships/hyperlink" Target="../Tarikan%20JDE/1205.630730.xlsx" TargetMode="External"/><Relationship Id="rId20" Type="http://schemas.openxmlformats.org/officeDocument/2006/relationships/hyperlink" Target="../Tarikan%20JDE/1204.801160.xlsx" TargetMode="External"/><Relationship Id="rId29" Type="http://schemas.openxmlformats.org/officeDocument/2006/relationships/hyperlink" Target="../Tarikan%20JDE/1204.630300.xlsx" TargetMode="External"/><Relationship Id="rId1" Type="http://schemas.openxmlformats.org/officeDocument/2006/relationships/hyperlink" Target="../Tarikan%20JDE/1205.813100.xlsx" TargetMode="External"/><Relationship Id="rId6" Type="http://schemas.openxmlformats.org/officeDocument/2006/relationships/hyperlink" Target="../Tarikan%20JDE/1205.815110.xlsx" TargetMode="External"/><Relationship Id="rId11" Type="http://schemas.openxmlformats.org/officeDocument/2006/relationships/hyperlink" Target="../Tarikan%20JDE/1205.630200.xlsx" TargetMode="External"/><Relationship Id="rId24" Type="http://schemas.openxmlformats.org/officeDocument/2006/relationships/hyperlink" Target="../Tarikan%20JDE/1204.815110.xlsx" TargetMode="External"/><Relationship Id="rId32" Type="http://schemas.openxmlformats.org/officeDocument/2006/relationships/hyperlink" Target="../Tarikan%20JDE/1204.630770.xlsx" TargetMode="External"/><Relationship Id="rId37" Type="http://schemas.openxmlformats.org/officeDocument/2006/relationships/hyperlink" Target="../Tarikan%20JDE/1204.631140.xlsx" TargetMode="External"/><Relationship Id="rId5" Type="http://schemas.openxmlformats.org/officeDocument/2006/relationships/hyperlink" Target="../Tarikan%20JDE/1205.630130.xlsx" TargetMode="External"/><Relationship Id="rId15" Type="http://schemas.openxmlformats.org/officeDocument/2006/relationships/hyperlink" Target="../Tarikan%20JDE/1205.630720.xlsx" TargetMode="External"/><Relationship Id="rId23" Type="http://schemas.openxmlformats.org/officeDocument/2006/relationships/hyperlink" Target="../Tarikan%20JDE/1204.630130.xlsx" TargetMode="External"/><Relationship Id="rId28" Type="http://schemas.openxmlformats.org/officeDocument/2006/relationships/hyperlink" Target="../Tarikan%20JDE/1204.630400.xlsx" TargetMode="External"/><Relationship Id="rId36" Type="http://schemas.openxmlformats.org/officeDocument/2006/relationships/hyperlink" Target="../Tarikan%20JDE/1204.631110.xlsx" TargetMode="External"/><Relationship Id="rId10" Type="http://schemas.openxmlformats.org/officeDocument/2006/relationships/hyperlink" Target="../Tarikan%20JDE/1205.630300.xlsx" TargetMode="External"/><Relationship Id="rId19" Type="http://schemas.openxmlformats.org/officeDocument/2006/relationships/hyperlink" Target="../Tarikan%20JDE/1204.813100.xlsx" TargetMode="External"/><Relationship Id="rId31" Type="http://schemas.openxmlformats.org/officeDocument/2006/relationships/hyperlink" Target="../Tarikan%20JDE/1204.630110.xlsx" TargetMode="External"/><Relationship Id="rId4" Type="http://schemas.openxmlformats.org/officeDocument/2006/relationships/hyperlink" Target="../Tarikan%20JDE/1205.630740.xlsx" TargetMode="External"/><Relationship Id="rId9" Type="http://schemas.openxmlformats.org/officeDocument/2006/relationships/hyperlink" Target="../Tarikan%20JDE/1205.630400.xlsx" TargetMode="External"/><Relationship Id="rId14" Type="http://schemas.openxmlformats.org/officeDocument/2006/relationships/hyperlink" Target="../Tarikan%20JDE/1205.630750.xlsx" TargetMode="External"/><Relationship Id="rId22" Type="http://schemas.openxmlformats.org/officeDocument/2006/relationships/hyperlink" Target="../Tarikan%20JDE/1204.630740.xlsx" TargetMode="External"/><Relationship Id="rId27" Type="http://schemas.openxmlformats.org/officeDocument/2006/relationships/hyperlink" Target="../Tarikan%20JDE/1204.812100.xlsx" TargetMode="External"/><Relationship Id="rId30" Type="http://schemas.openxmlformats.org/officeDocument/2006/relationships/hyperlink" Target="../Tarikan%20JDE/1204.630200.xlsx" TargetMode="External"/><Relationship Id="rId35" Type="http://schemas.openxmlformats.org/officeDocument/2006/relationships/hyperlink" Target="../Tarikan%20JDE/1204.630730.xlsx" TargetMode="External"/><Relationship Id="rId8" Type="http://schemas.openxmlformats.org/officeDocument/2006/relationships/hyperlink" Target="../Tarikan%20JDE/1205.812100.xlsx" TargetMode="External"/><Relationship Id="rId3" Type="http://schemas.openxmlformats.org/officeDocument/2006/relationships/hyperlink" Target="../Tarikan%20JDE/1205.630710.xlsx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../Tarikan%20JDE/1204.920700.xlsx" TargetMode="External"/><Relationship Id="rId3" Type="http://schemas.openxmlformats.org/officeDocument/2006/relationships/hyperlink" Target="../Tarikan%20JDE/1201.920120.xlsx" TargetMode="External"/><Relationship Id="rId7" Type="http://schemas.openxmlformats.org/officeDocument/2006/relationships/hyperlink" Target="../Tarikan%20JDE/1205.920700.xlsx" TargetMode="External"/><Relationship Id="rId2" Type="http://schemas.openxmlformats.org/officeDocument/2006/relationships/hyperlink" Target="../Tarikan%20JDE/1201.920410.xlsx" TargetMode="External"/><Relationship Id="rId1" Type="http://schemas.openxmlformats.org/officeDocument/2006/relationships/hyperlink" Target="../Tarikan%20JDE/1201.816120.xlsx" TargetMode="External"/><Relationship Id="rId6" Type="http://schemas.openxmlformats.org/officeDocument/2006/relationships/hyperlink" Target="../Tarikan%20JDE/1206.920700.xlsx" TargetMode="External"/><Relationship Id="rId5" Type="http://schemas.openxmlformats.org/officeDocument/2006/relationships/hyperlink" Target="../Tarikan%20JDE/1201.920700.xlsx" TargetMode="External"/><Relationship Id="rId10" Type="http://schemas.openxmlformats.org/officeDocument/2006/relationships/hyperlink" Target="../Tarikan%20JDE/1204.801110.xlsx" TargetMode="External"/><Relationship Id="rId4" Type="http://schemas.openxmlformats.org/officeDocument/2006/relationships/hyperlink" Target="../Tarikan%20JDE/1201.805120.xlsx" TargetMode="External"/><Relationship Id="rId9" Type="http://schemas.openxmlformats.org/officeDocument/2006/relationships/hyperlink" Target="../Tarikan%20JDE/1201.801110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btn_RPAAccountLedger">
    <tabColor rgb="FF00B0F0"/>
  </sheetPr>
  <dimension ref="A1:F31"/>
  <sheetViews>
    <sheetView showGridLines="0" zoomScaleNormal="100" workbookViewId="0">
      <selection activeCell="C2" sqref="C2:E9"/>
    </sheetView>
  </sheetViews>
  <sheetFormatPr defaultRowHeight="15" x14ac:dyDescent="0.25"/>
  <cols>
    <col min="1" max="1" width="2.42578125" customWidth="1"/>
    <col min="2" max="2" width="3.5703125" customWidth="1"/>
    <col min="3" max="3" width="43.42578125" bestFit="1" customWidth="1"/>
    <col min="4" max="4" width="1.7109375" customWidth="1"/>
    <col min="5" max="5" width="55.85546875" customWidth="1"/>
    <col min="6" max="6" width="1.7109375" bestFit="1" customWidth="1"/>
    <col min="7" max="7" width="5.5703125" customWidth="1"/>
  </cols>
  <sheetData>
    <row r="1" spans="1:6" ht="12" customHeight="1" x14ac:dyDescent="0.25">
      <c r="A1" s="43"/>
      <c r="B1" s="43"/>
      <c r="C1" s="44" t="s">
        <v>321</v>
      </c>
      <c r="D1" s="44"/>
      <c r="E1" s="44"/>
      <c r="F1" s="9"/>
    </row>
    <row r="2" spans="1:6" ht="12" customHeight="1" x14ac:dyDescent="0.25">
      <c r="A2" s="43"/>
      <c r="B2" s="43"/>
      <c r="C2" s="45" t="s">
        <v>331</v>
      </c>
      <c r="D2" s="46"/>
      <c r="E2" s="47"/>
      <c r="F2" s="27" t="s">
        <v>214</v>
      </c>
    </row>
    <row r="3" spans="1:6" ht="12" customHeight="1" x14ac:dyDescent="0.25">
      <c r="A3" s="43"/>
      <c r="B3" s="43"/>
      <c r="C3" s="48"/>
      <c r="D3" s="49"/>
      <c r="E3" s="50"/>
      <c r="F3" s="27"/>
    </row>
    <row r="4" spans="1:6" ht="12" customHeight="1" x14ac:dyDescent="0.25">
      <c r="A4" s="43"/>
      <c r="B4" s="43"/>
      <c r="C4" s="48"/>
      <c r="D4" s="49"/>
      <c r="E4" s="50"/>
      <c r="F4" s="27"/>
    </row>
    <row r="5" spans="1:6" ht="12" customHeight="1" x14ac:dyDescent="0.25">
      <c r="A5" s="43"/>
      <c r="B5" s="43"/>
      <c r="C5" s="48"/>
      <c r="D5" s="49"/>
      <c r="E5" s="50"/>
      <c r="F5" s="27"/>
    </row>
    <row r="6" spans="1:6" ht="12" customHeight="1" x14ac:dyDescent="0.25">
      <c r="A6" s="43"/>
      <c r="B6" s="43"/>
      <c r="C6" s="48"/>
      <c r="D6" s="49"/>
      <c r="E6" s="50"/>
      <c r="F6" s="27"/>
    </row>
    <row r="7" spans="1:6" ht="12" customHeight="1" x14ac:dyDescent="0.25">
      <c r="A7" s="43"/>
      <c r="B7" s="43"/>
      <c r="C7" s="48"/>
      <c r="D7" s="49"/>
      <c r="E7" s="50"/>
      <c r="F7" s="27"/>
    </row>
    <row r="8" spans="1:6" ht="12" customHeight="1" x14ac:dyDescent="0.25">
      <c r="A8" s="43"/>
      <c r="B8" s="43"/>
      <c r="C8" s="48"/>
      <c r="D8" s="49"/>
      <c r="E8" s="50"/>
      <c r="F8" s="27"/>
    </row>
    <row r="9" spans="1:6" ht="6.75" customHeight="1" x14ac:dyDescent="0.25">
      <c r="A9" s="43"/>
      <c r="B9" s="43"/>
      <c r="C9" s="51"/>
      <c r="D9" s="52"/>
      <c r="E9" s="53"/>
      <c r="F9" s="27"/>
    </row>
    <row r="10" spans="1:6" ht="18" customHeight="1" x14ac:dyDescent="0.25">
      <c r="A10" s="43"/>
      <c r="B10" s="43"/>
      <c r="C10" s="54" t="s">
        <v>322</v>
      </c>
      <c r="D10" s="54"/>
      <c r="E10" s="54"/>
      <c r="F10" s="27"/>
    </row>
    <row r="11" spans="1:6" ht="15.75" x14ac:dyDescent="0.25">
      <c r="C11" s="17" t="s">
        <v>323</v>
      </c>
      <c r="D11" s="18"/>
      <c r="E11" s="15" t="s">
        <v>324</v>
      </c>
      <c r="F11" s="27"/>
    </row>
    <row r="12" spans="1:6" x14ac:dyDescent="0.25">
      <c r="C12" s="42" t="s">
        <v>332</v>
      </c>
      <c r="D12" s="42"/>
      <c r="E12" s="16" t="s">
        <v>362</v>
      </c>
      <c r="F12" s="27" t="s">
        <v>214</v>
      </c>
    </row>
    <row r="13" spans="1:6" x14ac:dyDescent="0.25">
      <c r="C13" s="25" t="s">
        <v>333</v>
      </c>
      <c r="D13" s="25"/>
      <c r="E13" s="16" t="s">
        <v>334</v>
      </c>
      <c r="F13" s="27" t="s">
        <v>214</v>
      </c>
    </row>
    <row r="14" spans="1:6" x14ac:dyDescent="0.25">
      <c r="C14" s="42" t="s">
        <v>356</v>
      </c>
      <c r="D14" s="42"/>
      <c r="E14" s="39" t="s">
        <v>358</v>
      </c>
      <c r="F14" s="27" t="s">
        <v>214</v>
      </c>
    </row>
    <row r="15" spans="1:6" x14ac:dyDescent="0.25">
      <c r="C15" s="25" t="s">
        <v>357</v>
      </c>
      <c r="D15" s="25"/>
      <c r="E15" s="39" t="s">
        <v>359</v>
      </c>
      <c r="F15" s="27"/>
    </row>
    <row r="16" spans="1:6" x14ac:dyDescent="0.25">
      <c r="C16" s="25"/>
      <c r="D16" s="25"/>
      <c r="F16" s="27"/>
    </row>
    <row r="17" spans="3:6" ht="1.5" customHeight="1" x14ac:dyDescent="0.25">
      <c r="C17" s="41"/>
      <c r="D17" s="41"/>
      <c r="E17" s="41"/>
      <c r="F17" s="27"/>
    </row>
    <row r="18" spans="3:6" x14ac:dyDescent="0.25">
      <c r="F18" s="27"/>
    </row>
    <row r="19" spans="3:6" x14ac:dyDescent="0.25">
      <c r="F19" s="27"/>
    </row>
    <row r="20" spans="3:6" x14ac:dyDescent="0.25">
      <c r="F20" s="27"/>
    </row>
    <row r="21" spans="3:6" x14ac:dyDescent="0.25">
      <c r="F21" s="27"/>
    </row>
    <row r="22" spans="3:6" x14ac:dyDescent="0.25">
      <c r="F22" s="27"/>
    </row>
    <row r="23" spans="3:6" x14ac:dyDescent="0.25">
      <c r="F23" s="27"/>
    </row>
    <row r="24" spans="3:6" x14ac:dyDescent="0.25">
      <c r="F24" s="27"/>
    </row>
    <row r="25" spans="3:6" x14ac:dyDescent="0.25">
      <c r="F25" s="27"/>
    </row>
    <row r="26" spans="3:6" x14ac:dyDescent="0.25">
      <c r="F26" s="27"/>
    </row>
    <row r="27" spans="3:6" x14ac:dyDescent="0.25">
      <c r="F27" s="27"/>
    </row>
    <row r="28" spans="3:6" x14ac:dyDescent="0.25">
      <c r="F28" s="27"/>
    </row>
    <row r="29" spans="3:6" x14ac:dyDescent="0.25">
      <c r="F29" s="27"/>
    </row>
    <row r="30" spans="3:6" x14ac:dyDescent="0.25">
      <c r="F30" s="27"/>
    </row>
    <row r="31" spans="3:6" x14ac:dyDescent="0.25">
      <c r="F31" s="27"/>
    </row>
  </sheetData>
  <mergeCells count="8">
    <mergeCell ref="C17:E17"/>
    <mergeCell ref="C12:D12"/>
    <mergeCell ref="C14:D14"/>
    <mergeCell ref="A1:B8"/>
    <mergeCell ref="C1:E1"/>
    <mergeCell ref="C2:E9"/>
    <mergeCell ref="A9:B10"/>
    <mergeCell ref="C10:E10"/>
  </mergeCells>
  <hyperlinks>
    <hyperlink ref="E13" r:id="rId1" xr:uid="{24514AAD-1976-4895-9499-8629E57746EE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9225" r:id="rId4" name="CommandButton1">
          <controlPr defaultSize="0" autoLine="0" r:id="rId5">
            <anchor moveWithCells="1">
              <from>
                <xdr:col>4</xdr:col>
                <xdr:colOff>1790700</xdr:colOff>
                <xdr:row>2</xdr:row>
                <xdr:rowOff>85725</xdr:rowOff>
              </from>
              <to>
                <xdr:col>4</xdr:col>
                <xdr:colOff>3067050</xdr:colOff>
                <xdr:row>4</xdr:row>
                <xdr:rowOff>38100</xdr:rowOff>
              </to>
            </anchor>
          </controlPr>
        </control>
      </mc:Choice>
      <mc:Fallback>
        <control shapeId="9225" r:id="rId4" name="CommandButton1"/>
      </mc:Fallback>
    </mc:AlternateContent>
    <mc:AlternateContent xmlns:mc="http://schemas.openxmlformats.org/markup-compatibility/2006">
      <mc:Choice Requires="x14">
        <control shapeId="9218" r:id="rId6" name="btn_Execute">
          <controlPr defaultSize="0" autoLine="0" r:id="rId7">
            <anchor moveWithCells="1">
              <from>
                <xdr:col>2</xdr:col>
                <xdr:colOff>523875</xdr:colOff>
                <xdr:row>5</xdr:row>
                <xdr:rowOff>28575</xdr:rowOff>
              </from>
              <to>
                <xdr:col>2</xdr:col>
                <xdr:colOff>1857375</xdr:colOff>
                <xdr:row>6</xdr:row>
                <xdr:rowOff>133350</xdr:rowOff>
              </to>
            </anchor>
          </controlPr>
        </control>
      </mc:Choice>
      <mc:Fallback>
        <control shapeId="9218" r:id="rId6" name="btn_Execute"/>
      </mc:Fallback>
    </mc:AlternateContent>
    <mc:AlternateContent xmlns:mc="http://schemas.openxmlformats.org/markup-compatibility/2006">
      <mc:Choice Requires="x14">
        <control shapeId="9224" r:id="rId8" name="btn_UpdateDataAccount">
          <controlPr defaultSize="0" autoLine="0" r:id="rId9">
            <anchor moveWithCells="1">
              <from>
                <xdr:col>2</xdr:col>
                <xdr:colOff>514350</xdr:colOff>
                <xdr:row>2</xdr:row>
                <xdr:rowOff>95250</xdr:rowOff>
              </from>
              <to>
                <xdr:col>2</xdr:col>
                <xdr:colOff>1857375</xdr:colOff>
                <xdr:row>4</xdr:row>
                <xdr:rowOff>38100</xdr:rowOff>
              </to>
            </anchor>
          </controlPr>
        </control>
      </mc:Choice>
      <mc:Fallback>
        <control shapeId="9224" r:id="rId8" name="btn_UpdateDataAccou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V27"/>
  <sheetViews>
    <sheetView topLeftCell="F7" zoomScale="85" zoomScaleNormal="85" workbookViewId="0">
      <selection activeCell="A2" sqref="A2:A11"/>
    </sheetView>
  </sheetViews>
  <sheetFormatPr defaultRowHeight="15" x14ac:dyDescent="0.25"/>
  <cols>
    <col min="1" max="1" width="64.28515625" bestFit="1" customWidth="1"/>
    <col min="2" max="2" width="24.85546875" bestFit="1" customWidth="1"/>
    <col min="3" max="3" width="24.5703125" bestFit="1" customWidth="1"/>
    <col min="4" max="4" width="20.5703125" customWidth="1"/>
    <col min="5" max="5" width="16.7109375" bestFit="1" customWidth="1"/>
    <col min="6" max="6" width="12.28515625" bestFit="1" customWidth="1"/>
    <col min="7" max="7" width="22.140625" bestFit="1" customWidth="1"/>
    <col min="8" max="8" width="30.140625" customWidth="1"/>
    <col min="9" max="9" width="5" customWidth="1"/>
    <col min="10" max="10" width="3.7109375" customWidth="1"/>
    <col min="11" max="11" width="3.28515625" customWidth="1"/>
    <col min="12" max="13" width="3.5703125" customWidth="1"/>
    <col min="14" max="14" width="30.85546875" bestFit="1" customWidth="1"/>
    <col min="15" max="15" width="24.5703125" bestFit="1" customWidth="1"/>
    <col min="16" max="16" width="16.5703125" customWidth="1"/>
  </cols>
  <sheetData>
    <row r="1" spans="1:22" ht="18.75" x14ac:dyDescent="0.3">
      <c r="A1" s="13" t="s">
        <v>344</v>
      </c>
      <c r="B1" s="10" t="s">
        <v>174</v>
      </c>
      <c r="C1" s="10" t="s">
        <v>1</v>
      </c>
      <c r="D1" s="10" t="s">
        <v>2</v>
      </c>
      <c r="E1" s="10" t="s">
        <v>3</v>
      </c>
      <c r="F1" s="10" t="s">
        <v>4</v>
      </c>
      <c r="G1" s="13" t="s">
        <v>176</v>
      </c>
      <c r="H1" s="13" t="s">
        <v>342</v>
      </c>
      <c r="I1" s="13" t="s">
        <v>214</v>
      </c>
    </row>
    <row r="2" spans="1:22" x14ac:dyDescent="0.25">
      <c r="A2" t="s">
        <v>345</v>
      </c>
      <c r="B2" t="s">
        <v>10</v>
      </c>
      <c r="C2" t="s">
        <v>21</v>
      </c>
      <c r="D2" t="s">
        <v>22</v>
      </c>
      <c r="E2" t="s">
        <v>13</v>
      </c>
      <c r="G2" t="s">
        <v>185</v>
      </c>
      <c r="H2" t="s">
        <v>343</v>
      </c>
    </row>
    <row r="3" spans="1:22" x14ac:dyDescent="0.25">
      <c r="A3" t="s">
        <v>346</v>
      </c>
      <c r="B3" t="s">
        <v>67</v>
      </c>
      <c r="C3" t="s">
        <v>21</v>
      </c>
      <c r="D3" t="s">
        <v>140</v>
      </c>
      <c r="E3" t="s">
        <v>13</v>
      </c>
      <c r="G3" t="s">
        <v>185</v>
      </c>
      <c r="H3" t="s">
        <v>337</v>
      </c>
    </row>
    <row r="4" spans="1:22" x14ac:dyDescent="0.25">
      <c r="A4" t="s">
        <v>347</v>
      </c>
      <c r="B4" t="s">
        <v>67</v>
      </c>
      <c r="C4" t="s">
        <v>21</v>
      </c>
      <c r="D4" t="s">
        <v>123</v>
      </c>
      <c r="E4" t="s">
        <v>13</v>
      </c>
      <c r="G4" t="s">
        <v>185</v>
      </c>
      <c r="H4" t="s">
        <v>338</v>
      </c>
    </row>
    <row r="5" spans="1:22" x14ac:dyDescent="0.25">
      <c r="A5" t="s">
        <v>348</v>
      </c>
      <c r="B5" t="s">
        <v>328</v>
      </c>
      <c r="C5" t="s">
        <v>21</v>
      </c>
      <c r="D5" t="s">
        <v>152</v>
      </c>
      <c r="E5" t="s">
        <v>24</v>
      </c>
      <c r="G5" t="s">
        <v>187</v>
      </c>
      <c r="H5" t="s">
        <v>341</v>
      </c>
    </row>
    <row r="6" spans="1:22" x14ac:dyDescent="0.25">
      <c r="A6" t="s">
        <v>349</v>
      </c>
      <c r="B6" t="s">
        <v>328</v>
      </c>
      <c r="C6" t="s">
        <v>21</v>
      </c>
      <c r="D6" t="s">
        <v>152</v>
      </c>
      <c r="E6" t="s">
        <v>15</v>
      </c>
      <c r="G6" t="s">
        <v>186</v>
      </c>
      <c r="H6" t="s">
        <v>341</v>
      </c>
    </row>
    <row r="7" spans="1:22" x14ac:dyDescent="0.25">
      <c r="A7" t="s">
        <v>350</v>
      </c>
      <c r="B7" t="s">
        <v>67</v>
      </c>
      <c r="C7" t="s">
        <v>21</v>
      </c>
      <c r="D7" t="s">
        <v>123</v>
      </c>
      <c r="E7" t="s">
        <v>24</v>
      </c>
      <c r="G7" t="s">
        <v>187</v>
      </c>
      <c r="H7" t="s">
        <v>338</v>
      </c>
    </row>
    <row r="8" spans="1:22" x14ac:dyDescent="0.25">
      <c r="A8" t="s">
        <v>351</v>
      </c>
      <c r="B8" t="s">
        <v>67</v>
      </c>
      <c r="C8" t="s">
        <v>21</v>
      </c>
      <c r="D8" t="s">
        <v>123</v>
      </c>
      <c r="E8" t="s">
        <v>15</v>
      </c>
      <c r="G8" t="s">
        <v>186</v>
      </c>
      <c r="H8" t="s">
        <v>338</v>
      </c>
    </row>
    <row r="9" spans="1:22" x14ac:dyDescent="0.25">
      <c r="A9" t="s">
        <v>352</v>
      </c>
      <c r="B9" t="s">
        <v>67</v>
      </c>
      <c r="C9" t="s">
        <v>21</v>
      </c>
      <c r="D9" t="s">
        <v>123</v>
      </c>
      <c r="E9" t="s">
        <v>101</v>
      </c>
      <c r="G9" t="s">
        <v>184</v>
      </c>
      <c r="H9" t="s">
        <v>338</v>
      </c>
    </row>
    <row r="10" spans="1:22" x14ac:dyDescent="0.25">
      <c r="A10" t="s">
        <v>353</v>
      </c>
      <c r="B10" t="s">
        <v>10</v>
      </c>
      <c r="C10" t="s">
        <v>21</v>
      </c>
      <c r="D10" t="s">
        <v>22</v>
      </c>
      <c r="E10" t="s">
        <v>24</v>
      </c>
      <c r="G10" t="s">
        <v>187</v>
      </c>
      <c r="H10" t="s">
        <v>343</v>
      </c>
    </row>
    <row r="11" spans="1:22" x14ac:dyDescent="0.25">
      <c r="A11" t="s">
        <v>354</v>
      </c>
      <c r="B11" t="s">
        <v>10</v>
      </c>
      <c r="C11" t="s">
        <v>21</v>
      </c>
      <c r="D11" t="s">
        <v>22</v>
      </c>
      <c r="E11" t="s">
        <v>15</v>
      </c>
      <c r="G11" t="s">
        <v>186</v>
      </c>
      <c r="H11" t="s">
        <v>343</v>
      </c>
    </row>
    <row r="12" spans="1:22" x14ac:dyDescent="0.25">
      <c r="N12" t="s">
        <v>340</v>
      </c>
    </row>
    <row r="13" spans="1:22" x14ac:dyDescent="0.25">
      <c r="N13" s="37" t="s">
        <v>185</v>
      </c>
    </row>
    <row r="14" spans="1:22" x14ac:dyDescent="0.25">
      <c r="N14" t="s">
        <v>67</v>
      </c>
      <c r="O14" t="s">
        <v>21</v>
      </c>
      <c r="P14" t="s">
        <v>140</v>
      </c>
      <c r="Q14" t="s">
        <v>13</v>
      </c>
      <c r="V14" t="s">
        <v>337</v>
      </c>
    </row>
    <row r="15" spans="1:22" x14ac:dyDescent="0.25">
      <c r="N15" t="s">
        <v>67</v>
      </c>
      <c r="O15" t="s">
        <v>21</v>
      </c>
      <c r="P15" t="s">
        <v>123</v>
      </c>
      <c r="Q15" t="s">
        <v>13</v>
      </c>
      <c r="V15" t="s">
        <v>338</v>
      </c>
    </row>
    <row r="16" spans="1:22" x14ac:dyDescent="0.25">
      <c r="N16" t="s">
        <v>24</v>
      </c>
      <c r="V16" t="s">
        <v>341</v>
      </c>
    </row>
    <row r="17" spans="14:22" x14ac:dyDescent="0.25">
      <c r="N17" t="s">
        <v>15</v>
      </c>
      <c r="V17" t="s">
        <v>341</v>
      </c>
    </row>
    <row r="20" spans="14:22" x14ac:dyDescent="0.25">
      <c r="N20" t="s">
        <v>339</v>
      </c>
    </row>
    <row r="26" spans="14:22" x14ac:dyDescent="0.25">
      <c r="N26" t="s">
        <v>212</v>
      </c>
      <c r="O26" t="s">
        <v>48</v>
      </c>
    </row>
    <row r="27" spans="14:22" x14ac:dyDescent="0.25">
      <c r="N27" t="s">
        <v>211</v>
      </c>
      <c r="O27" t="s">
        <v>50</v>
      </c>
    </row>
  </sheetData>
  <autoFilter ref="A1:V27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2:O162"/>
  <sheetViews>
    <sheetView tabSelected="1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165" sqref="D165"/>
    </sheetView>
  </sheetViews>
  <sheetFormatPr defaultColWidth="16.28515625" defaultRowHeight="15.75" x14ac:dyDescent="0.25"/>
  <cols>
    <col min="1" max="1" width="26.42578125" style="1" customWidth="1"/>
    <col min="2" max="2" width="32.85546875" style="1" customWidth="1"/>
    <col min="3" max="3" width="40" style="1" customWidth="1"/>
    <col min="4" max="4" width="17" style="2" customWidth="1"/>
    <col min="5" max="5" width="12.28515625" style="2" bestFit="1" customWidth="1"/>
    <col min="6" max="6" width="16.85546875" style="1" customWidth="1"/>
    <col min="7" max="7" width="24.7109375" style="32" bestFit="1" customWidth="1"/>
    <col min="8" max="8" width="16" style="6" customWidth="1"/>
    <col min="9" max="9" width="17.140625" style="63" bestFit="1" customWidth="1"/>
    <col min="10" max="10" width="16.28515625" style="4" hidden="1" customWidth="1"/>
    <col min="11" max="11" width="24.28515625" style="4" hidden="1" customWidth="1"/>
    <col min="12" max="12" width="20.85546875" style="1" customWidth="1"/>
    <col min="13" max="13" width="23.85546875" style="1" customWidth="1"/>
    <col min="14" max="14" width="23.7109375" style="1" customWidth="1"/>
    <col min="15" max="15" width="19.28515625" style="36" bestFit="1" customWidth="1"/>
    <col min="16" max="16384" width="16.28515625" style="1"/>
  </cols>
  <sheetData>
    <row r="2" spans="1:15" ht="23.25" x14ac:dyDescent="0.35">
      <c r="A2" s="19" t="str">
        <f ca="1">"MONTHLY BUDGET TH "&amp;YEAR(TODAY())</f>
        <v>MONTHLY BUDGET TH 2024</v>
      </c>
      <c r="B2" s="8"/>
      <c r="C2" s="8"/>
      <c r="D2" s="8"/>
      <c r="E2" s="8"/>
      <c r="F2" s="28"/>
      <c r="G2" s="31"/>
      <c r="H2" s="61"/>
      <c r="I2" s="62"/>
      <c r="J2" s="34"/>
      <c r="K2" s="34"/>
      <c r="L2" s="8"/>
      <c r="M2" s="8"/>
      <c r="N2" s="8"/>
    </row>
    <row r="3" spans="1:15" ht="5.25" customHeight="1" x14ac:dyDescent="0.25"/>
    <row r="4" spans="1:15" ht="6.75" customHeight="1" x14ac:dyDescent="0.25">
      <c r="G4" s="33"/>
      <c r="H4" s="6" t="s">
        <v>214</v>
      </c>
      <c r="I4" s="64"/>
    </row>
    <row r="5" spans="1:15" s="5" customFormat="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30" t="s">
        <v>6</v>
      </c>
      <c r="H5" s="11" t="s">
        <v>7</v>
      </c>
      <c r="I5" s="65" t="s">
        <v>193</v>
      </c>
      <c r="J5" s="12" t="s">
        <v>8</v>
      </c>
      <c r="K5" s="12" t="s">
        <v>9</v>
      </c>
      <c r="L5" s="13" t="s">
        <v>176</v>
      </c>
      <c r="M5" s="13" t="s">
        <v>319</v>
      </c>
      <c r="N5" s="13" t="s">
        <v>320</v>
      </c>
      <c r="O5" s="12" t="s">
        <v>336</v>
      </c>
    </row>
    <row r="6" spans="1:15" hidden="1" x14ac:dyDescent="0.25">
      <c r="A6" s="1" t="s">
        <v>10</v>
      </c>
      <c r="B6" s="35" t="s">
        <v>11</v>
      </c>
      <c r="C6" s="1" t="s">
        <v>12</v>
      </c>
      <c r="D6" s="2" t="s">
        <v>13</v>
      </c>
      <c r="E6" s="2" t="s">
        <v>14</v>
      </c>
      <c r="G6" s="32">
        <v>10000</v>
      </c>
      <c r="H6" s="6">
        <v>8590.3700000000008</v>
      </c>
      <c r="I6" s="63">
        <f t="shared" ref="I6:I35" si="0">G6-H6</f>
        <v>1409.6299999999992</v>
      </c>
      <c r="J6" s="4">
        <f>G6/VLOOKUP(A6,RESUME!$G$3:$I$10,3,FALSE)</f>
        <v>0.14728026373771388</v>
      </c>
      <c r="K6" s="4">
        <f t="shared" ref="K6:K35" si="1">IFERROR((G6/H6)*J6,"")</f>
        <v>0.17144810262854088</v>
      </c>
      <c r="L6" s="1" t="str">
        <f>_xlfn.IFNA(VLOOKUP(A6&amp;"-"&amp;B6&amp;"-"&amp;D6,Ref_Account!$A:$F,6,FALSE),"ACCOUNT TIDAK DITEMUKAN")</f>
        <v>1201.720400</v>
      </c>
      <c r="N6" s="1">
        <f>IF(L6="ACCOUNT TIDAK DITEMUKAN","9999",COUNTIF($L$6:$L$162,L6))</f>
        <v>1</v>
      </c>
      <c r="O6" s="36" t="str">
        <f t="shared" ref="O6:O35" si="2">IF(I6&gt;0,"OK","OVER")</f>
        <v>OK</v>
      </c>
    </row>
    <row r="7" spans="1:15" hidden="1" x14ac:dyDescent="0.25">
      <c r="A7" s="1" t="s">
        <v>10</v>
      </c>
      <c r="B7" s="35" t="s">
        <v>11</v>
      </c>
      <c r="C7" s="1" t="s">
        <v>12</v>
      </c>
      <c r="D7" s="2" t="s">
        <v>15</v>
      </c>
      <c r="E7" s="2" t="s">
        <v>16</v>
      </c>
      <c r="G7" s="32">
        <v>10000</v>
      </c>
      <c r="H7" s="6">
        <v>3143.46</v>
      </c>
      <c r="I7" s="63">
        <f t="shared" si="0"/>
        <v>6856.54</v>
      </c>
      <c r="J7" s="4">
        <f>G7/VLOOKUP(A7,RESUME!$G$3:$I$10,3,FALSE)</f>
        <v>0.14728026373771388</v>
      </c>
      <c r="K7" s="4">
        <f t="shared" si="1"/>
        <v>0.46852914857422673</v>
      </c>
      <c r="L7" s="1" t="str">
        <f>_xlfn.IFNA(VLOOKUP(A7&amp;"-"&amp;B7&amp;"-"&amp;D7,Ref_Account!$A:$F,6,FALSE),"ACCOUNT TIDAK DITEMUKAN")</f>
        <v>1204.720400</v>
      </c>
      <c r="N7" s="1">
        <f>IF(L7="ACCOUNT TIDAK DITEMUKAN","9999",COUNTIF($L$6:$L$162,L7))</f>
        <v>1</v>
      </c>
      <c r="O7" s="36" t="str">
        <f t="shared" si="2"/>
        <v>OK</v>
      </c>
    </row>
    <row r="8" spans="1:15" hidden="1" x14ac:dyDescent="0.25">
      <c r="A8" s="1" t="s">
        <v>10</v>
      </c>
      <c r="B8" s="35" t="s">
        <v>17</v>
      </c>
      <c r="C8" s="1" t="s">
        <v>18</v>
      </c>
      <c r="D8" s="2" t="s">
        <v>13</v>
      </c>
      <c r="E8" s="2" t="s">
        <v>19</v>
      </c>
      <c r="G8" s="32">
        <v>1987.05</v>
      </c>
      <c r="I8" s="63">
        <f t="shared" si="0"/>
        <v>1987.05</v>
      </c>
      <c r="J8" s="4">
        <f>G8/VLOOKUP(A8,RESUME!$G$3:$I$10,3,FALSE)</f>
        <v>2.9265324806002437E-2</v>
      </c>
      <c r="K8" s="4" t="str">
        <f t="shared" si="1"/>
        <v/>
      </c>
      <c r="L8" s="1" t="str">
        <f>_xlfn.IFNA(VLOOKUP(A8&amp;"-"&amp;B8&amp;"-"&amp;D8,Ref_Account!$A:$F,6,FALSE),"ACCOUNT TIDAK DITEMUKAN")</f>
        <v>1201.816110</v>
      </c>
      <c r="N8" s="1">
        <f>IF(L8="ACCOUNT TIDAK DITEMUKAN","9999",COUNTIF($L$6:$L$162,L8))</f>
        <v>1</v>
      </c>
      <c r="O8" s="36" t="str">
        <f t="shared" si="2"/>
        <v>OK</v>
      </c>
    </row>
    <row r="9" spans="1:15" hidden="1" x14ac:dyDescent="0.25">
      <c r="A9" s="1" t="s">
        <v>10</v>
      </c>
      <c r="B9" s="35" t="s">
        <v>17</v>
      </c>
      <c r="C9" s="1" t="s">
        <v>18</v>
      </c>
      <c r="D9" s="2" t="s">
        <v>15</v>
      </c>
      <c r="E9" s="2" t="s">
        <v>20</v>
      </c>
      <c r="G9" s="32">
        <v>326</v>
      </c>
      <c r="H9" s="6">
        <v>394.88</v>
      </c>
      <c r="I9" s="66">
        <f t="shared" si="0"/>
        <v>-68.88</v>
      </c>
      <c r="J9" s="4">
        <f>G9/VLOOKUP(A9,RESUME!$G$3:$I$10,3,FALSE)</f>
        <v>4.8013365978494729E-3</v>
      </c>
      <c r="K9" s="4">
        <f t="shared" si="1"/>
        <v>3.9638263039377232E-3</v>
      </c>
      <c r="L9" s="1" t="str">
        <f>_xlfn.IFNA(VLOOKUP(A9&amp;"-"&amp;B9&amp;"-"&amp;D9,Ref_Account!$A:$F,6,FALSE),"ACCOUNT TIDAK DITEMUKAN")</f>
        <v>1204.816110</v>
      </c>
      <c r="N9" s="1">
        <f>IF(L9="ACCOUNT TIDAK DITEMUKAN","9999",COUNTIF($L$6:$L$162,L9))</f>
        <v>1</v>
      </c>
      <c r="O9" s="70" t="str">
        <f t="shared" si="2"/>
        <v>OVER</v>
      </c>
    </row>
    <row r="10" spans="1:15" hidden="1" x14ac:dyDescent="0.25">
      <c r="A10" s="1" t="s">
        <v>10</v>
      </c>
      <c r="B10" s="35" t="s">
        <v>21</v>
      </c>
      <c r="C10" s="1" t="s">
        <v>22</v>
      </c>
      <c r="D10" s="2" t="s">
        <v>13</v>
      </c>
      <c r="E10" s="2" t="s">
        <v>23</v>
      </c>
      <c r="G10" s="32">
        <v>15015.099999999999</v>
      </c>
      <c r="H10" s="6">
        <v>5694.9699999999975</v>
      </c>
      <c r="I10" s="67">
        <f t="shared" si="0"/>
        <v>9320.130000000001</v>
      </c>
      <c r="J10" s="4">
        <f>G10/VLOOKUP(A10,RESUME!$G$3:$I$10,3,FALSE)</f>
        <v>0.22114278880481478</v>
      </c>
      <c r="K10" s="4">
        <f t="shared" si="1"/>
        <v>0.5830550623064169</v>
      </c>
      <c r="L10" s="1" t="str">
        <f>_xlfn.IFNA(VLOOKUP(A10&amp;"-"&amp;B10&amp;"-"&amp;D10,Ref_Account!$A:$F,6,FALSE),"ACCOUNT TIDAK DITEMUKAN")</f>
        <v>1201.631100</v>
      </c>
      <c r="N10" s="1">
        <f>IF(L10="ACCOUNT TIDAK DITEMUKAN","9999",COUNTIF($L$6:$L$162,L10))</f>
        <v>3</v>
      </c>
      <c r="O10" s="36" t="str">
        <f t="shared" si="2"/>
        <v>OK</v>
      </c>
    </row>
    <row r="11" spans="1:15" hidden="1" x14ac:dyDescent="0.25">
      <c r="A11" s="1" t="s">
        <v>10</v>
      </c>
      <c r="B11" s="35" t="s">
        <v>21</v>
      </c>
      <c r="C11" s="1" t="s">
        <v>22</v>
      </c>
      <c r="D11" s="2" t="s">
        <v>24</v>
      </c>
      <c r="E11" s="2" t="s">
        <v>25</v>
      </c>
      <c r="G11" s="32">
        <v>26.7199999999998</v>
      </c>
      <c r="H11" s="6">
        <v>475.78</v>
      </c>
      <c r="I11" s="66">
        <f t="shared" si="0"/>
        <v>-449.06000000000017</v>
      </c>
      <c r="J11" s="4">
        <f>G11/VLOOKUP(A11,RESUME!$G$3:$I$10,3,FALSE)</f>
        <v>3.9353286470716859E-4</v>
      </c>
      <c r="K11" s="4">
        <f t="shared" si="1"/>
        <v>2.210096713812154E-5</v>
      </c>
      <c r="L11" s="1" t="str">
        <f>_xlfn.IFNA(VLOOKUP(A11&amp;"-"&amp;B11&amp;"-"&amp;D11,Ref_Account!$A:$F,6,FALSE),"ACCOUNT TIDAK DITEMUKAN")</f>
        <v>1205.631100</v>
      </c>
      <c r="N11" s="1">
        <f>IF(L11="ACCOUNT TIDAK DITEMUKAN","9999",COUNTIF($L$6:$L$162,L11))</f>
        <v>3</v>
      </c>
      <c r="O11" s="36" t="str">
        <f t="shared" si="2"/>
        <v>OVER</v>
      </c>
    </row>
    <row r="12" spans="1:15" hidden="1" x14ac:dyDescent="0.25">
      <c r="A12" s="1" t="s">
        <v>10</v>
      </c>
      <c r="B12" s="35" t="s">
        <v>21</v>
      </c>
      <c r="C12" s="1" t="s">
        <v>22</v>
      </c>
      <c r="D12" s="2" t="s">
        <v>15</v>
      </c>
      <c r="E12" s="2" t="s">
        <v>25</v>
      </c>
      <c r="G12" s="32">
        <v>15124.89</v>
      </c>
      <c r="H12" s="6">
        <v>1394454.02</v>
      </c>
      <c r="I12" s="66">
        <f t="shared" si="0"/>
        <v>-1379329.1300000001</v>
      </c>
      <c r="J12" s="4">
        <f>G12/VLOOKUP(A12,RESUME!$G$3:$I$10,3,FALSE)</f>
        <v>0.22275977882039114</v>
      </c>
      <c r="K12" s="4">
        <f t="shared" si="1"/>
        <v>2.4161550705578271E-3</v>
      </c>
      <c r="L12" s="1" t="str">
        <f>_xlfn.IFNA(VLOOKUP(A12&amp;"-"&amp;B12&amp;"-"&amp;D12,Ref_Account!$A:$F,6,FALSE),"ACCOUNT TIDAK DITEMUKAN")</f>
        <v>1204.631100</v>
      </c>
      <c r="N12" s="1">
        <f>IF(L12="ACCOUNT TIDAK DITEMUKAN","9999",COUNTIF($L$6:$L$162,L12))</f>
        <v>3</v>
      </c>
      <c r="O12" s="36" t="str">
        <f t="shared" si="2"/>
        <v>OVER</v>
      </c>
    </row>
    <row r="13" spans="1:15" hidden="1" x14ac:dyDescent="0.25">
      <c r="A13" s="1" t="s">
        <v>10</v>
      </c>
      <c r="B13" s="35" t="s">
        <v>26</v>
      </c>
      <c r="C13" s="1" t="s">
        <v>27</v>
      </c>
      <c r="D13" s="2" t="s">
        <v>13</v>
      </c>
      <c r="E13" s="2" t="s">
        <v>28</v>
      </c>
      <c r="G13" s="32">
        <v>639</v>
      </c>
      <c r="H13" s="6">
        <v>4.83</v>
      </c>
      <c r="I13" s="67">
        <f t="shared" si="0"/>
        <v>634.16999999999996</v>
      </c>
      <c r="J13" s="4">
        <f>G13/VLOOKUP(A13,RESUME!$G$3:$I$10,3,FALSE)</f>
        <v>9.4112088528399175E-3</v>
      </c>
      <c r="K13" s="4">
        <f t="shared" si="1"/>
        <v>1.2450853948167095</v>
      </c>
      <c r="L13" s="1" t="str">
        <f>_xlfn.IFNA(VLOOKUP(A13&amp;"-"&amp;B13&amp;"-"&amp;D13,Ref_Account!$A:$F,6,FALSE),"ACCOUNT TIDAK DITEMUKAN")</f>
        <v>1201.631180</v>
      </c>
      <c r="N13" s="1">
        <f>IF(L13="ACCOUNT TIDAK DITEMUKAN","9999",COUNTIF($L$6:$L$162,L13))</f>
        <v>1</v>
      </c>
      <c r="O13" s="36" t="str">
        <f t="shared" si="2"/>
        <v>OK</v>
      </c>
    </row>
    <row r="14" spans="1:15" hidden="1" x14ac:dyDescent="0.25">
      <c r="A14" s="1" t="s">
        <v>10</v>
      </c>
      <c r="B14" s="35" t="s">
        <v>26</v>
      </c>
      <c r="C14" s="1" t="s">
        <v>27</v>
      </c>
      <c r="D14" s="2" t="s">
        <v>24</v>
      </c>
      <c r="E14" s="2" t="s">
        <v>29</v>
      </c>
      <c r="G14" s="32">
        <v>1265</v>
      </c>
      <c r="H14" s="6">
        <v>598.58000000000004</v>
      </c>
      <c r="I14" s="67">
        <f t="shared" si="0"/>
        <v>666.42</v>
      </c>
      <c r="J14" s="4">
        <f>G14/VLOOKUP(A14,RESUME!$G$3:$I$10,3,FALSE)</f>
        <v>1.8630953362820807E-2</v>
      </c>
      <c r="K14" s="4">
        <f t="shared" si="1"/>
        <v>3.9373443823663201E-2</v>
      </c>
      <c r="L14" s="1" t="str">
        <f>_xlfn.IFNA(VLOOKUP(A14&amp;"-"&amp;B14&amp;"-"&amp;D14,Ref_Account!$A:$F,6,FALSE),"ACCOUNT TIDAK DITEMUKAN")</f>
        <v>1204.631180</v>
      </c>
      <c r="N14" s="1">
        <f>IF(L14="ACCOUNT TIDAK DITEMUKAN","9999",COUNTIF($L$6:$L$162,L14))</f>
        <v>1</v>
      </c>
      <c r="O14" s="69" t="str">
        <f t="shared" si="2"/>
        <v>OK</v>
      </c>
    </row>
    <row r="15" spans="1:15" hidden="1" x14ac:dyDescent="0.25">
      <c r="A15" s="1" t="s">
        <v>10</v>
      </c>
      <c r="B15" s="35" t="s">
        <v>26</v>
      </c>
      <c r="C15" s="1" t="s">
        <v>27</v>
      </c>
      <c r="D15" s="2" t="s">
        <v>15</v>
      </c>
      <c r="E15" s="2" t="s">
        <v>29</v>
      </c>
      <c r="G15" s="32">
        <v>2489</v>
      </c>
      <c r="H15" s="6">
        <v>217.48</v>
      </c>
      <c r="I15" s="63">
        <f t="shared" si="0"/>
        <v>2271.52</v>
      </c>
      <c r="J15" s="4">
        <f>G15/VLOOKUP(A15,RESUME!$G$3:$I$10,3,FALSE)</f>
        <v>3.6658057644316989E-2</v>
      </c>
      <c r="K15" s="4">
        <f t="shared" si="1"/>
        <v>0.41954159222321591</v>
      </c>
      <c r="L15" s="1" t="str">
        <f>_xlfn.IFNA(VLOOKUP(A15&amp;"-"&amp;B15&amp;"-"&amp;D15,Ref_Account!$A:$F,6,FALSE),"ACCOUNT TIDAK DITEMUKAN")</f>
        <v>1205.631180</v>
      </c>
      <c r="N15" s="1">
        <f>IF(L15="ACCOUNT TIDAK DITEMUKAN","9999",COUNTIF($L$6:$L$162,L15))</f>
        <v>1</v>
      </c>
      <c r="O15" s="36" t="str">
        <f t="shared" si="2"/>
        <v>OK</v>
      </c>
    </row>
    <row r="16" spans="1:15" hidden="1" x14ac:dyDescent="0.25">
      <c r="A16" s="1" t="s">
        <v>10</v>
      </c>
      <c r="B16" s="35" t="s">
        <v>30</v>
      </c>
      <c r="C16" s="1" t="s">
        <v>31</v>
      </c>
      <c r="D16" s="2" t="s">
        <v>13</v>
      </c>
      <c r="E16" s="2" t="s">
        <v>28</v>
      </c>
      <c r="G16" s="32">
        <v>1025</v>
      </c>
      <c r="I16" s="67">
        <f t="shared" si="0"/>
        <v>1025</v>
      </c>
      <c r="J16" s="4">
        <f>G16/VLOOKUP(A16,RESUME!$G$3:$I$10,3,FALSE)</f>
        <v>1.5096227033115674E-2</v>
      </c>
      <c r="K16" s="4" t="str">
        <f t="shared" si="1"/>
        <v/>
      </c>
      <c r="L16" s="1" t="str">
        <f>_xlfn.IFNA(VLOOKUP(A16&amp;"-"&amp;B16&amp;"-"&amp;D16,Ref_Account!$A:$F,6,FALSE),"ACCOUNT TIDAK DITEMUKAN")</f>
        <v>1201.631150</v>
      </c>
      <c r="N16" s="1">
        <f>IF(L16="ACCOUNT TIDAK DITEMUKAN","9999",COUNTIF($L$6:$L$162,L16))</f>
        <v>1</v>
      </c>
      <c r="O16" s="36" t="str">
        <f t="shared" si="2"/>
        <v>OK</v>
      </c>
    </row>
    <row r="17" spans="1:15" hidden="1" x14ac:dyDescent="0.25">
      <c r="A17" s="1" t="s">
        <v>10</v>
      </c>
      <c r="B17" s="35" t="s">
        <v>32</v>
      </c>
      <c r="C17" s="1" t="s">
        <v>33</v>
      </c>
      <c r="D17" s="2" t="s">
        <v>13</v>
      </c>
      <c r="E17" s="2" t="s">
        <v>34</v>
      </c>
      <c r="G17" s="32">
        <v>8000</v>
      </c>
      <c r="H17" s="6">
        <v>669.9</v>
      </c>
      <c r="I17" s="63">
        <f t="shared" si="0"/>
        <v>7330.1</v>
      </c>
      <c r="J17" s="4">
        <f>G17/VLOOKUP(A17,RESUME!$G$3:$I$10,3,FALSE)</f>
        <v>0.11782421099017111</v>
      </c>
      <c r="K17" s="4">
        <f t="shared" si="1"/>
        <v>1.4070662605185387</v>
      </c>
      <c r="L17" s="1" t="str">
        <f>_xlfn.IFNA(VLOOKUP(A17&amp;"-"&amp;B17&amp;"-"&amp;D17,Ref_Account!$A:$F,6,FALSE),"ACCOUNT TIDAK DITEMUKAN")</f>
        <v>1201.720100</v>
      </c>
      <c r="N17" s="1">
        <f>IF(L17="ACCOUNT TIDAK DITEMUKAN","9999",COUNTIF($L$6:$L$162,L17))</f>
        <v>1</v>
      </c>
      <c r="O17" s="36" t="str">
        <f t="shared" si="2"/>
        <v>OK</v>
      </c>
    </row>
    <row r="18" spans="1:15" hidden="1" x14ac:dyDescent="0.25">
      <c r="A18" s="1" t="s">
        <v>10</v>
      </c>
      <c r="B18" s="35" t="s">
        <v>32</v>
      </c>
      <c r="C18" s="1" t="s">
        <v>33</v>
      </c>
      <c r="D18" s="2" t="s">
        <v>24</v>
      </c>
      <c r="E18" s="2" t="s">
        <v>34</v>
      </c>
      <c r="G18" s="32">
        <v>1000</v>
      </c>
      <c r="H18" s="6">
        <v>2590.0100000000002</v>
      </c>
      <c r="I18" s="66">
        <f t="shared" si="0"/>
        <v>-1590.0100000000002</v>
      </c>
      <c r="J18" s="4">
        <f>G18/VLOOKUP(A18,RESUME!$G$3:$I$10,3,FALSE)</f>
        <v>1.4728026373771389E-2</v>
      </c>
      <c r="K18" s="4">
        <f t="shared" si="1"/>
        <v>5.6864747139089757E-3</v>
      </c>
      <c r="L18" s="1" t="str">
        <f>_xlfn.IFNA(VLOOKUP(A18&amp;"-"&amp;B18&amp;"-"&amp;D18,Ref_Account!$A:$F,6,FALSE),"ACCOUNT TIDAK DITEMUKAN")</f>
        <v>1205.720100</v>
      </c>
      <c r="N18" s="1">
        <f>IF(L18="ACCOUNT TIDAK DITEMUKAN","9999",COUNTIF($L$6:$L$162,L18))</f>
        <v>1</v>
      </c>
      <c r="O18" s="36" t="str">
        <f t="shared" si="2"/>
        <v>OVER</v>
      </c>
    </row>
    <row r="19" spans="1:15" hidden="1" x14ac:dyDescent="0.25">
      <c r="A19" s="1" t="s">
        <v>10</v>
      </c>
      <c r="B19" s="35" t="s">
        <v>32</v>
      </c>
      <c r="C19" s="1" t="s">
        <v>33</v>
      </c>
      <c r="D19" s="2" t="s">
        <v>15</v>
      </c>
      <c r="E19" s="2" t="s">
        <v>34</v>
      </c>
      <c r="G19" s="32">
        <v>1000</v>
      </c>
      <c r="I19" s="63">
        <f t="shared" si="0"/>
        <v>1000</v>
      </c>
      <c r="J19" s="4">
        <f>G19/VLOOKUP(A19,RESUME!$G$3:$I$10,3,FALSE)</f>
        <v>1.4728026373771389E-2</v>
      </c>
      <c r="K19" s="4" t="str">
        <f t="shared" si="1"/>
        <v/>
      </c>
      <c r="L19" s="1" t="str">
        <f>_xlfn.IFNA(VLOOKUP(A19&amp;"-"&amp;B19&amp;"-"&amp;D19,Ref_Account!$A:$F,6,FALSE),"ACCOUNT TIDAK DITEMUKAN")</f>
        <v>1204.720100</v>
      </c>
      <c r="N19" s="1">
        <f>IF(L19="ACCOUNT TIDAK DITEMUKAN","9999",COUNTIF($L$6:$L$162,L19))</f>
        <v>1</v>
      </c>
      <c r="O19" s="36" t="str">
        <f t="shared" si="2"/>
        <v>OK</v>
      </c>
    </row>
    <row r="20" spans="1:15" x14ac:dyDescent="0.25">
      <c r="A20" s="1" t="s">
        <v>36</v>
      </c>
      <c r="B20" s="35" t="s">
        <v>37</v>
      </c>
      <c r="C20" s="1" t="s">
        <v>38</v>
      </c>
      <c r="D20" s="2" t="s">
        <v>13</v>
      </c>
      <c r="E20" s="2" t="s">
        <v>39</v>
      </c>
      <c r="G20" s="32">
        <v>151561</v>
      </c>
      <c r="I20" s="63">
        <f t="shared" si="0"/>
        <v>151561</v>
      </c>
      <c r="J20" s="4">
        <f>G20/VLOOKUP(A20,RESUME!$G$3:$I$10,3,FALSE)</f>
        <v>0.65619333139484248</v>
      </c>
      <c r="K20" s="4" t="str">
        <f t="shared" si="1"/>
        <v/>
      </c>
      <c r="L20" s="1" t="str">
        <f>_xlfn.IFNA(VLOOKUP(A20&amp;"-"&amp;B20&amp;"-"&amp;D20,Ref_Account!$A:$F,6,FALSE),"ACCOUNT TIDAK DITEMUKAN")</f>
        <v>1201.630600</v>
      </c>
      <c r="N20" s="1">
        <f>IF(L20="ACCOUNT TIDAK DITEMUKAN","9999",COUNTIF($L$6:$L$162,L20))</f>
        <v>2</v>
      </c>
      <c r="O20" s="36" t="str">
        <f t="shared" si="2"/>
        <v>OK</v>
      </c>
    </row>
    <row r="21" spans="1:15" x14ac:dyDescent="0.25">
      <c r="A21" s="1" t="s">
        <v>36</v>
      </c>
      <c r="B21" s="35" t="s">
        <v>37</v>
      </c>
      <c r="C21" s="1" t="s">
        <v>38</v>
      </c>
      <c r="D21" s="2" t="s">
        <v>24</v>
      </c>
      <c r="E21" s="2" t="s">
        <v>39</v>
      </c>
      <c r="G21" s="32">
        <v>26883.15</v>
      </c>
      <c r="I21" s="63">
        <f t="shared" si="0"/>
        <v>26883.15</v>
      </c>
      <c r="J21" s="4">
        <f>G21/VLOOKUP(A21,RESUME!$G$3:$I$10,3,FALSE)</f>
        <v>0.11639236846475848</v>
      </c>
      <c r="K21" s="4" t="str">
        <f t="shared" si="1"/>
        <v/>
      </c>
      <c r="L21" s="1" t="str">
        <f>_xlfn.IFNA(VLOOKUP(A21&amp;"-"&amp;B21&amp;"-"&amp;D21,Ref_Account!$A:$F,6,FALSE),"ACCOUNT TIDAK DITEMUKAN")</f>
        <v>1205.630600</v>
      </c>
      <c r="N21" s="1">
        <f>IF(L21="ACCOUNT TIDAK DITEMUKAN","9999",COUNTIF($L$6:$L$162,L21))</f>
        <v>2</v>
      </c>
      <c r="O21" s="36" t="str">
        <f t="shared" si="2"/>
        <v>OK</v>
      </c>
    </row>
    <row r="22" spans="1:15" x14ac:dyDescent="0.25">
      <c r="A22" s="1" t="s">
        <v>36</v>
      </c>
      <c r="B22" s="35" t="s">
        <v>37</v>
      </c>
      <c r="C22" s="1" t="s">
        <v>38</v>
      </c>
      <c r="D22" s="2" t="s">
        <v>15</v>
      </c>
      <c r="E22" s="2" t="s">
        <v>40</v>
      </c>
      <c r="G22" s="32">
        <v>32525.89</v>
      </c>
      <c r="I22" s="63">
        <f t="shared" si="0"/>
        <v>32525.89</v>
      </c>
      <c r="J22" s="4">
        <f>G22/VLOOKUP(A22,RESUME!$G$3:$I$10,3,FALSE)</f>
        <v>0.14082298292886819</v>
      </c>
      <c r="K22" s="4" t="str">
        <f t="shared" si="1"/>
        <v/>
      </c>
      <c r="L22" s="1" t="str">
        <f>_xlfn.IFNA(VLOOKUP(A22&amp;"-"&amp;B22&amp;"-"&amp;D22,Ref_Account!$A:$F,6,FALSE),"ACCOUNT TIDAK DITEMUKAN")</f>
        <v>1204.630600</v>
      </c>
      <c r="N22" s="1">
        <f>IF(L22="ACCOUNT TIDAK DITEMUKAN","9999",COUNTIF($L$6:$L$162,L22))</f>
        <v>2</v>
      </c>
      <c r="O22" s="36" t="str">
        <f t="shared" si="2"/>
        <v>OK</v>
      </c>
    </row>
    <row r="23" spans="1:15" x14ac:dyDescent="0.25">
      <c r="A23" s="1" t="s">
        <v>36</v>
      </c>
      <c r="B23" s="35" t="s">
        <v>37</v>
      </c>
      <c r="C23" s="1" t="s">
        <v>41</v>
      </c>
      <c r="D23" s="2" t="s">
        <v>13</v>
      </c>
      <c r="E23" s="2" t="s">
        <v>42</v>
      </c>
      <c r="G23" s="32">
        <v>5000</v>
      </c>
      <c r="I23" s="63">
        <f t="shared" si="0"/>
        <v>5000</v>
      </c>
      <c r="J23" s="4">
        <f>G23/VLOOKUP(A23,RESUME!$G$3:$I$10,3,FALSE)</f>
        <v>2.1647829302882747E-2</v>
      </c>
      <c r="K23" s="4" t="str">
        <f t="shared" si="1"/>
        <v/>
      </c>
      <c r="L23" s="1" t="str">
        <f>_xlfn.IFNA(VLOOKUP(A23&amp;"-"&amp;B23&amp;"-"&amp;D23,Ref_Account!$A:$F,6,FALSE),"ACCOUNT TIDAK DITEMUKAN")</f>
        <v>1201.630600</v>
      </c>
      <c r="N23" s="1">
        <f>IF(L23="ACCOUNT TIDAK DITEMUKAN","9999",COUNTIF($L$6:$L$162,L23))</f>
        <v>2</v>
      </c>
      <c r="O23" s="36" t="str">
        <f t="shared" si="2"/>
        <v>OK</v>
      </c>
    </row>
    <row r="24" spans="1:15" x14ac:dyDescent="0.25">
      <c r="A24" s="1" t="s">
        <v>36</v>
      </c>
      <c r="B24" s="35" t="s">
        <v>37</v>
      </c>
      <c r="C24" s="1" t="s">
        <v>38</v>
      </c>
      <c r="D24" s="2" t="s">
        <v>24</v>
      </c>
      <c r="E24" s="2" t="s">
        <v>43</v>
      </c>
      <c r="G24" s="32">
        <v>7500</v>
      </c>
      <c r="I24" s="63">
        <f t="shared" si="0"/>
        <v>7500</v>
      </c>
      <c r="J24" s="4">
        <f>G24/VLOOKUP(A24,RESUME!$G$3:$I$10,3,FALSE)</f>
        <v>3.2471743954324124E-2</v>
      </c>
      <c r="K24" s="4" t="str">
        <f t="shared" si="1"/>
        <v/>
      </c>
      <c r="L24" s="1" t="str">
        <f>_xlfn.IFNA(VLOOKUP(A24&amp;"-"&amp;B24&amp;"-"&amp;D24,Ref_Account!$A:$F,6,FALSE),"ACCOUNT TIDAK DITEMUKAN")</f>
        <v>1205.630600</v>
      </c>
      <c r="N24" s="1">
        <f>IF(L24="ACCOUNT TIDAK DITEMUKAN","9999",COUNTIF($L$6:$L$162,L24))</f>
        <v>2</v>
      </c>
      <c r="O24" s="36" t="str">
        <f t="shared" si="2"/>
        <v>OK</v>
      </c>
    </row>
    <row r="25" spans="1:15" x14ac:dyDescent="0.25">
      <c r="A25" s="1" t="s">
        <v>36</v>
      </c>
      <c r="B25" s="35" t="s">
        <v>37</v>
      </c>
      <c r="C25" s="1" t="s">
        <v>38</v>
      </c>
      <c r="D25" s="2" t="s">
        <v>15</v>
      </c>
      <c r="E25" s="2" t="s">
        <v>42</v>
      </c>
      <c r="G25" s="32">
        <v>7500</v>
      </c>
      <c r="I25" s="63">
        <f t="shared" si="0"/>
        <v>7500</v>
      </c>
      <c r="J25" s="4">
        <f>G25/VLOOKUP(A25,RESUME!$G$3:$I$10,3,FALSE)</f>
        <v>3.2471743954324124E-2</v>
      </c>
      <c r="K25" s="4" t="str">
        <f t="shared" si="1"/>
        <v/>
      </c>
      <c r="L25" s="1" t="str">
        <f>_xlfn.IFNA(VLOOKUP(A25&amp;"-"&amp;B25&amp;"-"&amp;D25,Ref_Account!$A:$F,6,FALSE),"ACCOUNT TIDAK DITEMUKAN")</f>
        <v>1204.630600</v>
      </c>
      <c r="N25" s="1">
        <f>IF(L25="ACCOUNT TIDAK DITEMUKAN","9999",COUNTIF($L$6:$L$162,L25))</f>
        <v>2</v>
      </c>
      <c r="O25" s="36" t="str">
        <f t="shared" si="2"/>
        <v>OK</v>
      </c>
    </row>
    <row r="26" spans="1:15" hidden="1" x14ac:dyDescent="0.25">
      <c r="A26" s="1" t="s">
        <v>44</v>
      </c>
      <c r="B26" s="35" t="s">
        <v>46</v>
      </c>
      <c r="C26" s="1" t="s">
        <v>47</v>
      </c>
      <c r="D26" s="2" t="s">
        <v>13</v>
      </c>
      <c r="E26" s="2" t="s">
        <v>48</v>
      </c>
      <c r="F26" s="1" t="s">
        <v>49</v>
      </c>
      <c r="G26" s="32">
        <v>450</v>
      </c>
      <c r="I26" s="63">
        <f t="shared" si="0"/>
        <v>450</v>
      </c>
      <c r="J26" s="4">
        <f>G26/VLOOKUP(A26,RESUME!$G$3:$I$10,3,FALSE)</f>
        <v>5.2941176470588235E-2</v>
      </c>
      <c r="K26" s="4" t="str">
        <f t="shared" si="1"/>
        <v/>
      </c>
      <c r="L26" s="1" t="str">
        <f>_xlfn.IFNA(VLOOKUP(A26&amp;"-"&amp;B26&amp;"-"&amp;D26,Ref_Account!$A:$F,6,FALSE),"ACCOUNT TIDAK DITEMUKAN")</f>
        <v>1201.730300</v>
      </c>
      <c r="N26" s="1">
        <f>IF(L26="ACCOUNT TIDAK DITEMUKAN","9999",COUNTIF($L$6:$L$162,L26))</f>
        <v>5</v>
      </c>
      <c r="O26" s="36" t="str">
        <f t="shared" si="2"/>
        <v>OK</v>
      </c>
    </row>
    <row r="27" spans="1:15" hidden="1" x14ac:dyDescent="0.25">
      <c r="A27" s="1" t="s">
        <v>44</v>
      </c>
      <c r="B27" s="35" t="s">
        <v>46</v>
      </c>
      <c r="C27" s="1" t="s">
        <v>47</v>
      </c>
      <c r="D27" s="2" t="s">
        <v>13</v>
      </c>
      <c r="E27" s="2" t="s">
        <v>50</v>
      </c>
      <c r="F27" s="1" t="s">
        <v>51</v>
      </c>
      <c r="G27" s="32">
        <v>450</v>
      </c>
      <c r="I27" s="63">
        <f t="shared" si="0"/>
        <v>450</v>
      </c>
      <c r="J27" s="4">
        <f>G27/VLOOKUP(A27,RESUME!$G$3:$I$10,3,FALSE)</f>
        <v>5.2941176470588235E-2</v>
      </c>
      <c r="K27" s="4" t="str">
        <f t="shared" si="1"/>
        <v/>
      </c>
      <c r="L27" s="1" t="str">
        <f>_xlfn.IFNA(VLOOKUP(A27&amp;"-"&amp;B27&amp;"-"&amp;D27,Ref_Account!$A:$F,6,FALSE),"ACCOUNT TIDAK DITEMUKAN")</f>
        <v>1201.730300</v>
      </c>
      <c r="N27" s="1">
        <f>IF(L27="ACCOUNT TIDAK DITEMUKAN","9999",COUNTIF($L$6:$L$162,L27))</f>
        <v>5</v>
      </c>
      <c r="O27" s="36" t="str">
        <f t="shared" si="2"/>
        <v>OK</v>
      </c>
    </row>
    <row r="28" spans="1:15" hidden="1" x14ac:dyDescent="0.25">
      <c r="A28" s="1" t="s">
        <v>44</v>
      </c>
      <c r="B28" s="35" t="s">
        <v>46</v>
      </c>
      <c r="C28" s="1" t="s">
        <v>47</v>
      </c>
      <c r="D28" s="2" t="s">
        <v>13</v>
      </c>
      <c r="E28" s="2" t="s">
        <v>52</v>
      </c>
      <c r="F28" s="1" t="s">
        <v>53</v>
      </c>
      <c r="G28" s="32">
        <v>450</v>
      </c>
      <c r="I28" s="63">
        <f t="shared" si="0"/>
        <v>450</v>
      </c>
      <c r="J28" s="4">
        <f>G28/VLOOKUP(A28,RESUME!$G$3:$I$10,3,FALSE)</f>
        <v>5.2941176470588235E-2</v>
      </c>
      <c r="K28" s="4" t="str">
        <f t="shared" si="1"/>
        <v/>
      </c>
      <c r="L28" s="1" t="str">
        <f>_xlfn.IFNA(VLOOKUP(A28&amp;"-"&amp;B28&amp;"-"&amp;D28,Ref_Account!$A:$F,6,FALSE),"ACCOUNT TIDAK DITEMUKAN")</f>
        <v>1201.730300</v>
      </c>
      <c r="N28" s="1">
        <f>IF(L28="ACCOUNT TIDAK DITEMUKAN","9999",COUNTIF($L$6:$L$162,L28))</f>
        <v>5</v>
      </c>
      <c r="O28" s="36" t="str">
        <f t="shared" si="2"/>
        <v>OK</v>
      </c>
    </row>
    <row r="29" spans="1:15" hidden="1" x14ac:dyDescent="0.25">
      <c r="A29" s="1" t="s">
        <v>44</v>
      </c>
      <c r="B29" s="35" t="s">
        <v>46</v>
      </c>
      <c r="C29" s="1" t="s">
        <v>47</v>
      </c>
      <c r="D29" s="2" t="s">
        <v>13</v>
      </c>
      <c r="E29" s="2" t="s">
        <v>54</v>
      </c>
      <c r="F29" s="1" t="s">
        <v>55</v>
      </c>
      <c r="G29" s="32">
        <v>450</v>
      </c>
      <c r="I29" s="63">
        <f t="shared" si="0"/>
        <v>450</v>
      </c>
      <c r="J29" s="4">
        <f>G29/VLOOKUP(A29,RESUME!$G$3:$I$10,3,FALSE)</f>
        <v>5.2941176470588235E-2</v>
      </c>
      <c r="K29" s="4" t="str">
        <f t="shared" si="1"/>
        <v/>
      </c>
      <c r="L29" s="1" t="str">
        <f>_xlfn.IFNA(VLOOKUP(A29&amp;"-"&amp;B29&amp;"-"&amp;D29,Ref_Account!$A:$F,6,FALSE),"ACCOUNT TIDAK DITEMUKAN")</f>
        <v>1201.730300</v>
      </c>
      <c r="N29" s="1">
        <f>IF(L29="ACCOUNT TIDAK DITEMUKAN","9999",COUNTIF($L$6:$L$162,L29))</f>
        <v>5</v>
      </c>
      <c r="O29" s="36" t="str">
        <f t="shared" si="2"/>
        <v>OK</v>
      </c>
    </row>
    <row r="30" spans="1:15" x14ac:dyDescent="0.25">
      <c r="A30" s="1" t="s">
        <v>44</v>
      </c>
      <c r="B30" s="35" t="s">
        <v>56</v>
      </c>
      <c r="C30" s="1" t="s">
        <v>57</v>
      </c>
      <c r="D30" s="2" t="s">
        <v>13</v>
      </c>
      <c r="E30" s="2" t="s">
        <v>54</v>
      </c>
      <c r="F30" s="1" t="s">
        <v>58</v>
      </c>
      <c r="G30" s="32">
        <v>6300</v>
      </c>
      <c r="I30" s="63">
        <f t="shared" si="0"/>
        <v>6300</v>
      </c>
      <c r="J30" s="4">
        <f>G30/VLOOKUP(A30,RESUME!$G$3:$I$10,3,FALSE)</f>
        <v>0.74117647058823533</v>
      </c>
      <c r="K30" s="4" t="str">
        <f t="shared" si="1"/>
        <v/>
      </c>
      <c r="L30" s="1" t="str">
        <f>_xlfn.IFNA(VLOOKUP(A30&amp;"-"&amp;B30&amp;"-"&amp;D30,Ref_Account!$A:$F,6,FALSE),"ACCOUNT TIDAK DITEMUKAN")</f>
        <v>1201.730200</v>
      </c>
      <c r="N30" s="1">
        <f>IF(L30="ACCOUNT TIDAK DITEMUKAN","9999",COUNTIF($L$6:$L$162,L30))</f>
        <v>2</v>
      </c>
      <c r="O30" s="36" t="str">
        <f t="shared" si="2"/>
        <v>OK</v>
      </c>
    </row>
    <row r="31" spans="1:15" hidden="1" x14ac:dyDescent="0.25">
      <c r="A31" s="1" t="s">
        <v>44</v>
      </c>
      <c r="B31" s="35" t="s">
        <v>59</v>
      </c>
      <c r="C31" s="1" t="s">
        <v>60</v>
      </c>
      <c r="D31" s="2" t="s">
        <v>13</v>
      </c>
      <c r="E31" s="2" t="s">
        <v>48</v>
      </c>
      <c r="F31" s="1" t="s">
        <v>49</v>
      </c>
      <c r="G31" s="32">
        <v>100</v>
      </c>
      <c r="I31" s="63">
        <f t="shared" si="0"/>
        <v>100</v>
      </c>
      <c r="J31" s="4">
        <f>G31/VLOOKUP(A31,RESUME!$G$3:$I$10,3,FALSE)</f>
        <v>1.1764705882352941E-2</v>
      </c>
      <c r="K31" s="4" t="str">
        <f t="shared" si="1"/>
        <v/>
      </c>
      <c r="L31" s="1" t="str">
        <f>_xlfn.IFNA(VLOOKUP(A31&amp;"-"&amp;B31&amp;"-"&amp;D31,Ref_Account!$A:$F,6,FALSE),"ACCOUNT TIDAK DITEMUKAN")</f>
        <v>1201.710200</v>
      </c>
      <c r="N31" s="1">
        <f>IF(L31="ACCOUNT TIDAK DITEMUKAN","9999",COUNTIF($L$6:$L$162,L31))</f>
        <v>6</v>
      </c>
      <c r="O31" s="36" t="str">
        <f t="shared" si="2"/>
        <v>OK</v>
      </c>
    </row>
    <row r="32" spans="1:15" hidden="1" x14ac:dyDescent="0.25">
      <c r="A32" s="1" t="s">
        <v>44</v>
      </c>
      <c r="B32" s="35" t="s">
        <v>59</v>
      </c>
      <c r="C32" s="1" t="s">
        <v>60</v>
      </c>
      <c r="D32" s="2" t="s">
        <v>13</v>
      </c>
      <c r="E32" s="2" t="s">
        <v>50</v>
      </c>
      <c r="F32" s="1" t="s">
        <v>51</v>
      </c>
      <c r="G32" s="32">
        <v>100</v>
      </c>
      <c r="I32" s="63">
        <f t="shared" si="0"/>
        <v>100</v>
      </c>
      <c r="J32" s="4">
        <f>G32/VLOOKUP(A32,RESUME!$G$3:$I$10,3,FALSE)</f>
        <v>1.1764705882352941E-2</v>
      </c>
      <c r="K32" s="4" t="str">
        <f t="shared" si="1"/>
        <v/>
      </c>
      <c r="L32" s="1" t="str">
        <f>_xlfn.IFNA(VLOOKUP(A32&amp;"-"&amp;B32&amp;"-"&amp;D32,Ref_Account!$A:$F,6,FALSE),"ACCOUNT TIDAK DITEMUKAN")</f>
        <v>1201.710200</v>
      </c>
      <c r="N32" s="1">
        <f>IF(L32="ACCOUNT TIDAK DITEMUKAN","9999",COUNTIF($L$6:$L$162,L32))</f>
        <v>6</v>
      </c>
      <c r="O32" s="36" t="str">
        <f t="shared" si="2"/>
        <v>OK</v>
      </c>
    </row>
    <row r="33" spans="1:15" hidden="1" x14ac:dyDescent="0.25">
      <c r="A33" s="1" t="s">
        <v>44</v>
      </c>
      <c r="B33" s="35" t="s">
        <v>59</v>
      </c>
      <c r="C33" s="1" t="s">
        <v>60</v>
      </c>
      <c r="D33" s="2" t="s">
        <v>13</v>
      </c>
      <c r="E33" s="2" t="s">
        <v>52</v>
      </c>
      <c r="F33" s="1" t="s">
        <v>53</v>
      </c>
      <c r="G33" s="32">
        <v>100</v>
      </c>
      <c r="I33" s="63">
        <f t="shared" si="0"/>
        <v>100</v>
      </c>
      <c r="J33" s="4">
        <f>G33/VLOOKUP(A33,RESUME!$G$3:$I$10,3,FALSE)</f>
        <v>1.1764705882352941E-2</v>
      </c>
      <c r="K33" s="4" t="str">
        <f t="shared" si="1"/>
        <v/>
      </c>
      <c r="L33" s="1" t="str">
        <f>_xlfn.IFNA(VLOOKUP(A33&amp;"-"&amp;B33&amp;"-"&amp;D33,Ref_Account!$A:$F,6,FALSE),"ACCOUNT TIDAK DITEMUKAN")</f>
        <v>1201.710200</v>
      </c>
      <c r="N33" s="1">
        <f>IF(L33="ACCOUNT TIDAK DITEMUKAN","9999",COUNTIF($L$6:$L$162,L33))</f>
        <v>6</v>
      </c>
      <c r="O33" s="36" t="str">
        <f t="shared" si="2"/>
        <v>OK</v>
      </c>
    </row>
    <row r="34" spans="1:15" hidden="1" x14ac:dyDescent="0.25">
      <c r="A34" s="1" t="s">
        <v>44</v>
      </c>
      <c r="B34" s="35" t="s">
        <v>59</v>
      </c>
      <c r="C34" s="1" t="s">
        <v>60</v>
      </c>
      <c r="D34" s="2" t="s">
        <v>13</v>
      </c>
      <c r="E34" s="2" t="s">
        <v>54</v>
      </c>
      <c r="F34" s="1" t="s">
        <v>55</v>
      </c>
      <c r="G34" s="32">
        <v>100</v>
      </c>
      <c r="I34" s="63">
        <f t="shared" si="0"/>
        <v>100</v>
      </c>
      <c r="J34" s="4">
        <f>G34/VLOOKUP(A34,RESUME!$G$3:$I$10,3,FALSE)</f>
        <v>1.1764705882352941E-2</v>
      </c>
      <c r="K34" s="4" t="str">
        <f t="shared" si="1"/>
        <v/>
      </c>
      <c r="L34" s="1" t="str">
        <f>_xlfn.IFNA(VLOOKUP(A34&amp;"-"&amp;B34&amp;"-"&amp;D34,Ref_Account!$A:$F,6,FALSE),"ACCOUNT TIDAK DITEMUKAN")</f>
        <v>1201.710200</v>
      </c>
      <c r="N34" s="1">
        <f>IF(L34="ACCOUNT TIDAK DITEMUKAN","9999",COUNTIF($L$6:$L$162,L34))</f>
        <v>6</v>
      </c>
      <c r="O34" s="36" t="str">
        <f t="shared" si="2"/>
        <v>OK</v>
      </c>
    </row>
    <row r="35" spans="1:15" hidden="1" x14ac:dyDescent="0.25">
      <c r="A35" s="1" t="s">
        <v>316</v>
      </c>
      <c r="B35" s="35" t="s">
        <v>46</v>
      </c>
      <c r="C35" s="1" t="s">
        <v>47</v>
      </c>
      <c r="D35" s="2" t="s">
        <v>13</v>
      </c>
      <c r="E35" s="2" t="s">
        <v>61</v>
      </c>
      <c r="F35" s="1" t="s">
        <v>62</v>
      </c>
      <c r="G35" s="32">
        <v>200</v>
      </c>
      <c r="I35" s="63">
        <f t="shared" si="0"/>
        <v>200</v>
      </c>
      <c r="J35" s="4">
        <f>G35/VLOOKUP(A35,RESUME!$G$3:$I$10,3,FALSE)</f>
        <v>0.2</v>
      </c>
      <c r="K35" s="4" t="str">
        <f t="shared" si="1"/>
        <v/>
      </c>
      <c r="L35" s="1" t="str">
        <f>_xlfn.IFNA(VLOOKUP(A35&amp;"-"&amp;B35&amp;"-"&amp;D35,Ref_Account!$A:$F,6,FALSE),"ACCOUNT TIDAK DITEMUKAN")</f>
        <v>1201.730300</v>
      </c>
      <c r="N35" s="1">
        <f>IF(L35="ACCOUNT TIDAK DITEMUKAN","9999",COUNTIF($L$6:$L$162,L35))</f>
        <v>5</v>
      </c>
      <c r="O35" s="36" t="str">
        <f t="shared" si="2"/>
        <v>OK</v>
      </c>
    </row>
    <row r="36" spans="1:15" x14ac:dyDescent="0.25">
      <c r="A36" s="1" t="s">
        <v>316</v>
      </c>
      <c r="B36" s="35" t="s">
        <v>56</v>
      </c>
      <c r="C36" s="1" t="s">
        <v>57</v>
      </c>
      <c r="D36" s="2" t="s">
        <v>13</v>
      </c>
      <c r="E36" s="2" t="s">
        <v>63</v>
      </c>
      <c r="F36" s="1" t="s">
        <v>64</v>
      </c>
      <c r="G36" s="32">
        <v>700</v>
      </c>
      <c r="I36" s="63">
        <f t="shared" ref="I36:I67" si="3">G36-H36</f>
        <v>700</v>
      </c>
      <c r="J36" s="4">
        <f>G36/VLOOKUP(A36,RESUME!$G$3:$I$10,3,FALSE)</f>
        <v>0.7</v>
      </c>
      <c r="K36" s="4" t="str">
        <f t="shared" ref="K36:K67" si="4">IFERROR((G36/H36)*J36,"")</f>
        <v/>
      </c>
      <c r="L36" s="1" t="str">
        <f>_xlfn.IFNA(VLOOKUP(A36&amp;"-"&amp;B36&amp;"-"&amp;D36,Ref_Account!$A:$F,6,FALSE),"ACCOUNT TIDAK DITEMUKAN")</f>
        <v>1201.730200</v>
      </c>
      <c r="N36" s="1">
        <f>IF(L36="ACCOUNT TIDAK DITEMUKAN","9999",COUNTIF($L$6:$L$162,L36))</f>
        <v>2</v>
      </c>
      <c r="O36" s="36" t="str">
        <f t="shared" ref="O36:O67" si="5">IF(I36&gt;0,"OK","OVER")</f>
        <v>OK</v>
      </c>
    </row>
    <row r="37" spans="1:15" hidden="1" x14ac:dyDescent="0.25">
      <c r="A37" s="1" t="s">
        <v>316</v>
      </c>
      <c r="B37" s="35" t="s">
        <v>59</v>
      </c>
      <c r="C37" s="1" t="s">
        <v>60</v>
      </c>
      <c r="D37" s="2" t="s">
        <v>13</v>
      </c>
      <c r="E37" s="2" t="s">
        <v>63</v>
      </c>
      <c r="F37" s="1" t="s">
        <v>62</v>
      </c>
      <c r="G37" s="32">
        <v>50</v>
      </c>
      <c r="I37" s="63">
        <f t="shared" si="3"/>
        <v>50</v>
      </c>
      <c r="J37" s="4">
        <f>G37/VLOOKUP(A37,RESUME!$G$3:$I$10,3,FALSE)</f>
        <v>0.05</v>
      </c>
      <c r="K37" s="4" t="str">
        <f t="shared" si="4"/>
        <v/>
      </c>
      <c r="L37" s="1" t="str">
        <f>_xlfn.IFNA(VLOOKUP(A37&amp;"-"&amp;B37&amp;"-"&amp;D37,Ref_Account!$A:$F,6,FALSE),"ACCOUNT TIDAK DITEMUKAN")</f>
        <v>1201.710200</v>
      </c>
      <c r="N37" s="1">
        <f>IF(L37="ACCOUNT TIDAK DITEMUKAN","9999",COUNTIF($L$6:$L$162,L37))</f>
        <v>6</v>
      </c>
      <c r="O37" s="36" t="str">
        <f t="shared" si="5"/>
        <v>OK</v>
      </c>
    </row>
    <row r="38" spans="1:15" hidden="1" x14ac:dyDescent="0.25">
      <c r="A38" s="1" t="s">
        <v>316</v>
      </c>
      <c r="B38" s="35" t="s">
        <v>59</v>
      </c>
      <c r="C38" s="1" t="s">
        <v>60</v>
      </c>
      <c r="D38" s="2" t="s">
        <v>13</v>
      </c>
      <c r="E38" s="2" t="s">
        <v>65</v>
      </c>
      <c r="F38" s="1" t="s">
        <v>66</v>
      </c>
      <c r="G38" s="32">
        <v>50</v>
      </c>
      <c r="I38" s="63">
        <f t="shared" si="3"/>
        <v>50</v>
      </c>
      <c r="J38" s="4">
        <f>G38/VLOOKUP(A38,RESUME!$G$3:$I$10,3,FALSE)</f>
        <v>0.05</v>
      </c>
      <c r="K38" s="4" t="str">
        <f t="shared" si="4"/>
        <v/>
      </c>
      <c r="L38" s="1" t="str">
        <f>_xlfn.IFNA(VLOOKUP(A38&amp;"-"&amp;B38&amp;"-"&amp;D38,Ref_Account!$A:$F,6,FALSE),"ACCOUNT TIDAK DITEMUKAN")</f>
        <v>1201.710200</v>
      </c>
      <c r="N38" s="1">
        <f>IF(L38="ACCOUNT TIDAK DITEMUKAN","9999",COUNTIF($L$6:$L$162,L38))</f>
        <v>6</v>
      </c>
      <c r="O38" s="36" t="str">
        <f t="shared" si="5"/>
        <v>OK</v>
      </c>
    </row>
    <row r="39" spans="1:15" hidden="1" x14ac:dyDescent="0.25">
      <c r="A39" s="1" t="s">
        <v>67</v>
      </c>
      <c r="B39" s="35" t="s">
        <v>68</v>
      </c>
      <c r="C39" s="1" t="s">
        <v>69</v>
      </c>
      <c r="D39" s="2" t="s">
        <v>13</v>
      </c>
      <c r="E39" s="2" t="s">
        <v>19</v>
      </c>
      <c r="I39" s="66">
        <f t="shared" si="3"/>
        <v>0</v>
      </c>
      <c r="J39" s="4">
        <f>G39/VLOOKUP(A39,RESUME!$G$3:$I$10,3,FALSE)</f>
        <v>0</v>
      </c>
      <c r="K39" s="4" t="str">
        <f t="shared" si="4"/>
        <v/>
      </c>
      <c r="L39" s="1" t="str">
        <f>_xlfn.IFNA(VLOOKUP(A39&amp;"-"&amp;B39&amp;"-"&amp;D39,Ref_Account!$A:$F,6,FALSE),"ACCOUNT TIDAK DITEMUKAN")</f>
        <v>1201.720500</v>
      </c>
      <c r="N39" s="1">
        <f>IF(L39="ACCOUNT TIDAK DITEMUKAN","9999",COUNTIF($L$6:$L$162,L39))</f>
        <v>1</v>
      </c>
      <c r="O39" s="36" t="str">
        <f t="shared" si="5"/>
        <v>OVER</v>
      </c>
    </row>
    <row r="40" spans="1:15" hidden="1" x14ac:dyDescent="0.25">
      <c r="A40" s="1" t="s">
        <v>67</v>
      </c>
      <c r="B40" s="35" t="s">
        <v>70</v>
      </c>
      <c r="C40" s="1" t="s">
        <v>71</v>
      </c>
      <c r="D40" s="2" t="s">
        <v>13</v>
      </c>
      <c r="E40" s="2" t="s">
        <v>72</v>
      </c>
      <c r="G40" s="32">
        <v>4917.96</v>
      </c>
      <c r="H40" s="6">
        <v>2288.77</v>
      </c>
      <c r="I40" s="68">
        <f t="shared" si="3"/>
        <v>2629.19</v>
      </c>
      <c r="J40" s="4">
        <f>G40/VLOOKUP(A40,RESUME!$G$3:$I$10,3,FALSE)</f>
        <v>5.6433869134324049E-2</v>
      </c>
      <c r="K40" s="4">
        <f t="shared" si="4"/>
        <v>0.12126142471626257</v>
      </c>
      <c r="L40" s="1" t="str">
        <f>_xlfn.IFNA(VLOOKUP(A40&amp;"-"&amp;B40&amp;"-"&amp;D40,Ref_Account!$A:$F,6,FALSE),"ACCOUNT TIDAK DITEMUKAN")</f>
        <v>1201.812100</v>
      </c>
      <c r="N40" s="1">
        <f>IF(L40="ACCOUNT TIDAK DITEMUKAN","9999",COUNTIF($L$6:$L$162,L40))</f>
        <v>1</v>
      </c>
      <c r="O40" s="36" t="str">
        <f t="shared" si="5"/>
        <v>OK</v>
      </c>
    </row>
    <row r="41" spans="1:15" hidden="1" x14ac:dyDescent="0.25">
      <c r="A41" s="1" t="s">
        <v>67</v>
      </c>
      <c r="B41" s="35" t="s">
        <v>73</v>
      </c>
      <c r="C41" s="1" t="s">
        <v>74</v>
      </c>
      <c r="D41" s="2" t="s">
        <v>13</v>
      </c>
      <c r="E41" s="2" t="s">
        <v>75</v>
      </c>
      <c r="G41" s="32">
        <v>281</v>
      </c>
      <c r="I41" s="68">
        <f t="shared" si="3"/>
        <v>281</v>
      </c>
      <c r="J41" s="4">
        <f>G41/VLOOKUP(A41,RESUME!$G$3:$I$10,3,FALSE)</f>
        <v>3.2244908919033619E-3</v>
      </c>
      <c r="K41" s="4" t="str">
        <f t="shared" si="4"/>
        <v/>
      </c>
      <c r="L41" s="1" t="str">
        <f>_xlfn.IFNA(VLOOKUP(A41&amp;"-"&amp;B41&amp;"-"&amp;D41,Ref_Account!$A:$F,6,FALSE),"ACCOUNT TIDAK DITEMUKAN")</f>
        <v>1201.807100</v>
      </c>
      <c r="N41" s="1">
        <f>IF(L41="ACCOUNT TIDAK DITEMUKAN","9999",COUNTIF($L$6:$L$162,L41))</f>
        <v>1</v>
      </c>
      <c r="O41" s="36" t="str">
        <f t="shared" si="5"/>
        <v>OK</v>
      </c>
    </row>
    <row r="42" spans="1:15" hidden="1" x14ac:dyDescent="0.25">
      <c r="A42" s="1" t="s">
        <v>67</v>
      </c>
      <c r="B42" s="35" t="s">
        <v>73</v>
      </c>
      <c r="C42" s="1" t="s">
        <v>74</v>
      </c>
      <c r="D42" s="2" t="s">
        <v>15</v>
      </c>
      <c r="E42" s="2" t="s">
        <v>75</v>
      </c>
      <c r="G42" s="32">
        <v>64.58</v>
      </c>
      <c r="I42" s="68">
        <f t="shared" si="3"/>
        <v>64.58</v>
      </c>
      <c r="J42" s="4">
        <f>G42/VLOOKUP(A42,RESUME!$G$3:$I$10,3,FALSE)</f>
        <v>7.4105915231003239E-4</v>
      </c>
      <c r="K42" s="4" t="str">
        <f t="shared" si="4"/>
        <v/>
      </c>
      <c r="L42" s="1" t="str">
        <f>_xlfn.IFNA(VLOOKUP(A42&amp;"-"&amp;B42&amp;"-"&amp;D42,Ref_Account!$A:$F,6,FALSE),"ACCOUNT TIDAK DITEMUKAN")</f>
        <v>1204.807100</v>
      </c>
      <c r="N42" s="1">
        <f>IF(L42="ACCOUNT TIDAK DITEMUKAN","9999",COUNTIF($L$6:$L$162,L42))</f>
        <v>1</v>
      </c>
      <c r="O42" s="36" t="str">
        <f t="shared" si="5"/>
        <v>OK</v>
      </c>
    </row>
    <row r="43" spans="1:15" hidden="1" x14ac:dyDescent="0.25">
      <c r="A43" s="1" t="s">
        <v>67</v>
      </c>
      <c r="B43" s="35" t="s">
        <v>76</v>
      </c>
      <c r="C43" s="1" t="s">
        <v>77</v>
      </c>
      <c r="D43" s="2" t="s">
        <v>13</v>
      </c>
      <c r="E43" s="2" t="s">
        <v>75</v>
      </c>
      <c r="G43" s="32">
        <v>2027.63</v>
      </c>
      <c r="H43" s="6">
        <v>1863.9</v>
      </c>
      <c r="I43" s="68">
        <f t="shared" si="3"/>
        <v>163.73000000000002</v>
      </c>
      <c r="J43" s="4">
        <f>G43/VLOOKUP(A43,RESUME!$G$3:$I$10,3,FALSE)</f>
        <v>2.3267168922242044E-2</v>
      </c>
      <c r="K43" s="4">
        <f t="shared" si="4"/>
        <v>2.5311019755247403E-2</v>
      </c>
      <c r="L43" s="1" t="str">
        <f>_xlfn.IFNA(VLOOKUP(A43&amp;"-"&amp;B43&amp;"-"&amp;D43,Ref_Account!$A:$F,6,FALSE),"ACCOUNT TIDAK DITEMUKAN")</f>
        <v>1201.630400</v>
      </c>
      <c r="N43" s="1">
        <f>IF(L43="ACCOUNT TIDAK DITEMUKAN","9999",COUNTIF($L$6:$L$162,L43))</f>
        <v>1</v>
      </c>
      <c r="O43" s="36" t="str">
        <f t="shared" si="5"/>
        <v>OK</v>
      </c>
    </row>
    <row r="44" spans="1:15" hidden="1" x14ac:dyDescent="0.25">
      <c r="A44" s="1" t="s">
        <v>67</v>
      </c>
      <c r="B44" s="35" t="s">
        <v>78</v>
      </c>
      <c r="C44" s="1" t="s">
        <v>79</v>
      </c>
      <c r="D44" s="2" t="s">
        <v>13</v>
      </c>
      <c r="E44" s="2" t="s">
        <v>75</v>
      </c>
      <c r="G44" s="32">
        <v>1453.67</v>
      </c>
      <c r="H44" s="6">
        <v>313.61</v>
      </c>
      <c r="I44" s="68">
        <f t="shared" si="3"/>
        <v>1140.06</v>
      </c>
      <c r="J44" s="4">
        <f>G44/VLOOKUP(A44,RESUME!$G$3:$I$10,3,FALSE)</f>
        <v>1.6680945462039718E-2</v>
      </c>
      <c r="K44" s="4">
        <f t="shared" si="4"/>
        <v>7.7320844328316304E-2</v>
      </c>
      <c r="L44" s="1" t="str">
        <f>_xlfn.IFNA(VLOOKUP(A44&amp;"-"&amp;B44&amp;"-"&amp;D44,Ref_Account!$A:$F,6,FALSE),"ACCOUNT TIDAK DITEMUKAN")</f>
        <v>1201.813100</v>
      </c>
      <c r="N44" s="1">
        <f>IF(L44="ACCOUNT TIDAK DITEMUKAN","9999",COUNTIF($L$6:$L$162,L44))</f>
        <v>1</v>
      </c>
      <c r="O44" s="36" t="str">
        <f t="shared" si="5"/>
        <v>OK</v>
      </c>
    </row>
    <row r="45" spans="1:15" hidden="1" x14ac:dyDescent="0.25">
      <c r="A45" s="1" t="s">
        <v>67</v>
      </c>
      <c r="B45" s="35" t="s">
        <v>80</v>
      </c>
      <c r="C45" s="1" t="s">
        <v>81</v>
      </c>
      <c r="D45" s="2" t="s">
        <v>13</v>
      </c>
      <c r="E45" s="2" t="s">
        <v>82</v>
      </c>
      <c r="G45" s="32">
        <v>531</v>
      </c>
      <c r="H45" s="6">
        <v>76.62</v>
      </c>
      <c r="I45" s="68">
        <f t="shared" si="3"/>
        <v>454.38</v>
      </c>
      <c r="J45" s="4">
        <f>G45/VLOOKUP(A45,RESUME!$G$3:$I$10,3,FALSE)</f>
        <v>6.0932550306074208E-3</v>
      </c>
      <c r="K45" s="4">
        <f t="shared" si="4"/>
        <v>4.2228118262236235E-2</v>
      </c>
      <c r="L45" s="1" t="str">
        <f>_xlfn.IFNA(VLOOKUP(A45&amp;"-"&amp;B45&amp;"-"&amp;D45,Ref_Account!$A:$F,6,FALSE),"ACCOUNT TIDAK DITEMUKAN")</f>
        <v>1201.630300</v>
      </c>
      <c r="N45" s="1">
        <f>IF(L45="ACCOUNT TIDAK DITEMUKAN","9999",COUNTIF($L$6:$L$162,L45))</f>
        <v>1</v>
      </c>
      <c r="O45" s="36" t="str">
        <f t="shared" si="5"/>
        <v>OK</v>
      </c>
    </row>
    <row r="46" spans="1:15" x14ac:dyDescent="0.25">
      <c r="A46" s="1" t="s">
        <v>67</v>
      </c>
      <c r="B46" s="35" t="s">
        <v>154</v>
      </c>
      <c r="C46" s="1" t="s">
        <v>83</v>
      </c>
      <c r="D46" s="2" t="s">
        <v>13</v>
      </c>
      <c r="E46" s="2" t="s">
        <v>75</v>
      </c>
      <c r="G46" s="32">
        <v>2429</v>
      </c>
      <c r="I46" s="63">
        <f t="shared" si="3"/>
        <v>2429</v>
      </c>
      <c r="J46" s="4">
        <f>G46/VLOOKUP(A46,RESUME!$G$3:$I$10,3,FALSE)</f>
        <v>2.7872912371648635E-2</v>
      </c>
      <c r="K46" s="4" t="str">
        <f t="shared" si="4"/>
        <v/>
      </c>
      <c r="L46" s="1" t="str">
        <f>_xlfn.IFNA(VLOOKUP(A46&amp;"-"&amp;B46&amp;"-"&amp;D46,Ref_Account!$A:$F,6,FALSE),"ACCOUNT TIDAK DITEMUKAN")</f>
        <v>1201.630200</v>
      </c>
      <c r="N46" s="1">
        <f>IF(L46="ACCOUNT TIDAK DITEMUKAN","9999",COUNTIF($L$6:$L$162,L46))</f>
        <v>2</v>
      </c>
      <c r="O46" s="36" t="str">
        <f t="shared" si="5"/>
        <v>OK</v>
      </c>
    </row>
    <row r="47" spans="1:15" x14ac:dyDescent="0.25">
      <c r="A47" s="1" t="s">
        <v>67</v>
      </c>
      <c r="B47" s="35" t="s">
        <v>154</v>
      </c>
      <c r="C47" s="1" t="s">
        <v>84</v>
      </c>
      <c r="D47" s="2" t="s">
        <v>13</v>
      </c>
      <c r="E47" s="2" t="s">
        <v>75</v>
      </c>
      <c r="G47" s="32">
        <v>200</v>
      </c>
      <c r="I47" s="63">
        <f t="shared" si="3"/>
        <v>200</v>
      </c>
      <c r="J47" s="4">
        <f>G47/VLOOKUP(A47,RESUME!$G$3:$I$10,3,FALSE)</f>
        <v>2.2950113109632469E-3</v>
      </c>
      <c r="K47" s="4" t="str">
        <f t="shared" si="4"/>
        <v/>
      </c>
      <c r="L47" s="1" t="str">
        <f>_xlfn.IFNA(VLOOKUP(A47&amp;"-"&amp;B47&amp;"-"&amp;D47,Ref_Account!$A:$F,6,FALSE),"ACCOUNT TIDAK DITEMUKAN")</f>
        <v>1201.630200</v>
      </c>
      <c r="N47" s="1">
        <f>IF(L47="ACCOUNT TIDAK DITEMUKAN","9999",COUNTIF($L$6:$L$162,L47))</f>
        <v>2</v>
      </c>
      <c r="O47" s="36" t="str">
        <f t="shared" si="5"/>
        <v>OK</v>
      </c>
    </row>
    <row r="48" spans="1:15" hidden="1" x14ac:dyDescent="0.25">
      <c r="A48" s="1" t="s">
        <v>67</v>
      </c>
      <c r="B48" s="35" t="s">
        <v>85</v>
      </c>
      <c r="C48" s="1" t="s">
        <v>86</v>
      </c>
      <c r="D48" s="2" t="s">
        <v>13</v>
      </c>
      <c r="E48" s="2" t="s">
        <v>75</v>
      </c>
      <c r="G48" s="32">
        <v>3004.76</v>
      </c>
      <c r="H48" s="6">
        <v>783.82</v>
      </c>
      <c r="I48" s="63">
        <f t="shared" si="3"/>
        <v>2220.94</v>
      </c>
      <c r="J48" s="4">
        <f>G48/VLOOKUP(A48,RESUME!$G$3:$I$10,3,FALSE)</f>
        <v>3.4479790933649633E-2</v>
      </c>
      <c r="K48" s="4">
        <f t="shared" si="4"/>
        <v>0.13217766401188163</v>
      </c>
      <c r="L48" s="1" t="str">
        <f>_xlfn.IFNA(VLOOKUP(A48&amp;"-"&amp;B48&amp;"-"&amp;D48,Ref_Account!$A:$F,6,FALSE),"ACCOUNT TIDAK DITEMUKAN")</f>
        <v>1201.630530</v>
      </c>
      <c r="N48" s="1">
        <f>IF(L48="ACCOUNT TIDAK DITEMUKAN","9999",COUNTIF($L$6:$L$162,L48))</f>
        <v>1</v>
      </c>
      <c r="O48" s="36" t="str">
        <f t="shared" si="5"/>
        <v>OK</v>
      </c>
    </row>
    <row r="49" spans="1:15" hidden="1" x14ac:dyDescent="0.25">
      <c r="A49" s="1" t="s">
        <v>67</v>
      </c>
      <c r="B49" s="35" t="s">
        <v>85</v>
      </c>
      <c r="C49" s="1" t="s">
        <v>86</v>
      </c>
      <c r="D49" s="2" t="s">
        <v>15</v>
      </c>
      <c r="E49" s="2" t="s">
        <v>75</v>
      </c>
      <c r="G49" s="32">
        <v>1543.55</v>
      </c>
      <c r="I49" s="63">
        <f t="shared" si="3"/>
        <v>1543.55</v>
      </c>
      <c r="J49" s="4">
        <f>G49/VLOOKUP(A49,RESUME!$G$3:$I$10,3,FALSE)</f>
        <v>1.7712323545186599E-2</v>
      </c>
      <c r="K49" s="4" t="str">
        <f t="shared" si="4"/>
        <v/>
      </c>
      <c r="L49" s="1" t="str">
        <f>_xlfn.IFNA(VLOOKUP(A49&amp;"-"&amp;B49&amp;"-"&amp;D49,Ref_Account!$A:$F,6,FALSE),"ACCOUNT TIDAK DITEMUKAN")</f>
        <v>1204.630530</v>
      </c>
      <c r="N49" s="1">
        <f>IF(L49="ACCOUNT TIDAK DITEMUKAN","9999",COUNTIF($L$6:$L$162,L49))</f>
        <v>1</v>
      </c>
      <c r="O49" s="36" t="str">
        <f t="shared" si="5"/>
        <v>OK</v>
      </c>
    </row>
    <row r="50" spans="1:15" hidden="1" x14ac:dyDescent="0.25">
      <c r="A50" s="1" t="s">
        <v>67</v>
      </c>
      <c r="B50" s="35" t="s">
        <v>87</v>
      </c>
      <c r="C50" s="1" t="s">
        <v>88</v>
      </c>
      <c r="D50" s="2" t="s">
        <v>13</v>
      </c>
      <c r="E50" s="2" t="s">
        <v>75</v>
      </c>
      <c r="G50" s="32">
        <v>938.47</v>
      </c>
      <c r="H50" s="6">
        <v>527.75</v>
      </c>
      <c r="I50" s="63">
        <f t="shared" si="3"/>
        <v>410.72</v>
      </c>
      <c r="J50" s="4">
        <f>G50/VLOOKUP(A50,RESUME!$G$3:$I$10,3,FALSE)</f>
        <v>1.0768996324998392E-2</v>
      </c>
      <c r="K50" s="4">
        <f t="shared" si="4"/>
        <v>1.9149938382039301E-2</v>
      </c>
      <c r="L50" s="1" t="str">
        <f>_xlfn.IFNA(VLOOKUP(A50&amp;"-"&amp;B50&amp;"-"&amp;D50,Ref_Account!$A:$F,6,FALSE),"ACCOUNT TIDAK DITEMUKAN")</f>
        <v>1201.808100</v>
      </c>
      <c r="N50" s="1">
        <f>IF(L50="ACCOUNT TIDAK DITEMUKAN","9999",COUNTIF($L$6:$L$162,L50))</f>
        <v>1</v>
      </c>
      <c r="O50" s="36" t="str">
        <f t="shared" si="5"/>
        <v>OK</v>
      </c>
    </row>
    <row r="51" spans="1:15" hidden="1" x14ac:dyDescent="0.25">
      <c r="A51" s="1" t="s">
        <v>67</v>
      </c>
      <c r="B51" s="35" t="s">
        <v>87</v>
      </c>
      <c r="C51" s="1" t="s">
        <v>88</v>
      </c>
      <c r="D51" s="2" t="s">
        <v>24</v>
      </c>
      <c r="E51" s="2" t="s">
        <v>75</v>
      </c>
      <c r="G51" s="32">
        <v>175.55</v>
      </c>
      <c r="I51" s="63">
        <f t="shared" si="3"/>
        <v>175.55</v>
      </c>
      <c r="J51" s="4">
        <f>G51/VLOOKUP(A51,RESUME!$G$3:$I$10,3,FALSE)</f>
        <v>2.0144461781979902E-3</v>
      </c>
      <c r="K51" s="4" t="str">
        <f t="shared" si="4"/>
        <v/>
      </c>
      <c r="L51" s="1" t="str">
        <f>_xlfn.IFNA(VLOOKUP(A51&amp;"-"&amp;B51&amp;"-"&amp;D51,Ref_Account!$A:$F,6,FALSE),"ACCOUNT TIDAK DITEMUKAN")</f>
        <v>1205.808100</v>
      </c>
      <c r="N51" s="1">
        <f>IF(L51="ACCOUNT TIDAK DITEMUKAN","9999",COUNTIF($L$6:$L$162,L51))</f>
        <v>1</v>
      </c>
      <c r="O51" s="36" t="str">
        <f t="shared" si="5"/>
        <v>OK</v>
      </c>
    </row>
    <row r="52" spans="1:15" hidden="1" x14ac:dyDescent="0.25">
      <c r="A52" s="1" t="s">
        <v>67</v>
      </c>
      <c r="B52" s="35" t="s">
        <v>87</v>
      </c>
      <c r="C52" s="1" t="s">
        <v>88</v>
      </c>
      <c r="D52" s="2" t="s">
        <v>15</v>
      </c>
      <c r="E52" s="2" t="s">
        <v>75</v>
      </c>
      <c r="G52" s="32">
        <v>2294.39</v>
      </c>
      <c r="H52" s="6">
        <v>1074.9100000000001</v>
      </c>
      <c r="I52" s="63">
        <f t="shared" si="3"/>
        <v>1219.4799999999998</v>
      </c>
      <c r="J52" s="4">
        <f>G52/VLOOKUP(A52,RESUME!$G$3:$I$10,3,FALSE)</f>
        <v>2.632825500880482E-2</v>
      </c>
      <c r="K52" s="4">
        <f t="shared" si="4"/>
        <v>5.6197528174127771E-2</v>
      </c>
      <c r="L52" s="1" t="str">
        <f>_xlfn.IFNA(VLOOKUP(A52&amp;"-"&amp;B52&amp;"-"&amp;D52,Ref_Account!$A:$F,6,FALSE),"ACCOUNT TIDAK DITEMUKAN")</f>
        <v>1204.808100</v>
      </c>
      <c r="N52" s="1">
        <f>IF(L52="ACCOUNT TIDAK DITEMUKAN","9999",COUNTIF($L$6:$L$162,L52))</f>
        <v>1</v>
      </c>
      <c r="O52" s="36" t="str">
        <f t="shared" si="5"/>
        <v>OK</v>
      </c>
    </row>
    <row r="53" spans="1:15" hidden="1" x14ac:dyDescent="0.25">
      <c r="A53" s="1" t="s">
        <v>67</v>
      </c>
      <c r="B53" s="35" t="s">
        <v>89</v>
      </c>
      <c r="C53" s="1" t="s">
        <v>90</v>
      </c>
      <c r="D53" s="2" t="s">
        <v>13</v>
      </c>
      <c r="E53" s="2" t="s">
        <v>75</v>
      </c>
      <c r="G53" s="32">
        <v>1987.05</v>
      </c>
      <c r="I53" s="67">
        <f t="shared" si="3"/>
        <v>1987.05</v>
      </c>
      <c r="J53" s="4">
        <f>G53/VLOOKUP(A53,RESUME!$G$3:$I$10,3,FALSE)</f>
        <v>2.2801511127247598E-2</v>
      </c>
      <c r="K53" s="4" t="str">
        <f t="shared" si="4"/>
        <v/>
      </c>
      <c r="L53" s="1" t="str">
        <f>_xlfn.IFNA(VLOOKUP(A53&amp;"-"&amp;B53&amp;"-"&amp;D53,Ref_Account!$A:$F,6,FALSE),"ACCOUNT TIDAK DITEMUKAN")</f>
        <v>1201.630900</v>
      </c>
      <c r="N53" s="1">
        <f>IF(L53="ACCOUNT TIDAK DITEMUKAN","9999",COUNTIF($L$6:$L$162,L53))</f>
        <v>1</v>
      </c>
      <c r="O53" s="36" t="str">
        <f t="shared" si="5"/>
        <v>OK</v>
      </c>
    </row>
    <row r="54" spans="1:15" hidden="1" x14ac:dyDescent="0.25">
      <c r="A54" s="1" t="s">
        <v>67</v>
      </c>
      <c r="B54" s="35" t="s">
        <v>89</v>
      </c>
      <c r="C54" s="1" t="s">
        <v>90</v>
      </c>
      <c r="D54" s="2" t="s">
        <v>15</v>
      </c>
      <c r="E54" s="2" t="s">
        <v>75</v>
      </c>
      <c r="G54" s="32">
        <v>1692.67</v>
      </c>
      <c r="I54" s="67">
        <f t="shared" si="3"/>
        <v>1692.67</v>
      </c>
      <c r="J54" s="4">
        <f>G54/VLOOKUP(A54,RESUME!$G$3:$I$10,3,FALSE)</f>
        <v>1.9423483978640799E-2</v>
      </c>
      <c r="K54" s="4" t="str">
        <f t="shared" si="4"/>
        <v/>
      </c>
      <c r="L54" s="1" t="str">
        <f>_xlfn.IFNA(VLOOKUP(A54&amp;"-"&amp;B54&amp;"-"&amp;D54,Ref_Account!$A:$F,6,FALSE),"ACCOUNT TIDAK DITEMUKAN")</f>
        <v>1204.630900</v>
      </c>
      <c r="N54" s="1">
        <f>IF(L54="ACCOUNT TIDAK DITEMUKAN","9999",COUNTIF($L$6:$L$162,L54))</f>
        <v>1</v>
      </c>
      <c r="O54" s="36" t="str">
        <f t="shared" si="5"/>
        <v>OK</v>
      </c>
    </row>
    <row r="55" spans="1:15" hidden="1" x14ac:dyDescent="0.25">
      <c r="A55" s="1" t="s">
        <v>67</v>
      </c>
      <c r="B55" s="35" t="s">
        <v>91</v>
      </c>
      <c r="C55" s="1" t="s">
        <v>92</v>
      </c>
      <c r="D55" s="2" t="s">
        <v>13</v>
      </c>
      <c r="E55" s="2" t="s">
        <v>75</v>
      </c>
      <c r="G55" s="32">
        <v>569</v>
      </c>
      <c r="H55" s="6">
        <v>460.21</v>
      </c>
      <c r="I55" s="67">
        <f t="shared" si="3"/>
        <v>108.79000000000002</v>
      </c>
      <c r="J55" s="4">
        <f>G55/VLOOKUP(A55,RESUME!$G$3:$I$10,3,FALSE)</f>
        <v>6.5293071796904377E-3</v>
      </c>
      <c r="K55" s="4">
        <f t="shared" si="4"/>
        <v>8.0727836971031912E-3</v>
      </c>
      <c r="L55" s="1" t="str">
        <f>_xlfn.IFNA(VLOOKUP(A55&amp;"-"&amp;B55&amp;"-"&amp;D55,Ref_Account!$A:$F,6,FALSE),"ACCOUNT TIDAK DITEMUKAN")</f>
        <v>1201.802140</v>
      </c>
      <c r="N55" s="1">
        <f>IF(L55="ACCOUNT TIDAK DITEMUKAN","9999",COUNTIF($L$6:$L$162,L55))</f>
        <v>1</v>
      </c>
      <c r="O55" s="36" t="str">
        <f t="shared" si="5"/>
        <v>OK</v>
      </c>
    </row>
    <row r="56" spans="1:15" hidden="1" x14ac:dyDescent="0.25">
      <c r="A56" s="1" t="s">
        <v>67</v>
      </c>
      <c r="B56" s="35" t="s">
        <v>91</v>
      </c>
      <c r="C56" s="1" t="s">
        <v>92</v>
      </c>
      <c r="D56" s="2" t="s">
        <v>15</v>
      </c>
      <c r="E56" s="2" t="s">
        <v>75</v>
      </c>
      <c r="G56" s="32">
        <v>300</v>
      </c>
      <c r="I56" s="67">
        <f t="shared" si="3"/>
        <v>300</v>
      </c>
      <c r="J56" s="4">
        <f>G56/VLOOKUP(A56,RESUME!$G$3:$I$10,3,FALSE)</f>
        <v>3.4425169664448704E-3</v>
      </c>
      <c r="K56" s="4" t="str">
        <f t="shared" si="4"/>
        <v/>
      </c>
      <c r="L56" s="1" t="str">
        <f>_xlfn.IFNA(VLOOKUP(A56&amp;"-"&amp;B56&amp;"-"&amp;D56,Ref_Account!$A:$F,6,FALSE),"ACCOUNT TIDAK DITEMUKAN")</f>
        <v>1204.802140</v>
      </c>
      <c r="N56" s="1">
        <f>IF(L56="ACCOUNT TIDAK DITEMUKAN","9999",COUNTIF($L$6:$L$162,L56))</f>
        <v>1</v>
      </c>
      <c r="O56" s="36" t="str">
        <f t="shared" si="5"/>
        <v>OK</v>
      </c>
    </row>
    <row r="57" spans="1:15" hidden="1" x14ac:dyDescent="0.25">
      <c r="A57" s="1" t="s">
        <v>67</v>
      </c>
      <c r="B57" s="35" t="s">
        <v>93</v>
      </c>
      <c r="C57" s="1" t="s">
        <v>94</v>
      </c>
      <c r="D57" s="2" t="s">
        <v>13</v>
      </c>
      <c r="E57" s="2" t="s">
        <v>95</v>
      </c>
      <c r="G57" s="32">
        <v>2288.86</v>
      </c>
      <c r="I57" s="67">
        <f t="shared" si="3"/>
        <v>2288.86</v>
      </c>
      <c r="J57" s="4">
        <f>G57/VLOOKUP(A57,RESUME!$G$3:$I$10,3,FALSE)</f>
        <v>2.6264797946056691E-2</v>
      </c>
      <c r="K57" s="4" t="str">
        <f t="shared" si="4"/>
        <v/>
      </c>
      <c r="L57" s="1" t="str">
        <f>_xlfn.IFNA(VLOOKUP(A57&amp;"-"&amp;B57&amp;"-"&amp;D57,Ref_Account!$A:$F,6,FALSE),"ACCOUNT TIDAK DITEMUKAN")</f>
        <v>1201.801160</v>
      </c>
      <c r="N57" s="1">
        <f>IF(L57="ACCOUNT TIDAK DITEMUKAN","9999",COUNTIF($L$6:$L$162,L57))</f>
        <v>1</v>
      </c>
      <c r="O57" s="36" t="str">
        <f t="shared" si="5"/>
        <v>OK</v>
      </c>
    </row>
    <row r="58" spans="1:15" hidden="1" x14ac:dyDescent="0.25">
      <c r="A58" s="1" t="s">
        <v>67</v>
      </c>
      <c r="B58" s="35" t="s">
        <v>96</v>
      </c>
      <c r="C58" s="1" t="s">
        <v>97</v>
      </c>
      <c r="D58" s="2" t="s">
        <v>13</v>
      </c>
      <c r="E58" s="2" t="s">
        <v>98</v>
      </c>
      <c r="G58" s="32">
        <v>36500.160000000003</v>
      </c>
      <c r="H58" s="6">
        <v>122.79</v>
      </c>
      <c r="I58" s="67">
        <f t="shared" si="3"/>
        <v>36377.370000000003</v>
      </c>
      <c r="J58" s="4">
        <f>G58/VLOOKUP(A58,RESUME!$G$3:$I$10,3,FALSE)</f>
        <v>0.4188414002598414</v>
      </c>
      <c r="K58" s="4">
        <f t="shared" si="4"/>
        <v>124.5034459166728</v>
      </c>
      <c r="L58" s="1" t="str">
        <f>_xlfn.IFNA(VLOOKUP(A58&amp;"-"&amp;B58&amp;"-"&amp;D58,Ref_Account!$A:$F,6,FALSE),"ACCOUNT TIDAK DITEMUKAN")</f>
        <v>1201.630110</v>
      </c>
      <c r="N58" s="1">
        <f>IF(L58="ACCOUNT TIDAK DITEMUKAN","9999",COUNTIF($L$6:$L$162,L58))</f>
        <v>1</v>
      </c>
      <c r="O58" s="36" t="str">
        <f t="shared" si="5"/>
        <v>OK</v>
      </c>
    </row>
    <row r="59" spans="1:15" hidden="1" x14ac:dyDescent="0.25">
      <c r="A59" s="1" t="s">
        <v>67</v>
      </c>
      <c r="B59" s="35" t="s">
        <v>99</v>
      </c>
      <c r="C59" s="1" t="s">
        <v>100</v>
      </c>
      <c r="D59" s="2" t="s">
        <v>13</v>
      </c>
      <c r="E59" s="2" t="s">
        <v>75</v>
      </c>
      <c r="G59" s="32">
        <v>1440.17</v>
      </c>
      <c r="H59" s="6">
        <v>0.63</v>
      </c>
      <c r="I59" s="67">
        <f t="shared" si="3"/>
        <v>1439.54</v>
      </c>
      <c r="J59" s="4">
        <f>G59/VLOOKUP(A59,RESUME!$G$3:$I$10,3,FALSE)</f>
        <v>1.6526032198549697E-2</v>
      </c>
      <c r="K59" s="4">
        <f t="shared" si="4"/>
        <v>37.778247287913203</v>
      </c>
      <c r="L59" s="1" t="str">
        <f>_xlfn.IFNA(VLOOKUP(A59&amp;"-"&amp;B59&amp;"-"&amp;D59,Ref_Account!$A:$F,6,FALSE),"ACCOUNT TIDAK DITEMUKAN")</f>
        <v>1201.809100</v>
      </c>
      <c r="N59" s="1">
        <f>IF(L59="ACCOUNT TIDAK DITEMUKAN","9999",COUNTIF($L$6:$L$162,L59))</f>
        <v>1</v>
      </c>
      <c r="O59" s="36" t="str">
        <f t="shared" si="5"/>
        <v>OK</v>
      </c>
    </row>
    <row r="60" spans="1:15" hidden="1" x14ac:dyDescent="0.25">
      <c r="A60" s="1" t="s">
        <v>67</v>
      </c>
      <c r="B60" s="35" t="s">
        <v>99</v>
      </c>
      <c r="C60" s="1" t="s">
        <v>100</v>
      </c>
      <c r="D60" s="2" t="s">
        <v>101</v>
      </c>
      <c r="E60" s="2" t="s">
        <v>75</v>
      </c>
      <c r="G60" s="32">
        <v>14.27</v>
      </c>
      <c r="I60" s="67">
        <f t="shared" si="3"/>
        <v>14.27</v>
      </c>
      <c r="J60" s="4">
        <f>G60/VLOOKUP(A60,RESUME!$G$3:$I$10,3,FALSE)</f>
        <v>1.6374905703722768E-4</v>
      </c>
      <c r="K60" s="4" t="str">
        <f t="shared" si="4"/>
        <v/>
      </c>
      <c r="L60" s="1" t="str">
        <f>_xlfn.IFNA(VLOOKUP(A60&amp;"-"&amp;B60&amp;"-"&amp;D60,Ref_Account!$A:$F,6,FALSE),"ACCOUNT TIDAK DITEMUKAN")</f>
        <v>1206.809100</v>
      </c>
      <c r="N60" s="1">
        <f>IF(L60="ACCOUNT TIDAK DITEMUKAN","9999",COUNTIF($L$6:$L$162,L60))</f>
        <v>1</v>
      </c>
      <c r="O60" s="36" t="str">
        <f t="shared" si="5"/>
        <v>OK</v>
      </c>
    </row>
    <row r="61" spans="1:15" hidden="1" x14ac:dyDescent="0.25">
      <c r="A61" s="1" t="s">
        <v>67</v>
      </c>
      <c r="B61" s="35" t="s">
        <v>99</v>
      </c>
      <c r="C61" s="1" t="s">
        <v>100</v>
      </c>
      <c r="D61" s="2" t="s">
        <v>24</v>
      </c>
      <c r="E61" s="2" t="s">
        <v>75</v>
      </c>
      <c r="G61" s="32">
        <v>35.56</v>
      </c>
      <c r="I61" s="67">
        <f t="shared" si="3"/>
        <v>35.56</v>
      </c>
      <c r="J61" s="4">
        <f>G61/VLOOKUP(A61,RESUME!$G$3:$I$10,3,FALSE)</f>
        <v>4.0805301108926532E-4</v>
      </c>
      <c r="K61" s="4" t="str">
        <f t="shared" si="4"/>
        <v/>
      </c>
      <c r="L61" s="1" t="str">
        <f>_xlfn.IFNA(VLOOKUP(A61&amp;"-"&amp;B61&amp;"-"&amp;D61,Ref_Account!$A:$F,6,FALSE),"ACCOUNT TIDAK DITEMUKAN")</f>
        <v>1205.809100</v>
      </c>
      <c r="N61" s="1">
        <f>IF(L61="ACCOUNT TIDAK DITEMUKAN","9999",COUNTIF($L$6:$L$162,L61))</f>
        <v>1</v>
      </c>
      <c r="O61" s="36" t="str">
        <f t="shared" si="5"/>
        <v>OK</v>
      </c>
    </row>
    <row r="62" spans="1:15" hidden="1" x14ac:dyDescent="0.25">
      <c r="A62" s="1" t="s">
        <v>67</v>
      </c>
      <c r="B62" s="35" t="s">
        <v>99</v>
      </c>
      <c r="C62" s="1" t="s">
        <v>100</v>
      </c>
      <c r="D62" s="2" t="s">
        <v>15</v>
      </c>
      <c r="E62" s="2" t="s">
        <v>75</v>
      </c>
      <c r="G62" s="32">
        <v>9.69</v>
      </c>
      <c r="H62" s="6">
        <v>20.88</v>
      </c>
      <c r="I62" s="66">
        <f t="shared" si="3"/>
        <v>-11.19</v>
      </c>
      <c r="J62" s="4">
        <f>G62/VLOOKUP(A62,RESUME!$G$3:$I$10,3,FALSE)</f>
        <v>1.1119329801616931E-4</v>
      </c>
      <c r="K62" s="4">
        <f t="shared" si="4"/>
        <v>5.1602636866699261E-5</v>
      </c>
      <c r="L62" s="1" t="str">
        <f>_xlfn.IFNA(VLOOKUP(A62&amp;"-"&amp;B62&amp;"-"&amp;D62,Ref_Account!$A:$F,6,FALSE),"ACCOUNT TIDAK DITEMUKAN")</f>
        <v>1204.809100</v>
      </c>
      <c r="N62" s="1">
        <f>IF(L62="ACCOUNT TIDAK DITEMUKAN","9999",COUNTIF($L$6:$L$162,L62))</f>
        <v>1</v>
      </c>
      <c r="O62" s="36" t="str">
        <f t="shared" si="5"/>
        <v>OVER</v>
      </c>
    </row>
    <row r="63" spans="1:15" hidden="1" x14ac:dyDescent="0.25">
      <c r="A63" s="1" t="s">
        <v>67</v>
      </c>
      <c r="B63" s="35" t="s">
        <v>102</v>
      </c>
      <c r="C63" s="1" t="s">
        <v>103</v>
      </c>
      <c r="D63" s="2" t="s">
        <v>13</v>
      </c>
      <c r="E63" s="2" t="s">
        <v>75</v>
      </c>
      <c r="G63" s="32">
        <v>400</v>
      </c>
      <c r="H63" s="6">
        <v>1156.6500000000001</v>
      </c>
      <c r="I63" s="66">
        <f t="shared" si="3"/>
        <v>-756.65000000000009</v>
      </c>
      <c r="J63" s="4">
        <f>G63/VLOOKUP(A63,RESUME!$G$3:$I$10,3,FALSE)</f>
        <v>4.5900226219264938E-3</v>
      </c>
      <c r="K63" s="4">
        <f t="shared" si="4"/>
        <v>1.5873505803575823E-3</v>
      </c>
      <c r="L63" s="1" t="str">
        <f>_xlfn.IFNA(VLOOKUP(A63&amp;"-"&amp;B63&amp;"-"&amp;D63,Ref_Account!$A:$F,6,FALSE),"ACCOUNT TIDAK DITEMUKAN")</f>
        <v>1201.630710</v>
      </c>
      <c r="N63" s="1">
        <f>IF(L63="ACCOUNT TIDAK DITEMUKAN","9999",COUNTIF($L$6:$L$162,L63))</f>
        <v>1</v>
      </c>
      <c r="O63" s="36" t="str">
        <f t="shared" si="5"/>
        <v>OVER</v>
      </c>
    </row>
    <row r="64" spans="1:15" hidden="1" x14ac:dyDescent="0.25">
      <c r="A64" s="1" t="s">
        <v>67</v>
      </c>
      <c r="B64" s="35" t="s">
        <v>104</v>
      </c>
      <c r="C64" s="1" t="s">
        <v>105</v>
      </c>
      <c r="D64" s="2" t="s">
        <v>13</v>
      </c>
      <c r="E64" s="2" t="s">
        <v>82</v>
      </c>
      <c r="G64" s="32">
        <v>100</v>
      </c>
      <c r="I64" s="63">
        <f t="shared" si="3"/>
        <v>100</v>
      </c>
      <c r="J64" s="4">
        <f>G64/VLOOKUP(A64,RESUME!$G$3:$I$10,3,FALSE)</f>
        <v>1.1475056554816235E-3</v>
      </c>
      <c r="K64" s="4" t="str">
        <f t="shared" si="4"/>
        <v/>
      </c>
      <c r="L64" s="1" t="str">
        <f>_xlfn.IFNA(VLOOKUP(A64&amp;"-"&amp;B64&amp;"-"&amp;D64,Ref_Account!$A:$F,6,FALSE),"ACCOUNT TIDAK DITEMUKAN")</f>
        <v>1201.630770</v>
      </c>
      <c r="N64" s="1">
        <f>IF(L64="ACCOUNT TIDAK DITEMUKAN","9999",COUNTIF($L$6:$L$162,L64))</f>
        <v>1</v>
      </c>
      <c r="O64" s="36" t="str">
        <f t="shared" si="5"/>
        <v>OK</v>
      </c>
    </row>
    <row r="65" spans="1:15" hidden="1" x14ac:dyDescent="0.25">
      <c r="A65" s="1" t="s">
        <v>67</v>
      </c>
      <c r="B65" s="35" t="s">
        <v>106</v>
      </c>
      <c r="C65" s="1" t="s">
        <v>107</v>
      </c>
      <c r="D65" s="2" t="s">
        <v>13</v>
      </c>
      <c r="E65" s="2" t="s">
        <v>82</v>
      </c>
      <c r="G65" s="32">
        <v>100</v>
      </c>
      <c r="I65" s="63">
        <f t="shared" si="3"/>
        <v>100</v>
      </c>
      <c r="J65" s="4">
        <f>G65/VLOOKUP(A65,RESUME!$G$3:$I$10,3,FALSE)</f>
        <v>1.1475056554816235E-3</v>
      </c>
      <c r="K65" s="4" t="str">
        <f t="shared" si="4"/>
        <v/>
      </c>
      <c r="L65" s="1" t="str">
        <f>_xlfn.IFNA(VLOOKUP(A65&amp;"-"&amp;B65&amp;"-"&amp;D65,Ref_Account!$A:$F,6,FALSE),"ACCOUNT TIDAK DITEMUKAN")</f>
        <v>1201.630750</v>
      </c>
      <c r="N65" s="1">
        <f>IF(L65="ACCOUNT TIDAK DITEMUKAN","9999",COUNTIF($L$6:$L$162,L65))</f>
        <v>1</v>
      </c>
      <c r="O65" s="36" t="str">
        <f t="shared" si="5"/>
        <v>OK</v>
      </c>
    </row>
    <row r="66" spans="1:15" hidden="1" x14ac:dyDescent="0.25">
      <c r="A66" s="1" t="s">
        <v>67</v>
      </c>
      <c r="B66" s="35" t="s">
        <v>108</v>
      </c>
      <c r="C66" s="1" t="s">
        <v>109</v>
      </c>
      <c r="D66" s="2" t="s">
        <v>13</v>
      </c>
      <c r="E66" s="2" t="s">
        <v>82</v>
      </c>
      <c r="G66" s="32">
        <v>100</v>
      </c>
      <c r="H66" s="6">
        <v>510.61</v>
      </c>
      <c r="I66" s="66">
        <f t="shared" si="3"/>
        <v>-410.61</v>
      </c>
      <c r="J66" s="4">
        <f>G66/VLOOKUP(A66,RESUME!$G$3:$I$10,3,FALSE)</f>
        <v>1.1475056554816235E-3</v>
      </c>
      <c r="K66" s="4">
        <f t="shared" si="4"/>
        <v>2.2473231144741064E-4</v>
      </c>
      <c r="L66" s="1" t="str">
        <f>_xlfn.IFNA(VLOOKUP(A66&amp;"-"&amp;B66&amp;"-"&amp;D66,Ref_Account!$A:$F,6,FALSE),"ACCOUNT TIDAK DITEMUKAN")</f>
        <v>1201.630720</v>
      </c>
      <c r="N66" s="1">
        <f>IF(L66="ACCOUNT TIDAK DITEMUKAN","9999",COUNTIF($L$6:$L$162,L66))</f>
        <v>1</v>
      </c>
      <c r="O66" s="36" t="str">
        <f t="shared" si="5"/>
        <v>OVER</v>
      </c>
    </row>
    <row r="67" spans="1:15" hidden="1" x14ac:dyDescent="0.25">
      <c r="A67" s="1" t="s">
        <v>67</v>
      </c>
      <c r="B67" s="35" t="s">
        <v>110</v>
      </c>
      <c r="C67" s="1" t="s">
        <v>111</v>
      </c>
      <c r="D67" s="2" t="s">
        <v>13</v>
      </c>
      <c r="E67" s="2" t="s">
        <v>82</v>
      </c>
      <c r="G67" s="32">
        <v>100</v>
      </c>
      <c r="I67" s="63">
        <f t="shared" si="3"/>
        <v>100</v>
      </c>
      <c r="J67" s="4">
        <f>G67/VLOOKUP(A67,RESUME!$G$3:$I$10,3,FALSE)</f>
        <v>1.1475056554816235E-3</v>
      </c>
      <c r="K67" s="4" t="str">
        <f t="shared" si="4"/>
        <v/>
      </c>
      <c r="L67" s="1" t="str">
        <f>_xlfn.IFNA(VLOOKUP(A67&amp;"-"&amp;B67&amp;"-"&amp;D67,Ref_Account!$A:$F,6,FALSE),"ACCOUNT TIDAK DITEMUKAN")</f>
        <v>1201.630760</v>
      </c>
      <c r="N67" s="1">
        <f>IF(L67="ACCOUNT TIDAK DITEMUKAN","9999",COUNTIF($L$6:$L$162,L67))</f>
        <v>1</v>
      </c>
      <c r="O67" s="36" t="str">
        <f t="shared" si="5"/>
        <v>OK</v>
      </c>
    </row>
    <row r="68" spans="1:15" hidden="1" x14ac:dyDescent="0.25">
      <c r="A68" s="1" t="s">
        <v>67</v>
      </c>
      <c r="B68" s="35" t="s">
        <v>110</v>
      </c>
      <c r="C68" s="1" t="s">
        <v>111</v>
      </c>
      <c r="D68" s="2" t="s">
        <v>24</v>
      </c>
      <c r="E68" s="2" t="s">
        <v>75</v>
      </c>
      <c r="G68" s="32">
        <v>250</v>
      </c>
      <c r="I68" s="63">
        <f t="shared" ref="I68:I99" si="6">G68-H68</f>
        <v>250</v>
      </c>
      <c r="J68" s="4">
        <f>G68/VLOOKUP(A68,RESUME!$G$3:$I$10,3,FALSE)</f>
        <v>2.8687641387040589E-3</v>
      </c>
      <c r="K68" s="4" t="str">
        <f t="shared" ref="K68:K99" si="7">IFERROR((G68/H68)*J68,"")</f>
        <v/>
      </c>
      <c r="L68" s="1" t="str">
        <f>_xlfn.IFNA(VLOOKUP(A68&amp;"-"&amp;B68&amp;"-"&amp;D68,Ref_Account!$A:$F,6,FALSE),"ACCOUNT TIDAK DITEMUKAN")</f>
        <v>1205.630760</v>
      </c>
      <c r="N68" s="1">
        <f>IF(L68="ACCOUNT TIDAK DITEMUKAN","9999",COUNTIF($L$6:$L$162,L68))</f>
        <v>1</v>
      </c>
      <c r="O68" s="36" t="str">
        <f t="shared" ref="O68:O99" si="8">IF(I68&gt;0,"OK","OVER")</f>
        <v>OK</v>
      </c>
    </row>
    <row r="69" spans="1:15" hidden="1" x14ac:dyDescent="0.25">
      <c r="A69" s="1" t="s">
        <v>67</v>
      </c>
      <c r="B69" s="35" t="s">
        <v>110</v>
      </c>
      <c r="C69" s="1" t="s">
        <v>111</v>
      </c>
      <c r="D69" s="2" t="s">
        <v>15</v>
      </c>
      <c r="E69" s="2" t="s">
        <v>75</v>
      </c>
      <c r="G69" s="32">
        <v>300</v>
      </c>
      <c r="I69" s="63">
        <f t="shared" si="6"/>
        <v>300</v>
      </c>
      <c r="J69" s="4">
        <f>G69/VLOOKUP(A69,RESUME!$G$3:$I$10,3,FALSE)</f>
        <v>3.4425169664448704E-3</v>
      </c>
      <c r="K69" s="4" t="str">
        <f t="shared" si="7"/>
        <v/>
      </c>
      <c r="L69" s="1" t="str">
        <f>_xlfn.IFNA(VLOOKUP(A69&amp;"-"&amp;B69&amp;"-"&amp;D69,Ref_Account!$A:$F,6,FALSE),"ACCOUNT TIDAK DITEMUKAN")</f>
        <v>1204.630760</v>
      </c>
      <c r="N69" s="1">
        <f>IF(L69="ACCOUNT TIDAK DITEMUKAN","9999",COUNTIF($L$6:$L$162,L69))</f>
        <v>1</v>
      </c>
      <c r="O69" s="36" t="str">
        <f t="shared" si="8"/>
        <v>OK</v>
      </c>
    </row>
    <row r="70" spans="1:15" hidden="1" x14ac:dyDescent="0.25">
      <c r="A70" s="1" t="s">
        <v>67</v>
      </c>
      <c r="B70" s="35" t="s">
        <v>112</v>
      </c>
      <c r="C70" s="1" t="s">
        <v>113</v>
      </c>
      <c r="D70" s="2" t="s">
        <v>13</v>
      </c>
      <c r="E70" s="2" t="s">
        <v>82</v>
      </c>
      <c r="G70" s="32">
        <v>100</v>
      </c>
      <c r="I70" s="63">
        <f t="shared" si="6"/>
        <v>100</v>
      </c>
      <c r="J70" s="4">
        <f>G70/VLOOKUP(A70,RESUME!$G$3:$I$10,3,FALSE)</f>
        <v>1.1475056554816235E-3</v>
      </c>
      <c r="K70" s="4" t="str">
        <f t="shared" si="7"/>
        <v/>
      </c>
      <c r="L70" s="1" t="str">
        <f>_xlfn.IFNA(VLOOKUP(A70&amp;"-"&amp;B70&amp;"-"&amp;D70,Ref_Account!$A:$F,6,FALSE),"ACCOUNT TIDAK DITEMUKAN")</f>
        <v>1201.630730</v>
      </c>
      <c r="N70" s="1">
        <f>IF(L70="ACCOUNT TIDAK DITEMUKAN","9999",COUNTIF($L$6:$L$162,L70))</f>
        <v>1</v>
      </c>
      <c r="O70" s="36" t="str">
        <f t="shared" si="8"/>
        <v>OK</v>
      </c>
    </row>
    <row r="71" spans="1:15" hidden="1" x14ac:dyDescent="0.25">
      <c r="A71" s="1" t="s">
        <v>67</v>
      </c>
      <c r="B71" s="35" t="s">
        <v>114</v>
      </c>
      <c r="C71" s="1" t="s">
        <v>115</v>
      </c>
      <c r="D71" s="2" t="s">
        <v>13</v>
      </c>
      <c r="E71" s="2" t="s">
        <v>82</v>
      </c>
      <c r="G71" s="32">
        <v>100</v>
      </c>
      <c r="I71" s="63">
        <f t="shared" si="6"/>
        <v>100</v>
      </c>
      <c r="J71" s="4">
        <f>G71/VLOOKUP(A71,RESUME!$G$3:$I$10,3,FALSE)</f>
        <v>1.1475056554816235E-3</v>
      </c>
      <c r="K71" s="4" t="str">
        <f t="shared" si="7"/>
        <v/>
      </c>
      <c r="L71" s="1" t="str">
        <f>_xlfn.IFNA(VLOOKUP(A71&amp;"-"&amp;B71&amp;"-"&amp;D71,Ref_Account!$A:$F,6,FALSE),"ACCOUNT TIDAK DITEMUKAN")</f>
        <v>1201.630740</v>
      </c>
      <c r="N71" s="1">
        <f>IF(L71="ACCOUNT TIDAK DITEMUKAN","9999",COUNTIF($L$6:$L$162,L71))</f>
        <v>1</v>
      </c>
      <c r="O71" s="36" t="str">
        <f t="shared" si="8"/>
        <v>OK</v>
      </c>
    </row>
    <row r="72" spans="1:15" hidden="1" x14ac:dyDescent="0.25">
      <c r="A72" s="1" t="s">
        <v>67</v>
      </c>
      <c r="B72" s="35" t="s">
        <v>116</v>
      </c>
      <c r="C72" s="1" t="s">
        <v>117</v>
      </c>
      <c r="D72" s="2" t="s">
        <v>13</v>
      </c>
      <c r="E72" s="2" t="s">
        <v>75</v>
      </c>
      <c r="G72" s="32">
        <v>328.75</v>
      </c>
      <c r="H72" s="6">
        <v>854.27</v>
      </c>
      <c r="I72" s="66">
        <f t="shared" si="6"/>
        <v>-525.52</v>
      </c>
      <c r="J72" s="4">
        <f>G72/VLOOKUP(A72,RESUME!$G$3:$I$10,3,FALSE)</f>
        <v>3.7724248423958375E-3</v>
      </c>
      <c r="K72" s="4">
        <f t="shared" si="7"/>
        <v>1.4517478864265764E-3</v>
      </c>
      <c r="L72" s="1" t="str">
        <f>_xlfn.IFNA(VLOOKUP(A72&amp;"-"&amp;B72&amp;"-"&amp;D72,Ref_Account!$A:$F,6,FALSE),"ACCOUNT TIDAK DITEMUKAN")</f>
        <v>1201.810110</v>
      </c>
      <c r="N72" s="1">
        <f>IF(L72="ACCOUNT TIDAK DITEMUKAN","9999",COUNTIF($L$6:$L$162,L72))</f>
        <v>1</v>
      </c>
      <c r="O72" s="36" t="str">
        <f t="shared" si="8"/>
        <v>OVER</v>
      </c>
    </row>
    <row r="73" spans="1:15" hidden="1" x14ac:dyDescent="0.25">
      <c r="A73" s="1" t="s">
        <v>67</v>
      </c>
      <c r="B73" s="35" t="s">
        <v>116</v>
      </c>
      <c r="C73" s="1" t="s">
        <v>117</v>
      </c>
      <c r="D73" s="2" t="s">
        <v>101</v>
      </c>
      <c r="E73" s="2" t="s">
        <v>75</v>
      </c>
      <c r="G73" s="32">
        <v>109.79</v>
      </c>
      <c r="I73" s="67">
        <f t="shared" si="6"/>
        <v>109.79</v>
      </c>
      <c r="J73" s="4">
        <f>G73/VLOOKUP(A73,RESUME!$G$3:$I$10,3,FALSE)</f>
        <v>1.2598464591532744E-3</v>
      </c>
      <c r="K73" s="4" t="str">
        <f t="shared" si="7"/>
        <v/>
      </c>
      <c r="L73" s="1" t="str">
        <f>_xlfn.IFNA(VLOOKUP(A73&amp;"-"&amp;B73&amp;"-"&amp;D73,Ref_Account!$A:$F,6,FALSE),"ACCOUNT TIDAK DITEMUKAN")</f>
        <v>1206.810110</v>
      </c>
      <c r="N73" s="1">
        <f>IF(L73="ACCOUNT TIDAK DITEMUKAN","9999",COUNTIF($L$6:$L$162,L73))</f>
        <v>1</v>
      </c>
      <c r="O73" s="36" t="str">
        <f t="shared" si="8"/>
        <v>OK</v>
      </c>
    </row>
    <row r="74" spans="1:15" hidden="1" x14ac:dyDescent="0.25">
      <c r="A74" s="1" t="s">
        <v>67</v>
      </c>
      <c r="B74" s="35" t="s">
        <v>116</v>
      </c>
      <c r="C74" s="1" t="s">
        <v>117</v>
      </c>
      <c r="D74" s="2" t="s">
        <v>24</v>
      </c>
      <c r="E74" s="2" t="s">
        <v>75</v>
      </c>
      <c r="G74" s="32">
        <v>169.38</v>
      </c>
      <c r="H74" s="6">
        <v>50.62</v>
      </c>
      <c r="I74" s="67">
        <f t="shared" si="6"/>
        <v>118.75999999999999</v>
      </c>
      <c r="J74" s="4">
        <f>G74/VLOOKUP(A74,RESUME!$G$3:$I$10,3,FALSE)</f>
        <v>1.9436450792547739E-3</v>
      </c>
      <c r="K74" s="4">
        <f t="shared" si="7"/>
        <v>6.503646849549064E-3</v>
      </c>
      <c r="L74" s="1" t="str">
        <f>_xlfn.IFNA(VLOOKUP(A74&amp;"-"&amp;B74&amp;"-"&amp;D74,Ref_Account!$A:$F,6,FALSE),"ACCOUNT TIDAK DITEMUKAN")</f>
        <v>1205.810110</v>
      </c>
      <c r="N74" s="1">
        <f>IF(L74="ACCOUNT TIDAK DITEMUKAN","9999",COUNTIF($L$6:$L$162,L74))</f>
        <v>1</v>
      </c>
      <c r="O74" s="36" t="str">
        <f t="shared" si="8"/>
        <v>OK</v>
      </c>
    </row>
    <row r="75" spans="1:15" hidden="1" x14ac:dyDescent="0.25">
      <c r="A75" s="1" t="s">
        <v>67</v>
      </c>
      <c r="B75" s="35" t="s">
        <v>116</v>
      </c>
      <c r="C75" s="1" t="s">
        <v>117</v>
      </c>
      <c r="D75" s="2" t="s">
        <v>15</v>
      </c>
      <c r="E75" s="2" t="s">
        <v>75</v>
      </c>
      <c r="G75" s="32">
        <v>142.08000000000001</v>
      </c>
      <c r="H75" s="6">
        <v>60.12</v>
      </c>
      <c r="I75" s="67">
        <f t="shared" si="6"/>
        <v>81.960000000000008</v>
      </c>
      <c r="J75" s="4">
        <f>G75/VLOOKUP(A75,RESUME!$G$3:$I$10,3,FALSE)</f>
        <v>1.6303760353082908E-3</v>
      </c>
      <c r="K75" s="4">
        <f t="shared" si="7"/>
        <v>3.8530244028044244E-3</v>
      </c>
      <c r="L75" s="1" t="str">
        <f>_xlfn.IFNA(VLOOKUP(A75&amp;"-"&amp;B75&amp;"-"&amp;D75,Ref_Account!$A:$F,6,FALSE),"ACCOUNT TIDAK DITEMUKAN")</f>
        <v>1204.810110</v>
      </c>
      <c r="N75" s="1">
        <f>IF(L75="ACCOUNT TIDAK DITEMUKAN","9999",COUNTIF($L$6:$L$162,L75))</f>
        <v>1</v>
      </c>
      <c r="O75" s="36" t="str">
        <f t="shared" si="8"/>
        <v>OK</v>
      </c>
    </row>
    <row r="76" spans="1:15" hidden="1" x14ac:dyDescent="0.25">
      <c r="A76" s="1" t="s">
        <v>67</v>
      </c>
      <c r="B76" s="35" t="s">
        <v>118</v>
      </c>
      <c r="C76" s="1" t="s">
        <v>119</v>
      </c>
      <c r="D76" s="2" t="s">
        <v>13</v>
      </c>
      <c r="E76" s="2" t="s">
        <v>75</v>
      </c>
      <c r="G76" s="32">
        <v>4300</v>
      </c>
      <c r="H76" s="6">
        <v>2655.51</v>
      </c>
      <c r="I76" s="67">
        <f t="shared" si="6"/>
        <v>1644.4899999999998</v>
      </c>
      <c r="J76" s="4">
        <f>G76/VLOOKUP(A76,RESUME!$G$3:$I$10,3,FALSE)</f>
        <v>4.934274318570981E-2</v>
      </c>
      <c r="K76" s="4">
        <f t="shared" si="7"/>
        <v>7.9899452722283923E-2</v>
      </c>
      <c r="L76" s="1" t="str">
        <f>_xlfn.IFNA(VLOOKUP(A76&amp;"-"&amp;B76&amp;"-"&amp;D76,Ref_Account!$A:$F,6,FALSE),"ACCOUNT TIDAK DITEMUKAN")</f>
        <v>1201.630130</v>
      </c>
      <c r="N76" s="1">
        <f>IF(L76="ACCOUNT TIDAK DITEMUKAN","9999",COUNTIF($L$6:$L$162,L76))</f>
        <v>1</v>
      </c>
      <c r="O76" s="36" t="str">
        <f t="shared" si="8"/>
        <v>OK</v>
      </c>
    </row>
    <row r="77" spans="1:15" hidden="1" x14ac:dyDescent="0.25">
      <c r="A77" s="1" t="s">
        <v>67</v>
      </c>
      <c r="B77" s="35" t="s">
        <v>120</v>
      </c>
      <c r="C77" s="1" t="s">
        <v>121</v>
      </c>
      <c r="D77" s="2" t="s">
        <v>13</v>
      </c>
      <c r="E77" s="2" t="s">
        <v>122</v>
      </c>
      <c r="G77" s="32">
        <v>1495.98</v>
      </c>
      <c r="H77" s="6">
        <v>367.61</v>
      </c>
      <c r="I77" s="67">
        <f t="shared" si="6"/>
        <v>1128.3699999999999</v>
      </c>
      <c r="J77" s="4">
        <f>G77/VLOOKUP(A77,RESUME!$G$3:$I$10,3,FALSE)</f>
        <v>1.7166455104873992E-2</v>
      </c>
      <c r="K77" s="4">
        <f t="shared" si="7"/>
        <v>6.9858473675333627E-2</v>
      </c>
      <c r="L77" s="1" t="str">
        <f>_xlfn.IFNA(VLOOKUP(A77&amp;"-"&amp;B77&amp;"-"&amp;D77,Ref_Account!$A:$F,6,FALSE),"ACCOUNT TIDAK DITEMUKAN")</f>
        <v>1201.816130</v>
      </c>
      <c r="N77" s="1">
        <f>IF(L77="ACCOUNT TIDAK DITEMUKAN","9999",COUNTIF($L$6:$L$162,L77))</f>
        <v>1</v>
      </c>
      <c r="O77" s="36" t="str">
        <f t="shared" si="8"/>
        <v>OK</v>
      </c>
    </row>
    <row r="78" spans="1:15" hidden="1" x14ac:dyDescent="0.25">
      <c r="A78" s="1" t="s">
        <v>67</v>
      </c>
      <c r="B78" s="35" t="s">
        <v>120</v>
      </c>
      <c r="C78" s="1" t="s">
        <v>121</v>
      </c>
      <c r="D78" s="2" t="s">
        <v>101</v>
      </c>
      <c r="E78" s="2" t="s">
        <v>122</v>
      </c>
      <c r="G78" s="32">
        <v>516.97</v>
      </c>
      <c r="H78" s="6">
        <v>562.23</v>
      </c>
      <c r="I78" s="66">
        <f t="shared" si="6"/>
        <v>-45.259999999999991</v>
      </c>
      <c r="J78" s="4">
        <f>G78/VLOOKUP(A78,RESUME!$G$3:$I$10,3,FALSE)</f>
        <v>5.9322599871433493E-3</v>
      </c>
      <c r="K78" s="4">
        <f t="shared" si="7"/>
        <v>5.4547079407955773E-3</v>
      </c>
      <c r="L78" s="1" t="str">
        <f>_xlfn.IFNA(VLOOKUP(A78&amp;"-"&amp;B78&amp;"-"&amp;D78,Ref_Account!$A:$F,6,FALSE),"ACCOUNT TIDAK DITEMUKAN")</f>
        <v>1206.816130</v>
      </c>
      <c r="N78" s="1">
        <f>IF(L78="ACCOUNT TIDAK DITEMUKAN","9999",COUNTIF($L$6:$L$162,L78))</f>
        <v>1</v>
      </c>
      <c r="O78" s="36" t="str">
        <f t="shared" si="8"/>
        <v>OVER</v>
      </c>
    </row>
    <row r="79" spans="1:15" hidden="1" x14ac:dyDescent="0.25">
      <c r="A79" s="1" t="s">
        <v>67</v>
      </c>
      <c r="B79" s="35" t="s">
        <v>120</v>
      </c>
      <c r="C79" s="1" t="s">
        <v>121</v>
      </c>
      <c r="D79" s="2" t="s">
        <v>24</v>
      </c>
      <c r="E79" s="2" t="s">
        <v>122</v>
      </c>
      <c r="G79" s="32">
        <v>1463.62</v>
      </c>
      <c r="H79" s="6">
        <v>404.5</v>
      </c>
      <c r="I79" s="67">
        <f t="shared" si="6"/>
        <v>1059.1199999999999</v>
      </c>
      <c r="J79" s="4">
        <f>G79/VLOOKUP(A79,RESUME!$G$3:$I$10,3,FALSE)</f>
        <v>1.6795122274760137E-2</v>
      </c>
      <c r="K79" s="4">
        <f t="shared" si="7"/>
        <v>6.0770523767081412E-2</v>
      </c>
      <c r="L79" s="1" t="str">
        <f>_xlfn.IFNA(VLOOKUP(A79&amp;"-"&amp;B79&amp;"-"&amp;D79,Ref_Account!$A:$F,6,FALSE),"ACCOUNT TIDAK DITEMUKAN")</f>
        <v>1205.816130</v>
      </c>
      <c r="N79" s="1">
        <f>IF(L79="ACCOUNT TIDAK DITEMUKAN","9999",COUNTIF($L$6:$L$162,L79))</f>
        <v>1</v>
      </c>
      <c r="O79" s="36" t="str">
        <f t="shared" si="8"/>
        <v>OK</v>
      </c>
    </row>
    <row r="80" spans="1:15" hidden="1" x14ac:dyDescent="0.25">
      <c r="A80" s="1" t="s">
        <v>67</v>
      </c>
      <c r="B80" s="35" t="s">
        <v>120</v>
      </c>
      <c r="C80" s="1" t="s">
        <v>121</v>
      </c>
      <c r="D80" s="2" t="s">
        <v>15</v>
      </c>
      <c r="E80" s="2" t="s">
        <v>122</v>
      </c>
      <c r="G80" s="32">
        <v>1779.8599999999997</v>
      </c>
      <c r="H80" s="6">
        <v>353.89</v>
      </c>
      <c r="I80" s="67">
        <f t="shared" si="6"/>
        <v>1425.9699999999998</v>
      </c>
      <c r="J80" s="4">
        <f>G80/VLOOKUP(A80,RESUME!$G$3:$I$10,3,FALSE)</f>
        <v>2.042399415965522E-2</v>
      </c>
      <c r="K80" s="4">
        <f t="shared" si="7"/>
        <v>0.10272076138066613</v>
      </c>
      <c r="L80" s="1" t="str">
        <f>_xlfn.IFNA(VLOOKUP(A80&amp;"-"&amp;B80&amp;"-"&amp;D80,Ref_Account!$A:$F,6,FALSE),"ACCOUNT TIDAK DITEMUKAN")</f>
        <v>1204.816130</v>
      </c>
      <c r="N80" s="1">
        <f>IF(L80="ACCOUNT TIDAK DITEMUKAN","9999",COUNTIF($L$6:$L$162,L80))</f>
        <v>1</v>
      </c>
      <c r="O80" s="36" t="str">
        <f t="shared" si="8"/>
        <v>OK</v>
      </c>
    </row>
    <row r="81" spans="1:15" hidden="1" x14ac:dyDescent="0.25">
      <c r="A81" s="1" t="s">
        <v>67</v>
      </c>
      <c r="B81" s="35" t="s">
        <v>21</v>
      </c>
      <c r="C81" s="1" t="s">
        <v>123</v>
      </c>
      <c r="D81" s="2" t="s">
        <v>101</v>
      </c>
      <c r="E81" s="2" t="s">
        <v>75</v>
      </c>
      <c r="G81" s="32">
        <v>1115.46</v>
      </c>
      <c r="I81" s="67">
        <f t="shared" si="6"/>
        <v>1115.46</v>
      </c>
      <c r="J81" s="4">
        <f>G81/VLOOKUP(A81,RESUME!$G$3:$I$10,3,FALSE)</f>
        <v>1.2799966584635319E-2</v>
      </c>
      <c r="K81" s="4" t="str">
        <f t="shared" si="7"/>
        <v/>
      </c>
      <c r="L81" s="1" t="str">
        <f>_xlfn.IFNA(VLOOKUP(A81&amp;"-"&amp;B81&amp;"-"&amp;D81,Ref_Account!$A:$F,6,FALSE),"ACCOUNT TIDAK DITEMUKAN")</f>
        <v>1206.631100</v>
      </c>
      <c r="N81" s="1">
        <f>IF(L81="ACCOUNT TIDAK DITEMUKAN","9999",COUNTIF($L$6:$L$162,L81))</f>
        <v>1</v>
      </c>
      <c r="O81" s="36" t="str">
        <f t="shared" si="8"/>
        <v>OK</v>
      </c>
    </row>
    <row r="82" spans="1:15" hidden="1" x14ac:dyDescent="0.25">
      <c r="A82" s="1" t="s">
        <v>67</v>
      </c>
      <c r="B82" s="35" t="s">
        <v>124</v>
      </c>
      <c r="C82" s="1" t="s">
        <v>125</v>
      </c>
      <c r="D82" s="2" t="s">
        <v>13</v>
      </c>
      <c r="E82" s="2" t="s">
        <v>82</v>
      </c>
      <c r="G82" s="32">
        <v>651</v>
      </c>
      <c r="H82" s="6">
        <v>119.16</v>
      </c>
      <c r="I82" s="67">
        <f t="shared" si="6"/>
        <v>531.84</v>
      </c>
      <c r="J82" s="4">
        <f>G82/VLOOKUP(A82,RESUME!$G$3:$I$10,3,FALSE)</f>
        <v>7.4702618171853695E-3</v>
      </c>
      <c r="K82" s="4">
        <f t="shared" si="7"/>
        <v>4.081185333155149E-2</v>
      </c>
      <c r="L82" s="1" t="str">
        <f>_xlfn.IFNA(VLOOKUP(A82&amp;"-"&amp;B82&amp;"-"&amp;D82,Ref_Account!$A:$F,6,FALSE),"ACCOUNT TIDAK DITEMUKAN")</f>
        <v>1201.631110</v>
      </c>
      <c r="N82" s="1">
        <f>IF(L82="ACCOUNT TIDAK DITEMUKAN","9999",COUNTIF($L$6:$L$162,L82))</f>
        <v>1</v>
      </c>
      <c r="O82" s="36" t="str">
        <f t="shared" si="8"/>
        <v>OK</v>
      </c>
    </row>
    <row r="83" spans="1:15" hidden="1" x14ac:dyDescent="0.25">
      <c r="A83" s="1" t="s">
        <v>67</v>
      </c>
      <c r="B83" s="35" t="s">
        <v>126</v>
      </c>
      <c r="C83" s="1" t="s">
        <v>127</v>
      </c>
      <c r="D83" s="2" t="s">
        <v>13</v>
      </c>
      <c r="E83" s="2" t="s">
        <v>82</v>
      </c>
      <c r="G83" s="32">
        <v>466</v>
      </c>
      <c r="I83" s="67">
        <f t="shared" si="6"/>
        <v>466</v>
      </c>
      <c r="J83" s="4">
        <f>G83/VLOOKUP(A83,RESUME!$G$3:$I$10,3,FALSE)</f>
        <v>5.3473763545443653E-3</v>
      </c>
      <c r="K83" s="4" t="str">
        <f t="shared" si="7"/>
        <v/>
      </c>
      <c r="L83" s="1" t="str">
        <f>_xlfn.IFNA(VLOOKUP(A83&amp;"-"&amp;B83&amp;"-"&amp;D83,Ref_Account!$A:$F,6,FALSE),"ACCOUNT TIDAK DITEMUKAN")</f>
        <v>1201.631140</v>
      </c>
      <c r="N83" s="1">
        <f>IF(L83="ACCOUNT TIDAK DITEMUKAN","9999",COUNTIF($L$6:$L$162,L83))</f>
        <v>1</v>
      </c>
      <c r="O83" s="36" t="str">
        <f t="shared" si="8"/>
        <v>OK</v>
      </c>
    </row>
    <row r="84" spans="1:15" hidden="1" x14ac:dyDescent="0.25">
      <c r="A84" s="1" t="s">
        <v>67</v>
      </c>
      <c r="B84" s="35" t="s">
        <v>128</v>
      </c>
      <c r="C84" s="1" t="s">
        <v>129</v>
      </c>
      <c r="D84" s="2" t="s">
        <v>13</v>
      </c>
      <c r="E84" s="2" t="s">
        <v>75</v>
      </c>
      <c r="G84" s="32">
        <v>1388.61</v>
      </c>
      <c r="I84" s="67">
        <f t="shared" si="6"/>
        <v>1388.61</v>
      </c>
      <c r="J84" s="4">
        <f>G84/VLOOKUP(A84,RESUME!$G$3:$I$10,3,FALSE)</f>
        <v>1.5934378282583372E-2</v>
      </c>
      <c r="K84" s="4" t="str">
        <f t="shared" si="7"/>
        <v/>
      </c>
      <c r="L84" s="1" t="str">
        <f>_xlfn.IFNA(VLOOKUP(A84&amp;"-"&amp;B84&amp;"-"&amp;D84,Ref_Account!$A:$F,6,FALSE),"ACCOUNT TIDAK DITEMUKAN")</f>
        <v>1201.631000</v>
      </c>
      <c r="N84" s="1">
        <f>IF(L84="ACCOUNT TIDAK DITEMUKAN","9999",COUNTIF($L$6:$L$162,L84))</f>
        <v>1</v>
      </c>
      <c r="O84" s="36" t="str">
        <f t="shared" si="8"/>
        <v>OK</v>
      </c>
    </row>
    <row r="85" spans="1:15" hidden="1" x14ac:dyDescent="0.25">
      <c r="A85" s="1" t="s">
        <v>67</v>
      </c>
      <c r="B85" s="35" t="s">
        <v>130</v>
      </c>
      <c r="C85" s="1" t="s">
        <v>131</v>
      </c>
      <c r="D85" s="2" t="s">
        <v>13</v>
      </c>
      <c r="E85" s="2" t="s">
        <v>75</v>
      </c>
      <c r="G85" s="32">
        <v>221.29</v>
      </c>
      <c r="I85" s="67">
        <f t="shared" si="6"/>
        <v>221.29</v>
      </c>
      <c r="J85" s="4">
        <f>G85/VLOOKUP(A85,RESUME!$G$3:$I$10,3,FALSE)</f>
        <v>2.5393152650152848E-3</v>
      </c>
      <c r="K85" s="4" t="str">
        <f t="shared" si="7"/>
        <v/>
      </c>
      <c r="L85" s="1" t="str">
        <f>_xlfn.IFNA(VLOOKUP(A85&amp;"-"&amp;B85&amp;"-"&amp;D85,Ref_Account!$A:$F,6,FALSE),"ACCOUNT TIDAK DITEMUKAN")</f>
        <v>1201.815110</v>
      </c>
      <c r="N85" s="1">
        <f>IF(L85="ACCOUNT TIDAK DITEMUKAN","9999",COUNTIF($L$6:$L$162,L85))</f>
        <v>1</v>
      </c>
      <c r="O85" s="36" t="str">
        <f t="shared" si="8"/>
        <v>OK</v>
      </c>
    </row>
    <row r="86" spans="1:15" hidden="1" x14ac:dyDescent="0.25">
      <c r="A86" s="1" t="s">
        <v>67</v>
      </c>
      <c r="B86" s="35" t="s">
        <v>132</v>
      </c>
      <c r="C86" s="1" t="s">
        <v>133</v>
      </c>
      <c r="D86" s="2" t="s">
        <v>13</v>
      </c>
      <c r="E86" s="2" t="s">
        <v>75</v>
      </c>
      <c r="G86" s="32">
        <v>764.4</v>
      </c>
      <c r="I86" s="67">
        <f t="shared" si="6"/>
        <v>764.4</v>
      </c>
      <c r="J86" s="4">
        <f>G86/VLOOKUP(A86,RESUME!$G$3:$I$10,3,FALSE)</f>
        <v>8.7715332305015291E-3</v>
      </c>
      <c r="K86" s="4" t="str">
        <f t="shared" si="7"/>
        <v/>
      </c>
      <c r="L86" s="1" t="str">
        <f>_xlfn.IFNA(VLOOKUP(A86&amp;"-"&amp;B86&amp;"-"&amp;D86,Ref_Account!$A:$F,6,FALSE),"ACCOUNT TIDAK DITEMUKAN")</f>
        <v>1201.815120</v>
      </c>
      <c r="N86" s="1">
        <f>IF(L86="ACCOUNT TIDAK DITEMUKAN","9999",COUNTIF($L$6:$L$162,L86))</f>
        <v>1</v>
      </c>
      <c r="O86" s="36" t="str">
        <f t="shared" si="8"/>
        <v>OK</v>
      </c>
    </row>
    <row r="87" spans="1:15" hidden="1" x14ac:dyDescent="0.25">
      <c r="A87" s="1" t="s">
        <v>67</v>
      </c>
      <c r="B87" s="35" t="s">
        <v>134</v>
      </c>
      <c r="C87" s="1" t="s">
        <v>135</v>
      </c>
      <c r="D87" s="2" t="s">
        <v>13</v>
      </c>
      <c r="E87" s="2" t="s">
        <v>75</v>
      </c>
      <c r="G87" s="32">
        <v>255</v>
      </c>
      <c r="H87" s="6">
        <v>139.61000000000001</v>
      </c>
      <c r="I87" s="67">
        <f t="shared" si="6"/>
        <v>115.38999999999999</v>
      </c>
      <c r="J87" s="4">
        <f>G87/VLOOKUP(A87,RESUME!$G$3:$I$10,3,FALSE)</f>
        <v>2.9261394214781401E-3</v>
      </c>
      <c r="K87" s="4">
        <f t="shared" si="7"/>
        <v>5.3446425934884721E-3</v>
      </c>
      <c r="L87" s="1" t="str">
        <f>_xlfn.IFNA(VLOOKUP(A87&amp;"-"&amp;B87&amp;"-"&amp;D87,Ref_Account!$A:$F,6,FALSE),"ACCOUNT TIDAK DITEMUKAN")</f>
        <v>1201.802120</v>
      </c>
      <c r="N87" s="1">
        <f>IF(L87="ACCOUNT TIDAK DITEMUKAN","9999",COUNTIF($L$6:$L$162,L87))</f>
        <v>1</v>
      </c>
      <c r="O87" s="36" t="str">
        <f t="shared" si="8"/>
        <v>OK</v>
      </c>
    </row>
    <row r="88" spans="1:15" hidden="1" x14ac:dyDescent="0.25">
      <c r="A88" s="1" t="s">
        <v>67</v>
      </c>
      <c r="B88" s="35" t="s">
        <v>136</v>
      </c>
      <c r="C88" s="1" t="s">
        <v>137</v>
      </c>
      <c r="D88" s="2" t="s">
        <v>13</v>
      </c>
      <c r="E88" s="2" t="s">
        <v>75</v>
      </c>
      <c r="G88" s="32">
        <v>200</v>
      </c>
      <c r="I88" s="67">
        <f t="shared" si="6"/>
        <v>200</v>
      </c>
      <c r="J88" s="4">
        <f>G88/VLOOKUP(A88,RESUME!$G$3:$I$10,3,FALSE)</f>
        <v>2.2950113109632469E-3</v>
      </c>
      <c r="K88" s="4" t="str">
        <f t="shared" si="7"/>
        <v/>
      </c>
      <c r="L88" s="1" t="str">
        <f>_xlfn.IFNA(VLOOKUP(A88&amp;"-"&amp;B88&amp;"-"&amp;D88,Ref_Account!$A:$F,6,FALSE),"ACCOUNT TIDAK DITEMUKAN")</f>
        <v>1201.814110</v>
      </c>
      <c r="N88" s="1">
        <f>IF(L88="ACCOUNT TIDAK DITEMUKAN","9999",COUNTIF($L$6:$L$162,L88))</f>
        <v>1</v>
      </c>
      <c r="O88" s="36" t="str">
        <f t="shared" si="8"/>
        <v>OK</v>
      </c>
    </row>
    <row r="89" spans="1:15" hidden="1" x14ac:dyDescent="0.25">
      <c r="A89" s="1" t="s">
        <v>67</v>
      </c>
      <c r="B89" s="35" t="s">
        <v>138</v>
      </c>
      <c r="C89" s="1" t="s">
        <v>139</v>
      </c>
      <c r="D89" s="2" t="s">
        <v>13</v>
      </c>
      <c r="E89" s="2" t="s">
        <v>75</v>
      </c>
      <c r="G89" s="32">
        <v>464.37</v>
      </c>
      <c r="H89" s="6">
        <v>73.55</v>
      </c>
      <c r="I89" s="67">
        <f t="shared" si="6"/>
        <v>390.82</v>
      </c>
      <c r="J89" s="4">
        <f>G89/VLOOKUP(A89,RESUME!$G$3:$I$10,3,FALSE)</f>
        <v>5.3286720123600154E-3</v>
      </c>
      <c r="K89" s="4">
        <f t="shared" si="7"/>
        <v>3.3643445579600549E-2</v>
      </c>
      <c r="L89" s="1" t="str">
        <f>_xlfn.IFNA(VLOOKUP(A89&amp;"-"&amp;B89&amp;"-"&amp;D89,Ref_Account!$A:$F,6,FALSE),"ACCOUNT TIDAK DITEMUKAN")</f>
        <v>1201.630450</v>
      </c>
      <c r="N89" s="1">
        <f>IF(L89="ACCOUNT TIDAK DITEMUKAN","9999",COUNTIF($L$6:$L$162,L89))</f>
        <v>1</v>
      </c>
      <c r="O89" s="36" t="str">
        <f t="shared" si="8"/>
        <v>OK</v>
      </c>
    </row>
    <row r="90" spans="1:15" hidden="1" x14ac:dyDescent="0.25">
      <c r="A90" s="1" t="s">
        <v>67</v>
      </c>
      <c r="B90" s="35" t="s">
        <v>21</v>
      </c>
      <c r="C90" s="1" t="s">
        <v>140</v>
      </c>
      <c r="D90" s="2" t="s">
        <v>13</v>
      </c>
      <c r="E90" s="2" t="s">
        <v>75</v>
      </c>
      <c r="G90" s="32">
        <v>515.79999999999995</v>
      </c>
      <c r="H90" s="6">
        <v>442.95</v>
      </c>
      <c r="I90" s="67">
        <f t="shared" si="6"/>
        <v>72.849999999999966</v>
      </c>
      <c r="J90" s="4">
        <f>G90/VLOOKUP(A90,RESUME!$G$3:$I$10,3,FALSE)</f>
        <v>5.9188341709742135E-3</v>
      </c>
      <c r="K90" s="4">
        <f t="shared" si="7"/>
        <v>6.8922782828502067E-3</v>
      </c>
      <c r="L90" s="1" t="str">
        <f>_xlfn.IFNA(VLOOKUP(A90&amp;"-"&amp;B90&amp;"-"&amp;D90,Ref_Account!$A:$F,6,FALSE),"ACCOUNT TIDAK DITEMUKAN")</f>
        <v>1201.631100</v>
      </c>
      <c r="N90" s="1">
        <f>IF(L90="ACCOUNT TIDAK DITEMUKAN","9999",COUNTIF($L$6:$L$162,L90))</f>
        <v>3</v>
      </c>
      <c r="O90" s="36" t="str">
        <f t="shared" si="8"/>
        <v>OK</v>
      </c>
    </row>
    <row r="91" spans="1:15" hidden="1" x14ac:dyDescent="0.25">
      <c r="A91" s="1" t="s">
        <v>67</v>
      </c>
      <c r="B91" s="35" t="s">
        <v>21</v>
      </c>
      <c r="C91" s="1" t="s">
        <v>123</v>
      </c>
      <c r="D91" s="2" t="s">
        <v>13</v>
      </c>
      <c r="E91" s="2" t="s">
        <v>75</v>
      </c>
      <c r="G91" s="32">
        <v>1891.43</v>
      </c>
      <c r="I91" s="67">
        <f t="shared" si="6"/>
        <v>1891.43</v>
      </c>
      <c r="J91" s="4">
        <f>G91/VLOOKUP(A91,RESUME!$G$3:$I$10,3,FALSE)</f>
        <v>2.1704266219476073E-2</v>
      </c>
      <c r="K91" s="4" t="str">
        <f t="shared" si="7"/>
        <v/>
      </c>
      <c r="L91" s="1" t="str">
        <f>_xlfn.IFNA(VLOOKUP(A91&amp;"-"&amp;B91&amp;"-"&amp;D91,Ref_Account!$A:$F,6,FALSE),"ACCOUNT TIDAK DITEMUKAN")</f>
        <v>1201.631100</v>
      </c>
      <c r="N91" s="1">
        <f>IF(L91="ACCOUNT TIDAK DITEMUKAN","9999",COUNTIF($L$6:$L$162,L91))</f>
        <v>3</v>
      </c>
      <c r="O91" s="36" t="str">
        <f t="shared" si="8"/>
        <v>OK</v>
      </c>
    </row>
    <row r="92" spans="1:15" ht="16.5" hidden="1" customHeight="1" x14ac:dyDescent="0.25">
      <c r="A92" s="1" t="s">
        <v>67</v>
      </c>
      <c r="B92" s="35" t="s">
        <v>21</v>
      </c>
      <c r="C92" s="1" t="s">
        <v>123</v>
      </c>
      <c r="D92" s="2" t="s">
        <v>24</v>
      </c>
      <c r="E92" s="2" t="s">
        <v>75</v>
      </c>
      <c r="G92" s="32">
        <v>1328.48</v>
      </c>
      <c r="I92" s="67">
        <f t="shared" si="6"/>
        <v>1328.48</v>
      </c>
      <c r="J92" s="4">
        <f>G92/VLOOKUP(A92,RESUME!$G$3:$I$10,3,FALSE)</f>
        <v>1.5244383131942272E-2</v>
      </c>
      <c r="K92" s="4" t="str">
        <f t="shared" si="7"/>
        <v/>
      </c>
      <c r="L92" s="1" t="str">
        <f>_xlfn.IFNA(VLOOKUP(A92&amp;"-"&amp;B92&amp;"-"&amp;D92,Ref_Account!$A:$F,6,FALSE),"ACCOUNT TIDAK DITEMUKAN")</f>
        <v>1205.631100</v>
      </c>
      <c r="N92" s="1">
        <f>IF(L92="ACCOUNT TIDAK DITEMUKAN","9999",COUNTIF($L$6:$L$162,L92))</f>
        <v>3</v>
      </c>
      <c r="O92" s="36" t="str">
        <f t="shared" si="8"/>
        <v>OK</v>
      </c>
    </row>
    <row r="93" spans="1:15" hidden="1" x14ac:dyDescent="0.25">
      <c r="A93" s="1" t="s">
        <v>67</v>
      </c>
      <c r="B93" s="35" t="s">
        <v>21</v>
      </c>
      <c r="C93" s="1" t="s">
        <v>123</v>
      </c>
      <c r="D93" s="2" t="s">
        <v>15</v>
      </c>
      <c r="E93" s="2" t="s">
        <v>75</v>
      </c>
      <c r="G93" s="32">
        <v>1328.28</v>
      </c>
      <c r="I93" s="67">
        <f t="shared" si="6"/>
        <v>1328.28</v>
      </c>
      <c r="J93" s="4">
        <f>G93/VLOOKUP(A93,RESUME!$G$3:$I$10,3,FALSE)</f>
        <v>1.5242088120631308E-2</v>
      </c>
      <c r="K93" s="4" t="str">
        <f t="shared" si="7"/>
        <v/>
      </c>
      <c r="L93" s="1" t="str">
        <f>_xlfn.IFNA(VLOOKUP(A93&amp;"-"&amp;B93&amp;"-"&amp;D93,Ref_Account!$A:$F,6,FALSE),"ACCOUNT TIDAK DITEMUKAN")</f>
        <v>1204.631100</v>
      </c>
      <c r="N93" s="1">
        <f>IF(L93="ACCOUNT TIDAK DITEMUKAN","9999",COUNTIF($L$6:$L$162,L93))</f>
        <v>3</v>
      </c>
      <c r="O93" s="36" t="str">
        <f t="shared" si="8"/>
        <v>OK</v>
      </c>
    </row>
    <row r="94" spans="1:15" hidden="1" x14ac:dyDescent="0.25">
      <c r="A94" s="1" t="s">
        <v>141</v>
      </c>
      <c r="B94" s="35" t="s">
        <v>93</v>
      </c>
      <c r="C94" s="1" t="s">
        <v>94</v>
      </c>
      <c r="D94" s="2" t="s">
        <v>101</v>
      </c>
      <c r="E94" s="2" t="s">
        <v>95</v>
      </c>
      <c r="G94" s="32">
        <v>2736.7799999999997</v>
      </c>
      <c r="I94" s="67">
        <f t="shared" si="6"/>
        <v>2736.7799999999997</v>
      </c>
      <c r="J94" s="4">
        <f>G94/VLOOKUP(A94,RESUME!$G$3:$I$10,3,FALSE)</f>
        <v>2.7232510432328692E-2</v>
      </c>
      <c r="K94" s="4" t="str">
        <f t="shared" si="7"/>
        <v/>
      </c>
      <c r="L94" s="1" t="str">
        <f>_xlfn.IFNA(VLOOKUP(A94&amp;"-"&amp;B94&amp;"-"&amp;D94,Ref_Account!$A:$F,6,FALSE),"ACCOUNT TIDAK DITEMUKAN")</f>
        <v>1206.801160</v>
      </c>
      <c r="N94" s="1">
        <f>IF(L94="ACCOUNT TIDAK DITEMUKAN","9999",COUNTIF($L$6:$L$162,L94))</f>
        <v>1</v>
      </c>
      <c r="O94" s="36" t="str">
        <f t="shared" si="8"/>
        <v>OK</v>
      </c>
    </row>
    <row r="95" spans="1:15" hidden="1" x14ac:dyDescent="0.25">
      <c r="A95" s="1" t="s">
        <v>141</v>
      </c>
      <c r="B95" s="35" t="s">
        <v>102</v>
      </c>
      <c r="C95" s="1" t="s">
        <v>103</v>
      </c>
      <c r="D95" s="2" t="s">
        <v>101</v>
      </c>
      <c r="E95" s="2" t="s">
        <v>75</v>
      </c>
      <c r="G95" s="32">
        <v>200</v>
      </c>
      <c r="I95" s="67">
        <f t="shared" si="6"/>
        <v>200</v>
      </c>
      <c r="J95" s="4">
        <f>G95/VLOOKUP(A95,RESUME!$G$3:$I$10,3,FALSE)</f>
        <v>1.990113230316554E-3</v>
      </c>
      <c r="K95" s="4" t="str">
        <f t="shared" si="7"/>
        <v/>
      </c>
      <c r="L95" s="1" t="str">
        <f>_xlfn.IFNA(VLOOKUP(A95&amp;"-"&amp;B95&amp;"-"&amp;D95,Ref_Account!$A:$F,6,FALSE),"ACCOUNT TIDAK DITEMUKAN")</f>
        <v>1206.630710</v>
      </c>
      <c r="N95" s="1">
        <f>IF(L95="ACCOUNT TIDAK DITEMUKAN","9999",COUNTIF($L$6:$L$162,L95))</f>
        <v>1</v>
      </c>
      <c r="O95" s="36" t="str">
        <f t="shared" si="8"/>
        <v>OK</v>
      </c>
    </row>
    <row r="96" spans="1:15" hidden="1" x14ac:dyDescent="0.25">
      <c r="A96" s="1" t="s">
        <v>141</v>
      </c>
      <c r="B96" s="35" t="s">
        <v>118</v>
      </c>
      <c r="C96" s="1" t="s">
        <v>119</v>
      </c>
      <c r="D96" s="2" t="s">
        <v>101</v>
      </c>
      <c r="E96" s="2" t="s">
        <v>95</v>
      </c>
      <c r="G96" s="32">
        <v>1460</v>
      </c>
      <c r="H96" s="6">
        <v>2181.4299999999998</v>
      </c>
      <c r="I96" s="66">
        <f t="shared" si="6"/>
        <v>-721.42999999999984</v>
      </c>
      <c r="J96" s="4">
        <f>G96/VLOOKUP(A96,RESUME!$G$3:$I$10,3,FALSE)</f>
        <v>1.4527826581310844E-2</v>
      </c>
      <c r="K96" s="4">
        <f t="shared" si="7"/>
        <v>9.7232672186198209E-3</v>
      </c>
      <c r="L96" s="1" t="str">
        <f>_xlfn.IFNA(VLOOKUP(A96&amp;"-"&amp;B96&amp;"-"&amp;D96,Ref_Account!$A:$F,6,FALSE),"ACCOUNT TIDAK DITEMUKAN")</f>
        <v>1206.630130</v>
      </c>
      <c r="N96" s="1">
        <f>IF(L96="ACCOUNT TIDAK DITEMUKAN","9999",COUNTIF($L$6:$L$162,L96))</f>
        <v>1</v>
      </c>
      <c r="O96" s="36" t="str">
        <f t="shared" si="8"/>
        <v>OVER</v>
      </c>
    </row>
    <row r="97" spans="1:15" hidden="1" x14ac:dyDescent="0.25">
      <c r="A97" s="1" t="s">
        <v>141</v>
      </c>
      <c r="B97" s="35" t="s">
        <v>128</v>
      </c>
      <c r="C97" s="1" t="s">
        <v>129</v>
      </c>
      <c r="D97" s="2" t="s">
        <v>101</v>
      </c>
      <c r="E97" s="2" t="s">
        <v>75</v>
      </c>
      <c r="G97" s="32">
        <v>4235.2299999999996</v>
      </c>
      <c r="I97" s="63">
        <f t="shared" si="6"/>
        <v>4235.2299999999996</v>
      </c>
      <c r="J97" s="4">
        <f>G97/VLOOKUP(A97,RESUME!$G$3:$I$10,3,FALSE)</f>
        <v>4.2142936282167892E-2</v>
      </c>
      <c r="K97" s="4" t="str">
        <f t="shared" si="7"/>
        <v/>
      </c>
      <c r="L97" s="1" t="str">
        <f>_xlfn.IFNA(VLOOKUP(A97&amp;"-"&amp;B97&amp;"-"&amp;D97,Ref_Account!$A:$F,6,FALSE),"ACCOUNT TIDAK DITEMUKAN")</f>
        <v>1206.631000</v>
      </c>
      <c r="N97" s="1">
        <f>IF(L97="ACCOUNT TIDAK DITEMUKAN","9999",COUNTIF($L$6:$L$162,L97))</f>
        <v>1</v>
      </c>
      <c r="O97" s="36" t="str">
        <f t="shared" si="8"/>
        <v>OK</v>
      </c>
    </row>
    <row r="98" spans="1:15" hidden="1" x14ac:dyDescent="0.25">
      <c r="A98" s="1" t="s">
        <v>141</v>
      </c>
      <c r="B98" s="35" t="s">
        <v>130</v>
      </c>
      <c r="C98" s="1" t="s">
        <v>142</v>
      </c>
      <c r="D98" s="2" t="s">
        <v>101</v>
      </c>
      <c r="E98" s="2" t="s">
        <v>75</v>
      </c>
      <c r="G98" s="32">
        <v>821.62</v>
      </c>
      <c r="I98" s="67">
        <f t="shared" si="6"/>
        <v>821.62</v>
      </c>
      <c r="J98" s="4">
        <f>G98/VLOOKUP(A98,RESUME!$G$3:$I$10,3,FALSE)</f>
        <v>8.175584161463436E-3</v>
      </c>
      <c r="K98" s="4" t="str">
        <f t="shared" si="7"/>
        <v/>
      </c>
      <c r="L98" s="1" t="str">
        <f>_xlfn.IFNA(VLOOKUP(A98&amp;"-"&amp;B98&amp;"-"&amp;D98,Ref_Account!$A:$F,6,FALSE),"ACCOUNT TIDAK DITEMUKAN")</f>
        <v>1206.815110</v>
      </c>
      <c r="N98" s="1">
        <f>IF(L98="ACCOUNT TIDAK DITEMUKAN","9999",COUNTIF($L$6:$L$162,L98))</f>
        <v>1</v>
      </c>
      <c r="O98" s="36" t="str">
        <f t="shared" si="8"/>
        <v>OK</v>
      </c>
    </row>
    <row r="99" spans="1:15" hidden="1" x14ac:dyDescent="0.25">
      <c r="A99" s="1" t="s">
        <v>141</v>
      </c>
      <c r="B99" s="35" t="s">
        <v>134</v>
      </c>
      <c r="C99" s="1" t="s">
        <v>135</v>
      </c>
      <c r="D99" s="2" t="s">
        <v>101</v>
      </c>
      <c r="E99" s="2" t="s">
        <v>75</v>
      </c>
      <c r="G99" s="32">
        <v>55</v>
      </c>
      <c r="I99" s="67">
        <f t="shared" si="6"/>
        <v>55</v>
      </c>
      <c r="J99" s="4">
        <f>G99/VLOOKUP(A99,RESUME!$G$3:$I$10,3,FALSE)</f>
        <v>5.4728113833705236E-4</v>
      </c>
      <c r="K99" s="4" t="str">
        <f t="shared" si="7"/>
        <v/>
      </c>
      <c r="L99" s="1" t="str">
        <f>_xlfn.IFNA(VLOOKUP(A99&amp;"-"&amp;B99&amp;"-"&amp;D99,Ref_Account!$A:$F,6,FALSE),"ACCOUNT TIDAK DITEMUKAN")</f>
        <v>1206.802120</v>
      </c>
      <c r="N99" s="1">
        <f>IF(L99="ACCOUNT TIDAK DITEMUKAN","9999",COUNTIF($L$6:$L$162,L99))</f>
        <v>1</v>
      </c>
      <c r="O99" s="36" t="str">
        <f t="shared" si="8"/>
        <v>OK</v>
      </c>
    </row>
    <row r="100" spans="1:15" hidden="1" x14ac:dyDescent="0.25">
      <c r="A100" s="1" t="s">
        <v>141</v>
      </c>
      <c r="B100" s="35" t="s">
        <v>138</v>
      </c>
      <c r="C100" s="1" t="s">
        <v>139</v>
      </c>
      <c r="D100" s="2" t="s">
        <v>101</v>
      </c>
      <c r="E100" s="2" t="s">
        <v>75</v>
      </c>
      <c r="G100" s="32">
        <v>20.09</v>
      </c>
      <c r="I100" s="67">
        <f t="shared" ref="I100:I131" si="9">G100-H100</f>
        <v>20.09</v>
      </c>
      <c r="J100" s="4">
        <f>G100/VLOOKUP(A100,RESUME!$G$3:$I$10,3,FALSE)</f>
        <v>1.9990687398529784E-4</v>
      </c>
      <c r="K100" s="4" t="str">
        <f t="shared" ref="K100:K131" si="10">IFERROR((G100/H100)*J100,"")</f>
        <v/>
      </c>
      <c r="L100" s="1" t="str">
        <f>_xlfn.IFNA(VLOOKUP(A100&amp;"-"&amp;B100&amp;"-"&amp;D100,Ref_Account!$A:$F,6,FALSE),"ACCOUNT TIDAK DITEMUKAN")</f>
        <v>1206.630450</v>
      </c>
      <c r="N100" s="1">
        <f>IF(L100="ACCOUNT TIDAK DITEMUKAN","9999",COUNTIF($L$6:$L$162,L100))</f>
        <v>1</v>
      </c>
      <c r="O100" s="36" t="str">
        <f t="shared" ref="O100:O131" si="11">IF(I100&gt;0,"OK","OVER")</f>
        <v>OK</v>
      </c>
    </row>
    <row r="101" spans="1:15" hidden="1" x14ac:dyDescent="0.25">
      <c r="A101" s="1" t="s">
        <v>141</v>
      </c>
      <c r="B101" s="35" t="s">
        <v>80</v>
      </c>
      <c r="C101" s="1" t="s">
        <v>81</v>
      </c>
      <c r="D101" s="2" t="s">
        <v>101</v>
      </c>
      <c r="E101" s="2" t="s">
        <v>143</v>
      </c>
      <c r="G101" s="32">
        <v>563</v>
      </c>
      <c r="H101" s="6">
        <v>84.77</v>
      </c>
      <c r="I101" s="67">
        <f t="shared" si="9"/>
        <v>478.23</v>
      </c>
      <c r="J101" s="4">
        <f>G101/VLOOKUP(A101,RESUME!$G$3:$I$10,3,FALSE)</f>
        <v>5.6021687433410999E-3</v>
      </c>
      <c r="K101" s="4">
        <f t="shared" si="10"/>
        <v>3.7206806682800984E-2</v>
      </c>
      <c r="L101" s="1" t="str">
        <f>_xlfn.IFNA(VLOOKUP(A101&amp;"-"&amp;B101&amp;"-"&amp;D101,Ref_Account!$A:$F,6,FALSE),"ACCOUNT TIDAK DITEMUKAN")</f>
        <v>1206.630300</v>
      </c>
      <c r="N101" s="1">
        <f>IF(L101="ACCOUNT TIDAK DITEMUKAN","9999",COUNTIF($L$6:$L$162,L101))</f>
        <v>1</v>
      </c>
      <c r="O101" s="36" t="str">
        <f t="shared" si="11"/>
        <v>OK</v>
      </c>
    </row>
    <row r="102" spans="1:15" hidden="1" x14ac:dyDescent="0.25">
      <c r="A102" s="1" t="s">
        <v>141</v>
      </c>
      <c r="B102" s="35" t="s">
        <v>104</v>
      </c>
      <c r="C102" s="1" t="s">
        <v>105</v>
      </c>
      <c r="D102" s="2" t="s">
        <v>101</v>
      </c>
      <c r="E102" s="2" t="s">
        <v>143</v>
      </c>
      <c r="G102" s="32">
        <v>50</v>
      </c>
      <c r="I102" s="67">
        <f t="shared" si="9"/>
        <v>50</v>
      </c>
      <c r="J102" s="4">
        <f>G102/VLOOKUP(A102,RESUME!$G$3:$I$10,3,FALSE)</f>
        <v>4.9752830757913849E-4</v>
      </c>
      <c r="K102" s="4" t="str">
        <f t="shared" si="10"/>
        <v/>
      </c>
      <c r="L102" s="1" t="str">
        <f>_xlfn.IFNA(VLOOKUP(A102&amp;"-"&amp;B102&amp;"-"&amp;D102,Ref_Account!$A:$F,6,FALSE),"ACCOUNT TIDAK DITEMUKAN")</f>
        <v>1206.630770</v>
      </c>
      <c r="N102" s="1">
        <f>IF(L102="ACCOUNT TIDAK DITEMUKAN","9999",COUNTIF($L$6:$L$162,L102))</f>
        <v>1</v>
      </c>
      <c r="O102" s="36" t="str">
        <f t="shared" si="11"/>
        <v>OK</v>
      </c>
    </row>
    <row r="103" spans="1:15" hidden="1" x14ac:dyDescent="0.25">
      <c r="A103" s="1" t="s">
        <v>141</v>
      </c>
      <c r="B103" s="35" t="s">
        <v>106</v>
      </c>
      <c r="C103" s="1" t="s">
        <v>107</v>
      </c>
      <c r="D103" s="2" t="s">
        <v>101</v>
      </c>
      <c r="E103" s="2" t="s">
        <v>143</v>
      </c>
      <c r="G103" s="32">
        <v>50</v>
      </c>
      <c r="I103" s="67">
        <f t="shared" si="9"/>
        <v>50</v>
      </c>
      <c r="J103" s="4">
        <f>G103/VLOOKUP(A103,RESUME!$G$3:$I$10,3,FALSE)</f>
        <v>4.9752830757913849E-4</v>
      </c>
      <c r="K103" s="4" t="str">
        <f t="shared" si="10"/>
        <v/>
      </c>
      <c r="L103" s="1" t="str">
        <f>_xlfn.IFNA(VLOOKUP(A103&amp;"-"&amp;B103&amp;"-"&amp;D103,Ref_Account!$A:$F,6,FALSE),"ACCOUNT TIDAK DITEMUKAN")</f>
        <v>1206.630750</v>
      </c>
      <c r="N103" s="1">
        <f>IF(L103="ACCOUNT TIDAK DITEMUKAN","9999",COUNTIF($L$6:$L$162,L103))</f>
        <v>1</v>
      </c>
      <c r="O103" s="36" t="str">
        <f t="shared" si="11"/>
        <v>OK</v>
      </c>
    </row>
    <row r="104" spans="1:15" hidden="1" x14ac:dyDescent="0.25">
      <c r="A104" s="1" t="s">
        <v>141</v>
      </c>
      <c r="B104" s="35" t="s">
        <v>108</v>
      </c>
      <c r="C104" s="1" t="s">
        <v>109</v>
      </c>
      <c r="D104" s="2" t="s">
        <v>101</v>
      </c>
      <c r="E104" s="2" t="s">
        <v>143</v>
      </c>
      <c r="G104" s="32">
        <v>50</v>
      </c>
      <c r="I104" s="67">
        <f t="shared" si="9"/>
        <v>50</v>
      </c>
      <c r="J104" s="4">
        <f>G104/VLOOKUP(A104,RESUME!$G$3:$I$10,3,FALSE)</f>
        <v>4.9752830757913849E-4</v>
      </c>
      <c r="K104" s="4" t="str">
        <f t="shared" si="10"/>
        <v/>
      </c>
      <c r="L104" s="1" t="str">
        <f>_xlfn.IFNA(VLOOKUP(A104&amp;"-"&amp;B104&amp;"-"&amp;D104,Ref_Account!$A:$F,6,FALSE),"ACCOUNT TIDAK DITEMUKAN")</f>
        <v>1206.630720</v>
      </c>
      <c r="N104" s="1">
        <f>IF(L104="ACCOUNT TIDAK DITEMUKAN","9999",COUNTIF($L$6:$L$162,L104))</f>
        <v>1</v>
      </c>
      <c r="O104" s="36" t="str">
        <f t="shared" si="11"/>
        <v>OK</v>
      </c>
    </row>
    <row r="105" spans="1:15" hidden="1" x14ac:dyDescent="0.25">
      <c r="A105" s="1" t="s">
        <v>141</v>
      </c>
      <c r="B105" s="35" t="s">
        <v>110</v>
      </c>
      <c r="C105" s="1" t="s">
        <v>111</v>
      </c>
      <c r="D105" s="2" t="s">
        <v>101</v>
      </c>
      <c r="E105" s="2" t="s">
        <v>143</v>
      </c>
      <c r="G105" s="32">
        <v>50</v>
      </c>
      <c r="I105" s="67">
        <f t="shared" si="9"/>
        <v>50</v>
      </c>
      <c r="J105" s="4">
        <f>G105/VLOOKUP(A105,RESUME!$G$3:$I$10,3,FALSE)</f>
        <v>4.9752830757913849E-4</v>
      </c>
      <c r="K105" s="4" t="str">
        <f t="shared" si="10"/>
        <v/>
      </c>
      <c r="L105" s="1" t="str">
        <f>_xlfn.IFNA(VLOOKUP(A105&amp;"-"&amp;B105&amp;"-"&amp;D105,Ref_Account!$A:$F,6,FALSE),"ACCOUNT TIDAK DITEMUKAN")</f>
        <v>1206.630760</v>
      </c>
      <c r="N105" s="1">
        <f>IF(L105="ACCOUNT TIDAK DITEMUKAN","9999",COUNTIF($L$6:$L$162,L105))</f>
        <v>1</v>
      </c>
      <c r="O105" s="36" t="str">
        <f t="shared" si="11"/>
        <v>OK</v>
      </c>
    </row>
    <row r="106" spans="1:15" hidden="1" x14ac:dyDescent="0.25">
      <c r="A106" s="1" t="s">
        <v>141</v>
      </c>
      <c r="B106" s="35" t="s">
        <v>112</v>
      </c>
      <c r="C106" s="1" t="s">
        <v>113</v>
      </c>
      <c r="D106" s="2" t="s">
        <v>101</v>
      </c>
      <c r="E106" s="2" t="s">
        <v>143</v>
      </c>
      <c r="G106" s="32">
        <v>50</v>
      </c>
      <c r="I106" s="67">
        <f t="shared" si="9"/>
        <v>50</v>
      </c>
      <c r="J106" s="4">
        <f>G106/VLOOKUP(A106,RESUME!$G$3:$I$10,3,FALSE)</f>
        <v>4.9752830757913849E-4</v>
      </c>
      <c r="K106" s="4" t="str">
        <f t="shared" si="10"/>
        <v/>
      </c>
      <c r="L106" s="1" t="str">
        <f>_xlfn.IFNA(VLOOKUP(A106&amp;"-"&amp;B106&amp;"-"&amp;D106,Ref_Account!$A:$F,6,FALSE),"ACCOUNT TIDAK DITEMUKAN")</f>
        <v>1206.630730</v>
      </c>
      <c r="N106" s="1">
        <f>IF(L106="ACCOUNT TIDAK DITEMUKAN","9999",COUNTIF($L$6:$L$162,L106))</f>
        <v>1</v>
      </c>
      <c r="O106" s="36" t="str">
        <f t="shared" si="11"/>
        <v>OK</v>
      </c>
    </row>
    <row r="107" spans="1:15" hidden="1" x14ac:dyDescent="0.25">
      <c r="A107" s="1" t="s">
        <v>141</v>
      </c>
      <c r="B107" s="35" t="s">
        <v>114</v>
      </c>
      <c r="C107" s="1" t="s">
        <v>115</v>
      </c>
      <c r="D107" s="2" t="s">
        <v>101</v>
      </c>
      <c r="E107" s="2" t="s">
        <v>143</v>
      </c>
      <c r="G107" s="32">
        <v>50</v>
      </c>
      <c r="I107" s="67">
        <f t="shared" si="9"/>
        <v>50</v>
      </c>
      <c r="J107" s="4">
        <f>G107/VLOOKUP(A107,RESUME!$G$3:$I$10,3,FALSE)</f>
        <v>4.9752830757913849E-4</v>
      </c>
      <c r="K107" s="4" t="str">
        <f t="shared" si="10"/>
        <v/>
      </c>
      <c r="L107" s="1" t="str">
        <f>_xlfn.IFNA(VLOOKUP(A107&amp;"-"&amp;B107&amp;"-"&amp;D107,Ref_Account!$A:$F,6,FALSE),"ACCOUNT TIDAK DITEMUKAN")</f>
        <v>1206.630740</v>
      </c>
      <c r="N107" s="1">
        <f>IF(L107="ACCOUNT TIDAK DITEMUKAN","9999",COUNTIF($L$6:$L$162,L107))</f>
        <v>1</v>
      </c>
      <c r="O107" s="36" t="str">
        <f t="shared" si="11"/>
        <v>OK</v>
      </c>
    </row>
    <row r="108" spans="1:15" hidden="1" x14ac:dyDescent="0.25">
      <c r="A108" s="1" t="s">
        <v>141</v>
      </c>
      <c r="B108" s="35" t="s">
        <v>124</v>
      </c>
      <c r="C108" s="1" t="s">
        <v>125</v>
      </c>
      <c r="D108" s="2" t="s">
        <v>101</v>
      </c>
      <c r="E108" s="2" t="s">
        <v>143</v>
      </c>
      <c r="G108" s="32">
        <v>3978</v>
      </c>
      <c r="H108" s="6">
        <v>2813.51</v>
      </c>
      <c r="I108" s="67">
        <f t="shared" si="9"/>
        <v>1164.4899999999998</v>
      </c>
      <c r="J108" s="4">
        <f>G108/VLOOKUP(A108,RESUME!$G$3:$I$10,3,FALSE)</f>
        <v>3.9583352150996259E-2</v>
      </c>
      <c r="K108" s="4">
        <f t="shared" si="10"/>
        <v>5.5966595056233359E-2</v>
      </c>
      <c r="L108" s="1" t="str">
        <f>_xlfn.IFNA(VLOOKUP(A108&amp;"-"&amp;B108&amp;"-"&amp;D108,Ref_Account!$A:$F,6,FALSE),"ACCOUNT TIDAK DITEMUKAN")</f>
        <v>1206.631110</v>
      </c>
      <c r="N108" s="1">
        <f>IF(L108="ACCOUNT TIDAK DITEMUKAN","9999",COUNTIF($L$6:$L$162,L108))</f>
        <v>1</v>
      </c>
      <c r="O108" s="36" t="str">
        <f t="shared" si="11"/>
        <v>OK</v>
      </c>
    </row>
    <row r="109" spans="1:15" hidden="1" x14ac:dyDescent="0.25">
      <c r="A109" s="1" t="s">
        <v>141</v>
      </c>
      <c r="B109" s="35" t="s">
        <v>70</v>
      </c>
      <c r="C109" s="1" t="s">
        <v>71</v>
      </c>
      <c r="D109" s="2" t="s">
        <v>101</v>
      </c>
      <c r="E109" s="2" t="s">
        <v>144</v>
      </c>
      <c r="G109" s="32">
        <v>5000</v>
      </c>
      <c r="H109" s="6">
        <v>3055.97</v>
      </c>
      <c r="I109" s="67">
        <f t="shared" si="9"/>
        <v>1944.0300000000002</v>
      </c>
      <c r="J109" s="4">
        <f>G109/VLOOKUP(A109,RESUME!$G$3:$I$10,3,FALSE)</f>
        <v>4.9752830757913848E-2</v>
      </c>
      <c r="K109" s="4">
        <f t="shared" si="10"/>
        <v>8.1402681894642046E-2</v>
      </c>
      <c r="L109" s="1" t="str">
        <f>_xlfn.IFNA(VLOOKUP(A109&amp;"-"&amp;B109&amp;"-"&amp;D109,Ref_Account!$A:$F,6,FALSE),"ACCOUNT TIDAK DITEMUKAN")</f>
        <v>1206.812100</v>
      </c>
      <c r="N109" s="1">
        <f>IF(L109="ACCOUNT TIDAK DITEMUKAN","9999",COUNTIF($L$6:$L$162,L109))</f>
        <v>1</v>
      </c>
      <c r="O109" s="36" t="str">
        <f t="shared" si="11"/>
        <v>OK</v>
      </c>
    </row>
    <row r="110" spans="1:15" hidden="1" x14ac:dyDescent="0.25">
      <c r="A110" s="1" t="s">
        <v>141</v>
      </c>
      <c r="B110" s="35" t="s">
        <v>76</v>
      </c>
      <c r="C110" s="1" t="s">
        <v>77</v>
      </c>
      <c r="D110" s="2" t="s">
        <v>101</v>
      </c>
      <c r="E110" s="2" t="s">
        <v>75</v>
      </c>
      <c r="G110" s="32">
        <v>3463.43</v>
      </c>
      <c r="H110" s="6">
        <v>3779.14</v>
      </c>
      <c r="I110" s="66">
        <f t="shared" si="9"/>
        <v>-315.71000000000004</v>
      </c>
      <c r="J110" s="4">
        <f>G110/VLOOKUP(A110,RESUME!$G$3:$I$10,3,FALSE)</f>
        <v>3.446308932637631E-2</v>
      </c>
      <c r="K110" s="4">
        <f t="shared" si="10"/>
        <v>3.1584036967577681E-2</v>
      </c>
      <c r="L110" s="1" t="str">
        <f>_xlfn.IFNA(VLOOKUP(A110&amp;"-"&amp;B110&amp;"-"&amp;D110,Ref_Account!$A:$F,6,FALSE),"ACCOUNT TIDAK DITEMUKAN")</f>
        <v>1206.630400</v>
      </c>
      <c r="N110" s="1">
        <f>IF(L110="ACCOUNT TIDAK DITEMUKAN","9999",COUNTIF($L$6:$L$162,L110))</f>
        <v>1</v>
      </c>
      <c r="O110" s="36" t="str">
        <f t="shared" si="11"/>
        <v>OVER</v>
      </c>
    </row>
    <row r="111" spans="1:15" hidden="1" x14ac:dyDescent="0.25">
      <c r="A111" s="1" t="s">
        <v>141</v>
      </c>
      <c r="B111" s="35" t="s">
        <v>87</v>
      </c>
      <c r="C111" s="1" t="s">
        <v>88</v>
      </c>
      <c r="D111" s="2" t="s">
        <v>101</v>
      </c>
      <c r="E111" s="2" t="s">
        <v>75</v>
      </c>
      <c r="G111" s="32">
        <v>23.95</v>
      </c>
      <c r="I111" s="67">
        <f t="shared" si="9"/>
        <v>23.95</v>
      </c>
      <c r="J111" s="4">
        <f>G111/VLOOKUP(A111,RESUME!$G$3:$I$10,3,FALSE)</f>
        <v>2.3831605933040734E-4</v>
      </c>
      <c r="K111" s="4" t="str">
        <f t="shared" si="10"/>
        <v/>
      </c>
      <c r="L111" s="1" t="str">
        <f>_xlfn.IFNA(VLOOKUP(A111&amp;"-"&amp;B111&amp;"-"&amp;D111,Ref_Account!$A:$F,6,FALSE),"ACCOUNT TIDAK DITEMUKAN")</f>
        <v>1206.808100</v>
      </c>
      <c r="N111" s="1">
        <f>IF(L111="ACCOUNT TIDAK DITEMUKAN","9999",COUNTIF($L$6:$L$162,L111))</f>
        <v>1</v>
      </c>
      <c r="O111" s="36" t="str">
        <f t="shared" si="11"/>
        <v>OK</v>
      </c>
    </row>
    <row r="112" spans="1:15" hidden="1" x14ac:dyDescent="0.25">
      <c r="A112" s="1" t="s">
        <v>141</v>
      </c>
      <c r="B112" s="35" t="s">
        <v>96</v>
      </c>
      <c r="C112" s="1" t="s">
        <v>97</v>
      </c>
      <c r="D112" s="2" t="s">
        <v>101</v>
      </c>
      <c r="E112" s="2" t="s">
        <v>145</v>
      </c>
      <c r="G112" s="32">
        <v>47747.46</v>
      </c>
      <c r="I112" s="67">
        <f t="shared" si="9"/>
        <v>47747.46</v>
      </c>
      <c r="J112" s="4">
        <f>G112/VLOOKUP(A112,RESUME!$G$3:$I$10,3,FALSE)</f>
        <v>0.47511425930005224</v>
      </c>
      <c r="K112" s="4" t="str">
        <f t="shared" si="10"/>
        <v/>
      </c>
      <c r="L112" s="1" t="str">
        <f>_xlfn.IFNA(VLOOKUP(A112&amp;"-"&amp;B112&amp;"-"&amp;D112,Ref_Account!$A:$F,6,FALSE),"ACCOUNT TIDAK DITEMUKAN")</f>
        <v>1206.630110</v>
      </c>
      <c r="N112" s="1">
        <f>IF(L112="ACCOUNT TIDAK DITEMUKAN","9999",COUNTIF($L$6:$L$162,L112))</f>
        <v>1</v>
      </c>
      <c r="O112" s="36" t="str">
        <f t="shared" si="11"/>
        <v>OK</v>
      </c>
    </row>
    <row r="113" spans="1:15" hidden="1" x14ac:dyDescent="0.25">
      <c r="A113" s="1" t="s">
        <v>141</v>
      </c>
      <c r="B113" s="35" t="s">
        <v>146</v>
      </c>
      <c r="C113" s="1" t="s">
        <v>147</v>
      </c>
      <c r="D113" s="2" t="s">
        <v>101</v>
      </c>
      <c r="E113" s="2" t="s">
        <v>148</v>
      </c>
      <c r="G113" s="32">
        <v>2800</v>
      </c>
      <c r="I113" s="67">
        <f t="shared" si="9"/>
        <v>2800</v>
      </c>
      <c r="J113" s="4">
        <f>G113/VLOOKUP(A113,RESUME!$G$3:$I$10,3,FALSE)</f>
        <v>2.7861585224431756E-2</v>
      </c>
      <c r="K113" s="4" t="str">
        <f t="shared" si="10"/>
        <v/>
      </c>
      <c r="L113" s="1" t="str">
        <f>_xlfn.IFNA(VLOOKUP(A113&amp;"-"&amp;B113&amp;"-"&amp;D113,Ref_Account!$A:$F,6,FALSE),"ACCOUNT TIDAK DITEMUKAN")</f>
        <v>1206.801110</v>
      </c>
      <c r="N113" s="1">
        <f>IF(L113="ACCOUNT TIDAK DITEMUKAN","9999",COUNTIF($L$6:$L$162,L113))</f>
        <v>1</v>
      </c>
      <c r="O113" s="36" t="str">
        <f t="shared" si="11"/>
        <v>OK</v>
      </c>
    </row>
    <row r="114" spans="1:15" hidden="1" x14ac:dyDescent="0.25">
      <c r="A114" s="1" t="s">
        <v>141</v>
      </c>
      <c r="B114" s="35" t="s">
        <v>26</v>
      </c>
      <c r="C114" s="1" t="s">
        <v>27</v>
      </c>
      <c r="D114" s="2" t="s">
        <v>101</v>
      </c>
      <c r="E114" s="2" t="s">
        <v>149</v>
      </c>
      <c r="G114" s="32">
        <v>812</v>
      </c>
      <c r="H114" s="6">
        <v>343.88</v>
      </c>
      <c r="I114" s="67">
        <f t="shared" si="9"/>
        <v>468.12</v>
      </c>
      <c r="J114" s="4">
        <f>G114/VLOOKUP(A114,RESUME!$G$3:$I$10,3,FALSE)</f>
        <v>8.0798597150852098E-3</v>
      </c>
      <c r="K114" s="4">
        <f t="shared" si="10"/>
        <v>1.907888242598927E-2</v>
      </c>
      <c r="L114" s="1" t="str">
        <f>_xlfn.IFNA(VLOOKUP(A114&amp;"-"&amp;B114&amp;"-"&amp;D114,Ref_Account!$A:$F,6,FALSE),"ACCOUNT TIDAK DITEMUKAN")</f>
        <v>1206.631180</v>
      </c>
      <c r="N114" s="1">
        <f>IF(L114="ACCOUNT TIDAK DITEMUKAN","9999",COUNTIF($L$6:$L$162,L114))</f>
        <v>1</v>
      </c>
      <c r="O114" s="36" t="str">
        <f t="shared" si="11"/>
        <v>OK</v>
      </c>
    </row>
    <row r="115" spans="1:15" hidden="1" x14ac:dyDescent="0.25">
      <c r="A115" s="1" t="s">
        <v>141</v>
      </c>
      <c r="B115" s="35" t="s">
        <v>37</v>
      </c>
      <c r="C115" s="1" t="s">
        <v>38</v>
      </c>
      <c r="D115" s="2" t="s">
        <v>150</v>
      </c>
      <c r="E115" s="2" t="s">
        <v>151</v>
      </c>
      <c r="G115" s="32">
        <v>26280.234329731342</v>
      </c>
      <c r="I115" s="67">
        <f t="shared" si="9"/>
        <v>26280.234329731342</v>
      </c>
      <c r="J115" s="4">
        <f>G115/VLOOKUP(A115,RESUME!$G$3:$I$10,3,FALSE)</f>
        <v>0.26150321017708822</v>
      </c>
      <c r="K115" s="4" t="str">
        <f t="shared" si="10"/>
        <v/>
      </c>
      <c r="L115" s="1" t="str">
        <f>_xlfn.IFNA(VLOOKUP(A115&amp;"-"&amp;B115&amp;"-"&amp;D115,Ref_Account!$A:$F,6,FALSE),"ACCOUNT TIDAK DITEMUKAN")</f>
        <v>1206.630600</v>
      </c>
      <c r="N115" s="1">
        <f>IF(L115="ACCOUNT TIDAK DITEMUKAN","9999",COUNTIF($L$6:$L$162,L115))</f>
        <v>1</v>
      </c>
      <c r="O115" s="36" t="str">
        <f t="shared" si="11"/>
        <v>OK</v>
      </c>
    </row>
    <row r="116" spans="1:15" hidden="1" x14ac:dyDescent="0.25">
      <c r="A116" s="1" t="s">
        <v>328</v>
      </c>
      <c r="B116" s="35" t="s">
        <v>78</v>
      </c>
      <c r="C116" s="1" t="s">
        <v>79</v>
      </c>
      <c r="D116" s="2" t="s">
        <v>24</v>
      </c>
      <c r="E116" s="2" t="s">
        <v>72</v>
      </c>
      <c r="G116" s="32">
        <v>137.53</v>
      </c>
      <c r="I116" s="67">
        <f t="shared" si="9"/>
        <v>137.53</v>
      </c>
      <c r="J116" s="4">
        <f>G116/VLOOKUP(A116,RESUME!$G$3:$I$10,3,FALSE)</f>
        <v>5.5495675892985874E-4</v>
      </c>
      <c r="K116" s="4" t="str">
        <f t="shared" si="10"/>
        <v/>
      </c>
      <c r="L116" s="1" t="str">
        <f>_xlfn.IFNA(VLOOKUP(A116&amp;"-"&amp;B116&amp;"-"&amp;D116,Ref_Account!$A:$F,6,FALSE),"ACCOUNT TIDAK DITEMUKAN")</f>
        <v>1205.813100</v>
      </c>
      <c r="N116" s="1">
        <f>IF(L116="ACCOUNT TIDAK DITEMUKAN","9999",COUNTIF($L$6:$L$162,L116))</f>
        <v>1</v>
      </c>
      <c r="O116" s="36" t="str">
        <f t="shared" si="11"/>
        <v>OK</v>
      </c>
    </row>
    <row r="117" spans="1:15" hidden="1" x14ac:dyDescent="0.25">
      <c r="A117" s="1" t="s">
        <v>328</v>
      </c>
      <c r="B117" s="35" t="s">
        <v>93</v>
      </c>
      <c r="C117" s="1" t="s">
        <v>94</v>
      </c>
      <c r="D117" s="2" t="s">
        <v>24</v>
      </c>
      <c r="E117" s="2" t="s">
        <v>95</v>
      </c>
      <c r="G117" s="32">
        <v>5157.3999999999996</v>
      </c>
      <c r="I117" s="67">
        <f t="shared" si="9"/>
        <v>5157.3999999999996</v>
      </c>
      <c r="J117" s="4">
        <f>G117/VLOOKUP(A117,RESUME!$G$3:$I$10,3,FALSE)</f>
        <v>2.0810979339088584E-2</v>
      </c>
      <c r="K117" s="4" t="str">
        <f t="shared" si="10"/>
        <v/>
      </c>
      <c r="L117" s="1" t="str">
        <f>_xlfn.IFNA(VLOOKUP(A117&amp;"-"&amp;B117&amp;"-"&amp;D117,Ref_Account!$A:$F,6,FALSE),"ACCOUNT TIDAK DITEMUKAN")</f>
        <v>1205.801160</v>
      </c>
      <c r="N117" s="1">
        <f>IF(L117="ACCOUNT TIDAK DITEMUKAN","9999",COUNTIF($L$6:$L$162,L117))</f>
        <v>1</v>
      </c>
      <c r="O117" s="36" t="str">
        <f t="shared" si="11"/>
        <v>OK</v>
      </c>
    </row>
    <row r="118" spans="1:15" hidden="1" x14ac:dyDescent="0.25">
      <c r="A118" s="1" t="s">
        <v>328</v>
      </c>
      <c r="B118" s="35" t="s">
        <v>102</v>
      </c>
      <c r="C118" s="1" t="s">
        <v>103</v>
      </c>
      <c r="D118" s="2" t="s">
        <v>24</v>
      </c>
      <c r="E118" s="2" t="s">
        <v>75</v>
      </c>
      <c r="G118" s="32">
        <v>500</v>
      </c>
      <c r="I118" s="67">
        <f t="shared" si="9"/>
        <v>500</v>
      </c>
      <c r="J118" s="4">
        <f>G118/VLOOKUP(A118,RESUME!$G$3:$I$10,3,FALSE)</f>
        <v>2.0175843776988971E-3</v>
      </c>
      <c r="K118" s="4" t="str">
        <f t="shared" si="10"/>
        <v/>
      </c>
      <c r="L118" s="1" t="str">
        <f>_xlfn.IFNA(VLOOKUP(A118&amp;"-"&amp;B118&amp;"-"&amp;D118,Ref_Account!$A:$F,6,FALSE),"ACCOUNT TIDAK DITEMUKAN")</f>
        <v>1205.630710</v>
      </c>
      <c r="N118" s="1">
        <f>IF(L118="ACCOUNT TIDAK DITEMUKAN","9999",COUNTIF($L$6:$L$162,L118))</f>
        <v>1</v>
      </c>
      <c r="O118" s="36" t="str">
        <f t="shared" si="11"/>
        <v>OK</v>
      </c>
    </row>
    <row r="119" spans="1:15" hidden="1" x14ac:dyDescent="0.25">
      <c r="A119" s="1" t="s">
        <v>328</v>
      </c>
      <c r="B119" s="35" t="s">
        <v>114</v>
      </c>
      <c r="C119" s="1" t="s">
        <v>115</v>
      </c>
      <c r="D119" s="2" t="s">
        <v>24</v>
      </c>
      <c r="E119" s="2" t="s">
        <v>75</v>
      </c>
      <c r="G119" s="32">
        <v>250</v>
      </c>
      <c r="I119" s="67">
        <f t="shared" si="9"/>
        <v>250</v>
      </c>
      <c r="J119" s="4">
        <f>G119/VLOOKUP(A119,RESUME!$G$3:$I$10,3,FALSE)</f>
        <v>1.0087921888494486E-3</v>
      </c>
      <c r="K119" s="4" t="str">
        <f t="shared" si="10"/>
        <v/>
      </c>
      <c r="L119" s="1" t="str">
        <f>_xlfn.IFNA(VLOOKUP(A119&amp;"-"&amp;B119&amp;"-"&amp;D119,Ref_Account!$A:$F,6,FALSE),"ACCOUNT TIDAK DITEMUKAN")</f>
        <v>1205.630740</v>
      </c>
      <c r="N119" s="1">
        <f>IF(L119="ACCOUNT TIDAK DITEMUKAN","9999",COUNTIF($L$6:$L$162,L119))</f>
        <v>1</v>
      </c>
      <c r="O119" s="36" t="str">
        <f t="shared" si="11"/>
        <v>OK</v>
      </c>
    </row>
    <row r="120" spans="1:15" hidden="1" x14ac:dyDescent="0.25">
      <c r="A120" s="1" t="s">
        <v>328</v>
      </c>
      <c r="B120" s="35" t="s">
        <v>118</v>
      </c>
      <c r="C120" s="1" t="s">
        <v>119</v>
      </c>
      <c r="D120" s="2" t="s">
        <v>24</v>
      </c>
      <c r="E120" s="2" t="s">
        <v>95</v>
      </c>
      <c r="G120" s="32">
        <v>3183.98</v>
      </c>
      <c r="H120" s="6">
        <v>3929.89</v>
      </c>
      <c r="I120" s="66">
        <f t="shared" si="9"/>
        <v>-745.90999999999985</v>
      </c>
      <c r="J120" s="4">
        <f>G120/VLOOKUP(A120,RESUME!$G$3:$I$10,3,FALSE)</f>
        <v>1.284789661381147E-2</v>
      </c>
      <c r="K120" s="4">
        <f t="shared" si="10"/>
        <v>1.040931065766305E-2</v>
      </c>
      <c r="L120" s="1" t="str">
        <f>_xlfn.IFNA(VLOOKUP(A120&amp;"-"&amp;B120&amp;"-"&amp;D120,Ref_Account!$A:$F,6,FALSE),"ACCOUNT TIDAK DITEMUKAN")</f>
        <v>1205.630130</v>
      </c>
      <c r="N120" s="1">
        <f>IF(L120="ACCOUNT TIDAK DITEMUKAN","9999",COUNTIF($L$6:$L$162,L120))</f>
        <v>1</v>
      </c>
      <c r="O120" s="36" t="str">
        <f t="shared" si="11"/>
        <v>OVER</v>
      </c>
    </row>
    <row r="121" spans="1:15" hidden="1" x14ac:dyDescent="0.25">
      <c r="A121" s="1" t="s">
        <v>328</v>
      </c>
      <c r="B121" s="35" t="s">
        <v>130</v>
      </c>
      <c r="C121" s="1" t="s">
        <v>142</v>
      </c>
      <c r="D121" s="2" t="s">
        <v>24</v>
      </c>
      <c r="E121" s="2" t="s">
        <v>75</v>
      </c>
      <c r="G121" s="32">
        <v>126.99</v>
      </c>
      <c r="I121" s="67">
        <f t="shared" si="9"/>
        <v>126.99</v>
      </c>
      <c r="J121" s="4">
        <f>G121/VLOOKUP(A121,RESUME!$G$3:$I$10,3,FALSE)</f>
        <v>5.124260802479659E-4</v>
      </c>
      <c r="K121" s="4" t="str">
        <f t="shared" si="10"/>
        <v/>
      </c>
      <c r="L121" s="1" t="str">
        <f>_xlfn.IFNA(VLOOKUP(A121&amp;"-"&amp;B121&amp;"-"&amp;D121,Ref_Account!$A:$F,6,FALSE),"ACCOUNT TIDAK DITEMUKAN")</f>
        <v>1205.815110</v>
      </c>
      <c r="N121" s="1">
        <f>IF(L121="ACCOUNT TIDAK DITEMUKAN","9999",COUNTIF($L$6:$L$162,L121))</f>
        <v>1</v>
      </c>
      <c r="O121" s="36" t="str">
        <f t="shared" si="11"/>
        <v>OK</v>
      </c>
    </row>
    <row r="122" spans="1:15" hidden="1" x14ac:dyDescent="0.25">
      <c r="A122" s="1" t="s">
        <v>328</v>
      </c>
      <c r="B122" s="35" t="s">
        <v>21</v>
      </c>
      <c r="C122" s="1" t="s">
        <v>152</v>
      </c>
      <c r="D122" s="2" t="s">
        <v>24</v>
      </c>
      <c r="E122" s="2" t="s">
        <v>75</v>
      </c>
      <c r="G122" s="32">
        <v>754.58</v>
      </c>
      <c r="I122" s="67">
        <f t="shared" si="9"/>
        <v>754.58</v>
      </c>
      <c r="J122" s="4">
        <f>G122/VLOOKUP(A122,RESUME!$G$3:$I$10,3,FALSE)</f>
        <v>3.0448576394480681E-3</v>
      </c>
      <c r="K122" s="4" t="str">
        <f t="shared" si="10"/>
        <v/>
      </c>
      <c r="L122" s="1" t="str">
        <f>_xlfn.IFNA(VLOOKUP(A122&amp;"-"&amp;B122&amp;"-"&amp;D122,Ref_Account!$A:$F,6,FALSE),"ACCOUNT TIDAK DITEMUKAN")</f>
        <v>1205.631100</v>
      </c>
      <c r="N122" s="1">
        <f>IF(L122="ACCOUNT TIDAK DITEMUKAN","9999",COUNTIF($L$6:$L$162,L122))</f>
        <v>3</v>
      </c>
      <c r="O122" s="36" t="str">
        <f t="shared" si="11"/>
        <v>OK</v>
      </c>
    </row>
    <row r="123" spans="1:15" hidden="1" x14ac:dyDescent="0.25">
      <c r="A123" s="1" t="s">
        <v>328</v>
      </c>
      <c r="B123" s="35" t="s">
        <v>70</v>
      </c>
      <c r="C123" s="1" t="s">
        <v>71</v>
      </c>
      <c r="D123" s="2" t="s">
        <v>24</v>
      </c>
      <c r="E123" s="2" t="s">
        <v>72</v>
      </c>
      <c r="G123" s="32">
        <v>6722.26</v>
      </c>
      <c r="H123" s="6">
        <v>3755.27</v>
      </c>
      <c r="I123" s="67">
        <f t="shared" si="9"/>
        <v>2966.9900000000002</v>
      </c>
      <c r="J123" s="4">
        <f>G123/VLOOKUP(A123,RESUME!$G$3:$I$10,3,FALSE)</f>
        <v>2.7125453517660381E-2</v>
      </c>
      <c r="K123" s="4">
        <f t="shared" si="10"/>
        <v>4.8556921649742277E-2</v>
      </c>
      <c r="L123" s="1" t="str">
        <f>_xlfn.IFNA(VLOOKUP(A123&amp;"-"&amp;B123&amp;"-"&amp;D123,Ref_Account!$A:$F,6,FALSE),"ACCOUNT TIDAK DITEMUKAN")</f>
        <v>1205.812100</v>
      </c>
      <c r="N123" s="1">
        <f>IF(L123="ACCOUNT TIDAK DITEMUKAN","9999",COUNTIF($L$6:$L$162,L123))</f>
        <v>1</v>
      </c>
      <c r="O123" s="36" t="str">
        <f t="shared" si="11"/>
        <v>OK</v>
      </c>
    </row>
    <row r="124" spans="1:15" hidden="1" x14ac:dyDescent="0.25">
      <c r="A124" s="1" t="s">
        <v>328</v>
      </c>
      <c r="B124" s="35" t="s">
        <v>76</v>
      </c>
      <c r="C124" s="1" t="s">
        <v>77</v>
      </c>
      <c r="D124" s="2" t="s">
        <v>24</v>
      </c>
      <c r="E124" s="2" t="s">
        <v>75</v>
      </c>
      <c r="G124" s="32">
        <v>5152.29</v>
      </c>
      <c r="H124" s="6">
        <v>4098.6000000000004</v>
      </c>
      <c r="I124" s="67">
        <f t="shared" si="9"/>
        <v>1053.6899999999996</v>
      </c>
      <c r="J124" s="4">
        <f>G124/VLOOKUP(A124,RESUME!$G$3:$I$10,3,FALSE)</f>
        <v>2.0790359626748502E-2</v>
      </c>
      <c r="K124" s="4">
        <f t="shared" si="10"/>
        <v>2.6135256429341735E-2</v>
      </c>
      <c r="L124" s="1" t="str">
        <f>_xlfn.IFNA(VLOOKUP(A124&amp;"-"&amp;B124&amp;"-"&amp;D124,Ref_Account!$A:$F,6,FALSE),"ACCOUNT TIDAK DITEMUKAN")</f>
        <v>1205.630400</v>
      </c>
      <c r="N124" s="1">
        <f>IF(L124="ACCOUNT TIDAK DITEMUKAN","9999",COUNTIF($L$6:$L$162,L124))</f>
        <v>1</v>
      </c>
      <c r="O124" s="36" t="str">
        <f t="shared" si="11"/>
        <v>OK</v>
      </c>
    </row>
    <row r="125" spans="1:15" hidden="1" x14ac:dyDescent="0.25">
      <c r="A125" s="1" t="s">
        <v>328</v>
      </c>
      <c r="B125" s="35" t="s">
        <v>80</v>
      </c>
      <c r="C125" s="1" t="s">
        <v>81</v>
      </c>
      <c r="D125" s="2" t="s">
        <v>24</v>
      </c>
      <c r="E125" s="2" t="s">
        <v>153</v>
      </c>
      <c r="G125" s="32">
        <v>3188</v>
      </c>
      <c r="H125" s="6">
        <v>779.6</v>
      </c>
      <c r="I125" s="67">
        <f t="shared" si="9"/>
        <v>2408.4</v>
      </c>
      <c r="J125" s="4">
        <f>G125/VLOOKUP(A125,RESUME!$G$3:$I$10,3,FALSE)</f>
        <v>1.2864117992208169E-2</v>
      </c>
      <c r="K125" s="4">
        <f t="shared" si="10"/>
        <v>5.2604936068701438E-2</v>
      </c>
      <c r="L125" s="1" t="str">
        <f>_xlfn.IFNA(VLOOKUP(A125&amp;"-"&amp;B125&amp;"-"&amp;D125,Ref_Account!$A:$F,6,FALSE),"ACCOUNT TIDAK DITEMUKAN")</f>
        <v>1205.630300</v>
      </c>
      <c r="N125" s="1">
        <f>IF(L125="ACCOUNT TIDAK DITEMUKAN","9999",COUNTIF($L$6:$L$162,L125))</f>
        <v>1</v>
      </c>
      <c r="O125" s="36" t="str">
        <f t="shared" si="11"/>
        <v>OK</v>
      </c>
    </row>
    <row r="126" spans="1:15" hidden="1" x14ac:dyDescent="0.25">
      <c r="A126" s="1" t="s">
        <v>328</v>
      </c>
      <c r="B126" s="35" t="s">
        <v>154</v>
      </c>
      <c r="C126" s="1" t="s">
        <v>84</v>
      </c>
      <c r="D126" s="2" t="s">
        <v>24</v>
      </c>
      <c r="E126" s="2" t="s">
        <v>75</v>
      </c>
      <c r="G126" s="32">
        <v>2043.4899999999998</v>
      </c>
      <c r="I126" s="67">
        <f t="shared" si="9"/>
        <v>2043.4899999999998</v>
      </c>
      <c r="J126" s="4">
        <f>G126/VLOOKUP(A126,RESUME!$G$3:$I$10,3,FALSE)</f>
        <v>8.2458269999678389E-3</v>
      </c>
      <c r="K126" s="4" t="str">
        <f t="shared" si="10"/>
        <v/>
      </c>
      <c r="L126" s="1" t="str">
        <f>_xlfn.IFNA(VLOOKUP(A126&amp;"-"&amp;B126&amp;"-"&amp;D126,Ref_Account!$A:$F,6,FALSE),"ACCOUNT TIDAK DITEMUKAN")</f>
        <v>1205.630200</v>
      </c>
      <c r="N126" s="1">
        <f>IF(L126="ACCOUNT TIDAK DITEMUKAN","9999",COUNTIF($L$6:$L$162,L126))</f>
        <v>1</v>
      </c>
      <c r="O126" s="36" t="str">
        <f t="shared" si="11"/>
        <v>OK</v>
      </c>
    </row>
    <row r="127" spans="1:15" hidden="1" x14ac:dyDescent="0.25">
      <c r="A127" s="1" t="s">
        <v>328</v>
      </c>
      <c r="B127" s="35" t="s">
        <v>96</v>
      </c>
      <c r="C127" s="1" t="s">
        <v>97</v>
      </c>
      <c r="D127" s="2" t="s">
        <v>24</v>
      </c>
      <c r="E127" s="2" t="s">
        <v>155</v>
      </c>
      <c r="G127" s="32">
        <v>78109.679999999993</v>
      </c>
      <c r="H127" s="6">
        <v>901.67</v>
      </c>
      <c r="I127" s="67">
        <f t="shared" si="9"/>
        <v>77208.009999999995</v>
      </c>
      <c r="J127" s="4">
        <f>G127/VLOOKUP(A127,RESUME!$G$3:$I$10,3,FALSE)</f>
        <v>0.31518574023011997</v>
      </c>
      <c r="K127" s="4">
        <f t="shared" si="10"/>
        <v>27.303844322133148</v>
      </c>
      <c r="L127" s="1" t="str">
        <f>_xlfn.IFNA(VLOOKUP(A127&amp;"-"&amp;B127&amp;"-"&amp;D127,Ref_Account!$A:$F,6,FALSE),"ACCOUNT TIDAK DITEMUKAN")</f>
        <v>1205.630110</v>
      </c>
      <c r="N127" s="1">
        <f>IF(L127="ACCOUNT TIDAK DITEMUKAN","9999",COUNTIF($L$6:$L$162,L127))</f>
        <v>1</v>
      </c>
      <c r="O127" s="36" t="str">
        <f t="shared" si="11"/>
        <v>OK</v>
      </c>
    </row>
    <row r="128" spans="1:15" hidden="1" x14ac:dyDescent="0.25">
      <c r="A128" s="1" t="s">
        <v>328</v>
      </c>
      <c r="B128" s="35" t="s">
        <v>104</v>
      </c>
      <c r="C128" s="1" t="s">
        <v>105</v>
      </c>
      <c r="D128" s="2" t="s">
        <v>24</v>
      </c>
      <c r="E128" s="2" t="s">
        <v>153</v>
      </c>
      <c r="G128" s="32">
        <v>250</v>
      </c>
      <c r="I128" s="67">
        <f t="shared" si="9"/>
        <v>250</v>
      </c>
      <c r="J128" s="4">
        <f>G128/VLOOKUP(A128,RESUME!$G$3:$I$10,3,FALSE)</f>
        <v>1.0087921888494486E-3</v>
      </c>
      <c r="K128" s="4" t="str">
        <f t="shared" si="10"/>
        <v/>
      </c>
      <c r="L128" s="1" t="str">
        <f>_xlfn.IFNA(VLOOKUP(A128&amp;"-"&amp;B128&amp;"-"&amp;D128,Ref_Account!$A:$F,6,FALSE),"ACCOUNT TIDAK DITEMUKAN")</f>
        <v>1205.630770</v>
      </c>
      <c r="N128" s="1">
        <f>IF(L128="ACCOUNT TIDAK DITEMUKAN","9999",COUNTIF($L$6:$L$162,L128))</f>
        <v>1</v>
      </c>
      <c r="O128" s="36" t="str">
        <f t="shared" si="11"/>
        <v>OK</v>
      </c>
    </row>
    <row r="129" spans="1:15" hidden="1" x14ac:dyDescent="0.25">
      <c r="A129" s="1" t="s">
        <v>328</v>
      </c>
      <c r="B129" s="35" t="s">
        <v>106</v>
      </c>
      <c r="C129" s="1" t="s">
        <v>107</v>
      </c>
      <c r="D129" s="2" t="s">
        <v>24</v>
      </c>
      <c r="E129" s="2" t="s">
        <v>153</v>
      </c>
      <c r="G129" s="32">
        <v>250</v>
      </c>
      <c r="I129" s="67">
        <f t="shared" si="9"/>
        <v>250</v>
      </c>
      <c r="J129" s="4">
        <f>G129/VLOOKUP(A129,RESUME!$G$3:$I$10,3,FALSE)</f>
        <v>1.0087921888494486E-3</v>
      </c>
      <c r="K129" s="4" t="str">
        <f t="shared" si="10"/>
        <v/>
      </c>
      <c r="L129" s="1" t="str">
        <f>_xlfn.IFNA(VLOOKUP(A129&amp;"-"&amp;B129&amp;"-"&amp;D129,Ref_Account!$A:$F,6,FALSE),"ACCOUNT TIDAK DITEMUKAN")</f>
        <v>1205.630750</v>
      </c>
      <c r="N129" s="1">
        <f>IF(L129="ACCOUNT TIDAK DITEMUKAN","9999",COUNTIF($L$6:$L$162,L129))</f>
        <v>1</v>
      </c>
      <c r="O129" s="36" t="str">
        <f t="shared" si="11"/>
        <v>OK</v>
      </c>
    </row>
    <row r="130" spans="1:15" hidden="1" x14ac:dyDescent="0.25">
      <c r="A130" s="1" t="s">
        <v>328</v>
      </c>
      <c r="B130" s="35" t="s">
        <v>108</v>
      </c>
      <c r="C130" s="1" t="s">
        <v>109</v>
      </c>
      <c r="D130" s="2" t="s">
        <v>24</v>
      </c>
      <c r="E130" s="2" t="s">
        <v>153</v>
      </c>
      <c r="G130" s="32">
        <v>250</v>
      </c>
      <c r="I130" s="67">
        <f t="shared" si="9"/>
        <v>250</v>
      </c>
      <c r="J130" s="4">
        <f>G130/VLOOKUP(A130,RESUME!$G$3:$I$10,3,FALSE)</f>
        <v>1.0087921888494486E-3</v>
      </c>
      <c r="K130" s="4" t="str">
        <f t="shared" si="10"/>
        <v/>
      </c>
      <c r="L130" s="1" t="str">
        <f>_xlfn.IFNA(VLOOKUP(A130&amp;"-"&amp;B130&amp;"-"&amp;D130,Ref_Account!$A:$F,6,FALSE),"ACCOUNT TIDAK DITEMUKAN")</f>
        <v>1205.630720</v>
      </c>
      <c r="N130" s="1">
        <f>IF(L130="ACCOUNT TIDAK DITEMUKAN","9999",COUNTIF($L$6:$L$162,L130))</f>
        <v>1</v>
      </c>
      <c r="O130" s="36" t="str">
        <f t="shared" si="11"/>
        <v>OK</v>
      </c>
    </row>
    <row r="131" spans="1:15" hidden="1" x14ac:dyDescent="0.25">
      <c r="A131" s="1" t="s">
        <v>328</v>
      </c>
      <c r="B131" s="35" t="s">
        <v>112</v>
      </c>
      <c r="C131" s="1" t="s">
        <v>113</v>
      </c>
      <c r="D131" s="2" t="s">
        <v>24</v>
      </c>
      <c r="E131" s="2" t="s">
        <v>153</v>
      </c>
      <c r="G131" s="32">
        <v>250</v>
      </c>
      <c r="I131" s="67">
        <f t="shared" si="9"/>
        <v>250</v>
      </c>
      <c r="J131" s="4">
        <f>G131/VLOOKUP(A131,RESUME!$G$3:$I$10,3,FALSE)</f>
        <v>1.0087921888494486E-3</v>
      </c>
      <c r="K131" s="4" t="str">
        <f t="shared" si="10"/>
        <v/>
      </c>
      <c r="L131" s="1" t="str">
        <f>_xlfn.IFNA(VLOOKUP(A131&amp;"-"&amp;B131&amp;"-"&amp;D131,Ref_Account!$A:$F,6,FALSE),"ACCOUNT TIDAK DITEMUKAN")</f>
        <v>1205.630730</v>
      </c>
      <c r="N131" s="1">
        <f>IF(L131="ACCOUNT TIDAK DITEMUKAN","9999",COUNTIF($L$6:$L$162,L131))</f>
        <v>1</v>
      </c>
      <c r="O131" s="36" t="str">
        <f t="shared" si="11"/>
        <v>OK</v>
      </c>
    </row>
    <row r="132" spans="1:15" hidden="1" x14ac:dyDescent="0.25">
      <c r="A132" s="1" t="s">
        <v>328</v>
      </c>
      <c r="B132" s="35" t="s">
        <v>146</v>
      </c>
      <c r="C132" s="1" t="s">
        <v>147</v>
      </c>
      <c r="D132" s="2" t="s">
        <v>24</v>
      </c>
      <c r="E132" s="2" t="s">
        <v>148</v>
      </c>
      <c r="G132" s="32">
        <v>10800</v>
      </c>
      <c r="I132" s="67">
        <f t="shared" ref="I132:I163" si="12">G132-H132</f>
        <v>10800</v>
      </c>
      <c r="J132" s="4">
        <f>G132/VLOOKUP(A132,RESUME!$G$3:$I$10,3,FALSE)</f>
        <v>4.3579822558296184E-2</v>
      </c>
      <c r="K132" s="4" t="str">
        <f t="shared" ref="K132:K163" si="13">IFERROR((G132/H132)*J132,"")</f>
        <v/>
      </c>
      <c r="L132" s="1" t="str">
        <f>_xlfn.IFNA(VLOOKUP(A132&amp;"-"&amp;B132&amp;"-"&amp;D132,Ref_Account!$A:$F,6,FALSE),"ACCOUNT TIDAK DITEMUKAN")</f>
        <v>1205.801110</v>
      </c>
      <c r="N132" s="1">
        <f>IF(L132="ACCOUNT TIDAK DITEMUKAN","9999",COUNTIF($L$6:$L$162,L132))</f>
        <v>1</v>
      </c>
      <c r="O132" s="36" t="str">
        <f t="shared" ref="O132:O162" si="14">IF(I132&gt;0,"OK","OVER")</f>
        <v>OK</v>
      </c>
    </row>
    <row r="133" spans="1:15" hidden="1" x14ac:dyDescent="0.25">
      <c r="A133" s="1" t="s">
        <v>328</v>
      </c>
      <c r="B133" s="35" t="s">
        <v>124</v>
      </c>
      <c r="C133" s="1" t="s">
        <v>125</v>
      </c>
      <c r="D133" s="2" t="s">
        <v>24</v>
      </c>
      <c r="E133" s="2" t="s">
        <v>153</v>
      </c>
      <c r="G133" s="32">
        <v>1500</v>
      </c>
      <c r="H133" s="6">
        <v>2530.19</v>
      </c>
      <c r="I133" s="66">
        <f t="shared" si="12"/>
        <v>-1030.19</v>
      </c>
      <c r="J133" s="4">
        <f>G133/VLOOKUP(A133,RESUME!$G$3:$I$10,3,FALSE)</f>
        <v>6.0527531330966918E-3</v>
      </c>
      <c r="K133" s="4">
        <f t="shared" si="13"/>
        <v>3.5883193355617706E-3</v>
      </c>
      <c r="L133" s="1" t="str">
        <f>_xlfn.IFNA(VLOOKUP(A133&amp;"-"&amp;B133&amp;"-"&amp;D133,Ref_Account!$A:$F,6,FALSE),"ACCOUNT TIDAK DITEMUKAN")</f>
        <v>1205.631110</v>
      </c>
      <c r="N133" s="1">
        <f>IF(L133="ACCOUNT TIDAK DITEMUKAN","9999",COUNTIF($L$6:$L$162,L133))</f>
        <v>1</v>
      </c>
      <c r="O133" s="36" t="str">
        <f t="shared" si="14"/>
        <v>OVER</v>
      </c>
    </row>
    <row r="134" spans="1:15" hidden="1" x14ac:dyDescent="0.25">
      <c r="A134" s="1" t="s">
        <v>328</v>
      </c>
      <c r="B134" s="35" t="s">
        <v>78</v>
      </c>
      <c r="C134" s="1" t="s">
        <v>79</v>
      </c>
      <c r="D134" s="2" t="s">
        <v>15</v>
      </c>
      <c r="E134" s="2" t="s">
        <v>72</v>
      </c>
      <c r="G134" s="32">
        <v>504.76</v>
      </c>
      <c r="I134" s="67">
        <f t="shared" si="12"/>
        <v>504.76</v>
      </c>
      <c r="J134" s="4">
        <f>G134/VLOOKUP(A134,RESUME!$G$3:$I$10,3,FALSE)</f>
        <v>2.0367917809745906E-3</v>
      </c>
      <c r="K134" s="4" t="str">
        <f t="shared" si="13"/>
        <v/>
      </c>
      <c r="L134" s="1" t="str">
        <f>_xlfn.IFNA(VLOOKUP(A134&amp;"-"&amp;B134&amp;"-"&amp;D134,Ref_Account!$A:$F,6,FALSE),"ACCOUNT TIDAK DITEMUKAN")</f>
        <v>1204.813100</v>
      </c>
      <c r="N134" s="1">
        <f>IF(L134="ACCOUNT TIDAK DITEMUKAN","9999",COUNTIF($L$6:$L$162,L134))</f>
        <v>1</v>
      </c>
      <c r="O134" s="36" t="str">
        <f t="shared" si="14"/>
        <v>OK</v>
      </c>
    </row>
    <row r="135" spans="1:15" hidden="1" x14ac:dyDescent="0.25">
      <c r="A135" s="1" t="s">
        <v>328</v>
      </c>
      <c r="B135" s="35" t="s">
        <v>93</v>
      </c>
      <c r="C135" s="1" t="s">
        <v>94</v>
      </c>
      <c r="D135" s="2" t="s">
        <v>15</v>
      </c>
      <c r="E135" s="2" t="s">
        <v>95</v>
      </c>
      <c r="G135" s="32">
        <v>5702.68</v>
      </c>
      <c r="I135" s="67">
        <f t="shared" si="12"/>
        <v>5702.68</v>
      </c>
      <c r="J135" s="4">
        <f>G135/VLOOKUP(A135,RESUME!$G$3:$I$10,3,FALSE)</f>
        <v>2.3011276158031897E-2</v>
      </c>
      <c r="K135" s="4" t="str">
        <f t="shared" si="13"/>
        <v/>
      </c>
      <c r="L135" s="1" t="str">
        <f>_xlfn.IFNA(VLOOKUP(A135&amp;"-"&amp;B135&amp;"-"&amp;D135,Ref_Account!$A:$F,6,FALSE),"ACCOUNT TIDAK DITEMUKAN")</f>
        <v>1204.801160</v>
      </c>
      <c r="N135" s="1">
        <f>IF(L135="ACCOUNT TIDAK DITEMUKAN","9999",COUNTIF($L$6:$L$162,L135))</f>
        <v>1</v>
      </c>
      <c r="O135" s="36" t="str">
        <f t="shared" si="14"/>
        <v>OK</v>
      </c>
    </row>
    <row r="136" spans="1:15" hidden="1" x14ac:dyDescent="0.25">
      <c r="A136" s="1" t="s">
        <v>328</v>
      </c>
      <c r="B136" s="35" t="s">
        <v>102</v>
      </c>
      <c r="C136" s="1" t="s">
        <v>103</v>
      </c>
      <c r="D136" s="2" t="s">
        <v>15</v>
      </c>
      <c r="E136" s="2" t="s">
        <v>75</v>
      </c>
      <c r="G136" s="32">
        <v>700</v>
      </c>
      <c r="I136" s="67">
        <f t="shared" si="12"/>
        <v>700</v>
      </c>
      <c r="J136" s="4">
        <f>G136/VLOOKUP(A136,RESUME!$G$3:$I$10,3,FALSE)</f>
        <v>2.8246181287784563E-3</v>
      </c>
      <c r="K136" s="4" t="str">
        <f t="shared" si="13"/>
        <v/>
      </c>
      <c r="L136" s="1" t="str">
        <f>_xlfn.IFNA(VLOOKUP(A136&amp;"-"&amp;B136&amp;"-"&amp;D136,Ref_Account!$A:$F,6,FALSE),"ACCOUNT TIDAK DITEMUKAN")</f>
        <v>1204.630710</v>
      </c>
      <c r="N136" s="1">
        <f>IF(L136="ACCOUNT TIDAK DITEMUKAN","9999",COUNTIF($L$6:$L$162,L136))</f>
        <v>1</v>
      </c>
      <c r="O136" s="36" t="str">
        <f t="shared" si="14"/>
        <v>OK</v>
      </c>
    </row>
    <row r="137" spans="1:15" hidden="1" x14ac:dyDescent="0.25">
      <c r="A137" s="1" t="s">
        <v>328</v>
      </c>
      <c r="B137" s="35" t="s">
        <v>114</v>
      </c>
      <c r="C137" s="1" t="s">
        <v>115</v>
      </c>
      <c r="D137" s="2" t="s">
        <v>15</v>
      </c>
      <c r="E137" s="2" t="s">
        <v>75</v>
      </c>
      <c r="G137" s="32">
        <v>300</v>
      </c>
      <c r="I137" s="67">
        <f t="shared" si="12"/>
        <v>300</v>
      </c>
      <c r="J137" s="4">
        <f>G137/VLOOKUP(A137,RESUME!$G$3:$I$10,3,FALSE)</f>
        <v>1.2105506266193384E-3</v>
      </c>
      <c r="K137" s="4" t="str">
        <f t="shared" si="13"/>
        <v/>
      </c>
      <c r="L137" s="1" t="str">
        <f>_xlfn.IFNA(VLOOKUP(A137&amp;"-"&amp;B137&amp;"-"&amp;D137,Ref_Account!$A:$F,6,FALSE),"ACCOUNT TIDAK DITEMUKAN")</f>
        <v>1204.630740</v>
      </c>
      <c r="N137" s="1">
        <f>IF(L137="ACCOUNT TIDAK DITEMUKAN","9999",COUNTIF($L$6:$L$162,L137))</f>
        <v>1</v>
      </c>
      <c r="O137" s="36" t="str">
        <f t="shared" si="14"/>
        <v>OK</v>
      </c>
    </row>
    <row r="138" spans="1:15" hidden="1" x14ac:dyDescent="0.25">
      <c r="A138" s="1" t="s">
        <v>328</v>
      </c>
      <c r="B138" s="35" t="s">
        <v>118</v>
      </c>
      <c r="C138" s="1" t="s">
        <v>119</v>
      </c>
      <c r="D138" s="2" t="s">
        <v>15</v>
      </c>
      <c r="E138" s="2" t="s">
        <v>95</v>
      </c>
      <c r="G138" s="32">
        <v>3500</v>
      </c>
      <c r="H138" s="6">
        <v>4436.3599999999997</v>
      </c>
      <c r="I138" s="66">
        <f t="shared" si="12"/>
        <v>-936.35999999999967</v>
      </c>
      <c r="J138" s="4">
        <f>G138/VLOOKUP(A138,RESUME!$G$3:$I$10,3,FALSE)</f>
        <v>1.4123090643892281E-2</v>
      </c>
      <c r="K138" s="4">
        <f t="shared" si="13"/>
        <v>1.114220154667858E-2</v>
      </c>
      <c r="L138" s="1" t="str">
        <f>_xlfn.IFNA(VLOOKUP(A138&amp;"-"&amp;B138&amp;"-"&amp;D138,Ref_Account!$A:$F,6,FALSE),"ACCOUNT TIDAK DITEMUKAN")</f>
        <v>1204.630130</v>
      </c>
      <c r="N138" s="1">
        <f>IF(L138="ACCOUNT TIDAK DITEMUKAN","9999",COUNTIF($L$6:$L$162,L138))</f>
        <v>1</v>
      </c>
      <c r="O138" s="36" t="str">
        <f t="shared" si="14"/>
        <v>OVER</v>
      </c>
    </row>
    <row r="139" spans="1:15" hidden="1" x14ac:dyDescent="0.25">
      <c r="A139" s="1" t="s">
        <v>328</v>
      </c>
      <c r="B139" s="35" t="s">
        <v>130</v>
      </c>
      <c r="C139" s="1" t="s">
        <v>156</v>
      </c>
      <c r="D139" s="2" t="s">
        <v>15</v>
      </c>
      <c r="E139" s="2" t="s">
        <v>75</v>
      </c>
      <c r="G139" s="32">
        <v>512.71</v>
      </c>
      <c r="I139" s="67">
        <f t="shared" si="12"/>
        <v>512.71</v>
      </c>
      <c r="J139" s="4">
        <f>G139/VLOOKUP(A139,RESUME!$G$3:$I$10,3,FALSE)</f>
        <v>2.0688713725800032E-3</v>
      </c>
      <c r="K139" s="4" t="str">
        <f t="shared" si="13"/>
        <v/>
      </c>
      <c r="L139" s="1" t="str">
        <f>_xlfn.IFNA(VLOOKUP(A139&amp;"-"&amp;B139&amp;"-"&amp;D139,Ref_Account!$A:$F,6,FALSE),"ACCOUNT TIDAK DITEMUKAN")</f>
        <v>1204.815110</v>
      </c>
      <c r="N139" s="1">
        <f>IF(L139="ACCOUNT TIDAK DITEMUKAN","9999",COUNTIF($L$6:$L$162,L139))</f>
        <v>1</v>
      </c>
      <c r="O139" s="36" t="str">
        <f t="shared" si="14"/>
        <v>OK</v>
      </c>
    </row>
    <row r="140" spans="1:15" hidden="1" x14ac:dyDescent="0.25">
      <c r="A140" s="1" t="s">
        <v>328</v>
      </c>
      <c r="B140" s="35" t="s">
        <v>21</v>
      </c>
      <c r="C140" s="1" t="s">
        <v>152</v>
      </c>
      <c r="D140" s="2" t="s">
        <v>15</v>
      </c>
      <c r="E140" s="2" t="s">
        <v>75</v>
      </c>
      <c r="G140" s="32">
        <v>754.58</v>
      </c>
      <c r="I140" s="67">
        <f t="shared" si="12"/>
        <v>754.58</v>
      </c>
      <c r="J140" s="4">
        <f>G140/VLOOKUP(A140,RESUME!$G$3:$I$10,3,FALSE)</f>
        <v>3.0448576394480681E-3</v>
      </c>
      <c r="K140" s="4" t="str">
        <f t="shared" si="13"/>
        <v/>
      </c>
      <c r="L140" s="1" t="str">
        <f>_xlfn.IFNA(VLOOKUP(A140&amp;"-"&amp;B140&amp;"-"&amp;D140,Ref_Account!$A:$F,6,FALSE),"ACCOUNT TIDAK DITEMUKAN")</f>
        <v>1204.631100</v>
      </c>
      <c r="N140" s="1">
        <f>IF(L140="ACCOUNT TIDAK DITEMUKAN","9999",COUNTIF($L$6:$L$162,L140))</f>
        <v>3</v>
      </c>
      <c r="O140" s="36" t="str">
        <f t="shared" si="14"/>
        <v>OK</v>
      </c>
    </row>
    <row r="141" spans="1:15" hidden="1" x14ac:dyDescent="0.25">
      <c r="A141" s="1" t="s">
        <v>328</v>
      </c>
      <c r="B141" s="35" t="s">
        <v>68</v>
      </c>
      <c r="C141" s="1" t="s">
        <v>69</v>
      </c>
      <c r="D141" s="2" t="s">
        <v>15</v>
      </c>
      <c r="E141" s="2" t="s">
        <v>157</v>
      </c>
      <c r="I141" s="67">
        <f t="shared" si="12"/>
        <v>0</v>
      </c>
      <c r="J141" s="4">
        <f>G141/VLOOKUP(A141,RESUME!$G$3:$I$10,3,FALSE)</f>
        <v>0</v>
      </c>
      <c r="K141" s="4" t="str">
        <f t="shared" si="13"/>
        <v/>
      </c>
      <c r="L141" s="1" t="str">
        <f>_xlfn.IFNA(VLOOKUP(A141&amp;"-"&amp;B141&amp;"-"&amp;D141,Ref_Account!$A:$F,6,FALSE),"ACCOUNT TIDAK DITEMUKAN")</f>
        <v>1204.720500</v>
      </c>
      <c r="N141" s="1">
        <f>IF(L141="ACCOUNT TIDAK DITEMUKAN","9999",COUNTIF($L$6:$L$162,L141))</f>
        <v>1</v>
      </c>
      <c r="O141" s="36" t="str">
        <f t="shared" si="14"/>
        <v>OVER</v>
      </c>
    </row>
    <row r="142" spans="1:15" hidden="1" x14ac:dyDescent="0.25">
      <c r="A142" s="1" t="s">
        <v>328</v>
      </c>
      <c r="B142" s="35" t="s">
        <v>70</v>
      </c>
      <c r="C142" s="1" t="s">
        <v>71</v>
      </c>
      <c r="D142" s="2" t="s">
        <v>15</v>
      </c>
      <c r="E142" s="2" t="s">
        <v>72</v>
      </c>
      <c r="G142" s="32">
        <v>5672.9500000000007</v>
      </c>
      <c r="H142" s="6">
        <v>2802.67</v>
      </c>
      <c r="I142" s="67">
        <f t="shared" si="12"/>
        <v>2870.2800000000007</v>
      </c>
      <c r="J142" s="4">
        <f>G142/VLOOKUP(A142,RESUME!$G$3:$I$10,3,FALSE)</f>
        <v>2.2891310590933921E-2</v>
      </c>
      <c r="K142" s="4">
        <f t="shared" si="13"/>
        <v>4.6334837999778278E-2</v>
      </c>
      <c r="L142" s="1" t="str">
        <f>_xlfn.IFNA(VLOOKUP(A142&amp;"-"&amp;B142&amp;"-"&amp;D142,Ref_Account!$A:$F,6,FALSE),"ACCOUNT TIDAK DITEMUKAN")</f>
        <v>1204.812100</v>
      </c>
      <c r="N142" s="1">
        <f>IF(L142="ACCOUNT TIDAK DITEMUKAN","9999",COUNTIF($L$6:$L$162,L142))</f>
        <v>1</v>
      </c>
      <c r="O142" s="36" t="str">
        <f t="shared" si="14"/>
        <v>OK</v>
      </c>
    </row>
    <row r="143" spans="1:15" hidden="1" x14ac:dyDescent="0.25">
      <c r="A143" s="1" t="s">
        <v>328</v>
      </c>
      <c r="B143" s="35" t="s">
        <v>76</v>
      </c>
      <c r="C143" s="1" t="s">
        <v>77</v>
      </c>
      <c r="D143" s="2" t="s">
        <v>15</v>
      </c>
      <c r="E143" s="2" t="s">
        <v>75</v>
      </c>
      <c r="G143" s="32">
        <v>4918.54</v>
      </c>
      <c r="H143" s="6">
        <v>5107.6000000000004</v>
      </c>
      <c r="I143" s="66">
        <f t="shared" si="12"/>
        <v>-189.0600000000004</v>
      </c>
      <c r="J143" s="4">
        <f>G143/VLOOKUP(A143,RESUME!$G$3:$I$10,3,FALSE)</f>
        <v>1.9847138930174268E-2</v>
      </c>
      <c r="K143" s="4">
        <f t="shared" si="13"/>
        <v>1.9112488588303576E-2</v>
      </c>
      <c r="L143" s="1" t="str">
        <f>_xlfn.IFNA(VLOOKUP(A143&amp;"-"&amp;B143&amp;"-"&amp;D143,Ref_Account!$A:$F,6,FALSE),"ACCOUNT TIDAK DITEMUKAN")</f>
        <v>1204.630400</v>
      </c>
      <c r="N143" s="1">
        <f>IF(L143="ACCOUNT TIDAK DITEMUKAN","9999",COUNTIF($L$6:$L$162,L143))</f>
        <v>1</v>
      </c>
      <c r="O143" s="36" t="str">
        <f t="shared" si="14"/>
        <v>OVER</v>
      </c>
    </row>
    <row r="144" spans="1:15" hidden="1" x14ac:dyDescent="0.25">
      <c r="A144" s="1" t="s">
        <v>328</v>
      </c>
      <c r="B144" s="35" t="s">
        <v>80</v>
      </c>
      <c r="C144" s="1" t="s">
        <v>81</v>
      </c>
      <c r="D144" s="2" t="s">
        <v>15</v>
      </c>
      <c r="E144" s="2" t="s">
        <v>158</v>
      </c>
      <c r="G144" s="32">
        <v>1600</v>
      </c>
      <c r="H144" s="6">
        <v>254.14</v>
      </c>
      <c r="I144" s="67">
        <f t="shared" si="12"/>
        <v>1345.8600000000001</v>
      </c>
      <c r="J144" s="4">
        <f>G144/VLOOKUP(A144,RESUME!$G$3:$I$10,3,FALSE)</f>
        <v>6.4562700086364709E-3</v>
      </c>
      <c r="K144" s="4">
        <f t="shared" si="13"/>
        <v>4.0647013511522605E-2</v>
      </c>
      <c r="L144" s="1" t="str">
        <f>_xlfn.IFNA(VLOOKUP(A144&amp;"-"&amp;B144&amp;"-"&amp;D144,Ref_Account!$A:$F,6,FALSE),"ACCOUNT TIDAK DITEMUKAN")</f>
        <v>1204.630300</v>
      </c>
      <c r="N144" s="1">
        <f>IF(L144="ACCOUNT TIDAK DITEMUKAN","9999",COUNTIF($L$6:$L$162,L144))</f>
        <v>1</v>
      </c>
      <c r="O144" s="36" t="str">
        <f t="shared" si="14"/>
        <v>OK</v>
      </c>
    </row>
    <row r="145" spans="1:15" hidden="1" x14ac:dyDescent="0.25">
      <c r="A145" s="1" t="s">
        <v>328</v>
      </c>
      <c r="B145" s="35" t="s">
        <v>154</v>
      </c>
      <c r="C145" s="1" t="s">
        <v>84</v>
      </c>
      <c r="D145" s="2" t="s">
        <v>15</v>
      </c>
      <c r="E145" s="2" t="s">
        <v>75</v>
      </c>
      <c r="G145" s="32">
        <v>3106.38</v>
      </c>
      <c r="H145" s="6">
        <v>126.43</v>
      </c>
      <c r="I145" s="67">
        <f t="shared" si="12"/>
        <v>2979.9500000000003</v>
      </c>
      <c r="J145" s="4">
        <f>G145/VLOOKUP(A145,RESUME!$G$3:$I$10,3,FALSE)</f>
        <v>1.2534767518392602E-2</v>
      </c>
      <c r="K145" s="4">
        <f t="shared" si="13"/>
        <v>0.30797873229284511</v>
      </c>
      <c r="L145" s="1" t="str">
        <f>_xlfn.IFNA(VLOOKUP(A145&amp;"-"&amp;B145&amp;"-"&amp;D145,Ref_Account!$A:$F,6,FALSE),"ACCOUNT TIDAK DITEMUKAN")</f>
        <v>1204.630200</v>
      </c>
      <c r="N145" s="1">
        <f>IF(L145="ACCOUNT TIDAK DITEMUKAN","9999",COUNTIF($L$6:$L$162,L145))</f>
        <v>1</v>
      </c>
      <c r="O145" s="36" t="str">
        <f t="shared" si="14"/>
        <v>OK</v>
      </c>
    </row>
    <row r="146" spans="1:15" hidden="1" x14ac:dyDescent="0.25">
      <c r="A146" s="1" t="s">
        <v>328</v>
      </c>
      <c r="B146" s="35" t="s">
        <v>96</v>
      </c>
      <c r="C146" s="1" t="s">
        <v>97</v>
      </c>
      <c r="D146" s="2" t="s">
        <v>15</v>
      </c>
      <c r="E146" s="2" t="s">
        <v>157</v>
      </c>
      <c r="G146" s="32">
        <v>97892.700000000012</v>
      </c>
      <c r="H146" s="6">
        <v>901.66</v>
      </c>
      <c r="I146" s="67">
        <f t="shared" si="12"/>
        <v>96991.040000000008</v>
      </c>
      <c r="J146" s="4">
        <f>G146/VLOOKUP(A146,RESUME!$G$3:$I$10,3,FALSE)</f>
        <v>0.39501356442152974</v>
      </c>
      <c r="K146" s="4">
        <f t="shared" si="13"/>
        <v>42.886392163174023</v>
      </c>
      <c r="L146" s="1" t="str">
        <f>_xlfn.IFNA(VLOOKUP(A146&amp;"-"&amp;B146&amp;"-"&amp;D146,Ref_Account!$A:$F,6,FALSE),"ACCOUNT TIDAK DITEMUKAN")</f>
        <v>1204.630110</v>
      </c>
      <c r="N146" s="1">
        <f>IF(L146="ACCOUNT TIDAK DITEMUKAN","9999",COUNTIF($L$6:$L$162,L146))</f>
        <v>1</v>
      </c>
      <c r="O146" s="36" t="str">
        <f t="shared" si="14"/>
        <v>OK</v>
      </c>
    </row>
    <row r="147" spans="1:15" hidden="1" x14ac:dyDescent="0.25">
      <c r="A147" s="1" t="s">
        <v>328</v>
      </c>
      <c r="B147" s="35" t="s">
        <v>104</v>
      </c>
      <c r="C147" s="1" t="s">
        <v>105</v>
      </c>
      <c r="D147" s="2" t="s">
        <v>15</v>
      </c>
      <c r="E147" s="2" t="s">
        <v>158</v>
      </c>
      <c r="G147" s="32">
        <v>300</v>
      </c>
      <c r="I147" s="67">
        <f t="shared" si="12"/>
        <v>300</v>
      </c>
      <c r="J147" s="4">
        <f>G147/VLOOKUP(A147,RESUME!$G$3:$I$10,3,FALSE)</f>
        <v>1.2105506266193384E-3</v>
      </c>
      <c r="K147" s="4" t="str">
        <f t="shared" si="13"/>
        <v/>
      </c>
      <c r="L147" s="1" t="str">
        <f>_xlfn.IFNA(VLOOKUP(A147&amp;"-"&amp;B147&amp;"-"&amp;D147,Ref_Account!$A:$F,6,FALSE),"ACCOUNT TIDAK DITEMUKAN")</f>
        <v>1204.630770</v>
      </c>
      <c r="N147" s="1">
        <f>IF(L147="ACCOUNT TIDAK DITEMUKAN","9999",COUNTIF($L$6:$L$162,L147))</f>
        <v>1</v>
      </c>
      <c r="O147" s="36" t="str">
        <f t="shared" si="14"/>
        <v>OK</v>
      </c>
    </row>
    <row r="148" spans="1:15" hidden="1" x14ac:dyDescent="0.25">
      <c r="A148" s="1" t="s">
        <v>328</v>
      </c>
      <c r="B148" s="35" t="s">
        <v>106</v>
      </c>
      <c r="C148" s="1" t="s">
        <v>107</v>
      </c>
      <c r="D148" s="2" t="s">
        <v>15</v>
      </c>
      <c r="E148" s="2" t="s">
        <v>158</v>
      </c>
      <c r="G148" s="32">
        <v>300</v>
      </c>
      <c r="I148" s="67">
        <f t="shared" si="12"/>
        <v>300</v>
      </c>
      <c r="J148" s="4">
        <f>G148/VLOOKUP(A148,RESUME!$G$3:$I$10,3,FALSE)</f>
        <v>1.2105506266193384E-3</v>
      </c>
      <c r="K148" s="4" t="str">
        <f t="shared" si="13"/>
        <v/>
      </c>
      <c r="L148" s="1" t="str">
        <f>_xlfn.IFNA(VLOOKUP(A148&amp;"-"&amp;B148&amp;"-"&amp;D148,Ref_Account!$A:$F,6,FALSE),"ACCOUNT TIDAK DITEMUKAN")</f>
        <v>1204.630750</v>
      </c>
      <c r="N148" s="1">
        <f>IF(L148="ACCOUNT TIDAK DITEMUKAN","9999",COUNTIF($L$6:$L$162,L148))</f>
        <v>1</v>
      </c>
      <c r="O148" s="36" t="str">
        <f t="shared" si="14"/>
        <v>OK</v>
      </c>
    </row>
    <row r="149" spans="1:15" hidden="1" x14ac:dyDescent="0.25">
      <c r="A149" s="1" t="s">
        <v>328</v>
      </c>
      <c r="B149" s="35" t="s">
        <v>108</v>
      </c>
      <c r="C149" s="1" t="s">
        <v>109</v>
      </c>
      <c r="D149" s="2" t="s">
        <v>15</v>
      </c>
      <c r="E149" s="2" t="s">
        <v>158</v>
      </c>
      <c r="G149" s="32">
        <v>300</v>
      </c>
      <c r="H149" s="6">
        <v>110.74</v>
      </c>
      <c r="I149" s="67">
        <f t="shared" si="12"/>
        <v>189.26</v>
      </c>
      <c r="J149" s="4">
        <f>G149/VLOOKUP(A149,RESUME!$G$3:$I$10,3,FALSE)</f>
        <v>1.2105506266193384E-3</v>
      </c>
      <c r="K149" s="4">
        <f t="shared" si="13"/>
        <v>3.2794400215441712E-3</v>
      </c>
      <c r="L149" s="1" t="str">
        <f>_xlfn.IFNA(VLOOKUP(A149&amp;"-"&amp;B149&amp;"-"&amp;D149,Ref_Account!$A:$F,6,FALSE),"ACCOUNT TIDAK DITEMUKAN")</f>
        <v>1204.630720</v>
      </c>
      <c r="N149" s="1">
        <f>IF(L149="ACCOUNT TIDAK DITEMUKAN","9999",COUNTIF($L$6:$L$162,L149))</f>
        <v>1</v>
      </c>
      <c r="O149" s="36" t="str">
        <f t="shared" si="14"/>
        <v>OK</v>
      </c>
    </row>
    <row r="150" spans="1:15" hidden="1" x14ac:dyDescent="0.25">
      <c r="A150" s="1" t="s">
        <v>328</v>
      </c>
      <c r="B150" s="35" t="s">
        <v>112</v>
      </c>
      <c r="C150" s="1" t="s">
        <v>113</v>
      </c>
      <c r="D150" s="2" t="s">
        <v>15</v>
      </c>
      <c r="E150" s="2" t="s">
        <v>158</v>
      </c>
      <c r="G150" s="32">
        <v>300</v>
      </c>
      <c r="H150" s="6">
        <v>120.24</v>
      </c>
      <c r="I150" s="67">
        <f t="shared" si="12"/>
        <v>179.76</v>
      </c>
      <c r="J150" s="4">
        <f>G150/VLOOKUP(A150,RESUME!$G$3:$I$10,3,FALSE)</f>
        <v>1.2105506266193384E-3</v>
      </c>
      <c r="K150" s="4">
        <f t="shared" si="13"/>
        <v>3.0203358947588285E-3</v>
      </c>
      <c r="L150" s="1" t="str">
        <f>_xlfn.IFNA(VLOOKUP(A150&amp;"-"&amp;B150&amp;"-"&amp;D150,Ref_Account!$A:$F,6,FALSE),"ACCOUNT TIDAK DITEMUKAN")</f>
        <v>1204.630730</v>
      </c>
      <c r="N150" s="1">
        <f>IF(L150="ACCOUNT TIDAK DITEMUKAN","9999",COUNTIF($L$6:$L$162,L150))</f>
        <v>1</v>
      </c>
      <c r="O150" s="36" t="str">
        <f t="shared" si="14"/>
        <v>OK</v>
      </c>
    </row>
    <row r="151" spans="1:15" hidden="1" x14ac:dyDescent="0.25">
      <c r="A151" s="1" t="s">
        <v>328</v>
      </c>
      <c r="B151" s="35" t="s">
        <v>124</v>
      </c>
      <c r="C151" s="1" t="s">
        <v>125</v>
      </c>
      <c r="D151" s="2" t="s">
        <v>15</v>
      </c>
      <c r="E151" s="2" t="s">
        <v>158</v>
      </c>
      <c r="G151" s="32">
        <v>2346.61</v>
      </c>
      <c r="H151" s="6">
        <v>2238.1</v>
      </c>
      <c r="I151" s="67">
        <f t="shared" si="12"/>
        <v>108.51000000000022</v>
      </c>
      <c r="J151" s="4">
        <f>G151/VLOOKUP(A151,RESUME!$G$3:$I$10,3,FALSE)</f>
        <v>9.46896735310402E-3</v>
      </c>
      <c r="K151" s="4">
        <f t="shared" si="13"/>
        <v>9.9280521337149485E-3</v>
      </c>
      <c r="L151" s="1" t="str">
        <f>_xlfn.IFNA(VLOOKUP(A151&amp;"-"&amp;B151&amp;"-"&amp;D151,Ref_Account!$A:$F,6,FALSE),"ACCOUNT TIDAK DITEMUKAN")</f>
        <v>1204.631110</v>
      </c>
      <c r="N151" s="1">
        <f>IF(L151="ACCOUNT TIDAK DITEMUKAN","9999",COUNTIF($L$6:$L$162,L151))</f>
        <v>1</v>
      </c>
      <c r="O151" s="36" t="str">
        <f t="shared" si="14"/>
        <v>OK</v>
      </c>
    </row>
    <row r="152" spans="1:15" hidden="1" x14ac:dyDescent="0.25">
      <c r="A152" s="1" t="s">
        <v>328</v>
      </c>
      <c r="B152" s="35" t="s">
        <v>126</v>
      </c>
      <c r="C152" s="1" t="s">
        <v>127</v>
      </c>
      <c r="D152" s="2" t="s">
        <v>15</v>
      </c>
      <c r="E152" s="2" t="s">
        <v>158</v>
      </c>
      <c r="G152" s="32">
        <v>483</v>
      </c>
      <c r="I152" s="67">
        <f t="shared" si="12"/>
        <v>483</v>
      </c>
      <c r="J152" s="4">
        <f>G152/VLOOKUP(A152,RESUME!$G$3:$I$10,3,FALSE)</f>
        <v>1.9489865088571348E-3</v>
      </c>
      <c r="K152" s="4" t="str">
        <f t="shared" si="13"/>
        <v/>
      </c>
      <c r="L152" s="1" t="str">
        <f>_xlfn.IFNA(VLOOKUP(A152&amp;"-"&amp;B152&amp;"-"&amp;D152,Ref_Account!$A:$F,6,FALSE),"ACCOUNT TIDAK DITEMUKAN")</f>
        <v>1204.631140</v>
      </c>
      <c r="N152" s="1">
        <f>IF(L152="ACCOUNT TIDAK DITEMUKAN","9999",COUNTIF($L$6:$L$162,L152))</f>
        <v>1</v>
      </c>
      <c r="O152" s="36" t="str">
        <f t="shared" si="14"/>
        <v>OK</v>
      </c>
    </row>
    <row r="153" spans="1:15" hidden="1" x14ac:dyDescent="0.25">
      <c r="A153" s="1" t="s">
        <v>159</v>
      </c>
      <c r="B153" s="35" t="s">
        <v>160</v>
      </c>
      <c r="C153" s="1" t="s">
        <v>161</v>
      </c>
      <c r="D153" s="2" t="s">
        <v>13</v>
      </c>
      <c r="E153" s="2" t="s">
        <v>75</v>
      </c>
      <c r="G153" s="32">
        <v>943.01</v>
      </c>
      <c r="H153" s="6">
        <v>474.59</v>
      </c>
      <c r="I153" s="67">
        <f t="shared" si="12"/>
        <v>468.42</v>
      </c>
      <c r="J153" s="4">
        <f>G153/VLOOKUP(A153,RESUME!$G$3:$I$10,3,FALSE)</f>
        <v>1.0674639092355137E-2</v>
      </c>
      <c r="K153" s="4">
        <f t="shared" si="13"/>
        <v>2.1210500454037839E-2</v>
      </c>
      <c r="L153" s="1" t="str">
        <f>_xlfn.IFNA(VLOOKUP(A153&amp;"-"&amp;B153&amp;"-"&amp;D153,Ref_Account!$A:$F,6,FALSE),"ACCOUNT TIDAK DITEMUKAN")</f>
        <v>1201.816120</v>
      </c>
      <c r="N153" s="1">
        <f>IF(L153="ACCOUNT TIDAK DITEMUKAN","9999",COUNTIF($L$6:$L$162,L153))</f>
        <v>1</v>
      </c>
      <c r="O153" s="36" t="str">
        <f t="shared" si="14"/>
        <v>OK</v>
      </c>
    </row>
    <row r="154" spans="1:15" hidden="1" x14ac:dyDescent="0.25">
      <c r="A154" s="1" t="s">
        <v>159</v>
      </c>
      <c r="B154" s="35" t="s">
        <v>162</v>
      </c>
      <c r="C154" s="1" t="s">
        <v>163</v>
      </c>
      <c r="D154" s="2" t="s">
        <v>13</v>
      </c>
      <c r="E154" s="2" t="s">
        <v>72</v>
      </c>
      <c r="G154" s="32">
        <v>3000</v>
      </c>
      <c r="H154" s="6">
        <v>452.47</v>
      </c>
      <c r="I154" s="67">
        <f t="shared" si="12"/>
        <v>2547.5299999999997</v>
      </c>
      <c r="J154" s="4">
        <f>G154/VLOOKUP(A154,RESUME!$G$3:$I$10,3,FALSE)</f>
        <v>3.3959255232781635E-2</v>
      </c>
      <c r="K154" s="4">
        <f t="shared" si="13"/>
        <v>0.22515916126670252</v>
      </c>
      <c r="L154" s="1" t="str">
        <f>_xlfn.IFNA(VLOOKUP(A154&amp;"-"&amp;B154&amp;"-"&amp;D154,Ref_Account!$A:$F,6,FALSE),"ACCOUNT TIDAK DITEMUKAN")</f>
        <v>1201.920410</v>
      </c>
      <c r="N154" s="1">
        <f>IF(L154="ACCOUNT TIDAK DITEMUKAN","9999",COUNTIF($L$6:$L$162,L154))</f>
        <v>1</v>
      </c>
      <c r="O154" s="36" t="str">
        <f t="shared" si="14"/>
        <v>OK</v>
      </c>
    </row>
    <row r="155" spans="1:15" hidden="1" x14ac:dyDescent="0.25">
      <c r="A155" s="1" t="s">
        <v>159</v>
      </c>
      <c r="B155" s="35" t="s">
        <v>164</v>
      </c>
      <c r="C155" s="1" t="s">
        <v>165</v>
      </c>
      <c r="D155" s="2" t="s">
        <v>13</v>
      </c>
      <c r="E155" s="2" t="s">
        <v>166</v>
      </c>
      <c r="G155" s="32">
        <v>27000</v>
      </c>
      <c r="H155" s="6">
        <v>4859.3</v>
      </c>
      <c r="I155" s="67">
        <f t="shared" si="12"/>
        <v>22140.7</v>
      </c>
      <c r="J155" s="4">
        <f>G155/VLOOKUP(A155,RESUME!$G$3:$I$10,3,FALSE)</f>
        <v>0.30563329709503473</v>
      </c>
      <c r="K155" s="4">
        <f t="shared" si="13"/>
        <v>1.6982073594068976</v>
      </c>
      <c r="L155" s="1" t="str">
        <f>_xlfn.IFNA(VLOOKUP(A155&amp;"-"&amp;B155&amp;"-"&amp;D155,Ref_Account!$A:$F,6,FALSE),"ACCOUNT TIDAK DITEMUKAN")</f>
        <v>1201.920120</v>
      </c>
      <c r="N155" s="1">
        <f>IF(L155="ACCOUNT TIDAK DITEMUKAN","9999",COUNTIF($L$6:$L$162,L155))</f>
        <v>1</v>
      </c>
      <c r="O155" s="36" t="str">
        <f t="shared" si="14"/>
        <v>OK</v>
      </c>
    </row>
    <row r="156" spans="1:15" hidden="1" x14ac:dyDescent="0.25">
      <c r="A156" s="1" t="s">
        <v>159</v>
      </c>
      <c r="B156" s="35" t="s">
        <v>167</v>
      </c>
      <c r="C156" s="1" t="s">
        <v>168</v>
      </c>
      <c r="D156" s="2" t="s">
        <v>13</v>
      </c>
      <c r="E156" s="2" t="s">
        <v>72</v>
      </c>
      <c r="G156" s="32">
        <v>743.73</v>
      </c>
      <c r="I156" s="67">
        <f t="shared" si="12"/>
        <v>743.73</v>
      </c>
      <c r="J156" s="4">
        <f>G156/VLOOKUP(A156,RESUME!$G$3:$I$10,3,FALSE)</f>
        <v>8.4188389647588957E-3</v>
      </c>
      <c r="K156" s="4" t="str">
        <f t="shared" si="13"/>
        <v/>
      </c>
      <c r="L156" s="1" t="str">
        <f>_xlfn.IFNA(VLOOKUP(A156&amp;"-"&amp;B156&amp;"-"&amp;D156,Ref_Account!$A:$F,6,FALSE),"ACCOUNT TIDAK DITEMUKAN")</f>
        <v>1201.805120</v>
      </c>
      <c r="N156" s="1">
        <f>IF(L156="ACCOUNT TIDAK DITEMUKAN","9999",COUNTIF($L$6:$L$162,L156))</f>
        <v>1</v>
      </c>
      <c r="O156" s="36" t="str">
        <f t="shared" si="14"/>
        <v>OK</v>
      </c>
    </row>
    <row r="157" spans="1:15" hidden="1" x14ac:dyDescent="0.25">
      <c r="A157" s="1" t="s">
        <v>159</v>
      </c>
      <c r="B157" s="35" t="s">
        <v>169</v>
      </c>
      <c r="C157" s="1" t="s">
        <v>170</v>
      </c>
      <c r="D157" s="2" t="s">
        <v>13</v>
      </c>
      <c r="E157" s="2" t="s">
        <v>171</v>
      </c>
      <c r="G157" s="32">
        <v>2000</v>
      </c>
      <c r="H157" s="6">
        <v>71.38</v>
      </c>
      <c r="I157" s="67">
        <f t="shared" si="12"/>
        <v>1928.62</v>
      </c>
      <c r="J157" s="4">
        <f>G157/VLOOKUP(A157,RESUME!$G$3:$I$10,3,FALSE)</f>
        <v>2.263950348852109E-2</v>
      </c>
      <c r="K157" s="4">
        <f t="shared" si="13"/>
        <v>0.63433744714264761</v>
      </c>
      <c r="L157" s="1" t="str">
        <f>_xlfn.IFNA(VLOOKUP(A157&amp;"-"&amp;B157&amp;"-"&amp;D157,Ref_Account!$A:$F,6,FALSE),"ACCOUNT TIDAK DITEMUKAN")</f>
        <v>1201.920700</v>
      </c>
      <c r="N157" s="1">
        <f>IF(L157="ACCOUNT TIDAK DITEMUKAN","9999",COUNTIF($L$6:$L$162,L157))</f>
        <v>1</v>
      </c>
      <c r="O157" s="36" t="str">
        <f t="shared" si="14"/>
        <v>OK</v>
      </c>
    </row>
    <row r="158" spans="1:15" hidden="1" x14ac:dyDescent="0.25">
      <c r="A158" s="1" t="s">
        <v>159</v>
      </c>
      <c r="B158" s="35" t="s">
        <v>169</v>
      </c>
      <c r="C158" s="1" t="s">
        <v>170</v>
      </c>
      <c r="D158" s="2" t="s">
        <v>101</v>
      </c>
      <c r="E158" s="2" t="s">
        <v>171</v>
      </c>
      <c r="G158" s="32">
        <v>1000</v>
      </c>
      <c r="I158" s="67">
        <f t="shared" si="12"/>
        <v>1000</v>
      </c>
      <c r="J158" s="4">
        <f>G158/VLOOKUP(A158,RESUME!$G$3:$I$10,3,FALSE)</f>
        <v>1.1319751744260545E-2</v>
      </c>
      <c r="K158" s="4" t="str">
        <f t="shared" si="13"/>
        <v/>
      </c>
      <c r="L158" s="1" t="str">
        <f>_xlfn.IFNA(VLOOKUP(A158&amp;"-"&amp;B158&amp;"-"&amp;D158,Ref_Account!$A:$F,6,FALSE),"ACCOUNT TIDAK DITEMUKAN")</f>
        <v>1206.920700</v>
      </c>
      <c r="N158" s="1">
        <f>IF(L158="ACCOUNT TIDAK DITEMUKAN","9999",COUNTIF($L$6:$L$162,L158))</f>
        <v>1</v>
      </c>
      <c r="O158" s="36" t="str">
        <f t="shared" si="14"/>
        <v>OK</v>
      </c>
    </row>
    <row r="159" spans="1:15" hidden="1" x14ac:dyDescent="0.25">
      <c r="A159" s="1" t="s">
        <v>159</v>
      </c>
      <c r="B159" s="35" t="s">
        <v>169</v>
      </c>
      <c r="C159" s="1" t="s">
        <v>170</v>
      </c>
      <c r="D159" s="2" t="s">
        <v>24</v>
      </c>
      <c r="E159" s="2" t="s">
        <v>171</v>
      </c>
      <c r="G159" s="32">
        <v>1000</v>
      </c>
      <c r="H159" s="6">
        <v>197.81</v>
      </c>
      <c r="I159" s="67">
        <f t="shared" si="12"/>
        <v>802.19</v>
      </c>
      <c r="J159" s="4">
        <f>G159/VLOOKUP(A159,RESUME!$G$3:$I$10,3,FALSE)</f>
        <v>1.1319751744260545E-2</v>
      </c>
      <c r="K159" s="4">
        <f t="shared" si="13"/>
        <v>5.7225376595018175E-2</v>
      </c>
      <c r="L159" s="1" t="str">
        <f>_xlfn.IFNA(VLOOKUP(A159&amp;"-"&amp;B159&amp;"-"&amp;D159,Ref_Account!$A:$F,6,FALSE),"ACCOUNT TIDAK DITEMUKAN")</f>
        <v>1205.920700</v>
      </c>
      <c r="N159" s="1">
        <f>IF(L159="ACCOUNT TIDAK DITEMUKAN","9999",COUNTIF($L$6:$L$162,L159))</f>
        <v>1</v>
      </c>
      <c r="O159" s="36" t="str">
        <f t="shared" si="14"/>
        <v>OK</v>
      </c>
    </row>
    <row r="160" spans="1:15" hidden="1" x14ac:dyDescent="0.25">
      <c r="A160" s="1" t="s">
        <v>159</v>
      </c>
      <c r="B160" s="35" t="s">
        <v>169</v>
      </c>
      <c r="C160" s="1" t="s">
        <v>170</v>
      </c>
      <c r="D160" s="2" t="s">
        <v>15</v>
      </c>
      <c r="E160" s="2" t="s">
        <v>171</v>
      </c>
      <c r="G160" s="32">
        <v>1000</v>
      </c>
      <c r="H160" s="6">
        <v>68.48</v>
      </c>
      <c r="I160" s="67">
        <f t="shared" si="12"/>
        <v>931.52</v>
      </c>
      <c r="J160" s="4">
        <f>G160/VLOOKUP(A160,RESUME!$G$3:$I$10,3,FALSE)</f>
        <v>1.1319751744260545E-2</v>
      </c>
      <c r="K160" s="4">
        <f t="shared" si="13"/>
        <v>0.16530011308791684</v>
      </c>
      <c r="L160" s="1" t="str">
        <f>_xlfn.IFNA(VLOOKUP(A160&amp;"-"&amp;B160&amp;"-"&amp;D160,Ref_Account!$A:$F,6,FALSE),"ACCOUNT TIDAK DITEMUKAN")</f>
        <v>1204.920700</v>
      </c>
      <c r="N160" s="1">
        <f>IF(L160="ACCOUNT TIDAK DITEMUKAN","9999",COUNTIF($L$6:$L$162,L160))</f>
        <v>1</v>
      </c>
      <c r="O160" s="36" t="str">
        <f t="shared" si="14"/>
        <v>OK</v>
      </c>
    </row>
    <row r="161" spans="1:15" hidden="1" x14ac:dyDescent="0.25">
      <c r="A161" s="1" t="s">
        <v>159</v>
      </c>
      <c r="B161" s="35" t="s">
        <v>146</v>
      </c>
      <c r="C161" s="1" t="s">
        <v>147</v>
      </c>
      <c r="D161" s="2" t="s">
        <v>13</v>
      </c>
      <c r="E161" s="2" t="s">
        <v>148</v>
      </c>
      <c r="G161" s="32">
        <v>45654.420000000006</v>
      </c>
      <c r="I161" s="67">
        <f t="shared" si="12"/>
        <v>45654.420000000006</v>
      </c>
      <c r="J161" s="4">
        <f>G161/VLOOKUP(A161,RESUME!$G$3:$I$10,3,FALSE)</f>
        <v>0.51679670042820358</v>
      </c>
      <c r="K161" s="4" t="str">
        <f t="shared" si="13"/>
        <v/>
      </c>
      <c r="L161" s="1" t="str">
        <f>_xlfn.IFNA(VLOOKUP(A161&amp;"-"&amp;B161&amp;"-"&amp;D161,Ref_Account!$A:$F,6,FALSE),"ACCOUNT TIDAK DITEMUKAN")</f>
        <v>1201.801110</v>
      </c>
      <c r="N161" s="1">
        <f>IF(L161="ACCOUNT TIDAK DITEMUKAN","9999",COUNTIF($L$6:$L$162,L161))</f>
        <v>1</v>
      </c>
      <c r="O161" s="36" t="str">
        <f t="shared" si="14"/>
        <v>OK</v>
      </c>
    </row>
    <row r="162" spans="1:15" hidden="1" x14ac:dyDescent="0.25">
      <c r="A162" s="1" t="s">
        <v>159</v>
      </c>
      <c r="B162" s="35" t="s">
        <v>146</v>
      </c>
      <c r="C162" s="1" t="s">
        <v>147</v>
      </c>
      <c r="D162" s="2" t="s">
        <v>15</v>
      </c>
      <c r="E162" s="2" t="s">
        <v>148</v>
      </c>
      <c r="G162" s="32">
        <v>6000</v>
      </c>
      <c r="I162" s="67">
        <f t="shared" si="12"/>
        <v>6000</v>
      </c>
      <c r="J162" s="4">
        <f>G162/VLOOKUP(A162,RESUME!$G$3:$I$10,3,FALSE)</f>
        <v>6.791851046556327E-2</v>
      </c>
      <c r="K162" s="4" t="str">
        <f t="shared" si="13"/>
        <v/>
      </c>
      <c r="L162" s="1" t="str">
        <f>_xlfn.IFNA(VLOOKUP(A162&amp;"-"&amp;B162&amp;"-"&amp;D162,Ref_Account!$A:$F,6,FALSE),"ACCOUNT TIDAK DITEMUKAN")</f>
        <v>1204.801110</v>
      </c>
      <c r="N162" s="1">
        <f>IF(L162="ACCOUNT TIDAK DITEMUKAN","9999",COUNTIF($L$6:$L$162,L162))</f>
        <v>1</v>
      </c>
      <c r="O162" s="36" t="str">
        <f t="shared" si="14"/>
        <v>OK</v>
      </c>
    </row>
  </sheetData>
  <autoFilter ref="A5:O162" xr:uid="{00000000-0001-0000-0000-000000000000}">
    <filterColumn colId="13">
      <filters>
        <filter val="2"/>
      </filters>
    </filterColumn>
  </autoFilter>
  <conditionalFormatting sqref="O6:O1048576">
    <cfRule type="containsText" dxfId="8" priority="1" operator="containsText" text="OVER">
      <formula>NOT(ISERROR(SEARCH("OVER",O6)))</formula>
    </cfRule>
  </conditionalFormatting>
  <hyperlinks>
    <hyperlink ref="B6" r:id="rId1" xr:uid="{53AAE7B0-5A20-4425-B251-53F7D318D5AF}"/>
    <hyperlink ref="B7" r:id="rId2" xr:uid="{88686A6B-458F-4E57-A9FA-5CD119B33C1C}"/>
    <hyperlink ref="B8" r:id="rId3" xr:uid="{014FB16B-44F5-4B93-8853-13297577C4B4}"/>
    <hyperlink ref="B9" r:id="rId4" xr:uid="{D726A22B-36E2-4D2C-A470-EED62E8F745B}"/>
    <hyperlink ref="B10" r:id="rId5" xr:uid="{0388224D-F251-463C-A657-27617B2E1995}"/>
    <hyperlink ref="B11" r:id="rId6" xr:uid="{EAE47446-A3E5-4D0F-980D-590328B61DE7}"/>
    <hyperlink ref="B12" r:id="rId7" xr:uid="{353B49E7-9681-498B-815C-577A5620B7FA}"/>
    <hyperlink ref="B13" r:id="rId8" xr:uid="{D331D088-4C7B-4356-A513-AD5630946146}"/>
    <hyperlink ref="B14" r:id="rId9" xr:uid="{E165DE4C-EF9F-44F0-BFB4-56144B6AC54D}"/>
    <hyperlink ref="B15" r:id="rId10" xr:uid="{7E3C1228-263B-47C9-BCA2-309AEBB73A47}"/>
    <hyperlink ref="B16" r:id="rId11" xr:uid="{82C7BDC4-C5CC-42F6-82B5-D047905D38E6}"/>
    <hyperlink ref="B17" r:id="rId12" xr:uid="{324E40E6-7453-4C9C-9287-08DB371D6B78}"/>
    <hyperlink ref="B18" r:id="rId13" xr:uid="{111BB824-8FF9-4298-A90F-E45AB7EF7032}"/>
    <hyperlink ref="B19" r:id="rId14" xr:uid="{C85A8C83-DA71-4D24-9526-4204B13346C7}"/>
    <hyperlink ref="B20" r:id="rId15" xr:uid="{3EE05FA1-B70C-424F-9D87-BC45BFBA3873}"/>
    <hyperlink ref="B21" r:id="rId16" xr:uid="{12CC9212-9440-44BF-880C-190BD145845C}"/>
    <hyperlink ref="B22" r:id="rId17" xr:uid="{8CDF144A-E07E-4180-BEB7-10F6F8818A3E}"/>
    <hyperlink ref="B23" r:id="rId18" xr:uid="{721296EF-AE52-4EBF-B835-D5CE534D5109}"/>
    <hyperlink ref="B24" r:id="rId19" xr:uid="{2FED50D0-77C1-48FE-ABA9-D7BD47620E5A}"/>
    <hyperlink ref="B25" r:id="rId20" xr:uid="{841C6CDE-63B8-44CA-B81D-88C18071C7EE}"/>
    <hyperlink ref="B26" r:id="rId21" xr:uid="{A00C86FC-24E4-4317-84D2-4F71745D64A1}"/>
    <hyperlink ref="B27" r:id="rId22" xr:uid="{011DA5AD-4EB7-41CE-B749-A82B97C7A348}"/>
    <hyperlink ref="B28" r:id="rId23" xr:uid="{9F68A6EA-1307-41DF-9117-9BD03426C213}"/>
    <hyperlink ref="B29" r:id="rId24" xr:uid="{30FEB821-11DB-4C71-877A-45A69C45C298}"/>
    <hyperlink ref="B30" r:id="rId25" xr:uid="{179B3871-041A-47C8-84C9-7AB767F3EBFA}"/>
    <hyperlink ref="B31" r:id="rId26" xr:uid="{7AE2D2E4-FF52-467D-B53D-DA1083F2D2C9}"/>
    <hyperlink ref="B32" r:id="rId27" xr:uid="{4DEE046D-ED90-46A7-940E-8912578D6BFA}"/>
    <hyperlink ref="B33" r:id="rId28" xr:uid="{D068E3A7-5624-4A4A-A2C9-2DCBC7C3C548}"/>
    <hyperlink ref="B34" r:id="rId29" xr:uid="{7F309050-FAB8-4EDD-B1B8-06FECA6CD80B}"/>
    <hyperlink ref="B35" r:id="rId30" xr:uid="{7516EE6E-9D2D-48D2-B24A-72732DB8AB3B}"/>
    <hyperlink ref="B36" r:id="rId31" xr:uid="{819D1AC9-051F-4EB7-B7C2-E09A6F91D5A8}"/>
    <hyperlink ref="B37" r:id="rId32" xr:uid="{734083BB-9844-431A-8560-336832524B4A}"/>
    <hyperlink ref="B38" r:id="rId33" xr:uid="{88BFD213-103E-48A6-AF26-00DFF19DE81C}"/>
    <hyperlink ref="B39" r:id="rId34" xr:uid="{6EE67DA2-82F0-4D45-B370-0CD4B870C382}"/>
    <hyperlink ref="B40" r:id="rId35" xr:uid="{068DFF6B-5093-4A41-8531-644DB1E7EE1A}"/>
    <hyperlink ref="B41" r:id="rId36" xr:uid="{BE6ED593-FB1D-4EFE-91E7-2E641A30CE22}"/>
    <hyperlink ref="B42" r:id="rId37" xr:uid="{236CB305-3C5E-4FE5-8895-2BA29C1C3044}"/>
    <hyperlink ref="B43" r:id="rId38" xr:uid="{1977CA5C-4566-4C12-AAC1-1ED22B3DC457}"/>
    <hyperlink ref="B44" r:id="rId39" xr:uid="{3B2AA8DC-5411-4E04-8A40-AC38303685E6}"/>
    <hyperlink ref="B45" r:id="rId40" xr:uid="{9743230E-AA21-41B4-BA4D-959BBE7E4C98}"/>
    <hyperlink ref="B46" r:id="rId41" xr:uid="{1B8C4C32-5EB8-4665-BD57-478049303BE4}"/>
    <hyperlink ref="B47" r:id="rId42" xr:uid="{67CC6979-0459-4A1E-B860-02E5AF1C5EFF}"/>
    <hyperlink ref="B48" r:id="rId43" xr:uid="{3423EA7C-F58B-4A18-ADC6-35A86EF5B193}"/>
    <hyperlink ref="B49" r:id="rId44" xr:uid="{BD98014B-2DF6-4F57-A191-DC822972DF88}"/>
    <hyperlink ref="B50" r:id="rId45" xr:uid="{7F7B96C6-96C5-445B-8AEF-55BB1736A5CF}"/>
    <hyperlink ref="B51" r:id="rId46" xr:uid="{E07D3EB4-FBC7-4736-8B5A-DC5FC5B012C3}"/>
    <hyperlink ref="B52" r:id="rId47" xr:uid="{565D1FAD-9F87-4058-A238-62F51EB437BC}"/>
    <hyperlink ref="B53" r:id="rId48" xr:uid="{3FD0BCE4-21E8-41F5-BB56-900D352F7BC1}"/>
    <hyperlink ref="B54" r:id="rId49" xr:uid="{FEE7EC5D-78F9-4610-B66E-0B75FE0EE261}"/>
    <hyperlink ref="B55" r:id="rId50" xr:uid="{858381F3-CB31-4A35-A1A3-18B8AB161C27}"/>
    <hyperlink ref="B56" r:id="rId51" xr:uid="{CDEB49FC-E0CA-4DE2-8212-CECFB5461348}"/>
    <hyperlink ref="B57" r:id="rId52" xr:uid="{44C849AE-DA57-40DF-8B91-5F497A151F7D}"/>
    <hyperlink ref="B58" r:id="rId53" xr:uid="{FCBE55ED-005A-4DCB-8035-2579EC737C38}"/>
    <hyperlink ref="B59" r:id="rId54" xr:uid="{56E93E9C-EA88-437B-9914-C15B82F69A7D}"/>
    <hyperlink ref="B60" r:id="rId55" xr:uid="{7233A8F9-3DB9-49D0-B0F7-70817FE8A631}"/>
    <hyperlink ref="B61" r:id="rId56" xr:uid="{7AD2B22D-ABC1-4FD8-B277-D48A9148E587}"/>
    <hyperlink ref="B62" r:id="rId57" xr:uid="{F4815685-E78D-4FA0-9498-3E1CA542353D}"/>
    <hyperlink ref="B63" r:id="rId58" xr:uid="{8041242F-B24A-477F-AFB3-40CF25658B5B}"/>
    <hyperlink ref="B64" r:id="rId59" xr:uid="{12AF017C-90B1-40D7-B5A3-93E2CAB017A0}"/>
    <hyperlink ref="B65" r:id="rId60" xr:uid="{EC987363-2694-4D9E-974C-ABB078BB95B0}"/>
    <hyperlink ref="B66" r:id="rId61" xr:uid="{D54310E0-1FD2-4F90-ABF1-F4339453A307}"/>
    <hyperlink ref="B67" r:id="rId62" xr:uid="{8C9C17CE-4EF5-40CB-AB21-3AE97EF1ED0C}"/>
    <hyperlink ref="B68" r:id="rId63" xr:uid="{109A166E-E8CD-4311-BD10-D15AF03454D5}"/>
    <hyperlink ref="B69" r:id="rId64" xr:uid="{D25E640E-46AE-4D6F-92C4-C558D625E34F}"/>
    <hyperlink ref="B70" r:id="rId65" xr:uid="{09945853-7FCD-40C4-A740-D4A9AC4B31DF}"/>
    <hyperlink ref="B71" r:id="rId66" xr:uid="{36E4BF95-47C8-4E65-894F-87942193955C}"/>
    <hyperlink ref="B72" r:id="rId67" xr:uid="{BA73A247-845B-4A34-A8ED-4E97997F22A7}"/>
    <hyperlink ref="B73" r:id="rId68" xr:uid="{E55890FB-1BD9-4D6B-A4A5-1F75A8B1FC07}"/>
    <hyperlink ref="B74" r:id="rId69" xr:uid="{9FBE1789-9910-4699-9B0A-A35EC78C5C30}"/>
    <hyperlink ref="B75" r:id="rId70" xr:uid="{D01D0447-D316-4A61-8A58-09AD26090FAD}"/>
    <hyperlink ref="B76" r:id="rId71" xr:uid="{4827445F-427E-432C-9C27-074B12D1B7A8}"/>
    <hyperlink ref="B77" r:id="rId72" xr:uid="{CCBD1058-1608-4D87-969E-60AFAE5C46A4}"/>
    <hyperlink ref="B78" r:id="rId73" xr:uid="{FF3B99C9-4D2E-4886-902F-29578444190B}"/>
    <hyperlink ref="B79" r:id="rId74" xr:uid="{205F4F29-62C0-41F0-A7EF-66BB86A5C018}"/>
    <hyperlink ref="B80" r:id="rId75" xr:uid="{323988A9-7450-4AA8-91FA-297745D58D3E}"/>
    <hyperlink ref="B81" r:id="rId76" xr:uid="{2FA27F8B-F32A-482E-8A04-B629B8C9DB33}"/>
    <hyperlink ref="B82" r:id="rId77" xr:uid="{93181EB7-6186-4D97-8815-885849AB074B}"/>
    <hyperlink ref="B83" r:id="rId78" xr:uid="{31077290-56AD-4A03-93B3-7775926070EB}"/>
    <hyperlink ref="B84" r:id="rId79" xr:uid="{C0A2C69B-84CE-4432-8B9A-42738BB72682}"/>
    <hyperlink ref="B85" r:id="rId80" xr:uid="{FB607F44-C3AD-4738-B97D-B28068E43FF7}"/>
    <hyperlink ref="B86" r:id="rId81" xr:uid="{97E435CF-47DA-4435-B02E-4B5093E047BF}"/>
    <hyperlink ref="B87" r:id="rId82" xr:uid="{1B9281D9-66A6-43C0-AA80-AB9A5F484BFA}"/>
    <hyperlink ref="B88" r:id="rId83" xr:uid="{224647F0-4B09-4A56-90C2-7378B58484C2}"/>
    <hyperlink ref="B89" r:id="rId84" xr:uid="{7CAE4443-59D5-4269-A1D4-9A71D9CA4BA5}"/>
    <hyperlink ref="B90" r:id="rId85" xr:uid="{58A46B90-4F90-44DD-9FFC-A45BBBC24F55}"/>
    <hyperlink ref="B91" r:id="rId86" xr:uid="{92779B2C-8EDD-45DB-8F55-F304BAA31080}"/>
    <hyperlink ref="B92" r:id="rId87" xr:uid="{B1F61A01-11F8-4A73-8AA5-AA1A7A123669}"/>
    <hyperlink ref="B93" r:id="rId88" xr:uid="{98E4C921-76F4-47F4-BFCD-C620A3162382}"/>
    <hyperlink ref="B94" r:id="rId89" xr:uid="{0A29E0DB-F2CA-47BC-860E-388A12E6F277}"/>
    <hyperlink ref="B95" r:id="rId90" xr:uid="{ECDCDD32-E520-422B-851E-56CE0DEE8A32}"/>
    <hyperlink ref="B96" r:id="rId91" xr:uid="{BF9890B1-B77C-4DCA-B40A-A44413307E14}"/>
    <hyperlink ref="B97" r:id="rId92" xr:uid="{825C9C09-8489-4057-B415-641AD3A7E657}"/>
    <hyperlink ref="B98" r:id="rId93" xr:uid="{306E37C9-E8EB-44CC-9673-CAEE7282F1DF}"/>
    <hyperlink ref="B99" r:id="rId94" xr:uid="{38962874-DB1A-4EC1-BF03-078E1E16B6E2}"/>
    <hyperlink ref="B100" r:id="rId95" xr:uid="{EB2A8E6A-DA6C-437C-A91E-AAD55BCC7373}"/>
    <hyperlink ref="B101" r:id="rId96" xr:uid="{EB93C638-B7B5-46A3-8501-5536C23F0D1D}"/>
    <hyperlink ref="B102" r:id="rId97" xr:uid="{86069D45-FA42-4EA2-A93F-52BC153793E7}"/>
    <hyperlink ref="B103" r:id="rId98" xr:uid="{07039FA4-D822-4BBB-A8AD-28394E6A8800}"/>
    <hyperlink ref="B104" r:id="rId99" xr:uid="{B06B329C-57ED-4B40-AE43-0DD1C520EB11}"/>
    <hyperlink ref="B105" r:id="rId100" xr:uid="{9A88A196-C3BF-4EE9-B458-B26C101F3A81}"/>
    <hyperlink ref="B106" r:id="rId101" xr:uid="{40A5FF37-9CD5-47B1-B32D-4392ADE3993F}"/>
    <hyperlink ref="B107" r:id="rId102" xr:uid="{B1E67D54-5077-4056-AC75-CDB7A84FE80D}"/>
    <hyperlink ref="B108" r:id="rId103" xr:uid="{C11805AB-FB3E-48FB-84B6-163B61948C46}"/>
    <hyperlink ref="B109" r:id="rId104" xr:uid="{F6327275-F237-4432-B755-53DB6B0E42B7}"/>
    <hyperlink ref="B110" r:id="rId105" xr:uid="{BCC5919A-1E86-4829-92F3-D1ADF835F634}"/>
    <hyperlink ref="B111" r:id="rId106" xr:uid="{7A0081F3-8888-403E-99A5-E6F10FCA3CA0}"/>
    <hyperlink ref="B112" r:id="rId107" xr:uid="{2CD5F7D6-7299-40ED-B1AC-FD2502F68AB6}"/>
    <hyperlink ref="B113" r:id="rId108" xr:uid="{F93ED297-710C-4B07-A228-4ED24075CC45}"/>
    <hyperlink ref="B114" r:id="rId109" xr:uid="{EB9C1533-21D1-4AF8-AC58-8D329234494E}"/>
    <hyperlink ref="B115" r:id="rId110" xr:uid="{3B946C96-5C3F-45FF-B851-65AFFBBD1C80}"/>
    <hyperlink ref="B116" r:id="rId111" xr:uid="{E9DB9F5C-060D-458E-B8CA-F71532CA67FF}"/>
    <hyperlink ref="B117" r:id="rId112" xr:uid="{6255A8DD-BB66-48B0-9F1A-FF9270070734}"/>
    <hyperlink ref="B118" r:id="rId113" xr:uid="{5EAC5DB2-B5EB-4E57-93E4-BEDC312EEDCD}"/>
    <hyperlink ref="B119" r:id="rId114" xr:uid="{076EC34E-E421-4BF4-90F9-C326E59E13F1}"/>
    <hyperlink ref="B120" r:id="rId115" xr:uid="{B4D53BD7-C29A-4EFD-BAC7-01A3DA796EBE}"/>
    <hyperlink ref="B121" r:id="rId116" xr:uid="{32EBB894-C997-4C69-B854-3AA1B4683365}"/>
    <hyperlink ref="B122" r:id="rId117" xr:uid="{FD69812B-7B9B-487D-B314-608A5B23DB87}"/>
    <hyperlink ref="B123" r:id="rId118" xr:uid="{9B1F960C-7C17-461C-B9A2-409936FCA22E}"/>
    <hyperlink ref="B124" r:id="rId119" xr:uid="{840B1470-6245-4F6B-B61D-D4C6FC664FED}"/>
    <hyperlink ref="B125" r:id="rId120" xr:uid="{E9B8EB5E-211F-4281-84A7-5D2AFD728025}"/>
    <hyperlink ref="B126" r:id="rId121" xr:uid="{5D3C563A-607E-407D-BCBD-9E72B0E8D437}"/>
    <hyperlink ref="B127" r:id="rId122" xr:uid="{4CF7F26C-54E8-41B6-949B-63292C350E89}"/>
    <hyperlink ref="B128" r:id="rId123" xr:uid="{215C63D8-1DFB-4CA0-AFDE-02B31D15CDF6}"/>
    <hyperlink ref="B129" r:id="rId124" xr:uid="{70E148BF-7845-4244-AD53-86BB8EB4DB2C}"/>
    <hyperlink ref="B130" r:id="rId125" xr:uid="{C0210696-E682-4BA9-9597-CD88B3FCD516}"/>
    <hyperlink ref="B131" r:id="rId126" xr:uid="{1D3D90EC-AD1F-47D7-93CE-D72B5A751850}"/>
    <hyperlink ref="B132" r:id="rId127" xr:uid="{6C145F54-3E79-4CE9-972D-C3D61385AF85}"/>
    <hyperlink ref="B133" r:id="rId128" xr:uid="{3139B777-9215-402E-95D5-49D22CEB022B}"/>
    <hyperlink ref="B134" r:id="rId129" xr:uid="{D7FF3514-F141-4476-BA12-B5C71465A964}"/>
    <hyperlink ref="B135" r:id="rId130" xr:uid="{26414B8E-DA46-4924-B773-023C3B4F632A}"/>
    <hyperlink ref="B136" r:id="rId131" xr:uid="{72021F04-14CD-48BD-AD30-DD5D314C3EF8}"/>
    <hyperlink ref="B137" r:id="rId132" xr:uid="{01A6A510-3757-4CCB-A8D2-80E8EAEC0C01}"/>
    <hyperlink ref="B138" r:id="rId133" xr:uid="{5443142F-3E63-4825-9A1A-501454533519}"/>
    <hyperlink ref="B139" r:id="rId134" xr:uid="{D2D6D8C1-346E-4841-884E-4574BE329938}"/>
    <hyperlink ref="B140" r:id="rId135" xr:uid="{41238C89-A8C6-4F71-BF17-F5576E33F8E0}"/>
    <hyperlink ref="B141" r:id="rId136" xr:uid="{50FA791A-A062-4FE5-8647-623C8B20FB52}"/>
    <hyperlink ref="B142" r:id="rId137" xr:uid="{22C04C4C-8A1F-4F19-A44E-3416C61E8940}"/>
    <hyperlink ref="B143" r:id="rId138" xr:uid="{64D89136-F774-4B10-ABF5-5AA1CCF842D7}"/>
    <hyperlink ref="B144" r:id="rId139" xr:uid="{503D224F-14CA-49E0-A447-FD9CD02C9AFD}"/>
    <hyperlink ref="B145" r:id="rId140" xr:uid="{2E638ADC-B47A-4EE5-A0D7-140CD2251E06}"/>
    <hyperlink ref="B146" r:id="rId141" xr:uid="{5D05774B-C4DD-4E79-8F29-CD5BF3D7A675}"/>
    <hyperlink ref="B147" r:id="rId142" xr:uid="{63CBA639-482B-4463-A8A7-7A53657F5CCA}"/>
    <hyperlink ref="B148" r:id="rId143" xr:uid="{A1E4AFBC-1754-46E6-92BD-8655F0D15EBB}"/>
    <hyperlink ref="B149" r:id="rId144" xr:uid="{4A50572B-9C85-4479-89F1-FCC30F67DE78}"/>
    <hyperlink ref="B150" r:id="rId145" xr:uid="{99A127B0-D27C-4CAB-9DF2-3D70CC6A9EDB}"/>
    <hyperlink ref="B151" r:id="rId146" xr:uid="{C873EE3B-CFCF-4ED6-8E65-0D8CB2930087}"/>
    <hyperlink ref="B152" r:id="rId147" xr:uid="{A5342899-693F-4D5A-ACBB-137BC178424D}"/>
    <hyperlink ref="B153" r:id="rId148" xr:uid="{14297DE5-A309-4B7E-9A4B-D57E4CC80190}"/>
    <hyperlink ref="B154" r:id="rId149" xr:uid="{7D681108-A90D-4D4D-95BA-109F02B3D5DF}"/>
    <hyperlink ref="B155" r:id="rId150" xr:uid="{DC053195-4440-45A4-952C-D44A88A0777F}"/>
    <hyperlink ref="B156" r:id="rId151" xr:uid="{C6CE4931-0878-4A18-87DD-4609F482AC06}"/>
    <hyperlink ref="B157" r:id="rId152" xr:uid="{5EF2A404-3738-4628-B715-4EC28CC0E139}"/>
    <hyperlink ref="B158" r:id="rId153" xr:uid="{87C830DD-ED6C-4BA6-B4C4-2965D8582D56}"/>
    <hyperlink ref="B159" r:id="rId154" xr:uid="{BD2C939C-9F62-4C83-AE04-E1042C164690}"/>
    <hyperlink ref="B160" r:id="rId155" xr:uid="{AEFFF91D-CD8D-4BD6-B2D9-03AF1F46026D}"/>
    <hyperlink ref="B161" r:id="rId156" xr:uid="{861AB57B-C037-4F1F-ABA7-09DDE7B4E40B}"/>
    <hyperlink ref="B162" r:id="rId157" xr:uid="{57CBBD1B-CD01-4263-8505-42B92706CD86}"/>
  </hyperlinks>
  <pageMargins left="0.7" right="0.7" top="0.75" bottom="0.75" header="0.3" footer="0.3"/>
  <pageSetup paperSize="9" orientation="portrait" r:id="rId15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17"/>
  <sheetViews>
    <sheetView workbookViewId="0">
      <selection activeCell="E1" sqref="E1"/>
    </sheetView>
  </sheetViews>
  <sheetFormatPr defaultRowHeight="15" x14ac:dyDescent="0.25"/>
  <cols>
    <col min="1" max="1" width="20.140625" bestFit="1" customWidth="1"/>
    <col min="2" max="2" width="8.28515625" style="20" bestFit="1" customWidth="1"/>
    <col min="3" max="3" width="15.85546875" style="22" bestFit="1" customWidth="1"/>
    <col min="4" max="4" width="3.28515625" customWidth="1"/>
    <col min="5" max="5" width="6.42578125" customWidth="1"/>
    <col min="6" max="6" width="2.5703125" customWidth="1"/>
    <col min="7" max="7" width="20.140625" bestFit="1" customWidth="1"/>
    <col min="8" max="8" width="12" style="24" bestFit="1" customWidth="1"/>
    <col min="9" max="9" width="15.85546875" style="22" bestFit="1" customWidth="1"/>
    <col min="10" max="10" width="15.5703125" style="22" bestFit="1" customWidth="1"/>
    <col min="11" max="11" width="14.140625" style="22" bestFit="1" customWidth="1"/>
    <col min="12" max="12" width="9.5703125" bestFit="1" customWidth="1"/>
  </cols>
  <sheetData>
    <row r="1" spans="1:12" x14ac:dyDescent="0.25">
      <c r="A1" s="55" t="s">
        <v>329</v>
      </c>
      <c r="B1" s="57"/>
      <c r="C1" s="56"/>
      <c r="G1" s="58" t="s">
        <v>355</v>
      </c>
      <c r="H1" s="59"/>
      <c r="I1" s="59"/>
      <c r="J1" s="59"/>
      <c r="K1" s="59"/>
    </row>
    <row r="2" spans="1:12" x14ac:dyDescent="0.25">
      <c r="A2" s="14" t="s">
        <v>0</v>
      </c>
      <c r="B2" s="21" t="s">
        <v>327</v>
      </c>
      <c r="C2" s="23" t="s">
        <v>172</v>
      </c>
      <c r="G2" s="14" t="s">
        <v>326</v>
      </c>
      <c r="H2" s="21" t="s">
        <v>327</v>
      </c>
      <c r="I2" s="23" t="s">
        <v>172</v>
      </c>
      <c r="J2" s="23" t="s">
        <v>335</v>
      </c>
      <c r="K2" s="23" t="s">
        <v>193</v>
      </c>
    </row>
    <row r="3" spans="1:12" x14ac:dyDescent="0.25">
      <c r="A3" t="s">
        <v>10</v>
      </c>
      <c r="B3" s="20">
        <v>8.1590977598792011E-2</v>
      </c>
      <c r="C3" s="22">
        <f>SUMIF('All Costing'!$A$6:$A$1048576,RESUME!A3,'All Costing'!$G$6:$H$1048576)</f>
        <v>67897.759999999995</v>
      </c>
      <c r="G3" t="s">
        <v>10</v>
      </c>
      <c r="H3" s="26">
        <f t="shared" ref="H3:H10" si="0">I3/$I$11</f>
        <v>8.1590977598792011E-2</v>
      </c>
      <c r="I3" s="22">
        <f>SUMIF('All Costing'!$A$6:$A$1048576,RESUME!G3,'All Costing'!$G$6:$H$1048576)</f>
        <v>67897.759999999995</v>
      </c>
      <c r="J3" s="22">
        <f>SUMIF('All Costing'!$A$6:$A$1048576,RESUME!G3,'All Costing'!$H$6:$H$1048576)</f>
        <v>1416834.28</v>
      </c>
      <c r="K3" s="22">
        <f t="shared" ref="K3:K10" si="1">I3-J3</f>
        <v>-1348936.52</v>
      </c>
    </row>
    <row r="4" spans="1:12" x14ac:dyDescent="0.25">
      <c r="A4" t="s">
        <v>36</v>
      </c>
      <c r="B4" s="20">
        <v>0.27755070800026532</v>
      </c>
      <c r="C4" s="22">
        <f>SUMIF('All Costing'!$A$6:$A$1048576,RESUME!A4,'All Costing'!$G$6:$H$1048576)</f>
        <v>230970.03999999998</v>
      </c>
      <c r="G4" t="s">
        <v>36</v>
      </c>
      <c r="H4" s="26">
        <f t="shared" si="0"/>
        <v>0.27755070800026532</v>
      </c>
      <c r="I4" s="22">
        <f>SUMIF('All Costing'!$A$6:$A$1048576,RESUME!G4,'All Costing'!$G$6:$H$1048576)</f>
        <v>230970.03999999998</v>
      </c>
      <c r="J4" s="22">
        <f>SUMIF('All Costing'!$A$6:$A$1048576,RESUME!G4,'All Costing'!$H$6:$H$1048576)</f>
        <v>0</v>
      </c>
      <c r="K4" s="22">
        <f t="shared" si="1"/>
        <v>230970.03999999998</v>
      </c>
    </row>
    <row r="5" spans="1:12" x14ac:dyDescent="0.25">
      <c r="A5" t="s">
        <v>44</v>
      </c>
      <c r="B5" s="20">
        <v>1.0214229594462793E-2</v>
      </c>
      <c r="C5" s="22">
        <f>SUMIF('All Costing'!$A$6:$A$1048576,RESUME!A5,'All Costing'!$G$6:$H$1048576)</f>
        <v>8500</v>
      </c>
      <c r="G5" t="s">
        <v>44</v>
      </c>
      <c r="H5" s="26">
        <f t="shared" si="0"/>
        <v>1.0214229594462793E-2</v>
      </c>
      <c r="I5" s="22">
        <f>SUMIF('All Costing'!$A$6:$A$1048576,RESUME!G5,'All Costing'!$G$6:$H$1048576)</f>
        <v>8500</v>
      </c>
      <c r="J5" s="22">
        <f>SUMIF('All Costing'!$A$6:$A$1048576,RESUME!G5,'All Costing'!$H$6:$H$1048576)</f>
        <v>0</v>
      </c>
      <c r="K5" s="22">
        <f t="shared" si="1"/>
        <v>8500</v>
      </c>
    </row>
    <row r="6" spans="1:12" x14ac:dyDescent="0.25">
      <c r="A6" t="s">
        <v>316</v>
      </c>
      <c r="B6" s="20">
        <v>1.2016740699367992E-3</v>
      </c>
      <c r="C6" s="22">
        <f>SUMIF('All Costing'!$A$6:$A$1048576,RESUME!A6,'All Costing'!$G$6:$H$1048576)</f>
        <v>1000</v>
      </c>
      <c r="G6" t="s">
        <v>316</v>
      </c>
      <c r="H6" s="26">
        <f t="shared" si="0"/>
        <v>1.2016740699367992E-3</v>
      </c>
      <c r="I6" s="22">
        <f>SUMIF('All Costing'!$A$6:$A$1048576,RESUME!G6,'All Costing'!$G$6:$H$1048576)</f>
        <v>1000</v>
      </c>
      <c r="J6" s="22">
        <f>SUMIF('All Costing'!$A$6:$A$1048576,RESUME!G6,'All Costing'!$H$6:$H$1048576)</f>
        <v>0</v>
      </c>
      <c r="K6" s="22">
        <f t="shared" si="1"/>
        <v>1000</v>
      </c>
    </row>
    <row r="7" spans="1:12" x14ac:dyDescent="0.25">
      <c r="A7" t="s">
        <v>67</v>
      </c>
      <c r="B7" s="20">
        <v>0.1047205357286401</v>
      </c>
      <c r="C7" s="22">
        <f>SUMIF('All Costing'!$A$6:$A$1048576,RESUME!A7,'All Costing'!$G$6:$H$1048576)</f>
        <v>87145.539999999964</v>
      </c>
      <c r="G7" t="s">
        <v>67</v>
      </c>
      <c r="H7" s="26">
        <f t="shared" si="0"/>
        <v>0.1047205357286401</v>
      </c>
      <c r="I7" s="22">
        <f>SUMIF('All Costing'!$A$6:$A$1048576,RESUME!G7,'All Costing'!$G$6:$H$1048576)</f>
        <v>87145.539999999964</v>
      </c>
      <c r="J7" s="22">
        <f>SUMIF('All Costing'!$A$6:$A$1048576,RESUME!G7,'All Costing'!$H$6:$H$1048576)</f>
        <v>15285.170000000002</v>
      </c>
      <c r="K7" s="22">
        <f t="shared" si="1"/>
        <v>71860.369999999966</v>
      </c>
    </row>
    <row r="8" spans="1:12" x14ac:dyDescent="0.25">
      <c r="A8" t="s">
        <v>141</v>
      </c>
      <c r="B8" s="20">
        <v>0.12076439185780972</v>
      </c>
      <c r="C8" s="22">
        <f>SUMIF('All Costing'!$A$6:$A$1048576,RESUME!A8,'All Costing'!$G$6:$H$1048576)</f>
        <v>100496.79432973135</v>
      </c>
      <c r="G8" t="s">
        <v>141</v>
      </c>
      <c r="H8" s="26">
        <f t="shared" si="0"/>
        <v>0.12076439185780972</v>
      </c>
      <c r="I8" s="22">
        <f>SUMIF('All Costing'!$A$6:$A$1048576,RESUME!G8,'All Costing'!$G$6:$H$1048576)</f>
        <v>100496.79432973135</v>
      </c>
      <c r="J8" s="22">
        <f>SUMIF('All Costing'!$A$6:$A$1048576,RESUME!G8,'All Costing'!$H$6:$H$1048576)</f>
        <v>12258.699999999999</v>
      </c>
      <c r="K8" s="22">
        <f t="shared" si="1"/>
        <v>88238.09432973135</v>
      </c>
    </row>
    <row r="9" spans="1:12" x14ac:dyDescent="0.25">
      <c r="A9" t="s">
        <v>173</v>
      </c>
      <c r="B9" s="20">
        <v>0.14255002855513671</v>
      </c>
      <c r="C9" s="22">
        <f>SUMIFS('All Costing'!$G$6:$G$1048576,'All Costing'!$D$6:$D$1048576,"MAJA-1",'All Costing'!$A$6:$A$1048576,"Tony Teja")</f>
        <v>118626.19999999998</v>
      </c>
      <c r="G9" t="s">
        <v>328</v>
      </c>
      <c r="H9" s="26">
        <f t="shared" si="0"/>
        <v>0.29780020186995526</v>
      </c>
      <c r="I9" s="22">
        <f>SUMIF('All Costing'!$A$6:$A$1048576,RESUME!G9,'All Costing'!$G$6:$H$1048576)</f>
        <v>247821.11000000002</v>
      </c>
      <c r="J9" s="22">
        <f>SUMIF('All Costing'!$A$6:$A$1048576,RESUME!G9,'All Costing'!$H$6:$H$1048576)</f>
        <v>32093.16</v>
      </c>
      <c r="K9" s="22">
        <f t="shared" si="1"/>
        <v>215727.95</v>
      </c>
      <c r="L9" s="29"/>
    </row>
    <row r="10" spans="1:12" x14ac:dyDescent="0.25">
      <c r="A10" t="s">
        <v>157</v>
      </c>
      <c r="B10" s="20">
        <v>0.1552501733148185</v>
      </c>
      <c r="C10" s="22">
        <f>SUMIFS('All Costing'!$G$6:$G$1048576,'All Costing'!$D$6:$D$1048576,"MAJA-2",'All Costing'!$A$6:$A$1048576,"Tony Teja")</f>
        <v>129194.91000000002</v>
      </c>
      <c r="G10" t="s">
        <v>159</v>
      </c>
      <c r="H10" s="26">
        <f t="shared" si="0"/>
        <v>0.10615728128013797</v>
      </c>
      <c r="I10" s="22">
        <f>SUMIF('All Costing'!$A$6:$A$1048576,RESUME!G10,'All Costing'!$G$6:$H$1048576)</f>
        <v>88341.16</v>
      </c>
      <c r="J10" s="22">
        <f>SUMIF('All Costing'!$A$6:$A$1048576,RESUME!G10,'All Costing'!$H$6:$H$1048576)</f>
        <v>6124.0300000000007</v>
      </c>
      <c r="K10" s="22">
        <f t="shared" si="1"/>
        <v>82217.13</v>
      </c>
    </row>
    <row r="11" spans="1:12" x14ac:dyDescent="0.25">
      <c r="A11" t="s">
        <v>328</v>
      </c>
      <c r="B11" s="20">
        <v>0.29780020186995526</v>
      </c>
      <c r="C11" s="22">
        <f>SUMIF('All Costing'!$A$6:$A$1048576,RESUME!A11,'All Costing'!$G$6:$H$1048576)</f>
        <v>247821.11000000002</v>
      </c>
      <c r="G11" s="55" t="s">
        <v>35</v>
      </c>
      <c r="H11" s="56"/>
      <c r="I11" s="23">
        <f>SUM(I3:I10)</f>
        <v>832172.40432973136</v>
      </c>
      <c r="J11" s="23">
        <f>SUM(J3:J10)</f>
        <v>1482595.3399999999</v>
      </c>
      <c r="K11" s="23"/>
    </row>
    <row r="12" spans="1:12" x14ac:dyDescent="0.25">
      <c r="A12" t="s">
        <v>159</v>
      </c>
      <c r="B12" s="20">
        <v>0.10615728128013797</v>
      </c>
      <c r="C12" s="22">
        <f>SUMIF('All Costing'!$A$6:$A$1048576,RESUME!A12,'All Costing'!$G$6:$H$1048576)</f>
        <v>88341.16</v>
      </c>
      <c r="H12"/>
      <c r="I12"/>
      <c r="J12"/>
      <c r="K12"/>
    </row>
    <row r="13" spans="1:12" x14ac:dyDescent="0.25">
      <c r="A13" s="55" t="s">
        <v>35</v>
      </c>
      <c r="B13" s="56"/>
      <c r="C13" s="23"/>
      <c r="H13"/>
      <c r="I13"/>
      <c r="J13"/>
      <c r="K13"/>
    </row>
    <row r="14" spans="1:12" x14ac:dyDescent="0.25">
      <c r="H14"/>
      <c r="I14"/>
      <c r="J14"/>
      <c r="K14"/>
    </row>
    <row r="15" spans="1:12" x14ac:dyDescent="0.25">
      <c r="H15"/>
      <c r="I15"/>
      <c r="J15"/>
      <c r="K15"/>
    </row>
    <row r="16" spans="1:12" x14ac:dyDescent="0.25">
      <c r="H16"/>
      <c r="I16"/>
      <c r="J16"/>
      <c r="K16"/>
    </row>
    <row r="17" spans="8:9" x14ac:dyDescent="0.25">
      <c r="H17"/>
      <c r="I17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 x14ac:dyDescent="0.2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 x14ac:dyDescent="0.3">
      <c r="A1" s="10" t="s">
        <v>330</v>
      </c>
      <c r="B1" s="10" t="s">
        <v>174</v>
      </c>
      <c r="C1" s="10" t="s">
        <v>1</v>
      </c>
      <c r="D1" s="10" t="s">
        <v>3</v>
      </c>
      <c r="E1" s="10" t="s">
        <v>194</v>
      </c>
      <c r="F1" s="10" t="s">
        <v>176</v>
      </c>
      <c r="L1" t="s">
        <v>3</v>
      </c>
      <c r="M1" t="s">
        <v>194</v>
      </c>
    </row>
    <row r="2" spans="1:13" x14ac:dyDescent="0.25">
      <c r="A2" t="str">
        <f t="shared" ref="A2:A33" si="0">B2&amp;"-"&amp;C2&amp;"-"&amp;D2</f>
        <v>Asep Ridwan Subiana-EXPEDITION/SEA FREIGHT-CLN</v>
      </c>
      <c r="B2" t="s">
        <v>10</v>
      </c>
      <c r="C2" t="s">
        <v>11</v>
      </c>
      <c r="D2" t="s">
        <v>13</v>
      </c>
      <c r="E2">
        <f>VLOOKUP(D2,$L$2:$M$6,2,FALSE)</f>
        <v>1201</v>
      </c>
      <c r="F2" t="s">
        <v>325</v>
      </c>
      <c r="L2" t="s">
        <v>13</v>
      </c>
      <c r="M2">
        <v>1201</v>
      </c>
    </row>
    <row r="3" spans="1:13" x14ac:dyDescent="0.25">
      <c r="A3" t="str">
        <f t="shared" si="0"/>
        <v>Asep Ridwan Subiana-EXPEDITION/SEA FREIGHT-MAJA-2</v>
      </c>
      <c r="B3" t="s">
        <v>10</v>
      </c>
      <c r="C3" t="s">
        <v>11</v>
      </c>
      <c r="D3" t="s">
        <v>15</v>
      </c>
      <c r="E3">
        <f t="shared" ref="E3:E66" si="1">VLOOKUP(D3,$L$2:$M$6,2,FALSE)</f>
        <v>1204</v>
      </c>
      <c r="F3" t="s">
        <v>213</v>
      </c>
      <c r="L3" t="s">
        <v>15</v>
      </c>
      <c r="M3">
        <v>1204</v>
      </c>
    </row>
    <row r="4" spans="1:13" x14ac:dyDescent="0.25">
      <c r="A4" t="str">
        <f t="shared" si="0"/>
        <v>Asep Ridwan Subiana-INSURANCE EXPENSES-CLN</v>
      </c>
      <c r="B4" t="s">
        <v>10</v>
      </c>
      <c r="C4" t="s">
        <v>17</v>
      </c>
      <c r="D4" t="s">
        <v>13</v>
      </c>
      <c r="E4">
        <f t="shared" si="1"/>
        <v>1201</v>
      </c>
      <c r="F4" t="s">
        <v>216</v>
      </c>
      <c r="L4" t="s">
        <v>24</v>
      </c>
      <c r="M4">
        <v>1205</v>
      </c>
    </row>
    <row r="5" spans="1:13" x14ac:dyDescent="0.25">
      <c r="A5" t="str">
        <f t="shared" si="0"/>
        <v>Asep Ridwan Subiana-INSURANCE EXPENSES-MAJA-2</v>
      </c>
      <c r="B5" t="s">
        <v>10</v>
      </c>
      <c r="C5" t="s">
        <v>17</v>
      </c>
      <c r="D5" t="s">
        <v>15</v>
      </c>
      <c r="E5">
        <f t="shared" si="1"/>
        <v>1204</v>
      </c>
      <c r="F5" t="s">
        <v>195</v>
      </c>
      <c r="L5" t="s">
        <v>101</v>
      </c>
      <c r="M5">
        <v>1206</v>
      </c>
    </row>
    <row r="6" spans="1:13" x14ac:dyDescent="0.25">
      <c r="A6" t="str">
        <f t="shared" si="0"/>
        <v>Asep Ridwan Subiana-OTHER PRODUCTION COST-CLN</v>
      </c>
      <c r="B6" t="s">
        <v>10</v>
      </c>
      <c r="C6" t="s">
        <v>21</v>
      </c>
      <c r="D6" t="s">
        <v>13</v>
      </c>
      <c r="E6">
        <f t="shared" si="1"/>
        <v>1201</v>
      </c>
      <c r="F6" t="s">
        <v>185</v>
      </c>
      <c r="L6" t="s">
        <v>150</v>
      </c>
      <c r="M6">
        <v>1206</v>
      </c>
    </row>
    <row r="7" spans="1:13" x14ac:dyDescent="0.25">
      <c r="A7" t="str">
        <f t="shared" si="0"/>
        <v>Asep Ridwan Subiana-OTHER PRODUCTION COST-MAJA-1</v>
      </c>
      <c r="B7" t="s">
        <v>10</v>
      </c>
      <c r="C7" t="s">
        <v>21</v>
      </c>
      <c r="D7" t="s">
        <v>24</v>
      </c>
      <c r="E7">
        <f t="shared" si="1"/>
        <v>1205</v>
      </c>
      <c r="F7" t="s">
        <v>187</v>
      </c>
    </row>
    <row r="8" spans="1:13" x14ac:dyDescent="0.25">
      <c r="A8" t="str">
        <f t="shared" si="0"/>
        <v>Asep Ridwan Subiana-OTHER PRODUCTION COST-MAJA-2</v>
      </c>
      <c r="B8" t="s">
        <v>10</v>
      </c>
      <c r="C8" t="s">
        <v>21</v>
      </c>
      <c r="D8" t="s">
        <v>15</v>
      </c>
      <c r="E8">
        <f t="shared" si="1"/>
        <v>1204</v>
      </c>
      <c r="F8" t="s">
        <v>186</v>
      </c>
    </row>
    <row r="9" spans="1:13" x14ac:dyDescent="0.25">
      <c r="A9" t="str">
        <f t="shared" si="0"/>
        <v>Asep Ridwan Subiana-PEMAKAIAN GENERAL MATERIAL-CLN</v>
      </c>
      <c r="B9" t="s">
        <v>10</v>
      </c>
      <c r="C9" t="s">
        <v>26</v>
      </c>
      <c r="D9" t="s">
        <v>13</v>
      </c>
      <c r="E9">
        <f t="shared" si="1"/>
        <v>1201</v>
      </c>
      <c r="F9" t="s">
        <v>177</v>
      </c>
    </row>
    <row r="10" spans="1:13" x14ac:dyDescent="0.25">
      <c r="A10" t="str">
        <f t="shared" si="0"/>
        <v>Asep Ridwan Subiana-PEMAKAIAN GENERAL MATERIAL-MAJA-1</v>
      </c>
      <c r="B10" t="s">
        <v>10</v>
      </c>
      <c r="C10" t="s">
        <v>26</v>
      </c>
      <c r="D10" t="s">
        <v>24</v>
      </c>
      <c r="E10">
        <f t="shared" si="1"/>
        <v>1205</v>
      </c>
      <c r="F10" t="s">
        <v>178</v>
      </c>
    </row>
    <row r="11" spans="1:13" x14ac:dyDescent="0.25">
      <c r="A11" t="str">
        <f t="shared" si="0"/>
        <v>Asep Ridwan Subiana-PEMAKAIAN GENERAL MATERIAL-MAJA-2</v>
      </c>
      <c r="B11" t="s">
        <v>10</v>
      </c>
      <c r="C11" t="s">
        <v>26</v>
      </c>
      <c r="D11" t="s">
        <v>15</v>
      </c>
      <c r="E11">
        <f t="shared" si="1"/>
        <v>1204</v>
      </c>
      <c r="F11" t="s">
        <v>179</v>
      </c>
    </row>
    <row r="12" spans="1:13" x14ac:dyDescent="0.25">
      <c r="A12" t="str">
        <f t="shared" si="0"/>
        <v>Asep Ridwan Subiana-PEMAKAIAN PACKING-CLN</v>
      </c>
      <c r="B12" t="s">
        <v>10</v>
      </c>
      <c r="C12" t="s">
        <v>30</v>
      </c>
      <c r="D12" t="s">
        <v>13</v>
      </c>
      <c r="E12">
        <f t="shared" si="1"/>
        <v>1201</v>
      </c>
      <c r="F12" t="s">
        <v>192</v>
      </c>
    </row>
    <row r="13" spans="1:13" x14ac:dyDescent="0.25">
      <c r="A13" t="str">
        <f t="shared" si="0"/>
        <v>Asep Ridwan Subiana-TRUCKING EXPENSES-CLN</v>
      </c>
      <c r="B13" t="s">
        <v>10</v>
      </c>
      <c r="C13" t="s">
        <v>32</v>
      </c>
      <c r="D13" t="s">
        <v>13</v>
      </c>
      <c r="E13">
        <f t="shared" si="1"/>
        <v>1201</v>
      </c>
      <c r="F13" t="s">
        <v>217</v>
      </c>
    </row>
    <row r="14" spans="1:13" x14ac:dyDescent="0.25">
      <c r="A14" t="str">
        <f t="shared" si="0"/>
        <v>Asep Ridwan Subiana-TRUCKING EXPENSES-MAJA-1</v>
      </c>
      <c r="B14" t="s">
        <v>10</v>
      </c>
      <c r="C14" t="s">
        <v>32</v>
      </c>
      <c r="D14" t="s">
        <v>24</v>
      </c>
      <c r="E14">
        <f t="shared" si="1"/>
        <v>1205</v>
      </c>
      <c r="F14" t="s">
        <v>317</v>
      </c>
    </row>
    <row r="15" spans="1:13" x14ac:dyDescent="0.25">
      <c r="A15" t="str">
        <f t="shared" si="0"/>
        <v>Asep Ridwan Subiana-TRUCKING EXPENSES-MAJA-2</v>
      </c>
      <c r="B15" t="s">
        <v>10</v>
      </c>
      <c r="C15" t="s">
        <v>32</v>
      </c>
      <c r="D15" t="s">
        <v>15</v>
      </c>
      <c r="E15">
        <f t="shared" si="1"/>
        <v>1204</v>
      </c>
      <c r="F15" t="s">
        <v>218</v>
      </c>
    </row>
    <row r="16" spans="1:13" x14ac:dyDescent="0.25">
      <c r="A16" t="str">
        <f t="shared" si="0"/>
        <v>Choeruman-VENDOR EXPENSES-CLN</v>
      </c>
      <c r="B16" t="s">
        <v>36</v>
      </c>
      <c r="C16" t="s">
        <v>37</v>
      </c>
      <c r="D16" t="s">
        <v>13</v>
      </c>
      <c r="E16">
        <f t="shared" si="1"/>
        <v>1201</v>
      </c>
      <c r="F16" t="s">
        <v>219</v>
      </c>
    </row>
    <row r="17" spans="1:6" x14ac:dyDescent="0.25">
      <c r="A17" t="str">
        <f t="shared" si="0"/>
        <v>Choeruman-VENDOR EXPENSES-MAJA-1</v>
      </c>
      <c r="B17" t="s">
        <v>36</v>
      </c>
      <c r="C17" t="s">
        <v>37</v>
      </c>
      <c r="D17" t="s">
        <v>24</v>
      </c>
      <c r="E17">
        <f t="shared" si="1"/>
        <v>1205</v>
      </c>
      <c r="F17" t="s">
        <v>220</v>
      </c>
    </row>
    <row r="18" spans="1:6" x14ac:dyDescent="0.25">
      <c r="A18" t="str">
        <f t="shared" si="0"/>
        <v>Choeruman-VENDOR EXPENSES-MAJA-2</v>
      </c>
      <c r="B18" t="s">
        <v>36</v>
      </c>
      <c r="C18" t="s">
        <v>37</v>
      </c>
      <c r="D18" t="s">
        <v>15</v>
      </c>
      <c r="E18">
        <f t="shared" si="1"/>
        <v>1204</v>
      </c>
      <c r="F18" t="s">
        <v>221</v>
      </c>
    </row>
    <row r="19" spans="1:6" x14ac:dyDescent="0.25">
      <c r="A19" t="str">
        <f t="shared" si="0"/>
        <v>Choeruman-VENDOR EXPENSES-CLN</v>
      </c>
      <c r="B19" t="s">
        <v>36</v>
      </c>
      <c r="C19" t="s">
        <v>37</v>
      </c>
      <c r="D19" t="s">
        <v>13</v>
      </c>
      <c r="E19">
        <f t="shared" si="1"/>
        <v>1201</v>
      </c>
      <c r="F19" t="s">
        <v>219</v>
      </c>
    </row>
    <row r="20" spans="1:6" x14ac:dyDescent="0.25">
      <c r="A20" t="str">
        <f t="shared" si="0"/>
        <v>Choeruman-VENDOR EXPENSES-MAJA-1</v>
      </c>
      <c r="B20" t="s">
        <v>36</v>
      </c>
      <c r="C20" t="s">
        <v>37</v>
      </c>
      <c r="D20" t="s">
        <v>24</v>
      </c>
      <c r="E20">
        <f t="shared" si="1"/>
        <v>1205</v>
      </c>
      <c r="F20" t="s">
        <v>220</v>
      </c>
    </row>
    <row r="21" spans="1:6" x14ac:dyDescent="0.25">
      <c r="A21" t="str">
        <f t="shared" si="0"/>
        <v>Choeruman-VENDOR EXPENSES-MAJA-2</v>
      </c>
      <c r="B21" t="s">
        <v>36</v>
      </c>
      <c r="C21" t="s">
        <v>37</v>
      </c>
      <c r="D21" t="s">
        <v>15</v>
      </c>
      <c r="E21">
        <f t="shared" si="1"/>
        <v>1204</v>
      </c>
      <c r="F21" t="s">
        <v>221</v>
      </c>
    </row>
    <row r="22" spans="1:6" x14ac:dyDescent="0.25">
      <c r="A22" t="str">
        <f t="shared" si="0"/>
        <v>Firawaty-FABRIC TESTED CHARGES-CLN</v>
      </c>
      <c r="B22" t="s">
        <v>44</v>
      </c>
      <c r="C22" t="s">
        <v>46</v>
      </c>
      <c r="D22" t="s">
        <v>13</v>
      </c>
      <c r="E22">
        <f t="shared" si="1"/>
        <v>1201</v>
      </c>
      <c r="F22" t="s">
        <v>222</v>
      </c>
    </row>
    <row r="23" spans="1:6" x14ac:dyDescent="0.25">
      <c r="A23" t="str">
        <f t="shared" si="0"/>
        <v>Firawaty-FABRIC TESTED CHARGES-CLN</v>
      </c>
      <c r="B23" t="s">
        <v>44</v>
      </c>
      <c r="C23" t="s">
        <v>46</v>
      </c>
      <c r="D23" t="s">
        <v>13</v>
      </c>
      <c r="E23">
        <f t="shared" si="1"/>
        <v>1201</v>
      </c>
      <c r="F23" t="s">
        <v>222</v>
      </c>
    </row>
    <row r="24" spans="1:6" x14ac:dyDescent="0.25">
      <c r="A24" t="str">
        <f t="shared" si="0"/>
        <v>Firawaty-FABRIC TESTED CHARGES-CLN</v>
      </c>
      <c r="B24" t="s">
        <v>44</v>
      </c>
      <c r="C24" t="s">
        <v>46</v>
      </c>
      <c r="D24" t="s">
        <v>13</v>
      </c>
      <c r="E24">
        <f t="shared" si="1"/>
        <v>1201</v>
      </c>
      <c r="F24" t="s">
        <v>222</v>
      </c>
    </row>
    <row r="25" spans="1:6" x14ac:dyDescent="0.25">
      <c r="A25" t="str">
        <f t="shared" si="0"/>
        <v>Firawaty-FABRIC TESTED CHARGES-CLN</v>
      </c>
      <c r="B25" t="s">
        <v>44</v>
      </c>
      <c r="C25" t="s">
        <v>46</v>
      </c>
      <c r="D25" t="s">
        <v>13</v>
      </c>
      <c r="E25">
        <f t="shared" si="1"/>
        <v>1201</v>
      </c>
      <c r="F25" t="s">
        <v>222</v>
      </c>
    </row>
    <row r="26" spans="1:6" x14ac:dyDescent="0.25">
      <c r="A26" t="str">
        <f t="shared" si="0"/>
        <v>Firawaty-SALES COMMISSION-CLN</v>
      </c>
      <c r="B26" t="s">
        <v>44</v>
      </c>
      <c r="C26" t="s">
        <v>56</v>
      </c>
      <c r="D26" t="s">
        <v>13</v>
      </c>
      <c r="E26">
        <f t="shared" si="1"/>
        <v>1201</v>
      </c>
      <c r="F26" t="s">
        <v>215</v>
      </c>
    </row>
    <row r="27" spans="1:6" x14ac:dyDescent="0.25">
      <c r="A27" t="str">
        <f t="shared" si="0"/>
        <v>Firawaty-SAMPLE EXPENSES-CLN</v>
      </c>
      <c r="B27" t="s">
        <v>44</v>
      </c>
      <c r="C27" t="s">
        <v>59</v>
      </c>
      <c r="D27" t="s">
        <v>13</v>
      </c>
      <c r="E27">
        <f t="shared" si="1"/>
        <v>1201</v>
      </c>
      <c r="F27" t="s">
        <v>223</v>
      </c>
    </row>
    <row r="28" spans="1:6" x14ac:dyDescent="0.25">
      <c r="A28" t="str">
        <f t="shared" si="0"/>
        <v>Firawaty-SAMPLE EXPENSES-CLN</v>
      </c>
      <c r="B28" t="s">
        <v>44</v>
      </c>
      <c r="C28" t="s">
        <v>59</v>
      </c>
      <c r="D28" t="s">
        <v>13</v>
      </c>
      <c r="E28">
        <f t="shared" si="1"/>
        <v>1201</v>
      </c>
      <c r="F28" t="s">
        <v>223</v>
      </c>
    </row>
    <row r="29" spans="1:6" x14ac:dyDescent="0.25">
      <c r="A29" t="str">
        <f t="shared" si="0"/>
        <v>Firawaty-SAMPLE EXPENSES-CLN</v>
      </c>
      <c r="B29" t="s">
        <v>44</v>
      </c>
      <c r="C29" t="s">
        <v>59</v>
      </c>
      <c r="D29" t="s">
        <v>13</v>
      </c>
      <c r="E29">
        <f t="shared" si="1"/>
        <v>1201</v>
      </c>
      <c r="F29" t="s">
        <v>223</v>
      </c>
    </row>
    <row r="30" spans="1:6" x14ac:dyDescent="0.25">
      <c r="A30" t="str">
        <f t="shared" si="0"/>
        <v>Firawaty-SAMPLE EXPENSES-CLN</v>
      </c>
      <c r="B30" t="s">
        <v>44</v>
      </c>
      <c r="C30" t="s">
        <v>59</v>
      </c>
      <c r="D30" t="s">
        <v>13</v>
      </c>
      <c r="E30">
        <f t="shared" si="1"/>
        <v>1201</v>
      </c>
      <c r="F30" t="s">
        <v>223</v>
      </c>
    </row>
    <row r="31" spans="1:6" x14ac:dyDescent="0.25">
      <c r="A31" t="str">
        <f t="shared" si="0"/>
        <v>Fungfung-FABRIC TESTED CHARGES-CLN</v>
      </c>
      <c r="B31" t="s">
        <v>316</v>
      </c>
      <c r="C31" t="s">
        <v>46</v>
      </c>
      <c r="D31" t="s">
        <v>13</v>
      </c>
      <c r="E31">
        <f t="shared" si="1"/>
        <v>1201</v>
      </c>
      <c r="F31" t="s">
        <v>222</v>
      </c>
    </row>
    <row r="32" spans="1:6" x14ac:dyDescent="0.25">
      <c r="A32" t="str">
        <f t="shared" si="0"/>
        <v>Fungfung-SALES COMMISSION-CLN</v>
      </c>
      <c r="B32" t="s">
        <v>316</v>
      </c>
      <c r="C32" t="s">
        <v>56</v>
      </c>
      <c r="D32" t="s">
        <v>13</v>
      </c>
      <c r="E32">
        <f t="shared" si="1"/>
        <v>1201</v>
      </c>
      <c r="F32" t="s">
        <v>215</v>
      </c>
    </row>
    <row r="33" spans="1:6" x14ac:dyDescent="0.25">
      <c r="A33" t="str">
        <f t="shared" si="0"/>
        <v>Fungfung-SAMPLE EXPENSES-CLN</v>
      </c>
      <c r="B33" t="s">
        <v>316</v>
      </c>
      <c r="C33" t="s">
        <v>59</v>
      </c>
      <c r="D33" t="s">
        <v>13</v>
      </c>
      <c r="E33">
        <f t="shared" si="1"/>
        <v>1201</v>
      </c>
      <c r="F33" t="s">
        <v>223</v>
      </c>
    </row>
    <row r="34" spans="1:6" x14ac:dyDescent="0.25">
      <c r="A34" t="str">
        <f t="shared" ref="A34:A65" si="2">B34&amp;"-"&amp;C34&amp;"-"&amp;D34</f>
        <v>Fungfung-SAMPLE EXPENSES-CLN</v>
      </c>
      <c r="B34" t="s">
        <v>316</v>
      </c>
      <c r="C34" t="s">
        <v>59</v>
      </c>
      <c r="D34" t="s">
        <v>13</v>
      </c>
      <c r="E34">
        <f t="shared" si="1"/>
        <v>1201</v>
      </c>
      <c r="F34" t="s">
        <v>223</v>
      </c>
    </row>
    <row r="35" spans="1:6" x14ac:dyDescent="0.25">
      <c r="A35" t="str">
        <f t="shared" si="2"/>
        <v>Owi Wijaya-AIR FREIGHT-CLN</v>
      </c>
      <c r="B35" t="s">
        <v>67</v>
      </c>
      <c r="C35" t="s">
        <v>68</v>
      </c>
      <c r="D35" t="s">
        <v>13</v>
      </c>
      <c r="E35">
        <f t="shared" si="1"/>
        <v>1201</v>
      </c>
      <c r="F35" t="s">
        <v>180</v>
      </c>
    </row>
    <row r="36" spans="1:6" x14ac:dyDescent="0.25">
      <c r="A36" t="str">
        <f t="shared" si="2"/>
        <v>Owi Wijaya-BUSINESS TRIP EXPENSES-CLN</v>
      </c>
      <c r="B36" t="s">
        <v>67</v>
      </c>
      <c r="C36" t="s">
        <v>70</v>
      </c>
      <c r="D36" t="s">
        <v>13</v>
      </c>
      <c r="E36">
        <f t="shared" si="1"/>
        <v>1201</v>
      </c>
      <c r="F36" t="s">
        <v>224</v>
      </c>
    </row>
    <row r="37" spans="1:6" x14ac:dyDescent="0.25">
      <c r="A37" t="str">
        <f t="shared" si="2"/>
        <v>Owi Wijaya-CONTRIBUTION COST-CLN</v>
      </c>
      <c r="B37" t="s">
        <v>67</v>
      </c>
      <c r="C37" t="s">
        <v>73</v>
      </c>
      <c r="D37" t="s">
        <v>13</v>
      </c>
      <c r="E37">
        <f t="shared" si="1"/>
        <v>1201</v>
      </c>
      <c r="F37" t="s">
        <v>225</v>
      </c>
    </row>
    <row r="38" spans="1:6" x14ac:dyDescent="0.25">
      <c r="A38" t="str">
        <f t="shared" si="2"/>
        <v>Owi Wijaya-CONTRIBUTION COST-MAJA-2</v>
      </c>
      <c r="B38" t="s">
        <v>67</v>
      </c>
      <c r="C38" t="s">
        <v>73</v>
      </c>
      <c r="D38" t="s">
        <v>15</v>
      </c>
      <c r="E38">
        <f t="shared" si="1"/>
        <v>1204</v>
      </c>
      <c r="F38" t="s">
        <v>196</v>
      </c>
    </row>
    <row r="39" spans="1:6" x14ac:dyDescent="0.25">
      <c r="A39" t="str">
        <f t="shared" si="2"/>
        <v>Owi Wijaya-ELECTRICITY-CLN</v>
      </c>
      <c r="B39" t="s">
        <v>67</v>
      </c>
      <c r="C39" t="s">
        <v>76</v>
      </c>
      <c r="D39" t="s">
        <v>13</v>
      </c>
      <c r="E39">
        <f t="shared" si="1"/>
        <v>1201</v>
      </c>
      <c r="F39" t="s">
        <v>226</v>
      </c>
    </row>
    <row r="40" spans="1:6" x14ac:dyDescent="0.25">
      <c r="A40" t="str">
        <f t="shared" si="2"/>
        <v>Owi Wijaya-ENTERTAINMENT-CLN</v>
      </c>
      <c r="B40" t="s">
        <v>67</v>
      </c>
      <c r="C40" t="s">
        <v>78</v>
      </c>
      <c r="D40" t="s">
        <v>13</v>
      </c>
      <c r="E40">
        <f t="shared" si="1"/>
        <v>1201</v>
      </c>
      <c r="F40" t="s">
        <v>227</v>
      </c>
    </row>
    <row r="41" spans="1:6" x14ac:dyDescent="0.25">
      <c r="A41" t="str">
        <f t="shared" si="2"/>
        <v>Owi Wijaya-FACTORY SUPPLIES EXPENSE-CLN</v>
      </c>
      <c r="B41" t="s">
        <v>67</v>
      </c>
      <c r="C41" t="s">
        <v>80</v>
      </c>
      <c r="D41" t="s">
        <v>13</v>
      </c>
      <c r="E41">
        <f t="shared" si="1"/>
        <v>1201</v>
      </c>
      <c r="F41" t="s">
        <v>228</v>
      </c>
    </row>
    <row r="42" spans="1:6" x14ac:dyDescent="0.25">
      <c r="A42" t="str">
        <f t="shared" si="2"/>
        <v>Owi Wijaya-FARE ALLOWANCE-CLN</v>
      </c>
      <c r="B42" t="s">
        <v>67</v>
      </c>
      <c r="C42" t="s">
        <v>154</v>
      </c>
      <c r="D42" t="s">
        <v>13</v>
      </c>
      <c r="E42">
        <f t="shared" si="1"/>
        <v>1201</v>
      </c>
      <c r="F42" t="s">
        <v>229</v>
      </c>
    </row>
    <row r="43" spans="1:6" x14ac:dyDescent="0.25">
      <c r="A43" t="str">
        <f t="shared" si="2"/>
        <v>Owi Wijaya-FARE ALLOWANCE-CLN</v>
      </c>
      <c r="B43" t="s">
        <v>67</v>
      </c>
      <c r="C43" t="s">
        <v>154</v>
      </c>
      <c r="D43" t="s">
        <v>13</v>
      </c>
      <c r="E43">
        <f t="shared" si="1"/>
        <v>1201</v>
      </c>
      <c r="F43" t="s">
        <v>229</v>
      </c>
    </row>
    <row r="44" spans="1:6" x14ac:dyDescent="0.25">
      <c r="A44" t="str">
        <f t="shared" si="2"/>
        <v>Owi Wijaya-FREIGHT IN-CLN</v>
      </c>
      <c r="B44" t="s">
        <v>67</v>
      </c>
      <c r="C44" t="s">
        <v>85</v>
      </c>
      <c r="D44" t="s">
        <v>13</v>
      </c>
      <c r="E44">
        <f t="shared" si="1"/>
        <v>1201</v>
      </c>
      <c r="F44" t="s">
        <v>230</v>
      </c>
    </row>
    <row r="45" spans="1:6" x14ac:dyDescent="0.25">
      <c r="A45" t="str">
        <f t="shared" si="2"/>
        <v>Owi Wijaya-FREIGHT IN-MAJA-2</v>
      </c>
      <c r="B45" t="s">
        <v>67</v>
      </c>
      <c r="C45" t="s">
        <v>85</v>
      </c>
      <c r="D45" t="s">
        <v>15</v>
      </c>
      <c r="E45">
        <f t="shared" si="1"/>
        <v>1204</v>
      </c>
      <c r="F45" t="s">
        <v>197</v>
      </c>
    </row>
    <row r="46" spans="1:6" x14ac:dyDescent="0.25">
      <c r="A46" t="str">
        <f t="shared" si="2"/>
        <v>Owi Wijaya-FUEL FOR MOTOR VEHICLE-CLN</v>
      </c>
      <c r="B46" t="s">
        <v>67</v>
      </c>
      <c r="C46" t="s">
        <v>87</v>
      </c>
      <c r="D46" t="s">
        <v>13</v>
      </c>
      <c r="E46">
        <f t="shared" si="1"/>
        <v>1201</v>
      </c>
      <c r="F46" t="s">
        <v>231</v>
      </c>
    </row>
    <row r="47" spans="1:6" x14ac:dyDescent="0.25">
      <c r="A47" t="str">
        <f t="shared" si="2"/>
        <v>Owi Wijaya-FUEL FOR MOTOR VEHICLE-MAJA-1</v>
      </c>
      <c r="B47" t="s">
        <v>67</v>
      </c>
      <c r="C47" t="s">
        <v>87</v>
      </c>
      <c r="D47" t="s">
        <v>24</v>
      </c>
      <c r="E47">
        <f t="shared" si="1"/>
        <v>1205</v>
      </c>
      <c r="F47" t="s">
        <v>198</v>
      </c>
    </row>
    <row r="48" spans="1:6" x14ac:dyDescent="0.25">
      <c r="A48" t="str">
        <f t="shared" si="2"/>
        <v>Owi Wijaya-FUEL FOR MOTOR VEHICLE-MAJA-2</v>
      </c>
      <c r="B48" t="s">
        <v>67</v>
      </c>
      <c r="C48" t="s">
        <v>87</v>
      </c>
      <c r="D48" t="s">
        <v>15</v>
      </c>
      <c r="E48">
        <f t="shared" si="1"/>
        <v>1204</v>
      </c>
      <c r="F48" t="s">
        <v>199</v>
      </c>
    </row>
    <row r="49" spans="1:6" x14ac:dyDescent="0.25">
      <c r="A49" t="str">
        <f t="shared" si="2"/>
        <v>Owi Wijaya-INSURANCEEXP.OFBUILD.&amp;-CLN</v>
      </c>
      <c r="B49" t="s">
        <v>67</v>
      </c>
      <c r="C49" t="s">
        <v>89</v>
      </c>
      <c r="D49" t="s">
        <v>13</v>
      </c>
      <c r="E49">
        <f t="shared" si="1"/>
        <v>1201</v>
      </c>
      <c r="F49" t="s">
        <v>182</v>
      </c>
    </row>
    <row r="50" spans="1:6" x14ac:dyDescent="0.25">
      <c r="A50" t="str">
        <f t="shared" si="2"/>
        <v>Owi Wijaya-INSURANCEEXP.OFBUILD.&amp;-MAJA-2</v>
      </c>
      <c r="B50" t="s">
        <v>67</v>
      </c>
      <c r="C50" t="s">
        <v>89</v>
      </c>
      <c r="D50" t="s">
        <v>15</v>
      </c>
      <c r="E50">
        <f t="shared" si="1"/>
        <v>1204</v>
      </c>
      <c r="F50" t="s">
        <v>183</v>
      </c>
    </row>
    <row r="51" spans="1:6" x14ac:dyDescent="0.25">
      <c r="A51" t="str">
        <f t="shared" si="2"/>
        <v>Owi Wijaya-INTERNET EXPENSES-CLN</v>
      </c>
      <c r="B51" t="s">
        <v>67</v>
      </c>
      <c r="C51" t="s">
        <v>91</v>
      </c>
      <c r="D51" t="s">
        <v>13</v>
      </c>
      <c r="E51">
        <f t="shared" si="1"/>
        <v>1201</v>
      </c>
      <c r="F51" t="s">
        <v>232</v>
      </c>
    </row>
    <row r="52" spans="1:6" x14ac:dyDescent="0.25">
      <c r="A52" t="str">
        <f t="shared" si="2"/>
        <v>Owi Wijaya-INTERNET EXPENSES-MAJA-2</v>
      </c>
      <c r="B52" t="s">
        <v>67</v>
      </c>
      <c r="C52" t="s">
        <v>91</v>
      </c>
      <c r="D52" t="s">
        <v>15</v>
      </c>
      <c r="E52">
        <f t="shared" si="1"/>
        <v>1204</v>
      </c>
      <c r="F52" t="s">
        <v>200</v>
      </c>
    </row>
    <row r="53" spans="1:6" x14ac:dyDescent="0.25">
      <c r="A53" t="str">
        <f t="shared" si="2"/>
        <v>Owi Wijaya-JAMSOSTEK-CLN</v>
      </c>
      <c r="B53" t="s">
        <v>67</v>
      </c>
      <c r="C53" t="s">
        <v>93</v>
      </c>
      <c r="D53" t="s">
        <v>13</v>
      </c>
      <c r="E53">
        <f t="shared" si="1"/>
        <v>1201</v>
      </c>
      <c r="F53" t="s">
        <v>233</v>
      </c>
    </row>
    <row r="54" spans="1:6" x14ac:dyDescent="0.25">
      <c r="A54" t="str">
        <f t="shared" si="2"/>
        <v>Owi Wijaya-LABOR COST-CLN</v>
      </c>
      <c r="B54" t="s">
        <v>67</v>
      </c>
      <c r="C54" t="s">
        <v>96</v>
      </c>
      <c r="D54" t="s">
        <v>13</v>
      </c>
      <c r="E54">
        <f t="shared" si="1"/>
        <v>1201</v>
      </c>
      <c r="F54" t="s">
        <v>234</v>
      </c>
    </row>
    <row r="55" spans="1:6" x14ac:dyDescent="0.25">
      <c r="A55" t="str">
        <f t="shared" si="2"/>
        <v>Owi Wijaya-LEGAL EXPENSES-CLN</v>
      </c>
      <c r="B55" t="s">
        <v>67</v>
      </c>
      <c r="C55" t="s">
        <v>99</v>
      </c>
      <c r="D55" t="s">
        <v>13</v>
      </c>
      <c r="E55">
        <f t="shared" si="1"/>
        <v>1201</v>
      </c>
      <c r="F55" t="s">
        <v>235</v>
      </c>
    </row>
    <row r="56" spans="1:6" x14ac:dyDescent="0.25">
      <c r="A56" t="str">
        <f t="shared" si="2"/>
        <v>Owi Wijaya-LEGAL EXPENSES-KALIBENDA</v>
      </c>
      <c r="B56" t="s">
        <v>67</v>
      </c>
      <c r="C56" t="s">
        <v>99</v>
      </c>
      <c r="D56" t="s">
        <v>101</v>
      </c>
      <c r="E56">
        <f t="shared" si="1"/>
        <v>1206</v>
      </c>
      <c r="F56" t="s">
        <v>201</v>
      </c>
    </row>
    <row r="57" spans="1:6" x14ac:dyDescent="0.25">
      <c r="A57" t="str">
        <f t="shared" si="2"/>
        <v>Owi Wijaya-LEGAL EXPENSES-MAJA-1</v>
      </c>
      <c r="B57" t="s">
        <v>67</v>
      </c>
      <c r="C57" t="s">
        <v>99</v>
      </c>
      <c r="D57" t="s">
        <v>24</v>
      </c>
      <c r="E57">
        <f t="shared" si="1"/>
        <v>1205</v>
      </c>
      <c r="F57" t="s">
        <v>202</v>
      </c>
    </row>
    <row r="58" spans="1:6" x14ac:dyDescent="0.25">
      <c r="A58" t="str">
        <f t="shared" si="2"/>
        <v>Owi Wijaya-LEGAL EXPENSES-MAJA-2</v>
      </c>
      <c r="B58" t="s">
        <v>67</v>
      </c>
      <c r="C58" t="s">
        <v>99</v>
      </c>
      <c r="D58" t="s">
        <v>15</v>
      </c>
      <c r="E58">
        <f t="shared" si="1"/>
        <v>1204</v>
      </c>
      <c r="F58" t="s">
        <v>203</v>
      </c>
    </row>
    <row r="59" spans="1:6" x14ac:dyDescent="0.25">
      <c r="A59" t="str">
        <f t="shared" si="2"/>
        <v>Owi Wijaya-MAINT.&amp;REP.BUILDING-CLN</v>
      </c>
      <c r="B59" t="s">
        <v>67</v>
      </c>
      <c r="C59" t="s">
        <v>102</v>
      </c>
      <c r="D59" t="s">
        <v>13</v>
      </c>
      <c r="E59">
        <f t="shared" si="1"/>
        <v>1201</v>
      </c>
      <c r="F59" t="s">
        <v>236</v>
      </c>
    </row>
    <row r="60" spans="1:6" x14ac:dyDescent="0.25">
      <c r="A60" t="str">
        <f t="shared" si="2"/>
        <v>Owi Wijaya-MAINT.&amp;REP.ELECTRICITY-CLN</v>
      </c>
      <c r="B60" t="s">
        <v>67</v>
      </c>
      <c r="C60" t="s">
        <v>104</v>
      </c>
      <c r="D60" t="s">
        <v>13</v>
      </c>
      <c r="E60">
        <f t="shared" si="1"/>
        <v>1201</v>
      </c>
      <c r="F60" t="s">
        <v>237</v>
      </c>
    </row>
    <row r="61" spans="1:6" x14ac:dyDescent="0.25">
      <c r="A61" t="str">
        <f t="shared" si="2"/>
        <v>Owi Wijaya-MAINT.&amp;REP.GEN&amp;BOILER-CLN</v>
      </c>
      <c r="B61" t="s">
        <v>67</v>
      </c>
      <c r="C61" t="s">
        <v>106</v>
      </c>
      <c r="D61" t="s">
        <v>13</v>
      </c>
      <c r="E61">
        <f t="shared" si="1"/>
        <v>1201</v>
      </c>
      <c r="F61" t="s">
        <v>238</v>
      </c>
    </row>
    <row r="62" spans="1:6" x14ac:dyDescent="0.25">
      <c r="A62" t="str">
        <f t="shared" si="2"/>
        <v>Owi Wijaya-MAINT.&amp;REP.MACHINERIE-CLN</v>
      </c>
      <c r="B62" t="s">
        <v>67</v>
      </c>
      <c r="C62" t="s">
        <v>108</v>
      </c>
      <c r="D62" t="s">
        <v>13</v>
      </c>
      <c r="E62">
        <f t="shared" si="1"/>
        <v>1201</v>
      </c>
      <c r="F62" t="s">
        <v>239</v>
      </c>
    </row>
    <row r="63" spans="1:6" x14ac:dyDescent="0.25">
      <c r="A63" t="str">
        <f t="shared" si="2"/>
        <v>Owi Wijaya-MAINT.&amp;REP.MOTORVEHICLE-CLN</v>
      </c>
      <c r="B63" t="s">
        <v>67</v>
      </c>
      <c r="C63" t="s">
        <v>110</v>
      </c>
      <c r="D63" t="s">
        <v>13</v>
      </c>
      <c r="E63">
        <f t="shared" si="1"/>
        <v>1201</v>
      </c>
      <c r="F63" t="s">
        <v>240</v>
      </c>
    </row>
    <row r="64" spans="1:6" x14ac:dyDescent="0.25">
      <c r="A64" t="str">
        <f t="shared" si="2"/>
        <v>Owi Wijaya-MAINT.&amp;REP.MOTORVEHICLE-MAJA-1</v>
      </c>
      <c r="B64" t="s">
        <v>67</v>
      </c>
      <c r="C64" t="s">
        <v>110</v>
      </c>
      <c r="D64" t="s">
        <v>24</v>
      </c>
      <c r="E64">
        <f t="shared" si="1"/>
        <v>1205</v>
      </c>
      <c r="F64" t="s">
        <v>204</v>
      </c>
    </row>
    <row r="65" spans="1:6" x14ac:dyDescent="0.25">
      <c r="A65" t="str">
        <f t="shared" si="2"/>
        <v>Owi Wijaya-MAINT.&amp;REP.MOTORVEHICLE-MAJA-2</v>
      </c>
      <c r="B65" t="s">
        <v>67</v>
      </c>
      <c r="C65" t="s">
        <v>110</v>
      </c>
      <c r="D65" t="s">
        <v>15</v>
      </c>
      <c r="E65">
        <f t="shared" si="1"/>
        <v>1204</v>
      </c>
      <c r="F65" t="s">
        <v>205</v>
      </c>
    </row>
    <row r="66" spans="1:6" x14ac:dyDescent="0.25">
      <c r="A66" t="str">
        <f t="shared" ref="A66:A97" si="3">B66&amp;"-"&amp;C66&amp;"-"&amp;D66</f>
        <v>Owi Wijaya-MAINT.&amp;REP.PLANTEQUI-CLN</v>
      </c>
      <c r="B66" t="s">
        <v>67</v>
      </c>
      <c r="C66" t="s">
        <v>112</v>
      </c>
      <c r="D66" t="s">
        <v>13</v>
      </c>
      <c r="E66">
        <f t="shared" si="1"/>
        <v>1201</v>
      </c>
      <c r="F66" t="s">
        <v>241</v>
      </c>
    </row>
    <row r="67" spans="1:6" x14ac:dyDescent="0.25">
      <c r="A67" t="str">
        <f t="shared" si="3"/>
        <v>Owi Wijaya-MAINT.&amp;REP.WATERINSTL.-CLN</v>
      </c>
      <c r="B67" t="s">
        <v>67</v>
      </c>
      <c r="C67" t="s">
        <v>114</v>
      </c>
      <c r="D67" t="s">
        <v>13</v>
      </c>
      <c r="E67">
        <f t="shared" ref="E67:E130" si="4">VLOOKUP(D67,$L$2:$M$6,2,FALSE)</f>
        <v>1201</v>
      </c>
      <c r="F67" t="s">
        <v>242</v>
      </c>
    </row>
    <row r="68" spans="1:6" x14ac:dyDescent="0.25">
      <c r="A68" t="str">
        <f t="shared" si="3"/>
        <v>Owi Wijaya-MAINT.OFFICEEQUIP.-CLN</v>
      </c>
      <c r="B68" t="s">
        <v>67</v>
      </c>
      <c r="C68" t="s">
        <v>116</v>
      </c>
      <c r="D68" t="s">
        <v>13</v>
      </c>
      <c r="E68">
        <f t="shared" si="4"/>
        <v>1201</v>
      </c>
      <c r="F68" t="s">
        <v>243</v>
      </c>
    </row>
    <row r="69" spans="1:6" x14ac:dyDescent="0.25">
      <c r="A69" t="str">
        <f t="shared" si="3"/>
        <v>Owi Wijaya-MAINT.OFFICEEQUIP.-KALIBENDA</v>
      </c>
      <c r="B69" t="s">
        <v>67</v>
      </c>
      <c r="C69" t="s">
        <v>116</v>
      </c>
      <c r="D69" t="s">
        <v>101</v>
      </c>
      <c r="E69">
        <f t="shared" si="4"/>
        <v>1206</v>
      </c>
      <c r="F69" t="s">
        <v>206</v>
      </c>
    </row>
    <row r="70" spans="1:6" x14ac:dyDescent="0.25">
      <c r="A70" t="str">
        <f t="shared" si="3"/>
        <v>Owi Wijaya-MAINT.OFFICEEQUIP.-MAJA-1</v>
      </c>
      <c r="B70" t="s">
        <v>67</v>
      </c>
      <c r="C70" t="s">
        <v>116</v>
      </c>
      <c r="D70" t="s">
        <v>24</v>
      </c>
      <c r="E70">
        <f t="shared" si="4"/>
        <v>1205</v>
      </c>
      <c r="F70" t="s">
        <v>207</v>
      </c>
    </row>
    <row r="71" spans="1:6" x14ac:dyDescent="0.25">
      <c r="A71" t="str">
        <f t="shared" si="3"/>
        <v>Owi Wijaya-MAINT.OFFICEEQUIP.-MAJA-2</v>
      </c>
      <c r="B71" t="s">
        <v>67</v>
      </c>
      <c r="C71" t="s">
        <v>116</v>
      </c>
      <c r="D71" t="s">
        <v>15</v>
      </c>
      <c r="E71">
        <f t="shared" si="4"/>
        <v>1204</v>
      </c>
      <c r="F71" t="s">
        <v>208</v>
      </c>
    </row>
    <row r="72" spans="1:6" x14ac:dyDescent="0.25">
      <c r="A72" t="str">
        <f t="shared" si="3"/>
        <v>Owi Wijaya-MEDICAL ALLOWANCE-CLN</v>
      </c>
      <c r="B72" t="s">
        <v>67</v>
      </c>
      <c r="C72" t="s">
        <v>118</v>
      </c>
      <c r="D72" t="s">
        <v>13</v>
      </c>
      <c r="E72">
        <f t="shared" si="4"/>
        <v>1201</v>
      </c>
      <c r="F72" t="s">
        <v>244</v>
      </c>
    </row>
    <row r="73" spans="1:6" x14ac:dyDescent="0.25">
      <c r="A73" t="str">
        <f t="shared" si="3"/>
        <v>Owi Wijaya-OFFICE SUPPLIES EXPENSES-CLN</v>
      </c>
      <c r="B73" t="s">
        <v>67</v>
      </c>
      <c r="C73" t="s">
        <v>120</v>
      </c>
      <c r="D73" t="s">
        <v>13</v>
      </c>
      <c r="E73">
        <f t="shared" si="4"/>
        <v>1201</v>
      </c>
      <c r="F73" t="s">
        <v>245</v>
      </c>
    </row>
    <row r="74" spans="1:6" x14ac:dyDescent="0.25">
      <c r="A74" t="str">
        <f t="shared" si="3"/>
        <v>Owi Wijaya-OFFICE SUPPLIES EXPENSES-KALIBENDA</v>
      </c>
      <c r="B74" t="s">
        <v>67</v>
      </c>
      <c r="C74" t="s">
        <v>120</v>
      </c>
      <c r="D74" t="s">
        <v>101</v>
      </c>
      <c r="E74">
        <f t="shared" si="4"/>
        <v>1206</v>
      </c>
      <c r="F74" t="s">
        <v>209</v>
      </c>
    </row>
    <row r="75" spans="1:6" x14ac:dyDescent="0.25">
      <c r="A75" t="str">
        <f t="shared" si="3"/>
        <v>Owi Wijaya-OFFICE SUPPLIES EXPENSES-MAJA-1</v>
      </c>
      <c r="B75" t="s">
        <v>67</v>
      </c>
      <c r="C75" t="s">
        <v>120</v>
      </c>
      <c r="D75" t="s">
        <v>24</v>
      </c>
      <c r="E75">
        <f t="shared" si="4"/>
        <v>1205</v>
      </c>
      <c r="F75" t="s">
        <v>318</v>
      </c>
    </row>
    <row r="76" spans="1:6" x14ac:dyDescent="0.25">
      <c r="A76" t="str">
        <f t="shared" si="3"/>
        <v>Owi Wijaya-OFFICE SUPPLIES EXPENSES-MAJA-2</v>
      </c>
      <c r="B76" t="s">
        <v>67</v>
      </c>
      <c r="C76" t="s">
        <v>120</v>
      </c>
      <c r="D76" t="s">
        <v>15</v>
      </c>
      <c r="E76">
        <f t="shared" si="4"/>
        <v>1204</v>
      </c>
      <c r="F76" t="s">
        <v>210</v>
      </c>
    </row>
    <row r="77" spans="1:6" x14ac:dyDescent="0.25">
      <c r="A77" t="str">
        <f t="shared" si="3"/>
        <v>Owi Wijaya-OTHER PRODUCTION COST-KALIBENDA</v>
      </c>
      <c r="B77" t="s">
        <v>67</v>
      </c>
      <c r="C77" t="s">
        <v>21</v>
      </c>
      <c r="D77" t="s">
        <v>101</v>
      </c>
      <c r="E77">
        <f t="shared" si="4"/>
        <v>1206</v>
      </c>
      <c r="F77" t="s">
        <v>184</v>
      </c>
    </row>
    <row r="78" spans="1:6" x14ac:dyDescent="0.25">
      <c r="A78" t="str">
        <f t="shared" si="3"/>
        <v>Owi Wijaya-PEMAKAIAN SPARE PART-CLN</v>
      </c>
      <c r="B78" t="s">
        <v>67</v>
      </c>
      <c r="C78" t="s">
        <v>124</v>
      </c>
      <c r="D78" t="s">
        <v>13</v>
      </c>
      <c r="E78">
        <f t="shared" si="4"/>
        <v>1201</v>
      </c>
      <c r="F78" t="s">
        <v>246</v>
      </c>
    </row>
    <row r="79" spans="1:6" x14ac:dyDescent="0.25">
      <c r="A79" t="str">
        <f t="shared" si="3"/>
        <v>Owi Wijaya-PMKN FUEL &amp; LUBRICANT-CLN</v>
      </c>
      <c r="B79" t="s">
        <v>67</v>
      </c>
      <c r="C79" t="s">
        <v>126</v>
      </c>
      <c r="D79" t="s">
        <v>13</v>
      </c>
      <c r="E79">
        <f t="shared" si="4"/>
        <v>1201</v>
      </c>
      <c r="F79" t="s">
        <v>247</v>
      </c>
    </row>
    <row r="80" spans="1:6" x14ac:dyDescent="0.25">
      <c r="A80" t="str">
        <f t="shared" si="3"/>
        <v>Owi Wijaya-RENT EXPENSES-CLN</v>
      </c>
      <c r="B80" t="s">
        <v>67</v>
      </c>
      <c r="C80" t="s">
        <v>128</v>
      </c>
      <c r="D80" t="s">
        <v>13</v>
      </c>
      <c r="E80">
        <f t="shared" si="4"/>
        <v>1201</v>
      </c>
      <c r="F80" t="s">
        <v>248</v>
      </c>
    </row>
    <row r="81" spans="1:6" x14ac:dyDescent="0.25">
      <c r="A81" t="str">
        <f t="shared" si="3"/>
        <v>Owi Wijaya-RENT EXPENSES BUILDING-CLN</v>
      </c>
      <c r="B81" t="s">
        <v>67</v>
      </c>
      <c r="C81" t="s">
        <v>130</v>
      </c>
      <c r="D81" t="s">
        <v>13</v>
      </c>
      <c r="E81">
        <f t="shared" si="4"/>
        <v>1201</v>
      </c>
      <c r="F81" t="s">
        <v>249</v>
      </c>
    </row>
    <row r="82" spans="1:6" x14ac:dyDescent="0.25">
      <c r="A82" t="str">
        <f t="shared" si="3"/>
        <v>Owi Wijaya-RENT EXPENSES LAND-CLN</v>
      </c>
      <c r="B82" t="s">
        <v>67</v>
      </c>
      <c r="C82" t="s">
        <v>132</v>
      </c>
      <c r="D82" t="s">
        <v>13</v>
      </c>
      <c r="E82">
        <f t="shared" si="4"/>
        <v>1201</v>
      </c>
      <c r="F82" t="s">
        <v>250</v>
      </c>
    </row>
    <row r="83" spans="1:6" x14ac:dyDescent="0.25">
      <c r="A83" t="str">
        <f t="shared" si="3"/>
        <v>Owi Wijaya-TELEPHONE EXPENSES-CLN</v>
      </c>
      <c r="B83" t="s">
        <v>67</v>
      </c>
      <c r="C83" t="s">
        <v>134</v>
      </c>
      <c r="D83" t="s">
        <v>13</v>
      </c>
      <c r="E83">
        <f t="shared" si="4"/>
        <v>1201</v>
      </c>
      <c r="F83" t="s">
        <v>251</v>
      </c>
    </row>
    <row r="84" spans="1:6" x14ac:dyDescent="0.25">
      <c r="A84" t="str">
        <f t="shared" si="3"/>
        <v>Owi Wijaya-TRAINING BY EMPLOYEE-CLN</v>
      </c>
      <c r="B84" t="s">
        <v>67</v>
      </c>
      <c r="C84" t="s">
        <v>136</v>
      </c>
      <c r="D84" t="s">
        <v>13</v>
      </c>
      <c r="E84">
        <f t="shared" si="4"/>
        <v>1201</v>
      </c>
      <c r="F84" t="s">
        <v>252</v>
      </c>
    </row>
    <row r="85" spans="1:6" x14ac:dyDescent="0.25">
      <c r="A85" t="str">
        <f t="shared" si="3"/>
        <v>Owi Wijaya-WATER-CLN</v>
      </c>
      <c r="B85" t="s">
        <v>67</v>
      </c>
      <c r="C85" t="s">
        <v>138</v>
      </c>
      <c r="D85" t="s">
        <v>13</v>
      </c>
      <c r="E85">
        <f t="shared" si="4"/>
        <v>1201</v>
      </c>
      <c r="F85" t="s">
        <v>253</v>
      </c>
    </row>
    <row r="86" spans="1:6" x14ac:dyDescent="0.25">
      <c r="A86" t="str">
        <f t="shared" si="3"/>
        <v>Owi Wijaya-OTHER PRODUCTION COST-CLN</v>
      </c>
      <c r="B86" t="s">
        <v>67</v>
      </c>
      <c r="C86" t="s">
        <v>21</v>
      </c>
      <c r="D86" t="s">
        <v>13</v>
      </c>
      <c r="E86">
        <f t="shared" si="4"/>
        <v>1201</v>
      </c>
      <c r="F86" t="s">
        <v>185</v>
      </c>
    </row>
    <row r="87" spans="1:6" x14ac:dyDescent="0.25">
      <c r="A87" t="str">
        <f t="shared" si="3"/>
        <v>Owi Wijaya-OTHER PRODUCTION COST-CLN</v>
      </c>
      <c r="B87" t="s">
        <v>67</v>
      </c>
      <c r="C87" t="s">
        <v>21</v>
      </c>
      <c r="D87" t="s">
        <v>13</v>
      </c>
      <c r="E87">
        <f t="shared" si="4"/>
        <v>1201</v>
      </c>
      <c r="F87" t="s">
        <v>185</v>
      </c>
    </row>
    <row r="88" spans="1:6" x14ac:dyDescent="0.25">
      <c r="A88" t="str">
        <f t="shared" si="3"/>
        <v>Owi Wijaya-OTHER PRODUCTION COST-MAJA-1</v>
      </c>
      <c r="B88" t="s">
        <v>67</v>
      </c>
      <c r="C88" t="s">
        <v>21</v>
      </c>
      <c r="D88" t="s">
        <v>24</v>
      </c>
      <c r="E88">
        <f t="shared" si="4"/>
        <v>1205</v>
      </c>
      <c r="F88" t="s">
        <v>187</v>
      </c>
    </row>
    <row r="89" spans="1:6" x14ac:dyDescent="0.25">
      <c r="A89" t="str">
        <f t="shared" si="3"/>
        <v>Owi Wijaya-OTHER PRODUCTION COST-MAJA-2</v>
      </c>
      <c r="B89" t="s">
        <v>67</v>
      </c>
      <c r="C89" t="s">
        <v>21</v>
      </c>
      <c r="D89" t="s">
        <v>15</v>
      </c>
      <c r="E89">
        <f t="shared" si="4"/>
        <v>1204</v>
      </c>
      <c r="F89" t="s">
        <v>186</v>
      </c>
    </row>
    <row r="90" spans="1:6" x14ac:dyDescent="0.25">
      <c r="A90" t="str">
        <f t="shared" si="3"/>
        <v>Wawan Iskandar-JAMSOSTEK-KALIBENDA</v>
      </c>
      <c r="B90" t="s">
        <v>141</v>
      </c>
      <c r="C90" t="s">
        <v>93</v>
      </c>
      <c r="D90" t="s">
        <v>101</v>
      </c>
      <c r="E90">
        <f t="shared" si="4"/>
        <v>1206</v>
      </c>
      <c r="F90" t="s">
        <v>254</v>
      </c>
    </row>
    <row r="91" spans="1:6" x14ac:dyDescent="0.25">
      <c r="A91" t="str">
        <f t="shared" si="3"/>
        <v>Wawan Iskandar-MAINT.&amp;REP.BUILDING-KALIBENDA</v>
      </c>
      <c r="B91" t="s">
        <v>141</v>
      </c>
      <c r="C91" t="s">
        <v>102</v>
      </c>
      <c r="D91" t="s">
        <v>101</v>
      </c>
      <c r="E91">
        <f t="shared" si="4"/>
        <v>1206</v>
      </c>
      <c r="F91" t="s">
        <v>255</v>
      </c>
    </row>
    <row r="92" spans="1:6" x14ac:dyDescent="0.25">
      <c r="A92" t="str">
        <f t="shared" si="3"/>
        <v>Wawan Iskandar-MEDICAL ALLOWANCE-KALIBENDA</v>
      </c>
      <c r="B92" t="s">
        <v>141</v>
      </c>
      <c r="C92" t="s">
        <v>118</v>
      </c>
      <c r="D92" t="s">
        <v>101</v>
      </c>
      <c r="E92">
        <f t="shared" si="4"/>
        <v>1206</v>
      </c>
      <c r="F92" t="s">
        <v>256</v>
      </c>
    </row>
    <row r="93" spans="1:6" x14ac:dyDescent="0.25">
      <c r="A93" t="str">
        <f t="shared" si="3"/>
        <v>Wawan Iskandar-RENT EXPENSES-KALIBENDA</v>
      </c>
      <c r="B93" t="s">
        <v>141</v>
      </c>
      <c r="C93" t="s">
        <v>128</v>
      </c>
      <c r="D93" t="s">
        <v>101</v>
      </c>
      <c r="E93">
        <f t="shared" si="4"/>
        <v>1206</v>
      </c>
      <c r="F93" t="s">
        <v>257</v>
      </c>
    </row>
    <row r="94" spans="1:6" x14ac:dyDescent="0.25">
      <c r="A94" t="str">
        <f t="shared" si="3"/>
        <v>Wawan Iskandar-RENT EXPENSES BUILDING-KALIBENDA</v>
      </c>
      <c r="B94" t="s">
        <v>141</v>
      </c>
      <c r="C94" t="s">
        <v>130</v>
      </c>
      <c r="D94" t="s">
        <v>101</v>
      </c>
      <c r="E94">
        <f t="shared" si="4"/>
        <v>1206</v>
      </c>
      <c r="F94" t="s">
        <v>258</v>
      </c>
    </row>
    <row r="95" spans="1:6" x14ac:dyDescent="0.25">
      <c r="A95" t="str">
        <f t="shared" si="3"/>
        <v>Wawan Iskandar-TELEPHONE EXPENSES-KALIBENDA</v>
      </c>
      <c r="B95" t="s">
        <v>141</v>
      </c>
      <c r="C95" t="s">
        <v>134</v>
      </c>
      <c r="D95" t="s">
        <v>101</v>
      </c>
      <c r="E95">
        <f t="shared" si="4"/>
        <v>1206</v>
      </c>
      <c r="F95" t="s">
        <v>259</v>
      </c>
    </row>
    <row r="96" spans="1:6" x14ac:dyDescent="0.25">
      <c r="A96" t="str">
        <f t="shared" si="3"/>
        <v>Wawan Iskandar-WATER-KALIBENDA</v>
      </c>
      <c r="B96" t="s">
        <v>141</v>
      </c>
      <c r="C96" t="s">
        <v>138</v>
      </c>
      <c r="D96" t="s">
        <v>101</v>
      </c>
      <c r="E96">
        <f t="shared" si="4"/>
        <v>1206</v>
      </c>
      <c r="F96" t="s">
        <v>260</v>
      </c>
    </row>
    <row r="97" spans="1:6" x14ac:dyDescent="0.25">
      <c r="A97" t="str">
        <f t="shared" si="3"/>
        <v>Wawan Iskandar-FACTORY SUPPLIES EXPENSE-KALIBENDA</v>
      </c>
      <c r="B97" t="s">
        <v>141</v>
      </c>
      <c r="C97" t="s">
        <v>80</v>
      </c>
      <c r="D97" t="s">
        <v>101</v>
      </c>
      <c r="E97">
        <f t="shared" si="4"/>
        <v>1206</v>
      </c>
      <c r="F97" t="s">
        <v>261</v>
      </c>
    </row>
    <row r="98" spans="1:6" x14ac:dyDescent="0.25">
      <c r="A98" t="str">
        <f t="shared" ref="A98:A129" si="5">B98&amp;"-"&amp;C98&amp;"-"&amp;D98</f>
        <v>Wawan Iskandar-MAINT.&amp;REP.ELECTRICITY-KALIBENDA</v>
      </c>
      <c r="B98" t="s">
        <v>141</v>
      </c>
      <c r="C98" t="s">
        <v>104</v>
      </c>
      <c r="D98" t="s">
        <v>101</v>
      </c>
      <c r="E98">
        <f t="shared" si="4"/>
        <v>1206</v>
      </c>
      <c r="F98" t="s">
        <v>262</v>
      </c>
    </row>
    <row r="99" spans="1:6" x14ac:dyDescent="0.25">
      <c r="A99" t="str">
        <f t="shared" si="5"/>
        <v>Wawan Iskandar-MAINT.&amp;REP.GEN&amp;BOILER-KALIBENDA</v>
      </c>
      <c r="B99" t="s">
        <v>141</v>
      </c>
      <c r="C99" t="s">
        <v>106</v>
      </c>
      <c r="D99" t="s">
        <v>101</v>
      </c>
      <c r="E99">
        <f t="shared" si="4"/>
        <v>1206</v>
      </c>
      <c r="F99" t="s">
        <v>263</v>
      </c>
    </row>
    <row r="100" spans="1:6" x14ac:dyDescent="0.25">
      <c r="A100" t="str">
        <f t="shared" si="5"/>
        <v>Wawan Iskandar-MAINT.&amp;REP.MACHINERIE-KALIBENDA</v>
      </c>
      <c r="B100" t="s">
        <v>141</v>
      </c>
      <c r="C100" t="s">
        <v>108</v>
      </c>
      <c r="D100" t="s">
        <v>101</v>
      </c>
      <c r="E100">
        <f t="shared" si="4"/>
        <v>1206</v>
      </c>
      <c r="F100" t="s">
        <v>264</v>
      </c>
    </row>
    <row r="101" spans="1:6" x14ac:dyDescent="0.25">
      <c r="A101" t="str">
        <f t="shared" si="5"/>
        <v>Wawan Iskandar-MAINT.&amp;REP.MOTORVEHICLE-KALIBENDA</v>
      </c>
      <c r="B101" t="s">
        <v>141</v>
      </c>
      <c r="C101" t="s">
        <v>110</v>
      </c>
      <c r="D101" t="s">
        <v>101</v>
      </c>
      <c r="E101">
        <f t="shared" si="4"/>
        <v>1206</v>
      </c>
      <c r="F101" t="s">
        <v>265</v>
      </c>
    </row>
    <row r="102" spans="1:6" x14ac:dyDescent="0.25">
      <c r="A102" t="str">
        <f t="shared" si="5"/>
        <v>Wawan Iskandar-MAINT.&amp;REP.PLANTEQUI-KALIBENDA</v>
      </c>
      <c r="B102" t="s">
        <v>141</v>
      </c>
      <c r="C102" t="s">
        <v>112</v>
      </c>
      <c r="D102" t="s">
        <v>101</v>
      </c>
      <c r="E102">
        <f t="shared" si="4"/>
        <v>1206</v>
      </c>
      <c r="F102" t="s">
        <v>266</v>
      </c>
    </row>
    <row r="103" spans="1:6" x14ac:dyDescent="0.25">
      <c r="A103" t="str">
        <f t="shared" si="5"/>
        <v>Wawan Iskandar-MAINT.&amp;REP.WATERINSTL.-KALIBENDA</v>
      </c>
      <c r="B103" t="s">
        <v>141</v>
      </c>
      <c r="C103" t="s">
        <v>114</v>
      </c>
      <c r="D103" t="s">
        <v>101</v>
      </c>
      <c r="E103">
        <f t="shared" si="4"/>
        <v>1206</v>
      </c>
      <c r="F103" t="s">
        <v>267</v>
      </c>
    </row>
    <row r="104" spans="1:6" x14ac:dyDescent="0.25">
      <c r="A104" t="str">
        <f t="shared" si="5"/>
        <v>Wawan Iskandar-PEMAKAIAN SPARE PART-KALIBENDA</v>
      </c>
      <c r="B104" t="s">
        <v>141</v>
      </c>
      <c r="C104" t="s">
        <v>124</v>
      </c>
      <c r="D104" t="s">
        <v>101</v>
      </c>
      <c r="E104">
        <f t="shared" si="4"/>
        <v>1206</v>
      </c>
      <c r="F104" t="s">
        <v>268</v>
      </c>
    </row>
    <row r="105" spans="1:6" x14ac:dyDescent="0.25">
      <c r="A105" t="str">
        <f t="shared" si="5"/>
        <v>Wawan Iskandar-BUSINESS TRIP EXPENSES-KALIBENDA</v>
      </c>
      <c r="B105" t="s">
        <v>141</v>
      </c>
      <c r="C105" t="s">
        <v>70</v>
      </c>
      <c r="D105" t="s">
        <v>101</v>
      </c>
      <c r="E105">
        <f t="shared" si="4"/>
        <v>1206</v>
      </c>
      <c r="F105" t="s">
        <v>269</v>
      </c>
    </row>
    <row r="106" spans="1:6" x14ac:dyDescent="0.25">
      <c r="A106" t="str">
        <f t="shared" si="5"/>
        <v>Wawan Iskandar-ELECTRICITY-KALIBENDA</v>
      </c>
      <c r="B106" t="s">
        <v>141</v>
      </c>
      <c r="C106" t="s">
        <v>76</v>
      </c>
      <c r="D106" t="s">
        <v>101</v>
      </c>
      <c r="E106">
        <f t="shared" si="4"/>
        <v>1206</v>
      </c>
      <c r="F106" t="s">
        <v>270</v>
      </c>
    </row>
    <row r="107" spans="1:6" x14ac:dyDescent="0.25">
      <c r="A107" t="str">
        <f t="shared" si="5"/>
        <v>Wawan Iskandar-FUEL FOR MOTOR VEHICLE-KALIBENDA</v>
      </c>
      <c r="B107" t="s">
        <v>141</v>
      </c>
      <c r="C107" t="s">
        <v>87</v>
      </c>
      <c r="D107" t="s">
        <v>101</v>
      </c>
      <c r="E107">
        <f t="shared" si="4"/>
        <v>1206</v>
      </c>
      <c r="F107" t="s">
        <v>271</v>
      </c>
    </row>
    <row r="108" spans="1:6" x14ac:dyDescent="0.25">
      <c r="A108" t="str">
        <f t="shared" si="5"/>
        <v>Wawan Iskandar-LABOR COST-KALIBENDA</v>
      </c>
      <c r="B108" t="s">
        <v>141</v>
      </c>
      <c r="C108" t="s">
        <v>96</v>
      </c>
      <c r="D108" t="s">
        <v>101</v>
      </c>
      <c r="E108">
        <f t="shared" si="4"/>
        <v>1206</v>
      </c>
      <c r="F108" t="s">
        <v>272</v>
      </c>
    </row>
    <row r="109" spans="1:6" x14ac:dyDescent="0.25">
      <c r="A109" t="str">
        <f t="shared" si="5"/>
        <v>Wawan Iskandar-OFFICER SALARIES-KALIBENDA</v>
      </c>
      <c r="B109" t="s">
        <v>141</v>
      </c>
      <c r="C109" t="s">
        <v>146</v>
      </c>
      <c r="D109" t="s">
        <v>101</v>
      </c>
      <c r="E109">
        <f t="shared" si="4"/>
        <v>1206</v>
      </c>
      <c r="F109" t="s">
        <v>273</v>
      </c>
    </row>
    <row r="110" spans="1:6" x14ac:dyDescent="0.25">
      <c r="A110" t="str">
        <f t="shared" si="5"/>
        <v>Wawan Iskandar-PEMAKAIAN GENERAL MATERIAL-KALIBENDA</v>
      </c>
      <c r="B110" t="s">
        <v>141</v>
      </c>
      <c r="C110" t="s">
        <v>26</v>
      </c>
      <c r="D110" t="s">
        <v>101</v>
      </c>
      <c r="E110">
        <f t="shared" si="4"/>
        <v>1206</v>
      </c>
      <c r="F110" t="s">
        <v>274</v>
      </c>
    </row>
    <row r="111" spans="1:6" x14ac:dyDescent="0.25">
      <c r="A111" t="str">
        <f t="shared" si="5"/>
        <v>Wawan Iskandar-VENDOR EXPENSES-CHW</v>
      </c>
      <c r="B111" t="s">
        <v>141</v>
      </c>
      <c r="C111" t="s">
        <v>37</v>
      </c>
      <c r="D111" t="s">
        <v>150</v>
      </c>
      <c r="E111">
        <f t="shared" si="4"/>
        <v>1206</v>
      </c>
      <c r="F111" t="s">
        <v>188</v>
      </c>
    </row>
    <row r="112" spans="1:6" x14ac:dyDescent="0.25">
      <c r="A112" t="str">
        <f t="shared" si="5"/>
        <v>Tony Teja-ENTERTAINMENT-MAJA-1</v>
      </c>
      <c r="B112" t="s">
        <v>328</v>
      </c>
      <c r="C112" t="s">
        <v>78</v>
      </c>
      <c r="D112" t="s">
        <v>24</v>
      </c>
      <c r="E112">
        <f t="shared" si="4"/>
        <v>1205</v>
      </c>
      <c r="F112" t="s">
        <v>275</v>
      </c>
    </row>
    <row r="113" spans="1:6" x14ac:dyDescent="0.25">
      <c r="A113" t="str">
        <f t="shared" si="5"/>
        <v>Tony Teja-JAMSOSTEK-MAJA-1</v>
      </c>
      <c r="B113" t="s">
        <v>328</v>
      </c>
      <c r="C113" t="s">
        <v>93</v>
      </c>
      <c r="D113" t="s">
        <v>24</v>
      </c>
      <c r="E113">
        <f t="shared" si="4"/>
        <v>1205</v>
      </c>
      <c r="F113" t="s">
        <v>276</v>
      </c>
    </row>
    <row r="114" spans="1:6" x14ac:dyDescent="0.25">
      <c r="A114" t="str">
        <f t="shared" si="5"/>
        <v>Tony Teja-MAINT.&amp;REP.BUILDING-MAJA-1</v>
      </c>
      <c r="B114" t="s">
        <v>328</v>
      </c>
      <c r="C114" t="s">
        <v>102</v>
      </c>
      <c r="D114" t="s">
        <v>24</v>
      </c>
      <c r="E114">
        <f t="shared" si="4"/>
        <v>1205</v>
      </c>
      <c r="F114" t="s">
        <v>277</v>
      </c>
    </row>
    <row r="115" spans="1:6" x14ac:dyDescent="0.25">
      <c r="A115" t="str">
        <f t="shared" si="5"/>
        <v>Tony Teja-MAINT.&amp;REP.WATERINSTL.-MAJA-1</v>
      </c>
      <c r="B115" t="s">
        <v>328</v>
      </c>
      <c r="C115" t="s">
        <v>114</v>
      </c>
      <c r="D115" t="s">
        <v>24</v>
      </c>
      <c r="E115">
        <f t="shared" si="4"/>
        <v>1205</v>
      </c>
      <c r="F115" t="s">
        <v>278</v>
      </c>
    </row>
    <row r="116" spans="1:6" x14ac:dyDescent="0.25">
      <c r="A116" t="str">
        <f t="shared" si="5"/>
        <v>Tony Teja-MEDICAL ALLOWANCE-MAJA-1</v>
      </c>
      <c r="B116" t="s">
        <v>328</v>
      </c>
      <c r="C116" t="s">
        <v>118</v>
      </c>
      <c r="D116" t="s">
        <v>24</v>
      </c>
      <c r="E116">
        <f t="shared" si="4"/>
        <v>1205</v>
      </c>
      <c r="F116" t="s">
        <v>279</v>
      </c>
    </row>
    <row r="117" spans="1:6" x14ac:dyDescent="0.25">
      <c r="A117" t="str">
        <f t="shared" si="5"/>
        <v>Tony Teja-RENT EXPENSES BUILDING-MAJA-1</v>
      </c>
      <c r="B117" t="s">
        <v>328</v>
      </c>
      <c r="C117" t="s">
        <v>130</v>
      </c>
      <c r="D117" t="s">
        <v>24</v>
      </c>
      <c r="E117">
        <f t="shared" si="4"/>
        <v>1205</v>
      </c>
      <c r="F117" t="s">
        <v>280</v>
      </c>
    </row>
    <row r="118" spans="1:6" x14ac:dyDescent="0.25">
      <c r="A118" t="str">
        <f t="shared" si="5"/>
        <v>Tony Teja-OTHER PRODUCTION COST-MAJA-1</v>
      </c>
      <c r="B118" t="s">
        <v>328</v>
      </c>
      <c r="C118" t="s">
        <v>21</v>
      </c>
      <c r="D118" t="s">
        <v>24</v>
      </c>
      <c r="E118">
        <f t="shared" si="4"/>
        <v>1205</v>
      </c>
      <c r="F118" t="s">
        <v>187</v>
      </c>
    </row>
    <row r="119" spans="1:6" x14ac:dyDescent="0.25">
      <c r="A119" t="str">
        <f t="shared" si="5"/>
        <v>Tony Teja-BUSINESS TRIP EXPENSES-MAJA-1</v>
      </c>
      <c r="B119" t="s">
        <v>328</v>
      </c>
      <c r="C119" t="s">
        <v>70</v>
      </c>
      <c r="D119" t="s">
        <v>24</v>
      </c>
      <c r="E119">
        <f t="shared" si="4"/>
        <v>1205</v>
      </c>
      <c r="F119" t="s">
        <v>281</v>
      </c>
    </row>
    <row r="120" spans="1:6" x14ac:dyDescent="0.25">
      <c r="A120" t="str">
        <f t="shared" si="5"/>
        <v>Tony Teja-ELECTRICITY-MAJA-1</v>
      </c>
      <c r="B120" t="s">
        <v>328</v>
      </c>
      <c r="C120" t="s">
        <v>76</v>
      </c>
      <c r="D120" t="s">
        <v>24</v>
      </c>
      <c r="E120">
        <f t="shared" si="4"/>
        <v>1205</v>
      </c>
      <c r="F120" t="s">
        <v>282</v>
      </c>
    </row>
    <row r="121" spans="1:6" x14ac:dyDescent="0.25">
      <c r="A121" t="str">
        <f t="shared" si="5"/>
        <v>Tony Teja-FACTORY SUPPLIES EXPENSE-MAJA-1</v>
      </c>
      <c r="B121" t="s">
        <v>328</v>
      </c>
      <c r="C121" t="s">
        <v>80</v>
      </c>
      <c r="D121" t="s">
        <v>24</v>
      </c>
      <c r="E121">
        <f t="shared" si="4"/>
        <v>1205</v>
      </c>
      <c r="F121" t="s">
        <v>283</v>
      </c>
    </row>
    <row r="122" spans="1:6" x14ac:dyDescent="0.25">
      <c r="A122" t="str">
        <f t="shared" si="5"/>
        <v>Tony Teja-FARE ALLOWANCE-MAJA-1</v>
      </c>
      <c r="B122" t="s">
        <v>328</v>
      </c>
      <c r="C122" t="s">
        <v>154</v>
      </c>
      <c r="D122" t="s">
        <v>24</v>
      </c>
      <c r="E122">
        <f t="shared" si="4"/>
        <v>1205</v>
      </c>
      <c r="F122" t="s">
        <v>284</v>
      </c>
    </row>
    <row r="123" spans="1:6" x14ac:dyDescent="0.25">
      <c r="A123" t="str">
        <f t="shared" si="5"/>
        <v>Tony Teja-LABOR COST-MAJA-1</v>
      </c>
      <c r="B123" t="s">
        <v>328</v>
      </c>
      <c r="C123" t="s">
        <v>96</v>
      </c>
      <c r="D123" t="s">
        <v>24</v>
      </c>
      <c r="E123">
        <f t="shared" si="4"/>
        <v>1205</v>
      </c>
      <c r="F123" t="s">
        <v>285</v>
      </c>
    </row>
    <row r="124" spans="1:6" x14ac:dyDescent="0.25">
      <c r="A124" t="str">
        <f t="shared" si="5"/>
        <v>Tony Teja-MAINT.&amp;REP.ELECTRICITY-MAJA-1</v>
      </c>
      <c r="B124" t="s">
        <v>328</v>
      </c>
      <c r="C124" t="s">
        <v>104</v>
      </c>
      <c r="D124" t="s">
        <v>24</v>
      </c>
      <c r="E124">
        <f t="shared" si="4"/>
        <v>1205</v>
      </c>
      <c r="F124" t="s">
        <v>286</v>
      </c>
    </row>
    <row r="125" spans="1:6" x14ac:dyDescent="0.25">
      <c r="A125" t="str">
        <f t="shared" si="5"/>
        <v>Tony Teja-MAINT.&amp;REP.GEN&amp;BOILER-MAJA-1</v>
      </c>
      <c r="B125" t="s">
        <v>328</v>
      </c>
      <c r="C125" t="s">
        <v>106</v>
      </c>
      <c r="D125" t="s">
        <v>24</v>
      </c>
      <c r="E125">
        <f t="shared" si="4"/>
        <v>1205</v>
      </c>
      <c r="F125" t="s">
        <v>287</v>
      </c>
    </row>
    <row r="126" spans="1:6" x14ac:dyDescent="0.25">
      <c r="A126" t="str">
        <f t="shared" si="5"/>
        <v>Tony Teja-MAINT.&amp;REP.MACHINERIE-MAJA-1</v>
      </c>
      <c r="B126" t="s">
        <v>328</v>
      </c>
      <c r="C126" t="s">
        <v>108</v>
      </c>
      <c r="D126" t="s">
        <v>24</v>
      </c>
      <c r="E126">
        <f t="shared" si="4"/>
        <v>1205</v>
      </c>
      <c r="F126" t="s">
        <v>288</v>
      </c>
    </row>
    <row r="127" spans="1:6" x14ac:dyDescent="0.25">
      <c r="A127" t="str">
        <f t="shared" si="5"/>
        <v>Tony Teja-MAINT.&amp;REP.PLANTEQUI-MAJA-1</v>
      </c>
      <c r="B127" t="s">
        <v>328</v>
      </c>
      <c r="C127" t="s">
        <v>112</v>
      </c>
      <c r="D127" t="s">
        <v>24</v>
      </c>
      <c r="E127">
        <f t="shared" si="4"/>
        <v>1205</v>
      </c>
      <c r="F127" t="s">
        <v>289</v>
      </c>
    </row>
    <row r="128" spans="1:6" x14ac:dyDescent="0.25">
      <c r="A128" t="str">
        <f t="shared" si="5"/>
        <v>Tony Teja-OFFICER SALARIES-MAJA-1</v>
      </c>
      <c r="B128" t="s">
        <v>328</v>
      </c>
      <c r="C128" t="s">
        <v>146</v>
      </c>
      <c r="D128" t="s">
        <v>24</v>
      </c>
      <c r="E128">
        <f t="shared" si="4"/>
        <v>1205</v>
      </c>
      <c r="F128" t="s">
        <v>290</v>
      </c>
    </row>
    <row r="129" spans="1:6" x14ac:dyDescent="0.25">
      <c r="A129" t="str">
        <f t="shared" si="5"/>
        <v>Tony Teja-PEMAKAIAN SPARE PART-MAJA-1</v>
      </c>
      <c r="B129" t="s">
        <v>328</v>
      </c>
      <c r="C129" t="s">
        <v>124</v>
      </c>
      <c r="D129" t="s">
        <v>24</v>
      </c>
      <c r="E129">
        <f t="shared" si="4"/>
        <v>1205</v>
      </c>
      <c r="F129" t="s">
        <v>291</v>
      </c>
    </row>
    <row r="130" spans="1:6" x14ac:dyDescent="0.25">
      <c r="A130" t="str">
        <f t="shared" ref="A130:A161" si="6">B130&amp;"-"&amp;C130&amp;"-"&amp;D130</f>
        <v>Tony Teja-ENTERTAINMENT-MAJA-2</v>
      </c>
      <c r="B130" t="s">
        <v>328</v>
      </c>
      <c r="C130" t="s">
        <v>78</v>
      </c>
      <c r="D130" t="s">
        <v>15</v>
      </c>
      <c r="E130">
        <f t="shared" si="4"/>
        <v>1204</v>
      </c>
      <c r="F130" t="s">
        <v>292</v>
      </c>
    </row>
    <row r="131" spans="1:6" x14ac:dyDescent="0.25">
      <c r="A131" t="str">
        <f t="shared" si="6"/>
        <v>Tony Teja-JAMSOSTEK-MAJA-2</v>
      </c>
      <c r="B131" t="s">
        <v>328</v>
      </c>
      <c r="C131" t="s">
        <v>93</v>
      </c>
      <c r="D131" t="s">
        <v>15</v>
      </c>
      <c r="E131">
        <f t="shared" ref="E131:E158" si="7">VLOOKUP(D131,$L$2:$M$6,2,FALSE)</f>
        <v>1204</v>
      </c>
      <c r="F131" t="s">
        <v>293</v>
      </c>
    </row>
    <row r="132" spans="1:6" x14ac:dyDescent="0.25">
      <c r="A132" t="str">
        <f t="shared" si="6"/>
        <v>Tony Teja-MAINT.&amp;REP.BUILDING-MAJA-2</v>
      </c>
      <c r="B132" t="s">
        <v>328</v>
      </c>
      <c r="C132" t="s">
        <v>102</v>
      </c>
      <c r="D132" t="s">
        <v>15</v>
      </c>
      <c r="E132">
        <f t="shared" si="7"/>
        <v>1204</v>
      </c>
      <c r="F132" t="s">
        <v>294</v>
      </c>
    </row>
    <row r="133" spans="1:6" x14ac:dyDescent="0.25">
      <c r="A133" t="str">
        <f t="shared" si="6"/>
        <v>Tony Teja-MAINT.&amp;REP.WATERINSTL.-MAJA-2</v>
      </c>
      <c r="B133" t="s">
        <v>328</v>
      </c>
      <c r="C133" t="s">
        <v>114</v>
      </c>
      <c r="D133" t="s">
        <v>15</v>
      </c>
      <c r="E133">
        <f t="shared" si="7"/>
        <v>1204</v>
      </c>
      <c r="F133" t="s">
        <v>295</v>
      </c>
    </row>
    <row r="134" spans="1:6" x14ac:dyDescent="0.25">
      <c r="A134" t="str">
        <f t="shared" si="6"/>
        <v>Tony Teja-MEDICAL ALLOWANCE-MAJA-2</v>
      </c>
      <c r="B134" t="s">
        <v>328</v>
      </c>
      <c r="C134" t="s">
        <v>118</v>
      </c>
      <c r="D134" t="s">
        <v>15</v>
      </c>
      <c r="E134">
        <f t="shared" si="7"/>
        <v>1204</v>
      </c>
      <c r="F134" t="s">
        <v>296</v>
      </c>
    </row>
    <row r="135" spans="1:6" x14ac:dyDescent="0.25">
      <c r="A135" t="str">
        <f t="shared" si="6"/>
        <v>Tony Teja-RENT EXPENSES BUILDING-MAJA-2</v>
      </c>
      <c r="B135" t="s">
        <v>328</v>
      </c>
      <c r="C135" t="s">
        <v>130</v>
      </c>
      <c r="D135" t="s">
        <v>15</v>
      </c>
      <c r="E135">
        <f t="shared" si="7"/>
        <v>1204</v>
      </c>
      <c r="F135" t="s">
        <v>297</v>
      </c>
    </row>
    <row r="136" spans="1:6" x14ac:dyDescent="0.25">
      <c r="A136" t="str">
        <f t="shared" si="6"/>
        <v>Tony Teja-OTHER PRODUCTION COST-MAJA-2</v>
      </c>
      <c r="B136" t="s">
        <v>328</v>
      </c>
      <c r="C136" t="s">
        <v>21</v>
      </c>
      <c r="D136" t="s">
        <v>15</v>
      </c>
      <c r="E136">
        <f t="shared" si="7"/>
        <v>1204</v>
      </c>
      <c r="F136" t="s">
        <v>186</v>
      </c>
    </row>
    <row r="137" spans="1:6" x14ac:dyDescent="0.25">
      <c r="A137" t="str">
        <f t="shared" si="6"/>
        <v>Tony Teja-AIR FREIGHT-MAJA-2</v>
      </c>
      <c r="B137" t="s">
        <v>328</v>
      </c>
      <c r="C137" t="s">
        <v>68</v>
      </c>
      <c r="D137" t="s">
        <v>15</v>
      </c>
      <c r="E137">
        <f t="shared" si="7"/>
        <v>1204</v>
      </c>
      <c r="F137" t="s">
        <v>181</v>
      </c>
    </row>
    <row r="138" spans="1:6" x14ac:dyDescent="0.25">
      <c r="A138" t="str">
        <f t="shared" si="6"/>
        <v>Tony Teja-BUSINESS TRIP EXPENSES-MAJA-2</v>
      </c>
      <c r="B138" t="s">
        <v>328</v>
      </c>
      <c r="C138" t="s">
        <v>70</v>
      </c>
      <c r="D138" t="s">
        <v>15</v>
      </c>
      <c r="E138">
        <f t="shared" si="7"/>
        <v>1204</v>
      </c>
      <c r="F138" t="s">
        <v>298</v>
      </c>
    </row>
    <row r="139" spans="1:6" x14ac:dyDescent="0.25">
      <c r="A139" t="str">
        <f t="shared" si="6"/>
        <v>Tony Teja-ELECTRICITY-MAJA-2</v>
      </c>
      <c r="B139" t="s">
        <v>328</v>
      </c>
      <c r="C139" t="s">
        <v>76</v>
      </c>
      <c r="D139" t="s">
        <v>15</v>
      </c>
      <c r="E139">
        <f t="shared" si="7"/>
        <v>1204</v>
      </c>
      <c r="F139" t="s">
        <v>299</v>
      </c>
    </row>
    <row r="140" spans="1:6" x14ac:dyDescent="0.25">
      <c r="A140" t="str">
        <f t="shared" si="6"/>
        <v>Tony Teja-FACTORY SUPPLIES EXPENSE-MAJA-2</v>
      </c>
      <c r="B140" t="s">
        <v>328</v>
      </c>
      <c r="C140" t="s">
        <v>80</v>
      </c>
      <c r="D140" t="s">
        <v>15</v>
      </c>
      <c r="E140">
        <f t="shared" si="7"/>
        <v>1204</v>
      </c>
      <c r="F140" t="s">
        <v>300</v>
      </c>
    </row>
    <row r="141" spans="1:6" x14ac:dyDescent="0.25">
      <c r="A141" t="str">
        <f t="shared" si="6"/>
        <v>Tony Teja-FARE ALLOWANCE-MAJA-2</v>
      </c>
      <c r="B141" t="s">
        <v>328</v>
      </c>
      <c r="C141" t="s">
        <v>154</v>
      </c>
      <c r="D141" t="s">
        <v>15</v>
      </c>
      <c r="E141">
        <f t="shared" si="7"/>
        <v>1204</v>
      </c>
      <c r="F141" t="s">
        <v>301</v>
      </c>
    </row>
    <row r="142" spans="1:6" x14ac:dyDescent="0.25">
      <c r="A142" t="str">
        <f t="shared" si="6"/>
        <v>Tony Teja-LABOR COST-MAJA-2</v>
      </c>
      <c r="B142" t="s">
        <v>328</v>
      </c>
      <c r="C142" t="s">
        <v>96</v>
      </c>
      <c r="D142" t="s">
        <v>15</v>
      </c>
      <c r="E142">
        <f t="shared" si="7"/>
        <v>1204</v>
      </c>
      <c r="F142" t="s">
        <v>302</v>
      </c>
    </row>
    <row r="143" spans="1:6" x14ac:dyDescent="0.25">
      <c r="A143" t="str">
        <f t="shared" si="6"/>
        <v>Tony Teja-MAINT.&amp;REP.ELECTRICITY-MAJA-2</v>
      </c>
      <c r="B143" t="s">
        <v>328</v>
      </c>
      <c r="C143" t="s">
        <v>104</v>
      </c>
      <c r="D143" t="s">
        <v>15</v>
      </c>
      <c r="E143">
        <f t="shared" si="7"/>
        <v>1204</v>
      </c>
      <c r="F143" t="s">
        <v>303</v>
      </c>
    </row>
    <row r="144" spans="1:6" x14ac:dyDescent="0.25">
      <c r="A144" t="str">
        <f t="shared" si="6"/>
        <v>Tony Teja-MAINT.&amp;REP.GEN&amp;BOILER-MAJA-2</v>
      </c>
      <c r="B144" t="s">
        <v>328</v>
      </c>
      <c r="C144" t="s">
        <v>106</v>
      </c>
      <c r="D144" t="s">
        <v>15</v>
      </c>
      <c r="E144">
        <f t="shared" si="7"/>
        <v>1204</v>
      </c>
      <c r="F144" t="s">
        <v>304</v>
      </c>
    </row>
    <row r="145" spans="1:6" x14ac:dyDescent="0.25">
      <c r="A145" t="str">
        <f t="shared" si="6"/>
        <v>Tony Teja-MAINT.&amp;REP.MACHINERIE-MAJA-2</v>
      </c>
      <c r="B145" t="s">
        <v>328</v>
      </c>
      <c r="C145" t="s">
        <v>108</v>
      </c>
      <c r="D145" t="s">
        <v>15</v>
      </c>
      <c r="E145">
        <f t="shared" si="7"/>
        <v>1204</v>
      </c>
      <c r="F145" t="s">
        <v>305</v>
      </c>
    </row>
    <row r="146" spans="1:6" x14ac:dyDescent="0.25">
      <c r="A146" t="str">
        <f t="shared" si="6"/>
        <v>Tony Teja-MAINT.&amp;REP.PLANTEQUI-MAJA-2</v>
      </c>
      <c r="B146" t="s">
        <v>328</v>
      </c>
      <c r="C146" t="s">
        <v>112</v>
      </c>
      <c r="D146" t="s">
        <v>15</v>
      </c>
      <c r="E146">
        <f t="shared" si="7"/>
        <v>1204</v>
      </c>
      <c r="F146" t="s">
        <v>306</v>
      </c>
    </row>
    <row r="147" spans="1:6" x14ac:dyDescent="0.25">
      <c r="A147" t="str">
        <f t="shared" si="6"/>
        <v>Tony Teja-PEMAKAIAN SPARE PART-MAJA-2</v>
      </c>
      <c r="B147" t="s">
        <v>328</v>
      </c>
      <c r="C147" t="s">
        <v>124</v>
      </c>
      <c r="D147" t="s">
        <v>15</v>
      </c>
      <c r="E147">
        <f t="shared" si="7"/>
        <v>1204</v>
      </c>
      <c r="F147" t="s">
        <v>307</v>
      </c>
    </row>
    <row r="148" spans="1:6" x14ac:dyDescent="0.25">
      <c r="A148" t="str">
        <f t="shared" si="6"/>
        <v>Tony Teja-PMKN FUEL &amp; LUBRICANT-MAJA-2</v>
      </c>
      <c r="B148" t="s">
        <v>328</v>
      </c>
      <c r="C148" t="s">
        <v>126</v>
      </c>
      <c r="D148" t="s">
        <v>15</v>
      </c>
      <c r="E148">
        <f t="shared" si="7"/>
        <v>1204</v>
      </c>
      <c r="F148" t="s">
        <v>308</v>
      </c>
    </row>
    <row r="149" spans="1:6" x14ac:dyDescent="0.25">
      <c r="A149" t="str">
        <f t="shared" si="6"/>
        <v>Santy Silalahi-ACCOUNTING&amp;TAX ADVISORY EXP.-CLN</v>
      </c>
      <c r="B149" t="s">
        <v>159</v>
      </c>
      <c r="C149" t="s">
        <v>160</v>
      </c>
      <c r="D149" t="s">
        <v>13</v>
      </c>
      <c r="E149">
        <f t="shared" si="7"/>
        <v>1201</v>
      </c>
      <c r="F149" t="s">
        <v>309</v>
      </c>
    </row>
    <row r="150" spans="1:6" x14ac:dyDescent="0.25">
      <c r="A150" t="str">
        <f t="shared" si="6"/>
        <v>Santy Silalahi-BANK CHARGES-CLN</v>
      </c>
      <c r="B150" t="s">
        <v>159</v>
      </c>
      <c r="C150" t="s">
        <v>162</v>
      </c>
      <c r="D150" t="s">
        <v>13</v>
      </c>
      <c r="E150">
        <f t="shared" si="7"/>
        <v>1201</v>
      </c>
      <c r="F150" t="s">
        <v>310</v>
      </c>
    </row>
    <row r="151" spans="1:6" x14ac:dyDescent="0.25">
      <c r="A151" t="str">
        <f t="shared" si="6"/>
        <v>Santy Silalahi-INTEREST EXP OF DOMESTIC-CLN</v>
      </c>
      <c r="B151" t="s">
        <v>159</v>
      </c>
      <c r="C151" t="s">
        <v>164</v>
      </c>
      <c r="D151" t="s">
        <v>13</v>
      </c>
      <c r="E151">
        <f t="shared" si="7"/>
        <v>1201</v>
      </c>
      <c r="F151" t="s">
        <v>311</v>
      </c>
    </row>
    <row r="152" spans="1:6" x14ac:dyDescent="0.25">
      <c r="A152" t="str">
        <f t="shared" si="6"/>
        <v>Santy Silalahi-PREMIUM COST-CLN</v>
      </c>
      <c r="B152" t="s">
        <v>159</v>
      </c>
      <c r="C152" t="s">
        <v>167</v>
      </c>
      <c r="D152" t="s">
        <v>13</v>
      </c>
      <c r="E152">
        <f t="shared" si="7"/>
        <v>1201</v>
      </c>
      <c r="F152" t="s">
        <v>189</v>
      </c>
    </row>
    <row r="153" spans="1:6" x14ac:dyDescent="0.25">
      <c r="A153" t="str">
        <f t="shared" si="6"/>
        <v>Santy Silalahi-TAXES-CLN</v>
      </c>
      <c r="B153" t="s">
        <v>159</v>
      </c>
      <c r="C153" t="s">
        <v>169</v>
      </c>
      <c r="D153" t="s">
        <v>13</v>
      </c>
      <c r="E153">
        <f t="shared" si="7"/>
        <v>1201</v>
      </c>
      <c r="F153" t="s">
        <v>312</v>
      </c>
    </row>
    <row r="154" spans="1:6" x14ac:dyDescent="0.25">
      <c r="A154" t="str">
        <f t="shared" si="6"/>
        <v>Santy Silalahi-TAXES-KALIBENDA</v>
      </c>
      <c r="B154" t="s">
        <v>159</v>
      </c>
      <c r="C154" t="s">
        <v>169</v>
      </c>
      <c r="D154" t="s">
        <v>101</v>
      </c>
      <c r="E154">
        <f t="shared" si="7"/>
        <v>1206</v>
      </c>
      <c r="F154" t="s">
        <v>313</v>
      </c>
    </row>
    <row r="155" spans="1:6" x14ac:dyDescent="0.25">
      <c r="A155" t="str">
        <f t="shared" si="6"/>
        <v>Santy Silalahi-TAXES-MAJA-1</v>
      </c>
      <c r="B155" t="s">
        <v>159</v>
      </c>
      <c r="C155" t="s">
        <v>169</v>
      </c>
      <c r="D155" t="s">
        <v>24</v>
      </c>
      <c r="E155">
        <f t="shared" si="7"/>
        <v>1205</v>
      </c>
      <c r="F155" t="s">
        <v>314</v>
      </c>
    </row>
    <row r="156" spans="1:6" x14ac:dyDescent="0.25">
      <c r="A156" t="str">
        <f t="shared" si="6"/>
        <v>Santy Silalahi-TAXES-MAJA-2</v>
      </c>
      <c r="B156" t="s">
        <v>159</v>
      </c>
      <c r="C156" t="s">
        <v>169</v>
      </c>
      <c r="D156" t="s">
        <v>15</v>
      </c>
      <c r="E156">
        <f t="shared" si="7"/>
        <v>1204</v>
      </c>
      <c r="F156" t="s">
        <v>315</v>
      </c>
    </row>
    <row r="157" spans="1:6" x14ac:dyDescent="0.25">
      <c r="A157" t="str">
        <f t="shared" si="6"/>
        <v>Santy Silalahi-OFFICER SALARIES-CLN</v>
      </c>
      <c r="B157" t="s">
        <v>159</v>
      </c>
      <c r="C157" t="s">
        <v>146</v>
      </c>
      <c r="D157" t="s">
        <v>13</v>
      </c>
      <c r="E157">
        <f t="shared" si="7"/>
        <v>1201</v>
      </c>
      <c r="F157" t="s">
        <v>190</v>
      </c>
    </row>
    <row r="158" spans="1:6" x14ac:dyDescent="0.25">
      <c r="A158" t="str">
        <f t="shared" si="6"/>
        <v>Santy Silalahi-OFFICER SALARIES-MAJA-2</v>
      </c>
      <c r="B158" t="s">
        <v>159</v>
      </c>
      <c r="C158" t="s">
        <v>146</v>
      </c>
      <c r="D158" t="s">
        <v>15</v>
      </c>
      <c r="E158">
        <f t="shared" si="7"/>
        <v>1204</v>
      </c>
      <c r="F158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L11"/>
  <sheetViews>
    <sheetView topLeftCell="A4" zoomScale="85" zoomScaleNormal="85" workbookViewId="0">
      <pane xSplit="1" ySplit="2" topLeftCell="D6" activePane="bottomRight" state="frozen"/>
      <selection activeCell="A4" sqref="A4"/>
      <selection pane="topRight" activeCell="B4" sqref="B4"/>
      <selection pane="bottomLeft" activeCell="A6" sqref="A6"/>
      <selection pane="bottomRight" activeCell="L9" sqref="L9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6" customWidth="1"/>
    <col min="8" max="8" width="16" style="7" customWidth="1"/>
    <col min="9" max="9" width="16.28515625" style="4"/>
    <col min="10" max="10" width="9.42578125" style="1" bestFit="1" customWidth="1"/>
    <col min="11" max="11" width="19.28515625" style="1" bestFit="1" customWidth="1"/>
    <col min="12" max="16384" width="16.28515625" style="1"/>
  </cols>
  <sheetData>
    <row r="2" spans="1:12" ht="23.25" x14ac:dyDescent="0.35">
      <c r="A2" s="60" t="s">
        <v>175</v>
      </c>
      <c r="B2" s="60"/>
      <c r="C2" s="60"/>
      <c r="D2" s="60"/>
      <c r="E2" s="60"/>
      <c r="F2" s="60"/>
      <c r="G2" s="60"/>
      <c r="H2" s="60"/>
      <c r="I2" s="60"/>
      <c r="J2" s="60"/>
    </row>
    <row r="4" spans="1:12" x14ac:dyDescent="0.25">
      <c r="G4" s="3"/>
      <c r="H4" s="3"/>
    </row>
    <row r="5" spans="1:12" s="5" customFormat="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336</v>
      </c>
    </row>
    <row r="6" spans="1:12" x14ac:dyDescent="0.25">
      <c r="A6" s="5"/>
      <c r="F6" s="5"/>
      <c r="H6" s="5"/>
    </row>
    <row r="7" spans="1:12" x14ac:dyDescent="0.25">
      <c r="A7" s="5"/>
      <c r="F7" s="5"/>
      <c r="H7" s="5"/>
    </row>
    <row r="8" spans="1:12" x14ac:dyDescent="0.25">
      <c r="A8" s="5"/>
      <c r="F8" s="5"/>
      <c r="H8" s="5"/>
    </row>
    <row r="9" spans="1:12" x14ac:dyDescent="0.25">
      <c r="A9" s="5"/>
      <c r="F9" s="5"/>
      <c r="H9" s="5"/>
    </row>
    <row r="10" spans="1:12" x14ac:dyDescent="0.25">
      <c r="A10" s="5"/>
      <c r="F10" s="5"/>
      <c r="H10" s="5"/>
    </row>
    <row r="11" spans="1:12" x14ac:dyDescent="0.25">
      <c r="A11" s="5"/>
      <c r="F11" s="5"/>
      <c r="H11" s="5"/>
    </row>
  </sheetData>
  <mergeCells count="1">
    <mergeCell ref="A2:J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47EA7-84BB-45E9-B1A2-19FAAF67E779}">
  <sheetPr codeName="Sheet6"/>
  <dimension ref="A5:Z19"/>
  <sheetViews>
    <sheetView zoomScale="85" zoomScaleNormal="85" workbookViewId="0">
      <selection activeCell="A5" sqref="A5"/>
    </sheetView>
  </sheetViews>
  <sheetFormatPr defaultRowHeight="15" x14ac:dyDescent="0.25"/>
  <cols>
    <col min="1" max="1" width="21.42578125" bestFit="1" customWidth="1"/>
    <col min="2" max="2" width="30.28515625" bestFit="1" customWidth="1"/>
    <col min="3" max="3" width="96.42578125" bestFit="1" customWidth="1"/>
    <col min="4" max="4" width="11.85546875" bestFit="1" customWidth="1"/>
    <col min="5" max="5" width="8.5703125" bestFit="1" customWidth="1"/>
    <col min="6" max="6" width="8.85546875" bestFit="1" customWidth="1"/>
    <col min="7" max="7" width="19.28515625" bestFit="1" customWidth="1"/>
    <col min="8" max="8" width="15.28515625" bestFit="1" customWidth="1"/>
    <col min="9" max="9" width="16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336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10</v>
      </c>
      <c r="B6" s="35" t="s">
        <v>11</v>
      </c>
      <c r="C6" s="1" t="s">
        <v>12</v>
      </c>
      <c r="D6" s="2" t="s">
        <v>13</v>
      </c>
      <c r="E6" s="2" t="s">
        <v>14</v>
      </c>
      <c r="F6" s="1"/>
      <c r="G6" s="32">
        <v>10000</v>
      </c>
      <c r="H6" s="32">
        <v>8590.3700000000008</v>
      </c>
      <c r="I6" s="32">
        <f t="shared" ref="I6:I19" si="0">G6-H6</f>
        <v>1409.6299999999992</v>
      </c>
      <c r="J6" s="4">
        <f>G6/VLOOKUP(A6,RESUME!$G$3:$I$10,3,FALSE)</f>
        <v>0.14728026373771388</v>
      </c>
      <c r="K6" s="4">
        <f t="shared" ref="K6:K19" si="1">IFERROR((G6/H6)*J6,"")</f>
        <v>0.17144810262854088</v>
      </c>
      <c r="L6" s="36" t="s">
        <v>360</v>
      </c>
    </row>
    <row r="7" spans="1:26" ht="15.75" x14ac:dyDescent="0.25">
      <c r="A7" s="1" t="s">
        <v>10</v>
      </c>
      <c r="B7" s="35" t="s">
        <v>11</v>
      </c>
      <c r="C7" s="1" t="s">
        <v>12</v>
      </c>
      <c r="D7" s="2" t="s">
        <v>15</v>
      </c>
      <c r="E7" s="2" t="s">
        <v>16</v>
      </c>
      <c r="F7" s="1"/>
      <c r="G7" s="32">
        <v>10000</v>
      </c>
      <c r="H7" s="32">
        <v>3143.46</v>
      </c>
      <c r="I7" s="32">
        <f t="shared" si="0"/>
        <v>6856.54</v>
      </c>
      <c r="J7" s="4">
        <f>G7/VLOOKUP(A7,RESUME!$G$3:$I$10,3,FALSE)</f>
        <v>0.14728026373771388</v>
      </c>
      <c r="K7" s="4">
        <f t="shared" si="1"/>
        <v>0.46852914857422673</v>
      </c>
      <c r="L7" s="36" t="s">
        <v>360</v>
      </c>
    </row>
    <row r="8" spans="1:26" ht="15.75" x14ac:dyDescent="0.25">
      <c r="A8" s="1" t="s">
        <v>10</v>
      </c>
      <c r="B8" s="35" t="s">
        <v>17</v>
      </c>
      <c r="C8" s="1" t="s">
        <v>18</v>
      </c>
      <c r="D8" s="2" t="s">
        <v>13</v>
      </c>
      <c r="E8" s="2" t="s">
        <v>19</v>
      </c>
      <c r="F8" s="1"/>
      <c r="G8" s="32">
        <v>1987.05</v>
      </c>
      <c r="H8" s="32"/>
      <c r="I8" s="32">
        <f t="shared" si="0"/>
        <v>1987.05</v>
      </c>
      <c r="J8" s="4">
        <f>G8/VLOOKUP(A8,RESUME!$G$3:$I$10,3,FALSE)</f>
        <v>2.9265324806002437E-2</v>
      </c>
      <c r="K8" s="4" t="str">
        <f t="shared" si="1"/>
        <v/>
      </c>
      <c r="L8" s="36" t="s">
        <v>360</v>
      </c>
    </row>
    <row r="9" spans="1:26" ht="15.75" x14ac:dyDescent="0.25">
      <c r="A9" s="1" t="s">
        <v>10</v>
      </c>
      <c r="B9" s="35" t="s">
        <v>17</v>
      </c>
      <c r="C9" s="1" t="s">
        <v>18</v>
      </c>
      <c r="D9" s="2" t="s">
        <v>15</v>
      </c>
      <c r="E9" s="2" t="s">
        <v>20</v>
      </c>
      <c r="F9" s="1"/>
      <c r="G9" s="32">
        <v>326</v>
      </c>
      <c r="H9" s="32">
        <v>394.88</v>
      </c>
      <c r="I9" s="32">
        <f t="shared" si="0"/>
        <v>-68.88</v>
      </c>
      <c r="J9" s="4">
        <f>G9/VLOOKUP(A9,RESUME!$G$3:$I$10,3,FALSE)</f>
        <v>4.8013365978494729E-3</v>
      </c>
      <c r="K9" s="4">
        <f t="shared" si="1"/>
        <v>3.9638263039377232E-3</v>
      </c>
      <c r="L9" s="36" t="s">
        <v>361</v>
      </c>
    </row>
    <row r="10" spans="1:26" ht="15.75" x14ac:dyDescent="0.25">
      <c r="A10" s="1" t="s">
        <v>10</v>
      </c>
      <c r="B10" s="35" t="s">
        <v>21</v>
      </c>
      <c r="C10" s="1" t="s">
        <v>22</v>
      </c>
      <c r="D10" s="2" t="s">
        <v>13</v>
      </c>
      <c r="E10" s="2" t="s">
        <v>23</v>
      </c>
      <c r="F10" s="1"/>
      <c r="G10" s="32">
        <v>15015.099999999999</v>
      </c>
      <c r="H10" s="32">
        <v>5694.9699999999975</v>
      </c>
      <c r="I10" s="40">
        <f t="shared" si="0"/>
        <v>9320.130000000001</v>
      </c>
      <c r="J10" s="4">
        <f>G10/VLOOKUP(A10,RESUME!$G$3:$I$10,3,FALSE)</f>
        <v>0.22114278880481478</v>
      </c>
      <c r="K10" s="4">
        <f t="shared" si="1"/>
        <v>0.5830550623064169</v>
      </c>
      <c r="L10" s="36" t="s">
        <v>360</v>
      </c>
    </row>
    <row r="11" spans="1:26" ht="15.75" x14ac:dyDescent="0.25">
      <c r="A11" s="1" t="s">
        <v>10</v>
      </c>
      <c r="B11" s="35" t="s">
        <v>21</v>
      </c>
      <c r="C11" s="1" t="s">
        <v>22</v>
      </c>
      <c r="D11" s="2" t="s">
        <v>24</v>
      </c>
      <c r="E11" s="2" t="s">
        <v>25</v>
      </c>
      <c r="F11" s="1"/>
      <c r="G11" s="32">
        <v>26.7199999999998</v>
      </c>
      <c r="H11" s="32">
        <v>475.78</v>
      </c>
      <c r="I11" s="40">
        <f t="shared" si="0"/>
        <v>-449.06000000000017</v>
      </c>
      <c r="J11" s="4">
        <f>G11/VLOOKUP(A11,RESUME!$G$3:$I$10,3,FALSE)</f>
        <v>3.9353286470716859E-4</v>
      </c>
      <c r="K11" s="4">
        <f t="shared" si="1"/>
        <v>2.210096713812154E-5</v>
      </c>
      <c r="L11" s="36" t="s">
        <v>361</v>
      </c>
    </row>
    <row r="12" spans="1:26" ht="15.75" x14ac:dyDescent="0.25">
      <c r="A12" s="1" t="s">
        <v>10</v>
      </c>
      <c r="B12" s="35" t="s">
        <v>21</v>
      </c>
      <c r="C12" s="1" t="s">
        <v>22</v>
      </c>
      <c r="D12" s="2" t="s">
        <v>15</v>
      </c>
      <c r="E12" s="2" t="s">
        <v>25</v>
      </c>
      <c r="F12" s="1"/>
      <c r="G12" s="32">
        <v>15124.89</v>
      </c>
      <c r="H12" s="32">
        <v>1394454.02</v>
      </c>
      <c r="I12" s="40">
        <f t="shared" si="0"/>
        <v>-1379329.1300000001</v>
      </c>
      <c r="J12" s="4">
        <f>G12/VLOOKUP(A12,RESUME!$G$3:$I$10,3,FALSE)</f>
        <v>0.22275977882039114</v>
      </c>
      <c r="K12" s="4">
        <f t="shared" si="1"/>
        <v>2.4161550705578271E-3</v>
      </c>
      <c r="L12" s="36" t="s">
        <v>361</v>
      </c>
    </row>
    <row r="13" spans="1:26" ht="15.75" x14ac:dyDescent="0.25">
      <c r="A13" s="1" t="s">
        <v>10</v>
      </c>
      <c r="B13" s="35" t="s">
        <v>26</v>
      </c>
      <c r="C13" s="1" t="s">
        <v>27</v>
      </c>
      <c r="D13" s="2" t="s">
        <v>13</v>
      </c>
      <c r="E13" s="2" t="s">
        <v>28</v>
      </c>
      <c r="F13" s="1"/>
      <c r="G13" s="32">
        <v>639</v>
      </c>
      <c r="H13" s="32">
        <v>4.83</v>
      </c>
      <c r="I13" s="40">
        <f t="shared" si="0"/>
        <v>634.16999999999996</v>
      </c>
      <c r="J13" s="4">
        <f>G13/VLOOKUP(A13,RESUME!$G$3:$I$10,3,FALSE)</f>
        <v>9.4112088528399175E-3</v>
      </c>
      <c r="K13" s="4">
        <f t="shared" si="1"/>
        <v>1.2450853948167095</v>
      </c>
      <c r="L13" s="36" t="s">
        <v>360</v>
      </c>
    </row>
    <row r="14" spans="1:26" ht="15.75" x14ac:dyDescent="0.25">
      <c r="A14" s="1" t="s">
        <v>10</v>
      </c>
      <c r="B14" s="35" t="s">
        <v>26</v>
      </c>
      <c r="C14" s="1" t="s">
        <v>27</v>
      </c>
      <c r="D14" s="2" t="s">
        <v>24</v>
      </c>
      <c r="E14" s="2" t="s">
        <v>29</v>
      </c>
      <c r="F14" s="1"/>
      <c r="G14" s="32">
        <v>1265</v>
      </c>
      <c r="H14" s="32">
        <v>598.58000000000004</v>
      </c>
      <c r="I14" s="40">
        <f t="shared" si="0"/>
        <v>666.42</v>
      </c>
      <c r="J14" s="4">
        <f>G14/VLOOKUP(A14,RESUME!$G$3:$I$10,3,FALSE)</f>
        <v>1.8630953362820807E-2</v>
      </c>
      <c r="K14" s="4">
        <f t="shared" si="1"/>
        <v>3.9373443823663201E-2</v>
      </c>
      <c r="L14" s="38" t="s">
        <v>360</v>
      </c>
    </row>
    <row r="15" spans="1:26" ht="15.75" x14ac:dyDescent="0.25">
      <c r="A15" s="1" t="s">
        <v>10</v>
      </c>
      <c r="B15" s="35" t="s">
        <v>26</v>
      </c>
      <c r="C15" s="1" t="s">
        <v>27</v>
      </c>
      <c r="D15" s="2" t="s">
        <v>15</v>
      </c>
      <c r="E15" s="2" t="s">
        <v>29</v>
      </c>
      <c r="F15" s="1"/>
      <c r="G15" s="32">
        <v>2489</v>
      </c>
      <c r="H15" s="32">
        <v>217.48</v>
      </c>
      <c r="I15" s="32">
        <f t="shared" si="0"/>
        <v>2271.52</v>
      </c>
      <c r="J15" s="4">
        <f>G15/VLOOKUP(A15,RESUME!$G$3:$I$10,3,FALSE)</f>
        <v>3.6658057644316989E-2</v>
      </c>
      <c r="K15" s="4">
        <f t="shared" si="1"/>
        <v>0.41954159222321591</v>
      </c>
      <c r="L15" s="36" t="s">
        <v>360</v>
      </c>
    </row>
    <row r="16" spans="1:26" ht="15.75" x14ac:dyDescent="0.25">
      <c r="A16" s="1" t="s">
        <v>10</v>
      </c>
      <c r="B16" s="35" t="s">
        <v>30</v>
      </c>
      <c r="C16" s="1" t="s">
        <v>31</v>
      </c>
      <c r="D16" s="2" t="s">
        <v>13</v>
      </c>
      <c r="E16" s="2" t="s">
        <v>28</v>
      </c>
      <c r="F16" s="1"/>
      <c r="G16" s="32">
        <v>1025</v>
      </c>
      <c r="H16" s="32"/>
      <c r="I16" s="40">
        <f t="shared" si="0"/>
        <v>1025</v>
      </c>
      <c r="J16" s="4">
        <f>G16/VLOOKUP(A16,RESUME!$G$3:$I$10,3,FALSE)</f>
        <v>1.5096227033115674E-2</v>
      </c>
      <c r="K16" s="4" t="str">
        <f t="shared" si="1"/>
        <v/>
      </c>
      <c r="L16" s="36" t="s">
        <v>360</v>
      </c>
    </row>
    <row r="17" spans="1:12" ht="15.75" x14ac:dyDescent="0.25">
      <c r="A17" s="1" t="s">
        <v>10</v>
      </c>
      <c r="B17" s="35" t="s">
        <v>32</v>
      </c>
      <c r="C17" s="1" t="s">
        <v>33</v>
      </c>
      <c r="D17" s="2" t="s">
        <v>13</v>
      </c>
      <c r="E17" s="2" t="s">
        <v>34</v>
      </c>
      <c r="F17" s="1"/>
      <c r="G17" s="32">
        <v>8000</v>
      </c>
      <c r="H17" s="32">
        <v>669.9</v>
      </c>
      <c r="I17" s="32">
        <f t="shared" si="0"/>
        <v>7330.1</v>
      </c>
      <c r="J17" s="4">
        <f>G17/VLOOKUP(A17,RESUME!$G$3:$I$10,3,FALSE)</f>
        <v>0.11782421099017111</v>
      </c>
      <c r="K17" s="4">
        <f t="shared" si="1"/>
        <v>1.4070662605185387</v>
      </c>
      <c r="L17" s="36" t="s">
        <v>360</v>
      </c>
    </row>
    <row r="18" spans="1:12" ht="15.75" x14ac:dyDescent="0.25">
      <c r="A18" s="1" t="s">
        <v>10</v>
      </c>
      <c r="B18" s="35" t="s">
        <v>32</v>
      </c>
      <c r="C18" s="1" t="s">
        <v>33</v>
      </c>
      <c r="D18" s="2" t="s">
        <v>24</v>
      </c>
      <c r="E18" s="2" t="s">
        <v>34</v>
      </c>
      <c r="F18" s="1"/>
      <c r="G18" s="32">
        <v>1000</v>
      </c>
      <c r="H18" s="32">
        <v>2590.0100000000002</v>
      </c>
      <c r="I18" s="32">
        <f t="shared" si="0"/>
        <v>-1590.0100000000002</v>
      </c>
      <c r="J18" s="4">
        <f>G18/VLOOKUP(A18,RESUME!$G$3:$I$10,3,FALSE)</f>
        <v>1.4728026373771389E-2</v>
      </c>
      <c r="K18" s="4">
        <f t="shared" si="1"/>
        <v>5.6864747139089757E-3</v>
      </c>
      <c r="L18" s="36" t="s">
        <v>361</v>
      </c>
    </row>
    <row r="19" spans="1:12" ht="15.75" x14ac:dyDescent="0.25">
      <c r="A19" s="1" t="s">
        <v>10</v>
      </c>
      <c r="B19" s="35" t="s">
        <v>32</v>
      </c>
      <c r="C19" s="1" t="s">
        <v>33</v>
      </c>
      <c r="D19" s="2" t="s">
        <v>15</v>
      </c>
      <c r="E19" s="2" t="s">
        <v>34</v>
      </c>
      <c r="F19" s="1"/>
      <c r="G19" s="32">
        <v>1000</v>
      </c>
      <c r="H19" s="32"/>
      <c r="I19" s="40">
        <f t="shared" si="0"/>
        <v>1000</v>
      </c>
      <c r="J19" s="4">
        <f>G19/VLOOKUP(A19,RESUME!$G$3:$I$10,3,FALSE)</f>
        <v>1.4728026373771389E-2</v>
      </c>
      <c r="K19" s="4" t="str">
        <f t="shared" si="1"/>
        <v/>
      </c>
      <c r="L19" s="36" t="s">
        <v>360</v>
      </c>
    </row>
  </sheetData>
  <conditionalFormatting sqref="L6:L19">
    <cfRule type="containsText" dxfId="7" priority="1" operator="containsText" text="OVER">
      <formula>NOT(ISERROR(SEARCH("OVER",L6)))</formula>
    </cfRule>
  </conditionalFormatting>
  <hyperlinks>
    <hyperlink ref="B6" r:id="rId1" xr:uid="{7626FCFF-C17C-4BC1-A098-17F34C0218D0}"/>
    <hyperlink ref="B7" r:id="rId2" xr:uid="{4B5DD005-38DE-4C7A-AF3F-10D663F20847}"/>
    <hyperlink ref="B8" r:id="rId3" xr:uid="{F90B53B8-353A-4910-8520-914058DC1130}"/>
    <hyperlink ref="B9" r:id="rId4" xr:uid="{BA0C919C-E5FD-441D-93CA-CF9C6071F916}"/>
    <hyperlink ref="B10" r:id="rId5" xr:uid="{A89F6EDE-66D5-451B-BD92-8DBE5A555B7F}"/>
    <hyperlink ref="B11" r:id="rId6" xr:uid="{90BD7AE7-C6D1-4F3E-9DAC-D11515F614A2}"/>
    <hyperlink ref="B12" r:id="rId7" xr:uid="{3F347067-DD84-44CB-B2AB-0DB355ABD8DE}"/>
    <hyperlink ref="B13" r:id="rId8" xr:uid="{F1245229-4827-41E0-902A-E558795AD2DF}"/>
    <hyperlink ref="B14" r:id="rId9" xr:uid="{BE95D1C1-DD06-4FEE-872F-6C7EFC4E040E}"/>
    <hyperlink ref="B15" r:id="rId10" xr:uid="{47DB1D70-A50A-48FE-A0D9-87D5AAB8AA74}"/>
    <hyperlink ref="B16" r:id="rId11" xr:uid="{4D5BAE61-DE0B-44FB-9B44-A4960076136B}"/>
    <hyperlink ref="B17" r:id="rId12" xr:uid="{89C3568E-E41A-48FB-9991-43FA0909FFE4}"/>
    <hyperlink ref="B18" r:id="rId13" xr:uid="{BC8A65D1-DB89-4B00-B467-BD194FC024BC}"/>
    <hyperlink ref="B19" r:id="rId14" xr:uid="{C3E97DD8-D390-4090-814E-E2154D2629DD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DE95A-D25A-4899-8D04-7E79708B1156}">
  <sheetPr codeName="Sheet7"/>
  <dimension ref="A5:Z11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18" bestFit="1" customWidth="1"/>
    <col min="3" max="3" width="15.7109375" bestFit="1" customWidth="1"/>
    <col min="4" max="4" width="11.85546875" bestFit="1" customWidth="1"/>
    <col min="5" max="5" width="7.140625" bestFit="1" customWidth="1"/>
    <col min="6" max="6" width="8.85546875" bestFit="1" customWidth="1"/>
    <col min="7" max="7" width="19.28515625" bestFit="1" customWidth="1"/>
    <col min="8" max="8" width="10.28515625" bestFit="1" customWidth="1"/>
    <col min="9" max="9" width="13.42578125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336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36</v>
      </c>
      <c r="B6" s="35" t="s">
        <v>37</v>
      </c>
      <c r="C6" s="1" t="s">
        <v>38</v>
      </c>
      <c r="D6" s="2" t="s">
        <v>13</v>
      </c>
      <c r="E6" s="2" t="s">
        <v>39</v>
      </c>
      <c r="F6" s="1"/>
      <c r="G6" s="32">
        <v>151561</v>
      </c>
      <c r="H6" s="32"/>
      <c r="I6" s="32">
        <f t="shared" ref="I6:I11" si="0">G6-H6</f>
        <v>151561</v>
      </c>
      <c r="J6" s="4">
        <f>G6/VLOOKUP(A6,RESUME!$G$3:$I$10,3,FALSE)</f>
        <v>0.65619333139484248</v>
      </c>
      <c r="K6" s="4" t="str">
        <f t="shared" ref="K6:K11" si="1">IFERROR((G6/H6)*J6,"")</f>
        <v/>
      </c>
      <c r="L6" s="36" t="s">
        <v>360</v>
      </c>
    </row>
    <row r="7" spans="1:26" ht="15.75" x14ac:dyDescent="0.25">
      <c r="A7" s="1" t="s">
        <v>36</v>
      </c>
      <c r="B7" s="35" t="s">
        <v>37</v>
      </c>
      <c r="C7" s="1" t="s">
        <v>38</v>
      </c>
      <c r="D7" s="2" t="s">
        <v>24</v>
      </c>
      <c r="E7" s="2" t="s">
        <v>39</v>
      </c>
      <c r="F7" s="1"/>
      <c r="G7" s="32">
        <v>26883.15</v>
      </c>
      <c r="H7" s="32"/>
      <c r="I7" s="32">
        <f t="shared" si="0"/>
        <v>26883.15</v>
      </c>
      <c r="J7" s="4">
        <f>G7/VLOOKUP(A7,RESUME!$G$3:$I$10,3,FALSE)</f>
        <v>0.11639236846475848</v>
      </c>
      <c r="K7" s="4" t="str">
        <f t="shared" si="1"/>
        <v/>
      </c>
      <c r="L7" s="36" t="s">
        <v>360</v>
      </c>
    </row>
    <row r="8" spans="1:26" ht="15.75" x14ac:dyDescent="0.25">
      <c r="A8" s="1" t="s">
        <v>36</v>
      </c>
      <c r="B8" s="35" t="s">
        <v>37</v>
      </c>
      <c r="C8" s="1" t="s">
        <v>38</v>
      </c>
      <c r="D8" s="2" t="s">
        <v>15</v>
      </c>
      <c r="E8" s="2" t="s">
        <v>40</v>
      </c>
      <c r="F8" s="1"/>
      <c r="G8" s="32">
        <v>32525.89</v>
      </c>
      <c r="H8" s="32"/>
      <c r="I8" s="32">
        <f t="shared" si="0"/>
        <v>32525.89</v>
      </c>
      <c r="J8" s="4">
        <f>G8/VLOOKUP(A8,RESUME!$G$3:$I$10,3,FALSE)</f>
        <v>0.14082298292886819</v>
      </c>
      <c r="K8" s="4" t="str">
        <f t="shared" si="1"/>
        <v/>
      </c>
      <c r="L8" s="36" t="s">
        <v>360</v>
      </c>
    </row>
    <row r="9" spans="1:26" ht="15.75" x14ac:dyDescent="0.25">
      <c r="A9" s="1" t="s">
        <v>36</v>
      </c>
      <c r="B9" s="35" t="s">
        <v>37</v>
      </c>
      <c r="C9" s="1" t="s">
        <v>41</v>
      </c>
      <c r="D9" s="2" t="s">
        <v>13</v>
      </c>
      <c r="E9" s="2" t="s">
        <v>42</v>
      </c>
      <c r="F9" s="1"/>
      <c r="G9" s="32">
        <v>5000</v>
      </c>
      <c r="H9" s="32"/>
      <c r="I9" s="32">
        <f t="shared" si="0"/>
        <v>5000</v>
      </c>
      <c r="J9" s="4">
        <f>G9/VLOOKUP(A9,RESUME!$G$3:$I$10,3,FALSE)</f>
        <v>2.1647829302882747E-2</v>
      </c>
      <c r="K9" s="4" t="str">
        <f t="shared" si="1"/>
        <v/>
      </c>
      <c r="L9" s="36" t="s">
        <v>360</v>
      </c>
    </row>
    <row r="10" spans="1:26" ht="15.75" x14ac:dyDescent="0.25">
      <c r="A10" s="1" t="s">
        <v>36</v>
      </c>
      <c r="B10" s="35" t="s">
        <v>37</v>
      </c>
      <c r="C10" s="1" t="s">
        <v>38</v>
      </c>
      <c r="D10" s="2" t="s">
        <v>24</v>
      </c>
      <c r="E10" s="2" t="s">
        <v>43</v>
      </c>
      <c r="F10" s="1"/>
      <c r="G10" s="32">
        <v>7500</v>
      </c>
      <c r="H10" s="32"/>
      <c r="I10" s="32">
        <f t="shared" si="0"/>
        <v>7500</v>
      </c>
      <c r="J10" s="4">
        <f>G10/VLOOKUP(A10,RESUME!$G$3:$I$10,3,FALSE)</f>
        <v>3.2471743954324124E-2</v>
      </c>
      <c r="K10" s="4" t="str">
        <f t="shared" si="1"/>
        <v/>
      </c>
      <c r="L10" s="36" t="s">
        <v>360</v>
      </c>
    </row>
    <row r="11" spans="1:26" ht="15.75" x14ac:dyDescent="0.25">
      <c r="A11" s="1" t="s">
        <v>36</v>
      </c>
      <c r="B11" s="35" t="s">
        <v>37</v>
      </c>
      <c r="C11" s="1" t="s">
        <v>38</v>
      </c>
      <c r="D11" s="2" t="s">
        <v>15</v>
      </c>
      <c r="E11" s="2" t="s">
        <v>42</v>
      </c>
      <c r="F11" s="1"/>
      <c r="G11" s="32">
        <v>7500</v>
      </c>
      <c r="H11" s="32"/>
      <c r="I11" s="32">
        <f t="shared" si="0"/>
        <v>7500</v>
      </c>
      <c r="J11" s="4">
        <f>G11/VLOOKUP(A11,RESUME!$G$3:$I$10,3,FALSE)</f>
        <v>3.2471743954324124E-2</v>
      </c>
      <c r="K11" s="4" t="str">
        <f t="shared" si="1"/>
        <v/>
      </c>
      <c r="L11" s="36" t="s">
        <v>360</v>
      </c>
    </row>
  </sheetData>
  <conditionalFormatting sqref="L6:L11">
    <cfRule type="containsText" dxfId="6" priority="1" operator="containsText" text="OVER">
      <formula>NOT(ISERROR(SEARCH("OVER",L6)))</formula>
    </cfRule>
  </conditionalFormatting>
  <hyperlinks>
    <hyperlink ref="B6" r:id="rId1" xr:uid="{F5E08903-620C-496F-9CBC-CDA80C300EE0}"/>
    <hyperlink ref="B7" r:id="rId2" xr:uid="{1EB90634-FD71-4371-BF9F-D4390D5EAA5E}"/>
    <hyperlink ref="B8" r:id="rId3" xr:uid="{A88BD213-8017-4690-BE89-A6D485D9064E}"/>
    <hyperlink ref="B9" r:id="rId4" xr:uid="{BCE70D52-A39A-42ED-8E13-7B93C844DB22}"/>
    <hyperlink ref="B10" r:id="rId5" xr:uid="{043442EA-078E-4F44-993A-6CB43F85AA55}"/>
    <hyperlink ref="B11" r:id="rId6" xr:uid="{C46C2E21-0E36-4826-ABE6-8D8202FA56FF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D08F5-BE52-408D-98AD-6B7586FA5277}">
  <sheetPr codeName="Sheet8"/>
  <dimension ref="A5:Z15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23.28515625" bestFit="1" customWidth="1"/>
    <col min="3" max="3" width="29.85546875" bestFit="1" customWidth="1"/>
    <col min="4" max="4" width="11.85546875" bestFit="1" customWidth="1"/>
    <col min="5" max="5" width="10" bestFit="1" customWidth="1"/>
    <col min="6" max="6" width="35.7109375" bestFit="1" customWidth="1"/>
    <col min="7" max="7" width="19.28515625" bestFit="1" customWidth="1"/>
    <col min="8" max="8" width="10.28515625" bestFit="1" customWidth="1"/>
    <col min="9" max="9" width="12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336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44</v>
      </c>
      <c r="B6" s="35" t="s">
        <v>45</v>
      </c>
      <c r="C6" s="1"/>
      <c r="D6" s="2"/>
      <c r="E6" s="2"/>
      <c r="F6" s="1"/>
      <c r="G6" s="32"/>
      <c r="H6" s="32"/>
      <c r="I6" s="40">
        <f t="shared" ref="I6:I15" si="0">G6-H6</f>
        <v>0</v>
      </c>
      <c r="J6" s="4">
        <f>G6/VLOOKUP(A6,RESUME!$G$3:$I$10,3,FALSE)</f>
        <v>0</v>
      </c>
      <c r="K6" s="4" t="str">
        <f t="shared" ref="K6:K15" si="1">IFERROR((G6/H6)*J6,"")</f>
        <v/>
      </c>
      <c r="L6" s="36" t="s">
        <v>361</v>
      </c>
    </row>
    <row r="7" spans="1:26" ht="15.75" x14ac:dyDescent="0.25">
      <c r="A7" s="1" t="s">
        <v>44</v>
      </c>
      <c r="B7" s="35" t="s">
        <v>46</v>
      </c>
      <c r="C7" s="1" t="s">
        <v>47</v>
      </c>
      <c r="D7" s="2" t="s">
        <v>13</v>
      </c>
      <c r="E7" s="2" t="s">
        <v>48</v>
      </c>
      <c r="F7" s="1" t="s">
        <v>49</v>
      </c>
      <c r="G7" s="32">
        <v>450</v>
      </c>
      <c r="H7" s="32"/>
      <c r="I7" s="32">
        <f t="shared" si="0"/>
        <v>450</v>
      </c>
      <c r="J7" s="4">
        <f>G7/VLOOKUP(A7,RESUME!$G$3:$I$10,3,FALSE)</f>
        <v>5.2941176470588235E-2</v>
      </c>
      <c r="K7" s="4" t="str">
        <f t="shared" si="1"/>
        <v/>
      </c>
      <c r="L7" s="36" t="s">
        <v>360</v>
      </c>
    </row>
    <row r="8" spans="1:26" ht="15.75" x14ac:dyDescent="0.25">
      <c r="A8" s="1" t="s">
        <v>44</v>
      </c>
      <c r="B8" s="35" t="s">
        <v>46</v>
      </c>
      <c r="C8" s="1" t="s">
        <v>47</v>
      </c>
      <c r="D8" s="2" t="s">
        <v>13</v>
      </c>
      <c r="E8" s="2" t="s">
        <v>50</v>
      </c>
      <c r="F8" s="1" t="s">
        <v>51</v>
      </c>
      <c r="G8" s="32">
        <v>450</v>
      </c>
      <c r="H8" s="32"/>
      <c r="I8" s="32">
        <f t="shared" si="0"/>
        <v>450</v>
      </c>
      <c r="J8" s="4">
        <f>G8/VLOOKUP(A8,RESUME!$G$3:$I$10,3,FALSE)</f>
        <v>5.2941176470588235E-2</v>
      </c>
      <c r="K8" s="4" t="str">
        <f t="shared" si="1"/>
        <v/>
      </c>
      <c r="L8" s="36" t="s">
        <v>360</v>
      </c>
    </row>
    <row r="9" spans="1:26" ht="15.75" x14ac:dyDescent="0.25">
      <c r="A9" s="1" t="s">
        <v>44</v>
      </c>
      <c r="B9" s="35" t="s">
        <v>46</v>
      </c>
      <c r="C9" s="1" t="s">
        <v>47</v>
      </c>
      <c r="D9" s="2" t="s">
        <v>13</v>
      </c>
      <c r="E9" s="2" t="s">
        <v>52</v>
      </c>
      <c r="F9" s="1" t="s">
        <v>53</v>
      </c>
      <c r="G9" s="32">
        <v>450</v>
      </c>
      <c r="H9" s="32"/>
      <c r="I9" s="32">
        <f t="shared" si="0"/>
        <v>450</v>
      </c>
      <c r="J9" s="4">
        <f>G9/VLOOKUP(A9,RESUME!$G$3:$I$10,3,FALSE)</f>
        <v>5.2941176470588235E-2</v>
      </c>
      <c r="K9" s="4" t="str">
        <f t="shared" si="1"/>
        <v/>
      </c>
      <c r="L9" s="36" t="s">
        <v>360</v>
      </c>
    </row>
    <row r="10" spans="1:26" ht="15.75" x14ac:dyDescent="0.25">
      <c r="A10" s="1" t="s">
        <v>44</v>
      </c>
      <c r="B10" s="35" t="s">
        <v>46</v>
      </c>
      <c r="C10" s="1" t="s">
        <v>47</v>
      </c>
      <c r="D10" s="2" t="s">
        <v>13</v>
      </c>
      <c r="E10" s="2" t="s">
        <v>54</v>
      </c>
      <c r="F10" s="1" t="s">
        <v>55</v>
      </c>
      <c r="G10" s="32">
        <v>450</v>
      </c>
      <c r="H10" s="32"/>
      <c r="I10" s="32">
        <f t="shared" si="0"/>
        <v>450</v>
      </c>
      <c r="J10" s="4">
        <f>G10/VLOOKUP(A10,RESUME!$G$3:$I$10,3,FALSE)</f>
        <v>5.2941176470588235E-2</v>
      </c>
      <c r="K10" s="4" t="str">
        <f t="shared" si="1"/>
        <v/>
      </c>
      <c r="L10" s="36" t="s">
        <v>360</v>
      </c>
    </row>
    <row r="11" spans="1:26" ht="15.75" x14ac:dyDescent="0.25">
      <c r="A11" s="1" t="s">
        <v>44</v>
      </c>
      <c r="B11" s="35" t="s">
        <v>56</v>
      </c>
      <c r="C11" s="1" t="s">
        <v>57</v>
      </c>
      <c r="D11" s="2" t="s">
        <v>13</v>
      </c>
      <c r="E11" s="2" t="s">
        <v>54</v>
      </c>
      <c r="F11" s="1" t="s">
        <v>58</v>
      </c>
      <c r="G11" s="32">
        <v>6300</v>
      </c>
      <c r="H11" s="32"/>
      <c r="I11" s="32">
        <f t="shared" si="0"/>
        <v>6300</v>
      </c>
      <c r="J11" s="4">
        <f>G11/VLOOKUP(A11,RESUME!$G$3:$I$10,3,FALSE)</f>
        <v>0.74117647058823533</v>
      </c>
      <c r="K11" s="4" t="str">
        <f t="shared" si="1"/>
        <v/>
      </c>
      <c r="L11" s="36" t="s">
        <v>360</v>
      </c>
    </row>
    <row r="12" spans="1:26" ht="15.75" x14ac:dyDescent="0.25">
      <c r="A12" s="1" t="s">
        <v>44</v>
      </c>
      <c r="B12" s="35" t="s">
        <v>59</v>
      </c>
      <c r="C12" s="1" t="s">
        <v>60</v>
      </c>
      <c r="D12" s="2" t="s">
        <v>13</v>
      </c>
      <c r="E12" s="2" t="s">
        <v>48</v>
      </c>
      <c r="F12" s="1" t="s">
        <v>49</v>
      </c>
      <c r="G12" s="32">
        <v>100</v>
      </c>
      <c r="H12" s="32"/>
      <c r="I12" s="32">
        <f t="shared" si="0"/>
        <v>100</v>
      </c>
      <c r="J12" s="4">
        <f>G12/VLOOKUP(A12,RESUME!$G$3:$I$10,3,FALSE)</f>
        <v>1.1764705882352941E-2</v>
      </c>
      <c r="K12" s="4" t="str">
        <f t="shared" si="1"/>
        <v/>
      </c>
      <c r="L12" s="36" t="s">
        <v>360</v>
      </c>
    </row>
    <row r="13" spans="1:26" ht="15.75" x14ac:dyDescent="0.25">
      <c r="A13" s="1" t="s">
        <v>44</v>
      </c>
      <c r="B13" s="35" t="s">
        <v>59</v>
      </c>
      <c r="C13" s="1" t="s">
        <v>60</v>
      </c>
      <c r="D13" s="2" t="s">
        <v>13</v>
      </c>
      <c r="E13" s="2" t="s">
        <v>50</v>
      </c>
      <c r="F13" s="1" t="s">
        <v>51</v>
      </c>
      <c r="G13" s="32">
        <v>100</v>
      </c>
      <c r="H13" s="32"/>
      <c r="I13" s="32">
        <f t="shared" si="0"/>
        <v>100</v>
      </c>
      <c r="J13" s="4">
        <f>G13/VLOOKUP(A13,RESUME!$G$3:$I$10,3,FALSE)</f>
        <v>1.1764705882352941E-2</v>
      </c>
      <c r="K13" s="4" t="str">
        <f t="shared" si="1"/>
        <v/>
      </c>
      <c r="L13" s="36" t="s">
        <v>360</v>
      </c>
    </row>
    <row r="14" spans="1:26" ht="15.75" x14ac:dyDescent="0.25">
      <c r="A14" s="1" t="s">
        <v>44</v>
      </c>
      <c r="B14" s="35" t="s">
        <v>59</v>
      </c>
      <c r="C14" s="1" t="s">
        <v>60</v>
      </c>
      <c r="D14" s="2" t="s">
        <v>13</v>
      </c>
      <c r="E14" s="2" t="s">
        <v>52</v>
      </c>
      <c r="F14" s="1" t="s">
        <v>53</v>
      </c>
      <c r="G14" s="32">
        <v>100</v>
      </c>
      <c r="H14" s="32"/>
      <c r="I14" s="32">
        <f t="shared" si="0"/>
        <v>100</v>
      </c>
      <c r="J14" s="4">
        <f>G14/VLOOKUP(A14,RESUME!$G$3:$I$10,3,FALSE)</f>
        <v>1.1764705882352941E-2</v>
      </c>
      <c r="K14" s="4" t="str">
        <f t="shared" si="1"/>
        <v/>
      </c>
      <c r="L14" s="36" t="s">
        <v>360</v>
      </c>
    </row>
    <row r="15" spans="1:26" ht="15.75" x14ac:dyDescent="0.25">
      <c r="A15" s="1" t="s">
        <v>44</v>
      </c>
      <c r="B15" s="35" t="s">
        <v>59</v>
      </c>
      <c r="C15" s="1" t="s">
        <v>60</v>
      </c>
      <c r="D15" s="2" t="s">
        <v>13</v>
      </c>
      <c r="E15" s="2" t="s">
        <v>54</v>
      </c>
      <c r="F15" s="1" t="s">
        <v>55</v>
      </c>
      <c r="G15" s="32">
        <v>100</v>
      </c>
      <c r="H15" s="32"/>
      <c r="I15" s="32">
        <f t="shared" si="0"/>
        <v>100</v>
      </c>
      <c r="J15" s="4">
        <f>G15/VLOOKUP(A15,RESUME!$G$3:$I$10,3,FALSE)</f>
        <v>1.1764705882352941E-2</v>
      </c>
      <c r="K15" s="4" t="str">
        <f t="shared" si="1"/>
        <v/>
      </c>
      <c r="L15" s="36" t="s">
        <v>360</v>
      </c>
    </row>
  </sheetData>
  <conditionalFormatting sqref="L6:L15">
    <cfRule type="containsText" dxfId="5" priority="1" operator="containsText" text="OVER">
      <formula>NOT(ISERROR(SEARCH("OVER",L6)))</formula>
    </cfRule>
  </conditionalFormatting>
  <hyperlinks>
    <hyperlink ref="B6" r:id="rId1" xr:uid="{7CD0EDED-4801-4D35-8090-56F75FF67A93}"/>
    <hyperlink ref="B7" r:id="rId2" xr:uid="{A360E55E-040B-45B0-8277-3A4E353E5C1F}"/>
    <hyperlink ref="B8" r:id="rId3" xr:uid="{1AF31862-B950-494B-8BB4-36ED95D6465E}"/>
    <hyperlink ref="B9" r:id="rId4" xr:uid="{3EE60A9E-F119-476D-B0C8-6F1AD17270FE}"/>
    <hyperlink ref="B10" r:id="rId5" xr:uid="{D88696F8-A217-4E0A-A7AB-65715CD41585}"/>
    <hyperlink ref="B11" r:id="rId6" xr:uid="{C7158EFA-CCE6-4203-A7A7-FD9B3BCE596B}"/>
    <hyperlink ref="B12" r:id="rId7" xr:uid="{4BC8E385-D9D9-47A2-9231-E0283E7FE4A0}"/>
    <hyperlink ref="B13" r:id="rId8" xr:uid="{C8390F6B-408A-4C0B-9F62-3C450DF7EC97}"/>
    <hyperlink ref="B14" r:id="rId9" xr:uid="{9763AF0F-9D33-4DD2-B3AD-52428DD2FC2A}"/>
    <hyperlink ref="B15" r:id="rId10" xr:uid="{CA9D9A4B-56A9-4200-A317-BBF5FEDD5E4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99C20-BE87-412F-9361-0FD4DF0BAD14}">
  <sheetPr codeName="Sheet10"/>
  <dimension ref="A5:Z10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23.28515625" bestFit="1" customWidth="1"/>
    <col min="3" max="3" width="29.85546875" bestFit="1" customWidth="1"/>
    <col min="4" max="4" width="11.85546875" bestFit="1" customWidth="1"/>
    <col min="5" max="5" width="7.140625" bestFit="1" customWidth="1"/>
    <col min="6" max="6" width="32.7109375" bestFit="1" customWidth="1"/>
    <col min="7" max="7" width="19.28515625" bestFit="1" customWidth="1"/>
    <col min="8" max="8" width="10.28515625" bestFit="1" customWidth="1"/>
    <col min="9" max="9" width="12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336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316</v>
      </c>
      <c r="B6" s="35" t="s">
        <v>45</v>
      </c>
      <c r="C6" s="1"/>
      <c r="D6" s="2"/>
      <c r="E6" s="2"/>
      <c r="F6" s="1"/>
      <c r="G6" s="32"/>
      <c r="H6" s="32"/>
      <c r="I6" s="40">
        <f t="shared" ref="I6:I10" si="0">G6-H6</f>
        <v>0</v>
      </c>
      <c r="J6" s="4">
        <f>G6/VLOOKUP(A6,RESUME!$G$3:$I$10,3,FALSE)</f>
        <v>0</v>
      </c>
      <c r="K6" s="4" t="str">
        <f t="shared" ref="K6:K10" si="1">IFERROR((G6/H6)*J6,"")</f>
        <v/>
      </c>
      <c r="L6" s="36" t="s">
        <v>361</v>
      </c>
    </row>
    <row r="7" spans="1:26" ht="15.75" x14ac:dyDescent="0.25">
      <c r="A7" s="1" t="s">
        <v>316</v>
      </c>
      <c r="B7" s="35" t="s">
        <v>46</v>
      </c>
      <c r="C7" s="1" t="s">
        <v>47</v>
      </c>
      <c r="D7" s="2" t="s">
        <v>13</v>
      </c>
      <c r="E7" s="2" t="s">
        <v>61</v>
      </c>
      <c r="F7" s="1" t="s">
        <v>62</v>
      </c>
      <c r="G7" s="32">
        <v>200</v>
      </c>
      <c r="H7" s="32"/>
      <c r="I7" s="32">
        <f t="shared" si="0"/>
        <v>200</v>
      </c>
      <c r="J7" s="4">
        <f>G7/VLOOKUP(A7,RESUME!$G$3:$I$10,3,FALSE)</f>
        <v>0.2</v>
      </c>
      <c r="K7" s="4" t="str">
        <f t="shared" si="1"/>
        <v/>
      </c>
      <c r="L7" s="36" t="s">
        <v>360</v>
      </c>
    </row>
    <row r="8" spans="1:26" ht="15.75" x14ac:dyDescent="0.25">
      <c r="A8" s="1" t="s">
        <v>316</v>
      </c>
      <c r="B8" s="35" t="s">
        <v>56</v>
      </c>
      <c r="C8" s="1" t="s">
        <v>57</v>
      </c>
      <c r="D8" s="2" t="s">
        <v>13</v>
      </c>
      <c r="E8" s="2" t="s">
        <v>63</v>
      </c>
      <c r="F8" s="1" t="s">
        <v>64</v>
      </c>
      <c r="G8" s="32">
        <v>700</v>
      </c>
      <c r="H8" s="32"/>
      <c r="I8" s="32">
        <f t="shared" si="0"/>
        <v>700</v>
      </c>
      <c r="J8" s="4">
        <f>G8/VLOOKUP(A8,RESUME!$G$3:$I$10,3,FALSE)</f>
        <v>0.7</v>
      </c>
      <c r="K8" s="4" t="str">
        <f t="shared" si="1"/>
        <v/>
      </c>
      <c r="L8" s="36" t="s">
        <v>360</v>
      </c>
    </row>
    <row r="9" spans="1:26" ht="15.75" x14ac:dyDescent="0.25">
      <c r="A9" s="1" t="s">
        <v>316</v>
      </c>
      <c r="B9" s="35" t="s">
        <v>59</v>
      </c>
      <c r="C9" s="1" t="s">
        <v>60</v>
      </c>
      <c r="D9" s="2" t="s">
        <v>13</v>
      </c>
      <c r="E9" s="2" t="s">
        <v>63</v>
      </c>
      <c r="F9" s="1" t="s">
        <v>62</v>
      </c>
      <c r="G9" s="32">
        <v>50</v>
      </c>
      <c r="H9" s="32"/>
      <c r="I9" s="32">
        <f t="shared" si="0"/>
        <v>50</v>
      </c>
      <c r="J9" s="4">
        <f>G9/VLOOKUP(A9,RESUME!$G$3:$I$10,3,FALSE)</f>
        <v>0.05</v>
      </c>
      <c r="K9" s="4" t="str">
        <f t="shared" si="1"/>
        <v/>
      </c>
      <c r="L9" s="36" t="s">
        <v>360</v>
      </c>
    </row>
    <row r="10" spans="1:26" ht="15.75" x14ac:dyDescent="0.25">
      <c r="A10" s="1" t="s">
        <v>316</v>
      </c>
      <c r="B10" s="35" t="s">
        <v>59</v>
      </c>
      <c r="C10" s="1" t="s">
        <v>60</v>
      </c>
      <c r="D10" s="2" t="s">
        <v>13</v>
      </c>
      <c r="E10" s="2" t="s">
        <v>65</v>
      </c>
      <c r="F10" s="1" t="s">
        <v>66</v>
      </c>
      <c r="G10" s="32">
        <v>50</v>
      </c>
      <c r="H10" s="32"/>
      <c r="I10" s="32">
        <f t="shared" si="0"/>
        <v>50</v>
      </c>
      <c r="J10" s="4">
        <f>G10/VLOOKUP(A10,RESUME!$G$3:$I$10,3,FALSE)</f>
        <v>0.05</v>
      </c>
      <c r="K10" s="4" t="str">
        <f t="shared" si="1"/>
        <v/>
      </c>
      <c r="L10" s="36" t="s">
        <v>360</v>
      </c>
    </row>
  </sheetData>
  <conditionalFormatting sqref="L6:L10">
    <cfRule type="containsText" dxfId="4" priority="1" operator="containsText" text="OVER">
      <formula>NOT(ISERROR(SEARCH("OVER",L6)))</formula>
    </cfRule>
  </conditionalFormatting>
  <hyperlinks>
    <hyperlink ref="B6" r:id="rId1" xr:uid="{24A4FE8F-E803-4BDF-B8ED-8BB5A3FCC3BB}"/>
    <hyperlink ref="B7" r:id="rId2" xr:uid="{17D13F65-EED6-4877-8A09-9E528DA76392}"/>
    <hyperlink ref="B8" r:id="rId3" xr:uid="{843A69E7-E449-49D4-9BE6-3845A996F477}"/>
    <hyperlink ref="B9" r:id="rId4" xr:uid="{939DAF05-AA5D-4888-98C3-2D28F651FDD8}"/>
    <hyperlink ref="B10" r:id="rId5" xr:uid="{6D88E7D5-ED8F-4B25-91E3-A2D0CC40CA38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159E-FC91-4750-9CEF-EA76D97F43CF}">
  <sheetPr codeName="Sheet11"/>
  <dimension ref="A5:Z60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27.28515625" bestFit="1" customWidth="1"/>
    <col min="3" max="3" width="88.5703125" bestFit="1" customWidth="1"/>
    <col min="4" max="4" width="12.28515625" bestFit="1" customWidth="1"/>
    <col min="5" max="5" width="8.5703125" bestFit="1" customWidth="1"/>
    <col min="6" max="6" width="8.85546875" bestFit="1" customWidth="1"/>
    <col min="7" max="7" width="19.28515625" bestFit="1" customWidth="1"/>
    <col min="8" max="8" width="10.85546875" bestFit="1" customWidth="1"/>
    <col min="9" max="9" width="12.140625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336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67</v>
      </c>
      <c r="B6" s="35" t="s">
        <v>68</v>
      </c>
      <c r="C6" s="1" t="s">
        <v>69</v>
      </c>
      <c r="D6" s="2" t="s">
        <v>13</v>
      </c>
      <c r="E6" s="2" t="s">
        <v>19</v>
      </c>
      <c r="F6" s="1"/>
      <c r="G6" s="32"/>
      <c r="H6" s="32"/>
      <c r="I6" s="40">
        <f t="shared" ref="I6:I60" si="0">G6-H6</f>
        <v>0</v>
      </c>
      <c r="J6" s="4">
        <f>G6/VLOOKUP(A6,RESUME!$G$3:$I$10,3,FALSE)</f>
        <v>0</v>
      </c>
      <c r="K6" s="4" t="str">
        <f t="shared" ref="K6:K60" si="1">IFERROR((G6/H6)*J6,"")</f>
        <v/>
      </c>
      <c r="L6" s="36" t="s">
        <v>361</v>
      </c>
    </row>
    <row r="7" spans="1:26" ht="15.75" x14ac:dyDescent="0.25">
      <c r="A7" s="1" t="s">
        <v>67</v>
      </c>
      <c r="B7" s="35" t="s">
        <v>70</v>
      </c>
      <c r="C7" s="1" t="s">
        <v>71</v>
      </c>
      <c r="D7" s="2" t="s">
        <v>13</v>
      </c>
      <c r="E7" s="2" t="s">
        <v>72</v>
      </c>
      <c r="F7" s="1"/>
      <c r="G7" s="32">
        <v>4917.96</v>
      </c>
      <c r="H7" s="32">
        <v>2288.77</v>
      </c>
      <c r="I7" s="40">
        <f t="shared" si="0"/>
        <v>2629.19</v>
      </c>
      <c r="J7" s="4">
        <f>G7/VLOOKUP(A7,RESUME!$G$3:$I$10,3,FALSE)</f>
        <v>5.6433869134324049E-2</v>
      </c>
      <c r="K7" s="4">
        <f t="shared" si="1"/>
        <v>0.12126142471626257</v>
      </c>
      <c r="L7" s="36" t="s">
        <v>360</v>
      </c>
    </row>
    <row r="8" spans="1:26" ht="15.75" x14ac:dyDescent="0.25">
      <c r="A8" s="1" t="s">
        <v>67</v>
      </c>
      <c r="B8" s="35" t="s">
        <v>73</v>
      </c>
      <c r="C8" s="1" t="s">
        <v>74</v>
      </c>
      <c r="D8" s="2" t="s">
        <v>13</v>
      </c>
      <c r="E8" s="2" t="s">
        <v>75</v>
      </c>
      <c r="F8" s="1"/>
      <c r="G8" s="32">
        <v>281</v>
      </c>
      <c r="H8" s="32"/>
      <c r="I8" s="40">
        <f t="shared" si="0"/>
        <v>281</v>
      </c>
      <c r="J8" s="4">
        <f>G8/VLOOKUP(A8,RESUME!$G$3:$I$10,3,FALSE)</f>
        <v>3.2244908919033619E-3</v>
      </c>
      <c r="K8" s="4" t="str">
        <f t="shared" si="1"/>
        <v/>
      </c>
      <c r="L8" s="36" t="s">
        <v>360</v>
      </c>
    </row>
    <row r="9" spans="1:26" ht="15.75" x14ac:dyDescent="0.25">
      <c r="A9" s="1" t="s">
        <v>67</v>
      </c>
      <c r="B9" s="35" t="s">
        <v>73</v>
      </c>
      <c r="C9" s="1" t="s">
        <v>74</v>
      </c>
      <c r="D9" s="2" t="s">
        <v>15</v>
      </c>
      <c r="E9" s="2" t="s">
        <v>75</v>
      </c>
      <c r="F9" s="1"/>
      <c r="G9" s="32">
        <v>64.58</v>
      </c>
      <c r="H9" s="32"/>
      <c r="I9" s="40">
        <f t="shared" si="0"/>
        <v>64.58</v>
      </c>
      <c r="J9" s="4">
        <f>G9/VLOOKUP(A9,RESUME!$G$3:$I$10,3,FALSE)</f>
        <v>7.4105915231003239E-4</v>
      </c>
      <c r="K9" s="4" t="str">
        <f t="shared" si="1"/>
        <v/>
      </c>
      <c r="L9" s="36" t="s">
        <v>360</v>
      </c>
    </row>
    <row r="10" spans="1:26" ht="15.75" x14ac:dyDescent="0.25">
      <c r="A10" s="1" t="s">
        <v>67</v>
      </c>
      <c r="B10" s="35" t="s">
        <v>76</v>
      </c>
      <c r="C10" s="1" t="s">
        <v>77</v>
      </c>
      <c r="D10" s="2" t="s">
        <v>13</v>
      </c>
      <c r="E10" s="2" t="s">
        <v>75</v>
      </c>
      <c r="F10" s="1"/>
      <c r="G10" s="32">
        <v>2027.63</v>
      </c>
      <c r="H10" s="32">
        <v>1863.9</v>
      </c>
      <c r="I10" s="40">
        <f t="shared" si="0"/>
        <v>163.73000000000002</v>
      </c>
      <c r="J10" s="4">
        <f>G10/VLOOKUP(A10,RESUME!$G$3:$I$10,3,FALSE)</f>
        <v>2.3267168922242044E-2</v>
      </c>
      <c r="K10" s="4">
        <f t="shared" si="1"/>
        <v>2.5311019755247403E-2</v>
      </c>
      <c r="L10" s="36" t="s">
        <v>360</v>
      </c>
    </row>
    <row r="11" spans="1:26" ht="15.75" x14ac:dyDescent="0.25">
      <c r="A11" s="1" t="s">
        <v>67</v>
      </c>
      <c r="B11" s="35" t="s">
        <v>78</v>
      </c>
      <c r="C11" s="1" t="s">
        <v>79</v>
      </c>
      <c r="D11" s="2" t="s">
        <v>13</v>
      </c>
      <c r="E11" s="2" t="s">
        <v>75</v>
      </c>
      <c r="F11" s="1"/>
      <c r="G11" s="32">
        <v>1453.67</v>
      </c>
      <c r="H11" s="32">
        <v>313.61</v>
      </c>
      <c r="I11" s="40">
        <f t="shared" si="0"/>
        <v>1140.06</v>
      </c>
      <c r="J11" s="4">
        <f>G11/VLOOKUP(A11,RESUME!$G$3:$I$10,3,FALSE)</f>
        <v>1.6680945462039718E-2</v>
      </c>
      <c r="K11" s="4">
        <f t="shared" si="1"/>
        <v>7.7320844328316304E-2</v>
      </c>
      <c r="L11" s="36" t="s">
        <v>360</v>
      </c>
    </row>
    <row r="12" spans="1:26" ht="15.75" x14ac:dyDescent="0.25">
      <c r="A12" s="1" t="s">
        <v>67</v>
      </c>
      <c r="B12" s="35" t="s">
        <v>80</v>
      </c>
      <c r="C12" s="1" t="s">
        <v>81</v>
      </c>
      <c r="D12" s="2" t="s">
        <v>13</v>
      </c>
      <c r="E12" s="2" t="s">
        <v>82</v>
      </c>
      <c r="F12" s="1"/>
      <c r="G12" s="32">
        <v>531</v>
      </c>
      <c r="H12" s="32">
        <v>76.62</v>
      </c>
      <c r="I12" s="40">
        <f t="shared" si="0"/>
        <v>454.38</v>
      </c>
      <c r="J12" s="4">
        <f>G12/VLOOKUP(A12,RESUME!$G$3:$I$10,3,FALSE)</f>
        <v>6.0932550306074208E-3</v>
      </c>
      <c r="K12" s="4">
        <f t="shared" si="1"/>
        <v>4.2228118262236235E-2</v>
      </c>
      <c r="L12" s="36" t="s">
        <v>360</v>
      </c>
    </row>
    <row r="13" spans="1:26" ht="15.75" x14ac:dyDescent="0.25">
      <c r="A13" s="1" t="s">
        <v>67</v>
      </c>
      <c r="B13" s="35" t="s">
        <v>154</v>
      </c>
      <c r="C13" s="1" t="s">
        <v>83</v>
      </c>
      <c r="D13" s="2" t="s">
        <v>13</v>
      </c>
      <c r="E13" s="2" t="s">
        <v>75</v>
      </c>
      <c r="F13" s="1"/>
      <c r="G13" s="32">
        <v>2429</v>
      </c>
      <c r="H13" s="32"/>
      <c r="I13" s="32">
        <f t="shared" si="0"/>
        <v>2429</v>
      </c>
      <c r="J13" s="4">
        <f>G13/VLOOKUP(A13,RESUME!$G$3:$I$10,3,FALSE)</f>
        <v>2.7872912371648635E-2</v>
      </c>
      <c r="K13" s="4" t="str">
        <f t="shared" si="1"/>
        <v/>
      </c>
      <c r="L13" s="36" t="s">
        <v>360</v>
      </c>
    </row>
    <row r="14" spans="1:26" ht="15.75" x14ac:dyDescent="0.25">
      <c r="A14" s="1" t="s">
        <v>67</v>
      </c>
      <c r="B14" s="35" t="s">
        <v>154</v>
      </c>
      <c r="C14" s="1" t="s">
        <v>84</v>
      </c>
      <c r="D14" s="2" t="s">
        <v>13</v>
      </c>
      <c r="E14" s="2" t="s">
        <v>75</v>
      </c>
      <c r="F14" s="1"/>
      <c r="G14" s="32">
        <v>200</v>
      </c>
      <c r="H14" s="32"/>
      <c r="I14" s="32">
        <f t="shared" si="0"/>
        <v>200</v>
      </c>
      <c r="J14" s="4">
        <f>G14/VLOOKUP(A14,RESUME!$G$3:$I$10,3,FALSE)</f>
        <v>2.2950113109632469E-3</v>
      </c>
      <c r="K14" s="4" t="str">
        <f t="shared" si="1"/>
        <v/>
      </c>
      <c r="L14" s="36" t="s">
        <v>360</v>
      </c>
    </row>
    <row r="15" spans="1:26" ht="15.75" x14ac:dyDescent="0.25">
      <c r="A15" s="1" t="s">
        <v>67</v>
      </c>
      <c r="B15" s="35" t="s">
        <v>85</v>
      </c>
      <c r="C15" s="1" t="s">
        <v>86</v>
      </c>
      <c r="D15" s="2" t="s">
        <v>13</v>
      </c>
      <c r="E15" s="2" t="s">
        <v>75</v>
      </c>
      <c r="F15" s="1"/>
      <c r="G15" s="32">
        <v>3004.76</v>
      </c>
      <c r="H15" s="32">
        <v>783.82</v>
      </c>
      <c r="I15" s="32">
        <f t="shared" si="0"/>
        <v>2220.94</v>
      </c>
      <c r="J15" s="4">
        <f>G15/VLOOKUP(A15,RESUME!$G$3:$I$10,3,FALSE)</f>
        <v>3.4479790933649633E-2</v>
      </c>
      <c r="K15" s="4">
        <f t="shared" si="1"/>
        <v>0.13217766401188163</v>
      </c>
      <c r="L15" s="36" t="s">
        <v>360</v>
      </c>
    </row>
    <row r="16" spans="1:26" ht="15.75" x14ac:dyDescent="0.25">
      <c r="A16" s="1" t="s">
        <v>67</v>
      </c>
      <c r="B16" s="35" t="s">
        <v>85</v>
      </c>
      <c r="C16" s="1" t="s">
        <v>86</v>
      </c>
      <c r="D16" s="2" t="s">
        <v>15</v>
      </c>
      <c r="E16" s="2" t="s">
        <v>75</v>
      </c>
      <c r="F16" s="1"/>
      <c r="G16" s="32">
        <v>1543.55</v>
      </c>
      <c r="H16" s="32"/>
      <c r="I16" s="32">
        <f t="shared" si="0"/>
        <v>1543.55</v>
      </c>
      <c r="J16" s="4">
        <f>G16/VLOOKUP(A16,RESUME!$G$3:$I$10,3,FALSE)</f>
        <v>1.7712323545186599E-2</v>
      </c>
      <c r="K16" s="4" t="str">
        <f t="shared" si="1"/>
        <v/>
      </c>
      <c r="L16" s="36" t="s">
        <v>360</v>
      </c>
    </row>
    <row r="17" spans="1:12" ht="15.75" x14ac:dyDescent="0.25">
      <c r="A17" s="1" t="s">
        <v>67</v>
      </c>
      <c r="B17" s="35" t="s">
        <v>87</v>
      </c>
      <c r="C17" s="1" t="s">
        <v>88</v>
      </c>
      <c r="D17" s="2" t="s">
        <v>13</v>
      </c>
      <c r="E17" s="2" t="s">
        <v>75</v>
      </c>
      <c r="F17" s="1"/>
      <c r="G17" s="32">
        <v>938.47</v>
      </c>
      <c r="H17" s="32">
        <v>527.75</v>
      </c>
      <c r="I17" s="32">
        <f t="shared" si="0"/>
        <v>410.72</v>
      </c>
      <c r="J17" s="4">
        <f>G17/VLOOKUP(A17,RESUME!$G$3:$I$10,3,FALSE)</f>
        <v>1.0768996324998392E-2</v>
      </c>
      <c r="K17" s="4">
        <f t="shared" si="1"/>
        <v>1.9149938382039301E-2</v>
      </c>
      <c r="L17" s="36" t="s">
        <v>360</v>
      </c>
    </row>
    <row r="18" spans="1:12" ht="15.75" x14ac:dyDescent="0.25">
      <c r="A18" s="1" t="s">
        <v>67</v>
      </c>
      <c r="B18" s="35" t="s">
        <v>87</v>
      </c>
      <c r="C18" s="1" t="s">
        <v>88</v>
      </c>
      <c r="D18" s="2" t="s">
        <v>24</v>
      </c>
      <c r="E18" s="2" t="s">
        <v>75</v>
      </c>
      <c r="F18" s="1"/>
      <c r="G18" s="32">
        <v>175.55</v>
      </c>
      <c r="H18" s="32"/>
      <c r="I18" s="32">
        <f t="shared" si="0"/>
        <v>175.55</v>
      </c>
      <c r="J18" s="4">
        <f>G18/VLOOKUP(A18,RESUME!$G$3:$I$10,3,FALSE)</f>
        <v>2.0144461781979902E-3</v>
      </c>
      <c r="K18" s="4" t="str">
        <f t="shared" si="1"/>
        <v/>
      </c>
      <c r="L18" s="36" t="s">
        <v>360</v>
      </c>
    </row>
    <row r="19" spans="1:12" ht="15.75" x14ac:dyDescent="0.25">
      <c r="A19" s="1" t="s">
        <v>67</v>
      </c>
      <c r="B19" s="35" t="s">
        <v>87</v>
      </c>
      <c r="C19" s="1" t="s">
        <v>88</v>
      </c>
      <c r="D19" s="2" t="s">
        <v>15</v>
      </c>
      <c r="E19" s="2" t="s">
        <v>75</v>
      </c>
      <c r="F19" s="1"/>
      <c r="G19" s="32">
        <v>2294.39</v>
      </c>
      <c r="H19" s="32">
        <v>1074.9100000000001</v>
      </c>
      <c r="I19" s="32">
        <f t="shared" si="0"/>
        <v>1219.4799999999998</v>
      </c>
      <c r="J19" s="4">
        <f>G19/VLOOKUP(A19,RESUME!$G$3:$I$10,3,FALSE)</f>
        <v>2.632825500880482E-2</v>
      </c>
      <c r="K19" s="4">
        <f t="shared" si="1"/>
        <v>5.6197528174127771E-2</v>
      </c>
      <c r="L19" s="36" t="s">
        <v>360</v>
      </c>
    </row>
    <row r="20" spans="1:12" ht="15.75" x14ac:dyDescent="0.25">
      <c r="A20" s="1" t="s">
        <v>67</v>
      </c>
      <c r="B20" s="35" t="s">
        <v>89</v>
      </c>
      <c r="C20" s="1" t="s">
        <v>90</v>
      </c>
      <c r="D20" s="2" t="s">
        <v>13</v>
      </c>
      <c r="E20" s="2" t="s">
        <v>75</v>
      </c>
      <c r="F20" s="1"/>
      <c r="G20" s="32">
        <v>1987.05</v>
      </c>
      <c r="H20" s="32"/>
      <c r="I20" s="40">
        <f t="shared" si="0"/>
        <v>1987.05</v>
      </c>
      <c r="J20" s="4">
        <f>G20/VLOOKUP(A20,RESUME!$G$3:$I$10,3,FALSE)</f>
        <v>2.2801511127247598E-2</v>
      </c>
      <c r="K20" s="4" t="str">
        <f t="shared" si="1"/>
        <v/>
      </c>
      <c r="L20" s="36" t="s">
        <v>360</v>
      </c>
    </row>
    <row r="21" spans="1:12" ht="15.75" x14ac:dyDescent="0.25">
      <c r="A21" s="1" t="s">
        <v>67</v>
      </c>
      <c r="B21" s="35" t="s">
        <v>89</v>
      </c>
      <c r="C21" s="1" t="s">
        <v>90</v>
      </c>
      <c r="D21" s="2" t="s">
        <v>15</v>
      </c>
      <c r="E21" s="2" t="s">
        <v>75</v>
      </c>
      <c r="F21" s="1"/>
      <c r="G21" s="32">
        <v>1692.67</v>
      </c>
      <c r="H21" s="32"/>
      <c r="I21" s="40">
        <f t="shared" si="0"/>
        <v>1692.67</v>
      </c>
      <c r="J21" s="4">
        <f>G21/VLOOKUP(A21,RESUME!$G$3:$I$10,3,FALSE)</f>
        <v>1.9423483978640799E-2</v>
      </c>
      <c r="K21" s="4" t="str">
        <f t="shared" si="1"/>
        <v/>
      </c>
      <c r="L21" s="36" t="s">
        <v>360</v>
      </c>
    </row>
    <row r="22" spans="1:12" ht="15.75" x14ac:dyDescent="0.25">
      <c r="A22" s="1" t="s">
        <v>67</v>
      </c>
      <c r="B22" s="35" t="s">
        <v>91</v>
      </c>
      <c r="C22" s="1" t="s">
        <v>92</v>
      </c>
      <c r="D22" s="2" t="s">
        <v>13</v>
      </c>
      <c r="E22" s="2" t="s">
        <v>75</v>
      </c>
      <c r="F22" s="1"/>
      <c r="G22" s="32">
        <v>569</v>
      </c>
      <c r="H22" s="32">
        <v>460.21</v>
      </c>
      <c r="I22" s="32">
        <f t="shared" si="0"/>
        <v>108.79000000000002</v>
      </c>
      <c r="J22" s="4">
        <f>G22/VLOOKUP(A22,RESUME!$G$3:$I$10,3,FALSE)</f>
        <v>6.5293071796904377E-3</v>
      </c>
      <c r="K22" s="4">
        <f t="shared" si="1"/>
        <v>8.0727836971031912E-3</v>
      </c>
      <c r="L22" s="36" t="s">
        <v>360</v>
      </c>
    </row>
    <row r="23" spans="1:12" ht="15.75" x14ac:dyDescent="0.25">
      <c r="A23" s="1" t="s">
        <v>67</v>
      </c>
      <c r="B23" s="35" t="s">
        <v>91</v>
      </c>
      <c r="C23" s="1" t="s">
        <v>92</v>
      </c>
      <c r="D23" s="2" t="s">
        <v>15</v>
      </c>
      <c r="E23" s="2" t="s">
        <v>75</v>
      </c>
      <c r="F23" s="1"/>
      <c r="G23" s="32">
        <v>300</v>
      </c>
      <c r="H23" s="32"/>
      <c r="I23" s="32">
        <f t="shared" si="0"/>
        <v>300</v>
      </c>
      <c r="J23" s="4">
        <f>G23/VLOOKUP(A23,RESUME!$G$3:$I$10,3,FALSE)</f>
        <v>3.4425169664448704E-3</v>
      </c>
      <c r="K23" s="4" t="str">
        <f t="shared" si="1"/>
        <v/>
      </c>
      <c r="L23" s="36" t="s">
        <v>360</v>
      </c>
    </row>
    <row r="24" spans="1:12" ht="15.75" x14ac:dyDescent="0.25">
      <c r="A24" s="1" t="s">
        <v>67</v>
      </c>
      <c r="B24" s="35" t="s">
        <v>93</v>
      </c>
      <c r="C24" s="1" t="s">
        <v>94</v>
      </c>
      <c r="D24" s="2" t="s">
        <v>13</v>
      </c>
      <c r="E24" s="2" t="s">
        <v>95</v>
      </c>
      <c r="F24" s="1"/>
      <c r="G24" s="32">
        <v>2288.86</v>
      </c>
      <c r="H24" s="32"/>
      <c r="I24" s="32">
        <f t="shared" si="0"/>
        <v>2288.86</v>
      </c>
      <c r="J24" s="4">
        <f>G24/VLOOKUP(A24,RESUME!$G$3:$I$10,3,FALSE)</f>
        <v>2.6264797946056691E-2</v>
      </c>
      <c r="K24" s="4" t="str">
        <f t="shared" si="1"/>
        <v/>
      </c>
      <c r="L24" s="36" t="s">
        <v>360</v>
      </c>
    </row>
    <row r="25" spans="1:12" ht="15.75" x14ac:dyDescent="0.25">
      <c r="A25" s="1" t="s">
        <v>67</v>
      </c>
      <c r="B25" s="35" t="s">
        <v>96</v>
      </c>
      <c r="C25" s="1" t="s">
        <v>97</v>
      </c>
      <c r="D25" s="2" t="s">
        <v>13</v>
      </c>
      <c r="E25" s="2" t="s">
        <v>98</v>
      </c>
      <c r="F25" s="1"/>
      <c r="G25" s="32">
        <v>36500.160000000003</v>
      </c>
      <c r="H25" s="32">
        <v>122.79</v>
      </c>
      <c r="I25" s="40">
        <f t="shared" si="0"/>
        <v>36377.370000000003</v>
      </c>
      <c r="J25" s="4">
        <f>G25/VLOOKUP(A25,RESUME!$G$3:$I$10,3,FALSE)</f>
        <v>0.4188414002598414</v>
      </c>
      <c r="K25" s="4">
        <f t="shared" si="1"/>
        <v>124.5034459166728</v>
      </c>
      <c r="L25" s="36" t="s">
        <v>360</v>
      </c>
    </row>
    <row r="26" spans="1:12" ht="15.75" x14ac:dyDescent="0.25">
      <c r="A26" s="1" t="s">
        <v>67</v>
      </c>
      <c r="B26" s="35" t="s">
        <v>99</v>
      </c>
      <c r="C26" s="1" t="s">
        <v>100</v>
      </c>
      <c r="D26" s="2" t="s">
        <v>13</v>
      </c>
      <c r="E26" s="2" t="s">
        <v>75</v>
      </c>
      <c r="F26" s="1"/>
      <c r="G26" s="32">
        <v>1440.17</v>
      </c>
      <c r="H26" s="32">
        <v>0.63</v>
      </c>
      <c r="I26" s="40">
        <f t="shared" si="0"/>
        <v>1439.54</v>
      </c>
      <c r="J26" s="4">
        <f>G26/VLOOKUP(A26,RESUME!$G$3:$I$10,3,FALSE)</f>
        <v>1.6526032198549697E-2</v>
      </c>
      <c r="K26" s="4">
        <f t="shared" si="1"/>
        <v>37.778247287913203</v>
      </c>
      <c r="L26" s="36" t="s">
        <v>360</v>
      </c>
    </row>
    <row r="27" spans="1:12" ht="15.75" x14ac:dyDescent="0.25">
      <c r="A27" s="1" t="s">
        <v>67</v>
      </c>
      <c r="B27" s="35" t="s">
        <v>99</v>
      </c>
      <c r="C27" s="1" t="s">
        <v>100</v>
      </c>
      <c r="D27" s="2" t="s">
        <v>101</v>
      </c>
      <c r="E27" s="2" t="s">
        <v>75</v>
      </c>
      <c r="F27" s="1"/>
      <c r="G27" s="32">
        <v>14.27</v>
      </c>
      <c r="H27" s="32"/>
      <c r="I27" s="40">
        <f t="shared" si="0"/>
        <v>14.27</v>
      </c>
      <c r="J27" s="4">
        <f>G27/VLOOKUP(A27,RESUME!$G$3:$I$10,3,FALSE)</f>
        <v>1.6374905703722768E-4</v>
      </c>
      <c r="K27" s="4" t="str">
        <f t="shared" si="1"/>
        <v/>
      </c>
      <c r="L27" s="36" t="s">
        <v>360</v>
      </c>
    </row>
    <row r="28" spans="1:12" ht="15.75" x14ac:dyDescent="0.25">
      <c r="A28" s="1" t="s">
        <v>67</v>
      </c>
      <c r="B28" s="35" t="s">
        <v>99</v>
      </c>
      <c r="C28" s="1" t="s">
        <v>100</v>
      </c>
      <c r="D28" s="2" t="s">
        <v>24</v>
      </c>
      <c r="E28" s="2" t="s">
        <v>75</v>
      </c>
      <c r="F28" s="1"/>
      <c r="G28" s="32">
        <v>35.56</v>
      </c>
      <c r="H28" s="32"/>
      <c r="I28" s="40">
        <f t="shared" si="0"/>
        <v>35.56</v>
      </c>
      <c r="J28" s="4">
        <f>G28/VLOOKUP(A28,RESUME!$G$3:$I$10,3,FALSE)</f>
        <v>4.0805301108926532E-4</v>
      </c>
      <c r="K28" s="4" t="str">
        <f t="shared" si="1"/>
        <v/>
      </c>
      <c r="L28" s="36" t="s">
        <v>360</v>
      </c>
    </row>
    <row r="29" spans="1:12" ht="15.75" x14ac:dyDescent="0.25">
      <c r="A29" s="1" t="s">
        <v>67</v>
      </c>
      <c r="B29" s="35" t="s">
        <v>99</v>
      </c>
      <c r="C29" s="1" t="s">
        <v>100</v>
      </c>
      <c r="D29" s="2" t="s">
        <v>15</v>
      </c>
      <c r="E29" s="2" t="s">
        <v>75</v>
      </c>
      <c r="F29" s="1"/>
      <c r="G29" s="32">
        <v>9.69</v>
      </c>
      <c r="H29" s="32">
        <v>20.88</v>
      </c>
      <c r="I29" s="40">
        <f t="shared" si="0"/>
        <v>-11.19</v>
      </c>
      <c r="J29" s="4">
        <f>G29/VLOOKUP(A29,RESUME!$G$3:$I$10,3,FALSE)</f>
        <v>1.1119329801616931E-4</v>
      </c>
      <c r="K29" s="4">
        <f t="shared" si="1"/>
        <v>5.1602636866699261E-5</v>
      </c>
      <c r="L29" s="36" t="s">
        <v>361</v>
      </c>
    </row>
    <row r="30" spans="1:12" ht="15.75" x14ac:dyDescent="0.25">
      <c r="A30" s="1" t="s">
        <v>67</v>
      </c>
      <c r="B30" s="35" t="s">
        <v>102</v>
      </c>
      <c r="C30" s="1" t="s">
        <v>103</v>
      </c>
      <c r="D30" s="2" t="s">
        <v>13</v>
      </c>
      <c r="E30" s="2" t="s">
        <v>75</v>
      </c>
      <c r="F30" s="1"/>
      <c r="G30" s="32">
        <v>400</v>
      </c>
      <c r="H30" s="32">
        <v>1156.6500000000001</v>
      </c>
      <c r="I30" s="40">
        <f t="shared" si="0"/>
        <v>-756.65000000000009</v>
      </c>
      <c r="J30" s="4">
        <f>G30/VLOOKUP(A30,RESUME!$G$3:$I$10,3,FALSE)</f>
        <v>4.5900226219264938E-3</v>
      </c>
      <c r="K30" s="4">
        <f t="shared" si="1"/>
        <v>1.5873505803575823E-3</v>
      </c>
      <c r="L30" s="36" t="s">
        <v>361</v>
      </c>
    </row>
    <row r="31" spans="1:12" ht="15.75" x14ac:dyDescent="0.25">
      <c r="A31" s="1" t="s">
        <v>67</v>
      </c>
      <c r="B31" s="35" t="s">
        <v>104</v>
      </c>
      <c r="C31" s="1" t="s">
        <v>105</v>
      </c>
      <c r="D31" s="2" t="s">
        <v>13</v>
      </c>
      <c r="E31" s="2" t="s">
        <v>82</v>
      </c>
      <c r="F31" s="1"/>
      <c r="G31" s="32">
        <v>100</v>
      </c>
      <c r="H31" s="32"/>
      <c r="I31" s="32">
        <f t="shared" si="0"/>
        <v>100</v>
      </c>
      <c r="J31" s="4">
        <f>G31/VLOOKUP(A31,RESUME!$G$3:$I$10,3,FALSE)</f>
        <v>1.1475056554816235E-3</v>
      </c>
      <c r="K31" s="4" t="str">
        <f t="shared" si="1"/>
        <v/>
      </c>
      <c r="L31" s="36" t="s">
        <v>360</v>
      </c>
    </row>
    <row r="32" spans="1:12" ht="15.75" x14ac:dyDescent="0.25">
      <c r="A32" s="1" t="s">
        <v>67</v>
      </c>
      <c r="B32" s="35" t="s">
        <v>106</v>
      </c>
      <c r="C32" s="1" t="s">
        <v>107</v>
      </c>
      <c r="D32" s="2" t="s">
        <v>13</v>
      </c>
      <c r="E32" s="2" t="s">
        <v>82</v>
      </c>
      <c r="F32" s="1"/>
      <c r="G32" s="32">
        <v>100</v>
      </c>
      <c r="H32" s="32"/>
      <c r="I32" s="32">
        <f t="shared" si="0"/>
        <v>100</v>
      </c>
      <c r="J32" s="4">
        <f>G32/VLOOKUP(A32,RESUME!$G$3:$I$10,3,FALSE)</f>
        <v>1.1475056554816235E-3</v>
      </c>
      <c r="K32" s="4" t="str">
        <f t="shared" si="1"/>
        <v/>
      </c>
      <c r="L32" s="36" t="s">
        <v>360</v>
      </c>
    </row>
    <row r="33" spans="1:12" ht="15.75" x14ac:dyDescent="0.25">
      <c r="A33" s="1" t="s">
        <v>67</v>
      </c>
      <c r="B33" s="35" t="s">
        <v>108</v>
      </c>
      <c r="C33" s="1" t="s">
        <v>109</v>
      </c>
      <c r="D33" s="2" t="s">
        <v>13</v>
      </c>
      <c r="E33" s="2" t="s">
        <v>82</v>
      </c>
      <c r="F33" s="1"/>
      <c r="G33" s="32">
        <v>100</v>
      </c>
      <c r="H33" s="32">
        <v>510.61</v>
      </c>
      <c r="I33" s="40">
        <f t="shared" si="0"/>
        <v>-410.61</v>
      </c>
      <c r="J33" s="4">
        <f>G33/VLOOKUP(A33,RESUME!$G$3:$I$10,3,FALSE)</f>
        <v>1.1475056554816235E-3</v>
      </c>
      <c r="K33" s="4">
        <f t="shared" si="1"/>
        <v>2.2473231144741064E-4</v>
      </c>
      <c r="L33" s="36" t="s">
        <v>361</v>
      </c>
    </row>
    <row r="34" spans="1:12" ht="15.75" x14ac:dyDescent="0.25">
      <c r="A34" s="1" t="s">
        <v>67</v>
      </c>
      <c r="B34" s="35" t="s">
        <v>110</v>
      </c>
      <c r="C34" s="1" t="s">
        <v>111</v>
      </c>
      <c r="D34" s="2" t="s">
        <v>13</v>
      </c>
      <c r="E34" s="2" t="s">
        <v>82</v>
      </c>
      <c r="F34" s="1"/>
      <c r="G34" s="32">
        <v>100</v>
      </c>
      <c r="H34" s="32"/>
      <c r="I34" s="32">
        <f t="shared" si="0"/>
        <v>100</v>
      </c>
      <c r="J34" s="4">
        <f>G34/VLOOKUP(A34,RESUME!$G$3:$I$10,3,FALSE)</f>
        <v>1.1475056554816235E-3</v>
      </c>
      <c r="K34" s="4" t="str">
        <f t="shared" si="1"/>
        <v/>
      </c>
      <c r="L34" s="36" t="s">
        <v>360</v>
      </c>
    </row>
    <row r="35" spans="1:12" ht="15.75" x14ac:dyDescent="0.25">
      <c r="A35" s="1" t="s">
        <v>67</v>
      </c>
      <c r="B35" s="35" t="s">
        <v>110</v>
      </c>
      <c r="C35" s="1" t="s">
        <v>111</v>
      </c>
      <c r="D35" s="2" t="s">
        <v>24</v>
      </c>
      <c r="E35" s="2" t="s">
        <v>75</v>
      </c>
      <c r="F35" s="1"/>
      <c r="G35" s="32">
        <v>250</v>
      </c>
      <c r="H35" s="32"/>
      <c r="I35" s="32">
        <f t="shared" si="0"/>
        <v>250</v>
      </c>
      <c r="J35" s="4">
        <f>G35/VLOOKUP(A35,RESUME!$G$3:$I$10,3,FALSE)</f>
        <v>2.8687641387040589E-3</v>
      </c>
      <c r="K35" s="4" t="str">
        <f t="shared" si="1"/>
        <v/>
      </c>
      <c r="L35" s="36" t="s">
        <v>360</v>
      </c>
    </row>
    <row r="36" spans="1:12" ht="15.75" x14ac:dyDescent="0.25">
      <c r="A36" s="1" t="s">
        <v>67</v>
      </c>
      <c r="B36" s="35" t="s">
        <v>110</v>
      </c>
      <c r="C36" s="1" t="s">
        <v>111</v>
      </c>
      <c r="D36" s="2" t="s">
        <v>15</v>
      </c>
      <c r="E36" s="2" t="s">
        <v>75</v>
      </c>
      <c r="F36" s="1"/>
      <c r="G36" s="32">
        <v>300</v>
      </c>
      <c r="H36" s="32"/>
      <c r="I36" s="32">
        <f t="shared" si="0"/>
        <v>300</v>
      </c>
      <c r="J36" s="4">
        <f>G36/VLOOKUP(A36,RESUME!$G$3:$I$10,3,FALSE)</f>
        <v>3.4425169664448704E-3</v>
      </c>
      <c r="K36" s="4" t="str">
        <f t="shared" si="1"/>
        <v/>
      </c>
      <c r="L36" s="36" t="s">
        <v>360</v>
      </c>
    </row>
    <row r="37" spans="1:12" ht="15.75" x14ac:dyDescent="0.25">
      <c r="A37" s="1" t="s">
        <v>67</v>
      </c>
      <c r="B37" s="35" t="s">
        <v>112</v>
      </c>
      <c r="C37" s="1" t="s">
        <v>113</v>
      </c>
      <c r="D37" s="2" t="s">
        <v>13</v>
      </c>
      <c r="E37" s="2" t="s">
        <v>82</v>
      </c>
      <c r="F37" s="1"/>
      <c r="G37" s="32">
        <v>100</v>
      </c>
      <c r="H37" s="32"/>
      <c r="I37" s="32">
        <f t="shared" si="0"/>
        <v>100</v>
      </c>
      <c r="J37" s="4">
        <f>G37/VLOOKUP(A37,RESUME!$G$3:$I$10,3,FALSE)</f>
        <v>1.1475056554816235E-3</v>
      </c>
      <c r="K37" s="4" t="str">
        <f t="shared" si="1"/>
        <v/>
      </c>
      <c r="L37" s="36" t="s">
        <v>360</v>
      </c>
    </row>
    <row r="38" spans="1:12" ht="15.75" x14ac:dyDescent="0.25">
      <c r="A38" s="1" t="s">
        <v>67</v>
      </c>
      <c r="B38" s="35" t="s">
        <v>114</v>
      </c>
      <c r="C38" s="1" t="s">
        <v>115</v>
      </c>
      <c r="D38" s="2" t="s">
        <v>13</v>
      </c>
      <c r="E38" s="2" t="s">
        <v>82</v>
      </c>
      <c r="F38" s="1"/>
      <c r="G38" s="32">
        <v>100</v>
      </c>
      <c r="H38" s="32"/>
      <c r="I38" s="32">
        <f t="shared" si="0"/>
        <v>100</v>
      </c>
      <c r="J38" s="4">
        <f>G38/VLOOKUP(A38,RESUME!$G$3:$I$10,3,FALSE)</f>
        <v>1.1475056554816235E-3</v>
      </c>
      <c r="K38" s="4" t="str">
        <f t="shared" si="1"/>
        <v/>
      </c>
      <c r="L38" s="36" t="s">
        <v>360</v>
      </c>
    </row>
    <row r="39" spans="1:12" ht="15.75" x14ac:dyDescent="0.25">
      <c r="A39" s="1" t="s">
        <v>67</v>
      </c>
      <c r="B39" s="35" t="s">
        <v>116</v>
      </c>
      <c r="C39" s="1" t="s">
        <v>117</v>
      </c>
      <c r="D39" s="2" t="s">
        <v>13</v>
      </c>
      <c r="E39" s="2" t="s">
        <v>75</v>
      </c>
      <c r="F39" s="1"/>
      <c r="G39" s="32">
        <v>328.75</v>
      </c>
      <c r="H39" s="32">
        <v>854.27</v>
      </c>
      <c r="I39" s="32">
        <f t="shared" si="0"/>
        <v>-525.52</v>
      </c>
      <c r="J39" s="4">
        <f>G39/VLOOKUP(A39,RESUME!$G$3:$I$10,3,FALSE)</f>
        <v>3.7724248423958375E-3</v>
      </c>
      <c r="K39" s="4">
        <f t="shared" si="1"/>
        <v>1.4517478864265764E-3</v>
      </c>
      <c r="L39" s="36" t="s">
        <v>361</v>
      </c>
    </row>
    <row r="40" spans="1:12" ht="15.75" x14ac:dyDescent="0.25">
      <c r="A40" s="1" t="s">
        <v>67</v>
      </c>
      <c r="B40" s="35" t="s">
        <v>116</v>
      </c>
      <c r="C40" s="1" t="s">
        <v>117</v>
      </c>
      <c r="D40" s="2" t="s">
        <v>101</v>
      </c>
      <c r="E40" s="2" t="s">
        <v>75</v>
      </c>
      <c r="F40" s="1"/>
      <c r="G40" s="32">
        <v>109.79</v>
      </c>
      <c r="H40" s="32"/>
      <c r="I40" s="40">
        <f t="shared" si="0"/>
        <v>109.79</v>
      </c>
      <c r="J40" s="4">
        <f>G40/VLOOKUP(A40,RESUME!$G$3:$I$10,3,FALSE)</f>
        <v>1.2598464591532744E-3</v>
      </c>
      <c r="K40" s="4" t="str">
        <f t="shared" si="1"/>
        <v/>
      </c>
      <c r="L40" s="36" t="s">
        <v>360</v>
      </c>
    </row>
    <row r="41" spans="1:12" ht="15.75" x14ac:dyDescent="0.25">
      <c r="A41" s="1" t="s">
        <v>67</v>
      </c>
      <c r="B41" s="35" t="s">
        <v>116</v>
      </c>
      <c r="C41" s="1" t="s">
        <v>117</v>
      </c>
      <c r="D41" s="2" t="s">
        <v>24</v>
      </c>
      <c r="E41" s="2" t="s">
        <v>75</v>
      </c>
      <c r="F41" s="1"/>
      <c r="G41" s="32">
        <v>169.38</v>
      </c>
      <c r="H41" s="32">
        <v>50.62</v>
      </c>
      <c r="I41" s="40">
        <f t="shared" si="0"/>
        <v>118.75999999999999</v>
      </c>
      <c r="J41" s="4">
        <f>G41/VLOOKUP(A41,RESUME!$G$3:$I$10,3,FALSE)</f>
        <v>1.9436450792547739E-3</v>
      </c>
      <c r="K41" s="4">
        <f t="shared" si="1"/>
        <v>6.503646849549064E-3</v>
      </c>
      <c r="L41" s="36" t="s">
        <v>360</v>
      </c>
    </row>
    <row r="42" spans="1:12" ht="15.75" x14ac:dyDescent="0.25">
      <c r="A42" s="1" t="s">
        <v>67</v>
      </c>
      <c r="B42" s="35" t="s">
        <v>116</v>
      </c>
      <c r="C42" s="1" t="s">
        <v>117</v>
      </c>
      <c r="D42" s="2" t="s">
        <v>15</v>
      </c>
      <c r="E42" s="2" t="s">
        <v>75</v>
      </c>
      <c r="F42" s="1"/>
      <c r="G42" s="32">
        <v>142.08000000000001</v>
      </c>
      <c r="H42" s="32">
        <v>60.12</v>
      </c>
      <c r="I42" s="40">
        <f t="shared" si="0"/>
        <v>81.960000000000008</v>
      </c>
      <c r="J42" s="4">
        <f>G42/VLOOKUP(A42,RESUME!$G$3:$I$10,3,FALSE)</f>
        <v>1.6303760353082908E-3</v>
      </c>
      <c r="K42" s="4">
        <f t="shared" si="1"/>
        <v>3.8530244028044244E-3</v>
      </c>
      <c r="L42" s="36" t="s">
        <v>360</v>
      </c>
    </row>
    <row r="43" spans="1:12" ht="15.75" x14ac:dyDescent="0.25">
      <c r="A43" s="1" t="s">
        <v>67</v>
      </c>
      <c r="B43" s="35" t="s">
        <v>118</v>
      </c>
      <c r="C43" s="1" t="s">
        <v>119</v>
      </c>
      <c r="D43" s="2" t="s">
        <v>13</v>
      </c>
      <c r="E43" s="2" t="s">
        <v>75</v>
      </c>
      <c r="F43" s="1"/>
      <c r="G43" s="32">
        <v>4300</v>
      </c>
      <c r="H43" s="32">
        <v>2655.51</v>
      </c>
      <c r="I43" s="32">
        <f t="shared" si="0"/>
        <v>1644.4899999999998</v>
      </c>
      <c r="J43" s="4">
        <f>G43/VLOOKUP(A43,RESUME!$G$3:$I$10,3,FALSE)</f>
        <v>4.934274318570981E-2</v>
      </c>
      <c r="K43" s="4">
        <f t="shared" si="1"/>
        <v>7.9899452722283923E-2</v>
      </c>
      <c r="L43" s="36" t="s">
        <v>360</v>
      </c>
    </row>
    <row r="44" spans="1:12" ht="15.75" x14ac:dyDescent="0.25">
      <c r="A44" s="1" t="s">
        <v>67</v>
      </c>
      <c r="B44" s="35" t="s">
        <v>120</v>
      </c>
      <c r="C44" s="1" t="s">
        <v>121</v>
      </c>
      <c r="D44" s="2" t="s">
        <v>13</v>
      </c>
      <c r="E44" s="2" t="s">
        <v>122</v>
      </c>
      <c r="F44" s="1"/>
      <c r="G44" s="32">
        <v>1495.98</v>
      </c>
      <c r="H44" s="32">
        <v>367.61</v>
      </c>
      <c r="I44" s="40">
        <f t="shared" si="0"/>
        <v>1128.3699999999999</v>
      </c>
      <c r="J44" s="4">
        <f>G44/VLOOKUP(A44,RESUME!$G$3:$I$10,3,FALSE)</f>
        <v>1.7166455104873992E-2</v>
      </c>
      <c r="K44" s="4">
        <f t="shared" si="1"/>
        <v>6.9858473675333627E-2</v>
      </c>
      <c r="L44" s="36" t="s">
        <v>360</v>
      </c>
    </row>
    <row r="45" spans="1:12" ht="15.75" x14ac:dyDescent="0.25">
      <c r="A45" s="1" t="s">
        <v>67</v>
      </c>
      <c r="B45" s="35" t="s">
        <v>120</v>
      </c>
      <c r="C45" s="1" t="s">
        <v>121</v>
      </c>
      <c r="D45" s="2" t="s">
        <v>101</v>
      </c>
      <c r="E45" s="2" t="s">
        <v>122</v>
      </c>
      <c r="F45" s="1"/>
      <c r="G45" s="32">
        <v>516.97</v>
      </c>
      <c r="H45" s="32">
        <v>562.23</v>
      </c>
      <c r="I45" s="40">
        <f t="shared" si="0"/>
        <v>-45.259999999999991</v>
      </c>
      <c r="J45" s="4">
        <f>G45/VLOOKUP(A45,RESUME!$G$3:$I$10,3,FALSE)</f>
        <v>5.9322599871433493E-3</v>
      </c>
      <c r="K45" s="4">
        <f t="shared" si="1"/>
        <v>5.4547079407955773E-3</v>
      </c>
      <c r="L45" s="36" t="s">
        <v>361</v>
      </c>
    </row>
    <row r="46" spans="1:12" ht="15.75" x14ac:dyDescent="0.25">
      <c r="A46" s="1" t="s">
        <v>67</v>
      </c>
      <c r="B46" s="35" t="s">
        <v>120</v>
      </c>
      <c r="C46" s="1" t="s">
        <v>121</v>
      </c>
      <c r="D46" s="2" t="s">
        <v>24</v>
      </c>
      <c r="E46" s="2" t="s">
        <v>122</v>
      </c>
      <c r="F46" s="1"/>
      <c r="G46" s="32">
        <v>1463.62</v>
      </c>
      <c r="H46" s="32">
        <v>404.5</v>
      </c>
      <c r="I46" s="40">
        <f t="shared" si="0"/>
        <v>1059.1199999999999</v>
      </c>
      <c r="J46" s="4">
        <f>G46/VLOOKUP(A46,RESUME!$G$3:$I$10,3,FALSE)</f>
        <v>1.6795122274760137E-2</v>
      </c>
      <c r="K46" s="4">
        <f t="shared" si="1"/>
        <v>6.0770523767081412E-2</v>
      </c>
      <c r="L46" s="36" t="s">
        <v>360</v>
      </c>
    </row>
    <row r="47" spans="1:12" ht="15.75" x14ac:dyDescent="0.25">
      <c r="A47" s="1" t="s">
        <v>67</v>
      </c>
      <c r="B47" s="35" t="s">
        <v>120</v>
      </c>
      <c r="C47" s="1" t="s">
        <v>121</v>
      </c>
      <c r="D47" s="2" t="s">
        <v>15</v>
      </c>
      <c r="E47" s="2" t="s">
        <v>122</v>
      </c>
      <c r="F47" s="1"/>
      <c r="G47" s="32">
        <v>1779.8599999999997</v>
      </c>
      <c r="H47" s="32">
        <v>353.89</v>
      </c>
      <c r="I47" s="40">
        <f t="shared" si="0"/>
        <v>1425.9699999999998</v>
      </c>
      <c r="J47" s="4">
        <f>G47/VLOOKUP(A47,RESUME!$G$3:$I$10,3,FALSE)</f>
        <v>2.042399415965522E-2</v>
      </c>
      <c r="K47" s="4">
        <f t="shared" si="1"/>
        <v>0.10272076138066613</v>
      </c>
      <c r="L47" s="36" t="s">
        <v>360</v>
      </c>
    </row>
    <row r="48" spans="1:12" ht="15.75" x14ac:dyDescent="0.25">
      <c r="A48" s="1" t="s">
        <v>67</v>
      </c>
      <c r="B48" s="35" t="s">
        <v>21</v>
      </c>
      <c r="C48" s="1" t="s">
        <v>123</v>
      </c>
      <c r="D48" s="2" t="s">
        <v>101</v>
      </c>
      <c r="E48" s="2" t="s">
        <v>75</v>
      </c>
      <c r="F48" s="1"/>
      <c r="G48" s="32">
        <v>1115.46</v>
      </c>
      <c r="H48" s="32"/>
      <c r="I48" s="40">
        <f t="shared" si="0"/>
        <v>1115.46</v>
      </c>
      <c r="J48" s="4">
        <f>G48/VLOOKUP(A48,RESUME!$G$3:$I$10,3,FALSE)</f>
        <v>1.2799966584635319E-2</v>
      </c>
      <c r="K48" s="4" t="str">
        <f t="shared" si="1"/>
        <v/>
      </c>
      <c r="L48" s="36" t="s">
        <v>360</v>
      </c>
    </row>
    <row r="49" spans="1:12" ht="15.75" x14ac:dyDescent="0.25">
      <c r="A49" s="1" t="s">
        <v>67</v>
      </c>
      <c r="B49" s="35" t="s">
        <v>124</v>
      </c>
      <c r="C49" s="1" t="s">
        <v>125</v>
      </c>
      <c r="D49" s="2" t="s">
        <v>13</v>
      </c>
      <c r="E49" s="2" t="s">
        <v>82</v>
      </c>
      <c r="F49" s="1"/>
      <c r="G49" s="32">
        <v>651</v>
      </c>
      <c r="H49" s="32">
        <v>119.16</v>
      </c>
      <c r="I49" s="40">
        <f t="shared" si="0"/>
        <v>531.84</v>
      </c>
      <c r="J49" s="4">
        <f>G49/VLOOKUP(A49,RESUME!$G$3:$I$10,3,FALSE)</f>
        <v>7.4702618171853695E-3</v>
      </c>
      <c r="K49" s="4">
        <f t="shared" si="1"/>
        <v>4.081185333155149E-2</v>
      </c>
      <c r="L49" s="36" t="s">
        <v>360</v>
      </c>
    </row>
    <row r="50" spans="1:12" ht="15.75" x14ac:dyDescent="0.25">
      <c r="A50" s="1" t="s">
        <v>67</v>
      </c>
      <c r="B50" s="35" t="s">
        <v>126</v>
      </c>
      <c r="C50" s="1" t="s">
        <v>127</v>
      </c>
      <c r="D50" s="2" t="s">
        <v>13</v>
      </c>
      <c r="E50" s="2" t="s">
        <v>82</v>
      </c>
      <c r="F50" s="1"/>
      <c r="G50" s="32">
        <v>466</v>
      </c>
      <c r="H50" s="32"/>
      <c r="I50" s="40">
        <f t="shared" si="0"/>
        <v>466</v>
      </c>
      <c r="J50" s="4">
        <f>G50/VLOOKUP(A50,RESUME!$G$3:$I$10,3,FALSE)</f>
        <v>5.3473763545443653E-3</v>
      </c>
      <c r="K50" s="4" t="str">
        <f t="shared" si="1"/>
        <v/>
      </c>
      <c r="L50" s="36" t="s">
        <v>360</v>
      </c>
    </row>
    <row r="51" spans="1:12" ht="15.75" x14ac:dyDescent="0.25">
      <c r="A51" s="1" t="s">
        <v>67</v>
      </c>
      <c r="B51" s="35" t="s">
        <v>128</v>
      </c>
      <c r="C51" s="1" t="s">
        <v>129</v>
      </c>
      <c r="D51" s="2" t="s">
        <v>13</v>
      </c>
      <c r="E51" s="2" t="s">
        <v>75</v>
      </c>
      <c r="F51" s="1"/>
      <c r="G51" s="32">
        <v>1388.61</v>
      </c>
      <c r="H51" s="32"/>
      <c r="I51" s="32">
        <f t="shared" si="0"/>
        <v>1388.61</v>
      </c>
      <c r="J51" s="4">
        <f>G51/VLOOKUP(A51,RESUME!$G$3:$I$10,3,FALSE)</f>
        <v>1.5934378282583372E-2</v>
      </c>
      <c r="K51" s="4" t="str">
        <f t="shared" si="1"/>
        <v/>
      </c>
      <c r="L51" s="36" t="s">
        <v>360</v>
      </c>
    </row>
    <row r="52" spans="1:12" ht="15.75" x14ac:dyDescent="0.25">
      <c r="A52" s="1" t="s">
        <v>67</v>
      </c>
      <c r="B52" s="35" t="s">
        <v>130</v>
      </c>
      <c r="C52" s="1" t="s">
        <v>131</v>
      </c>
      <c r="D52" s="2" t="s">
        <v>13</v>
      </c>
      <c r="E52" s="2" t="s">
        <v>75</v>
      </c>
      <c r="F52" s="1"/>
      <c r="G52" s="32">
        <v>221.29</v>
      </c>
      <c r="H52" s="32"/>
      <c r="I52" s="32">
        <f t="shared" si="0"/>
        <v>221.29</v>
      </c>
      <c r="J52" s="4">
        <f>G52/VLOOKUP(A52,RESUME!$G$3:$I$10,3,FALSE)</f>
        <v>2.5393152650152848E-3</v>
      </c>
      <c r="K52" s="4" t="str">
        <f t="shared" si="1"/>
        <v/>
      </c>
      <c r="L52" s="36" t="s">
        <v>360</v>
      </c>
    </row>
    <row r="53" spans="1:12" ht="15.75" x14ac:dyDescent="0.25">
      <c r="A53" s="1" t="s">
        <v>67</v>
      </c>
      <c r="B53" s="35" t="s">
        <v>132</v>
      </c>
      <c r="C53" s="1" t="s">
        <v>133</v>
      </c>
      <c r="D53" s="2" t="s">
        <v>13</v>
      </c>
      <c r="E53" s="2" t="s">
        <v>75</v>
      </c>
      <c r="F53" s="1"/>
      <c r="G53" s="32">
        <v>764.4</v>
      </c>
      <c r="H53" s="32"/>
      <c r="I53" s="40">
        <f t="shared" si="0"/>
        <v>764.4</v>
      </c>
      <c r="J53" s="4">
        <f>G53/VLOOKUP(A53,RESUME!$G$3:$I$10,3,FALSE)</f>
        <v>8.7715332305015291E-3</v>
      </c>
      <c r="K53" s="4" t="str">
        <f t="shared" si="1"/>
        <v/>
      </c>
      <c r="L53" s="36" t="s">
        <v>360</v>
      </c>
    </row>
    <row r="54" spans="1:12" ht="15.75" x14ac:dyDescent="0.25">
      <c r="A54" s="1" t="s">
        <v>67</v>
      </c>
      <c r="B54" s="35" t="s">
        <v>134</v>
      </c>
      <c r="C54" s="1" t="s">
        <v>135</v>
      </c>
      <c r="D54" s="2" t="s">
        <v>13</v>
      </c>
      <c r="E54" s="2" t="s">
        <v>75</v>
      </c>
      <c r="F54" s="1"/>
      <c r="G54" s="32">
        <v>255</v>
      </c>
      <c r="H54" s="32">
        <v>139.61000000000001</v>
      </c>
      <c r="I54" s="40">
        <f t="shared" si="0"/>
        <v>115.38999999999999</v>
      </c>
      <c r="J54" s="4">
        <f>G54/VLOOKUP(A54,RESUME!$G$3:$I$10,3,FALSE)</f>
        <v>2.9261394214781401E-3</v>
      </c>
      <c r="K54" s="4">
        <f t="shared" si="1"/>
        <v>5.3446425934884721E-3</v>
      </c>
      <c r="L54" s="36" t="s">
        <v>360</v>
      </c>
    </row>
    <row r="55" spans="1:12" ht="15.75" x14ac:dyDescent="0.25">
      <c r="A55" s="1" t="s">
        <v>67</v>
      </c>
      <c r="B55" s="35" t="s">
        <v>136</v>
      </c>
      <c r="C55" s="1" t="s">
        <v>137</v>
      </c>
      <c r="D55" s="2" t="s">
        <v>13</v>
      </c>
      <c r="E55" s="2" t="s">
        <v>75</v>
      </c>
      <c r="F55" s="1"/>
      <c r="G55" s="32">
        <v>200</v>
      </c>
      <c r="H55" s="32"/>
      <c r="I55" s="32">
        <f t="shared" si="0"/>
        <v>200</v>
      </c>
      <c r="J55" s="4">
        <f>G55/VLOOKUP(A55,RESUME!$G$3:$I$10,3,FALSE)</f>
        <v>2.2950113109632469E-3</v>
      </c>
      <c r="K55" s="4" t="str">
        <f t="shared" si="1"/>
        <v/>
      </c>
      <c r="L55" s="36" t="s">
        <v>360</v>
      </c>
    </row>
    <row r="56" spans="1:12" ht="15.75" x14ac:dyDescent="0.25">
      <c r="A56" s="1" t="s">
        <v>67</v>
      </c>
      <c r="B56" s="35" t="s">
        <v>138</v>
      </c>
      <c r="C56" s="1" t="s">
        <v>139</v>
      </c>
      <c r="D56" s="2" t="s">
        <v>13</v>
      </c>
      <c r="E56" s="2" t="s">
        <v>75</v>
      </c>
      <c r="F56" s="1"/>
      <c r="G56" s="32">
        <v>464.37</v>
      </c>
      <c r="H56" s="32">
        <v>73.55</v>
      </c>
      <c r="I56" s="32">
        <f t="shared" si="0"/>
        <v>390.82</v>
      </c>
      <c r="J56" s="4">
        <f>G56/VLOOKUP(A56,RESUME!$G$3:$I$10,3,FALSE)</f>
        <v>5.3286720123600154E-3</v>
      </c>
      <c r="K56" s="4">
        <f t="shared" si="1"/>
        <v>3.3643445579600549E-2</v>
      </c>
      <c r="L56" s="36" t="s">
        <v>360</v>
      </c>
    </row>
    <row r="57" spans="1:12" ht="15.75" x14ac:dyDescent="0.25">
      <c r="A57" s="1" t="s">
        <v>67</v>
      </c>
      <c r="B57" s="35" t="s">
        <v>21</v>
      </c>
      <c r="C57" s="1" t="s">
        <v>140</v>
      </c>
      <c r="D57" s="2" t="s">
        <v>13</v>
      </c>
      <c r="E57" s="2" t="s">
        <v>75</v>
      </c>
      <c r="F57" s="1"/>
      <c r="G57" s="32">
        <v>515.79999999999995</v>
      </c>
      <c r="H57" s="32">
        <v>442.95</v>
      </c>
      <c r="I57" s="32">
        <f t="shared" si="0"/>
        <v>72.849999999999966</v>
      </c>
      <c r="J57" s="4">
        <f>G57/VLOOKUP(A57,RESUME!$G$3:$I$10,3,FALSE)</f>
        <v>5.9188341709742135E-3</v>
      </c>
      <c r="K57" s="4">
        <f t="shared" si="1"/>
        <v>6.8922782828502067E-3</v>
      </c>
      <c r="L57" s="36" t="s">
        <v>360</v>
      </c>
    </row>
    <row r="58" spans="1:12" ht="15.75" x14ac:dyDescent="0.25">
      <c r="A58" s="1" t="s">
        <v>67</v>
      </c>
      <c r="B58" s="35" t="s">
        <v>21</v>
      </c>
      <c r="C58" s="1" t="s">
        <v>123</v>
      </c>
      <c r="D58" s="2" t="s">
        <v>13</v>
      </c>
      <c r="E58" s="2" t="s">
        <v>75</v>
      </c>
      <c r="F58" s="1"/>
      <c r="G58" s="32">
        <v>1891.43</v>
      </c>
      <c r="H58" s="32"/>
      <c r="I58" s="32">
        <f t="shared" si="0"/>
        <v>1891.43</v>
      </c>
      <c r="J58" s="4">
        <f>G58/VLOOKUP(A58,RESUME!$G$3:$I$10,3,FALSE)</f>
        <v>2.1704266219476073E-2</v>
      </c>
      <c r="K58" s="4" t="str">
        <f t="shared" si="1"/>
        <v/>
      </c>
      <c r="L58" s="36" t="s">
        <v>360</v>
      </c>
    </row>
    <row r="59" spans="1:12" ht="15.75" x14ac:dyDescent="0.25">
      <c r="A59" s="1" t="s">
        <v>67</v>
      </c>
      <c r="B59" s="35" t="s">
        <v>21</v>
      </c>
      <c r="C59" s="1" t="s">
        <v>123</v>
      </c>
      <c r="D59" s="2" t="s">
        <v>24</v>
      </c>
      <c r="E59" s="2" t="s">
        <v>75</v>
      </c>
      <c r="F59" s="1"/>
      <c r="G59" s="32">
        <v>1328.48</v>
      </c>
      <c r="H59" s="32"/>
      <c r="I59" s="40">
        <f t="shared" si="0"/>
        <v>1328.48</v>
      </c>
      <c r="J59" s="4">
        <f>G59/VLOOKUP(A59,RESUME!$G$3:$I$10,3,FALSE)</f>
        <v>1.5244383131942272E-2</v>
      </c>
      <c r="K59" s="4" t="str">
        <f t="shared" si="1"/>
        <v/>
      </c>
      <c r="L59" s="36" t="s">
        <v>360</v>
      </c>
    </row>
    <row r="60" spans="1:12" ht="15.75" x14ac:dyDescent="0.25">
      <c r="A60" s="1" t="s">
        <v>67</v>
      </c>
      <c r="B60" s="35" t="s">
        <v>21</v>
      </c>
      <c r="C60" s="1" t="s">
        <v>123</v>
      </c>
      <c r="D60" s="2" t="s">
        <v>15</v>
      </c>
      <c r="E60" s="2" t="s">
        <v>75</v>
      </c>
      <c r="F60" s="1"/>
      <c r="G60" s="32">
        <v>1328.28</v>
      </c>
      <c r="H60" s="32"/>
      <c r="I60" s="32">
        <f t="shared" si="0"/>
        <v>1328.28</v>
      </c>
      <c r="J60" s="4">
        <f>G60/VLOOKUP(A60,RESUME!$G$3:$I$10,3,FALSE)</f>
        <v>1.5242088120631308E-2</v>
      </c>
      <c r="K60" s="4" t="str">
        <f t="shared" si="1"/>
        <v/>
      </c>
      <c r="L60" s="36" t="s">
        <v>360</v>
      </c>
    </row>
  </sheetData>
  <conditionalFormatting sqref="L6:L60">
    <cfRule type="containsText" dxfId="3" priority="1" operator="containsText" text="OVER">
      <formula>NOT(ISERROR(SEARCH("OVER",L6)))</formula>
    </cfRule>
  </conditionalFormatting>
  <hyperlinks>
    <hyperlink ref="B6" r:id="rId1" xr:uid="{437BDA2B-8CF8-45C2-A9E0-A7175A027337}"/>
    <hyperlink ref="B7" r:id="rId2" xr:uid="{9BFDECC3-BA1D-43EF-B433-A0A677356D91}"/>
    <hyperlink ref="B8" r:id="rId3" xr:uid="{C17296F7-E26E-4834-9323-AA38D978887C}"/>
    <hyperlink ref="B9" r:id="rId4" xr:uid="{B0EE7318-2596-4D02-9EDF-EB73A3FF6FC1}"/>
    <hyperlink ref="B10" r:id="rId5" xr:uid="{76A6C566-E43F-4417-A055-AA278711CB26}"/>
    <hyperlink ref="B11" r:id="rId6" xr:uid="{549E45A6-A689-44F1-A66F-921E7C736CC9}"/>
    <hyperlink ref="B12" r:id="rId7" xr:uid="{5867267E-6511-4BFF-A6DF-9874E8A7DF55}"/>
    <hyperlink ref="B13" r:id="rId8" xr:uid="{9BD6DBA9-311D-476B-87C1-62557F0A9BDE}"/>
    <hyperlink ref="B14" r:id="rId9" xr:uid="{1195390D-74A1-4812-9585-E1877421FCC9}"/>
    <hyperlink ref="B15" r:id="rId10" xr:uid="{FEFE1CEB-6BE9-4768-9114-034F8D7023A2}"/>
    <hyperlink ref="B16" r:id="rId11" xr:uid="{BF25B3AC-F5F1-4362-864B-8E56D1B94EAC}"/>
    <hyperlink ref="B17" r:id="rId12" xr:uid="{EB0BBA44-123E-4C41-BA72-0F3A9402EB80}"/>
    <hyperlink ref="B18" r:id="rId13" xr:uid="{B06A2361-B213-4852-AFEE-9CEC8226D3DA}"/>
    <hyperlink ref="B19" r:id="rId14" xr:uid="{220B422F-9618-4C11-80FE-91806AD20679}"/>
    <hyperlink ref="B20" r:id="rId15" xr:uid="{4D1846CF-DF3D-41C4-9CF5-3942E769DF60}"/>
    <hyperlink ref="B21" r:id="rId16" xr:uid="{BA4FB58C-F1D9-4F4C-BD99-8DEE0CDB5A2E}"/>
    <hyperlink ref="B22" r:id="rId17" xr:uid="{A6F3F0A0-6A3F-4F0E-8378-792BE4F34702}"/>
    <hyperlink ref="B23" r:id="rId18" xr:uid="{FDA0A6D8-399C-486B-9E27-9A846A8D1387}"/>
    <hyperlink ref="B24" r:id="rId19" xr:uid="{5ECB5543-4619-4434-A979-9BDFAD556254}"/>
    <hyperlink ref="B25" r:id="rId20" xr:uid="{C888A6AE-A3FE-45DF-B333-27F53BDF136E}"/>
    <hyperlink ref="B26" r:id="rId21" xr:uid="{0B205F19-330E-4CFB-BE65-52CCD10BC187}"/>
    <hyperlink ref="B27" r:id="rId22" xr:uid="{707FAC8A-C580-481A-AD76-4791ABA8B140}"/>
    <hyperlink ref="B28" r:id="rId23" xr:uid="{2A12C1A7-FEC5-4E4E-8ECC-BA7C309D7364}"/>
    <hyperlink ref="B29" r:id="rId24" xr:uid="{B241E178-F92C-4BB3-8E77-CBD324CB85DA}"/>
    <hyperlink ref="B30" r:id="rId25" xr:uid="{2024318A-0DBC-4D5C-9BE1-504F81AEF598}"/>
    <hyperlink ref="B31" r:id="rId26" xr:uid="{80D4B791-C382-463A-8D48-23E1637188FE}"/>
    <hyperlink ref="B32" r:id="rId27" xr:uid="{A30CC10D-FE12-4DCD-A5B8-477D354385DC}"/>
    <hyperlink ref="B33" r:id="rId28" xr:uid="{312FA816-EB73-4DB9-94E2-9085E7268588}"/>
    <hyperlink ref="B34" r:id="rId29" xr:uid="{35FBDC93-119B-4221-829B-3881CE166AB0}"/>
    <hyperlink ref="B35" r:id="rId30" xr:uid="{5C5D190B-C787-4D15-841B-C41AB56BB555}"/>
    <hyperlink ref="B36" r:id="rId31" xr:uid="{9A2EA16C-4591-43C8-A307-89BE533548F5}"/>
    <hyperlink ref="B37" r:id="rId32" xr:uid="{1E8C726A-62A2-4415-BA29-5CE06646414E}"/>
    <hyperlink ref="B38" r:id="rId33" xr:uid="{6406EF38-E6C4-4BB0-A3B2-673B54FE7A68}"/>
    <hyperlink ref="B39" r:id="rId34" xr:uid="{3556F058-A2EB-4ACC-BF91-B7B21C7FBAD9}"/>
    <hyperlink ref="B40" r:id="rId35" xr:uid="{0E7EEFF8-4981-4DF6-B4BE-A0FC7069FC89}"/>
    <hyperlink ref="B41" r:id="rId36" xr:uid="{5E8070B9-0E77-4785-BAF7-5139AFFBE891}"/>
    <hyperlink ref="B42" r:id="rId37" xr:uid="{56426E07-BB02-4523-A4BD-1CCDF7483C02}"/>
    <hyperlink ref="B43" r:id="rId38" xr:uid="{2EBAED37-0CB4-4049-B559-D8914FE2D7C0}"/>
    <hyperlink ref="B44" r:id="rId39" xr:uid="{309591AB-6DAD-453F-880A-E075000F257A}"/>
    <hyperlink ref="B45" r:id="rId40" xr:uid="{2B59D59B-3534-40DA-849A-A382BB621AAF}"/>
    <hyperlink ref="B46" r:id="rId41" xr:uid="{5A4F52E9-5CDC-4B9F-8C9D-BC964B1B8493}"/>
    <hyperlink ref="B47" r:id="rId42" xr:uid="{E78BF2E8-137C-492A-A9A4-05C68834F395}"/>
    <hyperlink ref="B48" r:id="rId43" xr:uid="{82CFDA4E-C7C5-4FD0-944F-A983DA48B372}"/>
    <hyperlink ref="B49" r:id="rId44" xr:uid="{E837281C-8BA7-4956-AEC9-B4F741D8D556}"/>
    <hyperlink ref="B50" r:id="rId45" xr:uid="{95973E3E-4B07-424B-9F75-E89BE0D2D215}"/>
    <hyperlink ref="B51" r:id="rId46" xr:uid="{C6B59FAA-56A7-4BF6-A957-98EBFE39114E}"/>
    <hyperlink ref="B52" r:id="rId47" xr:uid="{DF754AFE-7408-4B9C-8AE0-422538BE8328}"/>
    <hyperlink ref="B53" r:id="rId48" xr:uid="{602F4606-7364-48A1-8029-7F1AF5473A57}"/>
    <hyperlink ref="B54" r:id="rId49" xr:uid="{6087AAE2-2054-49AA-BF3F-CF87360C0651}"/>
    <hyperlink ref="B55" r:id="rId50" xr:uid="{E080F694-6DCF-449B-8EF5-1ECD83EB2AF2}"/>
    <hyperlink ref="B56" r:id="rId51" xr:uid="{902BB104-8768-4C75-9E91-201EC2CB0974}"/>
    <hyperlink ref="B57" r:id="rId52" xr:uid="{D28B9597-1AC1-41E4-8357-9EE6B8520984}"/>
    <hyperlink ref="B58" r:id="rId53" xr:uid="{6C34F62A-7E28-4F77-9DC8-0564CEDA8CC5}"/>
    <hyperlink ref="B59" r:id="rId54" xr:uid="{DC060468-E50E-481D-A552-771FA8B7B0C8}"/>
    <hyperlink ref="B60" r:id="rId55" xr:uid="{36415A52-4CCD-4344-B4BE-AA0C7DF59437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86C19-60B0-44D5-A9E5-0FFB77FC74F0}">
  <sheetPr codeName="Sheet12"/>
  <dimension ref="A5:Z27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30.28515625" bestFit="1" customWidth="1"/>
    <col min="3" max="3" width="96.42578125" bestFit="1" customWidth="1"/>
    <col min="4" max="4" width="12.28515625" bestFit="1" customWidth="1"/>
    <col min="5" max="5" width="8.42578125" bestFit="1" customWidth="1"/>
    <col min="6" max="6" width="8.85546875" bestFit="1" customWidth="1"/>
    <col min="7" max="7" width="19.28515625" bestFit="1" customWidth="1"/>
    <col min="8" max="8" width="10.85546875" bestFit="1" customWidth="1"/>
    <col min="9" max="9" width="12.140625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336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141</v>
      </c>
      <c r="B6" s="35" t="s">
        <v>93</v>
      </c>
      <c r="C6" s="1" t="s">
        <v>94</v>
      </c>
      <c r="D6" s="2" t="s">
        <v>101</v>
      </c>
      <c r="E6" s="2" t="s">
        <v>95</v>
      </c>
      <c r="F6" s="1"/>
      <c r="G6" s="32">
        <v>2736.7799999999997</v>
      </c>
      <c r="H6" s="32"/>
      <c r="I6" s="32">
        <f t="shared" ref="I6:I27" si="0">G6-H6</f>
        <v>2736.7799999999997</v>
      </c>
      <c r="J6" s="4">
        <f>G6/VLOOKUP(A6,RESUME!$G$3:$I$10,3,FALSE)</f>
        <v>2.7232510432328692E-2</v>
      </c>
      <c r="K6" s="4" t="str">
        <f t="shared" ref="K6:K27" si="1">IFERROR((G6/H6)*J6,"")</f>
        <v/>
      </c>
      <c r="L6" s="36" t="s">
        <v>360</v>
      </c>
    </row>
    <row r="7" spans="1:26" ht="15.75" x14ac:dyDescent="0.25">
      <c r="A7" s="1" t="s">
        <v>141</v>
      </c>
      <c r="B7" s="35" t="s">
        <v>102</v>
      </c>
      <c r="C7" s="1" t="s">
        <v>103</v>
      </c>
      <c r="D7" s="2" t="s">
        <v>101</v>
      </c>
      <c r="E7" s="2" t="s">
        <v>75</v>
      </c>
      <c r="F7" s="1"/>
      <c r="G7" s="32">
        <v>200</v>
      </c>
      <c r="H7" s="32"/>
      <c r="I7" s="32">
        <f t="shared" si="0"/>
        <v>200</v>
      </c>
      <c r="J7" s="4">
        <f>G7/VLOOKUP(A7,RESUME!$G$3:$I$10,3,FALSE)</f>
        <v>1.990113230316554E-3</v>
      </c>
      <c r="K7" s="4" t="str">
        <f t="shared" si="1"/>
        <v/>
      </c>
      <c r="L7" s="36" t="s">
        <v>360</v>
      </c>
    </row>
    <row r="8" spans="1:26" ht="15.75" x14ac:dyDescent="0.25">
      <c r="A8" s="1" t="s">
        <v>141</v>
      </c>
      <c r="B8" s="35" t="s">
        <v>118</v>
      </c>
      <c r="C8" s="1" t="s">
        <v>119</v>
      </c>
      <c r="D8" s="2" t="s">
        <v>101</v>
      </c>
      <c r="E8" s="2" t="s">
        <v>95</v>
      </c>
      <c r="F8" s="1"/>
      <c r="G8" s="32">
        <v>1460</v>
      </c>
      <c r="H8" s="32">
        <v>2181.4299999999998</v>
      </c>
      <c r="I8" s="40">
        <f t="shared" si="0"/>
        <v>-721.42999999999984</v>
      </c>
      <c r="J8" s="4">
        <f>G8/VLOOKUP(A8,RESUME!$G$3:$I$10,3,FALSE)</f>
        <v>1.4527826581310844E-2</v>
      </c>
      <c r="K8" s="4">
        <f t="shared" si="1"/>
        <v>9.7232672186198209E-3</v>
      </c>
      <c r="L8" s="36" t="s">
        <v>361</v>
      </c>
    </row>
    <row r="9" spans="1:26" ht="15.75" x14ac:dyDescent="0.25">
      <c r="A9" s="1" t="s">
        <v>141</v>
      </c>
      <c r="B9" s="35" t="s">
        <v>128</v>
      </c>
      <c r="C9" s="1" t="s">
        <v>129</v>
      </c>
      <c r="D9" s="2" t="s">
        <v>101</v>
      </c>
      <c r="E9" s="2" t="s">
        <v>75</v>
      </c>
      <c r="F9" s="1"/>
      <c r="G9" s="32">
        <v>4235.2299999999996</v>
      </c>
      <c r="H9" s="32"/>
      <c r="I9" s="32">
        <f t="shared" si="0"/>
        <v>4235.2299999999996</v>
      </c>
      <c r="J9" s="4">
        <f>G9/VLOOKUP(A9,RESUME!$G$3:$I$10,3,FALSE)</f>
        <v>4.2142936282167892E-2</v>
      </c>
      <c r="K9" s="4" t="str">
        <f t="shared" si="1"/>
        <v/>
      </c>
      <c r="L9" s="36" t="s">
        <v>360</v>
      </c>
    </row>
    <row r="10" spans="1:26" ht="15.75" x14ac:dyDescent="0.25">
      <c r="A10" s="1" t="s">
        <v>141</v>
      </c>
      <c r="B10" s="35" t="s">
        <v>130</v>
      </c>
      <c r="C10" s="1" t="s">
        <v>142</v>
      </c>
      <c r="D10" s="2" t="s">
        <v>101</v>
      </c>
      <c r="E10" s="2" t="s">
        <v>75</v>
      </c>
      <c r="F10" s="1"/>
      <c r="G10" s="32">
        <v>821.62</v>
      </c>
      <c r="H10" s="32"/>
      <c r="I10" s="40">
        <f t="shared" si="0"/>
        <v>821.62</v>
      </c>
      <c r="J10" s="4">
        <f>G10/VLOOKUP(A10,RESUME!$G$3:$I$10,3,FALSE)</f>
        <v>8.175584161463436E-3</v>
      </c>
      <c r="K10" s="4" t="str">
        <f t="shared" si="1"/>
        <v/>
      </c>
      <c r="L10" s="36" t="s">
        <v>360</v>
      </c>
    </row>
    <row r="11" spans="1:26" ht="15.75" x14ac:dyDescent="0.25">
      <c r="A11" s="1" t="s">
        <v>141</v>
      </c>
      <c r="B11" s="35" t="s">
        <v>134</v>
      </c>
      <c r="C11" s="1" t="s">
        <v>135</v>
      </c>
      <c r="D11" s="2" t="s">
        <v>101</v>
      </c>
      <c r="E11" s="2" t="s">
        <v>75</v>
      </c>
      <c r="F11" s="1"/>
      <c r="G11" s="32">
        <v>55</v>
      </c>
      <c r="H11" s="32"/>
      <c r="I11" s="32">
        <f t="shared" si="0"/>
        <v>55</v>
      </c>
      <c r="J11" s="4">
        <f>G11/VLOOKUP(A11,RESUME!$G$3:$I$10,3,FALSE)</f>
        <v>5.4728113833705236E-4</v>
      </c>
      <c r="K11" s="4" t="str">
        <f t="shared" si="1"/>
        <v/>
      </c>
      <c r="L11" s="36" t="s">
        <v>360</v>
      </c>
    </row>
    <row r="12" spans="1:26" ht="15.75" x14ac:dyDescent="0.25">
      <c r="A12" s="1" t="s">
        <v>141</v>
      </c>
      <c r="B12" s="35" t="s">
        <v>138</v>
      </c>
      <c r="C12" s="1" t="s">
        <v>139</v>
      </c>
      <c r="D12" s="2" t="s">
        <v>101</v>
      </c>
      <c r="E12" s="2" t="s">
        <v>75</v>
      </c>
      <c r="F12" s="1"/>
      <c r="G12" s="32">
        <v>20.09</v>
      </c>
      <c r="H12" s="32"/>
      <c r="I12" s="32">
        <f t="shared" si="0"/>
        <v>20.09</v>
      </c>
      <c r="J12" s="4">
        <f>G12/VLOOKUP(A12,RESUME!$G$3:$I$10,3,FALSE)</f>
        <v>1.9990687398529784E-4</v>
      </c>
      <c r="K12" s="4" t="str">
        <f t="shared" si="1"/>
        <v/>
      </c>
      <c r="L12" s="36" t="s">
        <v>360</v>
      </c>
    </row>
    <row r="13" spans="1:26" ht="15.75" x14ac:dyDescent="0.25">
      <c r="A13" s="1" t="s">
        <v>141</v>
      </c>
      <c r="B13" s="35" t="s">
        <v>80</v>
      </c>
      <c r="C13" s="1" t="s">
        <v>81</v>
      </c>
      <c r="D13" s="2" t="s">
        <v>101</v>
      </c>
      <c r="E13" s="2" t="s">
        <v>143</v>
      </c>
      <c r="F13" s="1"/>
      <c r="G13" s="32">
        <v>563</v>
      </c>
      <c r="H13" s="32">
        <v>84.77</v>
      </c>
      <c r="I13" s="40">
        <f t="shared" si="0"/>
        <v>478.23</v>
      </c>
      <c r="J13" s="4">
        <f>G13/VLOOKUP(A13,RESUME!$G$3:$I$10,3,FALSE)</f>
        <v>5.6021687433410999E-3</v>
      </c>
      <c r="K13" s="4">
        <f t="shared" si="1"/>
        <v>3.7206806682800984E-2</v>
      </c>
      <c r="L13" s="36" t="s">
        <v>360</v>
      </c>
    </row>
    <row r="14" spans="1:26" ht="15.75" x14ac:dyDescent="0.25">
      <c r="A14" s="1" t="s">
        <v>141</v>
      </c>
      <c r="B14" s="35" t="s">
        <v>104</v>
      </c>
      <c r="C14" s="1" t="s">
        <v>105</v>
      </c>
      <c r="D14" s="2" t="s">
        <v>101</v>
      </c>
      <c r="E14" s="2" t="s">
        <v>143</v>
      </c>
      <c r="F14" s="1"/>
      <c r="G14" s="32">
        <v>50</v>
      </c>
      <c r="H14" s="32"/>
      <c r="I14" s="32">
        <f t="shared" si="0"/>
        <v>50</v>
      </c>
      <c r="J14" s="4">
        <f>G14/VLOOKUP(A14,RESUME!$G$3:$I$10,3,FALSE)</f>
        <v>4.9752830757913849E-4</v>
      </c>
      <c r="K14" s="4" t="str">
        <f t="shared" si="1"/>
        <v/>
      </c>
      <c r="L14" s="36" t="s">
        <v>360</v>
      </c>
    </row>
    <row r="15" spans="1:26" ht="15.75" x14ac:dyDescent="0.25">
      <c r="A15" s="1" t="s">
        <v>141</v>
      </c>
      <c r="B15" s="35" t="s">
        <v>106</v>
      </c>
      <c r="C15" s="1" t="s">
        <v>107</v>
      </c>
      <c r="D15" s="2" t="s">
        <v>101</v>
      </c>
      <c r="E15" s="2" t="s">
        <v>143</v>
      </c>
      <c r="F15" s="1"/>
      <c r="G15" s="32">
        <v>50</v>
      </c>
      <c r="H15" s="32"/>
      <c r="I15" s="32">
        <f t="shared" si="0"/>
        <v>50</v>
      </c>
      <c r="J15" s="4">
        <f>G15/VLOOKUP(A15,RESUME!$G$3:$I$10,3,FALSE)</f>
        <v>4.9752830757913849E-4</v>
      </c>
      <c r="K15" s="4" t="str">
        <f t="shared" si="1"/>
        <v/>
      </c>
      <c r="L15" s="36" t="s">
        <v>360</v>
      </c>
    </row>
    <row r="16" spans="1:26" ht="15.75" x14ac:dyDescent="0.25">
      <c r="A16" s="1" t="s">
        <v>141</v>
      </c>
      <c r="B16" s="35" t="s">
        <v>108</v>
      </c>
      <c r="C16" s="1" t="s">
        <v>109</v>
      </c>
      <c r="D16" s="2" t="s">
        <v>101</v>
      </c>
      <c r="E16" s="2" t="s">
        <v>143</v>
      </c>
      <c r="F16" s="1"/>
      <c r="G16" s="32">
        <v>50</v>
      </c>
      <c r="H16" s="32"/>
      <c r="I16" s="32">
        <f t="shared" si="0"/>
        <v>50</v>
      </c>
      <c r="J16" s="4">
        <f>G16/VLOOKUP(A16,RESUME!$G$3:$I$10,3,FALSE)</f>
        <v>4.9752830757913849E-4</v>
      </c>
      <c r="K16" s="4" t="str">
        <f t="shared" si="1"/>
        <v/>
      </c>
      <c r="L16" s="36" t="s">
        <v>360</v>
      </c>
    </row>
    <row r="17" spans="1:12" ht="15.75" x14ac:dyDescent="0.25">
      <c r="A17" s="1" t="s">
        <v>141</v>
      </c>
      <c r="B17" s="35" t="s">
        <v>110</v>
      </c>
      <c r="C17" s="1" t="s">
        <v>111</v>
      </c>
      <c r="D17" s="2" t="s">
        <v>101</v>
      </c>
      <c r="E17" s="2" t="s">
        <v>143</v>
      </c>
      <c r="F17" s="1"/>
      <c r="G17" s="32">
        <v>50</v>
      </c>
      <c r="H17" s="32"/>
      <c r="I17" s="32">
        <f t="shared" si="0"/>
        <v>50</v>
      </c>
      <c r="J17" s="4">
        <f>G17/VLOOKUP(A17,RESUME!$G$3:$I$10,3,FALSE)</f>
        <v>4.9752830757913849E-4</v>
      </c>
      <c r="K17" s="4" t="str">
        <f t="shared" si="1"/>
        <v/>
      </c>
      <c r="L17" s="36" t="s">
        <v>360</v>
      </c>
    </row>
    <row r="18" spans="1:12" ht="15.75" x14ac:dyDescent="0.25">
      <c r="A18" s="1" t="s">
        <v>141</v>
      </c>
      <c r="B18" s="35" t="s">
        <v>112</v>
      </c>
      <c r="C18" s="1" t="s">
        <v>113</v>
      </c>
      <c r="D18" s="2" t="s">
        <v>101</v>
      </c>
      <c r="E18" s="2" t="s">
        <v>143</v>
      </c>
      <c r="F18" s="1"/>
      <c r="G18" s="32">
        <v>50</v>
      </c>
      <c r="H18" s="32"/>
      <c r="I18" s="32">
        <f t="shared" si="0"/>
        <v>50</v>
      </c>
      <c r="J18" s="4">
        <f>G18/VLOOKUP(A18,RESUME!$G$3:$I$10,3,FALSE)</f>
        <v>4.9752830757913849E-4</v>
      </c>
      <c r="K18" s="4" t="str">
        <f t="shared" si="1"/>
        <v/>
      </c>
      <c r="L18" s="36" t="s">
        <v>360</v>
      </c>
    </row>
    <row r="19" spans="1:12" ht="15.75" x14ac:dyDescent="0.25">
      <c r="A19" s="1" t="s">
        <v>141</v>
      </c>
      <c r="B19" s="35" t="s">
        <v>114</v>
      </c>
      <c r="C19" s="1" t="s">
        <v>115</v>
      </c>
      <c r="D19" s="2" t="s">
        <v>101</v>
      </c>
      <c r="E19" s="2" t="s">
        <v>143</v>
      </c>
      <c r="F19" s="1"/>
      <c r="G19" s="32">
        <v>50</v>
      </c>
      <c r="H19" s="32"/>
      <c r="I19" s="32">
        <f t="shared" si="0"/>
        <v>50</v>
      </c>
      <c r="J19" s="4">
        <f>G19/VLOOKUP(A19,RESUME!$G$3:$I$10,3,FALSE)</f>
        <v>4.9752830757913849E-4</v>
      </c>
      <c r="K19" s="4" t="str">
        <f t="shared" si="1"/>
        <v/>
      </c>
      <c r="L19" s="36" t="s">
        <v>360</v>
      </c>
    </row>
    <row r="20" spans="1:12" ht="15.75" x14ac:dyDescent="0.25">
      <c r="A20" s="1" t="s">
        <v>141</v>
      </c>
      <c r="B20" s="35" t="s">
        <v>124</v>
      </c>
      <c r="C20" s="1" t="s">
        <v>125</v>
      </c>
      <c r="D20" s="2" t="s">
        <v>101</v>
      </c>
      <c r="E20" s="2" t="s">
        <v>143</v>
      </c>
      <c r="F20" s="1"/>
      <c r="G20" s="32">
        <v>3978</v>
      </c>
      <c r="H20" s="32">
        <v>2813.51</v>
      </c>
      <c r="I20" s="40">
        <f t="shared" si="0"/>
        <v>1164.4899999999998</v>
      </c>
      <c r="J20" s="4">
        <f>G20/VLOOKUP(A20,RESUME!$G$3:$I$10,3,FALSE)</f>
        <v>3.9583352150996259E-2</v>
      </c>
      <c r="K20" s="4">
        <f t="shared" si="1"/>
        <v>5.5966595056233359E-2</v>
      </c>
      <c r="L20" s="36" t="s">
        <v>360</v>
      </c>
    </row>
    <row r="21" spans="1:12" ht="15.75" x14ac:dyDescent="0.25">
      <c r="A21" s="1" t="s">
        <v>141</v>
      </c>
      <c r="B21" s="35" t="s">
        <v>70</v>
      </c>
      <c r="C21" s="1" t="s">
        <v>71</v>
      </c>
      <c r="D21" s="2" t="s">
        <v>101</v>
      </c>
      <c r="E21" s="2" t="s">
        <v>144</v>
      </c>
      <c r="F21" s="1"/>
      <c r="G21" s="32">
        <v>5000</v>
      </c>
      <c r="H21" s="32">
        <v>3055.97</v>
      </c>
      <c r="I21" s="40">
        <f t="shared" si="0"/>
        <v>1944.0300000000002</v>
      </c>
      <c r="J21" s="4">
        <f>G21/VLOOKUP(A21,RESUME!$G$3:$I$10,3,FALSE)</f>
        <v>4.9752830757913848E-2</v>
      </c>
      <c r="K21" s="4">
        <f t="shared" si="1"/>
        <v>8.1402681894642046E-2</v>
      </c>
      <c r="L21" s="36" t="s">
        <v>360</v>
      </c>
    </row>
    <row r="22" spans="1:12" ht="15.75" x14ac:dyDescent="0.25">
      <c r="A22" s="1" t="s">
        <v>141</v>
      </c>
      <c r="B22" s="35" t="s">
        <v>76</v>
      </c>
      <c r="C22" s="1" t="s">
        <v>77</v>
      </c>
      <c r="D22" s="2" t="s">
        <v>101</v>
      </c>
      <c r="E22" s="2" t="s">
        <v>75</v>
      </c>
      <c r="F22" s="1"/>
      <c r="G22" s="32">
        <v>3463.43</v>
      </c>
      <c r="H22" s="32">
        <v>3779.14</v>
      </c>
      <c r="I22" s="40">
        <f t="shared" si="0"/>
        <v>-315.71000000000004</v>
      </c>
      <c r="J22" s="4">
        <f>G22/VLOOKUP(A22,RESUME!$G$3:$I$10,3,FALSE)</f>
        <v>3.446308932637631E-2</v>
      </c>
      <c r="K22" s="4">
        <f t="shared" si="1"/>
        <v>3.1584036967577681E-2</v>
      </c>
      <c r="L22" s="36" t="s">
        <v>361</v>
      </c>
    </row>
    <row r="23" spans="1:12" ht="15.75" x14ac:dyDescent="0.25">
      <c r="A23" s="1" t="s">
        <v>141</v>
      </c>
      <c r="B23" s="35" t="s">
        <v>87</v>
      </c>
      <c r="C23" s="1" t="s">
        <v>88</v>
      </c>
      <c r="D23" s="2" t="s">
        <v>101</v>
      </c>
      <c r="E23" s="2" t="s">
        <v>75</v>
      </c>
      <c r="F23" s="1"/>
      <c r="G23" s="32">
        <v>23.95</v>
      </c>
      <c r="H23" s="32"/>
      <c r="I23" s="32">
        <f t="shared" si="0"/>
        <v>23.95</v>
      </c>
      <c r="J23" s="4">
        <f>G23/VLOOKUP(A23,RESUME!$G$3:$I$10,3,FALSE)</f>
        <v>2.3831605933040734E-4</v>
      </c>
      <c r="K23" s="4" t="str">
        <f t="shared" si="1"/>
        <v/>
      </c>
      <c r="L23" s="36" t="s">
        <v>360</v>
      </c>
    </row>
    <row r="24" spans="1:12" ht="15.75" x14ac:dyDescent="0.25">
      <c r="A24" s="1" t="s">
        <v>141</v>
      </c>
      <c r="B24" s="35" t="s">
        <v>96</v>
      </c>
      <c r="C24" s="1" t="s">
        <v>97</v>
      </c>
      <c r="D24" s="2" t="s">
        <v>101</v>
      </c>
      <c r="E24" s="2" t="s">
        <v>145</v>
      </c>
      <c r="F24" s="1"/>
      <c r="G24" s="32">
        <v>47747.46</v>
      </c>
      <c r="H24" s="32"/>
      <c r="I24" s="32">
        <f t="shared" si="0"/>
        <v>47747.46</v>
      </c>
      <c r="J24" s="4">
        <f>G24/VLOOKUP(A24,RESUME!$G$3:$I$10,3,FALSE)</f>
        <v>0.47511425930005224</v>
      </c>
      <c r="K24" s="4" t="str">
        <f t="shared" si="1"/>
        <v/>
      </c>
      <c r="L24" s="36" t="s">
        <v>360</v>
      </c>
    </row>
    <row r="25" spans="1:12" ht="15.75" x14ac:dyDescent="0.25">
      <c r="A25" s="1" t="s">
        <v>141</v>
      </c>
      <c r="B25" s="35" t="s">
        <v>146</v>
      </c>
      <c r="C25" s="1" t="s">
        <v>147</v>
      </c>
      <c r="D25" s="2" t="s">
        <v>101</v>
      </c>
      <c r="E25" s="2" t="s">
        <v>148</v>
      </c>
      <c r="F25" s="1"/>
      <c r="G25" s="32">
        <v>2800</v>
      </c>
      <c r="H25" s="32"/>
      <c r="I25" s="32">
        <f t="shared" si="0"/>
        <v>2800</v>
      </c>
      <c r="J25" s="4">
        <f>G25/VLOOKUP(A25,RESUME!$G$3:$I$10,3,FALSE)</f>
        <v>2.7861585224431756E-2</v>
      </c>
      <c r="K25" s="4" t="str">
        <f t="shared" si="1"/>
        <v/>
      </c>
      <c r="L25" s="36" t="s">
        <v>360</v>
      </c>
    </row>
    <row r="26" spans="1:12" ht="15.75" x14ac:dyDescent="0.25">
      <c r="A26" s="1" t="s">
        <v>141</v>
      </c>
      <c r="B26" s="35" t="s">
        <v>26</v>
      </c>
      <c r="C26" s="1" t="s">
        <v>27</v>
      </c>
      <c r="D26" s="2" t="s">
        <v>101</v>
      </c>
      <c r="E26" s="2" t="s">
        <v>149</v>
      </c>
      <c r="F26" s="1"/>
      <c r="G26" s="32">
        <v>812</v>
      </c>
      <c r="H26" s="32">
        <v>343.88</v>
      </c>
      <c r="I26" s="40">
        <f t="shared" si="0"/>
        <v>468.12</v>
      </c>
      <c r="J26" s="4">
        <f>G26/VLOOKUP(A26,RESUME!$G$3:$I$10,3,FALSE)</f>
        <v>8.0798597150852098E-3</v>
      </c>
      <c r="K26" s="4">
        <f t="shared" si="1"/>
        <v>1.907888242598927E-2</v>
      </c>
      <c r="L26" s="36" t="s">
        <v>360</v>
      </c>
    </row>
    <row r="27" spans="1:12" ht="15.75" x14ac:dyDescent="0.25">
      <c r="A27" s="1" t="s">
        <v>141</v>
      </c>
      <c r="B27" s="35" t="s">
        <v>37</v>
      </c>
      <c r="C27" s="1" t="s">
        <v>38</v>
      </c>
      <c r="D27" s="2" t="s">
        <v>150</v>
      </c>
      <c r="E27" s="2" t="s">
        <v>151</v>
      </c>
      <c r="F27" s="1"/>
      <c r="G27" s="32">
        <v>26280.234329731342</v>
      </c>
      <c r="H27" s="32"/>
      <c r="I27" s="32">
        <f t="shared" si="0"/>
        <v>26280.234329731342</v>
      </c>
      <c r="J27" s="4">
        <f>G27/VLOOKUP(A27,RESUME!$G$3:$I$10,3,FALSE)</f>
        <v>0.26150321017708822</v>
      </c>
      <c r="K27" s="4" t="str">
        <f t="shared" si="1"/>
        <v/>
      </c>
      <c r="L27" s="36" t="s">
        <v>360</v>
      </c>
    </row>
  </sheetData>
  <conditionalFormatting sqref="L6:L27">
    <cfRule type="containsText" dxfId="2" priority="1" operator="containsText" text="OVER">
      <formula>NOT(ISERROR(SEARCH("OVER",L6)))</formula>
    </cfRule>
  </conditionalFormatting>
  <hyperlinks>
    <hyperlink ref="B6" r:id="rId1" xr:uid="{03E554C8-73F2-41C1-B8D4-4AE5D69B2AA4}"/>
    <hyperlink ref="B7" r:id="rId2" xr:uid="{F2899100-4B63-40AF-9968-441206C6ECD0}"/>
    <hyperlink ref="B8" r:id="rId3" xr:uid="{892F8177-68CE-4C9E-B4AF-3C37135DC4E8}"/>
    <hyperlink ref="B9" r:id="rId4" xr:uid="{C57636C3-4428-4081-95A6-50A865259DAE}"/>
    <hyperlink ref="B10" r:id="rId5" xr:uid="{7ABF4584-9FC4-464C-B19F-A7DF6C5B59A4}"/>
    <hyperlink ref="B11" r:id="rId6" xr:uid="{1FAA1817-0746-46FE-AD42-188B9E6F1D1C}"/>
    <hyperlink ref="B12" r:id="rId7" xr:uid="{B011B1D1-5C97-4B27-AC35-3863084AC767}"/>
    <hyperlink ref="B13" r:id="rId8" xr:uid="{CC03C644-A0A8-4FAC-B3DD-AD69A9E884E6}"/>
    <hyperlink ref="B14" r:id="rId9" xr:uid="{A5685D79-FDC7-4103-89B4-A62CDEA4D450}"/>
    <hyperlink ref="B15" r:id="rId10" xr:uid="{1F341F69-E49F-4B17-A041-C4EE40F26A7B}"/>
    <hyperlink ref="B16" r:id="rId11" xr:uid="{E7DF1172-5AFB-4E65-BA64-42EFA9C4466E}"/>
    <hyperlink ref="B17" r:id="rId12" xr:uid="{ED939369-96FD-4325-9A60-C995E2AA359F}"/>
    <hyperlink ref="B18" r:id="rId13" xr:uid="{640F909E-676A-4E18-B90A-8D1439F25E71}"/>
    <hyperlink ref="B19" r:id="rId14" xr:uid="{AB74213E-4900-419F-9DC3-F09A7F7030A5}"/>
    <hyperlink ref="B20" r:id="rId15" xr:uid="{CA0428CC-3E19-4D46-BCD6-41D168B27A30}"/>
    <hyperlink ref="B21" r:id="rId16" xr:uid="{7FADA321-F401-44C9-B4E9-7CB5F9A41FFE}"/>
    <hyperlink ref="B22" r:id="rId17" xr:uid="{DBAC2F13-74F1-450F-81C4-57273A98E609}"/>
    <hyperlink ref="B23" r:id="rId18" xr:uid="{0E0793CD-FEFD-4264-8C93-7F8EB1CF5A9B}"/>
    <hyperlink ref="B24" r:id="rId19" xr:uid="{413C6564-3BA6-4F5D-9AED-DD19D53863A2}"/>
    <hyperlink ref="B25" r:id="rId20" xr:uid="{32DAF427-EC6E-4513-A1DA-FA4E82598135}"/>
    <hyperlink ref="B26" r:id="rId21" xr:uid="{1F167644-2646-4923-A21D-4316C1D80FB0}"/>
    <hyperlink ref="B27" r:id="rId22" xr:uid="{7C9BC80D-1420-4419-AEF7-FF09A91C0761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752AC-667E-4749-AB9A-D395E10C1803}">
  <sheetPr codeName="Sheet13"/>
  <dimension ref="A5:Z42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26.140625" bestFit="1" customWidth="1"/>
    <col min="3" max="3" width="86.85546875" bestFit="1" customWidth="1"/>
    <col min="4" max="4" width="11.85546875" bestFit="1" customWidth="1"/>
    <col min="5" max="5" width="10.7109375" bestFit="1" customWidth="1"/>
    <col min="6" max="6" width="8.85546875" bestFit="1" customWidth="1"/>
    <col min="7" max="7" width="19.28515625" bestFit="1" customWidth="1"/>
    <col min="8" max="8" width="10.85546875" bestFit="1" customWidth="1"/>
    <col min="9" max="9" width="12.140625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336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328</v>
      </c>
      <c r="B6" s="35" t="s">
        <v>78</v>
      </c>
      <c r="C6" s="1" t="s">
        <v>79</v>
      </c>
      <c r="D6" s="2" t="s">
        <v>24</v>
      </c>
      <c r="E6" s="2" t="s">
        <v>72</v>
      </c>
      <c r="F6" s="1"/>
      <c r="G6" s="32">
        <v>137.53</v>
      </c>
      <c r="H6" s="32"/>
      <c r="I6" s="40">
        <f t="shared" ref="I6:I42" si="0">G6-H6</f>
        <v>137.53</v>
      </c>
      <c r="J6" s="4">
        <f>G6/VLOOKUP(A6,RESUME!$G$3:$I$10,3,FALSE)</f>
        <v>5.5495675892985874E-4</v>
      </c>
      <c r="K6" s="4" t="str">
        <f t="shared" ref="K6:K42" si="1">IFERROR((G6/H6)*J6,"")</f>
        <v/>
      </c>
      <c r="L6" s="36" t="s">
        <v>360</v>
      </c>
    </row>
    <row r="7" spans="1:26" ht="15.75" x14ac:dyDescent="0.25">
      <c r="A7" s="1" t="s">
        <v>328</v>
      </c>
      <c r="B7" s="35" t="s">
        <v>93</v>
      </c>
      <c r="C7" s="1" t="s">
        <v>94</v>
      </c>
      <c r="D7" s="2" t="s">
        <v>24</v>
      </c>
      <c r="E7" s="2" t="s">
        <v>95</v>
      </c>
      <c r="F7" s="1"/>
      <c r="G7" s="32">
        <v>5157.3999999999996</v>
      </c>
      <c r="H7" s="32"/>
      <c r="I7" s="32">
        <f t="shared" si="0"/>
        <v>5157.3999999999996</v>
      </c>
      <c r="J7" s="4">
        <f>G7/VLOOKUP(A7,RESUME!$G$3:$I$10,3,FALSE)</f>
        <v>2.0810979339088584E-2</v>
      </c>
      <c r="K7" s="4" t="str">
        <f t="shared" si="1"/>
        <v/>
      </c>
      <c r="L7" s="36" t="s">
        <v>360</v>
      </c>
    </row>
    <row r="8" spans="1:26" ht="15.75" x14ac:dyDescent="0.25">
      <c r="A8" s="1" t="s">
        <v>328</v>
      </c>
      <c r="B8" s="35" t="s">
        <v>102</v>
      </c>
      <c r="C8" s="1" t="s">
        <v>103</v>
      </c>
      <c r="D8" s="2" t="s">
        <v>24</v>
      </c>
      <c r="E8" s="2" t="s">
        <v>75</v>
      </c>
      <c r="F8" s="1"/>
      <c r="G8" s="32">
        <v>500</v>
      </c>
      <c r="H8" s="32"/>
      <c r="I8" s="40">
        <f t="shared" si="0"/>
        <v>500</v>
      </c>
      <c r="J8" s="4">
        <f>G8/VLOOKUP(A8,RESUME!$G$3:$I$10,3,FALSE)</f>
        <v>2.0175843776988971E-3</v>
      </c>
      <c r="K8" s="4" t="str">
        <f t="shared" si="1"/>
        <v/>
      </c>
      <c r="L8" s="36" t="s">
        <v>360</v>
      </c>
    </row>
    <row r="9" spans="1:26" ht="15.75" x14ac:dyDescent="0.25">
      <c r="A9" s="1" t="s">
        <v>328</v>
      </c>
      <c r="B9" s="35" t="s">
        <v>114</v>
      </c>
      <c r="C9" s="1" t="s">
        <v>115</v>
      </c>
      <c r="D9" s="2" t="s">
        <v>24</v>
      </c>
      <c r="E9" s="2" t="s">
        <v>75</v>
      </c>
      <c r="F9" s="1"/>
      <c r="G9" s="32">
        <v>250</v>
      </c>
      <c r="H9" s="32"/>
      <c r="I9" s="32">
        <f t="shared" si="0"/>
        <v>250</v>
      </c>
      <c r="J9" s="4">
        <f>G9/VLOOKUP(A9,RESUME!$G$3:$I$10,3,FALSE)</f>
        <v>1.0087921888494486E-3</v>
      </c>
      <c r="K9" s="4" t="str">
        <f t="shared" si="1"/>
        <v/>
      </c>
      <c r="L9" s="36" t="s">
        <v>360</v>
      </c>
    </row>
    <row r="10" spans="1:26" ht="15.75" x14ac:dyDescent="0.25">
      <c r="A10" s="1" t="s">
        <v>328</v>
      </c>
      <c r="B10" s="35" t="s">
        <v>118</v>
      </c>
      <c r="C10" s="1" t="s">
        <v>119</v>
      </c>
      <c r="D10" s="2" t="s">
        <v>24</v>
      </c>
      <c r="E10" s="2" t="s">
        <v>95</v>
      </c>
      <c r="F10" s="1"/>
      <c r="G10" s="32">
        <v>3183.98</v>
      </c>
      <c r="H10" s="32">
        <v>3929.89</v>
      </c>
      <c r="I10" s="40">
        <f t="shared" si="0"/>
        <v>-745.90999999999985</v>
      </c>
      <c r="J10" s="4">
        <f>G10/VLOOKUP(A10,RESUME!$G$3:$I$10,3,FALSE)</f>
        <v>1.284789661381147E-2</v>
      </c>
      <c r="K10" s="4">
        <f t="shared" si="1"/>
        <v>1.040931065766305E-2</v>
      </c>
      <c r="L10" s="36" t="s">
        <v>361</v>
      </c>
    </row>
    <row r="11" spans="1:26" ht="15.75" x14ac:dyDescent="0.25">
      <c r="A11" s="1" t="s">
        <v>328</v>
      </c>
      <c r="B11" s="35" t="s">
        <v>130</v>
      </c>
      <c r="C11" s="1" t="s">
        <v>142</v>
      </c>
      <c r="D11" s="2" t="s">
        <v>24</v>
      </c>
      <c r="E11" s="2" t="s">
        <v>75</v>
      </c>
      <c r="F11" s="1"/>
      <c r="G11" s="32">
        <v>126.99</v>
      </c>
      <c r="H11" s="32"/>
      <c r="I11" s="40">
        <f t="shared" si="0"/>
        <v>126.99</v>
      </c>
      <c r="J11" s="4">
        <f>G11/VLOOKUP(A11,RESUME!$G$3:$I$10,3,FALSE)</f>
        <v>5.124260802479659E-4</v>
      </c>
      <c r="K11" s="4" t="str">
        <f t="shared" si="1"/>
        <v/>
      </c>
      <c r="L11" s="36" t="s">
        <v>360</v>
      </c>
    </row>
    <row r="12" spans="1:26" ht="15.75" x14ac:dyDescent="0.25">
      <c r="A12" s="1" t="s">
        <v>328</v>
      </c>
      <c r="B12" s="35" t="s">
        <v>21</v>
      </c>
      <c r="C12" s="1" t="s">
        <v>152</v>
      </c>
      <c r="D12" s="2" t="s">
        <v>24</v>
      </c>
      <c r="E12" s="2" t="s">
        <v>75</v>
      </c>
      <c r="F12" s="1"/>
      <c r="G12" s="32">
        <v>754.58</v>
      </c>
      <c r="H12" s="32"/>
      <c r="I12" s="32">
        <f t="shared" si="0"/>
        <v>754.58</v>
      </c>
      <c r="J12" s="4">
        <f>G12/VLOOKUP(A12,RESUME!$G$3:$I$10,3,FALSE)</f>
        <v>3.0448576394480681E-3</v>
      </c>
      <c r="K12" s="4" t="str">
        <f t="shared" si="1"/>
        <v/>
      </c>
      <c r="L12" s="36" t="s">
        <v>360</v>
      </c>
    </row>
    <row r="13" spans="1:26" ht="15.75" x14ac:dyDescent="0.25">
      <c r="A13" s="1" t="s">
        <v>328</v>
      </c>
      <c r="B13" s="35" t="s">
        <v>70</v>
      </c>
      <c r="C13" s="1" t="s">
        <v>71</v>
      </c>
      <c r="D13" s="2" t="s">
        <v>24</v>
      </c>
      <c r="E13" s="2" t="s">
        <v>72</v>
      </c>
      <c r="F13" s="1"/>
      <c r="G13" s="32">
        <v>6722.26</v>
      </c>
      <c r="H13" s="32">
        <v>3755.27</v>
      </c>
      <c r="I13" s="40">
        <f t="shared" si="0"/>
        <v>2966.9900000000002</v>
      </c>
      <c r="J13" s="4">
        <f>G13/VLOOKUP(A13,RESUME!$G$3:$I$10,3,FALSE)</f>
        <v>2.7125453517660381E-2</v>
      </c>
      <c r="K13" s="4">
        <f t="shared" si="1"/>
        <v>4.8556921649742277E-2</v>
      </c>
      <c r="L13" s="36" t="s">
        <v>360</v>
      </c>
    </row>
    <row r="14" spans="1:26" ht="15.75" x14ac:dyDescent="0.25">
      <c r="A14" s="1" t="s">
        <v>328</v>
      </c>
      <c r="B14" s="35" t="s">
        <v>76</v>
      </c>
      <c r="C14" s="1" t="s">
        <v>77</v>
      </c>
      <c r="D14" s="2" t="s">
        <v>24</v>
      </c>
      <c r="E14" s="2" t="s">
        <v>75</v>
      </c>
      <c r="F14" s="1"/>
      <c r="G14" s="32">
        <v>5152.29</v>
      </c>
      <c r="H14" s="32">
        <v>4098.6000000000004</v>
      </c>
      <c r="I14" s="40">
        <f t="shared" si="0"/>
        <v>1053.6899999999996</v>
      </c>
      <c r="J14" s="4">
        <f>G14/VLOOKUP(A14,RESUME!$G$3:$I$10,3,FALSE)</f>
        <v>2.0790359626748502E-2</v>
      </c>
      <c r="K14" s="4">
        <f t="shared" si="1"/>
        <v>2.6135256429341735E-2</v>
      </c>
      <c r="L14" s="36" t="s">
        <v>360</v>
      </c>
    </row>
    <row r="15" spans="1:26" ht="15.75" x14ac:dyDescent="0.25">
      <c r="A15" s="1" t="s">
        <v>328</v>
      </c>
      <c r="B15" s="35" t="s">
        <v>80</v>
      </c>
      <c r="C15" s="1" t="s">
        <v>81</v>
      </c>
      <c r="D15" s="2" t="s">
        <v>24</v>
      </c>
      <c r="E15" s="2" t="s">
        <v>153</v>
      </c>
      <c r="F15" s="1"/>
      <c r="G15" s="32">
        <v>3188</v>
      </c>
      <c r="H15" s="32">
        <v>779.6</v>
      </c>
      <c r="I15" s="40">
        <f t="shared" si="0"/>
        <v>2408.4</v>
      </c>
      <c r="J15" s="4">
        <f>G15/VLOOKUP(A15,RESUME!$G$3:$I$10,3,FALSE)</f>
        <v>1.2864117992208169E-2</v>
      </c>
      <c r="K15" s="4">
        <f t="shared" si="1"/>
        <v>5.2604936068701438E-2</v>
      </c>
      <c r="L15" s="36" t="s">
        <v>360</v>
      </c>
    </row>
    <row r="16" spans="1:26" ht="15.75" x14ac:dyDescent="0.25">
      <c r="A16" s="1" t="s">
        <v>328</v>
      </c>
      <c r="B16" s="35" t="s">
        <v>154</v>
      </c>
      <c r="C16" s="1" t="s">
        <v>84</v>
      </c>
      <c r="D16" s="2" t="s">
        <v>24</v>
      </c>
      <c r="E16" s="2" t="s">
        <v>75</v>
      </c>
      <c r="F16" s="1"/>
      <c r="G16" s="32">
        <v>2043.4899999999998</v>
      </c>
      <c r="H16" s="32"/>
      <c r="I16" s="40">
        <f t="shared" si="0"/>
        <v>2043.4899999999998</v>
      </c>
      <c r="J16" s="4">
        <f>G16/VLOOKUP(A16,RESUME!$G$3:$I$10,3,FALSE)</f>
        <v>8.2458269999678389E-3</v>
      </c>
      <c r="K16" s="4" t="str">
        <f t="shared" si="1"/>
        <v/>
      </c>
      <c r="L16" s="36" t="s">
        <v>360</v>
      </c>
    </row>
    <row r="17" spans="1:12" ht="15.75" x14ac:dyDescent="0.25">
      <c r="A17" s="1" t="s">
        <v>328</v>
      </c>
      <c r="B17" s="35" t="s">
        <v>96</v>
      </c>
      <c r="C17" s="1" t="s">
        <v>97</v>
      </c>
      <c r="D17" s="2" t="s">
        <v>24</v>
      </c>
      <c r="E17" s="2" t="s">
        <v>155</v>
      </c>
      <c r="F17" s="1"/>
      <c r="G17" s="32">
        <v>78109.679999999993</v>
      </c>
      <c r="H17" s="32">
        <v>901.67</v>
      </c>
      <c r="I17" s="40">
        <f t="shared" si="0"/>
        <v>77208.009999999995</v>
      </c>
      <c r="J17" s="4">
        <f>G17/VLOOKUP(A17,RESUME!$G$3:$I$10,3,FALSE)</f>
        <v>0.31518574023011997</v>
      </c>
      <c r="K17" s="4">
        <f t="shared" si="1"/>
        <v>27.303844322133148</v>
      </c>
      <c r="L17" s="36" t="s">
        <v>360</v>
      </c>
    </row>
    <row r="18" spans="1:12" ht="15.75" x14ac:dyDescent="0.25">
      <c r="A18" s="1" t="s">
        <v>328</v>
      </c>
      <c r="B18" s="35" t="s">
        <v>104</v>
      </c>
      <c r="C18" s="1" t="s">
        <v>105</v>
      </c>
      <c r="D18" s="2" t="s">
        <v>24</v>
      </c>
      <c r="E18" s="2" t="s">
        <v>153</v>
      </c>
      <c r="F18" s="1"/>
      <c r="G18" s="32">
        <v>250</v>
      </c>
      <c r="H18" s="32"/>
      <c r="I18" s="32">
        <f t="shared" si="0"/>
        <v>250</v>
      </c>
      <c r="J18" s="4">
        <f>G18/VLOOKUP(A18,RESUME!$G$3:$I$10,3,FALSE)</f>
        <v>1.0087921888494486E-3</v>
      </c>
      <c r="K18" s="4" t="str">
        <f t="shared" si="1"/>
        <v/>
      </c>
      <c r="L18" s="36" t="s">
        <v>360</v>
      </c>
    </row>
    <row r="19" spans="1:12" ht="15.75" x14ac:dyDescent="0.25">
      <c r="A19" s="1" t="s">
        <v>328</v>
      </c>
      <c r="B19" s="35" t="s">
        <v>106</v>
      </c>
      <c r="C19" s="1" t="s">
        <v>107</v>
      </c>
      <c r="D19" s="2" t="s">
        <v>24</v>
      </c>
      <c r="E19" s="2" t="s">
        <v>153</v>
      </c>
      <c r="F19" s="1"/>
      <c r="G19" s="32">
        <v>250</v>
      </c>
      <c r="H19" s="32"/>
      <c r="I19" s="32">
        <f t="shared" si="0"/>
        <v>250</v>
      </c>
      <c r="J19" s="4">
        <f>G19/VLOOKUP(A19,RESUME!$G$3:$I$10,3,FALSE)</f>
        <v>1.0087921888494486E-3</v>
      </c>
      <c r="K19" s="4" t="str">
        <f t="shared" si="1"/>
        <v/>
      </c>
      <c r="L19" s="36" t="s">
        <v>360</v>
      </c>
    </row>
    <row r="20" spans="1:12" ht="15.75" x14ac:dyDescent="0.25">
      <c r="A20" s="1" t="s">
        <v>328</v>
      </c>
      <c r="B20" s="35" t="s">
        <v>108</v>
      </c>
      <c r="C20" s="1" t="s">
        <v>109</v>
      </c>
      <c r="D20" s="2" t="s">
        <v>24</v>
      </c>
      <c r="E20" s="2" t="s">
        <v>153</v>
      </c>
      <c r="F20" s="1"/>
      <c r="G20" s="32">
        <v>250</v>
      </c>
      <c r="H20" s="32"/>
      <c r="I20" s="32">
        <f t="shared" si="0"/>
        <v>250</v>
      </c>
      <c r="J20" s="4">
        <f>G20/VLOOKUP(A20,RESUME!$G$3:$I$10,3,FALSE)</f>
        <v>1.0087921888494486E-3</v>
      </c>
      <c r="K20" s="4" t="str">
        <f t="shared" si="1"/>
        <v/>
      </c>
      <c r="L20" s="36" t="s">
        <v>360</v>
      </c>
    </row>
    <row r="21" spans="1:12" ht="15.75" x14ac:dyDescent="0.25">
      <c r="A21" s="1" t="s">
        <v>328</v>
      </c>
      <c r="B21" s="35" t="s">
        <v>112</v>
      </c>
      <c r="C21" s="1" t="s">
        <v>113</v>
      </c>
      <c r="D21" s="2" t="s">
        <v>24</v>
      </c>
      <c r="E21" s="2" t="s">
        <v>153</v>
      </c>
      <c r="F21" s="1"/>
      <c r="G21" s="32">
        <v>250</v>
      </c>
      <c r="H21" s="32"/>
      <c r="I21" s="32">
        <f t="shared" si="0"/>
        <v>250</v>
      </c>
      <c r="J21" s="4">
        <f>G21/VLOOKUP(A21,RESUME!$G$3:$I$10,3,FALSE)</f>
        <v>1.0087921888494486E-3</v>
      </c>
      <c r="K21" s="4" t="str">
        <f t="shared" si="1"/>
        <v/>
      </c>
      <c r="L21" s="36" t="s">
        <v>360</v>
      </c>
    </row>
    <row r="22" spans="1:12" ht="15.75" x14ac:dyDescent="0.25">
      <c r="A22" s="1" t="s">
        <v>328</v>
      </c>
      <c r="B22" s="35" t="s">
        <v>146</v>
      </c>
      <c r="C22" s="1" t="s">
        <v>147</v>
      </c>
      <c r="D22" s="2" t="s">
        <v>24</v>
      </c>
      <c r="E22" s="2" t="s">
        <v>148</v>
      </c>
      <c r="F22" s="1"/>
      <c r="G22" s="32">
        <v>10800</v>
      </c>
      <c r="H22" s="32"/>
      <c r="I22" s="32">
        <f t="shared" si="0"/>
        <v>10800</v>
      </c>
      <c r="J22" s="4">
        <f>G22/VLOOKUP(A22,RESUME!$G$3:$I$10,3,FALSE)</f>
        <v>4.3579822558296184E-2</v>
      </c>
      <c r="K22" s="4" t="str">
        <f t="shared" si="1"/>
        <v/>
      </c>
      <c r="L22" s="36" t="s">
        <v>360</v>
      </c>
    </row>
    <row r="23" spans="1:12" ht="15.75" x14ac:dyDescent="0.25">
      <c r="A23" s="1" t="s">
        <v>328</v>
      </c>
      <c r="B23" s="35" t="s">
        <v>124</v>
      </c>
      <c r="C23" s="1" t="s">
        <v>125</v>
      </c>
      <c r="D23" s="2" t="s">
        <v>24</v>
      </c>
      <c r="E23" s="2" t="s">
        <v>153</v>
      </c>
      <c r="F23" s="1"/>
      <c r="G23" s="32">
        <v>1500</v>
      </c>
      <c r="H23" s="32">
        <v>2530.19</v>
      </c>
      <c r="I23" s="40">
        <f t="shared" si="0"/>
        <v>-1030.19</v>
      </c>
      <c r="J23" s="4">
        <f>G23/VLOOKUP(A23,RESUME!$G$3:$I$10,3,FALSE)</f>
        <v>6.0527531330966918E-3</v>
      </c>
      <c r="K23" s="4">
        <f t="shared" si="1"/>
        <v>3.5883193355617706E-3</v>
      </c>
      <c r="L23" s="36" t="s">
        <v>361</v>
      </c>
    </row>
    <row r="24" spans="1:12" ht="15.75" x14ac:dyDescent="0.25">
      <c r="A24" s="1" t="s">
        <v>328</v>
      </c>
      <c r="B24" s="35" t="s">
        <v>78</v>
      </c>
      <c r="C24" s="1" t="s">
        <v>79</v>
      </c>
      <c r="D24" s="2" t="s">
        <v>15</v>
      </c>
      <c r="E24" s="2" t="s">
        <v>72</v>
      </c>
      <c r="F24" s="1"/>
      <c r="G24" s="32">
        <v>504.76</v>
      </c>
      <c r="H24" s="32"/>
      <c r="I24" s="40">
        <f t="shared" si="0"/>
        <v>504.76</v>
      </c>
      <c r="J24" s="4">
        <f>G24/VLOOKUP(A24,RESUME!$G$3:$I$10,3,FALSE)</f>
        <v>2.0367917809745906E-3</v>
      </c>
      <c r="K24" s="4" t="str">
        <f t="shared" si="1"/>
        <v/>
      </c>
      <c r="L24" s="36" t="s">
        <v>360</v>
      </c>
    </row>
    <row r="25" spans="1:12" ht="15.75" x14ac:dyDescent="0.25">
      <c r="A25" s="1" t="s">
        <v>328</v>
      </c>
      <c r="B25" s="35" t="s">
        <v>93</v>
      </c>
      <c r="C25" s="1" t="s">
        <v>94</v>
      </c>
      <c r="D25" s="2" t="s">
        <v>15</v>
      </c>
      <c r="E25" s="2" t="s">
        <v>95</v>
      </c>
      <c r="F25" s="1"/>
      <c r="G25" s="32">
        <v>5702.68</v>
      </c>
      <c r="H25" s="32"/>
      <c r="I25" s="32">
        <f t="shared" si="0"/>
        <v>5702.68</v>
      </c>
      <c r="J25" s="4">
        <f>G25/VLOOKUP(A25,RESUME!$G$3:$I$10,3,FALSE)</f>
        <v>2.3011276158031897E-2</v>
      </c>
      <c r="K25" s="4" t="str">
        <f t="shared" si="1"/>
        <v/>
      </c>
      <c r="L25" s="36" t="s">
        <v>360</v>
      </c>
    </row>
    <row r="26" spans="1:12" ht="15.75" x14ac:dyDescent="0.25">
      <c r="A26" s="1" t="s">
        <v>328</v>
      </c>
      <c r="B26" s="35" t="s">
        <v>102</v>
      </c>
      <c r="C26" s="1" t="s">
        <v>103</v>
      </c>
      <c r="D26" s="2" t="s">
        <v>15</v>
      </c>
      <c r="E26" s="2" t="s">
        <v>75</v>
      </c>
      <c r="F26" s="1"/>
      <c r="G26" s="32">
        <v>700</v>
      </c>
      <c r="H26" s="32"/>
      <c r="I26" s="40">
        <f t="shared" si="0"/>
        <v>700</v>
      </c>
      <c r="J26" s="4">
        <f>G26/VLOOKUP(A26,RESUME!$G$3:$I$10,3,FALSE)</f>
        <v>2.8246181287784563E-3</v>
      </c>
      <c r="K26" s="4" t="str">
        <f t="shared" si="1"/>
        <v/>
      </c>
      <c r="L26" s="36" t="s">
        <v>360</v>
      </c>
    </row>
    <row r="27" spans="1:12" ht="15.75" x14ac:dyDescent="0.25">
      <c r="A27" s="1" t="s">
        <v>328</v>
      </c>
      <c r="B27" s="35" t="s">
        <v>114</v>
      </c>
      <c r="C27" s="1" t="s">
        <v>115</v>
      </c>
      <c r="D27" s="2" t="s">
        <v>15</v>
      </c>
      <c r="E27" s="2" t="s">
        <v>75</v>
      </c>
      <c r="F27" s="1"/>
      <c r="G27" s="32">
        <v>300</v>
      </c>
      <c r="H27" s="32"/>
      <c r="I27" s="32">
        <f t="shared" si="0"/>
        <v>300</v>
      </c>
      <c r="J27" s="4">
        <f>G27/VLOOKUP(A27,RESUME!$G$3:$I$10,3,FALSE)</f>
        <v>1.2105506266193384E-3</v>
      </c>
      <c r="K27" s="4" t="str">
        <f t="shared" si="1"/>
        <v/>
      </c>
      <c r="L27" s="36" t="s">
        <v>360</v>
      </c>
    </row>
    <row r="28" spans="1:12" ht="15.75" x14ac:dyDescent="0.25">
      <c r="A28" s="1" t="s">
        <v>328</v>
      </c>
      <c r="B28" s="35" t="s">
        <v>118</v>
      </c>
      <c r="C28" s="1" t="s">
        <v>119</v>
      </c>
      <c r="D28" s="2" t="s">
        <v>15</v>
      </c>
      <c r="E28" s="2" t="s">
        <v>95</v>
      </c>
      <c r="F28" s="1"/>
      <c r="G28" s="32">
        <v>3500</v>
      </c>
      <c r="H28" s="32">
        <v>4436.3599999999997</v>
      </c>
      <c r="I28" s="40">
        <f t="shared" si="0"/>
        <v>-936.35999999999967</v>
      </c>
      <c r="J28" s="4">
        <f>G28/VLOOKUP(A28,RESUME!$G$3:$I$10,3,FALSE)</f>
        <v>1.4123090643892281E-2</v>
      </c>
      <c r="K28" s="4">
        <f t="shared" si="1"/>
        <v>1.114220154667858E-2</v>
      </c>
      <c r="L28" s="36" t="s">
        <v>361</v>
      </c>
    </row>
    <row r="29" spans="1:12" ht="15.75" x14ac:dyDescent="0.25">
      <c r="A29" s="1" t="s">
        <v>328</v>
      </c>
      <c r="B29" s="35" t="s">
        <v>130</v>
      </c>
      <c r="C29" s="1" t="s">
        <v>156</v>
      </c>
      <c r="D29" s="2" t="s">
        <v>15</v>
      </c>
      <c r="E29" s="2" t="s">
        <v>75</v>
      </c>
      <c r="F29" s="1"/>
      <c r="G29" s="32">
        <v>512.71</v>
      </c>
      <c r="H29" s="32"/>
      <c r="I29" s="40">
        <f t="shared" si="0"/>
        <v>512.71</v>
      </c>
      <c r="J29" s="4">
        <f>G29/VLOOKUP(A29,RESUME!$G$3:$I$10,3,FALSE)</f>
        <v>2.0688713725800032E-3</v>
      </c>
      <c r="K29" s="4" t="str">
        <f t="shared" si="1"/>
        <v/>
      </c>
      <c r="L29" s="36" t="s">
        <v>360</v>
      </c>
    </row>
    <row r="30" spans="1:12" ht="15.75" x14ac:dyDescent="0.25">
      <c r="A30" s="1" t="s">
        <v>328</v>
      </c>
      <c r="B30" s="35" t="s">
        <v>21</v>
      </c>
      <c r="C30" s="1" t="s">
        <v>152</v>
      </c>
      <c r="D30" s="2" t="s">
        <v>15</v>
      </c>
      <c r="E30" s="2" t="s">
        <v>75</v>
      </c>
      <c r="F30" s="1"/>
      <c r="G30" s="32">
        <v>754.58</v>
      </c>
      <c r="H30" s="32"/>
      <c r="I30" s="32">
        <f t="shared" si="0"/>
        <v>754.58</v>
      </c>
      <c r="J30" s="4">
        <f>G30/VLOOKUP(A30,RESUME!$G$3:$I$10,3,FALSE)</f>
        <v>3.0448576394480681E-3</v>
      </c>
      <c r="K30" s="4" t="str">
        <f t="shared" si="1"/>
        <v/>
      </c>
      <c r="L30" s="36" t="s">
        <v>360</v>
      </c>
    </row>
    <row r="31" spans="1:12" ht="15.75" x14ac:dyDescent="0.25">
      <c r="A31" s="1" t="s">
        <v>328</v>
      </c>
      <c r="B31" s="35" t="s">
        <v>68</v>
      </c>
      <c r="C31" s="1" t="s">
        <v>69</v>
      </c>
      <c r="D31" s="2" t="s">
        <v>15</v>
      </c>
      <c r="E31" s="2" t="s">
        <v>157</v>
      </c>
      <c r="F31" s="1"/>
      <c r="G31" s="32"/>
      <c r="H31" s="32"/>
      <c r="I31" s="40">
        <f t="shared" si="0"/>
        <v>0</v>
      </c>
      <c r="J31" s="4">
        <f>G31/VLOOKUP(A31,RESUME!$G$3:$I$10,3,FALSE)</f>
        <v>0</v>
      </c>
      <c r="K31" s="4" t="str">
        <f t="shared" si="1"/>
        <v/>
      </c>
      <c r="L31" s="36" t="s">
        <v>361</v>
      </c>
    </row>
    <row r="32" spans="1:12" ht="15.75" x14ac:dyDescent="0.25">
      <c r="A32" s="1" t="s">
        <v>328</v>
      </c>
      <c r="B32" s="35" t="s">
        <v>70</v>
      </c>
      <c r="C32" s="1" t="s">
        <v>71</v>
      </c>
      <c r="D32" s="2" t="s">
        <v>15</v>
      </c>
      <c r="E32" s="2" t="s">
        <v>72</v>
      </c>
      <c r="F32" s="1"/>
      <c r="G32" s="32">
        <v>5672.9500000000007</v>
      </c>
      <c r="H32" s="32">
        <v>2802.67</v>
      </c>
      <c r="I32" s="40">
        <f t="shared" si="0"/>
        <v>2870.2800000000007</v>
      </c>
      <c r="J32" s="4">
        <f>G32/VLOOKUP(A32,RESUME!$G$3:$I$10,3,FALSE)</f>
        <v>2.2891310590933921E-2</v>
      </c>
      <c r="K32" s="4">
        <f t="shared" si="1"/>
        <v>4.6334837999778278E-2</v>
      </c>
      <c r="L32" s="36" t="s">
        <v>360</v>
      </c>
    </row>
    <row r="33" spans="1:12" ht="15.75" x14ac:dyDescent="0.25">
      <c r="A33" s="1" t="s">
        <v>328</v>
      </c>
      <c r="B33" s="35" t="s">
        <v>76</v>
      </c>
      <c r="C33" s="1" t="s">
        <v>77</v>
      </c>
      <c r="D33" s="2" t="s">
        <v>15</v>
      </c>
      <c r="E33" s="2" t="s">
        <v>75</v>
      </c>
      <c r="F33" s="1"/>
      <c r="G33" s="32">
        <v>4918.54</v>
      </c>
      <c r="H33" s="32">
        <v>5107.6000000000004</v>
      </c>
      <c r="I33" s="40">
        <f t="shared" si="0"/>
        <v>-189.0600000000004</v>
      </c>
      <c r="J33" s="4">
        <f>G33/VLOOKUP(A33,RESUME!$G$3:$I$10,3,FALSE)</f>
        <v>1.9847138930174268E-2</v>
      </c>
      <c r="K33" s="4">
        <f t="shared" si="1"/>
        <v>1.9112488588303576E-2</v>
      </c>
      <c r="L33" s="36" t="s">
        <v>361</v>
      </c>
    </row>
    <row r="34" spans="1:12" ht="15.75" x14ac:dyDescent="0.25">
      <c r="A34" s="1" t="s">
        <v>328</v>
      </c>
      <c r="B34" s="35" t="s">
        <v>80</v>
      </c>
      <c r="C34" s="1" t="s">
        <v>81</v>
      </c>
      <c r="D34" s="2" t="s">
        <v>15</v>
      </c>
      <c r="E34" s="2" t="s">
        <v>158</v>
      </c>
      <c r="F34" s="1"/>
      <c r="G34" s="32">
        <v>1600</v>
      </c>
      <c r="H34" s="32">
        <v>254.14</v>
      </c>
      <c r="I34" s="40">
        <f t="shared" si="0"/>
        <v>1345.8600000000001</v>
      </c>
      <c r="J34" s="4">
        <f>G34/VLOOKUP(A34,RESUME!$G$3:$I$10,3,FALSE)</f>
        <v>6.4562700086364709E-3</v>
      </c>
      <c r="K34" s="4">
        <f t="shared" si="1"/>
        <v>4.0647013511522605E-2</v>
      </c>
      <c r="L34" s="36" t="s">
        <v>360</v>
      </c>
    </row>
    <row r="35" spans="1:12" ht="15.75" x14ac:dyDescent="0.25">
      <c r="A35" s="1" t="s">
        <v>328</v>
      </c>
      <c r="B35" s="35" t="s">
        <v>154</v>
      </c>
      <c r="C35" s="1" t="s">
        <v>84</v>
      </c>
      <c r="D35" s="2" t="s">
        <v>15</v>
      </c>
      <c r="E35" s="2" t="s">
        <v>75</v>
      </c>
      <c r="F35" s="1"/>
      <c r="G35" s="32">
        <v>3106.38</v>
      </c>
      <c r="H35" s="32">
        <v>126.43</v>
      </c>
      <c r="I35" s="40">
        <f t="shared" si="0"/>
        <v>2979.9500000000003</v>
      </c>
      <c r="J35" s="4">
        <f>G35/VLOOKUP(A35,RESUME!$G$3:$I$10,3,FALSE)</f>
        <v>1.2534767518392602E-2</v>
      </c>
      <c r="K35" s="4">
        <f t="shared" si="1"/>
        <v>0.30797873229284511</v>
      </c>
      <c r="L35" s="36" t="s">
        <v>360</v>
      </c>
    </row>
    <row r="36" spans="1:12" ht="15.75" x14ac:dyDescent="0.25">
      <c r="A36" s="1" t="s">
        <v>328</v>
      </c>
      <c r="B36" s="35" t="s">
        <v>96</v>
      </c>
      <c r="C36" s="1" t="s">
        <v>97</v>
      </c>
      <c r="D36" s="2" t="s">
        <v>15</v>
      </c>
      <c r="E36" s="2" t="s">
        <v>157</v>
      </c>
      <c r="F36" s="1"/>
      <c r="G36" s="32">
        <v>97892.700000000012</v>
      </c>
      <c r="H36" s="32">
        <v>901.66</v>
      </c>
      <c r="I36" s="32">
        <f t="shared" si="0"/>
        <v>96991.040000000008</v>
      </c>
      <c r="J36" s="4">
        <f>G36/VLOOKUP(A36,RESUME!$G$3:$I$10,3,FALSE)</f>
        <v>0.39501356442152974</v>
      </c>
      <c r="K36" s="4">
        <f t="shared" si="1"/>
        <v>42.886392163174023</v>
      </c>
      <c r="L36" s="36" t="s">
        <v>360</v>
      </c>
    </row>
    <row r="37" spans="1:12" ht="15.75" x14ac:dyDescent="0.25">
      <c r="A37" s="1" t="s">
        <v>328</v>
      </c>
      <c r="B37" s="35" t="s">
        <v>104</v>
      </c>
      <c r="C37" s="1" t="s">
        <v>105</v>
      </c>
      <c r="D37" s="2" t="s">
        <v>15</v>
      </c>
      <c r="E37" s="2" t="s">
        <v>158</v>
      </c>
      <c r="F37" s="1"/>
      <c r="G37" s="32">
        <v>300</v>
      </c>
      <c r="H37" s="32"/>
      <c r="I37" s="32">
        <f t="shared" si="0"/>
        <v>300</v>
      </c>
      <c r="J37" s="4">
        <f>G37/VLOOKUP(A37,RESUME!$G$3:$I$10,3,FALSE)</f>
        <v>1.2105506266193384E-3</v>
      </c>
      <c r="K37" s="4" t="str">
        <f t="shared" si="1"/>
        <v/>
      </c>
      <c r="L37" s="36" t="s">
        <v>360</v>
      </c>
    </row>
    <row r="38" spans="1:12" ht="15.75" x14ac:dyDescent="0.25">
      <c r="A38" s="1" t="s">
        <v>328</v>
      </c>
      <c r="B38" s="35" t="s">
        <v>106</v>
      </c>
      <c r="C38" s="1" t="s">
        <v>107</v>
      </c>
      <c r="D38" s="2" t="s">
        <v>15</v>
      </c>
      <c r="E38" s="2" t="s">
        <v>158</v>
      </c>
      <c r="F38" s="1"/>
      <c r="G38" s="32">
        <v>300</v>
      </c>
      <c r="H38" s="32"/>
      <c r="I38" s="32">
        <f t="shared" si="0"/>
        <v>300</v>
      </c>
      <c r="J38" s="4">
        <f>G38/VLOOKUP(A38,RESUME!$G$3:$I$10,3,FALSE)</f>
        <v>1.2105506266193384E-3</v>
      </c>
      <c r="K38" s="4" t="str">
        <f t="shared" si="1"/>
        <v/>
      </c>
      <c r="L38" s="36" t="s">
        <v>360</v>
      </c>
    </row>
    <row r="39" spans="1:12" ht="15.75" x14ac:dyDescent="0.25">
      <c r="A39" s="1" t="s">
        <v>328</v>
      </c>
      <c r="B39" s="35" t="s">
        <v>108</v>
      </c>
      <c r="C39" s="1" t="s">
        <v>109</v>
      </c>
      <c r="D39" s="2" t="s">
        <v>15</v>
      </c>
      <c r="E39" s="2" t="s">
        <v>158</v>
      </c>
      <c r="F39" s="1"/>
      <c r="G39" s="32">
        <v>300</v>
      </c>
      <c r="H39" s="32">
        <v>110.74</v>
      </c>
      <c r="I39" s="40">
        <f t="shared" si="0"/>
        <v>189.26</v>
      </c>
      <c r="J39" s="4">
        <f>G39/VLOOKUP(A39,RESUME!$G$3:$I$10,3,FALSE)</f>
        <v>1.2105506266193384E-3</v>
      </c>
      <c r="K39" s="4">
        <f t="shared" si="1"/>
        <v>3.2794400215441712E-3</v>
      </c>
      <c r="L39" s="36" t="s">
        <v>360</v>
      </c>
    </row>
    <row r="40" spans="1:12" ht="15.75" x14ac:dyDescent="0.25">
      <c r="A40" s="1" t="s">
        <v>328</v>
      </c>
      <c r="B40" s="35" t="s">
        <v>112</v>
      </c>
      <c r="C40" s="1" t="s">
        <v>113</v>
      </c>
      <c r="D40" s="2" t="s">
        <v>15</v>
      </c>
      <c r="E40" s="2" t="s">
        <v>158</v>
      </c>
      <c r="F40" s="1"/>
      <c r="G40" s="32">
        <v>300</v>
      </c>
      <c r="H40" s="32">
        <v>120.24</v>
      </c>
      <c r="I40" s="32">
        <f t="shared" si="0"/>
        <v>179.76</v>
      </c>
      <c r="J40" s="4">
        <f>G40/VLOOKUP(A40,RESUME!$G$3:$I$10,3,FALSE)</f>
        <v>1.2105506266193384E-3</v>
      </c>
      <c r="K40" s="4">
        <f t="shared" si="1"/>
        <v>3.0203358947588285E-3</v>
      </c>
      <c r="L40" s="36" t="s">
        <v>360</v>
      </c>
    </row>
    <row r="41" spans="1:12" ht="15.75" x14ac:dyDescent="0.25">
      <c r="A41" s="1" t="s">
        <v>328</v>
      </c>
      <c r="B41" s="35" t="s">
        <v>124</v>
      </c>
      <c r="C41" s="1" t="s">
        <v>125</v>
      </c>
      <c r="D41" s="2" t="s">
        <v>15</v>
      </c>
      <c r="E41" s="2" t="s">
        <v>158</v>
      </c>
      <c r="F41" s="1"/>
      <c r="G41" s="32">
        <v>2346.61</v>
      </c>
      <c r="H41" s="32">
        <v>2238.1</v>
      </c>
      <c r="I41" s="40">
        <f t="shared" si="0"/>
        <v>108.51000000000022</v>
      </c>
      <c r="J41" s="4">
        <f>G41/VLOOKUP(A41,RESUME!$G$3:$I$10,3,FALSE)</f>
        <v>9.46896735310402E-3</v>
      </c>
      <c r="K41" s="4">
        <f t="shared" si="1"/>
        <v>9.9280521337149485E-3</v>
      </c>
      <c r="L41" s="36" t="s">
        <v>360</v>
      </c>
    </row>
    <row r="42" spans="1:12" ht="15.75" x14ac:dyDescent="0.25">
      <c r="A42" s="1" t="s">
        <v>328</v>
      </c>
      <c r="B42" s="35" t="s">
        <v>126</v>
      </c>
      <c r="C42" s="1" t="s">
        <v>127</v>
      </c>
      <c r="D42" s="2" t="s">
        <v>15</v>
      </c>
      <c r="E42" s="2" t="s">
        <v>158</v>
      </c>
      <c r="F42" s="1"/>
      <c r="G42" s="32">
        <v>483</v>
      </c>
      <c r="H42" s="32"/>
      <c r="I42" s="32">
        <f t="shared" si="0"/>
        <v>483</v>
      </c>
      <c r="J42" s="4">
        <f>G42/VLOOKUP(A42,RESUME!$G$3:$I$10,3,FALSE)</f>
        <v>1.9489865088571348E-3</v>
      </c>
      <c r="K42" s="4" t="str">
        <f t="shared" si="1"/>
        <v/>
      </c>
      <c r="L42" s="36" t="s">
        <v>360</v>
      </c>
    </row>
  </sheetData>
  <conditionalFormatting sqref="L6:L42">
    <cfRule type="containsText" dxfId="1" priority="1" operator="containsText" text="OVER">
      <formula>NOT(ISERROR(SEARCH("OVER",L6)))</formula>
    </cfRule>
  </conditionalFormatting>
  <hyperlinks>
    <hyperlink ref="B6" r:id="rId1" xr:uid="{9D5F7524-8EA3-4147-AA83-BCA40BBBEB5E}"/>
    <hyperlink ref="B7" r:id="rId2" xr:uid="{E6035D96-049D-4AB5-AE14-980E6D0AD898}"/>
    <hyperlink ref="B8" r:id="rId3" xr:uid="{49AA0548-E04E-4A01-B3FA-ABB688673BE8}"/>
    <hyperlink ref="B9" r:id="rId4" xr:uid="{15E9BB35-0576-4E07-8126-9B5D32E4DDB3}"/>
    <hyperlink ref="B10" r:id="rId5" xr:uid="{199954ED-E371-491E-870C-AC453AF08429}"/>
    <hyperlink ref="B11" r:id="rId6" xr:uid="{4C0DFE26-0165-41A1-BC3C-1DD9792F3523}"/>
    <hyperlink ref="B12" r:id="rId7" xr:uid="{6EBA68BF-9643-43C5-AE1B-F8331B7314C4}"/>
    <hyperlink ref="B13" r:id="rId8" xr:uid="{7DC30ACE-DEA1-4697-9467-B888B9E8B3FD}"/>
    <hyperlink ref="B14" r:id="rId9" xr:uid="{4E5C9C88-03AC-4862-9E0F-B0C52A7105E7}"/>
    <hyperlink ref="B15" r:id="rId10" xr:uid="{284254D1-9029-4A47-81B3-23E0288D90F6}"/>
    <hyperlink ref="B16" r:id="rId11" xr:uid="{5F1D35D5-9365-4996-8C3B-B09E2F0381B6}"/>
    <hyperlink ref="B17" r:id="rId12" xr:uid="{1790115D-4809-4322-8009-25193E6E4FF8}"/>
    <hyperlink ref="B18" r:id="rId13" xr:uid="{23E6458F-AAE9-4125-A052-BB8FCAE92DEF}"/>
    <hyperlink ref="B19" r:id="rId14" xr:uid="{2A759739-7BCC-4AFB-9AD9-0505E7AB3905}"/>
    <hyperlink ref="B20" r:id="rId15" xr:uid="{CD8A107A-EA9B-4E5D-868F-7069D3C8C01D}"/>
    <hyperlink ref="B21" r:id="rId16" xr:uid="{0727FB57-E630-4C6D-B1A5-416C08C57CAC}"/>
    <hyperlink ref="B22" r:id="rId17" xr:uid="{1AB75B90-B929-4EBE-AB9B-AC3961D8D53C}"/>
    <hyperlink ref="B23" r:id="rId18" xr:uid="{FFAC0452-49AB-488B-A9CD-5488866839C1}"/>
    <hyperlink ref="B24" r:id="rId19" xr:uid="{CB74DEBF-6C42-4183-8CE6-A61E4B57519A}"/>
    <hyperlink ref="B25" r:id="rId20" xr:uid="{BECF2918-306F-4E07-BF48-A35C7F7BDBCA}"/>
    <hyperlink ref="B26" r:id="rId21" xr:uid="{E6BAD37A-0D56-41D4-9955-A733FDAEC0A6}"/>
    <hyperlink ref="B27" r:id="rId22" xr:uid="{3A77708A-57F1-4822-8DEA-20E232B692C0}"/>
    <hyperlink ref="B28" r:id="rId23" xr:uid="{B22FDA39-5860-4303-B176-3AE1DA8A0CDD}"/>
    <hyperlink ref="B29" r:id="rId24" xr:uid="{1C3FA896-0F49-4357-ACD4-89FF0B963F4F}"/>
    <hyperlink ref="B30" r:id="rId25" xr:uid="{D572F6C2-2CA0-4E0D-B80F-415E09D3DCC0}"/>
    <hyperlink ref="B31" r:id="rId26" xr:uid="{FEABABC2-8505-48E4-BC34-CBCE67728822}"/>
    <hyperlink ref="B32" r:id="rId27" xr:uid="{C98FCBF5-46CD-45D7-A5FB-CF7101A95CF1}"/>
    <hyperlink ref="B33" r:id="rId28" xr:uid="{D8549ADE-0BF4-47CD-B21C-711942D47A26}"/>
    <hyperlink ref="B34" r:id="rId29" xr:uid="{8C1F925B-E63B-46E9-99FB-E28E157AA34E}"/>
    <hyperlink ref="B35" r:id="rId30" xr:uid="{7FA50B0B-301A-4018-A1C1-B96EC8A401C4}"/>
    <hyperlink ref="B36" r:id="rId31" xr:uid="{21D16272-5661-4056-81D1-1DC45B07EBD9}"/>
    <hyperlink ref="B37" r:id="rId32" xr:uid="{1F8F0F03-BDAB-421B-9158-2722D70B1EF7}"/>
    <hyperlink ref="B38" r:id="rId33" xr:uid="{DF8F39D6-84A8-4397-A236-9A501C0C48F6}"/>
    <hyperlink ref="B39" r:id="rId34" xr:uid="{6A4E7EDE-F394-4081-923B-CA09D8002C46}"/>
    <hyperlink ref="B40" r:id="rId35" xr:uid="{07C3AA8B-832F-4D5C-B282-72AD8ACAB288}"/>
    <hyperlink ref="B41" r:id="rId36" xr:uid="{55B8A422-EF5E-43B9-AF05-AE3774902C20}"/>
    <hyperlink ref="B42" r:id="rId37" xr:uid="{C53580F4-FCD8-425D-BB58-8DEB7FA3CCB2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13B8B-9A1C-47DA-AD70-E3CFAAB9CAD5}">
  <sheetPr codeName="Sheet15"/>
  <dimension ref="A5:Z15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32.28515625" bestFit="1" customWidth="1"/>
    <col min="3" max="3" width="119.28515625" bestFit="1" customWidth="1"/>
    <col min="4" max="4" width="12.28515625" bestFit="1" customWidth="1"/>
    <col min="5" max="5" width="7.140625" bestFit="1" customWidth="1"/>
    <col min="6" max="6" width="8.85546875" bestFit="1" customWidth="1"/>
    <col min="7" max="7" width="19.28515625" bestFit="1" customWidth="1"/>
    <col min="8" max="8" width="10.85546875" bestFit="1" customWidth="1"/>
    <col min="9" max="9" width="12.140625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336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159</v>
      </c>
      <c r="B6" s="35" t="s">
        <v>160</v>
      </c>
      <c r="C6" s="1" t="s">
        <v>161</v>
      </c>
      <c r="D6" s="2" t="s">
        <v>13</v>
      </c>
      <c r="E6" s="2" t="s">
        <v>75</v>
      </c>
      <c r="F6" s="1"/>
      <c r="G6" s="32">
        <v>943.01</v>
      </c>
      <c r="H6" s="32">
        <v>474.59</v>
      </c>
      <c r="I6" s="40">
        <f t="shared" ref="I6:I15" si="0">G6-H6</f>
        <v>468.42</v>
      </c>
      <c r="J6" s="4">
        <f>G6/VLOOKUP(A6,RESUME!$G$3:$I$10,3,FALSE)</f>
        <v>1.0674639092355137E-2</v>
      </c>
      <c r="K6" s="4">
        <f t="shared" ref="K6:K15" si="1">IFERROR((G6/H6)*J6,"")</f>
        <v>2.1210500454037839E-2</v>
      </c>
      <c r="L6" s="36" t="s">
        <v>360</v>
      </c>
    </row>
    <row r="7" spans="1:26" ht="15.75" x14ac:dyDescent="0.25">
      <c r="A7" s="1" t="s">
        <v>159</v>
      </c>
      <c r="B7" s="35" t="s">
        <v>162</v>
      </c>
      <c r="C7" s="1" t="s">
        <v>163</v>
      </c>
      <c r="D7" s="2" t="s">
        <v>13</v>
      </c>
      <c r="E7" s="2" t="s">
        <v>72</v>
      </c>
      <c r="F7" s="1"/>
      <c r="G7" s="32">
        <v>3000</v>
      </c>
      <c r="H7" s="32">
        <v>452.47</v>
      </c>
      <c r="I7" s="32">
        <f t="shared" si="0"/>
        <v>2547.5299999999997</v>
      </c>
      <c r="J7" s="4">
        <f>G7/VLOOKUP(A7,RESUME!$G$3:$I$10,3,FALSE)</f>
        <v>3.3959255232781635E-2</v>
      </c>
      <c r="K7" s="4">
        <f t="shared" si="1"/>
        <v>0.22515916126670252</v>
      </c>
      <c r="L7" s="36" t="s">
        <v>360</v>
      </c>
    </row>
    <row r="8" spans="1:26" ht="15.75" x14ac:dyDescent="0.25">
      <c r="A8" s="1" t="s">
        <v>159</v>
      </c>
      <c r="B8" s="35" t="s">
        <v>164</v>
      </c>
      <c r="C8" s="1" t="s">
        <v>165</v>
      </c>
      <c r="D8" s="2" t="s">
        <v>13</v>
      </c>
      <c r="E8" s="2" t="s">
        <v>166</v>
      </c>
      <c r="F8" s="1"/>
      <c r="G8" s="32">
        <v>27000</v>
      </c>
      <c r="H8" s="32">
        <v>4859.3</v>
      </c>
      <c r="I8" s="32">
        <f t="shared" si="0"/>
        <v>22140.7</v>
      </c>
      <c r="J8" s="4">
        <f>G8/VLOOKUP(A8,RESUME!$G$3:$I$10,3,FALSE)</f>
        <v>0.30563329709503473</v>
      </c>
      <c r="K8" s="4">
        <f t="shared" si="1"/>
        <v>1.6982073594068976</v>
      </c>
      <c r="L8" s="36" t="s">
        <v>360</v>
      </c>
    </row>
    <row r="9" spans="1:26" ht="15.75" x14ac:dyDescent="0.25">
      <c r="A9" s="1" t="s">
        <v>159</v>
      </c>
      <c r="B9" s="35" t="s">
        <v>167</v>
      </c>
      <c r="C9" s="1" t="s">
        <v>168</v>
      </c>
      <c r="D9" s="2" t="s">
        <v>13</v>
      </c>
      <c r="E9" s="2" t="s">
        <v>72</v>
      </c>
      <c r="F9" s="1"/>
      <c r="G9" s="32">
        <v>743.73</v>
      </c>
      <c r="H9" s="32"/>
      <c r="I9" s="40">
        <f t="shared" si="0"/>
        <v>743.73</v>
      </c>
      <c r="J9" s="4">
        <f>G9/VLOOKUP(A9,RESUME!$G$3:$I$10,3,FALSE)</f>
        <v>8.4188389647588957E-3</v>
      </c>
      <c r="K9" s="4" t="str">
        <f t="shared" si="1"/>
        <v/>
      </c>
      <c r="L9" s="36" t="s">
        <v>360</v>
      </c>
    </row>
    <row r="10" spans="1:26" ht="15.75" x14ac:dyDescent="0.25">
      <c r="A10" s="1" t="s">
        <v>159</v>
      </c>
      <c r="B10" s="35" t="s">
        <v>169</v>
      </c>
      <c r="C10" s="1" t="s">
        <v>170</v>
      </c>
      <c r="D10" s="2" t="s">
        <v>13</v>
      </c>
      <c r="E10" s="2" t="s">
        <v>171</v>
      </c>
      <c r="F10" s="1"/>
      <c r="G10" s="32">
        <v>2000</v>
      </c>
      <c r="H10" s="32">
        <v>71.38</v>
      </c>
      <c r="I10" s="32">
        <f t="shared" si="0"/>
        <v>1928.62</v>
      </c>
      <c r="J10" s="4">
        <f>G10/VLOOKUP(A10,RESUME!$G$3:$I$10,3,FALSE)</f>
        <v>2.263950348852109E-2</v>
      </c>
      <c r="K10" s="4">
        <f t="shared" si="1"/>
        <v>0.63433744714264761</v>
      </c>
      <c r="L10" s="36" t="s">
        <v>360</v>
      </c>
    </row>
    <row r="11" spans="1:26" ht="15.75" x14ac:dyDescent="0.25">
      <c r="A11" s="1" t="s">
        <v>159</v>
      </c>
      <c r="B11" s="35" t="s">
        <v>169</v>
      </c>
      <c r="C11" s="1" t="s">
        <v>170</v>
      </c>
      <c r="D11" s="2" t="s">
        <v>101</v>
      </c>
      <c r="E11" s="2" t="s">
        <v>171</v>
      </c>
      <c r="F11" s="1"/>
      <c r="G11" s="32">
        <v>1000</v>
      </c>
      <c r="H11" s="32"/>
      <c r="I11" s="32">
        <f t="shared" si="0"/>
        <v>1000</v>
      </c>
      <c r="J11" s="4">
        <f>G11/VLOOKUP(A11,RESUME!$G$3:$I$10,3,FALSE)</f>
        <v>1.1319751744260545E-2</v>
      </c>
      <c r="K11" s="4" t="str">
        <f t="shared" si="1"/>
        <v/>
      </c>
      <c r="L11" s="36" t="s">
        <v>360</v>
      </c>
    </row>
    <row r="12" spans="1:26" ht="15.75" x14ac:dyDescent="0.25">
      <c r="A12" s="1" t="s">
        <v>159</v>
      </c>
      <c r="B12" s="35" t="s">
        <v>169</v>
      </c>
      <c r="C12" s="1" t="s">
        <v>170</v>
      </c>
      <c r="D12" s="2" t="s">
        <v>24</v>
      </c>
      <c r="E12" s="2" t="s">
        <v>171</v>
      </c>
      <c r="F12" s="1"/>
      <c r="G12" s="32">
        <v>1000</v>
      </c>
      <c r="H12" s="32">
        <v>197.81</v>
      </c>
      <c r="I12" s="32">
        <f t="shared" si="0"/>
        <v>802.19</v>
      </c>
      <c r="J12" s="4">
        <f>G12/VLOOKUP(A12,RESUME!$G$3:$I$10,3,FALSE)</f>
        <v>1.1319751744260545E-2</v>
      </c>
      <c r="K12" s="4">
        <f t="shared" si="1"/>
        <v>5.7225376595018175E-2</v>
      </c>
      <c r="L12" s="36" t="s">
        <v>360</v>
      </c>
    </row>
    <row r="13" spans="1:26" ht="15.75" x14ac:dyDescent="0.25">
      <c r="A13" s="1" t="s">
        <v>159</v>
      </c>
      <c r="B13" s="35" t="s">
        <v>169</v>
      </c>
      <c r="C13" s="1" t="s">
        <v>170</v>
      </c>
      <c r="D13" s="2" t="s">
        <v>15</v>
      </c>
      <c r="E13" s="2" t="s">
        <v>171</v>
      </c>
      <c r="F13" s="1"/>
      <c r="G13" s="32">
        <v>1000</v>
      </c>
      <c r="H13" s="32">
        <v>68.48</v>
      </c>
      <c r="I13" s="32">
        <f t="shared" si="0"/>
        <v>931.52</v>
      </c>
      <c r="J13" s="4">
        <f>G13/VLOOKUP(A13,RESUME!$G$3:$I$10,3,FALSE)</f>
        <v>1.1319751744260545E-2</v>
      </c>
      <c r="K13" s="4">
        <f t="shared" si="1"/>
        <v>0.16530011308791684</v>
      </c>
      <c r="L13" s="36" t="s">
        <v>360</v>
      </c>
    </row>
    <row r="14" spans="1:26" ht="15.75" x14ac:dyDescent="0.25">
      <c r="A14" s="1" t="s">
        <v>159</v>
      </c>
      <c r="B14" s="35" t="s">
        <v>146</v>
      </c>
      <c r="C14" s="1" t="s">
        <v>147</v>
      </c>
      <c r="D14" s="2" t="s">
        <v>13</v>
      </c>
      <c r="E14" s="2" t="s">
        <v>148</v>
      </c>
      <c r="F14" s="1"/>
      <c r="G14" s="32">
        <v>45654.420000000006</v>
      </c>
      <c r="H14" s="32"/>
      <c r="I14" s="32">
        <f t="shared" si="0"/>
        <v>45654.420000000006</v>
      </c>
      <c r="J14" s="4">
        <f>G14/VLOOKUP(A14,RESUME!$G$3:$I$10,3,FALSE)</f>
        <v>0.51679670042820358</v>
      </c>
      <c r="K14" s="4" t="str">
        <f t="shared" si="1"/>
        <v/>
      </c>
      <c r="L14" s="36" t="s">
        <v>360</v>
      </c>
    </row>
    <row r="15" spans="1:26" ht="15.75" x14ac:dyDescent="0.25">
      <c r="A15" s="1" t="s">
        <v>159</v>
      </c>
      <c r="B15" s="35" t="s">
        <v>146</v>
      </c>
      <c r="C15" s="1" t="s">
        <v>147</v>
      </c>
      <c r="D15" s="2" t="s">
        <v>15</v>
      </c>
      <c r="E15" s="2" t="s">
        <v>148</v>
      </c>
      <c r="F15" s="1"/>
      <c r="G15" s="32">
        <v>6000</v>
      </c>
      <c r="H15" s="32"/>
      <c r="I15" s="32">
        <f t="shared" si="0"/>
        <v>6000</v>
      </c>
      <c r="J15" s="4">
        <f>G15/VLOOKUP(A15,RESUME!$G$3:$I$10,3,FALSE)</f>
        <v>6.791851046556327E-2</v>
      </c>
      <c r="K15" s="4" t="str">
        <f t="shared" si="1"/>
        <v/>
      </c>
      <c r="L15" s="36" t="s">
        <v>360</v>
      </c>
    </row>
  </sheetData>
  <conditionalFormatting sqref="L6:L15">
    <cfRule type="containsText" dxfId="0" priority="1" operator="containsText" text="OVER">
      <formula>NOT(ISERROR(SEARCH("OVER",L6)))</formula>
    </cfRule>
  </conditionalFormatting>
  <hyperlinks>
    <hyperlink ref="B6" r:id="rId1" xr:uid="{849BFA9D-F828-43D9-9E48-3D4E19BA4470}"/>
    <hyperlink ref="B7" r:id="rId2" xr:uid="{3675A24A-6834-4BC6-B7E5-914F2ED599B2}"/>
    <hyperlink ref="B8" r:id="rId3" xr:uid="{47BF8091-D7DF-44A4-8744-95318177F308}"/>
    <hyperlink ref="B9" r:id="rId4" xr:uid="{7D2F5DBD-6A9A-4008-B98A-9D42A34DDC76}"/>
    <hyperlink ref="B10" r:id="rId5" xr:uid="{64E6D8A3-6603-4A9C-9395-6E10A683D332}"/>
    <hyperlink ref="B11" r:id="rId6" xr:uid="{DF7D5D3E-79F5-4507-BB24-D2EABCBB4852}"/>
    <hyperlink ref="B12" r:id="rId7" xr:uid="{8E1A9222-A7B6-4DF6-B181-5D46E48450CF}"/>
    <hyperlink ref="B13" r:id="rId8" xr:uid="{1490F9E6-5EFF-45CF-A747-2D422EBA5909}"/>
    <hyperlink ref="B14" r:id="rId9" xr:uid="{573C1104-79DB-4199-8994-E1912FB9684D}"/>
    <hyperlink ref="B15" r:id="rId10" xr:uid="{FDB64EEF-4FDC-4CBF-A5CD-ADB5AC7A028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(HOME)</vt:lpstr>
      <vt:lpstr>Ref1</vt:lpstr>
      <vt:lpstr>All Costing</vt:lpstr>
      <vt:lpstr>RESUME</vt:lpstr>
      <vt:lpstr>Ref_Account</vt:lpstr>
      <vt:lpstr>temp_laporan1</vt:lpstr>
      <vt:lpstr>Asep Ridwan Subiana</vt:lpstr>
      <vt:lpstr>Choeruman</vt:lpstr>
      <vt:lpstr>Firawaty</vt:lpstr>
      <vt:lpstr>Fungfung</vt:lpstr>
      <vt:lpstr>Owi Wijaya</vt:lpstr>
      <vt:lpstr>Wawan Iskandar</vt:lpstr>
      <vt:lpstr>Tony Teja</vt:lpstr>
      <vt:lpstr>Santy Silalahi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user</cp:lastModifiedBy>
  <dcterms:created xsi:type="dcterms:W3CDTF">2024-02-06T01:47:57Z</dcterms:created>
  <dcterms:modified xsi:type="dcterms:W3CDTF">2024-02-19T08:49:53Z</dcterms:modified>
</cp:coreProperties>
</file>