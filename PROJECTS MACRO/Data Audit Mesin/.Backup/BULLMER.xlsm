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Efisiensi Report List\"/>
    </mc:Choice>
  </mc:AlternateContent>
  <xr:revisionPtr revIDLastSave="0" documentId="13_ncr:1_{A968EC6D-9FD3-4148-91AA-E4C24D0179DB}" xr6:coauthVersionLast="47" xr6:coauthVersionMax="47" xr10:uidLastSave="{00000000-0000-0000-0000-000000000000}"/>
  <bookViews>
    <workbookView xWindow="-120" yWindow="-120" windowWidth="20730" windowHeight="11160" xr2:uid="{D6B8FE17-F04A-4470-8330-A19C7F7FC14F}"/>
  </bookViews>
  <sheets>
    <sheet name="{HOME}" sheetId="1" r:id="rId1"/>
    <sheet name="RESULTS" sheetId="72" r:id="rId2"/>
  </sheets>
  <functionGroups builtInGroupCount="19"/>
  <definedNames>
    <definedName name="_xlnm.Print_Area" localSheetId="1">RESULTS!$B$2:$N$106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06" i="72" l="1"/>
  <c r="K106" i="72"/>
  <c r="H106" i="72"/>
  <c r="G106" i="72"/>
  <c r="F106" i="72"/>
  <c r="N105" i="72"/>
  <c r="M105" i="72"/>
  <c r="N104" i="72"/>
  <c r="M104" i="72"/>
  <c r="N103" i="72"/>
  <c r="M103" i="72"/>
  <c r="N102" i="72"/>
  <c r="M102" i="72"/>
  <c r="N101" i="72"/>
  <c r="M101" i="72"/>
  <c r="N100" i="72"/>
  <c r="M100" i="72"/>
  <c r="N99" i="72"/>
  <c r="M99" i="72"/>
  <c r="N98" i="72"/>
  <c r="M98" i="72"/>
  <c r="N97" i="72"/>
  <c r="M97" i="72"/>
  <c r="N96" i="72"/>
  <c r="M96" i="72"/>
  <c r="N95" i="72"/>
  <c r="M95" i="72"/>
  <c r="N94" i="72"/>
  <c r="M94" i="72"/>
  <c r="N93" i="72"/>
  <c r="M93" i="72"/>
  <c r="N92" i="72"/>
  <c r="M92" i="72"/>
  <c r="N91" i="72"/>
  <c r="M91" i="72"/>
  <c r="N90" i="72"/>
  <c r="M90" i="72"/>
  <c r="N89" i="72"/>
  <c r="M89" i="72"/>
  <c r="N88" i="72"/>
  <c r="M88" i="72"/>
  <c r="N87" i="72"/>
  <c r="M87" i="72"/>
  <c r="N86" i="72"/>
  <c r="M86" i="72"/>
  <c r="N85" i="72"/>
  <c r="M85" i="72"/>
  <c r="N84" i="72"/>
  <c r="M84" i="72"/>
  <c r="N83" i="72"/>
  <c r="M83" i="72"/>
  <c r="N82" i="72"/>
  <c r="M82" i="72"/>
  <c r="N81" i="72"/>
  <c r="M81" i="72"/>
  <c r="N80" i="72"/>
  <c r="M80" i="72"/>
  <c r="N79" i="72"/>
  <c r="M79" i="72"/>
  <c r="N78" i="72"/>
  <c r="M78" i="72"/>
  <c r="N77" i="72"/>
  <c r="M77" i="72"/>
  <c r="N76" i="72"/>
  <c r="M76" i="72"/>
  <c r="N75" i="72"/>
  <c r="M75" i="72"/>
  <c r="N74" i="72"/>
  <c r="M74" i="72"/>
  <c r="N73" i="72"/>
  <c r="M73" i="72"/>
  <c r="N72" i="72"/>
  <c r="M72" i="72"/>
  <c r="N71" i="72"/>
  <c r="M71" i="72"/>
  <c r="N70" i="72"/>
  <c r="M70" i="72"/>
  <c r="N69" i="72"/>
  <c r="M69" i="72"/>
  <c r="N68" i="72"/>
  <c r="M68" i="72"/>
  <c r="N67" i="72"/>
  <c r="M67" i="72"/>
  <c r="N66" i="72"/>
  <c r="M66" i="72"/>
  <c r="N65" i="72"/>
  <c r="M65" i="72"/>
  <c r="N64" i="72"/>
  <c r="M64" i="72"/>
  <c r="N63" i="72"/>
  <c r="M63" i="72"/>
  <c r="N62" i="72"/>
  <c r="M62" i="72"/>
  <c r="N61" i="72"/>
  <c r="M61" i="72"/>
  <c r="N60" i="72"/>
  <c r="M60" i="72"/>
  <c r="N59" i="72"/>
  <c r="M59" i="72"/>
  <c r="N58" i="72"/>
  <c r="M58" i="72"/>
  <c r="N57" i="72"/>
  <c r="M57" i="72"/>
  <c r="N56" i="72"/>
  <c r="M56" i="72"/>
  <c r="N55" i="72"/>
  <c r="M55" i="72"/>
  <c r="N54" i="72"/>
  <c r="M54" i="72"/>
  <c r="N53" i="72"/>
  <c r="M53" i="72"/>
  <c r="N52" i="72"/>
  <c r="M52" i="72"/>
  <c r="N51" i="72"/>
  <c r="M51" i="72"/>
  <c r="N50" i="72"/>
  <c r="M50" i="72"/>
  <c r="N49" i="72"/>
  <c r="M49" i="72"/>
  <c r="N48" i="72"/>
  <c r="M48" i="72"/>
  <c r="N47" i="72"/>
  <c r="M47" i="72"/>
  <c r="N46" i="72"/>
  <c r="M46" i="72"/>
  <c r="N45" i="72"/>
  <c r="M45" i="72"/>
  <c r="N44" i="72"/>
  <c r="M44" i="72"/>
  <c r="N43" i="72"/>
  <c r="M43" i="72"/>
  <c r="N42" i="72"/>
  <c r="M42" i="72"/>
  <c r="N41" i="72"/>
  <c r="M41" i="72"/>
  <c r="N40" i="72"/>
  <c r="M40" i="72"/>
  <c r="N39" i="72"/>
  <c r="M39" i="72"/>
  <c r="N38" i="72"/>
  <c r="M38" i="72"/>
  <c r="N37" i="72"/>
  <c r="M37" i="72"/>
  <c r="N36" i="72"/>
  <c r="M36" i="72"/>
  <c r="N35" i="72"/>
  <c r="M35" i="72"/>
  <c r="N34" i="72"/>
  <c r="M34" i="72"/>
  <c r="N33" i="72"/>
  <c r="M33" i="72"/>
  <c r="N32" i="72"/>
  <c r="M32" i="72"/>
  <c r="N31" i="72"/>
  <c r="M31" i="72"/>
  <c r="N30" i="72"/>
  <c r="M30" i="72"/>
  <c r="N29" i="72"/>
  <c r="M29" i="72"/>
  <c r="N28" i="72"/>
  <c r="M28" i="72"/>
  <c r="N27" i="72"/>
  <c r="M27" i="72"/>
  <c r="N26" i="72"/>
  <c r="M26" i="72"/>
  <c r="N25" i="72"/>
  <c r="M25" i="72"/>
  <c r="N24" i="72"/>
  <c r="M24" i="72"/>
  <c r="N23" i="72"/>
  <c r="M23" i="72"/>
  <c r="N22" i="72"/>
  <c r="M22" i="72"/>
  <c r="N21" i="72"/>
  <c r="M21" i="72"/>
  <c r="N20" i="72"/>
  <c r="M20" i="72"/>
  <c r="N19" i="72"/>
  <c r="M19" i="72"/>
  <c r="N18" i="72"/>
  <c r="M18" i="72"/>
  <c r="N17" i="72"/>
  <c r="M17" i="72"/>
  <c r="N16" i="72"/>
  <c r="M16" i="72"/>
  <c r="N15" i="72"/>
  <c r="M15" i="72"/>
  <c r="N14" i="72"/>
  <c r="M14" i="72"/>
  <c r="N13" i="72"/>
  <c r="M13" i="72"/>
  <c r="N12" i="72"/>
  <c r="M12" i="72"/>
  <c r="N11" i="72"/>
  <c r="M11" i="72"/>
  <c r="N10" i="72"/>
  <c r="M10" i="72"/>
  <c r="N9" i="72"/>
  <c r="M9" i="72"/>
  <c r="N8" i="72"/>
  <c r="M8" i="72"/>
  <c r="N7" i="72"/>
  <c r="M7" i="72"/>
  <c r="N6" i="72"/>
  <c r="M6" i="72"/>
  <c r="N106" i="72" l="1"/>
  <c r="M106" i="72"/>
</calcChain>
</file>

<file path=xl/sharedStrings.xml><?xml version="1.0" encoding="utf-8"?>
<sst xmlns="http://schemas.openxmlformats.org/spreadsheetml/2006/main" count="333" uniqueCount="230">
  <si>
    <t>FILE TARIKAN</t>
  </si>
  <si>
    <t>LOKASI FILE</t>
  </si>
  <si>
    <t>NAMA FILE</t>
  </si>
  <si>
    <t>FORMAT FILE</t>
  </si>
  <si>
    <t>.xlsx</t>
  </si>
  <si>
    <t>FileName</t>
  </si>
  <si>
    <t>LoadTime</t>
  </si>
  <si>
    <t>MarkerSize</t>
  </si>
  <si>
    <t>CuttingTime</t>
  </si>
  <si>
    <t>WorkTime</t>
  </si>
  <si>
    <t>Efficiency</t>
  </si>
  <si>
    <t>MaxSpeed</t>
  </si>
  <si>
    <t>MinSpeed</t>
  </si>
  <si>
    <t>Rasio</t>
  </si>
  <si>
    <t>layer</t>
  </si>
  <si>
    <t>Total Qty</t>
  </si>
  <si>
    <t>Total</t>
  </si>
  <si>
    <t>--</t>
  </si>
  <si>
    <t>.pdf</t>
  </si>
  <si>
    <t>FILE HASIL</t>
  </si>
  <si>
    <t>\\10.8.0.35\Bersama\IT\SEPTIAN\Efisiensi Report List</t>
  </si>
  <si>
    <t>EFISIENSI BULLMER</t>
  </si>
  <si>
    <t>983375CM1.GBR</t>
  </si>
  <si>
    <t>369.00mm * 1478.00mm</t>
  </si>
  <si>
    <t>982981BM2.GBR</t>
  </si>
  <si>
    <t>740.90mm * 1383.80mm</t>
  </si>
  <si>
    <t>983462A-S2M6L6XL4-58.GBR</t>
  </si>
  <si>
    <t>5523.60mm * 1473.20mm</t>
  </si>
  <si>
    <t>983464D-S5M12L12-58.GBR</t>
  </si>
  <si>
    <t>5103.48mm * 1473.20mm</t>
  </si>
  <si>
    <t>982980C-S4M4L4XL4-58.GBR</t>
  </si>
  <si>
    <t>5942.70mm * 1473.20mm</t>
  </si>
  <si>
    <t>27 MARET - 2 APRIL</t>
  </si>
  <si>
    <t>Marker Length</t>
  </si>
  <si>
    <t>Efficiency/Yard</t>
  </si>
  <si>
    <t>2024-03-27 06:02:11</t>
  </si>
  <si>
    <t>2024-03-27 06:51:22</t>
  </si>
  <si>
    <t>2024-03-27 07:38:14</t>
  </si>
  <si>
    <t>2024-03-27 08:15:39</t>
  </si>
  <si>
    <t>2024-03-27 08:50:03</t>
  </si>
  <si>
    <t>9113SDE-L8-58.GBR</t>
  </si>
  <si>
    <t>2024-03-27 09:37:03</t>
  </si>
  <si>
    <t>2874.89mm * 1473.20mm</t>
  </si>
  <si>
    <t>982980C-S2M2L3XL8-58.GBR</t>
  </si>
  <si>
    <t>2024-03-27 09:56:41</t>
  </si>
  <si>
    <t>5836.02mm * 1473.20mm</t>
  </si>
  <si>
    <t>983466C-M12L12-58.GBR</t>
  </si>
  <si>
    <t>2024-03-27 10:31:59</t>
  </si>
  <si>
    <t>4307.45mm * 1473.20mm</t>
  </si>
  <si>
    <t>2024-03-27 11:15:08</t>
  </si>
  <si>
    <t>2024-03-27 11:20:05</t>
  </si>
  <si>
    <t>982985A-S4M13L6XL4-62_5.GBR</t>
  </si>
  <si>
    <t>2024-03-27 12:02:07</t>
  </si>
  <si>
    <t>4653.65mm * 1587.50mm</t>
  </si>
  <si>
    <t>2024-03-27 12:37:39</t>
  </si>
  <si>
    <t>983464D-S5M12L12-59.GBR</t>
  </si>
  <si>
    <t>2024-03-27 13:10:41</t>
  </si>
  <si>
    <t>5034.65mm * 1498.60mm</t>
  </si>
  <si>
    <t>983464D-S3-58.GBR</t>
  </si>
  <si>
    <t>2024-03-27 14:02:35</t>
  </si>
  <si>
    <t>515.48mm * 1469.14mm</t>
  </si>
  <si>
    <t>983462A-M2-58.GBR</t>
  </si>
  <si>
    <t>2024-03-27 14:08:20</t>
  </si>
  <si>
    <t>597.52mm * 1472.95mm</t>
  </si>
  <si>
    <t>983465F-S6M6L6XL6-59.GBR</t>
  </si>
  <si>
    <t>2024-03-27 14:17:35</t>
  </si>
  <si>
    <t>4793.35mm * 1498.60mm</t>
  </si>
  <si>
    <t>983460E4XL1.GBR</t>
  </si>
  <si>
    <t>2024-03-27 15:02:08</t>
  </si>
  <si>
    <t>568.20mm * 1473.20mm</t>
  </si>
  <si>
    <t>983460E2X3X1.GBR</t>
  </si>
  <si>
    <t>2024-03-27 15:05:05</t>
  </si>
  <si>
    <t>830.00mm * 1473.20mm</t>
  </si>
  <si>
    <t>982985A-M7L5-62_5.GBR</t>
  </si>
  <si>
    <t>2024-03-27 15:12:30</t>
  </si>
  <si>
    <t>2090.28mm * 1587.50mm</t>
  </si>
  <si>
    <t>983463AM2.GBR</t>
  </si>
  <si>
    <t>2024-03-27 15:30:04</t>
  </si>
  <si>
    <t>578.10mm * 1469.70mm</t>
  </si>
  <si>
    <t>983464D-S7L3-59.GBR</t>
  </si>
  <si>
    <t>2024-03-27 15:37:26</t>
  </si>
  <si>
    <t>1658.23mm * 1498.60mm</t>
  </si>
  <si>
    <t>983463A-L2-58.GBR</t>
  </si>
  <si>
    <t>2024-03-27 16:00:53</t>
  </si>
  <si>
    <t>575.93mm * 1473.20mm</t>
  </si>
  <si>
    <t>983463A-XXL2-58.GBR</t>
  </si>
  <si>
    <t>2024-03-27 16:05:55</t>
  </si>
  <si>
    <t>672.45mm * 1472.95mm</t>
  </si>
  <si>
    <t>2024-03-27 16:21:15</t>
  </si>
  <si>
    <t>983463AXL2.GBR</t>
  </si>
  <si>
    <t>2024-03-27 17:08:49</t>
  </si>
  <si>
    <t>646.60mm * 1469.70mm</t>
  </si>
  <si>
    <t>2024-03-27 17:15:42</t>
  </si>
  <si>
    <t>4653.65mm * 1586.60mm</t>
  </si>
  <si>
    <t>983375C-S2M4L4XL8-58.GBR</t>
  </si>
  <si>
    <t>2024-03-27 19:14:28</t>
  </si>
  <si>
    <t>5829.67mm * 1473.20mm</t>
  </si>
  <si>
    <t>9113SDE-XXL12-58.GBR</t>
  </si>
  <si>
    <t>2024-03-27 19:52:09</t>
  </si>
  <si>
    <t>5066.40mm * 1472.95mm</t>
  </si>
  <si>
    <t>2024-03-27 20:19:41</t>
  </si>
  <si>
    <t>9113SDE-XXL12-59.GBR</t>
  </si>
  <si>
    <t>2024-03-27 20:57:59</t>
  </si>
  <si>
    <t>4985.37mm * 1498.60mm</t>
  </si>
  <si>
    <t>2024-03-27 21:25:56</t>
  </si>
  <si>
    <t>5836.02mm * 1472.30mm</t>
  </si>
  <si>
    <t>2024-03-27 22:08:31</t>
  </si>
  <si>
    <t>2024-03-27 22:46:07</t>
  </si>
  <si>
    <t>2024-03-28 06:23:32</t>
  </si>
  <si>
    <t>2024-03-28 07:29:30</t>
  </si>
  <si>
    <t>2024-03-28 07:59:01</t>
  </si>
  <si>
    <t>2024-03-28 08:31:33</t>
  </si>
  <si>
    <t>2024-03-28 08:57:40</t>
  </si>
  <si>
    <t>2024-03-28 09:26:25</t>
  </si>
  <si>
    <t>2024-03-28 09:59:45</t>
  </si>
  <si>
    <t>983375C-S4M4L4XL4-58.GBR</t>
  </si>
  <si>
    <t>2024-03-28 10:36:14</t>
  </si>
  <si>
    <t>4951.34mm * 1473.20mm</t>
  </si>
  <si>
    <t>2024-03-28 11:09:04</t>
  </si>
  <si>
    <t>982980C-S4M4L2-58.GBR</t>
  </si>
  <si>
    <t>2024-03-28 11:44:22</t>
  </si>
  <si>
    <t>3512.94mm * 1473.20mm</t>
  </si>
  <si>
    <t>983375C-S2M4L4XL8-59.GBR</t>
  </si>
  <si>
    <t>2024-03-28 12:12:37</t>
  </si>
  <si>
    <t>5696.20mm * 1498.60mm</t>
  </si>
  <si>
    <t>982984A-XXL18-62_5.GBR</t>
  </si>
  <si>
    <t>2024-03-28 12:50:23</t>
  </si>
  <si>
    <t>5697.84mm * 1587.50mm</t>
  </si>
  <si>
    <t>2024-03-28 13:27:08</t>
  </si>
  <si>
    <t>983462A-S3M7L4XL4-59.GBR</t>
  </si>
  <si>
    <t>2024-03-28 14:00:21</t>
  </si>
  <si>
    <t>5351.64mm * 1498.60mm</t>
  </si>
  <si>
    <t>2024-03-28 14:44:06</t>
  </si>
  <si>
    <t>982984A-M8L6XL6-62_5.GBR</t>
  </si>
  <si>
    <t>2024-03-28 15:40:33</t>
  </si>
  <si>
    <t>5274.93mm * 1587.50mm</t>
  </si>
  <si>
    <t>2024-03-28 16:39:25</t>
  </si>
  <si>
    <t>983375C-S3M6L6XL3-58.GBR</t>
  </si>
  <si>
    <t>2024-03-28 17:20:41</t>
  </si>
  <si>
    <t>5581.90mm * 1472.95mm</t>
  </si>
  <si>
    <t>2024-03-28 18:35:30</t>
  </si>
  <si>
    <t>5581.00mm * 1472.95mm</t>
  </si>
  <si>
    <t>982979B-M7L7XL2-58.GBR</t>
  </si>
  <si>
    <t>2024-03-28 19:39:19</t>
  </si>
  <si>
    <t>5367.14mm * 1473.20mm</t>
  </si>
  <si>
    <t>2024-03-28 20:38:05</t>
  </si>
  <si>
    <t>983375C-S3M6L6XL3-59.GBR</t>
  </si>
  <si>
    <t>2024-03-28 21:16:46</t>
  </si>
  <si>
    <t>5451.97mm * 1498.60mm</t>
  </si>
  <si>
    <t>2024-04-01 10:30:40</t>
  </si>
  <si>
    <t>983375C-S2M5L5XL5-58.GBR</t>
  </si>
  <si>
    <t>2024-04-01 11:15:45</t>
  </si>
  <si>
    <t>5398.89mm * 1473.20mm</t>
  </si>
  <si>
    <t>2024-04-01 11:52:29</t>
  </si>
  <si>
    <t>2024-04-01 13:14:37</t>
  </si>
  <si>
    <t>983466C-M1L1-58.GBR</t>
  </si>
  <si>
    <t>2024-04-01 13:57:00</t>
  </si>
  <si>
    <t>412.36mm * 1473.20mm</t>
  </si>
  <si>
    <t>2024-04-01 14:45:41</t>
  </si>
  <si>
    <t>2024-04-01 15:21:25</t>
  </si>
  <si>
    <t>2024-04-01 16:08:39</t>
  </si>
  <si>
    <t>2024-04-01 16:46:13</t>
  </si>
  <si>
    <t>982984A-M8L6XL6-61_5.GBR</t>
  </si>
  <si>
    <t>2024-04-01 17:22:24</t>
  </si>
  <si>
    <t>5372.98mm * 1562.10mm</t>
  </si>
  <si>
    <t>2024-04-01 18:48:26</t>
  </si>
  <si>
    <t>2024-04-01 19:23:38</t>
  </si>
  <si>
    <t>982979B-M7L7XL2-60.GBR</t>
  </si>
  <si>
    <t>2024-04-01 20:03:43</t>
  </si>
  <si>
    <t>5175.11mm * 1524.00mm</t>
  </si>
  <si>
    <t>2024-04-01 20:41:44</t>
  </si>
  <si>
    <t>2024-04-01 21:19:32</t>
  </si>
  <si>
    <t>2024-04-01 22:11:22</t>
  </si>
  <si>
    <t>2024-04-01 22:46:51</t>
  </si>
  <si>
    <t>2024-04-02 06:33:22</t>
  </si>
  <si>
    <t>5372.98mm * 1561.20mm</t>
  </si>
  <si>
    <t>982979B-XL4-58.GBR</t>
  </si>
  <si>
    <t>2024-04-02 07:21:09</t>
  </si>
  <si>
    <t>1547.74mm * 1473.20mm</t>
  </si>
  <si>
    <t>983375C-S3M6L6XL3-57_5.GBR</t>
  </si>
  <si>
    <t>2024-04-02 07:39:05</t>
  </si>
  <si>
    <t>5621.39mm * 1459.60mm</t>
  </si>
  <si>
    <t>2024-04-02 08:25:22</t>
  </si>
  <si>
    <t>2024-04-02 09:05:15</t>
  </si>
  <si>
    <t>983465FL258.GBR</t>
  </si>
  <si>
    <t>2024-04-02 09:50:14</t>
  </si>
  <si>
    <t>485.20mm * 1472.70mm</t>
  </si>
  <si>
    <t>983465FM258.GBR</t>
  </si>
  <si>
    <t>2024-04-02 09:56:54</t>
  </si>
  <si>
    <t>460.40mm * 1473.20mm</t>
  </si>
  <si>
    <t>2024-04-02 10:06:23</t>
  </si>
  <si>
    <t>982985AL2.GBR</t>
  </si>
  <si>
    <t>2024-04-02 10:49:57</t>
  </si>
  <si>
    <t>443.30mm * 1574.80mm</t>
  </si>
  <si>
    <t>2024-04-02 11:25:51</t>
  </si>
  <si>
    <t>982985A-M2-62_5.GBR</t>
  </si>
  <si>
    <t>2024-04-02 12:09:08</t>
  </si>
  <si>
    <t>412.87mm * 1503.43mm</t>
  </si>
  <si>
    <t>982985A-XXL12-62_5.GBR</t>
  </si>
  <si>
    <t>2024-04-02 12:14:32</t>
  </si>
  <si>
    <t>2614.54mm * 1587.25mm</t>
  </si>
  <si>
    <t>2024-04-02 12:37:22</t>
  </si>
  <si>
    <t>2024-04-02 13:18:22</t>
  </si>
  <si>
    <t>982985AXL2.GBR</t>
  </si>
  <si>
    <t>2024-04-02 13:45:12</t>
  </si>
  <si>
    <t>464.20mm * 1574.80mm</t>
  </si>
  <si>
    <t>2024-04-02 13:59:41</t>
  </si>
  <si>
    <t>2024-04-02 14:22:10</t>
  </si>
  <si>
    <t>5398.89mm * 1472.30mm</t>
  </si>
  <si>
    <t>983462A-S3M4L7-58.GBR</t>
  </si>
  <si>
    <t>2024-04-02 15:16:30</t>
  </si>
  <si>
    <t>4174.10mm * 1473.20mm</t>
  </si>
  <si>
    <t>2024-04-02 15:51:08</t>
  </si>
  <si>
    <t>983466C-M12L12-60.GBR</t>
  </si>
  <si>
    <t>2024-04-02 16:28:21</t>
  </si>
  <si>
    <t>4161.91mm * 1524.00mm</t>
  </si>
  <si>
    <t>2024-04-02 17:14:59</t>
  </si>
  <si>
    <t>2024-04-02 17:55:25</t>
  </si>
  <si>
    <t>982984A-M10L7-62_5.GBR</t>
  </si>
  <si>
    <t>2024-04-02 18:50:28</t>
  </si>
  <si>
    <t>4295.76mm * 1587.50mm</t>
  </si>
  <si>
    <t>2024-04-02 19:37:35</t>
  </si>
  <si>
    <t>2024-04-02 20:22:43</t>
  </si>
  <si>
    <t>2024-04-02 21:00:34</t>
  </si>
  <si>
    <t>5399.79mm * 1473.20mm</t>
  </si>
  <si>
    <t>2024-04-02 21:48:58</t>
  </si>
  <si>
    <t>983375C-XXL12-58.GBR</t>
  </si>
  <si>
    <t>2024-04-02 22:27:20</t>
  </si>
  <si>
    <t>4591.67mm * 1473.20mm</t>
  </si>
  <si>
    <t>Report List Bullmer Periode 26 Maret 2024 - 02 April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</si>
</sst>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#,##0.0_);[Red]_(\(#,##0.0\);_(&quot; - &quot;?_);_(@_)"/>
    <numFmt numFmtId="165" formatCode="_(#,##0.00_);[Red]_(\(#,##0.00\);_(&quot; - &quot;?_);_(@_)"/>
    <numFmt numFmtId="166" formatCode="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b/>
      <sz val="12"/>
      <color theme="0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4"/>
      <color rgb="FFFFFFFF"/>
      <name val="Century Gothic"/>
      <family val="2"/>
    </font>
    <font>
      <b/>
      <sz val="12"/>
      <color rgb="FFFFFFFF"/>
      <name val="Verdana"/>
      <family val="2"/>
    </font>
    <font>
      <b/>
      <sz val="16"/>
      <color theme="1"/>
      <name val="Century Gothic"/>
      <family val="2"/>
    </font>
    <font>
      <sz val="12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rgb="FF002434"/>
        <bgColor indexed="64"/>
      </patternFill>
    </fill>
    <fill>
      <patternFill patternType="solid">
        <fgColor rgb="FF346265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484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6" fillId="4" borderId="1" xfId="0" applyNumberFormat="1" applyFont="1" applyFill="1" applyBorder="1" applyAlignment="1">
      <alignment horizontal="center" vertical="center"/>
    </xf>
    <xf numFmtId="164" fontId="6" fillId="3" borderId="1" xfId="0" applyNumberFormat="1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165" fontId="7" fillId="7" borderId="1" xfId="0" applyNumberFormat="1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2" fontId="9" fillId="5" borderId="1" xfId="0" applyNumberFormat="1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166" fontId="9" fillId="6" borderId="1" xfId="0" applyNumberFormat="1" applyFont="1" applyFill="1" applyBorder="1" applyAlignment="1">
      <alignment horizontal="center" vertical="center"/>
    </xf>
    <xf numFmtId="166" fontId="7" fillId="7" borderId="1" xfId="0" applyNumberFormat="1" applyFont="1" applyFill="1" applyBorder="1" applyAlignment="1">
      <alignment horizontal="center" vertical="center"/>
    </xf>
    <xf numFmtId="164" fontId="9" fillId="5" borderId="1" xfId="0" applyNumberFormat="1" applyFont="1" applyFill="1" applyBorder="1" applyAlignment="1">
      <alignment horizontal="center" vertical="center"/>
    </xf>
    <xf numFmtId="164" fontId="9" fillId="8" borderId="1" xfId="0" applyNumberFormat="1" applyFont="1" applyFill="1" applyBorder="1" applyAlignment="1">
      <alignment horizontal="center" vertical="center"/>
    </xf>
    <xf numFmtId="2" fontId="6" fillId="3" borderId="1" xfId="0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4" fontId="9" fillId="6" borderId="1" xfId="0" applyNumberFormat="1" applyFont="1" applyFill="1" applyBorder="1" applyAlignment="1">
      <alignment horizontal="center" vertical="center"/>
    </xf>
    <xf numFmtId="164" fontId="7" fillId="7" borderId="1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2434"/>
      <color rgb="FF00517A"/>
      <color rgb="FF003248"/>
      <color rgb="FF003300"/>
      <color rgb="FF003366"/>
      <color rgb="FF004841"/>
      <color rgb="FF263C18"/>
      <color rgb="FF294E51"/>
      <color rgb="FF1B3335"/>
      <color rgb="FF162A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0</xdr:row>
      <xdr:rowOff>349249</xdr:rowOff>
    </xdr:from>
    <xdr:to>
      <xdr:col>1</xdr:col>
      <xdr:colOff>1312333</xdr:colOff>
      <xdr:row>2</xdr:row>
      <xdr:rowOff>179916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3A2AABA-E598-3A3A-9FCD-20EBC05B09EA}"/>
            </a:ext>
          </a:extLst>
        </xdr:cNvPr>
        <xdr:cNvSpPr/>
      </xdr:nvSpPr>
      <xdr:spPr>
        <a:xfrm>
          <a:off x="613834" y="349249"/>
          <a:ext cx="1312332" cy="592667"/>
        </a:xfrm>
        <a:prstGeom prst="roundRect">
          <a:avLst/>
        </a:prstGeom>
        <a:solidFill>
          <a:srgbClr val="003248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Efisiensi%20Report%20List" TargetMode="External"/><Relationship Id="rId1" Type="http://schemas.openxmlformats.org/officeDocument/2006/relationships/hyperlink" Target="../Efisiensi%20Report%20List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0566D-162A-48F6-BBBF-75BAF89D31FF}">
  <sheetPr codeName="HOME">
    <tabColor rgb="FFFFC000"/>
  </sheetPr>
  <dimension ref="B1:H10"/>
  <sheetViews>
    <sheetView showGridLines="0" tabSelected="1" zoomScale="90" zoomScaleNormal="90" workbookViewId="0"/>
  </sheetViews>
  <sheetFormatPr defaultColWidth="9.140625" defaultRowHeight="16.5" x14ac:dyDescent="0.25"/>
  <cols>
    <col min="1" max="1" width="9.140625" style="1" customWidth="1"/>
    <col min="2" max="2" width="22.5703125" style="1" customWidth="1"/>
    <col min="3" max="3" width="27" style="1" bestFit="1" customWidth="1"/>
    <col min="4" max="4" width="14.85546875" style="1" bestFit="1" customWidth="1"/>
    <col min="5" max="5" width="7.85546875" style="1" customWidth="1"/>
    <col min="6" max="6" width="46.42578125" style="1" bestFit="1" customWidth="1"/>
    <col min="7" max="7" width="22.28515625" style="1" bestFit="1" customWidth="1"/>
    <col min="8" max="8" width="14.85546875" style="1" bestFit="1" customWidth="1"/>
    <col min="9" max="16384" width="9.140625" style="1"/>
  </cols>
  <sheetData>
    <row r="1" spans="2:8" ht="30" customHeight="1" x14ac:dyDescent="0.25"/>
    <row r="2" spans="2:8" ht="30" customHeight="1" x14ac:dyDescent="0.25"/>
    <row r="3" spans="2:8" ht="30" customHeight="1" x14ac:dyDescent="0.25"/>
    <row r="4" spans="2:8" ht="5.0999999999999996" customHeight="1" x14ac:dyDescent="0.25">
      <c r="B4" s="3"/>
      <c r="C4" s="3"/>
      <c r="D4" s="3"/>
      <c r="E4" s="3"/>
      <c r="F4" s="3"/>
      <c r="G4" s="3"/>
      <c r="H4" s="3"/>
    </row>
    <row r="5" spans="2:8" ht="9.9499999999999993" customHeight="1" x14ac:dyDescent="0.25"/>
    <row r="6" spans="2:8" x14ac:dyDescent="0.25">
      <c r="B6" s="2" t="s">
        <v>0</v>
      </c>
      <c r="F6" s="2" t="s">
        <v>19</v>
      </c>
    </row>
    <row r="7" spans="2:8" s="5" customFormat="1" ht="24.95" customHeight="1" x14ac:dyDescent="0.25">
      <c r="B7" s="9" t="s">
        <v>1</v>
      </c>
      <c r="C7" s="4" t="s">
        <v>2</v>
      </c>
      <c r="D7" s="4" t="s">
        <v>3</v>
      </c>
      <c r="F7" s="9" t="s">
        <v>1</v>
      </c>
      <c r="G7" s="4" t="s">
        <v>2</v>
      </c>
      <c r="H7" s="4" t="s">
        <v>3</v>
      </c>
    </row>
    <row r="8" spans="2:8" s="7" customFormat="1" ht="20.100000000000001" customHeight="1" x14ac:dyDescent="0.25">
      <c r="B8" s="8" t="s">
        <v>20</v>
      </c>
      <c r="C8" s="6" t="s">
        <v>32</v>
      </c>
      <c r="D8" s="6" t="s">
        <v>4</v>
      </c>
      <c r="F8" s="8" t="s">
        <v>20</v>
      </c>
      <c r="G8" s="6" t="s">
        <v>21</v>
      </c>
      <c r="H8" s="6" t="s">
        <v>18</v>
      </c>
    </row>
    <row r="9" spans="2:8" ht="9.9499999999999993" customHeight="1" x14ac:dyDescent="0.25"/>
    <row r="10" spans="2:8" ht="5.0999999999999996" customHeight="1" x14ac:dyDescent="0.25">
      <c r="B10" s="3"/>
      <c r="C10" s="3"/>
      <c r="D10" s="3"/>
      <c r="E10" s="3"/>
      <c r="F10" s="3"/>
      <c r="G10" s="3"/>
      <c r="H10" s="3"/>
    </row>
  </sheetData>
  <hyperlinks>
    <hyperlink ref="B8" r:id="rId1" xr:uid="{63460886-1335-4E69-BF87-7686B2107F50}"/>
    <hyperlink ref="F8" r:id="rId2" xr:uid="{EA006A07-F294-48B5-A752-8735387B83CA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A8632-5598-4A07-8FC3-B3F3447BDF3E}">
  <sheetPr codeName="Sheet3">
    <tabColor rgb="FF00B0F0"/>
    <pageSetUpPr fitToPage="1"/>
  </sheetPr>
  <dimension ref="B2:Y106"/>
  <sheetViews>
    <sheetView zoomScale="85" zoomScaleNormal="85" workbookViewId="0">
      <pane ySplit="5" topLeftCell="A6" activePane="bottomLeft" state="frozen"/>
      <selection pane="bottomLeft"/>
    </sheetView>
  </sheetViews>
  <sheetFormatPr defaultRowHeight="14.25" x14ac:dyDescent="0.25"/>
  <cols>
    <col min="1" max="1" width="3.7109375" style="10" customWidth="1"/>
    <col min="2" max="2" width="45.5703125" style="10" customWidth="1"/>
    <col min="3" max="3" width="30.5703125" style="10" customWidth="1"/>
    <col min="4" max="4" width="36.140625" style="10" customWidth="1"/>
    <col min="5" max="5" width="22.28515625" style="10" customWidth="1"/>
    <col min="6" max="6" width="19.140625" style="10" customWidth="1"/>
    <col min="7" max="7" width="18.140625" style="10" customWidth="1"/>
    <col min="8" max="8" width="18" style="12" customWidth="1"/>
    <col min="9" max="9" width="17.85546875" style="10" customWidth="1"/>
    <col min="10" max="10" width="16.7109375" style="10" customWidth="1"/>
    <col min="11" max="11" width="10.28515625" style="10" customWidth="1"/>
    <col min="12" max="12" width="10.140625" style="10" customWidth="1"/>
    <col min="13" max="13" width="15" style="10" customWidth="1"/>
    <col min="14" max="14" width="23.85546875" style="10" customWidth="1"/>
    <col min="15" max="16384" width="9.140625" style="10"/>
  </cols>
  <sheetData>
    <row r="2" spans="2:25" s="29" customFormat="1" ht="30" customHeight="1" x14ac:dyDescent="0.25">
      <c r="B2" s="30" t="s">
        <v>229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</row>
    <row r="3" spans="2:25" s="11" customFormat="1" ht="15" customHeight="1" x14ac:dyDescent="0.2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2:25" ht="26.1" customHeight="1" x14ac:dyDescent="0.25">
      <c r="B4" s="17" t="s">
        <v>5</v>
      </c>
      <c r="C4" s="17" t="s">
        <v>6</v>
      </c>
      <c r="D4" s="17" t="s">
        <v>7</v>
      </c>
      <c r="E4" s="17" t="s">
        <v>33</v>
      </c>
      <c r="F4" s="17" t="s">
        <v>8</v>
      </c>
      <c r="G4" s="17" t="s">
        <v>9</v>
      </c>
      <c r="H4" s="13" t="s">
        <v>10</v>
      </c>
      <c r="I4" s="17" t="s">
        <v>11</v>
      </c>
      <c r="J4" s="17" t="s">
        <v>12</v>
      </c>
      <c r="K4" s="17" t="s">
        <v>13</v>
      </c>
      <c r="L4" s="17" t="s">
        <v>14</v>
      </c>
      <c r="M4" s="17" t="s">
        <v>15</v>
      </c>
      <c r="N4" s="17" t="s">
        <v>34</v>
      </c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2:25" ht="5.0999999999999996" customHeight="1" x14ac:dyDescent="0.25">
      <c r="B5" s="27"/>
      <c r="C5" s="27"/>
      <c r="D5" s="27"/>
      <c r="E5" s="27"/>
      <c r="F5" s="27"/>
      <c r="G5" s="27"/>
      <c r="H5" s="14"/>
      <c r="I5" s="27"/>
      <c r="J5" s="27"/>
      <c r="K5" s="27"/>
      <c r="L5" s="27"/>
      <c r="M5" s="27"/>
      <c r="N5" s="27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</row>
    <row r="6" spans="2:25" ht="20.100000000000001" customHeight="1" x14ac:dyDescent="0.25">
      <c r="B6" s="18" t="s">
        <v>28</v>
      </c>
      <c r="C6" s="18" t="s">
        <v>35</v>
      </c>
      <c r="D6" s="18" t="s">
        <v>29</v>
      </c>
      <c r="E6" s="19">
        <v>5.64</v>
      </c>
      <c r="F6" s="18">
        <v>41.4</v>
      </c>
      <c r="G6" s="18">
        <v>46.87</v>
      </c>
      <c r="H6" s="25">
        <v>88.328999999999994</v>
      </c>
      <c r="I6" s="18">
        <v>600</v>
      </c>
      <c r="J6" s="18">
        <v>0</v>
      </c>
      <c r="K6" s="18">
        <v>29</v>
      </c>
      <c r="L6" s="18">
        <v>70</v>
      </c>
      <c r="M6" s="18">
        <f>L6*K6</f>
        <v>2030</v>
      </c>
      <c r="N6" s="20">
        <f>F6/E6</f>
        <v>7.3404255319148941</v>
      </c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</row>
    <row r="7" spans="2:25" ht="20.100000000000001" customHeight="1" x14ac:dyDescent="0.25">
      <c r="B7" s="21" t="s">
        <v>28</v>
      </c>
      <c r="C7" s="21" t="s">
        <v>36</v>
      </c>
      <c r="D7" s="21" t="s">
        <v>29</v>
      </c>
      <c r="E7" s="22">
        <v>5.64</v>
      </c>
      <c r="F7" s="21">
        <v>42.35</v>
      </c>
      <c r="G7" s="21">
        <v>44.85</v>
      </c>
      <c r="H7" s="33">
        <v>94.426000000000002</v>
      </c>
      <c r="I7" s="21">
        <v>600</v>
      </c>
      <c r="J7" s="21">
        <v>0</v>
      </c>
      <c r="K7" s="21">
        <v>29</v>
      </c>
      <c r="L7" s="21">
        <v>41</v>
      </c>
      <c r="M7" s="21">
        <f t="shared" ref="M7:M70" si="0">L7*K7</f>
        <v>1189</v>
      </c>
      <c r="N7" s="23">
        <f t="shared" ref="N7:N70" si="1">F7/E7</f>
        <v>7.5088652482269511</v>
      </c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</row>
    <row r="8" spans="2:25" ht="20.100000000000001" customHeight="1" x14ac:dyDescent="0.25">
      <c r="B8" s="18" t="s">
        <v>26</v>
      </c>
      <c r="C8" s="18" t="s">
        <v>37</v>
      </c>
      <c r="D8" s="18" t="s">
        <v>27</v>
      </c>
      <c r="E8" s="19">
        <v>6.07</v>
      </c>
      <c r="F8" s="18">
        <v>32.92</v>
      </c>
      <c r="G8" s="18">
        <v>35.14</v>
      </c>
      <c r="H8" s="25">
        <v>93.682000000000002</v>
      </c>
      <c r="I8" s="18">
        <v>600</v>
      </c>
      <c r="J8" s="18">
        <v>0</v>
      </c>
      <c r="K8" s="18">
        <v>18</v>
      </c>
      <c r="L8" s="18">
        <v>46</v>
      </c>
      <c r="M8" s="18">
        <f t="shared" si="0"/>
        <v>828</v>
      </c>
      <c r="N8" s="20">
        <f t="shared" si="1"/>
        <v>5.4233937397034593</v>
      </c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</row>
    <row r="9" spans="2:25" ht="20.100000000000001" customHeight="1" x14ac:dyDescent="0.25">
      <c r="B9" s="21" t="s">
        <v>30</v>
      </c>
      <c r="C9" s="21" t="s">
        <v>38</v>
      </c>
      <c r="D9" s="21" t="s">
        <v>31</v>
      </c>
      <c r="E9" s="22">
        <v>6.5</v>
      </c>
      <c r="F9" s="21">
        <v>29.47</v>
      </c>
      <c r="G9" s="21">
        <v>31.93</v>
      </c>
      <c r="H9" s="33">
        <v>92.296000000000006</v>
      </c>
      <c r="I9" s="21">
        <v>600</v>
      </c>
      <c r="J9" s="21">
        <v>0</v>
      </c>
      <c r="K9" s="21">
        <v>16</v>
      </c>
      <c r="L9" s="21">
        <v>57</v>
      </c>
      <c r="M9" s="21">
        <f t="shared" si="0"/>
        <v>912</v>
      </c>
      <c r="N9" s="23">
        <f t="shared" si="1"/>
        <v>4.5338461538461541</v>
      </c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</row>
    <row r="10" spans="2:25" ht="20.100000000000001" customHeight="1" x14ac:dyDescent="0.25">
      <c r="B10" s="18" t="s">
        <v>28</v>
      </c>
      <c r="C10" s="18" t="s">
        <v>39</v>
      </c>
      <c r="D10" s="18" t="s">
        <v>29</v>
      </c>
      <c r="E10" s="19">
        <v>5.64</v>
      </c>
      <c r="F10" s="18">
        <v>43.11</v>
      </c>
      <c r="G10" s="18">
        <v>45.32</v>
      </c>
      <c r="H10" s="25">
        <v>95.123999999999995</v>
      </c>
      <c r="I10" s="18">
        <v>600</v>
      </c>
      <c r="J10" s="18">
        <v>0</v>
      </c>
      <c r="K10" s="18">
        <v>29</v>
      </c>
      <c r="L10" s="18">
        <v>41</v>
      </c>
      <c r="M10" s="18">
        <f t="shared" si="0"/>
        <v>1189</v>
      </c>
      <c r="N10" s="20">
        <f t="shared" si="1"/>
        <v>7.6436170212765964</v>
      </c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</row>
    <row r="11" spans="2:25" ht="20.100000000000001" customHeight="1" x14ac:dyDescent="0.25">
      <c r="B11" s="21" t="s">
        <v>40</v>
      </c>
      <c r="C11" s="21" t="s">
        <v>41</v>
      </c>
      <c r="D11" s="21" t="s">
        <v>42</v>
      </c>
      <c r="E11" s="22">
        <v>3.16</v>
      </c>
      <c r="F11" s="21">
        <v>13.43</v>
      </c>
      <c r="G11" s="21">
        <v>14.82</v>
      </c>
      <c r="H11" s="33">
        <v>90.620999999999995</v>
      </c>
      <c r="I11" s="21">
        <v>600</v>
      </c>
      <c r="J11" s="21">
        <v>0</v>
      </c>
      <c r="K11" s="21">
        <v>8</v>
      </c>
      <c r="L11" s="21">
        <v>10</v>
      </c>
      <c r="M11" s="21">
        <f t="shared" si="0"/>
        <v>80</v>
      </c>
      <c r="N11" s="23">
        <f t="shared" si="1"/>
        <v>4.25</v>
      </c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</row>
    <row r="12" spans="2:25" ht="20.100000000000001" customHeight="1" x14ac:dyDescent="0.25">
      <c r="B12" s="18" t="s">
        <v>43</v>
      </c>
      <c r="C12" s="18" t="s">
        <v>44</v>
      </c>
      <c r="D12" s="18" t="s">
        <v>45</v>
      </c>
      <c r="E12" s="19">
        <v>6.43</v>
      </c>
      <c r="F12" s="18">
        <v>27.87</v>
      </c>
      <c r="G12" s="18">
        <v>30.48</v>
      </c>
      <c r="H12" s="25">
        <v>91.436999999999998</v>
      </c>
      <c r="I12" s="18">
        <v>600</v>
      </c>
      <c r="J12" s="18">
        <v>0</v>
      </c>
      <c r="K12" s="18">
        <v>15</v>
      </c>
      <c r="L12" s="18">
        <v>70</v>
      </c>
      <c r="M12" s="18">
        <f t="shared" si="0"/>
        <v>1050</v>
      </c>
      <c r="N12" s="20">
        <f t="shared" si="1"/>
        <v>4.3343701399688959</v>
      </c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2:25" ht="20.100000000000001" customHeight="1" x14ac:dyDescent="0.25">
      <c r="B13" s="21" t="s">
        <v>46</v>
      </c>
      <c r="C13" s="21" t="s">
        <v>47</v>
      </c>
      <c r="D13" s="21" t="s">
        <v>48</v>
      </c>
      <c r="E13" s="22">
        <v>4.75</v>
      </c>
      <c r="F13" s="21">
        <v>36.35</v>
      </c>
      <c r="G13" s="21">
        <v>39.24</v>
      </c>
      <c r="H13" s="33">
        <v>92.635000000000005</v>
      </c>
      <c r="I13" s="21">
        <v>600</v>
      </c>
      <c r="J13" s="21">
        <v>0</v>
      </c>
      <c r="K13" s="21">
        <v>24</v>
      </c>
      <c r="L13" s="21">
        <v>51</v>
      </c>
      <c r="M13" s="21">
        <f t="shared" si="0"/>
        <v>1224</v>
      </c>
      <c r="N13" s="23">
        <f t="shared" si="1"/>
        <v>7.6526315789473687</v>
      </c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</row>
    <row r="14" spans="2:25" ht="20.100000000000001" customHeight="1" x14ac:dyDescent="0.25">
      <c r="B14" s="18" t="s">
        <v>24</v>
      </c>
      <c r="C14" s="18" t="s">
        <v>49</v>
      </c>
      <c r="D14" s="18" t="s">
        <v>25</v>
      </c>
      <c r="E14" s="19">
        <v>0.81</v>
      </c>
      <c r="F14" s="18">
        <v>4.01</v>
      </c>
      <c r="G14" s="18">
        <v>4.24</v>
      </c>
      <c r="H14" s="25">
        <v>94.575000000000003</v>
      </c>
      <c r="I14" s="18">
        <v>600</v>
      </c>
      <c r="J14" s="18">
        <v>0</v>
      </c>
      <c r="K14" s="18">
        <v>2</v>
      </c>
      <c r="L14" s="18">
        <v>15</v>
      </c>
      <c r="M14" s="18">
        <f t="shared" si="0"/>
        <v>30</v>
      </c>
      <c r="N14" s="20">
        <f t="shared" si="1"/>
        <v>4.9506172839506171</v>
      </c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</row>
    <row r="15" spans="2:25" ht="20.100000000000001" customHeight="1" x14ac:dyDescent="0.25">
      <c r="B15" s="21" t="s">
        <v>46</v>
      </c>
      <c r="C15" s="21" t="s">
        <v>50</v>
      </c>
      <c r="D15" s="21" t="s">
        <v>48</v>
      </c>
      <c r="E15" s="22">
        <v>4.75</v>
      </c>
      <c r="F15" s="21">
        <v>36.53</v>
      </c>
      <c r="G15" s="21">
        <v>39.94</v>
      </c>
      <c r="H15" s="33">
        <v>91.462000000000003</v>
      </c>
      <c r="I15" s="21">
        <v>600</v>
      </c>
      <c r="J15" s="21">
        <v>0</v>
      </c>
      <c r="K15" s="21">
        <v>24</v>
      </c>
      <c r="L15" s="21">
        <v>51</v>
      </c>
      <c r="M15" s="21">
        <f t="shared" si="0"/>
        <v>1224</v>
      </c>
      <c r="N15" s="23">
        <f t="shared" si="1"/>
        <v>7.6905263157894739</v>
      </c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</row>
    <row r="16" spans="2:25" ht="20.100000000000001" customHeight="1" x14ac:dyDescent="0.25">
      <c r="B16" s="18" t="s">
        <v>51</v>
      </c>
      <c r="C16" s="18" t="s">
        <v>52</v>
      </c>
      <c r="D16" s="18" t="s">
        <v>53</v>
      </c>
      <c r="E16" s="19">
        <v>5.1100000000000003</v>
      </c>
      <c r="F16" s="18">
        <v>23.89</v>
      </c>
      <c r="G16" s="18">
        <v>32.06</v>
      </c>
      <c r="H16" s="25">
        <v>74.516999999999996</v>
      </c>
      <c r="I16" s="18">
        <v>600</v>
      </c>
      <c r="J16" s="18">
        <v>0</v>
      </c>
      <c r="K16" s="18">
        <v>27</v>
      </c>
      <c r="L16" s="18">
        <v>70</v>
      </c>
      <c r="M16" s="18">
        <f t="shared" si="0"/>
        <v>1890</v>
      </c>
      <c r="N16" s="20">
        <f t="shared" si="1"/>
        <v>4.6751467710371815</v>
      </c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</row>
    <row r="17" spans="2:25" ht="20.100000000000001" customHeight="1" x14ac:dyDescent="0.25">
      <c r="B17" s="21" t="s">
        <v>43</v>
      </c>
      <c r="C17" s="21" t="s">
        <v>54</v>
      </c>
      <c r="D17" s="21" t="s">
        <v>45</v>
      </c>
      <c r="E17" s="22">
        <v>6.43</v>
      </c>
      <c r="F17" s="21">
        <v>27.82</v>
      </c>
      <c r="G17" s="21">
        <v>30.74</v>
      </c>
      <c r="H17" s="33">
        <v>90.501000000000005</v>
      </c>
      <c r="I17" s="21">
        <v>600</v>
      </c>
      <c r="J17" s="21">
        <v>0</v>
      </c>
      <c r="K17" s="21">
        <v>15</v>
      </c>
      <c r="L17" s="21">
        <v>43</v>
      </c>
      <c r="M17" s="21">
        <f t="shared" si="0"/>
        <v>645</v>
      </c>
      <c r="N17" s="23">
        <f t="shared" si="1"/>
        <v>4.3265940902021773</v>
      </c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</row>
    <row r="18" spans="2:25" ht="20.100000000000001" customHeight="1" x14ac:dyDescent="0.25">
      <c r="B18" s="18" t="s">
        <v>55</v>
      </c>
      <c r="C18" s="18" t="s">
        <v>56</v>
      </c>
      <c r="D18" s="18" t="s">
        <v>57</v>
      </c>
      <c r="E18" s="19">
        <v>5.52</v>
      </c>
      <c r="F18" s="18">
        <v>44</v>
      </c>
      <c r="G18" s="18">
        <v>46.96</v>
      </c>
      <c r="H18" s="25">
        <v>93.697000000000003</v>
      </c>
      <c r="I18" s="18">
        <v>600</v>
      </c>
      <c r="J18" s="18">
        <v>0</v>
      </c>
      <c r="K18" s="18">
        <v>29</v>
      </c>
      <c r="L18" s="18">
        <v>70</v>
      </c>
      <c r="M18" s="18">
        <f t="shared" si="0"/>
        <v>2030</v>
      </c>
      <c r="N18" s="20">
        <f t="shared" si="1"/>
        <v>7.9710144927536239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</row>
    <row r="19" spans="2:25" ht="20.100000000000001" customHeight="1" x14ac:dyDescent="0.25">
      <c r="B19" s="21" t="s">
        <v>58</v>
      </c>
      <c r="C19" s="21" t="s">
        <v>59</v>
      </c>
      <c r="D19" s="21" t="s">
        <v>60</v>
      </c>
      <c r="E19" s="22">
        <v>0.57999999999999996</v>
      </c>
      <c r="F19" s="21">
        <v>4.51</v>
      </c>
      <c r="G19" s="21">
        <v>4.6500000000000004</v>
      </c>
      <c r="H19" s="33">
        <v>96.989000000000004</v>
      </c>
      <c r="I19" s="21">
        <v>600</v>
      </c>
      <c r="J19" s="21">
        <v>0</v>
      </c>
      <c r="K19" s="21">
        <v>3</v>
      </c>
      <c r="L19" s="21">
        <v>34</v>
      </c>
      <c r="M19" s="21">
        <f t="shared" si="0"/>
        <v>102</v>
      </c>
      <c r="N19" s="23">
        <f t="shared" si="1"/>
        <v>7.7758620689655178</v>
      </c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</row>
    <row r="20" spans="2:25" ht="20.100000000000001" customHeight="1" x14ac:dyDescent="0.25">
      <c r="B20" s="18" t="s">
        <v>61</v>
      </c>
      <c r="C20" s="18" t="s">
        <v>62</v>
      </c>
      <c r="D20" s="18" t="s">
        <v>63</v>
      </c>
      <c r="E20" s="19">
        <v>0.69</v>
      </c>
      <c r="F20" s="18">
        <v>3.69</v>
      </c>
      <c r="G20" s="18">
        <v>3.84</v>
      </c>
      <c r="H20" s="25">
        <v>96.093999999999994</v>
      </c>
      <c r="I20" s="18">
        <v>600</v>
      </c>
      <c r="J20" s="18">
        <v>0</v>
      </c>
      <c r="K20" s="18">
        <v>2</v>
      </c>
      <c r="L20" s="18">
        <v>20</v>
      </c>
      <c r="M20" s="18">
        <f t="shared" si="0"/>
        <v>40</v>
      </c>
      <c r="N20" s="20">
        <f t="shared" si="1"/>
        <v>5.3478260869565224</v>
      </c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</row>
    <row r="21" spans="2:25" ht="20.100000000000001" customHeight="1" x14ac:dyDescent="0.25">
      <c r="B21" s="21" t="s">
        <v>64</v>
      </c>
      <c r="C21" s="21" t="s">
        <v>65</v>
      </c>
      <c r="D21" s="21" t="s">
        <v>66</v>
      </c>
      <c r="E21" s="22">
        <v>5.29</v>
      </c>
      <c r="F21" s="21">
        <v>35.14</v>
      </c>
      <c r="G21" s="21">
        <v>36.86</v>
      </c>
      <c r="H21" s="33">
        <v>95.334000000000003</v>
      </c>
      <c r="I21" s="21">
        <v>600</v>
      </c>
      <c r="J21" s="21">
        <v>0</v>
      </c>
      <c r="K21" s="21">
        <v>36</v>
      </c>
      <c r="L21" s="21">
        <v>60</v>
      </c>
      <c r="M21" s="21">
        <f t="shared" si="0"/>
        <v>2160</v>
      </c>
      <c r="N21" s="23">
        <f t="shared" si="1"/>
        <v>6.6427221172022684</v>
      </c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</row>
    <row r="22" spans="2:25" ht="20.100000000000001" customHeight="1" x14ac:dyDescent="0.25">
      <c r="B22" s="18" t="s">
        <v>67</v>
      </c>
      <c r="C22" s="18" t="s">
        <v>68</v>
      </c>
      <c r="D22" s="18" t="s">
        <v>69</v>
      </c>
      <c r="E22" s="19">
        <v>0.62</v>
      </c>
      <c r="F22" s="18">
        <v>2.09</v>
      </c>
      <c r="G22" s="18">
        <v>2.35</v>
      </c>
      <c r="H22" s="25">
        <v>88.936000000000007</v>
      </c>
      <c r="I22" s="18">
        <v>600</v>
      </c>
      <c r="J22" s="18">
        <v>0</v>
      </c>
      <c r="K22" s="18">
        <v>1</v>
      </c>
      <c r="L22" s="18">
        <v>4</v>
      </c>
      <c r="M22" s="18">
        <f t="shared" si="0"/>
        <v>4</v>
      </c>
      <c r="N22" s="20">
        <f t="shared" si="1"/>
        <v>3.3709677419354835</v>
      </c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</row>
    <row r="23" spans="2:25" ht="20.100000000000001" customHeight="1" x14ac:dyDescent="0.25">
      <c r="B23" s="21" t="s">
        <v>70</v>
      </c>
      <c r="C23" s="21" t="s">
        <v>71</v>
      </c>
      <c r="D23" s="21" t="s">
        <v>72</v>
      </c>
      <c r="E23" s="22">
        <v>0.91</v>
      </c>
      <c r="F23" s="21">
        <v>3.9</v>
      </c>
      <c r="G23" s="21">
        <v>4.21</v>
      </c>
      <c r="H23" s="33">
        <v>92.637</v>
      </c>
      <c r="I23" s="21">
        <v>600</v>
      </c>
      <c r="J23" s="21">
        <v>0</v>
      </c>
      <c r="K23" s="21">
        <v>2</v>
      </c>
      <c r="L23" s="21">
        <v>14</v>
      </c>
      <c r="M23" s="21">
        <f t="shared" si="0"/>
        <v>28</v>
      </c>
      <c r="N23" s="23">
        <f t="shared" si="1"/>
        <v>4.2857142857142856</v>
      </c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</row>
    <row r="24" spans="2:25" ht="20.100000000000001" customHeight="1" x14ac:dyDescent="0.25">
      <c r="B24" s="18" t="s">
        <v>73</v>
      </c>
      <c r="C24" s="18" t="s">
        <v>74</v>
      </c>
      <c r="D24" s="18" t="s">
        <v>75</v>
      </c>
      <c r="E24" s="19">
        <v>2.31</v>
      </c>
      <c r="F24" s="18">
        <v>10.57</v>
      </c>
      <c r="G24" s="18">
        <v>10.98</v>
      </c>
      <c r="H24" s="25">
        <v>96.266000000000005</v>
      </c>
      <c r="I24" s="18">
        <v>600</v>
      </c>
      <c r="J24" s="18">
        <v>0</v>
      </c>
      <c r="K24" s="18">
        <v>12</v>
      </c>
      <c r="L24" s="18">
        <v>27</v>
      </c>
      <c r="M24" s="18">
        <f t="shared" si="0"/>
        <v>324</v>
      </c>
      <c r="N24" s="20">
        <f t="shared" si="1"/>
        <v>4.5757575757575761</v>
      </c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</row>
    <row r="25" spans="2:25" ht="20.100000000000001" customHeight="1" x14ac:dyDescent="0.25">
      <c r="B25" s="21" t="s">
        <v>76</v>
      </c>
      <c r="C25" s="21" t="s">
        <v>77</v>
      </c>
      <c r="D25" s="21" t="s">
        <v>78</v>
      </c>
      <c r="E25" s="22">
        <v>0.91</v>
      </c>
      <c r="F25" s="21">
        <v>3.56</v>
      </c>
      <c r="G25" s="21">
        <v>4.3600000000000003</v>
      </c>
      <c r="H25" s="33">
        <v>81.650999999999996</v>
      </c>
      <c r="I25" s="21">
        <v>600</v>
      </c>
      <c r="J25" s="21">
        <v>0</v>
      </c>
      <c r="K25" s="21">
        <v>2</v>
      </c>
      <c r="L25" s="21">
        <v>55</v>
      </c>
      <c r="M25" s="21">
        <f t="shared" si="0"/>
        <v>110</v>
      </c>
      <c r="N25" s="23">
        <f t="shared" si="1"/>
        <v>3.912087912087912</v>
      </c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</row>
    <row r="26" spans="2:25" ht="20.100000000000001" customHeight="1" x14ac:dyDescent="0.25">
      <c r="B26" s="18" t="s">
        <v>79</v>
      </c>
      <c r="C26" s="18" t="s">
        <v>80</v>
      </c>
      <c r="D26" s="18" t="s">
        <v>81</v>
      </c>
      <c r="E26" s="19">
        <v>1.83</v>
      </c>
      <c r="F26" s="18">
        <v>14.78</v>
      </c>
      <c r="G26" s="18">
        <v>15.4</v>
      </c>
      <c r="H26" s="25">
        <v>95.974000000000004</v>
      </c>
      <c r="I26" s="18">
        <v>600</v>
      </c>
      <c r="J26" s="18">
        <v>0</v>
      </c>
      <c r="K26" s="18">
        <v>10</v>
      </c>
      <c r="L26" s="18">
        <v>44</v>
      </c>
      <c r="M26" s="18">
        <f t="shared" si="0"/>
        <v>440</v>
      </c>
      <c r="N26" s="20">
        <f t="shared" si="1"/>
        <v>8.0765027322404368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</row>
    <row r="27" spans="2:25" ht="20.100000000000001" customHeight="1" x14ac:dyDescent="0.25">
      <c r="B27" s="21" t="s">
        <v>82</v>
      </c>
      <c r="C27" s="21" t="s">
        <v>83</v>
      </c>
      <c r="D27" s="21" t="s">
        <v>84</v>
      </c>
      <c r="E27" s="22">
        <v>0.67</v>
      </c>
      <c r="F27" s="21">
        <v>3.42</v>
      </c>
      <c r="G27" s="21">
        <v>3.76</v>
      </c>
      <c r="H27" s="33">
        <v>90.956999999999994</v>
      </c>
      <c r="I27" s="21">
        <v>600</v>
      </c>
      <c r="J27" s="21">
        <v>0</v>
      </c>
      <c r="K27" s="21">
        <v>2</v>
      </c>
      <c r="L27" s="21">
        <v>10</v>
      </c>
      <c r="M27" s="21">
        <f t="shared" si="0"/>
        <v>20</v>
      </c>
      <c r="N27" s="23">
        <f t="shared" si="1"/>
        <v>5.1044776119402977</v>
      </c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</row>
    <row r="28" spans="2:25" ht="20.100000000000001" customHeight="1" x14ac:dyDescent="0.25">
      <c r="B28" s="18" t="s">
        <v>85</v>
      </c>
      <c r="C28" s="18" t="s">
        <v>86</v>
      </c>
      <c r="D28" s="18" t="s">
        <v>87</v>
      </c>
      <c r="E28" s="19">
        <v>0.77</v>
      </c>
      <c r="F28" s="18">
        <v>3.58</v>
      </c>
      <c r="G28" s="18">
        <v>3.98</v>
      </c>
      <c r="H28" s="25">
        <v>89.95</v>
      </c>
      <c r="I28" s="18">
        <v>600</v>
      </c>
      <c r="J28" s="18">
        <v>0</v>
      </c>
      <c r="K28" s="18">
        <v>2</v>
      </c>
      <c r="L28" s="18">
        <v>23</v>
      </c>
      <c r="M28" s="18">
        <f t="shared" si="0"/>
        <v>46</v>
      </c>
      <c r="N28" s="20">
        <f t="shared" si="1"/>
        <v>4.6493506493506489</v>
      </c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</row>
    <row r="29" spans="2:25" ht="20.100000000000001" customHeight="1" x14ac:dyDescent="0.25">
      <c r="B29" s="21" t="s">
        <v>46</v>
      </c>
      <c r="C29" s="21" t="s">
        <v>88</v>
      </c>
      <c r="D29" s="21" t="s">
        <v>48</v>
      </c>
      <c r="E29" s="22">
        <v>4.75</v>
      </c>
      <c r="F29" s="21">
        <v>36.33</v>
      </c>
      <c r="G29" s="21">
        <v>38.770000000000003</v>
      </c>
      <c r="H29" s="33">
        <v>93.706000000000003</v>
      </c>
      <c r="I29" s="21">
        <v>600</v>
      </c>
      <c r="J29" s="21">
        <v>0</v>
      </c>
      <c r="K29" s="21">
        <v>24</v>
      </c>
      <c r="L29" s="21">
        <v>49</v>
      </c>
      <c r="M29" s="21">
        <f t="shared" si="0"/>
        <v>1176</v>
      </c>
      <c r="N29" s="23">
        <f t="shared" si="1"/>
        <v>7.648421052631579</v>
      </c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</row>
    <row r="30" spans="2:25" ht="20.100000000000001" customHeight="1" x14ac:dyDescent="0.25">
      <c r="B30" s="18" t="s">
        <v>89</v>
      </c>
      <c r="C30" s="18" t="s">
        <v>90</v>
      </c>
      <c r="D30" s="18" t="s">
        <v>91</v>
      </c>
      <c r="E30" s="19">
        <v>0.71</v>
      </c>
      <c r="F30" s="18">
        <v>3.67</v>
      </c>
      <c r="G30" s="18">
        <v>3.95</v>
      </c>
      <c r="H30" s="25">
        <v>92.911000000000001</v>
      </c>
      <c r="I30" s="18">
        <v>600</v>
      </c>
      <c r="J30" s="18">
        <v>0</v>
      </c>
      <c r="K30" s="18">
        <v>2</v>
      </c>
      <c r="L30" s="18">
        <v>17</v>
      </c>
      <c r="M30" s="18">
        <f t="shared" si="0"/>
        <v>34</v>
      </c>
      <c r="N30" s="20">
        <f t="shared" si="1"/>
        <v>5.169014084507042</v>
      </c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</row>
    <row r="31" spans="2:25" ht="20.100000000000001" customHeight="1" x14ac:dyDescent="0.25">
      <c r="B31" s="21" t="s">
        <v>51</v>
      </c>
      <c r="C31" s="21" t="s">
        <v>92</v>
      </c>
      <c r="D31" s="21" t="s">
        <v>93</v>
      </c>
      <c r="E31" s="22">
        <v>5.1100000000000003</v>
      </c>
      <c r="F31" s="21">
        <v>23.85</v>
      </c>
      <c r="G31" s="21">
        <v>28.23</v>
      </c>
      <c r="H31" s="33">
        <v>84.484999999999999</v>
      </c>
      <c r="I31" s="21">
        <v>600</v>
      </c>
      <c r="J31" s="21">
        <v>0</v>
      </c>
      <c r="K31" s="21">
        <v>27</v>
      </c>
      <c r="L31" s="21">
        <v>70</v>
      </c>
      <c r="M31" s="21">
        <f t="shared" si="0"/>
        <v>1890</v>
      </c>
      <c r="N31" s="23">
        <f t="shared" si="1"/>
        <v>4.6673189823874752</v>
      </c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</row>
    <row r="32" spans="2:25" ht="20.100000000000001" customHeight="1" x14ac:dyDescent="0.25">
      <c r="B32" s="18" t="s">
        <v>94</v>
      </c>
      <c r="C32" s="18" t="s">
        <v>95</v>
      </c>
      <c r="D32" s="18" t="s">
        <v>96</v>
      </c>
      <c r="E32" s="19">
        <v>6.41</v>
      </c>
      <c r="F32" s="18">
        <v>30.2</v>
      </c>
      <c r="G32" s="18">
        <v>33.43</v>
      </c>
      <c r="H32" s="25">
        <v>90.337999999999994</v>
      </c>
      <c r="I32" s="18">
        <v>600</v>
      </c>
      <c r="J32" s="18">
        <v>0</v>
      </c>
      <c r="K32" s="18">
        <v>18</v>
      </c>
      <c r="L32" s="18">
        <v>80</v>
      </c>
      <c r="M32" s="18">
        <f t="shared" si="0"/>
        <v>1440</v>
      </c>
      <c r="N32" s="20">
        <f t="shared" si="1"/>
        <v>4.7113884555382217</v>
      </c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</row>
    <row r="33" spans="2:25" ht="20.100000000000001" customHeight="1" x14ac:dyDescent="0.25">
      <c r="B33" s="21" t="s">
        <v>97</v>
      </c>
      <c r="C33" s="21" t="s">
        <v>98</v>
      </c>
      <c r="D33" s="21" t="s">
        <v>99</v>
      </c>
      <c r="E33" s="22">
        <v>5.57</v>
      </c>
      <c r="F33" s="21">
        <v>21.03</v>
      </c>
      <c r="G33" s="21">
        <v>23.25</v>
      </c>
      <c r="H33" s="33">
        <v>90.451999999999998</v>
      </c>
      <c r="I33" s="21">
        <v>600</v>
      </c>
      <c r="J33" s="21">
        <v>0</v>
      </c>
      <c r="K33" s="21">
        <v>12</v>
      </c>
      <c r="L33" s="21">
        <v>85</v>
      </c>
      <c r="M33" s="21">
        <f t="shared" si="0"/>
        <v>1020</v>
      </c>
      <c r="N33" s="23">
        <f t="shared" si="1"/>
        <v>3.7755834829443446</v>
      </c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</row>
    <row r="34" spans="2:25" ht="20.100000000000001" customHeight="1" x14ac:dyDescent="0.25">
      <c r="B34" s="18" t="s">
        <v>51</v>
      </c>
      <c r="C34" s="18" t="s">
        <v>100</v>
      </c>
      <c r="D34" s="18" t="s">
        <v>53</v>
      </c>
      <c r="E34" s="19">
        <v>5.1100000000000003</v>
      </c>
      <c r="F34" s="18">
        <v>23.83</v>
      </c>
      <c r="G34" s="18">
        <v>26.72</v>
      </c>
      <c r="H34" s="25">
        <v>89.183999999999997</v>
      </c>
      <c r="I34" s="18">
        <v>600</v>
      </c>
      <c r="J34" s="18">
        <v>0</v>
      </c>
      <c r="K34" s="18">
        <v>27</v>
      </c>
      <c r="L34" s="18">
        <v>70</v>
      </c>
      <c r="M34" s="18">
        <f t="shared" si="0"/>
        <v>1890</v>
      </c>
      <c r="N34" s="20">
        <f t="shared" si="1"/>
        <v>4.6634050880626221</v>
      </c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</row>
    <row r="35" spans="2:25" ht="20.100000000000001" customHeight="1" x14ac:dyDescent="0.25">
      <c r="B35" s="21" t="s">
        <v>101</v>
      </c>
      <c r="C35" s="21" t="s">
        <v>102</v>
      </c>
      <c r="D35" s="21" t="s">
        <v>103</v>
      </c>
      <c r="E35" s="22">
        <v>5.47</v>
      </c>
      <c r="F35" s="21">
        <v>20.94</v>
      </c>
      <c r="G35" s="21">
        <v>23.38</v>
      </c>
      <c r="H35" s="33">
        <v>89.563999999999993</v>
      </c>
      <c r="I35" s="21">
        <v>600</v>
      </c>
      <c r="J35" s="21">
        <v>0</v>
      </c>
      <c r="K35" s="21">
        <v>12</v>
      </c>
      <c r="L35" s="21">
        <v>85</v>
      </c>
      <c r="M35" s="21">
        <f t="shared" si="0"/>
        <v>1020</v>
      </c>
      <c r="N35" s="23">
        <f t="shared" si="1"/>
        <v>3.828153564899452</v>
      </c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</row>
    <row r="36" spans="2:25" ht="20.100000000000001" customHeight="1" x14ac:dyDescent="0.25">
      <c r="B36" s="18" t="s">
        <v>43</v>
      </c>
      <c r="C36" s="18" t="s">
        <v>104</v>
      </c>
      <c r="D36" s="18" t="s">
        <v>105</v>
      </c>
      <c r="E36" s="19">
        <v>6.43</v>
      </c>
      <c r="F36" s="18">
        <v>28.08</v>
      </c>
      <c r="G36" s="18">
        <v>31.6</v>
      </c>
      <c r="H36" s="25">
        <v>88.861000000000004</v>
      </c>
      <c r="I36" s="18">
        <v>600</v>
      </c>
      <c r="J36" s="18">
        <v>0</v>
      </c>
      <c r="K36" s="18">
        <v>15</v>
      </c>
      <c r="L36" s="18">
        <v>56</v>
      </c>
      <c r="M36" s="18">
        <f t="shared" si="0"/>
        <v>840</v>
      </c>
      <c r="N36" s="20">
        <f t="shared" si="1"/>
        <v>4.3670295489891133</v>
      </c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</row>
    <row r="37" spans="2:25" ht="20.100000000000001" customHeight="1" x14ac:dyDescent="0.25">
      <c r="B37" s="21" t="s">
        <v>94</v>
      </c>
      <c r="C37" s="21" t="s">
        <v>106</v>
      </c>
      <c r="D37" s="21" t="s">
        <v>96</v>
      </c>
      <c r="E37" s="22">
        <v>6.41</v>
      </c>
      <c r="F37" s="21">
        <v>30.22</v>
      </c>
      <c r="G37" s="21">
        <v>33.909999999999997</v>
      </c>
      <c r="H37" s="33">
        <v>89.117999999999995</v>
      </c>
      <c r="I37" s="21">
        <v>600</v>
      </c>
      <c r="J37" s="21">
        <v>0</v>
      </c>
      <c r="K37" s="21">
        <v>18</v>
      </c>
      <c r="L37" s="21">
        <v>80</v>
      </c>
      <c r="M37" s="21">
        <f t="shared" si="0"/>
        <v>1440</v>
      </c>
      <c r="N37" s="23">
        <f t="shared" si="1"/>
        <v>4.7145085803432139</v>
      </c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</row>
    <row r="38" spans="2:25" ht="20.100000000000001" customHeight="1" x14ac:dyDescent="0.25">
      <c r="B38" s="18" t="s">
        <v>51</v>
      </c>
      <c r="C38" s="18" t="s">
        <v>107</v>
      </c>
      <c r="D38" s="18" t="s">
        <v>53</v>
      </c>
      <c r="E38" s="19">
        <v>5.1100000000000003</v>
      </c>
      <c r="F38" s="18">
        <v>24.33</v>
      </c>
      <c r="G38" s="18">
        <v>31.17</v>
      </c>
      <c r="H38" s="25">
        <v>78.055999999999997</v>
      </c>
      <c r="I38" s="18">
        <v>600</v>
      </c>
      <c r="J38" s="18">
        <v>0</v>
      </c>
      <c r="K38" s="18">
        <v>27</v>
      </c>
      <c r="L38" s="18">
        <v>70</v>
      </c>
      <c r="M38" s="18">
        <f t="shared" si="0"/>
        <v>1890</v>
      </c>
      <c r="N38" s="20">
        <f t="shared" si="1"/>
        <v>4.7612524461839527</v>
      </c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</row>
    <row r="39" spans="2:25" ht="20.100000000000001" customHeight="1" x14ac:dyDescent="0.25">
      <c r="B39" s="21" t="s">
        <v>101</v>
      </c>
      <c r="C39" s="21" t="s">
        <v>108</v>
      </c>
      <c r="D39" s="21" t="s">
        <v>103</v>
      </c>
      <c r="E39" s="22">
        <v>5.47</v>
      </c>
      <c r="F39" s="21">
        <v>19.25</v>
      </c>
      <c r="G39" s="21">
        <v>34.97</v>
      </c>
      <c r="H39" s="26">
        <v>55.046999999999997</v>
      </c>
      <c r="I39" s="21">
        <v>600</v>
      </c>
      <c r="J39" s="21">
        <v>0</v>
      </c>
      <c r="K39" s="21">
        <v>12</v>
      </c>
      <c r="L39" s="21">
        <v>85</v>
      </c>
      <c r="M39" s="21">
        <f t="shared" si="0"/>
        <v>1020</v>
      </c>
      <c r="N39" s="23">
        <f t="shared" si="1"/>
        <v>3.5191956124314445</v>
      </c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</row>
    <row r="40" spans="2:25" ht="20.100000000000001" customHeight="1" x14ac:dyDescent="0.25">
      <c r="B40" s="18" t="s">
        <v>51</v>
      </c>
      <c r="C40" s="18" t="s">
        <v>109</v>
      </c>
      <c r="D40" s="18" t="s">
        <v>53</v>
      </c>
      <c r="E40" s="19">
        <v>5.1100000000000003</v>
      </c>
      <c r="F40" s="18">
        <v>23.31</v>
      </c>
      <c r="G40" s="18">
        <v>26.25</v>
      </c>
      <c r="H40" s="25">
        <v>88.8</v>
      </c>
      <c r="I40" s="18">
        <v>600</v>
      </c>
      <c r="J40" s="18">
        <v>0</v>
      </c>
      <c r="K40" s="18">
        <v>27</v>
      </c>
      <c r="L40" s="18">
        <v>50</v>
      </c>
      <c r="M40" s="18">
        <f t="shared" si="0"/>
        <v>1350</v>
      </c>
      <c r="N40" s="20">
        <f t="shared" si="1"/>
        <v>4.5616438356164375</v>
      </c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</row>
    <row r="41" spans="2:25" ht="20.100000000000001" customHeight="1" x14ac:dyDescent="0.25">
      <c r="B41" s="21" t="s">
        <v>43</v>
      </c>
      <c r="C41" s="21" t="s">
        <v>110</v>
      </c>
      <c r="D41" s="21" t="s">
        <v>45</v>
      </c>
      <c r="E41" s="22">
        <v>6.43</v>
      </c>
      <c r="F41" s="21">
        <v>26.8</v>
      </c>
      <c r="G41" s="21">
        <v>30.18</v>
      </c>
      <c r="H41" s="33">
        <v>88.801000000000002</v>
      </c>
      <c r="I41" s="21">
        <v>600</v>
      </c>
      <c r="J41" s="21">
        <v>0</v>
      </c>
      <c r="K41" s="21">
        <v>15</v>
      </c>
      <c r="L41" s="21">
        <v>70</v>
      </c>
      <c r="M41" s="21">
        <f t="shared" si="0"/>
        <v>1050</v>
      </c>
      <c r="N41" s="23">
        <f t="shared" si="1"/>
        <v>4.1679626749611201</v>
      </c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</row>
    <row r="42" spans="2:25" ht="20.100000000000001" customHeight="1" x14ac:dyDescent="0.25">
      <c r="B42" s="18" t="s">
        <v>101</v>
      </c>
      <c r="C42" s="18" t="s">
        <v>111</v>
      </c>
      <c r="D42" s="18" t="s">
        <v>103</v>
      </c>
      <c r="E42" s="19">
        <v>5.47</v>
      </c>
      <c r="F42" s="18">
        <v>19.440000000000001</v>
      </c>
      <c r="G42" s="18">
        <v>21.69</v>
      </c>
      <c r="H42" s="25">
        <v>89.626999999999995</v>
      </c>
      <c r="I42" s="18">
        <v>600</v>
      </c>
      <c r="J42" s="18">
        <v>0</v>
      </c>
      <c r="K42" s="18">
        <v>12</v>
      </c>
      <c r="L42" s="18">
        <v>53</v>
      </c>
      <c r="M42" s="18">
        <f t="shared" si="0"/>
        <v>636</v>
      </c>
      <c r="N42" s="20">
        <f t="shared" si="1"/>
        <v>3.5539305301645343</v>
      </c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</row>
    <row r="43" spans="2:25" ht="20.100000000000001" customHeight="1" x14ac:dyDescent="0.25">
      <c r="B43" s="21" t="s">
        <v>51</v>
      </c>
      <c r="C43" s="21" t="s">
        <v>112</v>
      </c>
      <c r="D43" s="21" t="s">
        <v>53</v>
      </c>
      <c r="E43" s="22">
        <v>5.1100000000000003</v>
      </c>
      <c r="F43" s="21">
        <v>23.14</v>
      </c>
      <c r="G43" s="21">
        <v>26.29</v>
      </c>
      <c r="H43" s="33">
        <v>88.018000000000001</v>
      </c>
      <c r="I43" s="21">
        <v>600</v>
      </c>
      <c r="J43" s="21">
        <v>0</v>
      </c>
      <c r="K43" s="21">
        <v>27</v>
      </c>
      <c r="L43" s="21">
        <v>34</v>
      </c>
      <c r="M43" s="21">
        <f t="shared" si="0"/>
        <v>918</v>
      </c>
      <c r="N43" s="23">
        <f t="shared" si="1"/>
        <v>4.528375733855186</v>
      </c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</row>
    <row r="44" spans="2:25" ht="20.100000000000001" customHeight="1" x14ac:dyDescent="0.25">
      <c r="B44" s="18" t="s">
        <v>43</v>
      </c>
      <c r="C44" s="18" t="s">
        <v>113</v>
      </c>
      <c r="D44" s="18" t="s">
        <v>45</v>
      </c>
      <c r="E44" s="19">
        <v>6.43</v>
      </c>
      <c r="F44" s="18">
        <v>26.82</v>
      </c>
      <c r="G44" s="18">
        <v>30.56</v>
      </c>
      <c r="H44" s="25">
        <v>87.762</v>
      </c>
      <c r="I44" s="18">
        <v>600</v>
      </c>
      <c r="J44" s="18">
        <v>0</v>
      </c>
      <c r="K44" s="18">
        <v>15</v>
      </c>
      <c r="L44" s="18">
        <v>56</v>
      </c>
      <c r="M44" s="18">
        <f t="shared" si="0"/>
        <v>840</v>
      </c>
      <c r="N44" s="20">
        <f t="shared" si="1"/>
        <v>4.1710730948678076</v>
      </c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</row>
    <row r="45" spans="2:25" ht="20.100000000000001" customHeight="1" x14ac:dyDescent="0.25">
      <c r="B45" s="21" t="s">
        <v>51</v>
      </c>
      <c r="C45" s="21" t="s">
        <v>114</v>
      </c>
      <c r="D45" s="21" t="s">
        <v>53</v>
      </c>
      <c r="E45" s="22">
        <v>5.1100000000000003</v>
      </c>
      <c r="F45" s="21">
        <v>23.11</v>
      </c>
      <c r="G45" s="21">
        <v>29</v>
      </c>
      <c r="H45" s="33">
        <v>79.69</v>
      </c>
      <c r="I45" s="21">
        <v>600</v>
      </c>
      <c r="J45" s="21">
        <v>0</v>
      </c>
      <c r="K45" s="21">
        <v>27</v>
      </c>
      <c r="L45" s="21">
        <v>55</v>
      </c>
      <c r="M45" s="21">
        <f t="shared" si="0"/>
        <v>1485</v>
      </c>
      <c r="N45" s="23">
        <f t="shared" si="1"/>
        <v>4.5225048923679054</v>
      </c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</row>
    <row r="46" spans="2:25" ht="20.100000000000001" customHeight="1" x14ac:dyDescent="0.25">
      <c r="B46" s="18" t="s">
        <v>115</v>
      </c>
      <c r="C46" s="18" t="s">
        <v>116</v>
      </c>
      <c r="D46" s="18" t="s">
        <v>117</v>
      </c>
      <c r="E46" s="19">
        <v>5.47</v>
      </c>
      <c r="F46" s="18">
        <v>24.63</v>
      </c>
      <c r="G46" s="18">
        <v>29.45</v>
      </c>
      <c r="H46" s="25">
        <v>83.632999999999996</v>
      </c>
      <c r="I46" s="18">
        <v>600</v>
      </c>
      <c r="J46" s="18">
        <v>0</v>
      </c>
      <c r="K46" s="18">
        <v>16</v>
      </c>
      <c r="L46" s="18">
        <v>91</v>
      </c>
      <c r="M46" s="18">
        <f t="shared" si="0"/>
        <v>1456</v>
      </c>
      <c r="N46" s="20">
        <f t="shared" si="1"/>
        <v>4.5027422303473488</v>
      </c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</row>
    <row r="47" spans="2:25" ht="20.100000000000001" customHeight="1" x14ac:dyDescent="0.25">
      <c r="B47" s="21" t="s">
        <v>115</v>
      </c>
      <c r="C47" s="21" t="s">
        <v>118</v>
      </c>
      <c r="D47" s="21" t="s">
        <v>117</v>
      </c>
      <c r="E47" s="22">
        <v>5.47</v>
      </c>
      <c r="F47" s="21">
        <v>24.68</v>
      </c>
      <c r="G47" s="21">
        <v>29.64</v>
      </c>
      <c r="H47" s="33">
        <v>83.266000000000005</v>
      </c>
      <c r="I47" s="21">
        <v>600</v>
      </c>
      <c r="J47" s="21">
        <v>0</v>
      </c>
      <c r="K47" s="21">
        <v>16</v>
      </c>
      <c r="L47" s="21">
        <v>89</v>
      </c>
      <c r="M47" s="21">
        <f t="shared" si="0"/>
        <v>1424</v>
      </c>
      <c r="N47" s="23">
        <f t="shared" si="1"/>
        <v>4.5118829981718465</v>
      </c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</row>
    <row r="48" spans="2:25" ht="20.100000000000001" customHeight="1" x14ac:dyDescent="0.25">
      <c r="B48" s="18" t="s">
        <v>119</v>
      </c>
      <c r="C48" s="18" t="s">
        <v>120</v>
      </c>
      <c r="D48" s="18" t="s">
        <v>121</v>
      </c>
      <c r="E48" s="19">
        <v>3.86</v>
      </c>
      <c r="F48" s="18">
        <v>18.02</v>
      </c>
      <c r="G48" s="18">
        <v>19.71</v>
      </c>
      <c r="H48" s="25">
        <v>91.426000000000002</v>
      </c>
      <c r="I48" s="18">
        <v>600</v>
      </c>
      <c r="J48" s="18">
        <v>0</v>
      </c>
      <c r="K48" s="18">
        <v>10</v>
      </c>
      <c r="L48" s="18">
        <v>81</v>
      </c>
      <c r="M48" s="18">
        <f t="shared" si="0"/>
        <v>810</v>
      </c>
      <c r="N48" s="20">
        <f t="shared" si="1"/>
        <v>4.6683937823834194</v>
      </c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</row>
    <row r="49" spans="2:25" ht="20.100000000000001" customHeight="1" x14ac:dyDescent="0.25">
      <c r="B49" s="21" t="s">
        <v>122</v>
      </c>
      <c r="C49" s="21" t="s">
        <v>123</v>
      </c>
      <c r="D49" s="21" t="s">
        <v>124</v>
      </c>
      <c r="E49" s="22">
        <v>6.24</v>
      </c>
      <c r="F49" s="21">
        <v>28.43</v>
      </c>
      <c r="G49" s="21">
        <v>30.65</v>
      </c>
      <c r="H49" s="33">
        <v>92.757000000000005</v>
      </c>
      <c r="I49" s="21">
        <v>600</v>
      </c>
      <c r="J49" s="21">
        <v>0</v>
      </c>
      <c r="K49" s="21">
        <v>0</v>
      </c>
      <c r="L49" s="21">
        <v>10</v>
      </c>
      <c r="M49" s="21">
        <f t="shared" si="0"/>
        <v>0</v>
      </c>
      <c r="N49" s="23">
        <f t="shared" si="1"/>
        <v>4.5560897435897436</v>
      </c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</row>
    <row r="50" spans="2:25" ht="20.100000000000001" customHeight="1" x14ac:dyDescent="0.25">
      <c r="B50" s="18" t="s">
        <v>125</v>
      </c>
      <c r="C50" s="18" t="s">
        <v>126</v>
      </c>
      <c r="D50" s="18" t="s">
        <v>127</v>
      </c>
      <c r="E50" s="19">
        <v>6.25</v>
      </c>
      <c r="F50" s="18">
        <v>29.39</v>
      </c>
      <c r="G50" s="18">
        <v>32.9</v>
      </c>
      <c r="H50" s="25">
        <v>89.331000000000003</v>
      </c>
      <c r="I50" s="18">
        <v>600</v>
      </c>
      <c r="J50" s="18">
        <v>0</v>
      </c>
      <c r="K50" s="18">
        <v>18</v>
      </c>
      <c r="L50" s="18">
        <v>66</v>
      </c>
      <c r="M50" s="18">
        <f t="shared" si="0"/>
        <v>1188</v>
      </c>
      <c r="N50" s="20">
        <f t="shared" si="1"/>
        <v>4.7023999999999999</v>
      </c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</row>
    <row r="51" spans="2:25" ht="20.100000000000001" customHeight="1" x14ac:dyDescent="0.25">
      <c r="B51" s="21" t="s">
        <v>115</v>
      </c>
      <c r="C51" s="21" t="s">
        <v>128</v>
      </c>
      <c r="D51" s="21" t="s">
        <v>117</v>
      </c>
      <c r="E51" s="22">
        <v>5.47</v>
      </c>
      <c r="F51" s="21">
        <v>25.25</v>
      </c>
      <c r="G51" s="21">
        <v>28.38</v>
      </c>
      <c r="H51" s="33">
        <v>88.971000000000004</v>
      </c>
      <c r="I51" s="21">
        <v>600</v>
      </c>
      <c r="J51" s="21">
        <v>0</v>
      </c>
      <c r="K51" s="21">
        <v>24</v>
      </c>
      <c r="L51" s="21">
        <v>91</v>
      </c>
      <c r="M51" s="21">
        <f t="shared" si="0"/>
        <v>2184</v>
      </c>
      <c r="N51" s="23">
        <f t="shared" si="1"/>
        <v>4.6160877513711158</v>
      </c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</row>
    <row r="52" spans="2:25" ht="20.100000000000001" customHeight="1" x14ac:dyDescent="0.25">
      <c r="B52" s="18" t="s">
        <v>129</v>
      </c>
      <c r="C52" s="18" t="s">
        <v>130</v>
      </c>
      <c r="D52" s="18" t="s">
        <v>131</v>
      </c>
      <c r="E52" s="19">
        <v>5.9</v>
      </c>
      <c r="F52" s="18">
        <v>31.89</v>
      </c>
      <c r="G52" s="18">
        <v>37.1</v>
      </c>
      <c r="H52" s="25">
        <v>85.956999999999994</v>
      </c>
      <c r="I52" s="18">
        <v>600</v>
      </c>
      <c r="J52" s="18">
        <v>0</v>
      </c>
      <c r="K52" s="18">
        <v>18</v>
      </c>
      <c r="L52" s="18">
        <v>80</v>
      </c>
      <c r="M52" s="18">
        <f t="shared" si="0"/>
        <v>1440</v>
      </c>
      <c r="N52" s="20">
        <f t="shared" si="1"/>
        <v>5.4050847457627116</v>
      </c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</row>
    <row r="53" spans="2:25" ht="20.100000000000001" customHeight="1" x14ac:dyDescent="0.25">
      <c r="B53" s="21" t="s">
        <v>115</v>
      </c>
      <c r="C53" s="21" t="s">
        <v>132</v>
      </c>
      <c r="D53" s="21" t="s">
        <v>117</v>
      </c>
      <c r="E53" s="22">
        <v>5.47</v>
      </c>
      <c r="F53" s="21">
        <v>25.51</v>
      </c>
      <c r="G53" s="21">
        <v>30.65</v>
      </c>
      <c r="H53" s="33">
        <v>83.23</v>
      </c>
      <c r="I53" s="21">
        <v>600</v>
      </c>
      <c r="J53" s="21">
        <v>0</v>
      </c>
      <c r="K53" s="21">
        <v>16</v>
      </c>
      <c r="L53" s="21">
        <v>89</v>
      </c>
      <c r="M53" s="21">
        <f t="shared" si="0"/>
        <v>1424</v>
      </c>
      <c r="N53" s="23">
        <f t="shared" si="1"/>
        <v>4.6636197440585017</v>
      </c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</row>
    <row r="54" spans="2:25" ht="20.100000000000001" customHeight="1" x14ac:dyDescent="0.25">
      <c r="B54" s="18" t="s">
        <v>133</v>
      </c>
      <c r="C54" s="18" t="s">
        <v>134</v>
      </c>
      <c r="D54" s="18" t="s">
        <v>135</v>
      </c>
      <c r="E54" s="19">
        <v>5.81</v>
      </c>
      <c r="F54" s="18">
        <v>32.19</v>
      </c>
      <c r="G54" s="18">
        <v>36.18</v>
      </c>
      <c r="H54" s="25">
        <v>88.971999999999994</v>
      </c>
      <c r="I54" s="18">
        <v>600</v>
      </c>
      <c r="J54" s="18">
        <v>0</v>
      </c>
      <c r="K54" s="18">
        <v>20</v>
      </c>
      <c r="L54" s="18">
        <v>70</v>
      </c>
      <c r="M54" s="18">
        <f t="shared" si="0"/>
        <v>1400</v>
      </c>
      <c r="N54" s="20">
        <f t="shared" si="1"/>
        <v>5.540447504302926</v>
      </c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</row>
    <row r="55" spans="2:25" ht="20.100000000000001" customHeight="1" x14ac:dyDescent="0.25">
      <c r="B55" s="21" t="s">
        <v>129</v>
      </c>
      <c r="C55" s="21" t="s">
        <v>136</v>
      </c>
      <c r="D55" s="21" t="s">
        <v>131</v>
      </c>
      <c r="E55" s="22">
        <v>5.9</v>
      </c>
      <c r="F55" s="21">
        <v>32.28</v>
      </c>
      <c r="G55" s="21">
        <v>36.090000000000003</v>
      </c>
      <c r="H55" s="33">
        <v>89.442999999999998</v>
      </c>
      <c r="I55" s="21">
        <v>600</v>
      </c>
      <c r="J55" s="21">
        <v>0</v>
      </c>
      <c r="K55" s="21">
        <v>18</v>
      </c>
      <c r="L55" s="21">
        <v>64</v>
      </c>
      <c r="M55" s="21">
        <f t="shared" si="0"/>
        <v>1152</v>
      </c>
      <c r="N55" s="23">
        <f t="shared" si="1"/>
        <v>5.4711864406779656</v>
      </c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</row>
    <row r="56" spans="2:25" ht="20.100000000000001" customHeight="1" x14ac:dyDescent="0.25">
      <c r="B56" s="18" t="s">
        <v>137</v>
      </c>
      <c r="C56" s="18" t="s">
        <v>138</v>
      </c>
      <c r="D56" s="18" t="s">
        <v>139</v>
      </c>
      <c r="E56" s="19">
        <v>6.15</v>
      </c>
      <c r="F56" s="18">
        <v>29.01</v>
      </c>
      <c r="G56" s="18">
        <v>31.26</v>
      </c>
      <c r="H56" s="25">
        <v>92.802000000000007</v>
      </c>
      <c r="I56" s="18">
        <v>600</v>
      </c>
      <c r="J56" s="18">
        <v>0</v>
      </c>
      <c r="K56" s="18">
        <v>18</v>
      </c>
      <c r="L56" s="18">
        <v>80</v>
      </c>
      <c r="M56" s="18">
        <f t="shared" si="0"/>
        <v>1440</v>
      </c>
      <c r="N56" s="20">
        <f t="shared" si="1"/>
        <v>4.7170731707317071</v>
      </c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</row>
    <row r="57" spans="2:25" ht="20.100000000000001" customHeight="1" x14ac:dyDescent="0.25">
      <c r="B57" s="21" t="s">
        <v>137</v>
      </c>
      <c r="C57" s="21" t="s">
        <v>140</v>
      </c>
      <c r="D57" s="21" t="s">
        <v>141</v>
      </c>
      <c r="E57" s="22">
        <v>6.15</v>
      </c>
      <c r="F57" s="21">
        <v>29.15</v>
      </c>
      <c r="G57" s="21">
        <v>31.4</v>
      </c>
      <c r="H57" s="33">
        <v>92.834000000000003</v>
      </c>
      <c r="I57" s="21">
        <v>600</v>
      </c>
      <c r="J57" s="21">
        <v>0</v>
      </c>
      <c r="K57" s="21">
        <v>18</v>
      </c>
      <c r="L57" s="21">
        <v>80</v>
      </c>
      <c r="M57" s="21">
        <f t="shared" si="0"/>
        <v>1440</v>
      </c>
      <c r="N57" s="23">
        <f t="shared" si="1"/>
        <v>4.7398373983739832</v>
      </c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</row>
    <row r="58" spans="2:25" ht="20.100000000000001" customHeight="1" x14ac:dyDescent="0.25">
      <c r="B58" s="18" t="s">
        <v>142</v>
      </c>
      <c r="C58" s="18" t="s">
        <v>143</v>
      </c>
      <c r="D58" s="18" t="s">
        <v>144</v>
      </c>
      <c r="E58" s="19">
        <v>5.89</v>
      </c>
      <c r="F58" s="18">
        <v>31.76</v>
      </c>
      <c r="G58" s="18">
        <v>49.62</v>
      </c>
      <c r="H58" s="25">
        <v>64.006</v>
      </c>
      <c r="I58" s="18">
        <v>600</v>
      </c>
      <c r="J58" s="18">
        <v>0</v>
      </c>
      <c r="K58" s="18">
        <v>16</v>
      </c>
      <c r="L58" s="18">
        <v>74</v>
      </c>
      <c r="M58" s="18">
        <f t="shared" si="0"/>
        <v>1184</v>
      </c>
      <c r="N58" s="20">
        <f t="shared" si="1"/>
        <v>5.3921901528013585</v>
      </c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</row>
    <row r="59" spans="2:25" ht="20.100000000000001" customHeight="1" x14ac:dyDescent="0.25">
      <c r="B59" s="21" t="s">
        <v>137</v>
      </c>
      <c r="C59" s="21" t="s">
        <v>145</v>
      </c>
      <c r="D59" s="21" t="s">
        <v>141</v>
      </c>
      <c r="E59" s="22">
        <v>6.15</v>
      </c>
      <c r="F59" s="21">
        <v>29.17</v>
      </c>
      <c r="G59" s="21">
        <v>31.62</v>
      </c>
      <c r="H59" s="33">
        <v>92.251999999999995</v>
      </c>
      <c r="I59" s="21">
        <v>600</v>
      </c>
      <c r="J59" s="21">
        <v>0</v>
      </c>
      <c r="K59" s="21">
        <v>18</v>
      </c>
      <c r="L59" s="21">
        <v>66</v>
      </c>
      <c r="M59" s="21">
        <f t="shared" si="0"/>
        <v>1188</v>
      </c>
      <c r="N59" s="23">
        <f t="shared" si="1"/>
        <v>4.743089430894309</v>
      </c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</row>
    <row r="60" spans="2:25" ht="20.100000000000001" customHeight="1" x14ac:dyDescent="0.25">
      <c r="B60" s="18" t="s">
        <v>146</v>
      </c>
      <c r="C60" s="18" t="s">
        <v>147</v>
      </c>
      <c r="D60" s="18" t="s">
        <v>148</v>
      </c>
      <c r="E60" s="19">
        <v>7</v>
      </c>
      <c r="F60" s="18">
        <v>29.02</v>
      </c>
      <c r="G60" s="18">
        <v>31.8</v>
      </c>
      <c r="H60" s="25">
        <v>91.257999999999996</v>
      </c>
      <c r="I60" s="18">
        <v>600</v>
      </c>
      <c r="J60" s="18">
        <v>0</v>
      </c>
      <c r="K60" s="18">
        <v>18</v>
      </c>
      <c r="L60" s="18">
        <v>80</v>
      </c>
      <c r="M60" s="18">
        <f t="shared" si="0"/>
        <v>1440</v>
      </c>
      <c r="N60" s="20">
        <f t="shared" si="1"/>
        <v>4.1457142857142859</v>
      </c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</row>
    <row r="61" spans="2:25" ht="20.100000000000001" customHeight="1" x14ac:dyDescent="0.25">
      <c r="B61" s="21" t="s">
        <v>133</v>
      </c>
      <c r="C61" s="21" t="s">
        <v>149</v>
      </c>
      <c r="D61" s="21" t="s">
        <v>135</v>
      </c>
      <c r="E61" s="22">
        <v>5.81</v>
      </c>
      <c r="F61" s="21">
        <v>32.76</v>
      </c>
      <c r="G61" s="21">
        <v>37.17</v>
      </c>
      <c r="H61" s="33">
        <v>88.135999999999996</v>
      </c>
      <c r="I61" s="21">
        <v>600</v>
      </c>
      <c r="J61" s="21">
        <v>0</v>
      </c>
      <c r="K61" s="21">
        <v>20</v>
      </c>
      <c r="L61" s="21">
        <v>70</v>
      </c>
      <c r="M61" s="21">
        <f t="shared" si="0"/>
        <v>1400</v>
      </c>
      <c r="N61" s="23">
        <f t="shared" si="1"/>
        <v>5.6385542168674698</v>
      </c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</row>
    <row r="62" spans="2:25" ht="20.100000000000001" customHeight="1" x14ac:dyDescent="0.25">
      <c r="B62" s="18" t="s">
        <v>150</v>
      </c>
      <c r="C62" s="18" t="s">
        <v>151</v>
      </c>
      <c r="D62" s="18" t="s">
        <v>152</v>
      </c>
      <c r="E62" s="19">
        <v>5.94</v>
      </c>
      <c r="F62" s="18">
        <v>27.72</v>
      </c>
      <c r="G62" s="18">
        <v>31.31</v>
      </c>
      <c r="H62" s="25">
        <v>88.534000000000006</v>
      </c>
      <c r="I62" s="18">
        <v>600</v>
      </c>
      <c r="J62" s="18">
        <v>0</v>
      </c>
      <c r="K62" s="18">
        <v>17</v>
      </c>
      <c r="L62" s="18">
        <v>80</v>
      </c>
      <c r="M62" s="18">
        <f t="shared" si="0"/>
        <v>1360</v>
      </c>
      <c r="N62" s="20">
        <f t="shared" si="1"/>
        <v>4.6666666666666661</v>
      </c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</row>
    <row r="63" spans="2:25" ht="20.100000000000001" customHeight="1" x14ac:dyDescent="0.25">
      <c r="B63" s="21" t="s">
        <v>22</v>
      </c>
      <c r="C63" s="21" t="s">
        <v>153</v>
      </c>
      <c r="D63" s="21" t="s">
        <v>23</v>
      </c>
      <c r="E63" s="22">
        <v>0.4</v>
      </c>
      <c r="F63" s="21">
        <v>1.76</v>
      </c>
      <c r="G63" s="21">
        <v>2.58</v>
      </c>
      <c r="H63" s="33">
        <v>68.216999999999999</v>
      </c>
      <c r="I63" s="21">
        <v>600</v>
      </c>
      <c r="J63" s="21">
        <v>0</v>
      </c>
      <c r="K63" s="21">
        <v>1</v>
      </c>
      <c r="L63" s="21">
        <v>12</v>
      </c>
      <c r="M63" s="21">
        <f t="shared" si="0"/>
        <v>12</v>
      </c>
      <c r="N63" s="23">
        <f t="shared" si="1"/>
        <v>4.3999999999999995</v>
      </c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</row>
    <row r="64" spans="2:25" ht="20.100000000000001" customHeight="1" x14ac:dyDescent="0.25">
      <c r="B64" s="18" t="s">
        <v>137</v>
      </c>
      <c r="C64" s="18" t="s">
        <v>154</v>
      </c>
      <c r="D64" s="18" t="s">
        <v>141</v>
      </c>
      <c r="E64" s="19">
        <v>6.15</v>
      </c>
      <c r="F64" s="18">
        <v>28.12</v>
      </c>
      <c r="G64" s="18">
        <v>32.46</v>
      </c>
      <c r="H64" s="25">
        <v>86.63</v>
      </c>
      <c r="I64" s="18">
        <v>600</v>
      </c>
      <c r="J64" s="18">
        <v>0</v>
      </c>
      <c r="K64" s="18">
        <v>18</v>
      </c>
      <c r="L64" s="18">
        <v>80</v>
      </c>
      <c r="M64" s="18">
        <f t="shared" si="0"/>
        <v>1440</v>
      </c>
      <c r="N64" s="20">
        <f t="shared" si="1"/>
        <v>4.5723577235772357</v>
      </c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</row>
    <row r="65" spans="2:25" ht="20.100000000000001" customHeight="1" x14ac:dyDescent="0.25">
      <c r="B65" s="21" t="s">
        <v>155</v>
      </c>
      <c r="C65" s="21" t="s">
        <v>156</v>
      </c>
      <c r="D65" s="21" t="s">
        <v>157</v>
      </c>
      <c r="E65" s="22">
        <v>0.47</v>
      </c>
      <c r="F65" s="21">
        <v>2.85</v>
      </c>
      <c r="G65" s="21">
        <v>3.22</v>
      </c>
      <c r="H65" s="33">
        <v>88.509</v>
      </c>
      <c r="I65" s="21">
        <v>600</v>
      </c>
      <c r="J65" s="21">
        <v>0</v>
      </c>
      <c r="K65" s="21">
        <v>2</v>
      </c>
      <c r="L65" s="21">
        <v>39</v>
      </c>
      <c r="M65" s="21">
        <f t="shared" si="0"/>
        <v>78</v>
      </c>
      <c r="N65" s="23">
        <f t="shared" si="1"/>
        <v>6.0638297872340434</v>
      </c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</row>
    <row r="66" spans="2:25" ht="20.100000000000001" customHeight="1" x14ac:dyDescent="0.25">
      <c r="B66" s="18" t="s">
        <v>142</v>
      </c>
      <c r="C66" s="18" t="s">
        <v>158</v>
      </c>
      <c r="D66" s="18" t="s">
        <v>144</v>
      </c>
      <c r="E66" s="19">
        <v>5.97</v>
      </c>
      <c r="F66" s="18">
        <v>29.72</v>
      </c>
      <c r="G66" s="18">
        <v>33.229999999999997</v>
      </c>
      <c r="H66" s="25">
        <v>89.436999999999998</v>
      </c>
      <c r="I66" s="18">
        <v>600</v>
      </c>
      <c r="J66" s="18">
        <v>0</v>
      </c>
      <c r="K66" s="18">
        <v>16</v>
      </c>
      <c r="L66" s="18">
        <v>17</v>
      </c>
      <c r="M66" s="18">
        <f t="shared" si="0"/>
        <v>272</v>
      </c>
      <c r="N66" s="20">
        <f t="shared" si="1"/>
        <v>4.9782244556113904</v>
      </c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</row>
    <row r="67" spans="2:25" ht="20.100000000000001" customHeight="1" x14ac:dyDescent="0.25">
      <c r="B67" s="21" t="s">
        <v>150</v>
      </c>
      <c r="C67" s="21" t="s">
        <v>159</v>
      </c>
      <c r="D67" s="21" t="s">
        <v>152</v>
      </c>
      <c r="E67" s="22">
        <v>5.94</v>
      </c>
      <c r="F67" s="21">
        <v>26.51</v>
      </c>
      <c r="G67" s="21">
        <v>29.45</v>
      </c>
      <c r="H67" s="33">
        <v>90.016999999999996</v>
      </c>
      <c r="I67" s="21">
        <v>600</v>
      </c>
      <c r="J67" s="21">
        <v>0</v>
      </c>
      <c r="K67" s="21">
        <v>17</v>
      </c>
      <c r="L67" s="21">
        <v>80</v>
      </c>
      <c r="M67" s="21">
        <f t="shared" si="0"/>
        <v>1360</v>
      </c>
      <c r="N67" s="23">
        <f t="shared" si="1"/>
        <v>4.4629629629629628</v>
      </c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</row>
    <row r="68" spans="2:25" ht="20.100000000000001" customHeight="1" x14ac:dyDescent="0.25">
      <c r="B68" s="18" t="s">
        <v>133</v>
      </c>
      <c r="C68" s="18" t="s">
        <v>160</v>
      </c>
      <c r="D68" s="18" t="s">
        <v>135</v>
      </c>
      <c r="E68" s="19">
        <v>5.81</v>
      </c>
      <c r="F68" s="18">
        <v>31.69</v>
      </c>
      <c r="G68" s="18">
        <v>34.76</v>
      </c>
      <c r="H68" s="25">
        <v>91.168000000000006</v>
      </c>
      <c r="I68" s="18">
        <v>600</v>
      </c>
      <c r="J68" s="18">
        <v>0</v>
      </c>
      <c r="K68" s="18">
        <v>20</v>
      </c>
      <c r="L68" s="18">
        <v>32</v>
      </c>
      <c r="M68" s="18">
        <f t="shared" si="0"/>
        <v>640</v>
      </c>
      <c r="N68" s="20">
        <f t="shared" si="1"/>
        <v>5.4543889845094666</v>
      </c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</row>
    <row r="69" spans="2:25" ht="20.100000000000001" customHeight="1" x14ac:dyDescent="0.25">
      <c r="B69" s="21" t="s">
        <v>146</v>
      </c>
      <c r="C69" s="21" t="s">
        <v>161</v>
      </c>
      <c r="D69" s="21" t="s">
        <v>148</v>
      </c>
      <c r="E69" s="22">
        <v>6</v>
      </c>
      <c r="F69" s="21">
        <v>28.13</v>
      </c>
      <c r="G69" s="21">
        <v>30.69</v>
      </c>
      <c r="H69" s="33">
        <v>91.659000000000006</v>
      </c>
      <c r="I69" s="21">
        <v>600</v>
      </c>
      <c r="J69" s="21">
        <v>0</v>
      </c>
      <c r="K69" s="21">
        <v>18</v>
      </c>
      <c r="L69" s="21">
        <v>80</v>
      </c>
      <c r="M69" s="21">
        <f t="shared" si="0"/>
        <v>1440</v>
      </c>
      <c r="N69" s="23">
        <f t="shared" si="1"/>
        <v>4.6883333333333335</v>
      </c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</row>
    <row r="70" spans="2:25" ht="20.100000000000001" customHeight="1" x14ac:dyDescent="0.25">
      <c r="B70" s="18" t="s">
        <v>162</v>
      </c>
      <c r="C70" s="18" t="s">
        <v>163</v>
      </c>
      <c r="D70" s="18" t="s">
        <v>164</v>
      </c>
      <c r="E70" s="19">
        <v>5.91</v>
      </c>
      <c r="F70" s="18">
        <v>32.4</v>
      </c>
      <c r="G70" s="18">
        <v>82.92</v>
      </c>
      <c r="H70" s="26">
        <v>39.073999999999998</v>
      </c>
      <c r="I70" s="18">
        <v>600</v>
      </c>
      <c r="J70" s="18">
        <v>0</v>
      </c>
      <c r="K70" s="18">
        <v>20</v>
      </c>
      <c r="L70" s="18">
        <v>70</v>
      </c>
      <c r="M70" s="18">
        <f t="shared" si="0"/>
        <v>1400</v>
      </c>
      <c r="N70" s="20">
        <f t="shared" si="1"/>
        <v>5.4822335025380706</v>
      </c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</row>
    <row r="71" spans="2:25" ht="20.100000000000001" customHeight="1" x14ac:dyDescent="0.25">
      <c r="B71" s="21" t="s">
        <v>146</v>
      </c>
      <c r="C71" s="21" t="s">
        <v>165</v>
      </c>
      <c r="D71" s="21" t="s">
        <v>148</v>
      </c>
      <c r="E71" s="22">
        <v>6</v>
      </c>
      <c r="F71" s="21">
        <v>28.42</v>
      </c>
      <c r="G71" s="21">
        <v>31.31</v>
      </c>
      <c r="H71" s="33">
        <v>90.77</v>
      </c>
      <c r="I71" s="21">
        <v>600</v>
      </c>
      <c r="J71" s="21">
        <v>0</v>
      </c>
      <c r="K71" s="21">
        <v>18</v>
      </c>
      <c r="L71" s="21">
        <v>80</v>
      </c>
      <c r="M71" s="21">
        <f t="shared" ref="M71:M105" si="2">L71*K71</f>
        <v>1440</v>
      </c>
      <c r="N71" s="23">
        <f t="shared" ref="N71:N105" si="3">F71/E71</f>
        <v>4.7366666666666672</v>
      </c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</row>
    <row r="72" spans="2:25" ht="20.100000000000001" customHeight="1" x14ac:dyDescent="0.25">
      <c r="B72" s="18" t="s">
        <v>137</v>
      </c>
      <c r="C72" s="18" t="s">
        <v>166</v>
      </c>
      <c r="D72" s="18" t="s">
        <v>141</v>
      </c>
      <c r="E72" s="19">
        <v>6.15</v>
      </c>
      <c r="F72" s="18">
        <v>29.05</v>
      </c>
      <c r="G72" s="18">
        <v>32.65</v>
      </c>
      <c r="H72" s="25">
        <v>88.974000000000004</v>
      </c>
      <c r="I72" s="18">
        <v>600</v>
      </c>
      <c r="J72" s="18">
        <v>0</v>
      </c>
      <c r="K72" s="18">
        <v>18</v>
      </c>
      <c r="L72" s="18">
        <v>80</v>
      </c>
      <c r="M72" s="18">
        <f t="shared" si="2"/>
        <v>1440</v>
      </c>
      <c r="N72" s="20">
        <f t="shared" si="3"/>
        <v>4.7235772357723578</v>
      </c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</row>
    <row r="73" spans="2:25" ht="20.100000000000001" customHeight="1" x14ac:dyDescent="0.25">
      <c r="B73" s="21" t="s">
        <v>167</v>
      </c>
      <c r="C73" s="21" t="s">
        <v>168</v>
      </c>
      <c r="D73" s="21" t="s">
        <v>169</v>
      </c>
      <c r="E73" s="22">
        <v>5.71</v>
      </c>
      <c r="F73" s="21">
        <v>30.86</v>
      </c>
      <c r="G73" s="21">
        <v>34.54</v>
      </c>
      <c r="H73" s="33">
        <v>89.346000000000004</v>
      </c>
      <c r="I73" s="21">
        <v>600</v>
      </c>
      <c r="J73" s="21">
        <v>0</v>
      </c>
      <c r="K73" s="21">
        <v>16</v>
      </c>
      <c r="L73" s="21">
        <v>70</v>
      </c>
      <c r="M73" s="21">
        <f t="shared" si="2"/>
        <v>1120</v>
      </c>
      <c r="N73" s="23">
        <f t="shared" si="3"/>
        <v>5.4045534150612955</v>
      </c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</row>
    <row r="74" spans="2:25" ht="20.100000000000001" customHeight="1" x14ac:dyDescent="0.25">
      <c r="B74" s="18" t="s">
        <v>146</v>
      </c>
      <c r="C74" s="18" t="s">
        <v>170</v>
      </c>
      <c r="D74" s="18" t="s">
        <v>148</v>
      </c>
      <c r="E74" s="19">
        <v>6</v>
      </c>
      <c r="F74" s="18">
        <v>28.75</v>
      </c>
      <c r="G74" s="18">
        <v>34.130000000000003</v>
      </c>
      <c r="H74" s="25">
        <v>84.236999999999995</v>
      </c>
      <c r="I74" s="18">
        <v>600</v>
      </c>
      <c r="J74" s="18">
        <v>0</v>
      </c>
      <c r="K74" s="18">
        <v>18</v>
      </c>
      <c r="L74" s="18">
        <v>80</v>
      </c>
      <c r="M74" s="18">
        <f t="shared" si="2"/>
        <v>1440</v>
      </c>
      <c r="N74" s="20">
        <f t="shared" si="3"/>
        <v>4.791666666666667</v>
      </c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</row>
    <row r="75" spans="2:25" ht="20.100000000000001" customHeight="1" x14ac:dyDescent="0.25">
      <c r="B75" s="21" t="s">
        <v>137</v>
      </c>
      <c r="C75" s="21" t="s">
        <v>171</v>
      </c>
      <c r="D75" s="21" t="s">
        <v>141</v>
      </c>
      <c r="E75" s="22">
        <v>6.15</v>
      </c>
      <c r="F75" s="21">
        <v>29.11</v>
      </c>
      <c r="G75" s="21">
        <v>33.24</v>
      </c>
      <c r="H75" s="33">
        <v>87.575000000000003</v>
      </c>
      <c r="I75" s="21">
        <v>600</v>
      </c>
      <c r="J75" s="21">
        <v>0</v>
      </c>
      <c r="K75" s="21">
        <v>18</v>
      </c>
      <c r="L75" s="21">
        <v>80</v>
      </c>
      <c r="M75" s="21">
        <f t="shared" si="2"/>
        <v>1440</v>
      </c>
      <c r="N75" s="23">
        <f t="shared" si="3"/>
        <v>4.7333333333333334</v>
      </c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</row>
    <row r="76" spans="2:25" ht="20.100000000000001" customHeight="1" x14ac:dyDescent="0.25">
      <c r="B76" s="18" t="s">
        <v>137</v>
      </c>
      <c r="C76" s="18" t="s">
        <v>172</v>
      </c>
      <c r="D76" s="18" t="s">
        <v>141</v>
      </c>
      <c r="E76" s="19">
        <v>6.15</v>
      </c>
      <c r="F76" s="18">
        <v>29.01</v>
      </c>
      <c r="G76" s="18">
        <v>33.53</v>
      </c>
      <c r="H76" s="25">
        <v>86.52</v>
      </c>
      <c r="I76" s="18">
        <v>600</v>
      </c>
      <c r="J76" s="18">
        <v>0</v>
      </c>
      <c r="K76" s="18">
        <v>18</v>
      </c>
      <c r="L76" s="18">
        <v>80</v>
      </c>
      <c r="M76" s="18">
        <f t="shared" si="2"/>
        <v>1440</v>
      </c>
      <c r="N76" s="20">
        <f t="shared" si="3"/>
        <v>4.7170731707317071</v>
      </c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</row>
    <row r="77" spans="2:25" ht="20.100000000000001" customHeight="1" x14ac:dyDescent="0.25">
      <c r="B77" s="21" t="s">
        <v>137</v>
      </c>
      <c r="C77" s="21" t="s">
        <v>173</v>
      </c>
      <c r="D77" s="21" t="s">
        <v>141</v>
      </c>
      <c r="E77" s="22">
        <v>6.15</v>
      </c>
      <c r="F77" s="21">
        <v>29.47</v>
      </c>
      <c r="G77" s="21">
        <v>42.32</v>
      </c>
      <c r="H77" s="33">
        <v>69.635999999999996</v>
      </c>
      <c r="I77" s="21">
        <v>600</v>
      </c>
      <c r="J77" s="21">
        <v>0</v>
      </c>
      <c r="K77" s="21">
        <v>18</v>
      </c>
      <c r="L77" s="21">
        <v>80</v>
      </c>
      <c r="M77" s="21">
        <f t="shared" si="2"/>
        <v>1440</v>
      </c>
      <c r="N77" s="23">
        <f t="shared" si="3"/>
        <v>4.7918699186991862</v>
      </c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</row>
    <row r="78" spans="2:25" ht="20.100000000000001" customHeight="1" x14ac:dyDescent="0.25">
      <c r="B78" s="18" t="s">
        <v>162</v>
      </c>
      <c r="C78" s="18" t="s">
        <v>174</v>
      </c>
      <c r="D78" s="18" t="s">
        <v>175</v>
      </c>
      <c r="E78" s="19">
        <v>5.91</v>
      </c>
      <c r="F78" s="18">
        <v>32.58</v>
      </c>
      <c r="G78" s="18">
        <v>35.520000000000003</v>
      </c>
      <c r="H78" s="25">
        <v>91.722999999999999</v>
      </c>
      <c r="I78" s="18">
        <v>600</v>
      </c>
      <c r="J78" s="18">
        <v>0</v>
      </c>
      <c r="K78" s="18">
        <v>20</v>
      </c>
      <c r="L78" s="18">
        <v>29</v>
      </c>
      <c r="M78" s="18">
        <f t="shared" si="2"/>
        <v>580</v>
      </c>
      <c r="N78" s="20">
        <f t="shared" si="3"/>
        <v>5.5126903553299487</v>
      </c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</row>
    <row r="79" spans="2:25" ht="20.100000000000001" customHeight="1" x14ac:dyDescent="0.25">
      <c r="B79" s="21" t="s">
        <v>176</v>
      </c>
      <c r="C79" s="21" t="s">
        <v>177</v>
      </c>
      <c r="D79" s="21" t="s">
        <v>178</v>
      </c>
      <c r="E79" s="22">
        <v>1.75</v>
      </c>
      <c r="F79" s="21">
        <v>7.85</v>
      </c>
      <c r="G79" s="21">
        <v>8.3800000000000008</v>
      </c>
      <c r="H79" s="33">
        <v>93.674999999999997</v>
      </c>
      <c r="I79" s="21">
        <v>600</v>
      </c>
      <c r="J79" s="21">
        <v>0</v>
      </c>
      <c r="K79" s="21">
        <v>4</v>
      </c>
      <c r="L79" s="21">
        <v>54</v>
      </c>
      <c r="M79" s="21">
        <f t="shared" si="2"/>
        <v>216</v>
      </c>
      <c r="N79" s="23">
        <f t="shared" si="3"/>
        <v>4.4857142857142858</v>
      </c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</row>
    <row r="80" spans="2:25" ht="20.100000000000001" customHeight="1" x14ac:dyDescent="0.25">
      <c r="B80" s="18" t="s">
        <v>179</v>
      </c>
      <c r="C80" s="18" t="s">
        <v>180</v>
      </c>
      <c r="D80" s="18" t="s">
        <v>181</v>
      </c>
      <c r="E80" s="19">
        <v>6.17</v>
      </c>
      <c r="F80" s="18">
        <v>29.15</v>
      </c>
      <c r="G80" s="18">
        <v>38.74</v>
      </c>
      <c r="H80" s="25">
        <v>75.245000000000005</v>
      </c>
      <c r="I80" s="18">
        <v>600</v>
      </c>
      <c r="J80" s="18">
        <v>0</v>
      </c>
      <c r="K80" s="18">
        <v>18</v>
      </c>
      <c r="L80" s="18">
        <v>80</v>
      </c>
      <c r="M80" s="18">
        <f t="shared" si="2"/>
        <v>1440</v>
      </c>
      <c r="N80" s="20">
        <f t="shared" si="3"/>
        <v>4.7244732576985413</v>
      </c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</row>
    <row r="81" spans="2:25" ht="20.100000000000001" customHeight="1" x14ac:dyDescent="0.25">
      <c r="B81" s="21" t="s">
        <v>137</v>
      </c>
      <c r="C81" s="21" t="s">
        <v>182</v>
      </c>
      <c r="D81" s="21" t="s">
        <v>141</v>
      </c>
      <c r="E81" s="22">
        <v>6.15</v>
      </c>
      <c r="F81" s="21">
        <v>29.25</v>
      </c>
      <c r="G81" s="21">
        <v>34.700000000000003</v>
      </c>
      <c r="H81" s="33">
        <v>84.293999999999997</v>
      </c>
      <c r="I81" s="21">
        <v>600</v>
      </c>
      <c r="J81" s="21">
        <v>0</v>
      </c>
      <c r="K81" s="21">
        <v>18</v>
      </c>
      <c r="L81" s="21">
        <v>80</v>
      </c>
      <c r="M81" s="21">
        <f t="shared" si="2"/>
        <v>1440</v>
      </c>
      <c r="N81" s="23">
        <f t="shared" si="3"/>
        <v>4.7560975609756095</v>
      </c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</row>
    <row r="82" spans="2:25" ht="20.100000000000001" customHeight="1" x14ac:dyDescent="0.25">
      <c r="B82" s="18" t="s">
        <v>137</v>
      </c>
      <c r="C82" s="18" t="s">
        <v>183</v>
      </c>
      <c r="D82" s="18" t="s">
        <v>141</v>
      </c>
      <c r="E82" s="19">
        <v>6.15</v>
      </c>
      <c r="F82" s="18">
        <v>29.31</v>
      </c>
      <c r="G82" s="18">
        <v>33.619999999999997</v>
      </c>
      <c r="H82" s="25">
        <v>87.18</v>
      </c>
      <c r="I82" s="18">
        <v>600</v>
      </c>
      <c r="J82" s="18">
        <v>0</v>
      </c>
      <c r="K82" s="18">
        <v>18</v>
      </c>
      <c r="L82" s="18">
        <v>80</v>
      </c>
      <c r="M82" s="18">
        <f t="shared" si="2"/>
        <v>1440</v>
      </c>
      <c r="N82" s="20">
        <f t="shared" si="3"/>
        <v>4.7658536585365852</v>
      </c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</row>
    <row r="83" spans="2:25" ht="20.100000000000001" customHeight="1" x14ac:dyDescent="0.25">
      <c r="B83" s="21" t="s">
        <v>184</v>
      </c>
      <c r="C83" s="21" t="s">
        <v>185</v>
      </c>
      <c r="D83" s="21" t="s">
        <v>186</v>
      </c>
      <c r="E83" s="22">
        <v>0.53</v>
      </c>
      <c r="F83" s="21">
        <v>3.15</v>
      </c>
      <c r="G83" s="21">
        <v>4.8099999999999996</v>
      </c>
      <c r="H83" s="33">
        <v>65.489000000000004</v>
      </c>
      <c r="I83" s="21">
        <v>600</v>
      </c>
      <c r="J83" s="21">
        <v>0</v>
      </c>
      <c r="K83" s="21">
        <v>2</v>
      </c>
      <c r="L83" s="21">
        <v>8</v>
      </c>
      <c r="M83" s="21">
        <f t="shared" si="2"/>
        <v>16</v>
      </c>
      <c r="N83" s="23">
        <f t="shared" si="3"/>
        <v>5.9433962264150937</v>
      </c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</row>
    <row r="84" spans="2:25" ht="20.100000000000001" customHeight="1" x14ac:dyDescent="0.25">
      <c r="B84" s="18" t="s">
        <v>187</v>
      </c>
      <c r="C84" s="18" t="s">
        <v>188</v>
      </c>
      <c r="D84" s="18" t="s">
        <v>189</v>
      </c>
      <c r="E84" s="19">
        <v>0.5</v>
      </c>
      <c r="F84" s="18">
        <v>3.13</v>
      </c>
      <c r="G84" s="18">
        <v>3.84</v>
      </c>
      <c r="H84" s="25">
        <v>81.510000000000005</v>
      </c>
      <c r="I84" s="18">
        <v>600</v>
      </c>
      <c r="J84" s="18">
        <v>0</v>
      </c>
      <c r="K84" s="18">
        <v>2</v>
      </c>
      <c r="L84" s="18">
        <v>5</v>
      </c>
      <c r="M84" s="18">
        <f t="shared" si="2"/>
        <v>10</v>
      </c>
      <c r="N84" s="20">
        <f t="shared" si="3"/>
        <v>6.26</v>
      </c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</row>
    <row r="85" spans="2:25" ht="20.100000000000001" customHeight="1" x14ac:dyDescent="0.25">
      <c r="B85" s="21" t="s">
        <v>137</v>
      </c>
      <c r="C85" s="21" t="s">
        <v>190</v>
      </c>
      <c r="D85" s="21" t="s">
        <v>141</v>
      </c>
      <c r="E85" s="22">
        <v>7.09</v>
      </c>
      <c r="F85" s="21">
        <v>29.33</v>
      </c>
      <c r="G85" s="21">
        <v>34.630000000000003</v>
      </c>
      <c r="H85" s="33">
        <v>84.694999999999993</v>
      </c>
      <c r="I85" s="21">
        <v>600</v>
      </c>
      <c r="J85" s="21">
        <v>0</v>
      </c>
      <c r="K85" s="21">
        <v>18</v>
      </c>
      <c r="L85" s="21">
        <v>82</v>
      </c>
      <c r="M85" s="21">
        <f t="shared" si="2"/>
        <v>1476</v>
      </c>
      <c r="N85" s="23">
        <f t="shared" si="3"/>
        <v>4.1368124118476723</v>
      </c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</row>
    <row r="86" spans="2:25" ht="20.100000000000001" customHeight="1" x14ac:dyDescent="0.25">
      <c r="B86" s="18" t="s">
        <v>191</v>
      </c>
      <c r="C86" s="18" t="s">
        <v>192</v>
      </c>
      <c r="D86" s="18" t="s">
        <v>193</v>
      </c>
      <c r="E86" s="19">
        <v>0.49</v>
      </c>
      <c r="F86" s="18">
        <v>1.92</v>
      </c>
      <c r="G86" s="18">
        <v>2.6</v>
      </c>
      <c r="H86" s="25">
        <v>73.846000000000004</v>
      </c>
      <c r="I86" s="18">
        <v>600</v>
      </c>
      <c r="J86" s="18">
        <v>0</v>
      </c>
      <c r="K86" s="18">
        <v>2</v>
      </c>
      <c r="L86" s="18">
        <v>25</v>
      </c>
      <c r="M86" s="18">
        <f t="shared" si="2"/>
        <v>50</v>
      </c>
      <c r="N86" s="20">
        <f t="shared" si="3"/>
        <v>3.9183673469387754</v>
      </c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</row>
    <row r="87" spans="2:25" ht="20.100000000000001" customHeight="1" x14ac:dyDescent="0.25">
      <c r="B87" s="21" t="s">
        <v>146</v>
      </c>
      <c r="C87" s="21" t="s">
        <v>194</v>
      </c>
      <c r="D87" s="21" t="s">
        <v>148</v>
      </c>
      <c r="E87" s="22">
        <v>6</v>
      </c>
      <c r="F87" s="21">
        <v>29.36</v>
      </c>
      <c r="G87" s="21">
        <v>35.21</v>
      </c>
      <c r="H87" s="33">
        <v>83.385000000000005</v>
      </c>
      <c r="I87" s="21">
        <v>600</v>
      </c>
      <c r="J87" s="21">
        <v>0</v>
      </c>
      <c r="K87" s="21">
        <v>18</v>
      </c>
      <c r="L87" s="21">
        <v>80</v>
      </c>
      <c r="M87" s="21">
        <f t="shared" si="2"/>
        <v>1440</v>
      </c>
      <c r="N87" s="23">
        <f t="shared" si="3"/>
        <v>4.8933333333333335</v>
      </c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</row>
    <row r="88" spans="2:25" ht="20.100000000000001" customHeight="1" x14ac:dyDescent="0.25">
      <c r="B88" s="18" t="s">
        <v>195</v>
      </c>
      <c r="C88" s="18" t="s">
        <v>196</v>
      </c>
      <c r="D88" s="18" t="s">
        <v>197</v>
      </c>
      <c r="E88" s="19">
        <v>0.47</v>
      </c>
      <c r="F88" s="18">
        <v>1.75</v>
      </c>
      <c r="G88" s="18">
        <v>2.8</v>
      </c>
      <c r="H88" s="25">
        <v>62.5</v>
      </c>
      <c r="I88" s="18">
        <v>600</v>
      </c>
      <c r="J88" s="18">
        <v>0</v>
      </c>
      <c r="K88" s="18">
        <v>2</v>
      </c>
      <c r="L88" s="18">
        <v>70</v>
      </c>
      <c r="M88" s="18">
        <f t="shared" si="2"/>
        <v>140</v>
      </c>
      <c r="N88" s="20">
        <f t="shared" si="3"/>
        <v>3.7234042553191493</v>
      </c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</row>
    <row r="89" spans="2:25" ht="20.100000000000001" customHeight="1" x14ac:dyDescent="0.25">
      <c r="B89" s="21" t="s">
        <v>198</v>
      </c>
      <c r="C89" s="21" t="s">
        <v>199</v>
      </c>
      <c r="D89" s="21" t="s">
        <v>200</v>
      </c>
      <c r="E89" s="22">
        <v>2.92</v>
      </c>
      <c r="F89" s="21">
        <v>11.43</v>
      </c>
      <c r="G89" s="21">
        <v>16.38</v>
      </c>
      <c r="H89" s="33">
        <v>69.78</v>
      </c>
      <c r="I89" s="21">
        <v>600</v>
      </c>
      <c r="J89" s="21">
        <v>0</v>
      </c>
      <c r="K89" s="21">
        <v>12</v>
      </c>
      <c r="L89" s="21">
        <v>41</v>
      </c>
      <c r="M89" s="21">
        <f t="shared" si="2"/>
        <v>492</v>
      </c>
      <c r="N89" s="23">
        <f t="shared" si="3"/>
        <v>3.9143835616438358</v>
      </c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</row>
    <row r="90" spans="2:25" ht="20.100000000000001" customHeight="1" x14ac:dyDescent="0.25">
      <c r="B90" s="18" t="s">
        <v>137</v>
      </c>
      <c r="C90" s="18" t="s">
        <v>201</v>
      </c>
      <c r="D90" s="18" t="s">
        <v>141</v>
      </c>
      <c r="E90" s="19">
        <v>6.15</v>
      </c>
      <c r="F90" s="18">
        <v>29.68</v>
      </c>
      <c r="G90" s="18">
        <v>32.61</v>
      </c>
      <c r="H90" s="25">
        <v>91.015000000000001</v>
      </c>
      <c r="I90" s="18">
        <v>600</v>
      </c>
      <c r="J90" s="18">
        <v>0</v>
      </c>
      <c r="K90" s="18">
        <v>18</v>
      </c>
      <c r="L90" s="18">
        <v>80</v>
      </c>
      <c r="M90" s="18">
        <f t="shared" si="2"/>
        <v>1440</v>
      </c>
      <c r="N90" s="20">
        <f t="shared" si="3"/>
        <v>4.8260162601626009</v>
      </c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</row>
    <row r="91" spans="2:25" ht="20.100000000000001" customHeight="1" x14ac:dyDescent="0.25">
      <c r="B91" s="21" t="s">
        <v>198</v>
      </c>
      <c r="C91" s="21" t="s">
        <v>202</v>
      </c>
      <c r="D91" s="21" t="s">
        <v>200</v>
      </c>
      <c r="E91" s="22">
        <v>2.92</v>
      </c>
      <c r="F91" s="21">
        <v>11.22</v>
      </c>
      <c r="G91" s="21">
        <v>13.88</v>
      </c>
      <c r="H91" s="33">
        <v>80.835999999999999</v>
      </c>
      <c r="I91" s="21">
        <v>600</v>
      </c>
      <c r="J91" s="21">
        <v>0</v>
      </c>
      <c r="K91" s="21">
        <v>12</v>
      </c>
      <c r="L91" s="21">
        <v>36</v>
      </c>
      <c r="M91" s="21">
        <f t="shared" si="2"/>
        <v>432</v>
      </c>
      <c r="N91" s="23">
        <f t="shared" si="3"/>
        <v>3.842465753424658</v>
      </c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</row>
    <row r="92" spans="2:25" ht="20.100000000000001" customHeight="1" x14ac:dyDescent="0.25">
      <c r="B92" s="18" t="s">
        <v>203</v>
      </c>
      <c r="C92" s="18" t="s">
        <v>204</v>
      </c>
      <c r="D92" s="18" t="s">
        <v>205</v>
      </c>
      <c r="E92" s="19">
        <v>0.51</v>
      </c>
      <c r="F92" s="18">
        <v>1.95</v>
      </c>
      <c r="G92" s="18">
        <v>6.4</v>
      </c>
      <c r="H92" s="26">
        <v>30.469000000000001</v>
      </c>
      <c r="I92" s="18">
        <v>600</v>
      </c>
      <c r="J92" s="18">
        <v>0</v>
      </c>
      <c r="K92" s="18">
        <v>2</v>
      </c>
      <c r="L92" s="18">
        <v>23</v>
      </c>
      <c r="M92" s="18">
        <f t="shared" si="2"/>
        <v>46</v>
      </c>
      <c r="N92" s="20">
        <f t="shared" si="3"/>
        <v>3.8235294117647056</v>
      </c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</row>
    <row r="93" spans="2:25" ht="20.100000000000001" customHeight="1" x14ac:dyDescent="0.25">
      <c r="B93" s="21" t="s">
        <v>198</v>
      </c>
      <c r="C93" s="21" t="s">
        <v>206</v>
      </c>
      <c r="D93" s="21" t="s">
        <v>200</v>
      </c>
      <c r="E93" s="22">
        <v>2.92</v>
      </c>
      <c r="F93" s="21">
        <v>11.41</v>
      </c>
      <c r="G93" s="21">
        <v>15.32</v>
      </c>
      <c r="H93" s="33">
        <v>74.477999999999994</v>
      </c>
      <c r="I93" s="21">
        <v>600</v>
      </c>
      <c r="J93" s="21">
        <v>0</v>
      </c>
      <c r="K93" s="21">
        <v>12</v>
      </c>
      <c r="L93" s="21">
        <v>40</v>
      </c>
      <c r="M93" s="21">
        <f t="shared" si="2"/>
        <v>480</v>
      </c>
      <c r="N93" s="23">
        <f t="shared" si="3"/>
        <v>3.9075342465753424</v>
      </c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</row>
    <row r="94" spans="2:25" ht="20.100000000000001" customHeight="1" x14ac:dyDescent="0.25">
      <c r="B94" s="18" t="s">
        <v>150</v>
      </c>
      <c r="C94" s="18" t="s">
        <v>207</v>
      </c>
      <c r="D94" s="18" t="s">
        <v>208</v>
      </c>
      <c r="E94" s="19">
        <v>5.94</v>
      </c>
      <c r="F94" s="18">
        <v>28.2</v>
      </c>
      <c r="G94" s="18">
        <v>32.130000000000003</v>
      </c>
      <c r="H94" s="25">
        <v>87.768000000000001</v>
      </c>
      <c r="I94" s="18">
        <v>600</v>
      </c>
      <c r="J94" s="18">
        <v>0</v>
      </c>
      <c r="K94" s="18">
        <v>17</v>
      </c>
      <c r="L94" s="18">
        <v>80</v>
      </c>
      <c r="M94" s="18">
        <f t="shared" si="2"/>
        <v>1360</v>
      </c>
      <c r="N94" s="20">
        <f t="shared" si="3"/>
        <v>4.7474747474747474</v>
      </c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</row>
    <row r="95" spans="2:25" ht="20.100000000000001" customHeight="1" x14ac:dyDescent="0.25">
      <c r="B95" s="21" t="s">
        <v>209</v>
      </c>
      <c r="C95" s="21" t="s">
        <v>210</v>
      </c>
      <c r="D95" s="21" t="s">
        <v>211</v>
      </c>
      <c r="E95" s="22">
        <v>4.59</v>
      </c>
      <c r="F95" s="21">
        <v>25.71</v>
      </c>
      <c r="G95" s="21">
        <v>27.97</v>
      </c>
      <c r="H95" s="33">
        <v>91.92</v>
      </c>
      <c r="I95" s="21">
        <v>600</v>
      </c>
      <c r="J95" s="21">
        <v>0</v>
      </c>
      <c r="K95" s="21">
        <v>14</v>
      </c>
      <c r="L95" s="21">
        <v>36</v>
      </c>
      <c r="M95" s="21">
        <f t="shared" si="2"/>
        <v>504</v>
      </c>
      <c r="N95" s="23">
        <f t="shared" si="3"/>
        <v>5.6013071895424842</v>
      </c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</row>
    <row r="96" spans="2:25" ht="20.100000000000001" customHeight="1" x14ac:dyDescent="0.25">
      <c r="B96" s="18" t="s">
        <v>137</v>
      </c>
      <c r="C96" s="18" t="s">
        <v>212</v>
      </c>
      <c r="D96" s="18" t="s">
        <v>141</v>
      </c>
      <c r="E96" s="19">
        <v>6.15</v>
      </c>
      <c r="F96" s="18">
        <v>29.91</v>
      </c>
      <c r="G96" s="18">
        <v>34.22</v>
      </c>
      <c r="H96" s="25">
        <v>87.405000000000001</v>
      </c>
      <c r="I96" s="18">
        <v>600</v>
      </c>
      <c r="J96" s="18">
        <v>0</v>
      </c>
      <c r="K96" s="18">
        <v>18</v>
      </c>
      <c r="L96" s="18">
        <v>83</v>
      </c>
      <c r="M96" s="18">
        <f t="shared" si="2"/>
        <v>1494</v>
      </c>
      <c r="N96" s="20">
        <f t="shared" si="3"/>
        <v>4.8634146341463413</v>
      </c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</row>
    <row r="97" spans="2:25" ht="20.100000000000001" customHeight="1" x14ac:dyDescent="0.25">
      <c r="B97" s="21" t="s">
        <v>213</v>
      </c>
      <c r="C97" s="21" t="s">
        <v>214</v>
      </c>
      <c r="D97" s="21" t="s">
        <v>215</v>
      </c>
      <c r="E97" s="22">
        <v>4.6100000000000003</v>
      </c>
      <c r="F97" s="21">
        <v>35.94</v>
      </c>
      <c r="G97" s="21">
        <v>38.28</v>
      </c>
      <c r="H97" s="33">
        <v>93.887</v>
      </c>
      <c r="I97" s="21">
        <v>600</v>
      </c>
      <c r="J97" s="21">
        <v>0</v>
      </c>
      <c r="K97" s="21">
        <v>24</v>
      </c>
      <c r="L97" s="21">
        <v>51</v>
      </c>
      <c r="M97" s="21">
        <f t="shared" si="2"/>
        <v>1224</v>
      </c>
      <c r="N97" s="23">
        <f t="shared" si="3"/>
        <v>7.7960954446854656</v>
      </c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</row>
    <row r="98" spans="2:25" ht="20.100000000000001" customHeight="1" x14ac:dyDescent="0.25">
      <c r="B98" s="18" t="s">
        <v>150</v>
      </c>
      <c r="C98" s="18" t="s">
        <v>216</v>
      </c>
      <c r="D98" s="18" t="s">
        <v>152</v>
      </c>
      <c r="E98" s="19">
        <v>5.94</v>
      </c>
      <c r="F98" s="18">
        <v>28.46</v>
      </c>
      <c r="G98" s="18">
        <v>32.58</v>
      </c>
      <c r="H98" s="25">
        <v>87.353999999999999</v>
      </c>
      <c r="I98" s="18">
        <v>600</v>
      </c>
      <c r="J98" s="18">
        <v>0</v>
      </c>
      <c r="K98" s="18">
        <v>17</v>
      </c>
      <c r="L98" s="18">
        <v>80</v>
      </c>
      <c r="M98" s="18">
        <f t="shared" si="2"/>
        <v>1360</v>
      </c>
      <c r="N98" s="20">
        <f t="shared" si="3"/>
        <v>4.7912457912457906</v>
      </c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</row>
    <row r="99" spans="2:25" ht="20.100000000000001" customHeight="1" x14ac:dyDescent="0.25">
      <c r="B99" s="21" t="s">
        <v>176</v>
      </c>
      <c r="C99" s="21" t="s">
        <v>217</v>
      </c>
      <c r="D99" s="21" t="s">
        <v>178</v>
      </c>
      <c r="E99" s="22">
        <v>1.75</v>
      </c>
      <c r="F99" s="21">
        <v>7.99</v>
      </c>
      <c r="G99" s="21">
        <v>9.58</v>
      </c>
      <c r="H99" s="33">
        <v>83.403000000000006</v>
      </c>
      <c r="I99" s="21">
        <v>600</v>
      </c>
      <c r="J99" s="21">
        <v>0</v>
      </c>
      <c r="K99" s="21">
        <v>4</v>
      </c>
      <c r="L99" s="21">
        <v>27</v>
      </c>
      <c r="M99" s="21">
        <f t="shared" si="2"/>
        <v>108</v>
      </c>
      <c r="N99" s="23">
        <f t="shared" si="3"/>
        <v>4.5657142857142858</v>
      </c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</row>
    <row r="100" spans="2:25" ht="20.100000000000001" customHeight="1" x14ac:dyDescent="0.25">
      <c r="B100" s="18" t="s">
        <v>218</v>
      </c>
      <c r="C100" s="18" t="s">
        <v>219</v>
      </c>
      <c r="D100" s="18" t="s">
        <v>220</v>
      </c>
      <c r="E100" s="19">
        <v>4.71</v>
      </c>
      <c r="F100" s="18">
        <v>28.46</v>
      </c>
      <c r="G100" s="18">
        <v>41.86</v>
      </c>
      <c r="H100" s="25">
        <v>67.989000000000004</v>
      </c>
      <c r="I100" s="18">
        <v>600</v>
      </c>
      <c r="J100" s="18">
        <v>0</v>
      </c>
      <c r="K100" s="18">
        <v>17</v>
      </c>
      <c r="L100" s="18">
        <v>69</v>
      </c>
      <c r="M100" s="18">
        <f t="shared" si="2"/>
        <v>1173</v>
      </c>
      <c r="N100" s="20">
        <f t="shared" si="3"/>
        <v>6.0424628450106157</v>
      </c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</row>
    <row r="101" spans="2:25" ht="20.100000000000001" customHeight="1" x14ac:dyDescent="0.25">
      <c r="B101" s="21" t="s">
        <v>218</v>
      </c>
      <c r="C101" s="21" t="s">
        <v>221</v>
      </c>
      <c r="D101" s="21" t="s">
        <v>220</v>
      </c>
      <c r="E101" s="22">
        <v>4.71</v>
      </c>
      <c r="F101" s="21">
        <v>26.52</v>
      </c>
      <c r="G101" s="21">
        <v>41.97</v>
      </c>
      <c r="H101" s="33">
        <v>63.188000000000002</v>
      </c>
      <c r="I101" s="21">
        <v>600</v>
      </c>
      <c r="J101" s="21">
        <v>0</v>
      </c>
      <c r="K101" s="21">
        <v>17</v>
      </c>
      <c r="L101" s="21">
        <v>70</v>
      </c>
      <c r="M101" s="21">
        <f t="shared" si="2"/>
        <v>1190</v>
      </c>
      <c r="N101" s="23">
        <f t="shared" si="3"/>
        <v>5.630573248407643</v>
      </c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</row>
    <row r="102" spans="2:25" ht="20.100000000000001" customHeight="1" x14ac:dyDescent="0.25">
      <c r="B102" s="18" t="s">
        <v>150</v>
      </c>
      <c r="C102" s="18" t="s">
        <v>222</v>
      </c>
      <c r="D102" s="18" t="s">
        <v>152</v>
      </c>
      <c r="E102" s="19">
        <v>5.94</v>
      </c>
      <c r="F102" s="18">
        <v>26.35</v>
      </c>
      <c r="G102" s="18">
        <v>30.41</v>
      </c>
      <c r="H102" s="25">
        <v>86.649000000000001</v>
      </c>
      <c r="I102" s="18">
        <v>600</v>
      </c>
      <c r="J102" s="18">
        <v>0</v>
      </c>
      <c r="K102" s="18">
        <v>17</v>
      </c>
      <c r="L102" s="18">
        <v>80</v>
      </c>
      <c r="M102" s="18">
        <f t="shared" si="2"/>
        <v>1360</v>
      </c>
      <c r="N102" s="20">
        <f t="shared" si="3"/>
        <v>4.436026936026936</v>
      </c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</row>
    <row r="103" spans="2:25" ht="20.100000000000001" customHeight="1" x14ac:dyDescent="0.25">
      <c r="B103" s="21" t="s">
        <v>150</v>
      </c>
      <c r="C103" s="21" t="s">
        <v>223</v>
      </c>
      <c r="D103" s="21" t="s">
        <v>224</v>
      </c>
      <c r="E103" s="22">
        <v>5.94</v>
      </c>
      <c r="F103" s="21">
        <v>26.43</v>
      </c>
      <c r="G103" s="21">
        <v>31.88</v>
      </c>
      <c r="H103" s="33">
        <v>82.905000000000001</v>
      </c>
      <c r="I103" s="21">
        <v>600</v>
      </c>
      <c r="J103" s="21">
        <v>0</v>
      </c>
      <c r="K103" s="21">
        <v>0</v>
      </c>
      <c r="L103" s="21">
        <v>10</v>
      </c>
      <c r="M103" s="21">
        <f t="shared" si="2"/>
        <v>0</v>
      </c>
      <c r="N103" s="23">
        <f t="shared" si="3"/>
        <v>4.4494949494949489</v>
      </c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</row>
    <row r="104" spans="2:25" ht="20.100000000000001" customHeight="1" x14ac:dyDescent="0.25">
      <c r="B104" s="18" t="s">
        <v>218</v>
      </c>
      <c r="C104" s="18" t="s">
        <v>225</v>
      </c>
      <c r="D104" s="18" t="s">
        <v>220</v>
      </c>
      <c r="E104" s="19">
        <v>4.71</v>
      </c>
      <c r="F104" s="18">
        <v>26.56</v>
      </c>
      <c r="G104" s="18">
        <v>29.54</v>
      </c>
      <c r="H104" s="25">
        <v>89.912000000000006</v>
      </c>
      <c r="I104" s="18">
        <v>600</v>
      </c>
      <c r="J104" s="18">
        <v>0</v>
      </c>
      <c r="K104" s="18">
        <v>17</v>
      </c>
      <c r="L104" s="18">
        <v>73</v>
      </c>
      <c r="M104" s="18">
        <f t="shared" si="2"/>
        <v>1241</v>
      </c>
      <c r="N104" s="20">
        <f t="shared" si="3"/>
        <v>5.6390658174097661</v>
      </c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</row>
    <row r="105" spans="2:25" ht="20.100000000000001" customHeight="1" x14ac:dyDescent="0.25">
      <c r="B105" s="21" t="s">
        <v>226</v>
      </c>
      <c r="C105" s="21" t="s">
        <v>227</v>
      </c>
      <c r="D105" s="21" t="s">
        <v>228</v>
      </c>
      <c r="E105" s="22">
        <v>5.07</v>
      </c>
      <c r="F105" s="21">
        <v>19.170000000000002</v>
      </c>
      <c r="G105" s="21">
        <v>24.01</v>
      </c>
      <c r="H105" s="33">
        <v>79.841999999999999</v>
      </c>
      <c r="I105" s="21">
        <v>600</v>
      </c>
      <c r="J105" s="21">
        <v>0</v>
      </c>
      <c r="K105" s="21">
        <v>12</v>
      </c>
      <c r="L105" s="21">
        <v>73</v>
      </c>
      <c r="M105" s="21">
        <f t="shared" si="2"/>
        <v>876</v>
      </c>
      <c r="N105" s="23">
        <f t="shared" si="3"/>
        <v>3.7810650887573964</v>
      </c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</row>
    <row r="106" spans="2:25" ht="23.1" customHeight="1" x14ac:dyDescent="0.25">
      <c r="B106" s="15" t="s">
        <v>16</v>
      </c>
      <c r="C106" s="15" t="s">
        <v>17</v>
      </c>
      <c r="D106" s="15" t="s">
        <v>17</v>
      </c>
      <c r="E106" s="15"/>
      <c r="F106" s="15">
        <f>SUM(F6:F105)</f>
        <v>2331.62</v>
      </c>
      <c r="G106" s="16">
        <f>SUM(G6:G105)</f>
        <v>2746.1600000000008</v>
      </c>
      <c r="H106" s="34">
        <f>AVERAGE(H6:H105)</f>
        <v>85.334290000000024</v>
      </c>
      <c r="I106" s="15" t="s">
        <v>17</v>
      </c>
      <c r="J106" s="15" t="s">
        <v>17</v>
      </c>
      <c r="K106" s="15">
        <f>SUM(K6:K105)</f>
        <v>1523</v>
      </c>
      <c r="L106" s="15">
        <f>SUM(L6:L105)</f>
        <v>5757</v>
      </c>
      <c r="M106" s="15">
        <f>SUM(M6:M105)</f>
        <v>98894</v>
      </c>
      <c r="N106" s="24">
        <f>AVERAGE(N6:N105)</f>
        <v>5.0183322313352958</v>
      </c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</row>
  </sheetData>
  <mergeCells count="1">
    <mergeCell ref="B2:N2"/>
  </mergeCells>
  <printOptions horizontalCentered="1"/>
  <pageMargins left="0.7" right="0.7" top="0.5" bottom="0.1" header="0.1" footer="0.1"/>
  <pageSetup scale="3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{HOME}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2024-04-03T04:42:48Z</cp:lastPrinted>
  <dcterms:created xsi:type="dcterms:W3CDTF">2024-03-13T02:24:00Z</dcterms:created>
  <dcterms:modified xsi:type="dcterms:W3CDTF">2024-04-03T04:42:52Z</dcterms:modified>
</cp:coreProperties>
</file>