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IT\Data Audit Mesin\.Backup\"/>
    </mc:Choice>
  </mc:AlternateContent>
  <xr:revisionPtr revIDLastSave="0" documentId="13_ncr:1_{B0291E7C-443B-4FD9-9348-AC0A61CC8493}" xr6:coauthVersionLast="47" xr6:coauthVersionMax="47" xr10:uidLastSave="{00000000-0000-0000-0000-000000000000}"/>
  <bookViews>
    <workbookView xWindow="-120" yWindow="-120" windowWidth="20730" windowHeight="11160" tabRatio="570" xr2:uid="{00000000-000D-0000-FFFF-FFFF00000000}"/>
  </bookViews>
  <sheets>
    <sheet name="Database Supplier" sheetId="2" r:id="rId1"/>
    <sheet name="Input User" sheetId="1200" r:id="rId2"/>
    <sheet name="Input RPA" sheetId="1201" r:id="rId3"/>
    <sheet name="Bantuan" sheetId="1203" r:id="rId4"/>
    <sheet name="SheetRun1" sheetId="1202" state="hidden" r:id="rId5"/>
  </sheets>
  <definedNames>
    <definedName name="_xlnm._FilterDatabase" localSheetId="1" hidden="1">'Input User'!$A$1:$T$2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12" i="2" l="1"/>
  <c r="GA1" i="2" l="1"/>
  <c r="L3" i="2" s="1"/>
  <c r="FZ1" i="2" l="1"/>
  <c r="FZ3" i="2" s="1"/>
  <c r="GA2" i="2" l="1"/>
  <c r="GA4" i="2"/>
  <c r="GA3" i="2" l="1"/>
  <c r="FY1" i="2" s="1"/>
</calcChain>
</file>

<file path=xl/sharedStrings.xml><?xml version="1.0" encoding="utf-8"?>
<sst xmlns="http://schemas.openxmlformats.org/spreadsheetml/2006/main" count="172" uniqueCount="69">
  <si>
    <t>Nama File :</t>
  </si>
  <si>
    <t>Nama Sheet :</t>
  </si>
  <si>
    <t>Lokasi File :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</si>
  <si>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</si>
  <si>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</si>
  <si>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</si>
  <si>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</si>
  <si>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</si>
  <si>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</si>
  <si>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</si>
  <si>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</si>
  <si>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</si>
  <si>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</si>
  <si>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</si>
  <si>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</si>
  <si>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Lokasi File Tarikan</t>
  </si>
  <si>
    <t>Lokasi File Upload</t>
  </si>
  <si>
    <t>\\10.8.0.35\Bersama\IT\RPA PPIC\Create OW O4\Tarikan Excel</t>
  </si>
  <si>
    <t>\\10.8.0.35\Bersama\IT\RPA PPIC\Create OW O4\File Upload</t>
  </si>
  <si>
    <t>\\10.8.0.35\Bersama\IT\RPA PPIC\Create OW O4</t>
  </si>
  <si>
    <t>Lokasi File Input Konker</t>
  </si>
  <si>
    <t>\\10.8.0.35\Bersama\IT\RPA PPIC\Inputan OW_PO_konker</t>
  </si>
  <si>
    <t>NAMA PLANNER</t>
  </si>
  <si>
    <t>Nama Planner :</t>
  </si>
  <si>
    <t>Dede Dahola</t>
  </si>
  <si>
    <t>Galang</t>
  </si>
  <si>
    <t>Sagaf</t>
  </si>
  <si>
    <t>Nunung</t>
  </si>
  <si>
    <t>Irwan</t>
  </si>
  <si>
    <t>File Untuk Ticketing</t>
  </si>
  <si>
    <t>Nama File</t>
  </si>
  <si>
    <t>Lokasi File</t>
  </si>
  <si>
    <t>InputanTicketingKontrak.xlsx</t>
  </si>
  <si>
    <t>\\10.8.0.35\Bersama\IT\RPA PPIC\Create OW O4\InputanTicketingKontrak.xlsx</t>
  </si>
  <si>
    <t>Lilis</t>
  </si>
  <si>
    <t>Input User Create PO O4</t>
  </si>
  <si>
    <t>Nama Supplier</t>
  </si>
  <si>
    <t>Address Number</t>
  </si>
  <si>
    <t>Ship To</t>
  </si>
  <si>
    <t>Currency</t>
  </si>
  <si>
    <t>Requested</t>
  </si>
  <si>
    <t>Promised Delivery</t>
  </si>
  <si>
    <t>Description 1</t>
  </si>
  <si>
    <t>Description 2</t>
  </si>
  <si>
    <t>Quantity Order</t>
  </si>
  <si>
    <t>Account Number</t>
  </si>
  <si>
    <t>Tr. UoM</t>
  </si>
  <si>
    <t>Pu. UoM</t>
  </si>
  <si>
    <t>Ln Ty</t>
  </si>
  <si>
    <t>Item Number</t>
  </si>
  <si>
    <t>Tax Y/N</t>
  </si>
  <si>
    <t>Expl Code</t>
  </si>
  <si>
    <t>Tax Rate/Area</t>
  </si>
  <si>
    <t>OW Number</t>
  </si>
  <si>
    <t>Harga</t>
  </si>
  <si>
    <t>PO Number</t>
  </si>
  <si>
    <t>J</t>
  </si>
  <si>
    <t>OW</t>
  </si>
  <si>
    <t>NO</t>
  </si>
  <si>
    <t>Nama Sheet</t>
  </si>
  <si>
    <t>Status</t>
  </si>
  <si>
    <t>SheetRun1</t>
  </si>
  <si>
    <t>1205.630600</t>
  </si>
  <si>
    <t>PC</t>
  </si>
  <si>
    <t>PT. DWI BINTANG GLOBAL GARMENT</t>
  </si>
  <si>
    <t>T-SHIRT</t>
  </si>
  <si>
    <t>TSHRTBSOT-SHIRT   /M</t>
  </si>
  <si>
    <t>55387290_3</t>
  </si>
  <si>
    <t>PO Approved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</si>
</sst>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_-* #,##0.00_-;\-* #,##0.00_-;_-* &quot;-&quot;??_-;_-@_-"/>
    <numFmt numFmtId="165" formatCode="[$-13809]dd/mm/yyyy;@"/>
    <numFmt numFmtId="166" formatCode="_(* #,##0_);_(* \(#,##0\);_(* &quot;-&quot;??_);_(@_)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indexed="8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omic Sans MS"/>
      <family val="4"/>
    </font>
    <font>
      <b/>
      <sz val="11"/>
      <name val="Comic Sans MS"/>
      <family val="4"/>
    </font>
    <font>
      <sz val="11"/>
      <color theme="1"/>
      <name val="Comic Sans MS"/>
      <family val="4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-0.249977111117893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7">
    <xf numFmtId="0" fontId="0" fillId="0" borderId="0"/>
    <xf numFmtId="164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Border="0" applyProtection="0"/>
    <xf numFmtId="0" fontId="6" fillId="0" borderId="0"/>
    <xf numFmtId="0" fontId="7" fillId="0" borderId="0"/>
    <xf numFmtId="43" fontId="3" fillId="0" borderId="0" applyFont="0" applyFill="0" applyBorder="0" applyAlignment="0" applyProtection="0"/>
  </cellStyleXfs>
  <cellXfs count="45">
    <xf numFmtId="0" fontId="0" fillId="0" borderId="0" xfId="0"/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2" fillId="0" borderId="1" xfId="0" applyFont="1" applyBorder="1" applyAlignment="1">
      <alignment horizontal="right"/>
    </xf>
    <xf numFmtId="0" fontId="2" fillId="0" borderId="2" xfId="0" applyFont="1" applyBorder="1" applyAlignment="1">
      <alignment horizontal="right" vertical="center"/>
    </xf>
    <xf numFmtId="0" fontId="2" fillId="2" borderId="3" xfId="0" applyFont="1" applyFill="1" applyBorder="1" applyAlignment="1">
      <alignment horizontal="center" vertical="center"/>
    </xf>
    <xf numFmtId="0" fontId="2" fillId="0" borderId="0" xfId="0" applyFont="1"/>
    <xf numFmtId="14" fontId="0" fillId="0" borderId="0" xfId="0" applyNumberFormat="1"/>
    <xf numFmtId="0" fontId="0" fillId="0" borderId="4" xfId="0" applyBorder="1"/>
    <xf numFmtId="0" fontId="4" fillId="0" borderId="0" xfId="2"/>
    <xf numFmtId="0" fontId="2" fillId="0" borderId="5" xfId="0" applyFont="1" applyBorder="1" applyAlignment="1">
      <alignment horizontal="right" vertical="center"/>
    </xf>
    <xf numFmtId="0" fontId="2" fillId="2" borderId="6" xfId="0" quotePrefix="1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right" vertical="center"/>
    </xf>
    <xf numFmtId="0" fontId="2" fillId="4" borderId="2" xfId="0" applyFont="1" applyFill="1" applyBorder="1" applyAlignment="1">
      <alignment horizontal="right" vertical="center"/>
    </xf>
    <xf numFmtId="0" fontId="2" fillId="4" borderId="3" xfId="0" applyFont="1" applyFill="1" applyBorder="1" applyAlignment="1">
      <alignment horizontal="left" vertical="center"/>
    </xf>
    <xf numFmtId="0" fontId="2" fillId="4" borderId="10" xfId="0" applyFont="1" applyFill="1" applyBorder="1" applyAlignment="1">
      <alignment horizontal="right" vertical="center"/>
    </xf>
    <xf numFmtId="0" fontId="4" fillId="4" borderId="11" xfId="2" applyFill="1" applyBorder="1" applyAlignment="1">
      <alignment horizontal="left" vertical="center"/>
    </xf>
    <xf numFmtId="0" fontId="2" fillId="3" borderId="8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4" fillId="0" borderId="0" xfId="2" applyAlignment="1">
      <alignment horizontal="left"/>
    </xf>
    <xf numFmtId="0" fontId="9" fillId="0" borderId="4" xfId="0" applyFont="1" applyBorder="1" applyAlignment="1">
      <alignment horizontal="center"/>
    </xf>
    <xf numFmtId="49" fontId="10" fillId="0" borderId="4" xfId="0" applyNumberFormat="1" applyFont="1" applyBorder="1" applyAlignment="1">
      <alignment horizontal="center"/>
    </xf>
    <xf numFmtId="165" fontId="10" fillId="0" borderId="4" xfId="0" applyNumberFormat="1" applyFont="1" applyBorder="1" applyAlignment="1">
      <alignment horizontal="center"/>
    </xf>
    <xf numFmtId="49" fontId="10" fillId="0" borderId="4" xfId="6" applyNumberFormat="1" applyFont="1" applyFill="1" applyBorder="1" applyAlignment="1">
      <alignment horizontal="center"/>
    </xf>
    <xf numFmtId="3" fontId="10" fillId="0" borderId="4" xfId="6" applyNumberFormat="1" applyFont="1" applyFill="1" applyBorder="1" applyAlignment="1">
      <alignment horizontal="center"/>
    </xf>
    <xf numFmtId="166" fontId="10" fillId="0" borderId="4" xfId="6" applyNumberFormat="1" applyFont="1" applyFill="1" applyBorder="1" applyAlignment="1">
      <alignment horizontal="center"/>
    </xf>
    <xf numFmtId="49" fontId="10" fillId="0" borderId="4" xfId="0" applyNumberFormat="1" applyFont="1" applyBorder="1" applyAlignment="1">
      <alignment horizontal="center" vertical="center"/>
    </xf>
    <xf numFmtId="0" fontId="9" fillId="0" borderId="12" xfId="0" applyFont="1" applyBorder="1" applyAlignment="1">
      <alignment horizontal="center"/>
    </xf>
    <xf numFmtId="0" fontId="11" fillId="0" borderId="13" xfId="0" applyFont="1" applyBorder="1" applyAlignment="1">
      <alignment horizontal="center"/>
    </xf>
    <xf numFmtId="49" fontId="11" fillId="0" borderId="13" xfId="0" applyNumberFormat="1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0" fillId="0" borderId="0" xfId="0" quotePrefix="1"/>
    <xf numFmtId="0" fontId="0" fillId="0" borderId="13" xfId="0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165" fontId="0" fillId="0" borderId="0" xfId="0" applyNumberFormat="1"/>
    <xf numFmtId="1" fontId="2" fillId="0" borderId="4" xfId="0" applyNumberFormat="1" applyFont="1" applyBorder="1" applyAlignment="1">
      <alignment horizontal="center"/>
    </xf>
    <xf numFmtId="1" fontId="0" fillId="0" borderId="0" xfId="0" applyNumberFormat="1"/>
    <xf numFmtId="0" fontId="0" fillId="0" borderId="4" xfId="0" applyBorder="1" applyAlignment="1">
      <alignment horizontal="center"/>
    </xf>
    <xf numFmtId="0" fontId="8" fillId="5" borderId="1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</cellXfs>
  <cellStyles count="7">
    <cellStyle name="Comma" xfId="6" builtinId="3"/>
    <cellStyle name="Comma 2" xfId="1" xr:uid="{00000000-0005-0000-0000-000000000000}"/>
    <cellStyle name="Excel Built-in Normal 1" xfId="3" xr:uid="{34B4352D-8C6C-4927-ADFD-6A41AA912323}"/>
    <cellStyle name="Hyperlink" xfId="2" builtinId="8"/>
    <cellStyle name="Normal" xfId="0" builtinId="0"/>
    <cellStyle name="Normal 2" xfId="5" xr:uid="{2F652AF4-99EE-4F17-9ADA-2AEB27AA4FFB}"/>
    <cellStyle name="Normal 6" xfId="4" xr:uid="{96E87D36-7458-41C0-95F5-001F34A726A8}"/>
  </cellStyles>
  <dxfs count="0"/>
  <tableStyles count="0" defaultTableStyle="TableStyleMedium2" defaultPivotStyle="PivotStyleLight16"/>
  <colors>
    <mruColors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159685</xdr:colOff>
      <xdr:row>1</xdr:row>
      <xdr:rowOff>15688</xdr:rowOff>
    </xdr:from>
    <xdr:to>
      <xdr:col>6</xdr:col>
      <xdr:colOff>112060</xdr:colOff>
      <xdr:row>3</xdr:row>
      <xdr:rowOff>201706</xdr:rowOff>
    </xdr:to>
    <xdr:sp macro="[0]!COPYINPU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414744" y="206188"/>
          <a:ext cx="1162610" cy="578224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/>
            <a:t>PROCESS 1</a:t>
          </a:r>
        </a:p>
      </xdr:txBody>
    </xdr:sp>
    <xdr:clientData/>
  </xdr:twoCellAnchor>
  <xdr:twoCellAnchor>
    <xdr:from>
      <xdr:col>4</xdr:col>
      <xdr:colOff>73399</xdr:colOff>
      <xdr:row>9</xdr:row>
      <xdr:rowOff>116541</xdr:rowOff>
    </xdr:from>
    <xdr:to>
      <xdr:col>6</xdr:col>
      <xdr:colOff>20731</xdr:colOff>
      <xdr:row>12</xdr:row>
      <xdr:rowOff>70597</xdr:rowOff>
    </xdr:to>
    <xdr:sp macro="[0]!HASILINPU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003487" y="1931894"/>
          <a:ext cx="1157568" cy="525556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/>
            <a:t>PROCESS 2</a:t>
          </a:r>
        </a:p>
      </xdr:txBody>
    </xdr:sp>
    <xdr:clientData/>
  </xdr:twoCellAnchor>
  <xdr:twoCellAnchor>
    <xdr:from>
      <xdr:col>6</xdr:col>
      <xdr:colOff>536201</xdr:colOff>
      <xdr:row>3</xdr:row>
      <xdr:rowOff>96370</xdr:rowOff>
    </xdr:from>
    <xdr:to>
      <xdr:col>7</xdr:col>
      <xdr:colOff>526677</xdr:colOff>
      <xdr:row>4</xdr:row>
      <xdr:rowOff>145116</xdr:rowOff>
    </xdr:to>
    <xdr:sp macro="[0]!HAPU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676525" y="679076"/>
          <a:ext cx="595593" cy="306481"/>
        </a:xfrm>
        <a:prstGeom prst="roundRect">
          <a:avLst/>
        </a:prstGeom>
        <a:solidFill>
          <a:schemeClr val="accent6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D" sz="1100">
              <a:solidFill>
                <a:schemeClr val="bg1"/>
              </a:solidFill>
            </a:rPr>
            <a:t>CLEAR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DAC1117-AFC5-463D-8731-0CA8D186A53D}" name="tb_Planner" displayName="tb_Planner" ref="AA1:AA7" totalsRowShown="0">
  <autoFilter ref="AA1:AA7" xr:uid="{6DAC1117-AFC5-463D-8731-0CA8D186A53D}"/>
  <tableColumns count="1">
    <tableColumn id="1" xr3:uid="{86911363-23A3-438A-93F6-E0F682CE6435}" name="NAMA PLANNER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../../RPA%20PPIC/Inputan%20OW_PO_konker/&amp;" TargetMode="External"/><Relationship Id="rId2" Type="http://schemas.openxmlformats.org/officeDocument/2006/relationships/hyperlink" Target="../../RPA%20PPIC/Create%20OW%20O4/InputanTicketingKontrak.xlsx" TargetMode="External"/><Relationship Id="rId1" Type="http://schemas.openxmlformats.org/officeDocument/2006/relationships/hyperlink" Target="../../RPA%20PPIC/Create%20OW%20O4" TargetMode="External"/><Relationship Id="rId6" Type="http://schemas.openxmlformats.org/officeDocument/2006/relationships/table" Target="../tables/table1.x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C42"/>
  <sheetViews>
    <sheetView tabSelected="1" zoomScale="85" zoomScaleNormal="85" workbookViewId="0">
      <selection activeCell="P15" sqref="P15"/>
    </sheetView>
  </sheetViews>
  <sheetFormatPr defaultRowHeight="15" x14ac:dyDescent="0.25"/>
  <cols>
    <col min="1" max="2" width="3" customWidth="1"/>
    <col min="3" max="3" width="3.7109375" customWidth="1"/>
    <col min="4" max="4" width="4.140625" customWidth="1"/>
    <col min="11" max="11" width="22.42578125" bestFit="1" customWidth="1"/>
    <col min="12" max="12" width="94.5703125" customWidth="1"/>
    <col min="27" max="27" width="17.7109375" customWidth="1"/>
    <col min="182" max="182" width="9.7109375" bestFit="1" customWidth="1"/>
  </cols>
  <sheetData>
    <row r="1" spans="1:185" x14ac:dyDescent="0.25">
      <c r="K1" s="3" t="s">
        <v>2</v>
      </c>
      <c r="L1" s="9" t="s">
        <v>19</v>
      </c>
      <c r="AA1" t="s">
        <v>22</v>
      </c>
      <c r="AB1" s="7"/>
      <c r="AC1" s="6"/>
      <c r="FY1" s="6" t="str">
        <f ca="1">$GA$2&amp;$GA$3&amp;RIGHT($GA$4,2)</f>
        <v>4Jun24</v>
      </c>
      <c r="FZ1" s="7">
        <f ca="1">TODAY()</f>
        <v>45447</v>
      </c>
      <c r="GA1" s="6" t="str">
        <f ca="1">TEXT(NOW(),"ddmmmyy")</f>
        <v>04Jun24</v>
      </c>
      <c r="GB1">
        <v>1</v>
      </c>
      <c r="GC1" t="s">
        <v>3</v>
      </c>
    </row>
    <row r="2" spans="1:185" x14ac:dyDescent="0.25">
      <c r="A2" s="1"/>
      <c r="K2" s="4" t="s">
        <v>0</v>
      </c>
      <c r="L2" s="5" t="s">
        <v>35</v>
      </c>
      <c r="AA2" t="s">
        <v>24</v>
      </c>
      <c r="GA2" s="7">
        <f ca="1">DAY($FZ$1)</f>
        <v>4</v>
      </c>
      <c r="GB2">
        <v>2</v>
      </c>
      <c r="GC2" t="s">
        <v>4</v>
      </c>
    </row>
    <row r="3" spans="1:185" ht="15.75" thickBot="1" x14ac:dyDescent="0.3">
      <c r="A3" s="1"/>
      <c r="K3" s="10" t="s">
        <v>1</v>
      </c>
      <c r="L3" s="11" t="str">
        <f ca="1">$GA$1</f>
        <v>04Jun24</v>
      </c>
      <c r="AA3" t="s">
        <v>25</v>
      </c>
      <c r="FZ3">
        <f ca="1">MONTH($FZ$1)</f>
        <v>6</v>
      </c>
      <c r="GA3" t="str">
        <f ca="1">VLOOKUP($FZ$3,$GB$1:$GC$12,2,0)</f>
        <v>Jun</v>
      </c>
      <c r="GB3">
        <v>3</v>
      </c>
      <c r="GC3" t="s">
        <v>5</v>
      </c>
    </row>
    <row r="4" spans="1:185" ht="20.25" customHeight="1" thickBot="1" x14ac:dyDescent="0.3">
      <c r="A4" s="1"/>
      <c r="B4" s="1"/>
      <c r="K4" s="12" t="s">
        <v>23</v>
      </c>
      <c r="L4" s="17" t="s">
        <v>28</v>
      </c>
      <c r="AA4" t="s">
        <v>26</v>
      </c>
      <c r="GA4">
        <f ca="1">YEAR($FZ$1)</f>
        <v>2024</v>
      </c>
      <c r="GB4">
        <v>4</v>
      </c>
      <c r="GC4" t="s">
        <v>6</v>
      </c>
    </row>
    <row r="5" spans="1:185" x14ac:dyDescent="0.25">
      <c r="A5" s="1"/>
      <c r="B5" s="1"/>
      <c r="AA5" t="s">
        <v>27</v>
      </c>
      <c r="GB5">
        <v>5</v>
      </c>
      <c r="GC5" t="s">
        <v>7</v>
      </c>
    </row>
    <row r="6" spans="1:185" ht="15.75" thickBot="1" x14ac:dyDescent="0.3">
      <c r="A6" s="1"/>
      <c r="B6" s="1"/>
      <c r="AA6" t="s">
        <v>28</v>
      </c>
      <c r="GB6">
        <v>6</v>
      </c>
      <c r="GC6" t="s">
        <v>8</v>
      </c>
    </row>
    <row r="7" spans="1:185" x14ac:dyDescent="0.25">
      <c r="A7" s="1"/>
      <c r="B7" s="1"/>
      <c r="K7" s="43" t="s">
        <v>29</v>
      </c>
      <c r="L7" s="44"/>
      <c r="AA7" t="s">
        <v>34</v>
      </c>
      <c r="GB7">
        <v>7</v>
      </c>
      <c r="GC7" t="s">
        <v>9</v>
      </c>
    </row>
    <row r="8" spans="1:185" x14ac:dyDescent="0.25">
      <c r="A8" s="1"/>
      <c r="B8" s="1"/>
      <c r="K8" s="13" t="s">
        <v>30</v>
      </c>
      <c r="L8" s="14" t="s">
        <v>32</v>
      </c>
      <c r="GB8">
        <v>8</v>
      </c>
      <c r="GC8" t="s">
        <v>10</v>
      </c>
    </row>
    <row r="9" spans="1:185" ht="15.75" thickBot="1" x14ac:dyDescent="0.3">
      <c r="A9" s="1"/>
      <c r="B9" s="1"/>
      <c r="K9" s="15" t="s">
        <v>31</v>
      </c>
      <c r="L9" s="16" t="s">
        <v>33</v>
      </c>
      <c r="GB9">
        <v>9</v>
      </c>
      <c r="GC9" t="s">
        <v>11</v>
      </c>
    </row>
    <row r="10" spans="1:185" x14ac:dyDescent="0.25">
      <c r="A10" s="1"/>
      <c r="B10" s="1"/>
      <c r="GB10">
        <v>10</v>
      </c>
      <c r="GC10" t="s">
        <v>12</v>
      </c>
    </row>
    <row r="11" spans="1:185" x14ac:dyDescent="0.25">
      <c r="A11" s="1"/>
      <c r="B11" s="1"/>
      <c r="GB11">
        <v>11</v>
      </c>
      <c r="GC11" t="s">
        <v>13</v>
      </c>
    </row>
    <row r="12" spans="1:185" x14ac:dyDescent="0.25">
      <c r="A12" s="1"/>
      <c r="B12" s="1"/>
      <c r="K12" s="19"/>
      <c r="L12" s="20" t="str">
        <f>"\\10.8.0.35\Bersama\IT\RPA PPIC\Inputan OW_PO_konker\"&amp;L4</f>
        <v>\\10.8.0.35\Bersama\IT\RPA PPIC\Inputan OW_PO_konker\Irwan</v>
      </c>
      <c r="GB12">
        <v>12</v>
      </c>
      <c r="GC12" t="s">
        <v>14</v>
      </c>
    </row>
    <row r="13" spans="1:185" x14ac:dyDescent="0.25">
      <c r="A13" s="1"/>
      <c r="B13" s="1"/>
      <c r="K13" s="19"/>
      <c r="L13" s="18"/>
    </row>
    <row r="14" spans="1:185" x14ac:dyDescent="0.25">
      <c r="A14" s="1"/>
      <c r="B14" s="1"/>
    </row>
    <row r="15" spans="1:185" x14ac:dyDescent="0.25">
      <c r="A15" s="1"/>
      <c r="B15" s="1"/>
    </row>
    <row r="16" spans="1:185" x14ac:dyDescent="0.25">
      <c r="A16" s="1"/>
      <c r="B16" s="1"/>
    </row>
    <row r="17" spans="1:12" x14ac:dyDescent="0.25">
      <c r="A17" s="1"/>
      <c r="B17" s="1"/>
    </row>
    <row r="25" spans="1:12" x14ac:dyDescent="0.25">
      <c r="A25" s="1"/>
      <c r="B25" s="1"/>
    </row>
    <row r="26" spans="1:12" x14ac:dyDescent="0.25">
      <c r="A26" s="1"/>
      <c r="B26" s="1"/>
    </row>
    <row r="27" spans="1:12" x14ac:dyDescent="0.25">
      <c r="A27" s="1"/>
      <c r="B27" s="1"/>
    </row>
    <row r="28" spans="1:12" x14ac:dyDescent="0.25">
      <c r="A28" s="1"/>
      <c r="B28" s="1"/>
    </row>
    <row r="29" spans="1:12" x14ac:dyDescent="0.25">
      <c r="A29" s="1"/>
      <c r="B29" s="1"/>
      <c r="K29" s="8" t="s">
        <v>15</v>
      </c>
      <c r="L29" s="8" t="s">
        <v>17</v>
      </c>
    </row>
    <row r="30" spans="1:12" x14ac:dyDescent="0.25">
      <c r="A30" s="1"/>
      <c r="B30" s="1"/>
      <c r="K30" s="8" t="s">
        <v>16</v>
      </c>
      <c r="L30" s="8" t="s">
        <v>18</v>
      </c>
    </row>
    <row r="31" spans="1:12" x14ac:dyDescent="0.25">
      <c r="A31" s="1"/>
      <c r="B31" s="1"/>
      <c r="K31" t="s">
        <v>20</v>
      </c>
      <c r="L31" t="s">
        <v>21</v>
      </c>
    </row>
    <row r="32" spans="1:12" x14ac:dyDescent="0.25">
      <c r="A32" s="1"/>
      <c r="B32" s="1"/>
    </row>
    <row r="33" spans="1:2" x14ac:dyDescent="0.25">
      <c r="A33" s="1"/>
      <c r="B33" s="1"/>
    </row>
    <row r="34" spans="1:2" x14ac:dyDescent="0.25">
      <c r="A34" s="1"/>
      <c r="B34" s="1"/>
    </row>
    <row r="35" spans="1:2" x14ac:dyDescent="0.25">
      <c r="A35" s="1"/>
      <c r="B35" s="1"/>
    </row>
    <row r="36" spans="1:2" x14ac:dyDescent="0.25">
      <c r="A36" s="1"/>
      <c r="B36" s="1"/>
    </row>
    <row r="37" spans="1:2" x14ac:dyDescent="0.25">
      <c r="A37" s="1"/>
      <c r="B37" s="1"/>
    </row>
    <row r="38" spans="1:2" x14ac:dyDescent="0.25">
      <c r="A38" s="1"/>
      <c r="B38" s="1"/>
    </row>
    <row r="39" spans="1:2" x14ac:dyDescent="0.25">
      <c r="A39" s="1"/>
      <c r="B39" s="1"/>
    </row>
    <row r="40" spans="1:2" x14ac:dyDescent="0.25">
      <c r="A40" s="2"/>
      <c r="B40" s="2"/>
    </row>
    <row r="41" spans="1:2" x14ac:dyDescent="0.25">
      <c r="A41" s="2"/>
      <c r="B41" s="2"/>
    </row>
    <row r="42" spans="1:2" x14ac:dyDescent="0.25">
      <c r="A42" s="2"/>
      <c r="B42" s="2"/>
    </row>
  </sheetData>
  <mergeCells count="1">
    <mergeCell ref="K7:L7"/>
  </mergeCells>
  <phoneticPr fontId="1" type="noConversion"/>
  <dataValidations count="1">
    <dataValidation type="list" allowBlank="1" showInputMessage="1" showErrorMessage="1" sqref="L4" xr:uid="{159D9514-D616-413E-B41D-B4B6E50BF012}">
      <formula1>INDIRECT("tb_Planner[NAMA PLANNER]")</formula1>
    </dataValidation>
  </dataValidations>
  <hyperlinks>
    <hyperlink ref="L1" r:id="rId1" xr:uid="{0AACC8F5-C430-4E72-966D-7C8FE28C2305}"/>
    <hyperlink ref="L9" r:id="rId2" xr:uid="{16DAF5F1-CA5B-48DF-BC42-BE975D95EF82}"/>
    <hyperlink ref="L12" r:id="rId3" display="\\10.8.0.35\Bersama\IT\RPA PPIC\Inputan OW_PO_konker\&amp;" xr:uid="{9D608D93-A07B-452C-9E88-B6F9080B9944}"/>
  </hyperlinks>
  <pageMargins left="0.7" right="0.7" top="0.75" bottom="0.75" header="0.3" footer="0.3"/>
  <pageSetup orientation="portrait" r:id="rId4"/>
  <drawing r:id="rId5"/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956E3-DDEA-4A71-B9C4-0D141DEEC27B}">
  <dimension ref="A1:Y8"/>
  <sheetViews>
    <sheetView topLeftCell="K1" workbookViewId="0">
      <selection activeCell="R2" sqref="R2"/>
    </sheetView>
  </sheetViews>
  <sheetFormatPr defaultRowHeight="15" x14ac:dyDescent="0.25"/>
  <cols>
    <col min="1" max="1" width="41.5703125" bestFit="1" customWidth="1"/>
    <col min="2" max="2" width="18.85546875" bestFit="1" customWidth="1"/>
    <col min="3" max="3" width="9.28515625" bestFit="1" customWidth="1"/>
    <col min="4" max="4" width="10.28515625" style="39" bestFit="1" customWidth="1"/>
    <col min="5" max="5" width="11.7109375" style="39" bestFit="1" customWidth="1"/>
    <col min="6" max="6" width="19.7109375" bestFit="1" customWidth="1"/>
    <col min="7" max="8" width="15.140625" bestFit="1" customWidth="1"/>
    <col min="9" max="9" width="17.7109375" bestFit="1" customWidth="1"/>
    <col min="10" max="10" width="18.85546875" bestFit="1" customWidth="1"/>
    <col min="11" max="11" width="12" bestFit="1" customWidth="1"/>
    <col min="12" max="12" width="10.140625" bestFit="1" customWidth="1"/>
    <col min="13" max="13" width="7.140625" bestFit="1" customWidth="1"/>
    <col min="14" max="14" width="27.5703125" bestFit="1" customWidth="1"/>
    <col min="15" max="15" width="10.42578125" bestFit="1" customWidth="1"/>
    <col min="16" max="16" width="11.42578125" bestFit="1" customWidth="1"/>
    <col min="17" max="17" width="17" bestFit="1" customWidth="1"/>
    <col min="18" max="18" width="14.42578125" bestFit="1" customWidth="1"/>
    <col min="19" max="19" width="7.7109375" bestFit="1" customWidth="1"/>
    <col min="20" max="20" width="13.140625" bestFit="1" customWidth="1"/>
  </cols>
  <sheetData>
    <row r="1" spans="1:25" ht="18" x14ac:dyDescent="0.35">
      <c r="A1" s="22" t="s">
        <v>36</v>
      </c>
      <c r="B1" s="22" t="s">
        <v>37</v>
      </c>
      <c r="C1" s="22" t="s">
        <v>38</v>
      </c>
      <c r="D1" s="23" t="s">
        <v>39</v>
      </c>
      <c r="E1" s="23" t="s">
        <v>40</v>
      </c>
      <c r="F1" s="23" t="s">
        <v>41</v>
      </c>
      <c r="G1" s="22" t="s">
        <v>42</v>
      </c>
      <c r="H1" s="22" t="s">
        <v>43</v>
      </c>
      <c r="I1" s="24" t="s">
        <v>44</v>
      </c>
      <c r="J1" s="25" t="s">
        <v>45</v>
      </c>
      <c r="K1" s="26" t="s">
        <v>46</v>
      </c>
      <c r="L1" s="22" t="s">
        <v>47</v>
      </c>
      <c r="M1" s="22" t="s">
        <v>48</v>
      </c>
      <c r="N1" s="22" t="s">
        <v>49</v>
      </c>
      <c r="O1" s="27" t="s">
        <v>50</v>
      </c>
      <c r="P1" s="22" t="s">
        <v>51</v>
      </c>
      <c r="Q1" s="22" t="s">
        <v>52</v>
      </c>
      <c r="R1" s="21" t="s">
        <v>53</v>
      </c>
      <c r="S1" s="22" t="s">
        <v>54</v>
      </c>
      <c r="T1" s="28" t="s">
        <v>55</v>
      </c>
      <c r="Y1" s="37"/>
    </row>
    <row r="2" spans="1:25" ht="17.25" thickBot="1" x14ac:dyDescent="0.35">
      <c r="A2" s="29" t="s">
        <v>64</v>
      </c>
      <c r="B2" s="33" t="s">
        <v>67</v>
      </c>
      <c r="C2" s="29">
        <v>1205</v>
      </c>
      <c r="D2" s="29"/>
      <c r="E2" s="29"/>
      <c r="F2" s="29"/>
      <c r="G2" s="29" t="s">
        <v>65</v>
      </c>
      <c r="H2" s="29" t="s">
        <v>65</v>
      </c>
      <c r="I2" s="29">
        <v>3501</v>
      </c>
      <c r="J2" s="29" t="s">
        <v>62</v>
      </c>
      <c r="K2" s="29" t="s">
        <v>63</v>
      </c>
      <c r="L2" s="29" t="s">
        <v>63</v>
      </c>
      <c r="M2" s="29" t="s">
        <v>56</v>
      </c>
      <c r="N2" s="29" t="s">
        <v>66</v>
      </c>
      <c r="O2" s="29"/>
      <c r="P2" s="29"/>
      <c r="Q2" s="29"/>
      <c r="R2" s="29">
        <v>24001571</v>
      </c>
      <c r="S2" s="30">
        <v>47500</v>
      </c>
      <c r="T2" s="31">
        <v>24001056</v>
      </c>
      <c r="Y2" s="38"/>
    </row>
    <row r="3" spans="1:25" ht="17.25" thickTop="1" x14ac:dyDescent="0.3">
      <c r="Y3" s="38"/>
    </row>
    <row r="4" spans="1:25" ht="16.5" x14ac:dyDescent="0.3">
      <c r="Y4" s="38"/>
    </row>
    <row r="5" spans="1:25" ht="16.5" x14ac:dyDescent="0.3">
      <c r="Y5" s="38"/>
    </row>
    <row r="6" spans="1:25" ht="16.5" x14ac:dyDescent="0.3">
      <c r="Y6" s="38"/>
    </row>
    <row r="7" spans="1:25" ht="16.5" x14ac:dyDescent="0.3">
      <c r="Y7" s="38"/>
    </row>
    <row r="8" spans="1:25" ht="16.5" x14ac:dyDescent="0.3">
      <c r="Y8" s="3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9612A-5BBD-42AE-8697-61EA43CF41BE}">
  <dimension ref="A1:AF2"/>
  <sheetViews>
    <sheetView topLeftCell="O1" workbookViewId="0">
      <selection activeCell="AA2" sqref="AA2"/>
    </sheetView>
  </sheetViews>
  <sheetFormatPr defaultRowHeight="15" x14ac:dyDescent="0.25"/>
  <cols>
    <col min="1" max="1" width="4.42578125" bestFit="1" customWidth="1"/>
    <col min="2" max="2" width="16" bestFit="1" customWidth="1"/>
    <col min="3" max="3" width="7.42578125" bestFit="1" customWidth="1"/>
    <col min="4" max="4" width="8.85546875" bestFit="1" customWidth="1"/>
    <col min="5" max="5" width="10.5703125" style="41" bestFit="1" customWidth="1"/>
    <col min="6" max="6" width="17.5703125" style="41" bestFit="1" customWidth="1"/>
    <col min="7" max="8" width="12.5703125" bestFit="1" customWidth="1"/>
    <col min="9" max="9" width="14.42578125" bestFit="1" customWidth="1"/>
    <col min="10" max="10" width="16" bestFit="1" customWidth="1"/>
    <col min="11" max="11" width="8.140625" bestFit="1" customWidth="1"/>
    <col min="12" max="12" width="8.7109375" bestFit="1" customWidth="1"/>
    <col min="13" max="13" width="5.42578125" bestFit="1" customWidth="1"/>
    <col min="14" max="14" width="20.85546875" bestFit="1" customWidth="1"/>
    <col min="15" max="15" width="7.85546875" bestFit="1" customWidth="1"/>
    <col min="16" max="16" width="9.7109375" bestFit="1" customWidth="1"/>
    <col min="17" max="17" width="13.5703125" bestFit="1" customWidth="1"/>
    <col min="18" max="18" width="12.140625" bestFit="1" customWidth="1"/>
    <col min="19" max="19" width="6" bestFit="1" customWidth="1"/>
  </cols>
  <sheetData>
    <row r="1" spans="1:32" s="6" customFormat="1" x14ac:dyDescent="0.25">
      <c r="A1" s="34" t="s">
        <v>57</v>
      </c>
      <c r="B1" s="35" t="s">
        <v>37</v>
      </c>
      <c r="C1" s="35" t="s">
        <v>38</v>
      </c>
      <c r="D1" s="35" t="s">
        <v>39</v>
      </c>
      <c r="E1" s="40" t="s">
        <v>40</v>
      </c>
      <c r="F1" s="40" t="s">
        <v>41</v>
      </c>
      <c r="G1" s="35" t="s">
        <v>42</v>
      </c>
      <c r="H1" s="35" t="s">
        <v>43</v>
      </c>
      <c r="I1" s="35" t="s">
        <v>44</v>
      </c>
      <c r="J1" s="35" t="s">
        <v>45</v>
      </c>
      <c r="K1" s="35" t="s">
        <v>46</v>
      </c>
      <c r="L1" s="35" t="s">
        <v>47</v>
      </c>
      <c r="M1" s="35" t="s">
        <v>48</v>
      </c>
      <c r="N1" s="35" t="s">
        <v>49</v>
      </c>
      <c r="O1" s="35" t="s">
        <v>50</v>
      </c>
      <c r="P1" s="35" t="s">
        <v>51</v>
      </c>
      <c r="Q1" s="35" t="s">
        <v>52</v>
      </c>
      <c r="R1" s="36" t="s">
        <v>54</v>
      </c>
      <c r="S1"/>
      <c r="AA1"/>
      <c r="AB1"/>
      <c r="AC1"/>
      <c r="AD1" s="7"/>
      <c r="AE1" s="7"/>
      <c r="AF1"/>
    </row>
    <row r="2" spans="1:32" x14ac:dyDescent="0.25">
      <c r="A2">
        <v>24001571</v>
      </c>
      <c r="B2">
        <v>55387290</v>
      </c>
      <c r="C2">
        <v>1205</v>
      </c>
      <c r="G2" t="s">
        <v>65</v>
      </c>
      <c r="H2" t="s">
        <v>65</v>
      </c>
      <c r="I2">
        <v>3501</v>
      </c>
      <c r="J2" s="32" t="s">
        <v>62</v>
      </c>
      <c r="K2" t="s">
        <v>63</v>
      </c>
      <c r="L2" t="s">
        <v>63</v>
      </c>
      <c r="M2" t="s">
        <v>56</v>
      </c>
      <c r="N2" t="s">
        <v>66</v>
      </c>
      <c r="R2">
        <v>47500</v>
      </c>
    </row>
  </sheetData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39F394-3DA8-4039-A72A-21538A7C1C5B}">
  <dimension ref="A1:J32"/>
  <sheetViews>
    <sheetView workbookViewId="0">
      <selection activeCell="K10" sqref="K10"/>
    </sheetView>
  </sheetViews>
  <sheetFormatPr defaultRowHeight="15" x14ac:dyDescent="0.25"/>
  <cols>
    <col min="1" max="1" width="3.85546875" bestFit="1" customWidth="1"/>
    <col min="2" max="2" width="11.7109375" bestFit="1" customWidth="1"/>
    <col min="3" max="3" width="9" bestFit="1" customWidth="1"/>
    <col min="4" max="4" width="16" bestFit="1" customWidth="1"/>
    <col min="5" max="5" width="7.42578125" bestFit="1" customWidth="1"/>
    <col min="6" max="6" width="8.85546875" bestFit="1" customWidth="1"/>
    <col min="7" max="7" width="10.5703125" bestFit="1" customWidth="1"/>
    <col min="8" max="8" width="17.5703125" bestFit="1" customWidth="1"/>
  </cols>
  <sheetData>
    <row r="1" spans="1:10" x14ac:dyDescent="0.25">
      <c r="A1" t="s">
        <v>58</v>
      </c>
      <c r="B1" t="s">
        <v>59</v>
      </c>
      <c r="C1" t="s">
        <v>57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55</v>
      </c>
      <c r="J1" t="s">
        <v>60</v>
      </c>
    </row>
    <row r="2" spans="1:10" x14ac:dyDescent="0.25">
      <c r="A2">
        <v>3</v>
      </c>
      <c r="B2" t="s">
        <v>61</v>
      </c>
      <c r="C2">
        <v>24001571</v>
      </c>
      <c r="D2">
        <v>55387290</v>
      </c>
      <c r="E2" s="42">
        <v>1201</v>
      </c>
      <c r="G2" s="7"/>
      <c r="H2" s="7"/>
      <c r="I2" s="42">
        <v>24001027</v>
      </c>
      <c r="J2" t="s">
        <v>68</v>
      </c>
    </row>
    <row r="3" spans="1:10" x14ac:dyDescent="0.25">
      <c r="A3">
        <v>3</v>
      </c>
      <c r="B3" t="s">
        <v>61</v>
      </c>
      <c r="C3">
        <v>24001571</v>
      </c>
      <c r="D3">
        <v>55387290</v>
      </c>
      <c r="E3" s="42">
        <v>1201</v>
      </c>
      <c r="I3" s="42">
        <v>24001030</v>
      </c>
      <c r="J3" t="s">
        <v>68</v>
      </c>
    </row>
    <row r="4" spans="1:10" x14ac:dyDescent="0.25">
      <c r="A4">
        <v>3</v>
      </c>
      <c r="B4" t="s">
        <v>61</v>
      </c>
      <c r="C4">
        <v>24001571</v>
      </c>
      <c r="D4">
        <v>55387290</v>
      </c>
      <c r="E4" s="42">
        <v>1201</v>
      </c>
      <c r="I4" s="42">
        <v>23001186</v>
      </c>
      <c r="J4" t="s">
        <v>68</v>
      </c>
    </row>
    <row r="5" spans="1:10" x14ac:dyDescent="0.25">
      <c r="A5">
        <v>3</v>
      </c>
      <c r="B5" t="s">
        <v>61</v>
      </c>
      <c r="C5">
        <v>24001571</v>
      </c>
      <c r="D5">
        <v>55387290</v>
      </c>
      <c r="E5" s="42">
        <v>1201</v>
      </c>
      <c r="I5" s="42">
        <v>24001038</v>
      </c>
      <c r="J5" t="s">
        <v>68</v>
      </c>
    </row>
    <row r="6" spans="1:10" x14ac:dyDescent="0.25">
      <c r="A6">
        <v>3</v>
      </c>
      <c r="B6" t="s">
        <v>61</v>
      </c>
      <c r="C6">
        <v>24001571</v>
      </c>
      <c r="D6">
        <v>55387290</v>
      </c>
      <c r="E6" s="42">
        <v>1201</v>
      </c>
      <c r="I6" s="42">
        <v>24001036</v>
      </c>
      <c r="J6" t="s">
        <v>68</v>
      </c>
    </row>
    <row r="7" spans="1:10" x14ac:dyDescent="0.25">
      <c r="A7">
        <v>3</v>
      </c>
      <c r="B7" t="s">
        <v>61</v>
      </c>
      <c r="C7">
        <v>24001571</v>
      </c>
      <c r="D7">
        <v>55387290</v>
      </c>
      <c r="E7" s="42">
        <v>1201</v>
      </c>
      <c r="I7" s="42">
        <v>24001026</v>
      </c>
      <c r="J7" t="s">
        <v>68</v>
      </c>
    </row>
    <row r="8" spans="1:10" x14ac:dyDescent="0.25">
      <c r="A8">
        <v>3</v>
      </c>
      <c r="B8" t="s">
        <v>61</v>
      </c>
      <c r="C8">
        <v>24001571</v>
      </c>
      <c r="D8">
        <v>55387290</v>
      </c>
      <c r="E8" s="42">
        <v>1201</v>
      </c>
      <c r="I8" s="42">
        <v>24001014</v>
      </c>
      <c r="J8" t="s">
        <v>68</v>
      </c>
    </row>
    <row r="9" spans="1:10" x14ac:dyDescent="0.25">
      <c r="A9">
        <v>3</v>
      </c>
      <c r="B9" t="s">
        <v>61</v>
      </c>
      <c r="C9">
        <v>24001571</v>
      </c>
      <c r="D9">
        <v>55387290</v>
      </c>
      <c r="E9" s="42">
        <v>1201</v>
      </c>
      <c r="I9" s="42">
        <v>24001018</v>
      </c>
      <c r="J9" t="s">
        <v>68</v>
      </c>
    </row>
    <row r="10" spans="1:10" x14ac:dyDescent="0.25">
      <c r="A10">
        <v>3</v>
      </c>
      <c r="B10" t="s">
        <v>61</v>
      </c>
      <c r="C10">
        <v>24001571</v>
      </c>
      <c r="D10">
        <v>55387290</v>
      </c>
      <c r="E10" s="42">
        <v>1201</v>
      </c>
      <c r="I10" s="42">
        <v>24001015</v>
      </c>
      <c r="J10" t="s">
        <v>68</v>
      </c>
    </row>
    <row r="11" spans="1:10" x14ac:dyDescent="0.25">
      <c r="A11">
        <v>3</v>
      </c>
      <c r="B11" t="s">
        <v>61</v>
      </c>
      <c r="C11">
        <v>24001571</v>
      </c>
      <c r="D11">
        <v>55387290</v>
      </c>
      <c r="E11" s="42">
        <v>1205</v>
      </c>
      <c r="I11" s="42">
        <v>24001043</v>
      </c>
      <c r="J11" t="s">
        <v>68</v>
      </c>
    </row>
    <row r="12" spans="1:10" x14ac:dyDescent="0.25">
      <c r="A12">
        <v>3</v>
      </c>
      <c r="B12" t="s">
        <v>61</v>
      </c>
      <c r="C12">
        <v>24001571</v>
      </c>
      <c r="D12">
        <v>55387290</v>
      </c>
      <c r="E12" s="42">
        <v>1204</v>
      </c>
      <c r="I12" s="42">
        <v>24001034</v>
      </c>
      <c r="J12" t="s">
        <v>68</v>
      </c>
    </row>
    <row r="13" spans="1:10" x14ac:dyDescent="0.25">
      <c r="A13">
        <v>3</v>
      </c>
      <c r="B13" t="s">
        <v>61</v>
      </c>
      <c r="C13">
        <v>24001571</v>
      </c>
      <c r="D13">
        <v>55387290</v>
      </c>
      <c r="E13" s="42">
        <v>1201</v>
      </c>
      <c r="I13" s="42">
        <v>24001024</v>
      </c>
      <c r="J13" t="s">
        <v>68</v>
      </c>
    </row>
    <row r="14" spans="1:10" x14ac:dyDescent="0.25">
      <c r="A14">
        <v>3</v>
      </c>
      <c r="B14" t="s">
        <v>61</v>
      </c>
      <c r="C14">
        <v>24001571</v>
      </c>
      <c r="D14">
        <v>55387290</v>
      </c>
      <c r="E14" s="42">
        <v>1201</v>
      </c>
      <c r="I14" s="42">
        <v>23001189</v>
      </c>
      <c r="J14" t="s">
        <v>68</v>
      </c>
    </row>
    <row r="15" spans="1:10" x14ac:dyDescent="0.25">
      <c r="A15">
        <v>3</v>
      </c>
      <c r="B15" t="s">
        <v>61</v>
      </c>
      <c r="C15">
        <v>24001571</v>
      </c>
      <c r="D15">
        <v>55387290</v>
      </c>
      <c r="E15" s="42">
        <v>1201</v>
      </c>
      <c r="I15" s="42">
        <v>23001142</v>
      </c>
      <c r="J15" t="s">
        <v>68</v>
      </c>
    </row>
    <row r="16" spans="1:10" x14ac:dyDescent="0.25">
      <c r="A16">
        <v>3</v>
      </c>
      <c r="B16" t="s">
        <v>61</v>
      </c>
      <c r="C16">
        <v>24001571</v>
      </c>
      <c r="D16">
        <v>55387290</v>
      </c>
      <c r="E16" s="42">
        <v>1201</v>
      </c>
      <c r="I16" s="42">
        <v>24001037</v>
      </c>
      <c r="J16" t="s">
        <v>68</v>
      </c>
    </row>
    <row r="17" spans="1:10" x14ac:dyDescent="0.25">
      <c r="A17">
        <v>3</v>
      </c>
      <c r="B17" t="s">
        <v>61</v>
      </c>
      <c r="C17">
        <v>24001571</v>
      </c>
      <c r="D17">
        <v>55387290</v>
      </c>
      <c r="E17" s="42">
        <v>1205</v>
      </c>
      <c r="I17" s="42">
        <v>24001027</v>
      </c>
      <c r="J17" t="s">
        <v>68</v>
      </c>
    </row>
    <row r="18" spans="1:10" x14ac:dyDescent="0.25">
      <c r="A18">
        <v>3</v>
      </c>
      <c r="B18" t="s">
        <v>61</v>
      </c>
      <c r="C18">
        <v>24001571</v>
      </c>
      <c r="D18">
        <v>55387290</v>
      </c>
      <c r="E18" s="42">
        <v>1205</v>
      </c>
      <c r="I18" s="42">
        <v>24001020</v>
      </c>
      <c r="J18" t="s">
        <v>68</v>
      </c>
    </row>
    <row r="19" spans="1:10" x14ac:dyDescent="0.25">
      <c r="A19">
        <v>3</v>
      </c>
      <c r="B19" t="s">
        <v>61</v>
      </c>
      <c r="C19">
        <v>24001571</v>
      </c>
      <c r="D19">
        <v>55387290</v>
      </c>
      <c r="E19" s="42">
        <v>1205</v>
      </c>
      <c r="I19" s="42">
        <v>24001001</v>
      </c>
      <c r="J19" t="s">
        <v>68</v>
      </c>
    </row>
    <row r="20" spans="1:10" x14ac:dyDescent="0.25">
      <c r="A20">
        <v>3</v>
      </c>
      <c r="B20" t="s">
        <v>61</v>
      </c>
      <c r="C20">
        <v>24001571</v>
      </c>
      <c r="D20">
        <v>55387290</v>
      </c>
      <c r="E20" s="42">
        <v>1201</v>
      </c>
      <c r="I20" s="42">
        <v>24001025</v>
      </c>
      <c r="J20" t="s">
        <v>68</v>
      </c>
    </row>
    <row r="21" spans="1:10" x14ac:dyDescent="0.25">
      <c r="A21">
        <v>3</v>
      </c>
      <c r="B21" t="s">
        <v>61</v>
      </c>
      <c r="C21">
        <v>24001571</v>
      </c>
      <c r="D21">
        <v>55387290</v>
      </c>
      <c r="E21" s="42">
        <v>1201</v>
      </c>
      <c r="I21" s="42">
        <v>24001005</v>
      </c>
      <c r="J21" t="s">
        <v>68</v>
      </c>
    </row>
    <row r="22" spans="1:10" x14ac:dyDescent="0.25">
      <c r="A22">
        <v>3</v>
      </c>
      <c r="B22" t="s">
        <v>61</v>
      </c>
      <c r="C22">
        <v>24001571</v>
      </c>
      <c r="D22">
        <v>55387290</v>
      </c>
      <c r="E22" s="42">
        <v>1201</v>
      </c>
      <c r="I22" s="42">
        <v>24001013</v>
      </c>
      <c r="J22" t="s">
        <v>68</v>
      </c>
    </row>
    <row r="23" spans="1:10" x14ac:dyDescent="0.25">
      <c r="A23">
        <v>3</v>
      </c>
      <c r="B23" t="s">
        <v>61</v>
      </c>
      <c r="C23">
        <v>24001571</v>
      </c>
      <c r="D23">
        <v>55387290</v>
      </c>
      <c r="E23" s="42">
        <v>1205</v>
      </c>
      <c r="I23" s="42">
        <v>24001023</v>
      </c>
    </row>
    <row r="24" spans="1:10" x14ac:dyDescent="0.25">
      <c r="A24">
        <v>3</v>
      </c>
      <c r="B24" t="s">
        <v>61</v>
      </c>
      <c r="C24">
        <v>24001571</v>
      </c>
      <c r="D24">
        <v>55387290</v>
      </c>
      <c r="E24" s="42">
        <v>1201</v>
      </c>
      <c r="I24" s="42">
        <v>24001012</v>
      </c>
    </row>
    <row r="25" spans="1:10" x14ac:dyDescent="0.25">
      <c r="A25">
        <v>3</v>
      </c>
      <c r="B25" t="s">
        <v>61</v>
      </c>
      <c r="C25">
        <v>24001571</v>
      </c>
      <c r="D25">
        <v>55387290</v>
      </c>
      <c r="E25" s="42">
        <v>1201</v>
      </c>
      <c r="I25" s="42">
        <v>24001019</v>
      </c>
    </row>
    <row r="26" spans="1:10" x14ac:dyDescent="0.25">
      <c r="A26">
        <v>3</v>
      </c>
      <c r="B26" t="s">
        <v>61</v>
      </c>
      <c r="C26">
        <v>24001571</v>
      </c>
      <c r="D26">
        <v>55387290</v>
      </c>
      <c r="E26" s="42">
        <v>1205</v>
      </c>
      <c r="I26" s="42">
        <v>23001080</v>
      </c>
    </row>
    <row r="27" spans="1:10" x14ac:dyDescent="0.25">
      <c r="A27">
        <v>3</v>
      </c>
      <c r="B27" t="s">
        <v>61</v>
      </c>
      <c r="C27">
        <v>24001571</v>
      </c>
      <c r="D27">
        <v>55387290</v>
      </c>
      <c r="E27" s="42">
        <v>1201</v>
      </c>
      <c r="I27" s="42">
        <v>24001009</v>
      </c>
    </row>
    <row r="28" spans="1:10" x14ac:dyDescent="0.25">
      <c r="A28">
        <v>3</v>
      </c>
      <c r="B28" t="s">
        <v>61</v>
      </c>
      <c r="C28">
        <v>24001571</v>
      </c>
      <c r="D28">
        <v>55387290</v>
      </c>
      <c r="E28" s="42">
        <v>1201</v>
      </c>
      <c r="I28" s="42">
        <v>24001020</v>
      </c>
    </row>
    <row r="29" spans="1:10" x14ac:dyDescent="0.25">
      <c r="A29">
        <v>3</v>
      </c>
      <c r="B29" t="s">
        <v>61</v>
      </c>
      <c r="C29">
        <v>24001571</v>
      </c>
      <c r="D29">
        <v>55387290</v>
      </c>
      <c r="E29" s="42">
        <v>1201</v>
      </c>
      <c r="I29" s="42">
        <v>24001042</v>
      </c>
    </row>
    <row r="30" spans="1:10" x14ac:dyDescent="0.25">
      <c r="A30">
        <v>3</v>
      </c>
      <c r="B30" t="s">
        <v>61</v>
      </c>
      <c r="C30">
        <v>24001571</v>
      </c>
      <c r="D30">
        <v>55387290</v>
      </c>
      <c r="E30" s="42">
        <v>1204</v>
      </c>
      <c r="I30" s="42">
        <v>24001027</v>
      </c>
    </row>
    <row r="31" spans="1:10" x14ac:dyDescent="0.25">
      <c r="A31">
        <v>3</v>
      </c>
      <c r="B31" t="s">
        <v>61</v>
      </c>
      <c r="C31">
        <v>24001571</v>
      </c>
      <c r="D31">
        <v>55387290</v>
      </c>
      <c r="E31" s="42">
        <v>1201</v>
      </c>
      <c r="I31" s="42">
        <v>24001033</v>
      </c>
    </row>
    <row r="32" spans="1:10" x14ac:dyDescent="0.25">
      <c r="A32">
        <v>3</v>
      </c>
      <c r="B32" t="s">
        <v>61</v>
      </c>
      <c r="C32">
        <v>24001571</v>
      </c>
      <c r="D32">
        <v>55387290</v>
      </c>
      <c r="E32" s="42">
        <v>1201</v>
      </c>
      <c r="I32" s="42">
        <v>24001046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ED2F0-8DB5-421E-BB12-DDCF130536D3}">
  <dimension ref="A1:R2"/>
  <sheetViews>
    <sheetView workbookViewId="0">
      <selection activeCell="A2" sqref="A2:F2"/>
    </sheetView>
  </sheetViews>
  <sheetFormatPr defaultRowHeight="15" x14ac:dyDescent="0.25"/>
  <sheetData>
    <row r="1" spans="1:18" x14ac:dyDescent="0.25">
      <c r="G1" s="6" t="s">
        <v>42</v>
      </c>
      <c r="H1" s="6" t="s">
        <v>43</v>
      </c>
      <c r="I1" s="6" t="s">
        <v>44</v>
      </c>
      <c r="J1" s="6" t="s">
        <v>45</v>
      </c>
      <c r="K1" s="6" t="s">
        <v>46</v>
      </c>
      <c r="L1" s="6" t="s">
        <v>47</v>
      </c>
      <c r="M1" s="6" t="s">
        <v>48</v>
      </c>
      <c r="N1" s="6" t="s">
        <v>49</v>
      </c>
      <c r="O1" s="6" t="s">
        <v>50</v>
      </c>
      <c r="P1" s="6" t="s">
        <v>51</v>
      </c>
      <c r="Q1" s="6" t="s">
        <v>52</v>
      </c>
      <c r="R1" s="6" t="s">
        <v>54</v>
      </c>
    </row>
    <row r="2" spans="1:18" x14ac:dyDescent="0.25">
      <c r="A2">
        <v>24001571</v>
      </c>
      <c r="B2">
        <v>55387290</v>
      </c>
      <c r="C2">
        <v>1205</v>
      </c>
      <c r="G2" t="s">
        <v>65</v>
      </c>
      <c r="H2" t="s">
        <v>65</v>
      </c>
      <c r="I2">
        <v>3501</v>
      </c>
      <c r="J2" s="32" t="s">
        <v>62</v>
      </c>
      <c r="K2" t="s">
        <v>63</v>
      </c>
      <c r="L2" t="s">
        <v>63</v>
      </c>
      <c r="M2" t="s">
        <v>56</v>
      </c>
      <c r="N2" t="s">
        <v>66</v>
      </c>
      <c r="R2">
        <v>47500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F03F823-E74F-4AFB-A445-2138D966E20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Database Supplier</vt:lpstr>
      <vt:lpstr>Input User</vt:lpstr>
      <vt:lpstr>Input RPA</vt:lpstr>
      <vt:lpstr>Bantuan</vt:lpstr>
      <vt:lpstr>SheetRun1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DESKTOP-PC</dc:creator>
  <cp:lastModifiedBy>user</cp:lastModifiedBy>
  <dcterms:created xsi:type="dcterms:W3CDTF">2021-09-13T02:18:06Z</dcterms:created>
  <dcterms:modified xsi:type="dcterms:W3CDTF">2024-06-04T08:19:08Z</dcterms:modified>
</cp:coreProperties>
</file>