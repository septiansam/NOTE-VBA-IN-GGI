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R:\BUYER EXPORT\MACRO EXIM\PAKE YG INI\UPDATE MACRO\"/>
    </mc:Choice>
  </mc:AlternateContent>
  <bookViews>
    <workbookView xWindow="0" yWindow="0" windowWidth="20490" windowHeight="7905" firstSheet="2" activeTab="3"/>
  </bookViews>
  <sheets>
    <sheet name="DB" sheetId="2" state="hidden" r:id="rId1"/>
    <sheet name="TEMPLATE" sheetId="146" state="hidden" r:id="rId2"/>
    <sheet name="HOME" sheetId="53" r:id="rId3"/>
    <sheet name="PACKING LIST" sheetId="195" r:id="rId4"/>
    <sheet name="LOAD" sheetId="197" r:id="rId5"/>
    <sheet name="INVOICE" sheetId="198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C3" i="197" l="1"/>
  <c r="AC4" i="197"/>
  <c r="AC5" i="197"/>
  <c r="AC6" i="197"/>
  <c r="AC7" i="197"/>
  <c r="AC8" i="197"/>
  <c r="AC9" i="197"/>
  <c r="AC10" i="197"/>
  <c r="AC11" i="197"/>
  <c r="AC12" i="197"/>
  <c r="AC13" i="197"/>
  <c r="AC14" i="197"/>
  <c r="AC15" i="197"/>
  <c r="AC16" i="197"/>
  <c r="AC17" i="197"/>
  <c r="AC18" i="197"/>
  <c r="AC19" i="197"/>
  <c r="AC20" i="197"/>
  <c r="AC21" i="197"/>
  <c r="AC22" i="197"/>
  <c r="AC23" i="197"/>
  <c r="AC24" i="197"/>
  <c r="AC25" i="197"/>
  <c r="AC26" i="197"/>
  <c r="AC27" i="197"/>
  <c r="AC28" i="197"/>
  <c r="AC29" i="197"/>
  <c r="AC30" i="197"/>
  <c r="AC31" i="197"/>
  <c r="AC32" i="197"/>
  <c r="AC33" i="197"/>
  <c r="AC34" i="197"/>
  <c r="AC35" i="197"/>
  <c r="AC36" i="197"/>
  <c r="AC37" i="197"/>
  <c r="AC38" i="197"/>
  <c r="AC39" i="197"/>
  <c r="AC40" i="197"/>
  <c r="AC41" i="197"/>
  <c r="AC42" i="197"/>
  <c r="AC43" i="197"/>
  <c r="AC44" i="197"/>
  <c r="AC45" i="197"/>
  <c r="AC46" i="197"/>
  <c r="AC47" i="197"/>
  <c r="AC48" i="197"/>
  <c r="AC49" i="197"/>
  <c r="AC50" i="197"/>
  <c r="AC51" i="197"/>
  <c r="AC52" i="197"/>
  <c r="AC53" i="197"/>
  <c r="AC54" i="197"/>
  <c r="AC55" i="197"/>
  <c r="AC56" i="197"/>
  <c r="AC57" i="197"/>
  <c r="AC58" i="197"/>
  <c r="AC59" i="197"/>
  <c r="AC60" i="197"/>
  <c r="K28" i="198"/>
  <c r="K29" i="198"/>
  <c r="K30" i="198"/>
  <c r="K31" i="198"/>
  <c r="K32" i="198"/>
  <c r="K33" i="198"/>
  <c r="K34" i="198"/>
  <c r="K35" i="198"/>
  <c r="K36" i="198"/>
  <c r="K37" i="198"/>
  <c r="K38" i="198"/>
  <c r="K39" i="198"/>
  <c r="K40" i="198"/>
  <c r="K41" i="198"/>
  <c r="K42" i="198"/>
  <c r="K43" i="198"/>
  <c r="K44" i="198"/>
  <c r="K45" i="198"/>
  <c r="K46" i="198"/>
  <c r="K47" i="198"/>
  <c r="K48" i="198"/>
  <c r="K49" i="198"/>
  <c r="K50" i="198"/>
  <c r="K51" i="198"/>
  <c r="K52" i="198"/>
  <c r="K53" i="198"/>
  <c r="K54" i="198"/>
  <c r="K55" i="198"/>
  <c r="K56" i="198"/>
  <c r="K57" i="198"/>
  <c r="K58" i="198"/>
  <c r="K59" i="198"/>
  <c r="K60" i="198"/>
  <c r="K61" i="198"/>
  <c r="K62" i="198"/>
  <c r="K63" i="198"/>
  <c r="K64" i="198"/>
  <c r="K65" i="198"/>
  <c r="K66" i="198"/>
  <c r="K67" i="198"/>
  <c r="K68" i="198"/>
  <c r="K69" i="198"/>
  <c r="K70" i="198"/>
  <c r="K71" i="198"/>
  <c r="K72" i="198"/>
  <c r="K78" i="198"/>
  <c r="K77" i="198"/>
  <c r="I74" i="198"/>
  <c r="H74" i="198"/>
  <c r="O49" i="197"/>
  <c r="N49" i="197"/>
  <c r="F49" i="197"/>
  <c r="T47" i="197"/>
  <c r="S47" i="197"/>
  <c r="R47" i="197"/>
  <c r="L47" i="197"/>
  <c r="K47" i="197"/>
  <c r="I47" i="197"/>
  <c r="H47" i="197"/>
  <c r="J47" i="197" s="1"/>
  <c r="S46" i="197"/>
  <c r="R46" i="197"/>
  <c r="M46" i="197"/>
  <c r="K46" i="197"/>
  <c r="L46" i="197" s="1"/>
  <c r="I46" i="197"/>
  <c r="J46" i="197" s="1"/>
  <c r="H46" i="197"/>
  <c r="T45" i="197"/>
  <c r="S45" i="197"/>
  <c r="R45" i="197"/>
  <c r="L45" i="197"/>
  <c r="K45" i="197"/>
  <c r="I45" i="197"/>
  <c r="H45" i="197"/>
  <c r="J45" i="197" s="1"/>
  <c r="S44" i="197"/>
  <c r="R44" i="197"/>
  <c r="M44" i="197"/>
  <c r="K44" i="197"/>
  <c r="L44" i="197" s="1"/>
  <c r="I44" i="197"/>
  <c r="J44" i="197" s="1"/>
  <c r="H44" i="197"/>
  <c r="T43" i="197"/>
  <c r="S43" i="197"/>
  <c r="R43" i="197"/>
  <c r="L43" i="197"/>
  <c r="K43" i="197"/>
  <c r="I43" i="197"/>
  <c r="H43" i="197"/>
  <c r="J43" i="197" s="1"/>
  <c r="S42" i="197"/>
  <c r="R42" i="197"/>
  <c r="M42" i="197"/>
  <c r="K42" i="197"/>
  <c r="L42" i="197" s="1"/>
  <c r="I42" i="197"/>
  <c r="J42" i="197" s="1"/>
  <c r="H42" i="197"/>
  <c r="T41" i="197"/>
  <c r="S41" i="197"/>
  <c r="R41" i="197"/>
  <c r="L41" i="197"/>
  <c r="K41" i="197"/>
  <c r="I41" i="197"/>
  <c r="H41" i="197"/>
  <c r="J41" i="197" s="1"/>
  <c r="S40" i="197"/>
  <c r="R40" i="197"/>
  <c r="M40" i="197"/>
  <c r="K40" i="197"/>
  <c r="L40" i="197" s="1"/>
  <c r="I40" i="197"/>
  <c r="J40" i="197" s="1"/>
  <c r="H40" i="197"/>
  <c r="T39" i="197"/>
  <c r="S39" i="197"/>
  <c r="R39" i="197"/>
  <c r="L39" i="197"/>
  <c r="K39" i="197"/>
  <c r="I39" i="197"/>
  <c r="H39" i="197"/>
  <c r="J39" i="197" s="1"/>
  <c r="S38" i="197"/>
  <c r="R38" i="197"/>
  <c r="M38" i="197"/>
  <c r="K38" i="197"/>
  <c r="L38" i="197" s="1"/>
  <c r="I38" i="197"/>
  <c r="J38" i="197" s="1"/>
  <c r="H38" i="197"/>
  <c r="T37" i="197"/>
  <c r="S37" i="197"/>
  <c r="R37" i="197"/>
  <c r="L37" i="197"/>
  <c r="K37" i="197"/>
  <c r="I37" i="197"/>
  <c r="H37" i="197"/>
  <c r="J37" i="197" s="1"/>
  <c r="S36" i="197"/>
  <c r="R36" i="197"/>
  <c r="M36" i="197"/>
  <c r="K36" i="197"/>
  <c r="L36" i="197" s="1"/>
  <c r="I36" i="197"/>
  <c r="J36" i="197" s="1"/>
  <c r="H36" i="197"/>
  <c r="T35" i="197"/>
  <c r="S35" i="197"/>
  <c r="R35" i="197"/>
  <c r="L35" i="197"/>
  <c r="K35" i="197"/>
  <c r="I35" i="197"/>
  <c r="H35" i="197"/>
  <c r="J35" i="197" s="1"/>
  <c r="S34" i="197"/>
  <c r="R34" i="197"/>
  <c r="M34" i="197"/>
  <c r="K34" i="197"/>
  <c r="L34" i="197" s="1"/>
  <c r="I34" i="197"/>
  <c r="J34" i="197" s="1"/>
  <c r="H34" i="197"/>
  <c r="T33" i="197"/>
  <c r="S33" i="197"/>
  <c r="R33" i="197"/>
  <c r="L33" i="197"/>
  <c r="K33" i="197"/>
  <c r="I33" i="197"/>
  <c r="H33" i="197"/>
  <c r="J33" i="197" s="1"/>
  <c r="S32" i="197"/>
  <c r="R32" i="197"/>
  <c r="M32" i="197"/>
  <c r="K32" i="197"/>
  <c r="L32" i="197" s="1"/>
  <c r="I32" i="197"/>
  <c r="J32" i="197" s="1"/>
  <c r="H32" i="197"/>
  <c r="T31" i="197"/>
  <c r="S31" i="197"/>
  <c r="R31" i="197"/>
  <c r="L31" i="197"/>
  <c r="K31" i="197"/>
  <c r="I31" i="197"/>
  <c r="H31" i="197"/>
  <c r="J31" i="197" s="1"/>
  <c r="S30" i="197"/>
  <c r="R30" i="197"/>
  <c r="M30" i="197"/>
  <c r="K30" i="197"/>
  <c r="L30" i="197" s="1"/>
  <c r="I30" i="197"/>
  <c r="J30" i="197" s="1"/>
  <c r="H30" i="197"/>
  <c r="T29" i="197"/>
  <c r="S29" i="197"/>
  <c r="R29" i="197"/>
  <c r="L29" i="197"/>
  <c r="K29" i="197"/>
  <c r="I29" i="197"/>
  <c r="H29" i="197"/>
  <c r="J29" i="197" s="1"/>
  <c r="S28" i="197"/>
  <c r="R28" i="197"/>
  <c r="M28" i="197"/>
  <c r="K28" i="197"/>
  <c r="L28" i="197" s="1"/>
  <c r="I28" i="197"/>
  <c r="J28" i="197" s="1"/>
  <c r="H28" i="197"/>
  <c r="T27" i="197"/>
  <c r="S27" i="197"/>
  <c r="R27" i="197"/>
  <c r="L27" i="197"/>
  <c r="K27" i="197"/>
  <c r="I27" i="197"/>
  <c r="H27" i="197"/>
  <c r="J27" i="197" s="1"/>
  <c r="S26" i="197"/>
  <c r="R26" i="197"/>
  <c r="M26" i="197"/>
  <c r="K26" i="197"/>
  <c r="L26" i="197" s="1"/>
  <c r="I26" i="197"/>
  <c r="J26" i="197" s="1"/>
  <c r="H26" i="197"/>
  <c r="T25" i="197"/>
  <c r="S25" i="197"/>
  <c r="R25" i="197"/>
  <c r="L25" i="197"/>
  <c r="K25" i="197"/>
  <c r="I25" i="197"/>
  <c r="H25" i="197"/>
  <c r="J25" i="197" s="1"/>
  <c r="S24" i="197"/>
  <c r="R24" i="197"/>
  <c r="M24" i="197"/>
  <c r="K24" i="197"/>
  <c r="L24" i="197" s="1"/>
  <c r="I24" i="197"/>
  <c r="J24" i="197" s="1"/>
  <c r="H24" i="197"/>
  <c r="T23" i="197"/>
  <c r="S23" i="197"/>
  <c r="R23" i="197"/>
  <c r="L23" i="197"/>
  <c r="K23" i="197"/>
  <c r="I23" i="197"/>
  <c r="H23" i="197"/>
  <c r="J23" i="197" s="1"/>
  <c r="S22" i="197"/>
  <c r="R22" i="197"/>
  <c r="M22" i="197"/>
  <c r="K22" i="197"/>
  <c r="L22" i="197" s="1"/>
  <c r="I22" i="197"/>
  <c r="J22" i="197" s="1"/>
  <c r="H22" i="197"/>
  <c r="T21" i="197"/>
  <c r="S21" i="197"/>
  <c r="R21" i="197"/>
  <c r="L21" i="197"/>
  <c r="K21" i="197"/>
  <c r="I21" i="197"/>
  <c r="H21" i="197"/>
  <c r="J21" i="197" s="1"/>
  <c r="S20" i="197"/>
  <c r="R20" i="197"/>
  <c r="M20" i="197"/>
  <c r="K20" i="197"/>
  <c r="L20" i="197" s="1"/>
  <c r="I20" i="197"/>
  <c r="J20" i="197" s="1"/>
  <c r="H20" i="197"/>
  <c r="T19" i="197"/>
  <c r="S19" i="197"/>
  <c r="R19" i="197"/>
  <c r="L19" i="197"/>
  <c r="K19" i="197"/>
  <c r="I19" i="197"/>
  <c r="H19" i="197"/>
  <c r="J19" i="197" s="1"/>
  <c r="S18" i="197"/>
  <c r="R18" i="197"/>
  <c r="M18" i="197"/>
  <c r="K18" i="197"/>
  <c r="L18" i="197" s="1"/>
  <c r="I18" i="197"/>
  <c r="J18" i="197" s="1"/>
  <c r="H18" i="197"/>
  <c r="T17" i="197"/>
  <c r="S17" i="197"/>
  <c r="R17" i="197"/>
  <c r="L17" i="197"/>
  <c r="K17" i="197"/>
  <c r="I17" i="197"/>
  <c r="H17" i="197"/>
  <c r="J17" i="197" s="1"/>
  <c r="S16" i="197"/>
  <c r="R16" i="197"/>
  <c r="M16" i="197"/>
  <c r="K16" i="197"/>
  <c r="L16" i="197" s="1"/>
  <c r="I16" i="197"/>
  <c r="J16" i="197" s="1"/>
  <c r="H16" i="197"/>
  <c r="T15" i="197"/>
  <c r="S15" i="197"/>
  <c r="R15" i="197"/>
  <c r="L15" i="197"/>
  <c r="K15" i="197"/>
  <c r="I15" i="197"/>
  <c r="H15" i="197"/>
  <c r="J15" i="197" s="1"/>
  <c r="S14" i="197"/>
  <c r="R14" i="197"/>
  <c r="M14" i="197"/>
  <c r="K14" i="197"/>
  <c r="L14" i="197" s="1"/>
  <c r="I14" i="197"/>
  <c r="J14" i="197" s="1"/>
  <c r="H14" i="197"/>
  <c r="T13" i="197"/>
  <c r="S13" i="197"/>
  <c r="R13" i="197"/>
  <c r="L13" i="197"/>
  <c r="K13" i="197"/>
  <c r="I13" i="197"/>
  <c r="H13" i="197"/>
  <c r="J13" i="197" s="1"/>
  <c r="S12" i="197"/>
  <c r="R12" i="197"/>
  <c r="M12" i="197"/>
  <c r="K12" i="197"/>
  <c r="L12" i="197" s="1"/>
  <c r="I12" i="197"/>
  <c r="J12" i="197" s="1"/>
  <c r="H12" i="197"/>
  <c r="T11" i="197"/>
  <c r="S11" i="197"/>
  <c r="R11" i="197"/>
  <c r="L11" i="197"/>
  <c r="K11" i="197"/>
  <c r="I11" i="197"/>
  <c r="H11" i="197"/>
  <c r="J11" i="197" s="1"/>
  <c r="S10" i="197"/>
  <c r="R10" i="197"/>
  <c r="M10" i="197"/>
  <c r="K10" i="197"/>
  <c r="L10" i="197" s="1"/>
  <c r="I10" i="197"/>
  <c r="J10" i="197" s="1"/>
  <c r="H10" i="197"/>
  <c r="T9" i="197"/>
  <c r="S9" i="197"/>
  <c r="R9" i="197"/>
  <c r="L9" i="197"/>
  <c r="K9" i="197"/>
  <c r="I9" i="197"/>
  <c r="H9" i="197"/>
  <c r="J9" i="197" s="1"/>
  <c r="S8" i="197"/>
  <c r="R8" i="197"/>
  <c r="M8" i="197"/>
  <c r="K8" i="197"/>
  <c r="L8" i="197" s="1"/>
  <c r="I8" i="197"/>
  <c r="J8" i="197" s="1"/>
  <c r="H8" i="197"/>
  <c r="S7" i="197"/>
  <c r="R7" i="197"/>
  <c r="K7" i="197"/>
  <c r="L7" i="197" s="1"/>
  <c r="M7" i="197" s="1"/>
  <c r="I7" i="197"/>
  <c r="J7" i="197" s="1"/>
  <c r="H7" i="197"/>
  <c r="S6" i="197"/>
  <c r="R6" i="197"/>
  <c r="L6" i="197"/>
  <c r="M6" i="197" s="1"/>
  <c r="K6" i="197"/>
  <c r="I6" i="197"/>
  <c r="H6" i="197"/>
  <c r="J6" i="197" s="1"/>
  <c r="S5" i="197"/>
  <c r="R5" i="197"/>
  <c r="K5" i="197"/>
  <c r="L5" i="197" s="1"/>
  <c r="M5" i="197" s="1"/>
  <c r="I5" i="197"/>
  <c r="J5" i="197" s="1"/>
  <c r="H5" i="197"/>
  <c r="T5" i="197" s="1"/>
  <c r="S4" i="197"/>
  <c r="R4" i="197"/>
  <c r="L4" i="197"/>
  <c r="M4" i="197" s="1"/>
  <c r="K4" i="197"/>
  <c r="I4" i="197"/>
  <c r="H4" i="197"/>
  <c r="J4" i="197" s="1"/>
  <c r="S3" i="197"/>
  <c r="S49" i="197" s="1"/>
  <c r="R3" i="197"/>
  <c r="K3" i="197"/>
  <c r="K49" i="197" s="1"/>
  <c r="I3" i="197"/>
  <c r="J3" i="197" s="1"/>
  <c r="J49" i="197" s="1"/>
  <c r="H3" i="197"/>
  <c r="T3" i="197" s="1"/>
  <c r="K74" i="198" l="1"/>
  <c r="K80" i="198" s="1"/>
  <c r="T4" i="197"/>
  <c r="T49" i="197" s="1"/>
  <c r="T6" i="197"/>
  <c r="T7" i="197"/>
  <c r="I49" i="197"/>
  <c r="L3" i="197"/>
  <c r="R49" i="197"/>
  <c r="T8" i="197"/>
  <c r="M9" i="197"/>
  <c r="T10" i="197"/>
  <c r="M11" i="197"/>
  <c r="T12" i="197"/>
  <c r="M13" i="197"/>
  <c r="T14" i="197"/>
  <c r="M15" i="197"/>
  <c r="T16" i="197"/>
  <c r="M17" i="197"/>
  <c r="T18" i="197"/>
  <c r="M19" i="197"/>
  <c r="T20" i="197"/>
  <c r="M21" i="197"/>
  <c r="T22" i="197"/>
  <c r="M23" i="197"/>
  <c r="T24" i="197"/>
  <c r="M25" i="197"/>
  <c r="T26" i="197"/>
  <c r="M27" i="197"/>
  <c r="T28" i="197"/>
  <c r="M29" i="197"/>
  <c r="T30" i="197"/>
  <c r="M31" i="197"/>
  <c r="T32" i="197"/>
  <c r="M33" i="197"/>
  <c r="T34" i="197"/>
  <c r="M35" i="197"/>
  <c r="T36" i="197"/>
  <c r="M37" i="197"/>
  <c r="T38" i="197"/>
  <c r="M39" i="197"/>
  <c r="T40" i="197"/>
  <c r="M41" i="197"/>
  <c r="T42" i="197"/>
  <c r="M43" i="197"/>
  <c r="T44" i="197"/>
  <c r="M45" i="197"/>
  <c r="T46" i="197"/>
  <c r="M47" i="197"/>
  <c r="L49" i="197" l="1"/>
  <c r="M3" i="197"/>
  <c r="M49" i="197" s="1"/>
  <c r="J63" i="195" l="1"/>
  <c r="K63" i="195"/>
  <c r="L63" i="195"/>
  <c r="M63" i="195"/>
  <c r="N63" i="195"/>
  <c r="L3" i="195"/>
  <c r="L4" i="195"/>
  <c r="L5" i="195"/>
  <c r="L6" i="195"/>
  <c r="L7" i="195"/>
  <c r="L8" i="195"/>
  <c r="L9" i="195"/>
  <c r="L10" i="195"/>
  <c r="L11" i="195"/>
  <c r="L12" i="195"/>
  <c r="L13" i="195"/>
  <c r="L14" i="195"/>
  <c r="L15" i="195"/>
  <c r="L16" i="195"/>
  <c r="L17" i="195"/>
  <c r="L18" i="195"/>
  <c r="L19" i="195"/>
  <c r="L20" i="195"/>
  <c r="L21" i="195"/>
  <c r="L22" i="195"/>
  <c r="L23" i="195"/>
  <c r="L24" i="195"/>
  <c r="L25" i="195"/>
  <c r="L26" i="195"/>
  <c r="L27" i="195"/>
  <c r="L28" i="195"/>
  <c r="L29" i="195"/>
  <c r="L30" i="195"/>
  <c r="L31" i="195"/>
  <c r="L32" i="195"/>
  <c r="L33" i="195"/>
  <c r="L34" i="195"/>
  <c r="L35" i="195"/>
  <c r="L36" i="195"/>
  <c r="L37" i="195"/>
  <c r="L38" i="195"/>
  <c r="L39" i="195"/>
  <c r="L40" i="195"/>
  <c r="L41" i="195"/>
  <c r="L42" i="195"/>
  <c r="L43" i="195"/>
  <c r="L44" i="195"/>
  <c r="L45" i="195"/>
  <c r="L46" i="195"/>
  <c r="L47" i="195"/>
  <c r="L48" i="195"/>
  <c r="L49" i="195"/>
  <c r="L50" i="195"/>
  <c r="L51" i="195"/>
  <c r="L52" i="195"/>
  <c r="L53" i="195"/>
  <c r="L54" i="195"/>
  <c r="L55" i="195"/>
  <c r="L56" i="195"/>
  <c r="L57" i="195"/>
  <c r="L58" i="195"/>
  <c r="L59" i="195"/>
  <c r="L60" i="195"/>
  <c r="L61" i="195"/>
  <c r="L62" i="195"/>
  <c r="V3" i="195"/>
  <c r="V4" i="195"/>
  <c r="V5" i="195"/>
  <c r="V6" i="195"/>
  <c r="V7" i="195"/>
  <c r="V8" i="195"/>
  <c r="V9" i="195"/>
  <c r="V10" i="195"/>
  <c r="V11" i="195"/>
  <c r="V12" i="195"/>
  <c r="V13" i="195"/>
  <c r="V14" i="195"/>
  <c r="V15" i="195"/>
  <c r="V16" i="195"/>
  <c r="V17" i="195"/>
  <c r="V18" i="195"/>
  <c r="V19" i="195"/>
  <c r="V20" i="195"/>
  <c r="V21" i="195"/>
  <c r="V22" i="195"/>
  <c r="V23" i="195"/>
  <c r="V24" i="195"/>
  <c r="V25" i="195"/>
  <c r="V26" i="195"/>
  <c r="V27" i="195"/>
  <c r="V28" i="195"/>
  <c r="V29" i="195"/>
  <c r="V30" i="195"/>
  <c r="V31" i="195"/>
  <c r="V32" i="195"/>
  <c r="V33" i="195"/>
  <c r="V34" i="195"/>
  <c r="V35" i="195"/>
  <c r="V36" i="195"/>
  <c r="V37" i="195"/>
  <c r="V38" i="195"/>
  <c r="V39" i="195"/>
  <c r="V40" i="195"/>
  <c r="V41" i="195"/>
  <c r="V42" i="195"/>
  <c r="V43" i="195"/>
  <c r="V44" i="195"/>
  <c r="V45" i="195"/>
  <c r="V46" i="195"/>
  <c r="V47" i="195"/>
  <c r="V48" i="195"/>
  <c r="V49" i="195"/>
  <c r="V50" i="195"/>
  <c r="V51" i="195"/>
  <c r="V52" i="195"/>
  <c r="V53" i="195"/>
  <c r="V54" i="195"/>
  <c r="V55" i="195"/>
  <c r="V56" i="195"/>
  <c r="V57" i="195"/>
  <c r="V58" i="195"/>
  <c r="V59" i="195"/>
  <c r="V60" i="195"/>
  <c r="V61" i="195"/>
  <c r="V62" i="195"/>
  <c r="P3" i="195"/>
  <c r="P4" i="195"/>
  <c r="P5" i="195"/>
  <c r="P6" i="195"/>
  <c r="P7" i="195"/>
  <c r="P8" i="195"/>
  <c r="P9" i="195"/>
  <c r="P10" i="195"/>
  <c r="P11" i="195"/>
  <c r="P12" i="195"/>
  <c r="P13" i="195"/>
  <c r="P14" i="195"/>
  <c r="P15" i="195"/>
  <c r="P16" i="195"/>
  <c r="P17" i="195"/>
  <c r="P18" i="195"/>
  <c r="P19" i="195"/>
  <c r="P20" i="195"/>
  <c r="P21" i="195"/>
  <c r="P22" i="195"/>
  <c r="P23" i="195"/>
  <c r="P24" i="195"/>
  <c r="P25" i="195"/>
  <c r="P26" i="195"/>
  <c r="P27" i="195"/>
  <c r="P28" i="195"/>
  <c r="P29" i="195"/>
  <c r="P30" i="195"/>
  <c r="P31" i="195"/>
  <c r="P32" i="195"/>
  <c r="P33" i="195"/>
  <c r="P34" i="195"/>
  <c r="P35" i="195"/>
  <c r="P36" i="195"/>
  <c r="P37" i="195"/>
  <c r="P38" i="195"/>
  <c r="P39" i="195"/>
  <c r="P40" i="195"/>
  <c r="P41" i="195"/>
  <c r="P42" i="195"/>
  <c r="P43" i="195"/>
  <c r="P44" i="195"/>
  <c r="P45" i="195"/>
  <c r="P46" i="195"/>
  <c r="P47" i="195"/>
  <c r="P48" i="195"/>
  <c r="P49" i="195"/>
  <c r="P50" i="195"/>
  <c r="P51" i="195"/>
  <c r="P52" i="195"/>
  <c r="P53" i="195"/>
  <c r="P54" i="195"/>
  <c r="P55" i="195"/>
  <c r="P56" i="195"/>
  <c r="P57" i="195"/>
  <c r="P58" i="195"/>
  <c r="P59" i="195"/>
  <c r="P60" i="195"/>
  <c r="P61" i="195"/>
  <c r="P62" i="195"/>
  <c r="O3" i="195"/>
  <c r="O4" i="195"/>
  <c r="O5" i="195"/>
  <c r="O6" i="195"/>
  <c r="O7" i="195"/>
  <c r="O8" i="195"/>
  <c r="O9" i="195"/>
  <c r="O10" i="195"/>
  <c r="O11" i="195"/>
  <c r="O12" i="195"/>
  <c r="O13" i="195"/>
  <c r="O14" i="195"/>
  <c r="O15" i="195"/>
  <c r="O16" i="195"/>
  <c r="O17" i="195"/>
  <c r="O18" i="195"/>
  <c r="O19" i="195"/>
  <c r="O20" i="195"/>
  <c r="O21" i="195"/>
  <c r="O22" i="195"/>
  <c r="O23" i="195"/>
  <c r="O24" i="195"/>
  <c r="O25" i="195"/>
  <c r="O26" i="195"/>
  <c r="O27" i="195"/>
  <c r="O28" i="195"/>
  <c r="O29" i="195"/>
  <c r="O30" i="195"/>
  <c r="O31" i="195"/>
  <c r="O32" i="195"/>
  <c r="O33" i="195"/>
  <c r="O34" i="195"/>
  <c r="O35" i="195"/>
  <c r="O36" i="195"/>
  <c r="O37" i="195"/>
  <c r="O38" i="195"/>
  <c r="O39" i="195"/>
  <c r="O40" i="195"/>
  <c r="O41" i="195"/>
  <c r="O42" i="195"/>
  <c r="O43" i="195"/>
  <c r="O44" i="195"/>
  <c r="O45" i="195"/>
  <c r="O46" i="195"/>
  <c r="O47" i="195"/>
  <c r="O48" i="195"/>
  <c r="O49" i="195"/>
  <c r="O50" i="195"/>
  <c r="O51" i="195"/>
  <c r="O52" i="195"/>
  <c r="O53" i="195"/>
  <c r="O54" i="195"/>
  <c r="O55" i="195"/>
  <c r="O56" i="195"/>
  <c r="O57" i="195"/>
  <c r="O58" i="195"/>
  <c r="O59" i="195"/>
  <c r="O60" i="195"/>
  <c r="O61" i="195"/>
  <c r="O62" i="195"/>
  <c r="I3" i="195"/>
  <c r="I4" i="195"/>
  <c r="I5" i="195"/>
  <c r="I6" i="195"/>
  <c r="I7" i="195"/>
  <c r="I8" i="195"/>
  <c r="I9" i="195"/>
  <c r="I10" i="195"/>
  <c r="I11" i="195"/>
  <c r="I12" i="195"/>
  <c r="I13" i="195"/>
  <c r="I14" i="195"/>
  <c r="I15" i="195"/>
  <c r="I16" i="195"/>
  <c r="I17" i="195"/>
  <c r="I18" i="195"/>
  <c r="I19" i="195"/>
  <c r="I20" i="195"/>
  <c r="I21" i="195"/>
  <c r="I22" i="195"/>
  <c r="I23" i="195"/>
  <c r="I24" i="195"/>
  <c r="I25" i="195"/>
  <c r="I26" i="195"/>
  <c r="I27" i="195"/>
  <c r="I28" i="195"/>
  <c r="I29" i="195"/>
  <c r="I30" i="195"/>
  <c r="I31" i="195"/>
  <c r="I32" i="195"/>
  <c r="I33" i="195"/>
  <c r="I34" i="195"/>
  <c r="I35" i="195"/>
  <c r="I36" i="195"/>
  <c r="I37" i="195"/>
  <c r="I38" i="195"/>
  <c r="I39" i="195"/>
  <c r="I40" i="195"/>
  <c r="I41" i="195"/>
  <c r="I42" i="195"/>
  <c r="I43" i="195"/>
  <c r="I44" i="195"/>
  <c r="I45" i="195"/>
  <c r="I46" i="195"/>
  <c r="I47" i="195"/>
  <c r="I48" i="195"/>
  <c r="I49" i="195"/>
  <c r="I50" i="195"/>
  <c r="I51" i="195"/>
  <c r="I52" i="195"/>
  <c r="I53" i="195"/>
  <c r="I54" i="195"/>
  <c r="I55" i="195"/>
  <c r="I56" i="195"/>
  <c r="I57" i="195"/>
  <c r="I58" i="195"/>
  <c r="I59" i="195"/>
  <c r="I60" i="195"/>
  <c r="I61" i="195"/>
  <c r="I62" i="195"/>
  <c r="K3" i="195"/>
  <c r="K4" i="195"/>
  <c r="K5" i="195"/>
  <c r="K6" i="195"/>
  <c r="K7" i="195"/>
  <c r="K8" i="195"/>
  <c r="K9" i="195"/>
  <c r="K10" i="195"/>
  <c r="K11" i="195"/>
  <c r="K12" i="195"/>
  <c r="K13" i="195"/>
  <c r="K14" i="195"/>
  <c r="K15" i="195"/>
  <c r="K16" i="195"/>
  <c r="K17" i="195"/>
  <c r="K18" i="195"/>
  <c r="K19" i="195"/>
  <c r="K20" i="195"/>
  <c r="K21" i="195"/>
  <c r="K22" i="195"/>
  <c r="K23" i="195"/>
  <c r="K24" i="195"/>
  <c r="K25" i="195"/>
  <c r="K26" i="195"/>
  <c r="K27" i="195"/>
  <c r="K28" i="195"/>
  <c r="K29" i="195"/>
  <c r="K30" i="195"/>
  <c r="K31" i="195"/>
  <c r="K32" i="195"/>
  <c r="K33" i="195"/>
  <c r="K34" i="195"/>
  <c r="K35" i="195"/>
  <c r="K36" i="195"/>
  <c r="K37" i="195"/>
  <c r="K38" i="195"/>
  <c r="K39" i="195"/>
  <c r="K40" i="195"/>
  <c r="K41" i="195"/>
  <c r="K42" i="195"/>
  <c r="K43" i="195"/>
  <c r="K44" i="195"/>
  <c r="K45" i="195"/>
  <c r="K46" i="195"/>
  <c r="K47" i="195"/>
  <c r="K48" i="195"/>
  <c r="K49" i="195"/>
  <c r="K50" i="195"/>
  <c r="K51" i="195"/>
  <c r="K52" i="195"/>
  <c r="K53" i="195"/>
  <c r="K54" i="195"/>
  <c r="K55" i="195"/>
  <c r="K56" i="195"/>
  <c r="K57" i="195"/>
  <c r="K58" i="195"/>
  <c r="K59" i="195"/>
  <c r="K60" i="195"/>
  <c r="K61" i="195"/>
  <c r="K62" i="195"/>
  <c r="H3" i="195"/>
  <c r="H4" i="195"/>
  <c r="H5" i="195"/>
  <c r="H6" i="195"/>
  <c r="H7" i="195"/>
  <c r="H8" i="195"/>
  <c r="H9" i="195"/>
  <c r="H10" i="195"/>
  <c r="H11" i="195"/>
  <c r="H12" i="195"/>
  <c r="H13" i="195"/>
  <c r="H14" i="195"/>
  <c r="H15" i="195"/>
  <c r="H16" i="195"/>
  <c r="H17" i="195"/>
  <c r="H18" i="195"/>
  <c r="H19" i="195"/>
  <c r="H20" i="195"/>
  <c r="H21" i="195"/>
  <c r="H22" i="195"/>
  <c r="H23" i="195"/>
  <c r="H24" i="195"/>
  <c r="H25" i="195"/>
  <c r="H26" i="195"/>
  <c r="H27" i="195"/>
  <c r="H28" i="195"/>
  <c r="H29" i="195"/>
  <c r="H30" i="195"/>
  <c r="H31" i="195"/>
  <c r="H32" i="195"/>
  <c r="H33" i="195"/>
  <c r="H34" i="195"/>
  <c r="H35" i="195"/>
  <c r="H36" i="195"/>
  <c r="H37" i="195"/>
  <c r="H38" i="195"/>
  <c r="H39" i="195"/>
  <c r="H40" i="195"/>
  <c r="H41" i="195"/>
  <c r="H42" i="195"/>
  <c r="H43" i="195"/>
  <c r="H44" i="195"/>
  <c r="H45" i="195"/>
  <c r="H46" i="195"/>
  <c r="H47" i="195"/>
  <c r="H48" i="195"/>
  <c r="H49" i="195"/>
  <c r="H50" i="195"/>
  <c r="H51" i="195"/>
  <c r="H52" i="195"/>
  <c r="H53" i="195"/>
  <c r="H54" i="195"/>
  <c r="H55" i="195"/>
  <c r="H56" i="195"/>
  <c r="H57" i="195"/>
  <c r="H58" i="195"/>
  <c r="H59" i="195"/>
  <c r="H60" i="195"/>
  <c r="H61" i="195"/>
  <c r="H62" i="195"/>
  <c r="K506" i="146" l="1"/>
  <c r="K505" i="146"/>
  <c r="K508" i="146" s="1"/>
  <c r="K502" i="146"/>
  <c r="I502" i="146"/>
  <c r="H502" i="146"/>
</calcChain>
</file>

<file path=xl/comments1.xml><?xml version="1.0" encoding="utf-8"?>
<comments xmlns="http://schemas.openxmlformats.org/spreadsheetml/2006/main">
  <authors>
    <author>user</author>
  </authors>
  <commentList>
    <comment ref="D6" authorId="0" shapeId="0">
      <text>
        <r>
          <rPr>
            <b/>
            <sz val="12"/>
            <color indexed="37"/>
            <rFont val="Century Gothic"/>
            <family val="2"/>
          </rPr>
          <t>Note:</t>
        </r>
        <r>
          <rPr>
            <b/>
            <sz val="10"/>
            <color indexed="37"/>
            <rFont val="Century Gothic"/>
            <family val="2"/>
          </rPr>
          <t xml:space="preserve">
</t>
        </r>
        <r>
          <rPr>
            <b/>
            <sz val="10"/>
            <color indexed="81"/>
            <rFont val="Century Gothic"/>
            <family val="2"/>
          </rPr>
          <t xml:space="preserve">
Pilih File yang akan di proses melalui
PACKING LIST dan INVOICE!</t>
        </r>
      </text>
    </comment>
    <comment ref="E7" authorId="0" shapeId="0">
      <text>
        <r>
          <rPr>
            <b/>
            <sz val="11"/>
            <color indexed="10"/>
            <rFont val="Trebuchet MS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Century Gothic"/>
            <family val="2"/>
          </rPr>
          <t>Tombol untuk memilih file Invoice</t>
        </r>
      </text>
    </comment>
    <comment ref="E8" authorId="0" shapeId="0">
      <text>
        <r>
          <rPr>
            <b/>
            <sz val="11"/>
            <color indexed="10"/>
            <rFont val="Trebuchet MS"/>
            <family val="2"/>
          </rPr>
          <t>Note: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Century Gothic"/>
            <family val="2"/>
          </rPr>
          <t>Tombol untuk memilih file FINAL SI</t>
        </r>
      </text>
    </comment>
    <comment ref="E9" authorId="0" shapeId="0">
      <text>
        <r>
          <rPr>
            <b/>
            <sz val="11"/>
            <color indexed="10"/>
            <rFont val="Trebuchet MS"/>
            <family val="2"/>
          </rPr>
          <t>Note: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Century Gothic"/>
            <family val="2"/>
          </rPr>
          <t>Tombol untuk memilih file LOADINGAN</t>
        </r>
      </text>
    </comment>
  </commentList>
</comments>
</file>

<file path=xl/sharedStrings.xml><?xml version="1.0" encoding="utf-8"?>
<sst xmlns="http://schemas.openxmlformats.org/spreadsheetml/2006/main" count="1536" uniqueCount="221">
  <si>
    <t>DIVISION</t>
  </si>
  <si>
    <t>CARTON RANGE</t>
  </si>
  <si>
    <t>ITEM #</t>
  </si>
  <si>
    <t>PO #</t>
  </si>
  <si>
    <t>DESCRIPTIONS</t>
  </si>
  <si>
    <t>COLOR</t>
  </si>
  <si>
    <t>SIZE</t>
  </si>
  <si>
    <t>#PACK/ CTN</t>
  </si>
  <si>
    <t>TTL BOOKED (PACK)</t>
  </si>
  <si>
    <t>TTL BOOKED (CTNS)</t>
  </si>
  <si>
    <t>TTL VOL (CBM)</t>
  </si>
  <si>
    <t>TTL  NETT WT (KGS)</t>
  </si>
  <si>
    <t>TTL GROSS WT (KGS)</t>
  </si>
  <si>
    <t>GROSS WT / CTN (KGS)</t>
  </si>
  <si>
    <t>NET WT / CTN (KGS)</t>
  </si>
  <si>
    <t>CTN DIMS (CM)</t>
  </si>
  <si>
    <t>CBM / CTN</t>
  </si>
  <si>
    <t>CONTAINER</t>
  </si>
  <si>
    <t>SEAL</t>
  </si>
  <si>
    <t xml:space="preserve">FABRIC CONTENT </t>
  </si>
  <si>
    <t>START CTN #</t>
  </si>
  <si>
    <t>END CTN #</t>
  </si>
  <si>
    <t>L</t>
  </si>
  <si>
    <t>x</t>
  </si>
  <si>
    <t>W</t>
  </si>
  <si>
    <t>H</t>
  </si>
  <si>
    <t>1X40'HC + 1 X 45'</t>
  </si>
  <si>
    <t>1X20'</t>
  </si>
  <si>
    <t>5158592A</t>
  </si>
  <si>
    <t>5158592B</t>
  </si>
  <si>
    <t>5158592C</t>
  </si>
  <si>
    <t>5158592D</t>
  </si>
  <si>
    <t>5158594A</t>
  </si>
  <si>
    <t>5158594B</t>
  </si>
  <si>
    <t>5158594C</t>
  </si>
  <si>
    <t>5158594D</t>
  </si>
  <si>
    <t>5158594E</t>
  </si>
  <si>
    <t>MEN'S MICROFIBER 3-PACK BOXER BRIEF 91% POLYESTER 9% SPANDEX</t>
  </si>
  <si>
    <t>MEN'S MICROFIBER 3-PACK TRUNK 91% POLYESTER 9% SPANDEX</t>
  </si>
  <si>
    <t xml:space="preserve">BLACK | BLACK | BLACK               </t>
  </si>
  <si>
    <t xml:space="preserve">BLACK | ONIX | GREY               </t>
  </si>
  <si>
    <t>PATH FILE</t>
  </si>
  <si>
    <t>░</t>
  </si>
  <si>
    <t>▼Source</t>
  </si>
  <si>
    <t>JENIS FILE</t>
  </si>
  <si>
    <t>INVOICE</t>
  </si>
  <si>
    <t>FINAL SI</t>
  </si>
  <si>
    <t>LOADINGAN</t>
  </si>
  <si>
    <t>PILIH FILE</t>
  </si>
  <si>
    <t>—</t>
  </si>
  <si>
    <t>BRIEF</t>
  </si>
  <si>
    <t>DATA TIDAK DITEMUKAN</t>
  </si>
  <si>
    <t>Total</t>
  </si>
  <si>
    <t>INDONESIA</t>
  </si>
  <si>
    <t>QTY</t>
  </si>
  <si>
    <t>FOB</t>
  </si>
  <si>
    <t>`</t>
  </si>
  <si>
    <t>Commercial Invoice</t>
  </si>
  <si>
    <r>
      <t xml:space="preserve">1 </t>
    </r>
    <r>
      <rPr>
        <b/>
        <sz val="6"/>
        <rFont val="Tahoma"/>
        <family val="2"/>
      </rPr>
      <t xml:space="preserve">Seller:
</t>
    </r>
    <r>
      <rPr>
        <sz val="8"/>
        <rFont val="Tahoma"/>
        <family val="2"/>
      </rPr>
      <t xml:space="preserve">PT. GISTEX GARMEN INDONESIA  </t>
    </r>
  </si>
  <si>
    <r>
      <t xml:space="preserve">7 </t>
    </r>
    <r>
      <rPr>
        <b/>
        <sz val="6"/>
        <rFont val="Tahoma"/>
        <family val="2"/>
      </rPr>
      <t>No. &amp; Date of Invoice</t>
    </r>
  </si>
  <si>
    <r>
      <t xml:space="preserve">8 </t>
    </r>
    <r>
      <rPr>
        <b/>
        <sz val="6"/>
        <rFont val="Tahoma"/>
        <family val="2"/>
      </rPr>
      <t>No. &amp; Date of LC</t>
    </r>
  </si>
  <si>
    <t>PT GISTEX GARMEN INDONESIA</t>
  </si>
  <si>
    <t>0349EXPGGIII2023</t>
  </si>
  <si>
    <t>JLN. PANYAWUNGAN KM 19</t>
  </si>
  <si>
    <t>CILEUNYI BANDUNG 40622</t>
  </si>
  <si>
    <r>
      <t xml:space="preserve">9 </t>
    </r>
    <r>
      <rPr>
        <b/>
        <sz val="6"/>
        <rFont val="Tahoma"/>
        <family val="2"/>
      </rPr>
      <t>Terms of Sales</t>
    </r>
  </si>
  <si>
    <r>
      <t xml:space="preserve">10 </t>
    </r>
    <r>
      <rPr>
        <b/>
        <sz val="6"/>
        <rFont val="Tahoma"/>
        <family val="2"/>
      </rPr>
      <t>Transport Terms</t>
    </r>
  </si>
  <si>
    <t>WEST JAVA,  INDONESIA</t>
  </si>
  <si>
    <t xml:space="preserve">OCEAN </t>
  </si>
  <si>
    <r>
      <t xml:space="preserve">2 </t>
    </r>
    <r>
      <rPr>
        <b/>
        <sz val="6"/>
        <rFont val="Tahoma"/>
        <family val="2"/>
      </rPr>
      <t xml:space="preserve">For Account and Risk Of:
</t>
    </r>
    <r>
      <rPr>
        <sz val="8"/>
        <rFont val="Tahoma"/>
        <family val="2"/>
      </rPr>
      <t xml:space="preserve">AGRON INC
2440 S. SEPULVEDA BLVD SUITE 201
LOS ANGELES, CA 90064
</t>
    </r>
  </si>
  <si>
    <r>
      <t xml:space="preserve">11 </t>
    </r>
    <r>
      <rPr>
        <b/>
        <sz val="6"/>
        <rFont val="Tahoma"/>
        <family val="2"/>
      </rPr>
      <t xml:space="preserve">Shipper/Exporter: PT GISTEX GARMEN INDONESIA
JLN. PANYAWUNGAN KM 19
CILEUNYI BANDUNG 40622
WEST JAVA,  INDONESIA
</t>
    </r>
  </si>
  <si>
    <r>
      <t xml:space="preserve">3 </t>
    </r>
    <r>
      <rPr>
        <b/>
        <sz val="6"/>
        <rFont val="Tahoma"/>
        <family val="2"/>
      </rPr>
      <t xml:space="preserve">Manufacturer MID Number:
</t>
    </r>
    <r>
      <rPr>
        <sz val="8"/>
        <rFont val="Tahoma"/>
        <family val="2"/>
      </rPr>
      <t>PT GISTEX GARMEN INDONESIA
BLOK PAJAGAN RT. 001 RW. 001
DESA SINARJATI, DAWUAN MAJALENGKA,45453</t>
    </r>
  </si>
  <si>
    <t>Country of Origin</t>
  </si>
  <si>
    <t>Country of Destination</t>
  </si>
  <si>
    <t>UNITED OF STATES</t>
  </si>
  <si>
    <t xml:space="preserve">Visa #
</t>
  </si>
  <si>
    <r>
      <t xml:space="preserve">4 </t>
    </r>
    <r>
      <rPr>
        <b/>
        <sz val="6"/>
        <rFont val="Tahoma"/>
        <family val="2"/>
      </rPr>
      <t xml:space="preserve">Consignee:
AGRON INC, JAM 6
2101 E VIA ARADO 
COMPTON, CA 90220
</t>
    </r>
  </si>
  <si>
    <r>
      <t xml:space="preserve">12 </t>
    </r>
    <r>
      <rPr>
        <b/>
        <sz val="6"/>
        <rFont val="Tahoma"/>
        <family val="2"/>
      </rPr>
      <t xml:space="preserve">Remarks
</t>
    </r>
    <r>
      <rPr>
        <sz val="8"/>
        <rFont val="Tahoma"/>
        <family val="2"/>
      </rPr>
      <t>REFERENCE#:</t>
    </r>
  </si>
  <si>
    <r>
      <t xml:space="preserve">5 </t>
    </r>
    <r>
      <rPr>
        <b/>
        <sz val="6"/>
        <rFont val="Tahoma"/>
        <family val="2"/>
      </rPr>
      <t xml:space="preserve">Ship To:
</t>
    </r>
    <r>
      <rPr>
        <sz val="8"/>
        <rFont val="Tahoma"/>
        <family val="2"/>
      </rPr>
      <t xml:space="preserve">AGRON INC, JAM 6
2101 E VIA ARADO 
COMPTON, CA 90220
</t>
    </r>
  </si>
  <si>
    <r>
      <t xml:space="preserve">13 </t>
    </r>
    <r>
      <rPr>
        <b/>
        <sz val="6"/>
        <rFont val="Tahoma"/>
        <family val="2"/>
      </rPr>
      <t xml:space="preserve">LC Issuing Bank:
</t>
    </r>
  </si>
  <si>
    <r>
      <t xml:space="preserve">6 </t>
    </r>
    <r>
      <rPr>
        <b/>
        <sz val="6"/>
        <rFont val="Tahoma"/>
        <family val="2"/>
      </rPr>
      <t xml:space="preserve">Notify Party
1)
</t>
    </r>
    <r>
      <rPr>
        <sz val="8"/>
        <rFont val="Tahoma"/>
        <family val="2"/>
      </rPr>
      <t xml:space="preserve">2)
</t>
    </r>
  </si>
  <si>
    <r>
      <t xml:space="preserve">14 </t>
    </r>
    <r>
      <rPr>
        <b/>
        <sz val="6"/>
        <rFont val="Tahoma"/>
        <family val="2"/>
      </rPr>
      <t>Transport details</t>
    </r>
  </si>
  <si>
    <t>Vsl/Flgt: BAI CHAY BRIDGE</t>
  </si>
  <si>
    <t>Dest Dt: 2023/04/12</t>
  </si>
  <si>
    <t>Voy#/Trip: V.122N</t>
  </si>
  <si>
    <t>Carrier ID: MATS</t>
  </si>
  <si>
    <t>POL: JAKARTA INDONESIA</t>
  </si>
  <si>
    <t>Ship Mode: SEA</t>
  </si>
  <si>
    <t>Orig Dt: 2023/04/03</t>
  </si>
  <si>
    <t>GR WGT: 26623,30</t>
  </si>
  <si>
    <t>Final Dest: LOS ANGELES,USA</t>
  </si>
  <si>
    <t>NET WGT: 24227,75</t>
  </si>
  <si>
    <r>
      <t xml:space="preserve">15 </t>
    </r>
    <r>
      <rPr>
        <b/>
        <sz val="6"/>
        <rFont val="Tahoma"/>
        <family val="2"/>
      </rPr>
      <t>Marks and Nos. :</t>
    </r>
  </si>
  <si>
    <t>PO#</t>
  </si>
  <si>
    <t>ITEM#</t>
  </si>
  <si>
    <t>HTS DESC</t>
  </si>
  <si>
    <t>HTS#</t>
  </si>
  <si>
    <t>QTY (PACK)</t>
  </si>
  <si>
    <t>TTL (CTNS)</t>
  </si>
  <si>
    <t>Price (PCS)</t>
  </si>
  <si>
    <t>TTL AMOUNT</t>
  </si>
  <si>
    <t>ITEM DESC:  BRIEF</t>
  </si>
  <si>
    <t>TOTAL:</t>
  </si>
  <si>
    <t>ALLOWANCE:</t>
  </si>
  <si>
    <t>Rate</t>
  </si>
  <si>
    <t>Basic</t>
  </si>
  <si>
    <t>AMOUNT</t>
  </si>
  <si>
    <t>EA</t>
  </si>
  <si>
    <t>GRAND TOTAL:</t>
  </si>
  <si>
    <t>DOCUMENT CONDITIONS</t>
  </si>
  <si>
    <t>WE HEREBY CERTIFY THAT NO SOLID WOOD PACKING MATERIAL WAS USED IN THE PACKING OFTHE LISTED MERCHANDISE</t>
  </si>
  <si>
    <t>(Company Signature)</t>
  </si>
  <si>
    <t>(Company Stamp)</t>
  </si>
  <si>
    <t>LOG-NET RCP VER 8.000   MAT 2018-05-28 18:26:49 EDT tuyetq</t>
  </si>
  <si>
    <t>\\10.5.0.27\bersama\BUYER EXPORT\2024\AGRON\20240621 INV 0223 AGRON BY SEA FM MAJALENGKA 2x40'HC ID2072\INV0223EXPGGVI2024 GCC.xlsx</t>
  </si>
  <si>
    <t>\\10.5.0.27\bersama\BUYER EXPORT\2024\AGRON\20240621 INV 0223 AGRON BY SEA FM MAJALENGKA 2x40'HC ID2072\FINAL SI.xls</t>
  </si>
  <si>
    <t>\\10.5.0.27\bersama\BUYER EXPORT\2024\AGRON\20240621 INV 0223 AGRON BY SEA FM MAJALENGKA 2x40'HC ID2072\LOADINGAN 21 JUNI.xlsx</t>
  </si>
  <si>
    <t>0223EXPGGVI2024</t>
  </si>
  <si>
    <t>S</t>
  </si>
  <si>
    <t>M</t>
  </si>
  <si>
    <t>XL</t>
  </si>
  <si>
    <t>XXL</t>
  </si>
  <si>
    <t>983462 – B</t>
  </si>
  <si>
    <t>PO-0000185</t>
  </si>
  <si>
    <t>PACK</t>
  </si>
  <si>
    <t>983462 – F</t>
  </si>
  <si>
    <t>5158618A</t>
  </si>
  <si>
    <t>5158618B</t>
  </si>
  <si>
    <t>5158618C</t>
  </si>
  <si>
    <t>5158618D</t>
  </si>
  <si>
    <t>5158618E</t>
  </si>
  <si>
    <t>983462 – H</t>
  </si>
  <si>
    <t>5158584A</t>
  </si>
  <si>
    <t>5158584B</t>
  </si>
  <si>
    <t>5158584C</t>
  </si>
  <si>
    <t>5158584D</t>
  </si>
  <si>
    <t>5158584E</t>
  </si>
  <si>
    <t>983461 – A</t>
  </si>
  <si>
    <t>5158596A</t>
  </si>
  <si>
    <t>PO-0000186</t>
  </si>
  <si>
    <t>5158596B</t>
  </si>
  <si>
    <t>5158596C</t>
  </si>
  <si>
    <t>5158596D</t>
  </si>
  <si>
    <t>982983 – A</t>
  </si>
  <si>
    <t>5157996A</t>
  </si>
  <si>
    <t>PO-0000184</t>
  </si>
  <si>
    <t>5157996B</t>
  </si>
  <si>
    <t>5157996C</t>
  </si>
  <si>
    <t>5157996D</t>
  </si>
  <si>
    <t>983418 – B</t>
  </si>
  <si>
    <t>5158043A</t>
  </si>
  <si>
    <t>PO-0000182</t>
  </si>
  <si>
    <t>5158043B</t>
  </si>
  <si>
    <t>5158043C</t>
  </si>
  <si>
    <t>5158043D</t>
  </si>
  <si>
    <t>983418 – D</t>
  </si>
  <si>
    <t>5158037A</t>
  </si>
  <si>
    <t>5158037B</t>
  </si>
  <si>
    <t>5158037C</t>
  </si>
  <si>
    <t>5158037D</t>
  </si>
  <si>
    <t>5158037E</t>
  </si>
  <si>
    <t>983418 – F</t>
  </si>
  <si>
    <t>5158060A</t>
  </si>
  <si>
    <t>5158060B</t>
  </si>
  <si>
    <t>5158060C</t>
  </si>
  <si>
    <t>5158060D</t>
  </si>
  <si>
    <t>983462 – C</t>
  </si>
  <si>
    <t>5158619A</t>
  </si>
  <si>
    <t>5158619B</t>
  </si>
  <si>
    <t>5158619C</t>
  </si>
  <si>
    <t>5158619D</t>
  </si>
  <si>
    <t>5158619E</t>
  </si>
  <si>
    <t>983463 – C</t>
  </si>
  <si>
    <t xml:space="preserve"> </t>
  </si>
  <si>
    <t>PO</t>
  </si>
  <si>
    <t>ARTICLE#</t>
  </si>
  <si>
    <t>WORK#</t>
  </si>
  <si>
    <t>TOTAL</t>
  </si>
  <si>
    <t>GMT</t>
  </si>
  <si>
    <t>NET</t>
  </si>
  <si>
    <t>CBM</t>
  </si>
  <si>
    <t>/SIZE</t>
  </si>
  <si>
    <t>WEIGHT</t>
  </si>
  <si>
    <t>MEN'S STRETCH COTTON 3-PACK BOXER BRIEF 57% COTTON 38% POLYESTER 5% SPANDEX</t>
  </si>
  <si>
    <t>MEN'S C PERFORMANCE 3-PACK BOXER BRIEF 91% POLYESTER 9% SPANDEX</t>
  </si>
  <si>
    <t>MEN'S MICROFIBER 3-PACK LONG BOXER BRIEF 91% POLYESTER 9% SPANDEX</t>
  </si>
  <si>
    <t>SO#</t>
  </si>
  <si>
    <t>UNIT</t>
  </si>
  <si>
    <t>CBM/CTN</t>
  </si>
  <si>
    <t xml:space="preserve"> + 3%</t>
  </si>
  <si>
    <t>GROS</t>
  </si>
  <si>
    <t>CONTAINER SIZE</t>
  </si>
  <si>
    <t>MATERIAL</t>
  </si>
  <si>
    <t>DESCRIPTION</t>
  </si>
  <si>
    <t>CTN</t>
  </si>
  <si>
    <t>ID2072</t>
  </si>
  <si>
    <t>QWERTY</t>
  </si>
  <si>
    <t>2x40'HC</t>
  </si>
  <si>
    <t>X</t>
  </si>
  <si>
    <t>CM</t>
  </si>
  <si>
    <t>57% COTTON 38% POLYESTER 5% SPANDEX</t>
  </si>
  <si>
    <t>MEN'S STRETCH COTTON 3-PACK BOXER BRIEF</t>
  </si>
  <si>
    <t xml:space="preserve">BLACK | ONIX | BLACK               </t>
  </si>
  <si>
    <t>91% POLYESTER 9% SPANDEX</t>
  </si>
  <si>
    <t>MEN'S C PERFORMANCE 3-PACK BOXER BRIEF</t>
  </si>
  <si>
    <t xml:space="preserve">SCARLET | ONIX | BLACK               </t>
  </si>
  <si>
    <t>MEN'S MICROFIBER 3-PACK LONG BOXER BRIEF</t>
  </si>
  <si>
    <t>MEN'S MICROFIBER 3-PACK BOXER BRIEF</t>
  </si>
  <si>
    <t xml:space="preserve">BETTER SCARLET | BLACK | ONIX               </t>
  </si>
  <si>
    <t xml:space="preserve">WONDER BEIGE | CARBON | ONIX               </t>
  </si>
  <si>
    <t>MEN'S MICROFIBER 3-PACK TRUNK</t>
  </si>
  <si>
    <t xml:space="preserve">FOR WORK NO : 982983 – A                   </t>
  </si>
  <si>
    <t xml:space="preserve">FOR WORK NO : 983418 – B, 983418 – D, 983418 – F                 </t>
  </si>
  <si>
    <t xml:space="preserve">FOR WORK NO : 983461 – A                   </t>
  </si>
  <si>
    <t xml:space="preserve">FOR WORK NO : 983462 – B, 983462 – C, 983462 – F, 983462 – H                </t>
  </si>
  <si>
    <t xml:space="preserve">FOR WORK NO : 983463 – C                   </t>
  </si>
  <si>
    <t>Vsl/Flgt: AN HAI</t>
  </si>
  <si>
    <t>Voy#/Trip: V.018N</t>
  </si>
  <si>
    <t>GR WGT: 24059.13</t>
  </si>
  <si>
    <t>NET WGT: 21616.97</t>
  </si>
  <si>
    <t>Orig Dt: 2024/06/25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</si>
</sst>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(&quot;$&quot;* #,##0.00_);_(&quot;$&quot;* \(#,##0.00\);_(&quot;$&quot;* &quot;-&quot;??_);_(@_)"/>
    <numFmt numFmtId="164" formatCode="0.000000"/>
    <numFmt numFmtId="165" formatCode="0.0000"/>
    <numFmt numFmtId="166" formatCode="mm/dd/yy"/>
    <numFmt numFmtId="167" formatCode="_(\$* #,##0.000_);_(\$* \(#,##0.000\);_(\$* \-??_);_(@_)"/>
  </numFmts>
  <fonts count="39">
    <font>
      <sz val="11"/>
      <color theme="1"/>
      <name val="Calibri"/>
      <family val="2"/>
      <scheme val="minor"/>
    </font>
    <font>
      <b/>
      <sz val="10"/>
      <name val="Verdana"/>
      <family val="2"/>
    </font>
    <font>
      <b/>
      <sz val="10"/>
      <name val="Verdana"/>
      <family val="2"/>
      <charset val="1"/>
    </font>
    <font>
      <u/>
      <sz val="11"/>
      <color theme="10"/>
      <name val="Calibri"/>
      <family val="2"/>
      <scheme val="minor"/>
    </font>
    <font>
      <sz val="11"/>
      <color rgb="FFE1F7FF"/>
      <name val="Calibri"/>
      <family val="2"/>
      <scheme val="minor"/>
    </font>
    <font>
      <sz val="11"/>
      <color rgb="FF8497B0"/>
      <name val="Calibri"/>
      <family val="2"/>
      <scheme val="minor"/>
    </font>
    <font>
      <sz val="11"/>
      <color rgb="FFFFFF00"/>
      <name val="Calibri"/>
      <family val="2"/>
      <scheme val="minor"/>
    </font>
    <font>
      <sz val="150"/>
      <color rgb="FFCDF2FF"/>
      <name val="Calibri"/>
      <family val="2"/>
      <scheme val="minor"/>
    </font>
    <font>
      <b/>
      <i/>
      <sz val="11"/>
      <color rgb="FFFF0000"/>
      <name val="Arial"/>
      <family val="2"/>
    </font>
    <font>
      <b/>
      <sz val="11"/>
      <color theme="0"/>
      <name val="Century Gothic"/>
      <family val="2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Century Gothic"/>
      <family val="2"/>
    </font>
    <font>
      <b/>
      <sz val="11"/>
      <color indexed="10"/>
      <name val="Trebuchet MS"/>
      <family val="2"/>
    </font>
    <font>
      <sz val="12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indexed="81"/>
      <name val="Century Gothic"/>
      <family val="2"/>
    </font>
    <font>
      <b/>
      <sz val="10"/>
      <color indexed="37"/>
      <name val="Century Gothic"/>
      <family val="2"/>
    </font>
    <font>
      <b/>
      <sz val="12"/>
      <color indexed="37"/>
      <name val="Century Gothic"/>
      <family val="2"/>
    </font>
    <font>
      <sz val="8"/>
      <name val="Tahoma"/>
      <family val="2"/>
    </font>
    <font>
      <b/>
      <sz val="16"/>
      <color indexed="30"/>
      <name val="tahoma"/>
      <family val="2"/>
    </font>
    <font>
      <b/>
      <sz val="8"/>
      <name val="Tahoma"/>
      <family val="2"/>
    </font>
    <font>
      <b/>
      <sz val="6"/>
      <name val="Tahoma"/>
      <family val="2"/>
    </font>
    <font>
      <sz val="8"/>
      <color rgb="FFFF0000"/>
      <name val="Tahoma"/>
      <family val="2"/>
    </font>
    <font>
      <b/>
      <sz val="20"/>
      <name val="Tahoma"/>
      <family val="2"/>
    </font>
    <font>
      <sz val="8"/>
      <name val="Tahoma"/>
      <family val="2"/>
      <charset val="1"/>
    </font>
    <font>
      <i/>
      <sz val="8"/>
      <name val="Tahoma"/>
      <family val="2"/>
    </font>
    <font>
      <b/>
      <sz val="8"/>
      <color indexed="30"/>
      <name val="Tahoma"/>
      <family val="2"/>
    </font>
    <font>
      <sz val="8"/>
      <color indexed="30"/>
      <name val="Tahoma"/>
      <family val="2"/>
    </font>
    <font>
      <sz val="6"/>
      <name val="Arial"/>
      <family val="2"/>
    </font>
    <font>
      <sz val="12"/>
      <color indexed="8"/>
      <name val="Calibri"/>
      <family val="2"/>
      <charset val="1"/>
    </font>
    <font>
      <b/>
      <sz val="18"/>
      <color indexed="8"/>
      <name val="Calibri"/>
      <family val="2"/>
      <charset val="1"/>
    </font>
    <font>
      <b/>
      <sz val="12"/>
      <color indexed="8"/>
      <name val="Calibri"/>
      <family val="2"/>
      <charset val="1"/>
    </font>
    <font>
      <sz val="12"/>
      <color indexed="8"/>
      <name val="Calibri"/>
      <family val="2"/>
    </font>
    <font>
      <sz val="11"/>
      <color indexed="8"/>
      <name val="Calibri"/>
      <family val="2"/>
    </font>
    <font>
      <b/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24"/>
      </patternFill>
    </fill>
    <fill>
      <patternFill patternType="solid">
        <fgColor indexed="13"/>
        <bgColor indexed="3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1B4145"/>
        <bgColor indexed="64"/>
      </patternFill>
    </fill>
    <fill>
      <patternFill patternType="solid">
        <fgColor rgb="FF222B35"/>
        <bgColor indexed="64"/>
      </patternFill>
    </fill>
    <fill>
      <patternFill patternType="solid">
        <fgColor rgb="FF333F4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4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rgb="FF92D050"/>
        <bgColor indexed="64"/>
      </patternFill>
    </fill>
  </fills>
  <borders count="45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rgb="FF00CCFF"/>
      </top>
      <bottom style="thin">
        <color rgb="FF00CCFF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/>
      <top/>
      <bottom style="thin">
        <color indexed="8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/>
      <bottom/>
      <diagonal/>
    </border>
    <border>
      <left/>
      <right style="medium">
        <color indexed="8"/>
      </right>
      <top/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 style="medium">
        <color indexed="8"/>
      </left>
      <right/>
      <top style="thin">
        <color indexed="8"/>
      </top>
      <bottom style="double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/>
      <right/>
      <top/>
      <bottom style="double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44" fontId="18" fillId="0" borderId="0" applyFont="0" applyFill="0" applyBorder="0" applyAlignment="0" applyProtection="0"/>
  </cellStyleXfs>
  <cellXfs count="194">
    <xf numFmtId="0" fontId="0" fillId="0" borderId="0" xfId="0"/>
    <xf numFmtId="0" fontId="0" fillId="5" borderId="0" xfId="0" applyFill="1" applyAlignment="1">
      <alignment horizontal="left"/>
    </xf>
    <xf numFmtId="0" fontId="0" fillId="5" borderId="0" xfId="0" applyFill="1"/>
    <xf numFmtId="0" fontId="5" fillId="6" borderId="0" xfId="0" applyFont="1" applyFill="1"/>
    <xf numFmtId="0" fontId="6" fillId="6" borderId="0" xfId="0" applyFont="1" applyFill="1"/>
    <xf numFmtId="0" fontId="5" fillId="6" borderId="0" xfId="0" applyFont="1" applyFill="1" applyAlignment="1">
      <alignment horizontal="right"/>
    </xf>
    <xf numFmtId="0" fontId="0" fillId="5" borderId="0" xfId="0" applyFill="1" applyAlignment="1">
      <alignment horizontal="right"/>
    </xf>
    <xf numFmtId="0" fontId="0" fillId="7" borderId="0" xfId="0" applyFill="1"/>
    <xf numFmtId="0" fontId="7" fillId="7" borderId="0" xfId="0" applyFont="1" applyFill="1" applyAlignment="1">
      <alignment vertical="center"/>
    </xf>
    <xf numFmtId="0" fontId="10" fillId="7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9" fillId="8" borderId="4" xfId="0" applyFont="1" applyFill="1" applyBorder="1" applyAlignment="1">
      <alignment horizontal="center" vertical="center"/>
    </xf>
    <xf numFmtId="0" fontId="10" fillId="0" borderId="4" xfId="0" applyFont="1" applyBorder="1" applyAlignment="1">
      <alignment horizontal="left" vertical="center"/>
    </xf>
    <xf numFmtId="0" fontId="3" fillId="0" borderId="4" xfId="1" applyFill="1" applyBorder="1" applyAlignment="1">
      <alignment horizontal="left" vertical="center"/>
    </xf>
    <xf numFmtId="0" fontId="11" fillId="0" borderId="4" xfId="0" applyFont="1" applyBorder="1" applyAlignment="1">
      <alignment horizontal="center" vertical="center"/>
    </xf>
    <xf numFmtId="0" fontId="0" fillId="9" borderId="0" xfId="0" applyFill="1"/>
    <xf numFmtId="0" fontId="0" fillId="0" borderId="0" xfId="0" applyFill="1"/>
    <xf numFmtId="0" fontId="4" fillId="0" borderId="0" xfId="0" applyFont="1" applyFill="1"/>
    <xf numFmtId="0" fontId="5" fillId="10" borderId="0" xfId="0" applyFont="1" applyFill="1"/>
    <xf numFmtId="0" fontId="4" fillId="9" borderId="0" xfId="0" applyFont="1" applyFill="1"/>
    <xf numFmtId="0" fontId="6" fillId="10" borderId="0" xfId="0" applyFont="1" applyFill="1"/>
    <xf numFmtId="0" fontId="16" fillId="0" borderId="4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2" fontId="0" fillId="0" borderId="5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17" fillId="0" borderId="0" xfId="0" applyFont="1"/>
    <xf numFmtId="0" fontId="17" fillId="0" borderId="5" xfId="0" applyFont="1" applyBorder="1" applyAlignment="1">
      <alignment horizontal="center" vertical="center"/>
    </xf>
    <xf numFmtId="0" fontId="22" fillId="12" borderId="15" xfId="0" applyFont="1" applyFill="1" applyBorder="1" applyAlignment="1">
      <alignment horizontal="left" vertical="top"/>
    </xf>
    <xf numFmtId="0" fontId="22" fillId="12" borderId="16" xfId="0" applyFont="1" applyFill="1" applyBorder="1" applyAlignment="1">
      <alignment horizontal="left" vertical="top"/>
    </xf>
    <xf numFmtId="0" fontId="22" fillId="0" borderId="16" xfId="0" applyFont="1" applyBorder="1" applyAlignment="1">
      <alignment horizontal="left" vertical="top"/>
    </xf>
    <xf numFmtId="0" fontId="22" fillId="12" borderId="18" xfId="0" applyFont="1" applyFill="1" applyBorder="1" applyAlignment="1">
      <alignment horizontal="left" vertical="top"/>
    </xf>
    <xf numFmtId="0" fontId="22" fillId="12" borderId="19" xfId="0" applyFont="1" applyFill="1" applyBorder="1" applyAlignment="1">
      <alignment horizontal="left" vertical="top"/>
    </xf>
    <xf numFmtId="0" fontId="22" fillId="12" borderId="12" xfId="0" applyFont="1" applyFill="1" applyBorder="1" applyAlignment="1">
      <alignment horizontal="left" vertical="top"/>
    </xf>
    <xf numFmtId="0" fontId="22" fillId="0" borderId="12" xfId="0" applyFont="1" applyBorder="1" applyAlignment="1">
      <alignment horizontal="left" vertical="top"/>
    </xf>
    <xf numFmtId="0" fontId="22" fillId="12" borderId="20" xfId="0" applyFont="1" applyFill="1" applyBorder="1" applyAlignment="1">
      <alignment horizontal="left" vertical="top"/>
    </xf>
    <xf numFmtId="0" fontId="24" fillId="0" borderId="21" xfId="0" applyFont="1" applyBorder="1" applyAlignment="1">
      <alignment horizontal="left" vertical="top" wrapText="1"/>
    </xf>
    <xf numFmtId="0" fontId="24" fillId="0" borderId="7" xfId="0" applyFont="1" applyBorder="1" applyAlignment="1">
      <alignment horizontal="left" vertical="top" wrapText="1"/>
    </xf>
    <xf numFmtId="0" fontId="24" fillId="0" borderId="8" xfId="0" applyFont="1" applyBorder="1" applyAlignment="1">
      <alignment horizontal="left" vertical="top" wrapText="1"/>
    </xf>
    <xf numFmtId="0" fontId="24" fillId="0" borderId="6" xfId="0" applyFont="1" applyBorder="1" applyAlignment="1">
      <alignment horizontal="left" vertical="top"/>
    </xf>
    <xf numFmtId="0" fontId="22" fillId="0" borderId="7" xfId="0" applyFont="1" applyBorder="1" applyAlignment="1">
      <alignment horizontal="left" vertical="top"/>
    </xf>
    <xf numFmtId="0" fontId="22" fillId="12" borderId="7" xfId="0" applyFont="1" applyFill="1" applyBorder="1" applyAlignment="1">
      <alignment horizontal="left" vertical="top"/>
    </xf>
    <xf numFmtId="0" fontId="22" fillId="12" borderId="8" xfId="0" applyFont="1" applyFill="1" applyBorder="1" applyAlignment="1">
      <alignment horizontal="left" vertical="top"/>
    </xf>
    <xf numFmtId="0" fontId="24" fillId="12" borderId="7" xfId="0" applyFont="1" applyFill="1" applyBorder="1" applyAlignment="1">
      <alignment horizontal="left" vertical="top"/>
    </xf>
    <xf numFmtId="0" fontId="22" fillId="12" borderId="22" xfId="0" applyFont="1" applyFill="1" applyBorder="1" applyAlignment="1">
      <alignment horizontal="left" vertical="top"/>
    </xf>
    <xf numFmtId="0" fontId="24" fillId="0" borderId="23" xfId="0" applyFont="1" applyBorder="1" applyAlignment="1">
      <alignment horizontal="left" vertical="top"/>
    </xf>
    <xf numFmtId="0" fontId="24" fillId="0" borderId="0" xfId="0" applyFont="1" applyAlignment="1">
      <alignment horizontal="left" vertical="top" wrapText="1"/>
    </xf>
    <xf numFmtId="0" fontId="24" fillId="0" borderId="10" xfId="0" applyFont="1" applyBorder="1" applyAlignment="1">
      <alignment horizontal="left" vertical="top" wrapText="1"/>
    </xf>
    <xf numFmtId="0" fontId="22" fillId="0" borderId="9" xfId="0" applyFont="1" applyBorder="1" applyAlignment="1">
      <alignment horizontal="left" vertical="top"/>
    </xf>
    <xf numFmtId="0" fontId="26" fillId="0" borderId="0" xfId="0" applyFont="1" applyAlignment="1">
      <alignment horizontal="left" vertical="top"/>
    </xf>
    <xf numFmtId="0" fontId="22" fillId="12" borderId="0" xfId="0" applyFont="1" applyFill="1" applyAlignment="1">
      <alignment horizontal="left" vertical="top"/>
    </xf>
    <xf numFmtId="0" fontId="22" fillId="12" borderId="10" xfId="0" applyFont="1" applyFill="1" applyBorder="1" applyAlignment="1">
      <alignment horizontal="left" vertical="top"/>
    </xf>
    <xf numFmtId="0" fontId="22" fillId="12" borderId="24" xfId="0" applyFont="1" applyFill="1" applyBorder="1" applyAlignment="1">
      <alignment horizontal="left" vertical="top"/>
    </xf>
    <xf numFmtId="166" fontId="22" fillId="0" borderId="11" xfId="0" applyNumberFormat="1" applyFont="1" applyBorder="1" applyAlignment="1">
      <alignment horizontal="left" vertical="top"/>
    </xf>
    <xf numFmtId="0" fontId="26" fillId="0" borderId="12" xfId="0" applyFont="1" applyBorder="1" applyAlignment="1">
      <alignment horizontal="left" vertical="top"/>
    </xf>
    <xf numFmtId="0" fontId="22" fillId="12" borderId="13" xfId="0" applyFont="1" applyFill="1" applyBorder="1" applyAlignment="1">
      <alignment horizontal="left" vertical="top"/>
    </xf>
    <xf numFmtId="0" fontId="24" fillId="0" borderId="9" xfId="0" applyFont="1" applyBorder="1" applyAlignment="1">
      <alignment horizontal="left" vertical="top"/>
    </xf>
    <xf numFmtId="0" fontId="24" fillId="12" borderId="6" xfId="0" applyFont="1" applyFill="1" applyBorder="1" applyAlignment="1">
      <alignment horizontal="left" vertical="top"/>
    </xf>
    <xf numFmtId="0" fontId="22" fillId="0" borderId="0" xfId="0" applyFont="1" applyAlignment="1">
      <alignment horizontal="left" vertical="top"/>
    </xf>
    <xf numFmtId="0" fontId="24" fillId="0" borderId="19" xfId="0" applyFont="1" applyBorder="1" applyAlignment="1">
      <alignment horizontal="left" vertical="top" wrapText="1"/>
    </xf>
    <xf numFmtId="0" fontId="24" fillId="0" borderId="12" xfId="0" applyFont="1" applyBorder="1" applyAlignment="1">
      <alignment horizontal="left" vertical="top" wrapText="1"/>
    </xf>
    <xf numFmtId="0" fontId="24" fillId="0" borderId="13" xfId="0" applyFont="1" applyBorder="1" applyAlignment="1">
      <alignment horizontal="left" vertical="top" wrapText="1"/>
    </xf>
    <xf numFmtId="0" fontId="22" fillId="0" borderId="11" xfId="0" applyFont="1" applyBorder="1" applyAlignment="1">
      <alignment horizontal="left" vertical="top"/>
    </xf>
    <xf numFmtId="0" fontId="25" fillId="0" borderId="6" xfId="0" applyFont="1" applyBorder="1" applyAlignment="1">
      <alignment horizontal="left" vertical="top"/>
    </xf>
    <xf numFmtId="0" fontId="25" fillId="12" borderId="9" xfId="0" applyFont="1" applyFill="1" applyBorder="1" applyAlignment="1">
      <alignment horizontal="left" vertical="top"/>
    </xf>
    <xf numFmtId="0" fontId="22" fillId="12" borderId="11" xfId="0" applyFont="1" applyFill="1" applyBorder="1" applyAlignment="1">
      <alignment horizontal="left" vertical="top"/>
    </xf>
    <xf numFmtId="0" fontId="27" fillId="12" borderId="7" xfId="0" applyFont="1" applyFill="1" applyBorder="1" applyAlignment="1">
      <alignment horizontal="left" vertical="top"/>
    </xf>
    <xf numFmtId="0" fontId="28" fillId="0" borderId="9" xfId="0" applyFont="1" applyBorder="1" applyAlignment="1">
      <alignment horizontal="left" vertical="top"/>
    </xf>
    <xf numFmtId="0" fontId="22" fillId="13" borderId="0" xfId="0" applyFont="1" applyFill="1" applyAlignment="1">
      <alignment horizontal="left" vertical="top"/>
    </xf>
    <xf numFmtId="14" fontId="22" fillId="0" borderId="0" xfId="0" applyNumberFormat="1" applyFont="1" applyAlignment="1">
      <alignment horizontal="left" vertical="top"/>
    </xf>
    <xf numFmtId="0" fontId="22" fillId="11" borderId="0" xfId="0" applyFont="1" applyFill="1" applyAlignment="1">
      <alignment horizontal="left" vertical="top" wrapText="1"/>
    </xf>
    <xf numFmtId="0" fontId="22" fillId="11" borderId="12" xfId="0" applyFont="1" applyFill="1" applyBorder="1" applyAlignment="1">
      <alignment horizontal="left" vertical="top" wrapText="1"/>
    </xf>
    <xf numFmtId="0" fontId="24" fillId="12" borderId="23" xfId="0" applyFont="1" applyFill="1" applyBorder="1" applyAlignment="1">
      <alignment horizontal="left" vertical="top"/>
    </xf>
    <xf numFmtId="0" fontId="22" fillId="13" borderId="7" xfId="0" applyFont="1" applyFill="1" applyBorder="1" applyAlignment="1">
      <alignment horizontal="left" vertical="top"/>
    </xf>
    <xf numFmtId="0" fontId="22" fillId="12" borderId="23" xfId="0" applyFont="1" applyFill="1" applyBorder="1" applyAlignment="1">
      <alignment horizontal="left" vertical="top"/>
    </xf>
    <xf numFmtId="0" fontId="24" fillId="0" borderId="27" xfId="0" applyFont="1" applyBorder="1"/>
    <xf numFmtId="0" fontId="24" fillId="0" borderId="28" xfId="0" applyFont="1" applyBorder="1"/>
    <xf numFmtId="0" fontId="24" fillId="0" borderId="28" xfId="0" applyFont="1" applyBorder="1" applyAlignment="1">
      <alignment horizontal="right"/>
    </xf>
    <xf numFmtId="0" fontId="24" fillId="0" borderId="21" xfId="0" applyFont="1" applyBorder="1"/>
    <xf numFmtId="0" fontId="24" fillId="0" borderId="1" xfId="0" applyFont="1" applyBorder="1"/>
    <xf numFmtId="1" fontId="22" fillId="0" borderId="1" xfId="0" applyNumberFormat="1" applyFont="1" applyBorder="1" applyAlignment="1">
      <alignment horizontal="right"/>
    </xf>
    <xf numFmtId="1" fontId="22" fillId="0" borderId="1" xfId="0" applyNumberFormat="1" applyFont="1" applyBorder="1"/>
    <xf numFmtId="4" fontId="22" fillId="0" borderId="1" xfId="2" applyNumberFormat="1" applyFont="1" applyFill="1" applyBorder="1" applyAlignment="1" applyProtection="1"/>
    <xf numFmtId="167" fontId="22" fillId="0" borderId="1" xfId="2" applyNumberFormat="1" applyFont="1" applyFill="1" applyBorder="1" applyAlignment="1" applyProtection="1"/>
    <xf numFmtId="0" fontId="24" fillId="14" borderId="32" xfId="0" applyFont="1" applyFill="1" applyBorder="1" applyAlignment="1">
      <alignment horizontal="right"/>
    </xf>
    <xf numFmtId="1" fontId="24" fillId="14" borderId="32" xfId="0" applyNumberFormat="1" applyFont="1" applyFill="1" applyBorder="1" applyAlignment="1">
      <alignment horizontal="right"/>
    </xf>
    <xf numFmtId="167" fontId="24" fillId="14" borderId="32" xfId="2" applyNumberFormat="1" applyFont="1" applyFill="1" applyBorder="1" applyAlignment="1" applyProtection="1">
      <alignment horizontal="right"/>
    </xf>
    <xf numFmtId="0" fontId="22" fillId="14" borderId="0" xfId="0" applyFont="1" applyFill="1" applyAlignment="1">
      <alignment horizontal="left" vertical="top"/>
    </xf>
    <xf numFmtId="0" fontId="22" fillId="14" borderId="24" xfId="0" applyFont="1" applyFill="1" applyBorder="1" applyAlignment="1">
      <alignment horizontal="left" vertical="top"/>
    </xf>
    <xf numFmtId="0" fontId="24" fillId="12" borderId="23" xfId="0" applyFont="1" applyFill="1" applyBorder="1"/>
    <xf numFmtId="0" fontId="24" fillId="12" borderId="0" xfId="0" applyFont="1" applyFill="1"/>
    <xf numFmtId="0" fontId="24" fillId="12" borderId="0" xfId="0" applyFont="1" applyFill="1" applyAlignment="1">
      <alignment horizontal="right"/>
    </xf>
    <xf numFmtId="0" fontId="24" fillId="0" borderId="0" xfId="0" applyFont="1" applyAlignment="1">
      <alignment horizontal="right"/>
    </xf>
    <xf numFmtId="0" fontId="24" fillId="0" borderId="23" xfId="0" applyFont="1" applyBorder="1"/>
    <xf numFmtId="0" fontId="29" fillId="0" borderId="0" xfId="0" applyFont="1"/>
    <xf numFmtId="0" fontId="24" fillId="0" borderId="0" xfId="0" applyFont="1"/>
    <xf numFmtId="0" fontId="22" fillId="0" borderId="1" xfId="0" applyFont="1" applyBorder="1"/>
    <xf numFmtId="0" fontId="22" fillId="0" borderId="1" xfId="2" applyNumberFormat="1" applyFont="1" applyFill="1" applyBorder="1" applyAlignment="1" applyProtection="1">
      <alignment horizontal="right"/>
    </xf>
    <xf numFmtId="167" fontId="22" fillId="0" borderId="1" xfId="2" applyNumberFormat="1" applyFont="1" applyFill="1" applyBorder="1" applyAlignment="1" applyProtection="1">
      <alignment horizontal="right"/>
    </xf>
    <xf numFmtId="0" fontId="22" fillId="0" borderId="1" xfId="0" applyFont="1" applyBorder="1" applyAlignment="1">
      <alignment horizontal="right"/>
    </xf>
    <xf numFmtId="0" fontId="22" fillId="0" borderId="0" xfId="0" applyFont="1"/>
    <xf numFmtId="167" fontId="22" fillId="0" borderId="0" xfId="2" applyNumberFormat="1" applyFont="1" applyFill="1" applyBorder="1" applyAlignment="1" applyProtection="1"/>
    <xf numFmtId="1" fontId="22" fillId="0" borderId="0" xfId="0" applyNumberFormat="1" applyFont="1"/>
    <xf numFmtId="0" fontId="22" fillId="0" borderId="0" xfId="0" applyFont="1" applyAlignment="1">
      <alignment horizontal="right"/>
    </xf>
    <xf numFmtId="167" fontId="22" fillId="0" borderId="0" xfId="2" applyNumberFormat="1" applyFont="1" applyFill="1" applyBorder="1" applyAlignment="1" applyProtection="1">
      <alignment horizontal="right"/>
    </xf>
    <xf numFmtId="0" fontId="30" fillId="15" borderId="33" xfId="0" applyFont="1" applyFill="1" applyBorder="1"/>
    <xf numFmtId="0" fontId="30" fillId="15" borderId="34" xfId="0" applyFont="1" applyFill="1" applyBorder="1"/>
    <xf numFmtId="167" fontId="30" fillId="15" borderId="35" xfId="2" applyNumberFormat="1" applyFont="1" applyFill="1" applyBorder="1" applyAlignment="1" applyProtection="1">
      <alignment horizontal="right"/>
    </xf>
    <xf numFmtId="0" fontId="31" fillId="15" borderId="0" xfId="0" applyFont="1" applyFill="1" applyAlignment="1">
      <alignment horizontal="left" vertical="top"/>
    </xf>
    <xf numFmtId="0" fontId="31" fillId="15" borderId="24" xfId="0" applyFont="1" applyFill="1" applyBorder="1" applyAlignment="1">
      <alignment horizontal="left" vertical="top"/>
    </xf>
    <xf numFmtId="0" fontId="22" fillId="12" borderId="24" xfId="0" applyFont="1" applyFill="1" applyBorder="1" applyAlignment="1">
      <alignment horizontal="right"/>
    </xf>
    <xf numFmtId="0" fontId="22" fillId="12" borderId="27" xfId="0" applyFont="1" applyFill="1" applyBorder="1" applyAlignment="1">
      <alignment horizontal="left" vertical="top"/>
    </xf>
    <xf numFmtId="0" fontId="22" fillId="12" borderId="28" xfId="0" applyFont="1" applyFill="1" applyBorder="1" applyAlignment="1">
      <alignment horizontal="left" vertical="top"/>
    </xf>
    <xf numFmtId="0" fontId="22" fillId="0" borderId="28" xfId="0" applyFont="1" applyBorder="1" applyAlignment="1">
      <alignment horizontal="left" vertical="top"/>
    </xf>
    <xf numFmtId="0" fontId="32" fillId="0" borderId="28" xfId="0" applyFont="1" applyBorder="1"/>
    <xf numFmtId="0" fontId="22" fillId="12" borderId="38" xfId="0" applyFont="1" applyFill="1" applyBorder="1" applyAlignment="1">
      <alignment horizontal="left" vertical="top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33" fillId="16" borderId="39" xfId="0" applyFont="1" applyFill="1" applyBorder="1" applyAlignment="1">
      <alignment horizontal="center" wrapText="1"/>
    </xf>
    <xf numFmtId="0" fontId="33" fillId="16" borderId="39" xfId="0" applyFont="1" applyFill="1" applyBorder="1" applyAlignment="1">
      <alignment horizontal="center" vertical="center" wrapText="1"/>
    </xf>
    <xf numFmtId="44" fontId="33" fillId="16" borderId="39" xfId="2" applyFont="1" applyFill="1" applyBorder="1" applyAlignment="1">
      <alignment horizontal="center" vertical="center" wrapText="1"/>
    </xf>
    <xf numFmtId="0" fontId="37" fillId="16" borderId="39" xfId="0" applyFont="1" applyFill="1" applyBorder="1" applyAlignment="1">
      <alignment horizontal="center" wrapText="1"/>
    </xf>
    <xf numFmtId="2" fontId="33" fillId="16" borderId="39" xfId="0" applyNumberFormat="1" applyFont="1" applyFill="1" applyBorder="1" applyAlignment="1">
      <alignment horizontal="center" wrapText="1"/>
    </xf>
    <xf numFmtId="0" fontId="35" fillId="16" borderId="40" xfId="0" applyFont="1" applyFill="1" applyBorder="1" applyAlignment="1">
      <alignment horizontal="center"/>
    </xf>
    <xf numFmtId="9" fontId="35" fillId="16" borderId="40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/>
    </xf>
    <xf numFmtId="44" fontId="0" fillId="4" borderId="0" xfId="0" applyNumberFormat="1" applyFill="1" applyAlignment="1">
      <alignment horizontal="center"/>
    </xf>
    <xf numFmtId="2" fontId="0" fillId="4" borderId="0" xfId="0" applyNumberFormat="1" applyFill="1" applyAlignment="1">
      <alignment horizontal="center"/>
    </xf>
    <xf numFmtId="0" fontId="0" fillId="4" borderId="0" xfId="0" applyFill="1"/>
    <xf numFmtId="0" fontId="0" fillId="17" borderId="0" xfId="0" applyFill="1"/>
    <xf numFmtId="0" fontId="0" fillId="17" borderId="0" xfId="0" applyFill="1" applyAlignment="1">
      <alignment horizontal="center"/>
    </xf>
    <xf numFmtId="44" fontId="0" fillId="17" borderId="0" xfId="0" applyNumberFormat="1" applyFill="1" applyAlignment="1">
      <alignment horizontal="center"/>
    </xf>
    <xf numFmtId="2" fontId="0" fillId="17" borderId="0" xfId="0" applyNumberFormat="1" applyFill="1" applyAlignment="1">
      <alignment horizontal="center"/>
    </xf>
    <xf numFmtId="44" fontId="0" fillId="0" borderId="0" xfId="0" applyNumberFormat="1"/>
    <xf numFmtId="44" fontId="0" fillId="0" borderId="0" xfId="2" applyFont="1"/>
    <xf numFmtId="2" fontId="0" fillId="0" borderId="0" xfId="0" applyNumberFormat="1"/>
    <xf numFmtId="0" fontId="38" fillId="0" borderId="0" xfId="0" applyFont="1"/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0" fontId="24" fillId="0" borderId="19" xfId="0" applyFont="1" applyBorder="1" applyAlignment="1">
      <alignment horizontal="left" vertical="top" wrapText="1"/>
    </xf>
    <xf numFmtId="0" fontId="24" fillId="0" borderId="12" xfId="0" applyFont="1" applyBorder="1" applyAlignment="1">
      <alignment horizontal="left" vertical="top" wrapText="1"/>
    </xf>
    <xf numFmtId="0" fontId="22" fillId="12" borderId="12" xfId="0" applyFont="1" applyFill="1" applyBorder="1" applyAlignment="1">
      <alignment horizontal="left" vertical="top"/>
    </xf>
    <xf numFmtId="0" fontId="22" fillId="12" borderId="20" xfId="0" applyFont="1" applyFill="1" applyBorder="1" applyAlignment="1">
      <alignment horizontal="left" vertical="top"/>
    </xf>
    <xf numFmtId="0" fontId="24" fillId="0" borderId="21" xfId="0" applyFont="1" applyBorder="1" applyAlignment="1">
      <alignment horizontal="left" vertical="top" wrapText="1"/>
    </xf>
    <xf numFmtId="0" fontId="1" fillId="3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2" fontId="1" fillId="2" borderId="1" xfId="0" applyNumberFormat="1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 wrapText="1"/>
    </xf>
    <xf numFmtId="2" fontId="1" fillId="3" borderId="1" xfId="0" applyNumberFormat="1" applyFont="1" applyFill="1" applyBorder="1" applyAlignment="1">
      <alignment horizontal="center" vertical="center"/>
    </xf>
    <xf numFmtId="0" fontId="24" fillId="0" borderId="21" xfId="0" applyFont="1" applyBorder="1" applyAlignment="1">
      <alignment horizontal="left" vertical="top" wrapText="1"/>
    </xf>
    <xf numFmtId="0" fontId="24" fillId="0" borderId="25" xfId="0" applyFont="1" applyBorder="1" applyAlignment="1">
      <alignment horizontal="left" vertical="top" wrapText="1"/>
    </xf>
    <xf numFmtId="0" fontId="23" fillId="0" borderId="17" xfId="0" applyFont="1" applyBorder="1" applyAlignment="1">
      <alignment horizontal="center" vertical="center"/>
    </xf>
    <xf numFmtId="0" fontId="25" fillId="0" borderId="1" xfId="0" applyFont="1" applyBorder="1" applyAlignment="1">
      <alignment horizontal="left" vertical="top" wrapText="1"/>
    </xf>
    <xf numFmtId="0" fontId="24" fillId="0" borderId="19" xfId="0" applyFont="1" applyBorder="1" applyAlignment="1">
      <alignment horizontal="left" vertical="top" wrapText="1"/>
    </xf>
    <xf numFmtId="0" fontId="24" fillId="0" borderId="12" xfId="0" applyFont="1" applyBorder="1" applyAlignment="1">
      <alignment horizontal="left" vertical="top" wrapText="1"/>
    </xf>
    <xf numFmtId="0" fontId="24" fillId="0" borderId="20" xfId="0" applyFont="1" applyBorder="1" applyAlignment="1">
      <alignment horizontal="left" vertical="top" wrapText="1"/>
    </xf>
    <xf numFmtId="0" fontId="22" fillId="0" borderId="36" xfId="0" applyFont="1" applyBorder="1" applyAlignment="1">
      <alignment horizontal="left" vertical="top" wrapText="1"/>
    </xf>
    <xf numFmtId="0" fontId="22" fillId="0" borderId="14" xfId="0" applyFont="1" applyBorder="1" applyAlignment="1">
      <alignment horizontal="left" vertical="top" wrapText="1"/>
    </xf>
    <xf numFmtId="0" fontId="22" fillId="0" borderId="37" xfId="0" applyFont="1" applyBorder="1" applyAlignment="1">
      <alignment horizontal="left" vertical="top" wrapText="1"/>
    </xf>
    <xf numFmtId="0" fontId="22" fillId="12" borderId="12" xfId="0" applyFont="1" applyFill="1" applyBorder="1" applyAlignment="1">
      <alignment horizontal="left" vertical="top"/>
    </xf>
    <xf numFmtId="0" fontId="22" fillId="12" borderId="20" xfId="0" applyFont="1" applyFill="1" applyBorder="1" applyAlignment="1">
      <alignment horizontal="left" vertical="top"/>
    </xf>
    <xf numFmtId="0" fontId="22" fillId="12" borderId="26" xfId="0" applyFont="1" applyFill="1" applyBorder="1" applyAlignment="1">
      <alignment horizontal="left" vertical="top" wrapText="1"/>
    </xf>
    <xf numFmtId="0" fontId="22" fillId="0" borderId="29" xfId="0" applyFont="1" applyBorder="1" applyAlignment="1">
      <alignment vertical="top"/>
    </xf>
    <xf numFmtId="0" fontId="22" fillId="14" borderId="30" xfId="0" applyFont="1" applyFill="1" applyBorder="1"/>
    <xf numFmtId="0" fontId="22" fillId="14" borderId="31" xfId="0" applyFont="1" applyFill="1" applyBorder="1"/>
    <xf numFmtId="0" fontId="8" fillId="7" borderId="0" xfId="0" applyFont="1" applyFill="1" applyAlignment="1">
      <alignment horizontal="left" vertical="center"/>
    </xf>
    <xf numFmtId="0" fontId="33" fillId="16" borderId="41" xfId="0" applyFont="1" applyFill="1" applyBorder="1" applyAlignment="1">
      <alignment horizontal="center" wrapText="1"/>
    </xf>
    <xf numFmtId="0" fontId="33" fillId="16" borderId="41" xfId="0" applyFont="1" applyFill="1" applyBorder="1" applyAlignment="1">
      <alignment horizontal="center" vertical="center" wrapText="1"/>
    </xf>
    <xf numFmtId="44" fontId="33" fillId="16" borderId="41" xfId="2" applyFont="1" applyFill="1" applyBorder="1" applyAlignment="1">
      <alignment horizontal="center" vertical="center" wrapText="1"/>
    </xf>
    <xf numFmtId="0" fontId="36" fillId="16" borderId="41" xfId="0" applyFont="1" applyFill="1" applyBorder="1" applyAlignment="1">
      <alignment horizontal="center" wrapText="1"/>
    </xf>
    <xf numFmtId="0" fontId="33" fillId="16" borderId="42" xfId="0" applyFont="1" applyFill="1" applyBorder="1" applyAlignment="1">
      <alignment horizontal="center" wrapText="1"/>
    </xf>
    <xf numFmtId="2" fontId="33" fillId="16" borderId="41" xfId="0" applyNumberFormat="1" applyFont="1" applyFill="1" applyBorder="1" applyAlignment="1">
      <alignment horizontal="center" wrapText="1"/>
    </xf>
    <xf numFmtId="49" fontId="34" fillId="16" borderId="43" xfId="0" quotePrefix="1" applyNumberFormat="1" applyFont="1" applyFill="1" applyBorder="1" applyAlignment="1">
      <alignment horizontal="center"/>
    </xf>
    <xf numFmtId="49" fontId="34" fillId="16" borderId="43" xfId="0" applyNumberFormat="1" applyFont="1" applyFill="1" applyBorder="1" applyAlignment="1">
      <alignment horizontal="center"/>
    </xf>
    <xf numFmtId="0" fontId="0" fillId="4" borderId="44" xfId="0" applyFill="1" applyBorder="1" applyAlignment="1">
      <alignment horizontal="center"/>
    </xf>
    <xf numFmtId="44" fontId="0" fillId="4" borderId="44" xfId="2" applyFont="1" applyFill="1" applyBorder="1" applyAlignment="1">
      <alignment horizontal="center"/>
    </xf>
    <xf numFmtId="165" fontId="0" fillId="4" borderId="44" xfId="0" applyNumberFormat="1" applyFill="1" applyBorder="1" applyAlignment="1">
      <alignment horizontal="center"/>
    </xf>
    <xf numFmtId="2" fontId="0" fillId="4" borderId="44" xfId="0" applyNumberFormat="1" applyFill="1" applyBorder="1" applyAlignment="1">
      <alignment horizontal="center"/>
    </xf>
    <xf numFmtId="0" fontId="0" fillId="17" borderId="44" xfId="0" applyFill="1" applyBorder="1" applyAlignment="1">
      <alignment horizontal="center"/>
    </xf>
    <xf numFmtId="44" fontId="0" fillId="17" borderId="44" xfId="2" applyFont="1" applyFill="1" applyBorder="1" applyAlignment="1">
      <alignment horizontal="center"/>
    </xf>
    <xf numFmtId="165" fontId="0" fillId="17" borderId="44" xfId="0" applyNumberFormat="1" applyFill="1" applyBorder="1" applyAlignment="1">
      <alignment horizontal="center"/>
    </xf>
    <xf numFmtId="2" fontId="0" fillId="17" borderId="44" xfId="0" applyNumberFormat="1" applyFill="1" applyBorder="1" applyAlignment="1">
      <alignment horizontal="center"/>
    </xf>
    <xf numFmtId="0" fontId="0" fillId="0" borderId="44" xfId="0" applyBorder="1" applyAlignment="1">
      <alignment horizontal="center"/>
    </xf>
    <xf numFmtId="44" fontId="0" fillId="0" borderId="44" xfId="2" applyFont="1" applyBorder="1" applyAlignment="1">
      <alignment horizontal="center"/>
    </xf>
    <xf numFmtId="2" fontId="0" fillId="0" borderId="44" xfId="0" applyNumberFormat="1" applyBorder="1" applyAlignment="1">
      <alignment horizontal="center"/>
    </xf>
    <xf numFmtId="0" fontId="38" fillId="0" borderId="44" xfId="0" applyFont="1" applyBorder="1" applyAlignment="1">
      <alignment horizontal="center"/>
    </xf>
  </cellXfs>
  <cellStyles count="3">
    <cellStyle name="Currency" xfId="2" builtinId="4"/>
    <cellStyle name="Hyperlink" xfId="1" builtinId="8"/>
    <cellStyle name="Normal" xfId="0" builtinId="0"/>
  </cellStyles>
  <dxfs count="4">
    <dxf>
      <fill>
        <patternFill patternType="darkTrellis">
          <fgColor rgb="FF008080"/>
          <bgColor rgb="FF003231"/>
        </patternFill>
      </fill>
    </dxf>
    <dxf>
      <fill>
        <patternFill>
          <bgColor rgb="FF008080"/>
        </patternFill>
      </fill>
    </dxf>
    <dxf>
      <font>
        <b/>
        <i val="0"/>
        <strike val="0"/>
        <color theme="0"/>
      </font>
      <fill>
        <patternFill>
          <bgColor rgb="FF003B3A"/>
        </patternFill>
      </fill>
    </dxf>
    <dxf>
      <fill>
        <gradientFill degree="90">
          <stop position="0">
            <color theme="0"/>
          </stop>
          <stop position="1">
            <color rgb="FF008080"/>
          </stop>
        </gradient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Table Style 1" pivot="0" count="4">
      <tableStyleElement type="wholeTable" dxfId="3"/>
      <tableStyleElement type="headerRow" dxfId="2"/>
      <tableStyleElement type="firstRowStripe" dxfId="1"/>
      <tableStyleElement type="firstColumnStripe" dxfId="0"/>
    </tableStyle>
  </tableStyles>
  <colors>
    <mruColors>
      <color rgb="FF1FA5B7"/>
      <color rgb="FF1B4549"/>
      <color rgb="FF00FFCC"/>
      <color rgb="FF00E2B7"/>
      <color rgb="FF33FFD8"/>
      <color rgb="FF0CB4D6"/>
      <color rgb="FF12CAF0"/>
      <color rgb="FF0DCAF0"/>
      <color rgb="FF0EC0E4"/>
      <color rgb="FF3381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323850</xdr:colOff>
      <xdr:row>6</xdr:row>
      <xdr:rowOff>38102</xdr:rowOff>
    </xdr:from>
    <xdr:to>
      <xdr:col>4</xdr:col>
      <xdr:colOff>628650</xdr:colOff>
      <xdr:row>6</xdr:row>
      <xdr:rowOff>161926</xdr:rowOff>
    </xdr:to>
    <mc:AlternateContent xmlns:mc="http://schemas.openxmlformats.org/markup-compatibility/2006" xmlns:a14="http://schemas.microsoft.com/office/drawing/2010/main">
      <mc:Choice Requires="a14">
        <xdr:sp macro="[0]!Btn_GetInv" textlink="">
          <xdr:nvSpPr>
            <xdr:cNvPr id="4" name="Rectangle: Rounded Corners 3">
              <a:extLst>
                <a:ext uri="{FF2B5EF4-FFF2-40B4-BE49-F238E27FC236}">
                  <a16:creationId xmlns:a16="http://schemas.microsoft.com/office/drawing/2014/main" xmlns="" id="{8C640577-B914-47DF-98FC-AF3115F26F91}"/>
                </a:ext>
              </a:extLst>
            </xdr:cNvPr>
            <xdr:cNvSpPr/>
          </xdr:nvSpPr>
          <xdr:spPr>
            <a:xfrm>
              <a:off x="9163050" y="1285877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D" sz="8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⇋</m:t>
                    </m:r>
                  </m:oMath>
                </m:oMathPara>
              </a14:m>
              <a:endParaRPr lang="en-ID" sz="800" b="1">
                <a:solidFill>
                  <a:schemeClr val="bg1"/>
                </a:solidFill>
              </a:endParaRPr>
            </a:p>
          </xdr:txBody>
        </xdr:sp>
      </mc:Choice>
      <mc:Fallback xmlns="">
        <xdr:sp macro="[0]!Btn_GetInv" textlink="">
          <xdr:nvSpPr>
            <xdr:cNvPr id="4" name="Rectangle: Rounded Corners 3">
              <a:extLst>
                <a:ext uri="{FF2B5EF4-FFF2-40B4-BE49-F238E27FC236}">
                  <a16:creationId xmlns:a16="http://schemas.microsoft.com/office/drawing/2014/main" id="{8C640577-B914-47DF-98FC-AF3115F26F91}"/>
                </a:ext>
              </a:extLst>
            </xdr:cNvPr>
            <xdr:cNvSpPr/>
          </xdr:nvSpPr>
          <xdr:spPr>
            <a:xfrm>
              <a:off x="9163050" y="1285877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ID" sz="800" b="1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⇋</a:t>
              </a:r>
              <a:endParaRPr lang="en-ID" sz="800" b="1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4</xdr:col>
      <xdr:colOff>323850</xdr:colOff>
      <xdr:row>7</xdr:row>
      <xdr:rowOff>47627</xdr:rowOff>
    </xdr:from>
    <xdr:to>
      <xdr:col>4</xdr:col>
      <xdr:colOff>628650</xdr:colOff>
      <xdr:row>7</xdr:row>
      <xdr:rowOff>171451</xdr:rowOff>
    </xdr:to>
    <mc:AlternateContent xmlns:mc="http://schemas.openxmlformats.org/markup-compatibility/2006" xmlns:a14="http://schemas.microsoft.com/office/drawing/2010/main">
      <mc:Choice Requires="a14">
        <xdr:sp macro="[0]!Btn_GetFinalSI" textlink="">
          <xdr:nvSpPr>
            <xdr:cNvPr id="8" name="Rectangle: Rounded Corners 7">
              <a:extLst>
                <a:ext uri="{FF2B5EF4-FFF2-40B4-BE49-F238E27FC236}">
                  <a16:creationId xmlns:a16="http://schemas.microsoft.com/office/drawing/2014/main" xmlns="" id="{681BDCF4-C323-4CBE-B281-C37F0CCE379B}"/>
                </a:ext>
              </a:extLst>
            </xdr:cNvPr>
            <xdr:cNvSpPr/>
          </xdr:nvSpPr>
          <xdr:spPr>
            <a:xfrm>
              <a:off x="9163050" y="1504952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D" sz="8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⇋</m:t>
                    </m:r>
                  </m:oMath>
                </m:oMathPara>
              </a14:m>
              <a:endParaRPr lang="en-ID" sz="800" b="1">
                <a:solidFill>
                  <a:schemeClr val="bg1"/>
                </a:solidFill>
              </a:endParaRPr>
            </a:p>
          </xdr:txBody>
        </xdr:sp>
      </mc:Choice>
      <mc:Fallback xmlns="">
        <xdr:sp macro="[0]!Btn_GetFinalSI" textlink="">
          <xdr:nvSpPr>
            <xdr:cNvPr id="8" name="Rectangle: Rounded Corners 7">
              <a:extLst>
                <a:ext uri="{FF2B5EF4-FFF2-40B4-BE49-F238E27FC236}">
                  <a16:creationId xmlns:a16="http://schemas.microsoft.com/office/drawing/2014/main" id="{681BDCF4-C323-4CBE-B281-C37F0CCE379B}"/>
                </a:ext>
              </a:extLst>
            </xdr:cNvPr>
            <xdr:cNvSpPr/>
          </xdr:nvSpPr>
          <xdr:spPr>
            <a:xfrm>
              <a:off x="9163050" y="1504952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ID" sz="800" b="1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⇋</a:t>
              </a:r>
              <a:endParaRPr lang="en-ID" sz="800" b="1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>
    <xdr:from>
      <xdr:col>4</xdr:col>
      <xdr:colOff>323850</xdr:colOff>
      <xdr:row>8</xdr:row>
      <xdr:rowOff>57152</xdr:rowOff>
    </xdr:from>
    <xdr:to>
      <xdr:col>4</xdr:col>
      <xdr:colOff>628650</xdr:colOff>
      <xdr:row>8</xdr:row>
      <xdr:rowOff>180976</xdr:rowOff>
    </xdr:to>
    <mc:AlternateContent xmlns:mc="http://schemas.openxmlformats.org/markup-compatibility/2006" xmlns:a14="http://schemas.microsoft.com/office/drawing/2010/main">
      <mc:Choice Requires="a14">
        <xdr:sp macro="[0]!Btn_GetLoadingan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xmlns="" id="{D158F45C-66B0-4BB1-9B42-1103E8FF1A6B}"/>
                </a:ext>
              </a:extLst>
            </xdr:cNvPr>
            <xdr:cNvSpPr/>
          </xdr:nvSpPr>
          <xdr:spPr>
            <a:xfrm>
              <a:off x="9163050" y="1724027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ID" sz="800" b="1" i="1">
                        <a:solidFill>
                          <a:schemeClr val="bg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⇋</m:t>
                    </m:r>
                  </m:oMath>
                </m:oMathPara>
              </a14:m>
              <a:endParaRPr lang="en-ID" sz="800" b="1">
                <a:solidFill>
                  <a:schemeClr val="bg1"/>
                </a:solidFill>
              </a:endParaRPr>
            </a:p>
          </xdr:txBody>
        </xdr:sp>
      </mc:Choice>
      <mc:Fallback xmlns="">
        <xdr:sp macro="[0]!Btn_GetLoadingan" textlink="">
          <xdr:nvSpPr>
            <xdr:cNvPr id="9" name="Rectangle: Rounded Corners 8">
              <a:extLst>
                <a:ext uri="{FF2B5EF4-FFF2-40B4-BE49-F238E27FC236}">
                  <a16:creationId xmlns:a16="http://schemas.microsoft.com/office/drawing/2014/main" id="{D158F45C-66B0-4BB1-9B42-1103E8FF1A6B}"/>
                </a:ext>
              </a:extLst>
            </xdr:cNvPr>
            <xdr:cNvSpPr/>
          </xdr:nvSpPr>
          <xdr:spPr>
            <a:xfrm>
              <a:off x="9163050" y="1724027"/>
              <a:ext cx="304800" cy="123824"/>
            </a:xfrm>
            <a:prstGeom prst="roundRect">
              <a:avLst/>
            </a:prstGeom>
            <a:solidFill>
              <a:srgbClr val="003D5C"/>
            </a:solidFill>
            <a:effectLst>
              <a:outerShdw blurRad="57150" dist="19050" dir="5400000" algn="ctr" rotWithShape="0">
                <a:schemeClr val="tx1">
                  <a:alpha val="63000"/>
                </a:schemeClr>
              </a:outerShdw>
            </a:effectLst>
            <a:scene3d>
              <a:camera prst="orthographicFront"/>
              <a:lightRig rig="threePt" dir="t"/>
            </a:scene3d>
            <a:sp3d extrusionH="63500" contourW="12700">
              <a:bevelB w="101600" h="50800" prst="relaxedInset"/>
              <a:extrusionClr>
                <a:schemeClr val="bg1"/>
              </a:extrusionClr>
              <a:contourClr>
                <a:schemeClr val="tx1"/>
              </a:contourClr>
            </a:sp3d>
          </xdr:spPr>
          <xdr:style>
            <a:lnRef idx="0">
              <a:schemeClr val="dk1"/>
            </a:lnRef>
            <a:fillRef idx="3">
              <a:schemeClr val="dk1"/>
            </a:fillRef>
            <a:effectRef idx="3">
              <a:schemeClr val="dk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ID" sz="800" b="1" i="0">
                  <a:solidFill>
                    <a:schemeClr val="bg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⇋</a:t>
              </a:r>
              <a:endParaRPr lang="en-ID" sz="800" b="1">
                <a:solidFill>
                  <a:schemeClr val="bg1"/>
                </a:solidFill>
              </a:endParaRPr>
            </a:p>
          </xdr:txBody>
        </xdr:sp>
      </mc:Fallback>
    </mc:AlternateContent>
    <xdr:clientData/>
  </xdr:twoCellAnchor>
  <xdr:twoCellAnchor editAs="oneCell">
    <xdr:from>
      <xdr:col>0</xdr:col>
      <xdr:colOff>57151</xdr:colOff>
      <xdr:row>4</xdr:row>
      <xdr:rowOff>133350</xdr:rowOff>
    </xdr:from>
    <xdr:to>
      <xdr:col>1</xdr:col>
      <xdr:colOff>523877</xdr:colOff>
      <xdr:row>8</xdr:row>
      <xdr:rowOff>142876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xmlns="" id="{C17409C6-3C02-2F6B-0D96-583299F8A0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1" y="933450"/>
          <a:ext cx="923926" cy="923926"/>
        </a:xfrm>
        <a:prstGeom prst="rect">
          <a:avLst/>
        </a:prstGeom>
      </xdr:spPr>
    </xdr:pic>
    <xdr:clientData/>
  </xdr:twoCellAnchor>
  <xdr:twoCellAnchor>
    <xdr:from>
      <xdr:col>3</xdr:col>
      <xdr:colOff>1754188</xdr:colOff>
      <xdr:row>14</xdr:row>
      <xdr:rowOff>107498</xdr:rowOff>
    </xdr:from>
    <xdr:to>
      <xdr:col>3</xdr:col>
      <xdr:colOff>4680562</xdr:colOff>
      <xdr:row>16</xdr:row>
      <xdr:rowOff>142876</xdr:rowOff>
    </xdr:to>
    <xdr:grpSp>
      <xdr:nvGrpSpPr>
        <xdr:cNvPr id="28" name="Group 27">
          <a:extLst>
            <a:ext uri="{FF2B5EF4-FFF2-40B4-BE49-F238E27FC236}">
              <a16:creationId xmlns:a16="http://schemas.microsoft.com/office/drawing/2014/main" xmlns="" id="{D1D3FD83-9093-706A-F062-75C73C9DC241}"/>
            </a:ext>
          </a:extLst>
        </xdr:cNvPr>
        <xdr:cNvGrpSpPr/>
      </xdr:nvGrpSpPr>
      <xdr:grpSpPr>
        <a:xfrm>
          <a:off x="3811588" y="3012623"/>
          <a:ext cx="2926374" cy="435428"/>
          <a:chOff x="3920303" y="3012623"/>
          <a:chExt cx="2926374" cy="435428"/>
        </a:xfrm>
      </xdr:grpSpPr>
      <xdr:sp macro="[0]!Main_CreateInvoice" textlink="">
        <xdr:nvSpPr>
          <xdr:cNvPr id="7" name="Hexagon 6">
            <a:extLst>
              <a:ext uri="{FF2B5EF4-FFF2-40B4-BE49-F238E27FC236}">
                <a16:creationId xmlns:a16="http://schemas.microsoft.com/office/drawing/2014/main" xmlns="" id="{BE02058E-C6C8-862F-99E0-7154E1F9DE9B}"/>
              </a:ext>
            </a:extLst>
          </xdr:cNvPr>
          <xdr:cNvSpPr/>
        </xdr:nvSpPr>
        <xdr:spPr>
          <a:xfrm>
            <a:off x="3920303" y="3012623"/>
            <a:ext cx="2926374" cy="435428"/>
          </a:xfrm>
          <a:prstGeom prst="hexagon">
            <a:avLst/>
          </a:prstGeom>
          <a:solidFill>
            <a:srgbClr val="205156"/>
          </a:solidFill>
          <a:ln w="3175">
            <a:solidFill>
              <a:schemeClr val="tx1"/>
            </a:solidFill>
          </a:ln>
          <a:effectLst>
            <a:outerShdw blurRad="114300" dir="7200000" sx="96000" sy="96000" algn="ctr" rotWithShape="0">
              <a:srgbClr val="0DCAF0"/>
            </a:outerShdw>
          </a:effectLst>
          <a:scene3d>
            <a:camera prst="orthographicFront"/>
            <a:lightRig rig="threePt" dir="t"/>
          </a:scene3d>
          <a:sp3d extrusionH="19050" contourW="12700" prstMaterial="dkEdge">
            <a:bevelT w="139700" h="260350" prst="cross"/>
            <a:bevelB w="50800" prst="relaxedInset"/>
            <a:extrusionClr>
              <a:schemeClr val="tx1"/>
            </a:extrusionClr>
            <a:contourClr>
              <a:srgbClr val="0EC0E4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ysClr val="windowText" lastClr="000000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░ ►</a:t>
            </a:r>
            <a:r>
              <a:rPr lang="en-US" sz="1100" b="1">
                <a:solidFill>
                  <a:sysClr val="windowText" lastClr="000000"/>
                </a:solidFill>
                <a:latin typeface="Century Gothic" panose="020B0502020202020204" pitchFamily="34" charset="0"/>
              </a:rPr>
              <a:t>CREATE INVOICE</a:t>
            </a:r>
            <a:r>
              <a:rPr lang="en-US" sz="1100" b="1">
                <a:solidFill>
                  <a:sysClr val="windowText" lastClr="000000"/>
                </a:solidFill>
                <a:effectLst/>
                <a:latin typeface="Century Gothic" panose="020B0502020202020204" pitchFamily="34" charset="0"/>
                <a:ea typeface="+mn-ea"/>
                <a:cs typeface="+mn-cs"/>
              </a:rPr>
              <a:t>◄ ░</a:t>
            </a:r>
            <a:endParaRPr lang="en-US" sz="1100" b="1">
              <a:solidFill>
                <a:sysClr val="windowText" lastClr="000000"/>
              </a:solidFill>
              <a:latin typeface="Century Gothic" panose="020B0502020202020204" pitchFamily="34" charset="0"/>
            </a:endParaRPr>
          </a:p>
        </xdr:txBody>
      </xdr:sp>
      <xdr:pic>
        <xdr:nvPicPr>
          <xdr:cNvPr id="24" name="Picture 23">
            <a:extLst>
              <a:ext uri="{FF2B5EF4-FFF2-40B4-BE49-F238E27FC236}">
                <a16:creationId xmlns:a16="http://schemas.microsoft.com/office/drawing/2014/main" xmlns="" id="{E6D62C9E-2D60-B727-F5E9-BF440C3A8D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247952" y="3094082"/>
            <a:ext cx="271532" cy="272511"/>
          </a:xfrm>
          <a:prstGeom prst="rect">
            <a:avLst/>
          </a:prstGeom>
        </xdr:spPr>
      </xdr:pic>
      <xdr:pic>
        <xdr:nvPicPr>
          <xdr:cNvPr id="26" name="Picture 25">
            <a:extLst>
              <a:ext uri="{FF2B5EF4-FFF2-40B4-BE49-F238E27FC236}">
                <a16:creationId xmlns:a16="http://schemas.microsoft.com/office/drawing/2014/main" xmlns="" id="{B0A421C7-8467-73DD-41DD-239A493FAB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247497" y="3096109"/>
            <a:ext cx="265385" cy="268457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483700</xdr:colOff>
      <xdr:row>10</xdr:row>
      <xdr:rowOff>162584</xdr:rowOff>
    </xdr:from>
    <xdr:to>
      <xdr:col>4</xdr:col>
      <xdr:colOff>102700</xdr:colOff>
      <xdr:row>12</xdr:row>
      <xdr:rowOff>123323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xmlns="" id="{1BF4B71F-78B1-DD85-906A-19CF2E503AE2}"/>
            </a:ext>
          </a:extLst>
        </xdr:cNvPr>
        <xdr:cNvGrpSpPr/>
      </xdr:nvGrpSpPr>
      <xdr:grpSpPr>
        <a:xfrm>
          <a:off x="2541100" y="2277134"/>
          <a:ext cx="5467350" cy="351264"/>
          <a:chOff x="2536830" y="2134916"/>
          <a:chExt cx="5465379" cy="351264"/>
        </a:xfrm>
      </xdr:grpSpPr>
      <xdr:sp macro="[0]!Main_PackingList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xmlns="" id="{E910F26D-67A8-F592-18AB-0270469C978B}"/>
              </a:ext>
            </a:extLst>
          </xdr:cNvPr>
          <xdr:cNvSpPr/>
        </xdr:nvSpPr>
        <xdr:spPr>
          <a:xfrm>
            <a:off x="2536830" y="2134916"/>
            <a:ext cx="5465379" cy="351264"/>
          </a:xfrm>
          <a:prstGeom prst="roundRect">
            <a:avLst/>
          </a:prstGeom>
          <a:solidFill>
            <a:srgbClr val="1FA5B7"/>
          </a:solidFill>
          <a:ln w="22225">
            <a:noFill/>
          </a:ln>
          <a:effectLst>
            <a:glow>
              <a:srgbClr val="0CB4D6"/>
            </a:glow>
            <a:outerShdw sx="1000" sy="1000" algn="ctr" rotWithShape="0">
              <a:srgbClr val="00FFCC"/>
            </a:outerShdw>
            <a:reflection stA="24000" endPos="8000" dist="63500" dir="5400000" sy="-100000" algn="bl" rotWithShape="0"/>
            <a:softEdge rad="0"/>
          </a:effectLst>
          <a:scene3d>
            <a:camera prst="orthographicFront"/>
            <a:lightRig rig="threePt" dir="t"/>
          </a:scene3d>
          <a:sp3d prstMaterial="dkEdge">
            <a:bevelT w="82550" h="101600" prst="convex"/>
            <a:bevelB w="6350" h="0" prst="relaxedInset"/>
            <a:extrusionClr>
              <a:srgbClr val="0F444F"/>
            </a:extrusionClr>
            <a:contourClr>
              <a:srgbClr val="0CB4D6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050" b="1">
                <a:solidFill>
                  <a:sysClr val="windowText" lastClr="000000"/>
                </a:solidFill>
                <a:latin typeface="Trebuchet MS" panose="020B0603020202020204" pitchFamily="34" charset="0"/>
              </a:rPr>
              <a:t>░ ► CREATE PACKING LIST</a:t>
            </a:r>
            <a:r>
              <a:rPr lang="en-US" sz="1050" b="1" baseline="0">
                <a:solidFill>
                  <a:sysClr val="windowText" lastClr="000000"/>
                </a:solidFill>
                <a:latin typeface="Trebuchet MS" panose="020B0603020202020204" pitchFamily="34" charset="0"/>
              </a:rPr>
              <a:t> </a:t>
            </a:r>
            <a:r>
              <a:rPr lang="en-US" sz="1050" b="1">
                <a:solidFill>
                  <a:sysClr val="windowText" lastClr="000000"/>
                </a:solidFill>
                <a:latin typeface="Trebuchet MS" panose="020B0603020202020204" pitchFamily="34" charset="0"/>
              </a:rPr>
              <a:t>◄ ░</a:t>
            </a:r>
          </a:p>
        </xdr:txBody>
      </xdr:sp>
      <xdr:pic>
        <xdr:nvPicPr>
          <xdr:cNvPr id="6" name="Picture 5">
            <a:extLst>
              <a:ext uri="{FF2B5EF4-FFF2-40B4-BE49-F238E27FC236}">
                <a16:creationId xmlns:a16="http://schemas.microsoft.com/office/drawing/2014/main" xmlns="" id="{B9BE3BE6-E4B6-4000-9BDC-6EF2E3D4DD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 flipH="1">
            <a:off x="4037839" y="2198094"/>
            <a:ext cx="224908" cy="224908"/>
          </a:xfrm>
          <a:prstGeom prst="rect">
            <a:avLst/>
          </a:prstGeom>
          <a:ln>
            <a:noFill/>
          </a:ln>
          <a:scene3d>
            <a:camera prst="orthographicFront"/>
            <a:lightRig rig="threePt" dir="t"/>
          </a:scene3d>
          <a:sp3d prstMaterial="dkEdge">
            <a:bevelT w="82550" h="88900" prst="convex"/>
          </a:sp3d>
        </xdr:spPr>
      </xdr:pic>
      <xdr:pic>
        <xdr:nvPicPr>
          <xdr:cNvPr id="30" name="Picture 29">
            <a:extLst>
              <a:ext uri="{FF2B5EF4-FFF2-40B4-BE49-F238E27FC236}">
                <a16:creationId xmlns:a16="http://schemas.microsoft.com/office/drawing/2014/main" xmlns="" id="{C0F8E3B4-6F41-952D-1AF2-20DAA05A5F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/>
        </xdr:blipFill>
        <xdr:spPr>
          <a:xfrm flipH="1">
            <a:off x="6285739" y="2198094"/>
            <a:ext cx="224908" cy="224908"/>
          </a:xfrm>
          <a:prstGeom prst="rect">
            <a:avLst/>
          </a:prstGeom>
          <a:noFill/>
          <a:ln>
            <a:noFill/>
          </a:ln>
          <a:effectLst>
            <a:softEdge rad="0"/>
          </a:effectLst>
          <a:scene3d>
            <a:camera prst="orthographicFront"/>
            <a:lightRig rig="threePt" dir="t"/>
          </a:scene3d>
          <a:sp3d prstMaterial="dkEdge">
            <a:bevelT w="82550" h="88900" prst="convex"/>
          </a:sp3d>
        </xdr:spPr>
      </xdr:pic>
    </xdr:grp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../../../../../../2024/AGRON/20240621%20INV%200223%20AGRON%20BY%20SEA%20FM%20MAJALENGKA%202x40'HC%20ID2072/LOADINGAN%2021%20JUNI.xlsx" TargetMode="External"/><Relationship Id="rId7" Type="http://schemas.openxmlformats.org/officeDocument/2006/relationships/comments" Target="../comments1.xml"/><Relationship Id="rId2" Type="http://schemas.openxmlformats.org/officeDocument/2006/relationships/hyperlink" Target="TARIKAN%20EKSPOR%20PLAN" TargetMode="External"/><Relationship Id="rId1" Type="http://schemas.openxmlformats.org/officeDocument/2006/relationships/hyperlink" Target="../../../../../../../2024/AGRON/20240524%20INV%200177%20AGRON%20BY%20SEA%20FM%20MAJALENGKA%201x40'HC+1x20'%20ID2073/INV0177EXPGGV2024%20GCC.xlsx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F0"/>
  </sheetPr>
  <dimension ref="A1:Y2"/>
  <sheetViews>
    <sheetView topLeftCell="I1" workbookViewId="0">
      <selection activeCell="Q7" sqref="Q7"/>
    </sheetView>
  </sheetViews>
  <sheetFormatPr defaultRowHeight="15"/>
  <cols>
    <col min="6" max="6" width="8.85546875" bestFit="1" customWidth="1"/>
    <col min="25" max="25" width="23.85546875" customWidth="1"/>
  </cols>
  <sheetData>
    <row r="1" spans="1:25" s="25" customFormat="1" ht="25.5">
      <c r="A1" s="149" t="s">
        <v>0</v>
      </c>
      <c r="B1" s="150" t="s">
        <v>1</v>
      </c>
      <c r="C1" s="150"/>
      <c r="D1" s="151" t="s">
        <v>2</v>
      </c>
      <c r="E1" s="151" t="s">
        <v>3</v>
      </c>
      <c r="F1" s="148" t="s">
        <v>4</v>
      </c>
      <c r="G1" s="150" t="s">
        <v>5</v>
      </c>
      <c r="H1" s="150" t="s">
        <v>6</v>
      </c>
      <c r="I1" s="149" t="s">
        <v>7</v>
      </c>
      <c r="J1" s="148" t="s">
        <v>8</v>
      </c>
      <c r="K1" s="149" t="s">
        <v>9</v>
      </c>
      <c r="L1" s="152" t="s">
        <v>10</v>
      </c>
      <c r="M1" s="148" t="s">
        <v>11</v>
      </c>
      <c r="N1" s="148" t="s">
        <v>12</v>
      </c>
      <c r="O1" s="149" t="s">
        <v>13</v>
      </c>
      <c r="P1" s="155" t="s">
        <v>14</v>
      </c>
      <c r="Q1" s="156" t="s">
        <v>15</v>
      </c>
      <c r="R1" s="156"/>
      <c r="S1" s="156"/>
      <c r="T1" s="156"/>
      <c r="U1" s="156"/>
      <c r="V1" s="149" t="s">
        <v>16</v>
      </c>
      <c r="W1" s="23" t="s">
        <v>17</v>
      </c>
      <c r="X1" s="149" t="s">
        <v>18</v>
      </c>
      <c r="Y1" s="153" t="s">
        <v>19</v>
      </c>
    </row>
    <row r="2" spans="1:25" s="25" customFormat="1" ht="38.25">
      <c r="A2" s="149"/>
      <c r="B2" s="22" t="s">
        <v>20</v>
      </c>
      <c r="C2" s="22" t="s">
        <v>21</v>
      </c>
      <c r="D2" s="151"/>
      <c r="E2" s="151"/>
      <c r="F2" s="148"/>
      <c r="G2" s="150"/>
      <c r="H2" s="150"/>
      <c r="I2" s="149"/>
      <c r="J2" s="148"/>
      <c r="K2" s="149"/>
      <c r="L2" s="152"/>
      <c r="M2" s="148"/>
      <c r="N2" s="148"/>
      <c r="O2" s="149"/>
      <c r="P2" s="155"/>
      <c r="Q2" s="24" t="s">
        <v>22</v>
      </c>
      <c r="R2" s="24" t="s">
        <v>23</v>
      </c>
      <c r="S2" s="24" t="s">
        <v>24</v>
      </c>
      <c r="T2" s="24" t="s">
        <v>23</v>
      </c>
      <c r="U2" s="24" t="s">
        <v>25</v>
      </c>
      <c r="V2" s="149"/>
      <c r="W2" s="23" t="s">
        <v>26</v>
      </c>
      <c r="X2" s="149" t="s">
        <v>27</v>
      </c>
      <c r="Y2" s="154"/>
    </row>
  </sheetData>
  <mergeCells count="19">
    <mergeCell ref="Y1:Y2"/>
    <mergeCell ref="N1:N2"/>
    <mergeCell ref="O1:O2"/>
    <mergeCell ref="P1:P2"/>
    <mergeCell ref="Q1:U1"/>
    <mergeCell ref="V1:V2"/>
    <mergeCell ref="X1:X2"/>
    <mergeCell ref="M1:M2"/>
    <mergeCell ref="A1:A2"/>
    <mergeCell ref="B1:C1"/>
    <mergeCell ref="D1:D2"/>
    <mergeCell ref="E1:E2"/>
    <mergeCell ref="F1:F2"/>
    <mergeCell ref="G1:G2"/>
    <mergeCell ref="H1:H2"/>
    <mergeCell ref="I1:I2"/>
    <mergeCell ref="J1:J2"/>
    <mergeCell ref="K1:K2"/>
    <mergeCell ref="L1:L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00FFCC"/>
  </sheetPr>
  <dimension ref="A1:N555"/>
  <sheetViews>
    <sheetView topLeftCell="E1" workbookViewId="0"/>
  </sheetViews>
  <sheetFormatPr defaultRowHeight="15"/>
  <cols>
    <col min="1" max="3" width="9.140625" style="25"/>
    <col min="4" max="4" width="72.5703125" style="25" bestFit="1" customWidth="1"/>
    <col min="5" max="5" width="9.140625" style="25"/>
    <col min="6" max="6" width="65.28515625" style="25" bestFit="1" customWidth="1"/>
    <col min="7" max="8" width="9.140625" style="25"/>
    <col min="9" max="10" width="11.7109375" style="25" bestFit="1" customWidth="1"/>
    <col min="11" max="11" width="15.28515625" style="25" bestFit="1" customWidth="1"/>
    <col min="12" max="16384" width="9.140625" style="25"/>
  </cols>
  <sheetData>
    <row r="1" spans="1:14" ht="15.75" thickBot="1">
      <c r="A1" s="31"/>
      <c r="B1" s="32"/>
      <c r="C1" s="32"/>
      <c r="D1" s="33"/>
      <c r="E1" s="33"/>
      <c r="F1" s="159" t="s">
        <v>57</v>
      </c>
      <c r="G1" s="159"/>
      <c r="H1" s="159"/>
      <c r="I1" s="159"/>
      <c r="J1" s="159"/>
      <c r="K1" s="32"/>
      <c r="L1" s="32"/>
      <c r="M1" s="32"/>
      <c r="N1" s="34"/>
    </row>
    <row r="2" spans="1:14">
      <c r="A2" s="35"/>
      <c r="B2" s="36"/>
      <c r="C2" s="36"/>
      <c r="D2" s="37"/>
      <c r="E2" s="37"/>
      <c r="F2" s="159"/>
      <c r="G2" s="159"/>
      <c r="H2" s="159"/>
      <c r="I2" s="159"/>
      <c r="J2" s="159"/>
      <c r="K2" s="36"/>
      <c r="L2" s="36"/>
      <c r="M2" s="36"/>
      <c r="N2" s="38"/>
    </row>
    <row r="3" spans="1:14" ht="50.25">
      <c r="A3" s="39" t="s">
        <v>58</v>
      </c>
      <c r="B3" s="40"/>
      <c r="C3" s="40"/>
      <c r="D3" s="40"/>
      <c r="E3" s="40"/>
      <c r="F3" s="40"/>
      <c r="G3" s="41"/>
      <c r="H3" s="42" t="s">
        <v>59</v>
      </c>
      <c r="I3" s="43"/>
      <c r="J3" s="44"/>
      <c r="K3" s="45"/>
      <c r="L3" s="46" t="s">
        <v>60</v>
      </c>
      <c r="M3" s="44"/>
      <c r="N3" s="47"/>
    </row>
    <row r="4" spans="1:14">
      <c r="A4" s="48" t="s">
        <v>61</v>
      </c>
      <c r="B4" s="49"/>
      <c r="C4" s="49"/>
      <c r="D4" s="49"/>
      <c r="E4" s="49"/>
      <c r="F4" s="49"/>
      <c r="G4" s="50"/>
      <c r="H4" s="51" t="s">
        <v>62</v>
      </c>
      <c r="I4" s="52"/>
      <c r="J4" s="53"/>
      <c r="K4" s="54"/>
      <c r="L4" s="53"/>
      <c r="M4" s="53"/>
      <c r="N4" s="55"/>
    </row>
    <row r="5" spans="1:14">
      <c r="A5" s="48" t="s">
        <v>63</v>
      </c>
      <c r="B5" s="49"/>
      <c r="C5" s="49"/>
      <c r="D5" s="49"/>
      <c r="E5" s="49"/>
      <c r="F5" s="49"/>
      <c r="G5" s="50"/>
      <c r="H5" s="56">
        <v>45016</v>
      </c>
      <c r="I5" s="57"/>
      <c r="J5" s="36"/>
      <c r="K5" s="58"/>
      <c r="L5" s="36"/>
      <c r="M5" s="36"/>
      <c r="N5" s="38"/>
    </row>
    <row r="6" spans="1:14">
      <c r="A6" s="48" t="s">
        <v>64</v>
      </c>
      <c r="B6" s="49"/>
      <c r="C6" s="49"/>
      <c r="D6" s="49"/>
      <c r="E6" s="49"/>
      <c r="F6" s="49"/>
      <c r="G6" s="50"/>
      <c r="H6" s="59" t="s">
        <v>65</v>
      </c>
      <c r="I6" s="43"/>
      <c r="J6" s="44"/>
      <c r="K6" s="45"/>
      <c r="L6" s="60" t="s">
        <v>66</v>
      </c>
      <c r="M6" s="44"/>
      <c r="N6" s="47"/>
    </row>
    <row r="7" spans="1:14">
      <c r="A7" s="48" t="s">
        <v>67</v>
      </c>
      <c r="B7" s="49"/>
      <c r="C7" s="49"/>
      <c r="D7" s="49"/>
      <c r="E7" s="49"/>
      <c r="F7" s="49"/>
      <c r="G7" s="50"/>
      <c r="H7" s="51" t="s">
        <v>55</v>
      </c>
      <c r="I7" s="61"/>
      <c r="J7" s="53"/>
      <c r="K7" s="54"/>
      <c r="L7" s="53" t="s">
        <v>68</v>
      </c>
      <c r="M7" s="53"/>
      <c r="N7" s="55"/>
    </row>
    <row r="8" spans="1:14">
      <c r="A8" s="62"/>
      <c r="B8" s="63"/>
      <c r="C8" s="63"/>
      <c r="D8" s="63"/>
      <c r="E8" s="63"/>
      <c r="F8" s="63"/>
      <c r="G8" s="64"/>
      <c r="H8" s="65"/>
      <c r="I8" s="61"/>
      <c r="J8" s="53"/>
      <c r="K8" s="54"/>
      <c r="L8" s="53"/>
      <c r="M8" s="53"/>
      <c r="N8" s="55"/>
    </row>
    <row r="9" spans="1:14">
      <c r="A9" s="157" t="s">
        <v>69</v>
      </c>
      <c r="B9" s="157"/>
      <c r="C9" s="157"/>
      <c r="D9" s="157"/>
      <c r="E9" s="157"/>
      <c r="F9" s="157"/>
      <c r="G9" s="157"/>
      <c r="H9" s="158" t="s">
        <v>70</v>
      </c>
      <c r="I9" s="158"/>
      <c r="J9" s="158"/>
      <c r="K9" s="158"/>
      <c r="L9" s="158"/>
      <c r="M9" s="158"/>
      <c r="N9" s="158"/>
    </row>
    <row r="10" spans="1:14">
      <c r="A10" s="157" t="s">
        <v>71</v>
      </c>
      <c r="B10" s="157"/>
      <c r="C10" s="157"/>
      <c r="D10" s="157"/>
      <c r="E10" s="157"/>
      <c r="F10" s="157"/>
      <c r="G10" s="157"/>
      <c r="H10" s="66" t="s">
        <v>72</v>
      </c>
      <c r="I10" s="43"/>
      <c r="J10" s="44"/>
      <c r="K10" s="53"/>
      <c r="L10" s="67" t="s">
        <v>73</v>
      </c>
      <c r="M10" s="53"/>
      <c r="N10" s="55"/>
    </row>
    <row r="11" spans="1:14">
      <c r="A11" s="157"/>
      <c r="B11" s="157"/>
      <c r="C11" s="157"/>
      <c r="D11" s="157"/>
      <c r="E11" s="157"/>
      <c r="F11" s="157"/>
      <c r="G11" s="157"/>
      <c r="H11" s="65" t="s">
        <v>53</v>
      </c>
      <c r="I11" s="37"/>
      <c r="J11" s="36"/>
      <c r="K11" s="53"/>
      <c r="L11" s="68" t="s">
        <v>74</v>
      </c>
      <c r="M11" s="36"/>
      <c r="N11" s="38"/>
    </row>
    <row r="12" spans="1:14" ht="25.5">
      <c r="A12" s="157"/>
      <c r="B12" s="157"/>
      <c r="C12" s="157"/>
      <c r="D12" s="157"/>
      <c r="E12" s="157"/>
      <c r="F12" s="157"/>
      <c r="G12" s="157"/>
      <c r="H12" s="160" t="s">
        <v>75</v>
      </c>
      <c r="I12" s="160"/>
      <c r="J12" s="160"/>
      <c r="K12" s="160"/>
      <c r="L12" s="69"/>
      <c r="M12" s="44"/>
      <c r="N12" s="47"/>
    </row>
    <row r="13" spans="1:14">
      <c r="A13" s="157"/>
      <c r="B13" s="157"/>
      <c r="C13" s="157"/>
      <c r="D13" s="157"/>
      <c r="E13" s="157"/>
      <c r="F13" s="157"/>
      <c r="G13" s="157"/>
      <c r="H13" s="160"/>
      <c r="I13" s="160"/>
      <c r="J13" s="160"/>
      <c r="K13" s="160"/>
      <c r="L13" s="53"/>
      <c r="M13" s="53"/>
      <c r="N13" s="55"/>
    </row>
    <row r="14" spans="1:14" ht="27.75" customHeight="1">
      <c r="A14" s="157" t="s">
        <v>76</v>
      </c>
      <c r="B14" s="157"/>
      <c r="C14" s="157"/>
      <c r="D14" s="157"/>
      <c r="E14" s="157"/>
      <c r="F14" s="157"/>
      <c r="G14" s="157"/>
      <c r="H14" s="158" t="s">
        <v>77</v>
      </c>
      <c r="I14" s="158"/>
      <c r="J14" s="158"/>
      <c r="K14" s="158"/>
      <c r="L14" s="158"/>
      <c r="M14" s="158"/>
      <c r="N14" s="158"/>
    </row>
    <row r="15" spans="1:14">
      <c r="A15" s="157" t="s">
        <v>78</v>
      </c>
      <c r="B15" s="157"/>
      <c r="C15" s="157"/>
      <c r="D15" s="157"/>
      <c r="E15" s="157"/>
      <c r="F15" s="157"/>
      <c r="G15" s="157"/>
      <c r="H15" s="158" t="s">
        <v>79</v>
      </c>
      <c r="I15" s="158"/>
      <c r="J15" s="158"/>
      <c r="K15" s="158"/>
      <c r="L15" s="158"/>
      <c r="M15" s="158"/>
      <c r="N15" s="158"/>
    </row>
    <row r="16" spans="1:14">
      <c r="A16" s="157" t="s">
        <v>80</v>
      </c>
      <c r="B16" s="157"/>
      <c r="C16" s="157"/>
      <c r="D16" s="157"/>
      <c r="E16" s="157"/>
      <c r="F16" s="157"/>
      <c r="G16" s="157"/>
      <c r="H16" s="42" t="s">
        <v>81</v>
      </c>
      <c r="I16" s="43"/>
      <c r="J16" s="44"/>
      <c r="K16" s="44"/>
      <c r="L16" s="44"/>
      <c r="M16" s="44"/>
      <c r="N16" s="47"/>
    </row>
    <row r="17" spans="1:14">
      <c r="A17" s="157"/>
      <c r="B17" s="157"/>
      <c r="C17" s="157"/>
      <c r="D17" s="157"/>
      <c r="E17" s="157"/>
      <c r="F17" s="157"/>
      <c r="G17" s="157"/>
      <c r="H17" s="51" t="s">
        <v>82</v>
      </c>
      <c r="I17" s="61"/>
      <c r="J17" s="53"/>
      <c r="K17" s="61" t="s">
        <v>83</v>
      </c>
      <c r="L17" s="53"/>
      <c r="M17" s="53"/>
      <c r="N17" s="55"/>
    </row>
    <row r="18" spans="1:14">
      <c r="A18" s="157"/>
      <c r="B18" s="157"/>
      <c r="C18" s="157"/>
      <c r="D18" s="157"/>
      <c r="E18" s="157"/>
      <c r="F18" s="157"/>
      <c r="G18" s="157"/>
      <c r="H18" s="70" t="s">
        <v>84</v>
      </c>
      <c r="I18" s="61"/>
      <c r="J18" s="53"/>
      <c r="K18" s="53" t="s">
        <v>85</v>
      </c>
      <c r="L18" s="53"/>
      <c r="M18" s="53"/>
      <c r="N18" s="55"/>
    </row>
    <row r="19" spans="1:14">
      <c r="A19" s="157"/>
      <c r="B19" s="157"/>
      <c r="C19" s="157"/>
      <c r="D19" s="157"/>
      <c r="E19" s="157"/>
      <c r="F19" s="157"/>
      <c r="G19" s="157"/>
      <c r="H19" s="51" t="s">
        <v>86</v>
      </c>
      <c r="I19" s="61"/>
      <c r="J19" s="53"/>
      <c r="K19" s="71" t="s">
        <v>87</v>
      </c>
      <c r="L19" s="53"/>
      <c r="M19" s="53"/>
      <c r="N19" s="55"/>
    </row>
    <row r="20" spans="1:14">
      <c r="A20" s="157"/>
      <c r="B20" s="157"/>
      <c r="C20" s="157"/>
      <c r="D20" s="157"/>
      <c r="E20" s="157"/>
      <c r="F20" s="157"/>
      <c r="G20" s="157"/>
      <c r="H20" s="51" t="s">
        <v>88</v>
      </c>
      <c r="I20" s="72"/>
      <c r="J20" s="53"/>
      <c r="K20" s="73" t="s">
        <v>89</v>
      </c>
      <c r="L20" s="53"/>
      <c r="M20" s="53"/>
      <c r="N20" s="55"/>
    </row>
    <row r="21" spans="1:14">
      <c r="A21" s="157"/>
      <c r="B21" s="157"/>
      <c r="C21" s="157"/>
      <c r="D21" s="157"/>
      <c r="E21" s="157"/>
      <c r="F21" s="157"/>
      <c r="G21" s="157"/>
      <c r="H21" s="65" t="s">
        <v>90</v>
      </c>
      <c r="I21" s="37"/>
      <c r="J21" s="36"/>
      <c r="K21" s="74" t="s">
        <v>91</v>
      </c>
      <c r="L21" s="36"/>
      <c r="M21" s="36"/>
      <c r="N21" s="38"/>
    </row>
    <row r="22" spans="1:14">
      <c r="A22" s="75" t="s">
        <v>92</v>
      </c>
      <c r="B22" s="44"/>
      <c r="C22" s="44"/>
      <c r="D22" s="43"/>
      <c r="E22" s="43"/>
      <c r="F22" s="43"/>
      <c r="G22" s="44"/>
      <c r="H22" s="43"/>
      <c r="I22" s="43"/>
      <c r="J22" s="44"/>
      <c r="K22" s="76"/>
      <c r="L22" s="44"/>
      <c r="M22" s="44"/>
      <c r="N22" s="47"/>
    </row>
    <row r="23" spans="1:14">
      <c r="A23" s="169"/>
      <c r="B23" s="169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69"/>
      <c r="N23" s="169"/>
    </row>
    <row r="24" spans="1:14">
      <c r="A24" s="77"/>
      <c r="B24" s="53"/>
      <c r="C24" s="53"/>
      <c r="D24" s="61"/>
      <c r="E24" s="61"/>
      <c r="F24" s="61"/>
      <c r="G24" s="53"/>
      <c r="H24" s="61"/>
      <c r="I24" s="61"/>
      <c r="J24" s="53"/>
      <c r="K24" s="53"/>
      <c r="L24" s="53"/>
      <c r="M24" s="53"/>
      <c r="N24" s="55"/>
    </row>
    <row r="25" spans="1:14" ht="15.75" thickBot="1">
      <c r="A25" s="78"/>
      <c r="B25" s="79" t="s">
        <v>93</v>
      </c>
      <c r="C25" s="79" t="s">
        <v>94</v>
      </c>
      <c r="D25" s="79" t="s">
        <v>5</v>
      </c>
      <c r="E25" s="79" t="s">
        <v>6</v>
      </c>
      <c r="F25" s="79" t="s">
        <v>95</v>
      </c>
      <c r="G25" s="79" t="s">
        <v>96</v>
      </c>
      <c r="H25" s="80" t="s">
        <v>97</v>
      </c>
      <c r="I25" s="80" t="s">
        <v>98</v>
      </c>
      <c r="J25" s="80" t="s">
        <v>99</v>
      </c>
      <c r="K25" s="80" t="s">
        <v>100</v>
      </c>
      <c r="L25" s="53"/>
      <c r="M25" s="53"/>
      <c r="N25" s="55"/>
    </row>
    <row r="26" spans="1:14">
      <c r="A26" s="170" t="s">
        <v>101</v>
      </c>
      <c r="B26" s="170"/>
      <c r="C26" s="170"/>
      <c r="D26" s="170"/>
      <c r="E26" s="170"/>
      <c r="F26" s="170"/>
      <c r="G26" s="170"/>
      <c r="H26" s="170"/>
      <c r="I26" s="170"/>
      <c r="J26" s="170"/>
      <c r="K26" s="170"/>
      <c r="L26" s="53"/>
      <c r="M26" s="53"/>
      <c r="N26" s="55"/>
    </row>
    <row r="27" spans="1:14">
      <c r="A27" s="170"/>
      <c r="B27" s="170"/>
      <c r="C27" s="170"/>
      <c r="D27" s="170"/>
      <c r="E27" s="170"/>
      <c r="F27" s="170"/>
      <c r="G27" s="170"/>
      <c r="H27" s="170"/>
      <c r="I27" s="170"/>
      <c r="J27" s="170"/>
      <c r="K27" s="170"/>
      <c r="L27" s="53"/>
      <c r="M27" s="53"/>
      <c r="N27" s="55"/>
    </row>
    <row r="28" spans="1:14">
      <c r="A28" s="81"/>
      <c r="B28" s="82"/>
      <c r="C28" s="82"/>
      <c r="D28" s="82"/>
      <c r="E28" s="82"/>
      <c r="F28" s="82"/>
      <c r="G28" s="82"/>
      <c r="H28" s="83"/>
      <c r="I28" s="84"/>
      <c r="J28" s="85"/>
      <c r="K28" s="86"/>
      <c r="L28" s="53"/>
      <c r="M28" s="53"/>
      <c r="N28" s="55"/>
    </row>
    <row r="29" spans="1:14">
      <c r="A29" s="81"/>
      <c r="B29" s="82"/>
      <c r="C29" s="82"/>
      <c r="D29" s="82"/>
      <c r="E29" s="82"/>
      <c r="F29" s="82"/>
      <c r="G29" s="82"/>
      <c r="H29" s="83"/>
      <c r="I29" s="84"/>
      <c r="J29" s="85"/>
      <c r="K29" s="86"/>
      <c r="L29" s="53"/>
      <c r="M29" s="53"/>
      <c r="N29" s="55"/>
    </row>
    <row r="30" spans="1:14">
      <c r="A30" s="81"/>
      <c r="B30" s="82"/>
      <c r="C30" s="82"/>
      <c r="D30" s="82"/>
      <c r="E30" s="82"/>
      <c r="F30" s="82"/>
      <c r="G30" s="82"/>
      <c r="H30" s="83"/>
      <c r="I30" s="84"/>
      <c r="J30" s="85"/>
      <c r="K30" s="86"/>
      <c r="L30" s="53"/>
      <c r="M30" s="53"/>
      <c r="N30" s="55"/>
    </row>
    <row r="31" spans="1:14">
      <c r="A31" s="81"/>
      <c r="B31" s="82"/>
      <c r="C31" s="82"/>
      <c r="D31" s="82"/>
      <c r="E31" s="82"/>
      <c r="F31" s="82"/>
      <c r="G31" s="82"/>
      <c r="H31" s="83"/>
      <c r="I31" s="84"/>
      <c r="J31" s="85"/>
      <c r="K31" s="86"/>
      <c r="L31" s="53"/>
      <c r="M31" s="53"/>
      <c r="N31" s="55"/>
    </row>
    <row r="32" spans="1:14">
      <c r="A32" s="81"/>
      <c r="B32" s="82"/>
      <c r="C32" s="82"/>
      <c r="D32" s="82"/>
      <c r="E32" s="82"/>
      <c r="F32" s="82"/>
      <c r="G32" s="82"/>
      <c r="H32" s="83"/>
      <c r="I32" s="84"/>
      <c r="J32" s="85"/>
      <c r="K32" s="86"/>
      <c r="L32" s="53"/>
      <c r="M32" s="53"/>
      <c r="N32" s="55"/>
    </row>
    <row r="33" spans="1:14">
      <c r="A33" s="81"/>
      <c r="B33" s="82"/>
      <c r="C33" s="82"/>
      <c r="D33" s="82"/>
      <c r="E33" s="82"/>
      <c r="F33" s="82"/>
      <c r="G33" s="82"/>
      <c r="H33" s="83"/>
      <c r="I33" s="84"/>
      <c r="J33" s="85"/>
      <c r="K33" s="86"/>
      <c r="L33" s="53"/>
      <c r="M33" s="53"/>
      <c r="N33" s="55"/>
    </row>
    <row r="34" spans="1:14">
      <c r="A34" s="81"/>
      <c r="B34" s="82"/>
      <c r="C34" s="82"/>
      <c r="D34" s="82"/>
      <c r="E34" s="82"/>
      <c r="F34" s="82"/>
      <c r="G34" s="82"/>
      <c r="H34" s="83"/>
      <c r="I34" s="84"/>
      <c r="J34" s="85"/>
      <c r="K34" s="86"/>
      <c r="L34" s="53"/>
      <c r="M34" s="53"/>
      <c r="N34" s="55"/>
    </row>
    <row r="35" spans="1:14">
      <c r="A35" s="81"/>
      <c r="B35" s="82"/>
      <c r="C35" s="82"/>
      <c r="D35" s="82"/>
      <c r="E35" s="82"/>
      <c r="F35" s="82"/>
      <c r="G35" s="82"/>
      <c r="H35" s="83"/>
      <c r="I35" s="84"/>
      <c r="J35" s="85"/>
      <c r="K35" s="86"/>
      <c r="L35" s="53"/>
      <c r="M35" s="53"/>
      <c r="N35" s="55"/>
    </row>
    <row r="36" spans="1:14">
      <c r="A36" s="81"/>
      <c r="B36" s="82"/>
      <c r="C36" s="82"/>
      <c r="D36" s="82"/>
      <c r="E36" s="82"/>
      <c r="F36" s="82"/>
      <c r="G36" s="82"/>
      <c r="H36" s="83"/>
      <c r="I36" s="84"/>
      <c r="J36" s="85"/>
      <c r="K36" s="86"/>
      <c r="L36" s="53"/>
      <c r="M36" s="53"/>
      <c r="N36" s="55"/>
    </row>
    <row r="37" spans="1:14">
      <c r="A37" s="81"/>
      <c r="B37" s="82"/>
      <c r="C37" s="82"/>
      <c r="D37" s="82"/>
      <c r="E37" s="82"/>
      <c r="F37" s="82"/>
      <c r="G37" s="82"/>
      <c r="H37" s="83"/>
      <c r="I37" s="84"/>
      <c r="J37" s="85"/>
      <c r="K37" s="86"/>
      <c r="L37" s="53"/>
      <c r="M37" s="53"/>
      <c r="N37" s="55"/>
    </row>
    <row r="38" spans="1:14">
      <c r="A38" s="81"/>
      <c r="B38" s="82"/>
      <c r="C38" s="82"/>
      <c r="D38" s="82"/>
      <c r="E38" s="82"/>
      <c r="F38" s="82"/>
      <c r="G38" s="82"/>
      <c r="H38" s="83"/>
      <c r="I38" s="84"/>
      <c r="J38" s="85"/>
      <c r="K38" s="86"/>
      <c r="L38" s="53"/>
      <c r="M38" s="53"/>
      <c r="N38" s="55"/>
    </row>
    <row r="39" spans="1:14">
      <c r="A39" s="81"/>
      <c r="B39" s="82"/>
      <c r="C39" s="82"/>
      <c r="D39" s="82"/>
      <c r="E39" s="82"/>
      <c r="F39" s="82"/>
      <c r="G39" s="82"/>
      <c r="H39" s="83"/>
      <c r="I39" s="84"/>
      <c r="J39" s="85"/>
      <c r="K39" s="86"/>
      <c r="L39" s="53"/>
      <c r="M39" s="53"/>
      <c r="N39" s="55"/>
    </row>
    <row r="40" spans="1:14">
      <c r="A40" s="81"/>
      <c r="B40" s="82"/>
      <c r="C40" s="82"/>
      <c r="D40" s="82"/>
      <c r="E40" s="82"/>
      <c r="F40" s="82"/>
      <c r="G40" s="82"/>
      <c r="H40" s="83"/>
      <c r="I40" s="84"/>
      <c r="J40" s="85"/>
      <c r="K40" s="86"/>
      <c r="L40" s="53"/>
      <c r="M40" s="53"/>
      <c r="N40" s="55"/>
    </row>
    <row r="41" spans="1:14">
      <c r="A41" s="81"/>
      <c r="B41" s="82"/>
      <c r="C41" s="82"/>
      <c r="D41" s="82"/>
      <c r="E41" s="82"/>
      <c r="F41" s="82"/>
      <c r="G41" s="82"/>
      <c r="H41" s="83"/>
      <c r="I41" s="84"/>
      <c r="J41" s="85"/>
      <c r="K41" s="86"/>
      <c r="L41" s="53"/>
      <c r="M41" s="53"/>
      <c r="N41" s="55"/>
    </row>
    <row r="42" spans="1:14">
      <c r="A42" s="81"/>
      <c r="B42" s="82"/>
      <c r="C42" s="82"/>
      <c r="D42" s="82"/>
      <c r="E42" s="82"/>
      <c r="F42" s="82"/>
      <c r="G42" s="82"/>
      <c r="H42" s="83"/>
      <c r="I42" s="84"/>
      <c r="J42" s="85"/>
      <c r="K42" s="86"/>
      <c r="L42" s="53"/>
      <c r="M42" s="53"/>
      <c r="N42" s="55"/>
    </row>
    <row r="43" spans="1:14">
      <c r="A43" s="81"/>
      <c r="B43" s="82"/>
      <c r="C43" s="82"/>
      <c r="D43" s="82"/>
      <c r="E43" s="82"/>
      <c r="F43" s="82"/>
      <c r="G43" s="82"/>
      <c r="H43" s="83"/>
      <c r="I43" s="84"/>
      <c r="J43" s="85"/>
      <c r="K43" s="86"/>
      <c r="L43" s="53"/>
      <c r="M43" s="53"/>
      <c r="N43" s="55"/>
    </row>
    <row r="44" spans="1:14">
      <c r="A44" s="81"/>
      <c r="B44" s="82"/>
      <c r="C44" s="82"/>
      <c r="D44" s="82"/>
      <c r="E44" s="82"/>
      <c r="F44" s="82"/>
      <c r="G44" s="82"/>
      <c r="H44" s="83"/>
      <c r="I44" s="84"/>
      <c r="J44" s="85"/>
      <c r="K44" s="86"/>
      <c r="L44" s="53"/>
      <c r="M44" s="53"/>
      <c r="N44" s="55"/>
    </row>
    <row r="45" spans="1:14">
      <c r="A45" s="81"/>
      <c r="B45" s="82"/>
      <c r="C45" s="82"/>
      <c r="D45" s="82"/>
      <c r="E45" s="82"/>
      <c r="F45" s="82"/>
      <c r="G45" s="82"/>
      <c r="H45" s="83"/>
      <c r="I45" s="84"/>
      <c r="J45" s="85"/>
      <c r="K45" s="86"/>
      <c r="L45" s="53"/>
      <c r="M45" s="53"/>
      <c r="N45" s="55"/>
    </row>
    <row r="46" spans="1:14">
      <c r="A46" s="81"/>
      <c r="B46" s="82"/>
      <c r="C46" s="82"/>
      <c r="D46" s="82"/>
      <c r="E46" s="82"/>
      <c r="F46" s="82"/>
      <c r="G46" s="82"/>
      <c r="H46" s="83"/>
      <c r="I46" s="84"/>
      <c r="J46" s="85"/>
      <c r="K46" s="86"/>
      <c r="L46" s="53"/>
      <c r="M46" s="53"/>
      <c r="N46" s="55"/>
    </row>
    <row r="47" spans="1:14">
      <c r="A47" s="81"/>
      <c r="B47" s="82"/>
      <c r="C47" s="82"/>
      <c r="D47" s="82"/>
      <c r="E47" s="82"/>
      <c r="F47" s="82"/>
      <c r="G47" s="82"/>
      <c r="H47" s="83"/>
      <c r="I47" s="84"/>
      <c r="J47" s="85"/>
      <c r="K47" s="86"/>
      <c r="L47" s="53"/>
      <c r="M47" s="53"/>
      <c r="N47" s="55"/>
    </row>
    <row r="48" spans="1:14">
      <c r="A48" s="81"/>
      <c r="B48" s="82"/>
      <c r="C48" s="82"/>
      <c r="D48" s="82"/>
      <c r="E48" s="82"/>
      <c r="F48" s="82"/>
      <c r="G48" s="82"/>
      <c r="H48" s="83"/>
      <c r="I48" s="84"/>
      <c r="J48" s="85"/>
      <c r="K48" s="86"/>
      <c r="L48" s="53"/>
      <c r="M48" s="53"/>
      <c r="N48" s="55"/>
    </row>
    <row r="49" spans="1:14">
      <c r="A49" s="81"/>
      <c r="B49" s="82"/>
      <c r="C49" s="82"/>
      <c r="D49" s="82"/>
      <c r="E49" s="82"/>
      <c r="F49" s="82"/>
      <c r="G49" s="82"/>
      <c r="H49" s="83"/>
      <c r="I49" s="84"/>
      <c r="J49" s="85"/>
      <c r="K49" s="86"/>
      <c r="L49" s="53"/>
      <c r="M49" s="53"/>
      <c r="N49" s="55"/>
    </row>
    <row r="50" spans="1:14">
      <c r="A50" s="81"/>
      <c r="B50" s="82"/>
      <c r="C50" s="82"/>
      <c r="D50" s="82"/>
      <c r="E50" s="82"/>
      <c r="F50" s="82"/>
      <c r="G50" s="82"/>
      <c r="H50" s="83"/>
      <c r="I50" s="84"/>
      <c r="J50" s="85"/>
      <c r="K50" s="86"/>
      <c r="L50" s="53"/>
      <c r="M50" s="53"/>
      <c r="N50" s="55"/>
    </row>
    <row r="51" spans="1:14">
      <c r="A51" s="81"/>
      <c r="B51" s="82"/>
      <c r="C51" s="82"/>
      <c r="D51" s="82"/>
      <c r="E51" s="82"/>
      <c r="F51" s="82"/>
      <c r="G51" s="82"/>
      <c r="H51" s="83"/>
      <c r="I51" s="84"/>
      <c r="J51" s="85"/>
      <c r="K51" s="86"/>
      <c r="L51" s="53"/>
      <c r="M51" s="53"/>
      <c r="N51" s="55"/>
    </row>
    <row r="52" spans="1:14">
      <c r="A52" s="81"/>
      <c r="B52" s="82"/>
      <c r="C52" s="82"/>
      <c r="D52" s="82"/>
      <c r="E52" s="82"/>
      <c r="F52" s="82"/>
      <c r="G52" s="82"/>
      <c r="H52" s="83"/>
      <c r="I52" s="84"/>
      <c r="J52" s="85"/>
      <c r="K52" s="86"/>
      <c r="L52" s="53"/>
      <c r="M52" s="53"/>
      <c r="N52" s="55"/>
    </row>
    <row r="53" spans="1:14">
      <c r="A53" s="81"/>
      <c r="B53" s="82"/>
      <c r="C53" s="82"/>
      <c r="D53" s="82"/>
      <c r="E53" s="82"/>
      <c r="F53" s="82"/>
      <c r="G53" s="82"/>
      <c r="H53" s="83"/>
      <c r="I53" s="84"/>
      <c r="J53" s="85"/>
      <c r="K53" s="86"/>
      <c r="L53" s="53"/>
      <c r="M53" s="53"/>
      <c r="N53" s="55"/>
    </row>
    <row r="54" spans="1:14">
      <c r="A54" s="81"/>
      <c r="B54" s="82"/>
      <c r="C54" s="82"/>
      <c r="D54" s="82"/>
      <c r="E54" s="82"/>
      <c r="F54" s="82"/>
      <c r="G54" s="82"/>
      <c r="H54" s="83"/>
      <c r="I54" s="84"/>
      <c r="J54" s="85"/>
      <c r="K54" s="86"/>
      <c r="L54" s="53"/>
      <c r="M54" s="53"/>
      <c r="N54" s="55"/>
    </row>
    <row r="55" spans="1:14">
      <c r="A55" s="81"/>
      <c r="B55" s="82"/>
      <c r="C55" s="82"/>
      <c r="D55" s="82"/>
      <c r="E55" s="82"/>
      <c r="F55" s="82"/>
      <c r="G55" s="82"/>
      <c r="H55" s="83"/>
      <c r="I55" s="84"/>
      <c r="J55" s="85"/>
      <c r="K55" s="86"/>
      <c r="L55" s="53"/>
      <c r="M55" s="53"/>
      <c r="N55" s="55"/>
    </row>
    <row r="56" spans="1:14">
      <c r="A56" s="81"/>
      <c r="B56" s="82"/>
      <c r="C56" s="82"/>
      <c r="D56" s="82"/>
      <c r="E56" s="82"/>
      <c r="F56" s="82"/>
      <c r="G56" s="82"/>
      <c r="H56" s="83"/>
      <c r="I56" s="84"/>
      <c r="J56" s="85"/>
      <c r="K56" s="86"/>
      <c r="L56" s="53"/>
      <c r="M56" s="53"/>
      <c r="N56" s="55"/>
    </row>
    <row r="57" spans="1:14">
      <c r="A57" s="81"/>
      <c r="B57" s="82"/>
      <c r="C57" s="82"/>
      <c r="D57" s="82"/>
      <c r="E57" s="82"/>
      <c r="F57" s="82"/>
      <c r="G57" s="82"/>
      <c r="H57" s="83"/>
      <c r="I57" s="84"/>
      <c r="J57" s="85"/>
      <c r="K57" s="86"/>
      <c r="L57" s="53"/>
      <c r="M57" s="53"/>
      <c r="N57" s="55"/>
    </row>
    <row r="58" spans="1:14">
      <c r="A58" s="81"/>
      <c r="B58" s="82"/>
      <c r="C58" s="82"/>
      <c r="D58" s="82"/>
      <c r="E58" s="82"/>
      <c r="F58" s="82"/>
      <c r="G58" s="82"/>
      <c r="H58" s="83"/>
      <c r="I58" s="84"/>
      <c r="J58" s="85"/>
      <c r="K58" s="86"/>
      <c r="L58" s="53"/>
      <c r="M58" s="53"/>
      <c r="N58" s="55"/>
    </row>
    <row r="59" spans="1:14">
      <c r="A59" s="81"/>
      <c r="B59" s="82"/>
      <c r="C59" s="82"/>
      <c r="D59" s="82"/>
      <c r="E59" s="82"/>
      <c r="F59" s="82"/>
      <c r="G59" s="82"/>
      <c r="H59" s="83"/>
      <c r="I59" s="84"/>
      <c r="J59" s="85"/>
      <c r="K59" s="86"/>
      <c r="L59" s="53"/>
      <c r="M59" s="53"/>
      <c r="N59" s="55"/>
    </row>
    <row r="60" spans="1:14">
      <c r="A60" s="81"/>
      <c r="B60" s="82"/>
      <c r="C60" s="82"/>
      <c r="D60" s="82"/>
      <c r="E60" s="82"/>
      <c r="F60" s="82"/>
      <c r="G60" s="82"/>
      <c r="H60" s="83"/>
      <c r="I60" s="84"/>
      <c r="J60" s="85"/>
      <c r="K60" s="86"/>
      <c r="L60" s="53"/>
      <c r="M60" s="53"/>
      <c r="N60" s="55"/>
    </row>
    <row r="61" spans="1:14">
      <c r="A61" s="81"/>
      <c r="B61" s="82"/>
      <c r="C61" s="82"/>
      <c r="D61" s="82"/>
      <c r="E61" s="82"/>
      <c r="F61" s="82"/>
      <c r="G61" s="82"/>
      <c r="H61" s="83"/>
      <c r="I61" s="84"/>
      <c r="J61" s="85"/>
      <c r="K61" s="86"/>
      <c r="L61" s="53"/>
      <c r="M61" s="53"/>
      <c r="N61" s="55"/>
    </row>
    <row r="62" spans="1:14">
      <c r="A62" s="81"/>
      <c r="B62" s="82"/>
      <c r="C62" s="82"/>
      <c r="D62" s="82"/>
      <c r="E62" s="82"/>
      <c r="F62" s="82"/>
      <c r="G62" s="82"/>
      <c r="H62" s="83"/>
      <c r="I62" s="84"/>
      <c r="J62" s="85"/>
      <c r="K62" s="86"/>
      <c r="L62" s="53"/>
      <c r="M62" s="53"/>
      <c r="N62" s="55"/>
    </row>
    <row r="63" spans="1:14">
      <c r="A63" s="81"/>
      <c r="B63" s="82"/>
      <c r="C63" s="82"/>
      <c r="D63" s="82"/>
      <c r="E63" s="82"/>
      <c r="F63" s="82"/>
      <c r="G63" s="82"/>
      <c r="H63" s="83"/>
      <c r="I63" s="84"/>
      <c r="J63" s="85"/>
      <c r="K63" s="86"/>
      <c r="L63" s="53"/>
      <c r="M63" s="53"/>
      <c r="N63" s="55"/>
    </row>
    <row r="64" spans="1:14">
      <c r="A64" s="81"/>
      <c r="B64" s="82"/>
      <c r="C64" s="82"/>
      <c r="D64" s="82"/>
      <c r="E64" s="82"/>
      <c r="F64" s="82"/>
      <c r="G64" s="82"/>
      <c r="H64" s="83"/>
      <c r="I64" s="84"/>
      <c r="J64" s="85"/>
      <c r="K64" s="86"/>
      <c r="L64" s="53"/>
      <c r="M64" s="53"/>
      <c r="N64" s="55"/>
    </row>
    <row r="65" spans="1:14">
      <c r="A65" s="81"/>
      <c r="B65" s="82"/>
      <c r="C65" s="82"/>
      <c r="D65" s="82"/>
      <c r="E65" s="82"/>
      <c r="F65" s="82"/>
      <c r="G65" s="82"/>
      <c r="H65" s="83"/>
      <c r="I65" s="84"/>
      <c r="J65" s="85"/>
      <c r="K65" s="86"/>
      <c r="L65" s="53"/>
      <c r="M65" s="53"/>
      <c r="N65" s="55"/>
    </row>
    <row r="66" spans="1:14">
      <c r="A66" s="81"/>
      <c r="B66" s="82"/>
      <c r="C66" s="82"/>
      <c r="D66" s="82"/>
      <c r="E66" s="82"/>
      <c r="F66" s="82"/>
      <c r="G66" s="82"/>
      <c r="H66" s="83"/>
      <c r="I66" s="84"/>
      <c r="J66" s="85"/>
      <c r="K66" s="86"/>
      <c r="L66" s="53"/>
      <c r="M66" s="53"/>
      <c r="N66" s="55"/>
    </row>
    <row r="67" spans="1:14">
      <c r="A67" s="81"/>
      <c r="B67" s="82"/>
      <c r="C67" s="82"/>
      <c r="D67" s="82"/>
      <c r="E67" s="82"/>
      <c r="F67" s="82"/>
      <c r="G67" s="82"/>
      <c r="H67" s="83"/>
      <c r="I67" s="84"/>
      <c r="J67" s="85"/>
      <c r="K67" s="86"/>
      <c r="L67" s="53"/>
      <c r="M67" s="53"/>
      <c r="N67" s="55"/>
    </row>
    <row r="68" spans="1:14">
      <c r="A68" s="81"/>
      <c r="B68" s="82"/>
      <c r="C68" s="82"/>
      <c r="D68" s="82"/>
      <c r="E68" s="82"/>
      <c r="F68" s="82"/>
      <c r="G68" s="82"/>
      <c r="H68" s="83"/>
      <c r="I68" s="84"/>
      <c r="J68" s="85"/>
      <c r="K68" s="86"/>
      <c r="L68" s="53"/>
      <c r="M68" s="53"/>
      <c r="N68" s="55"/>
    </row>
    <row r="69" spans="1:14">
      <c r="A69" s="81"/>
      <c r="B69" s="82"/>
      <c r="C69" s="82"/>
      <c r="D69" s="82"/>
      <c r="E69" s="82"/>
      <c r="F69" s="82"/>
      <c r="G69" s="82"/>
      <c r="H69" s="83"/>
      <c r="I69" s="84"/>
      <c r="J69" s="85"/>
      <c r="K69" s="86"/>
      <c r="L69" s="53"/>
      <c r="M69" s="53"/>
      <c r="N69" s="55"/>
    </row>
    <row r="70" spans="1:14">
      <c r="A70" s="81"/>
      <c r="B70" s="82"/>
      <c r="C70" s="82"/>
      <c r="D70" s="82"/>
      <c r="E70" s="82"/>
      <c r="F70" s="82"/>
      <c r="G70" s="82"/>
      <c r="H70" s="83"/>
      <c r="I70" s="84"/>
      <c r="J70" s="85"/>
      <c r="K70" s="86"/>
      <c r="L70" s="53"/>
      <c r="M70" s="53"/>
      <c r="N70" s="55"/>
    </row>
    <row r="71" spans="1:14">
      <c r="A71" s="81"/>
      <c r="B71" s="82"/>
      <c r="C71" s="82"/>
      <c r="D71" s="82"/>
      <c r="E71" s="82"/>
      <c r="F71" s="82"/>
      <c r="G71" s="82"/>
      <c r="H71" s="83"/>
      <c r="I71" s="84"/>
      <c r="J71" s="85"/>
      <c r="K71" s="86"/>
      <c r="L71" s="53"/>
      <c r="M71" s="53"/>
      <c r="N71" s="55"/>
    </row>
    <row r="72" spans="1:14">
      <c r="A72" s="81"/>
      <c r="B72" s="82"/>
      <c r="C72" s="82"/>
      <c r="D72" s="82"/>
      <c r="E72" s="82"/>
      <c r="F72" s="82"/>
      <c r="G72" s="82"/>
      <c r="H72" s="83"/>
      <c r="I72" s="84"/>
      <c r="J72" s="85"/>
      <c r="K72" s="86"/>
      <c r="L72" s="53"/>
      <c r="M72" s="53"/>
      <c r="N72" s="55"/>
    </row>
    <row r="73" spans="1:14">
      <c r="A73" s="81"/>
      <c r="B73" s="82"/>
      <c r="C73" s="82"/>
      <c r="D73" s="82"/>
      <c r="E73" s="82"/>
      <c r="F73" s="82"/>
      <c r="G73" s="82"/>
      <c r="H73" s="83"/>
      <c r="I73" s="84"/>
      <c r="J73" s="85"/>
      <c r="K73" s="86"/>
      <c r="L73" s="53"/>
      <c r="M73" s="53"/>
      <c r="N73" s="55"/>
    </row>
    <row r="74" spans="1:14">
      <c r="A74" s="81"/>
      <c r="B74" s="82"/>
      <c r="C74" s="82"/>
      <c r="D74" s="82"/>
      <c r="E74" s="82"/>
      <c r="F74" s="82"/>
      <c r="G74" s="82"/>
      <c r="H74" s="83"/>
      <c r="I74" s="84"/>
      <c r="J74" s="85"/>
      <c r="K74" s="86"/>
      <c r="L74" s="53"/>
      <c r="M74" s="53"/>
      <c r="N74" s="55"/>
    </row>
    <row r="75" spans="1:14">
      <c r="A75" s="81"/>
      <c r="B75" s="82"/>
      <c r="C75" s="82"/>
      <c r="D75" s="82"/>
      <c r="E75" s="82"/>
      <c r="F75" s="82"/>
      <c r="G75" s="82"/>
      <c r="H75" s="83"/>
      <c r="I75" s="84"/>
      <c r="J75" s="85"/>
      <c r="K75" s="86"/>
      <c r="L75" s="53"/>
      <c r="M75" s="53"/>
      <c r="N75" s="55"/>
    </row>
    <row r="76" spans="1:14">
      <c r="A76" s="81"/>
      <c r="B76" s="82"/>
      <c r="C76" s="82"/>
      <c r="D76" s="82"/>
      <c r="E76" s="82"/>
      <c r="F76" s="82"/>
      <c r="G76" s="82"/>
      <c r="H76" s="83"/>
      <c r="I76" s="84"/>
      <c r="J76" s="85"/>
      <c r="K76" s="86"/>
      <c r="L76" s="53"/>
      <c r="M76" s="53"/>
      <c r="N76" s="55"/>
    </row>
    <row r="77" spans="1:14">
      <c r="A77" s="81"/>
      <c r="B77" s="82"/>
      <c r="C77" s="82"/>
      <c r="D77" s="82"/>
      <c r="E77" s="82"/>
      <c r="F77" s="82"/>
      <c r="G77" s="82"/>
      <c r="H77" s="83"/>
      <c r="I77" s="84"/>
      <c r="J77" s="85"/>
      <c r="K77" s="86"/>
      <c r="L77" s="53"/>
      <c r="M77" s="53"/>
      <c r="N77" s="55"/>
    </row>
    <row r="78" spans="1:14">
      <c r="A78" s="81"/>
      <c r="B78" s="82"/>
      <c r="C78" s="82"/>
      <c r="D78" s="82"/>
      <c r="E78" s="82"/>
      <c r="F78" s="82"/>
      <c r="G78" s="82"/>
      <c r="H78" s="83"/>
      <c r="I78" s="84"/>
      <c r="J78" s="85"/>
      <c r="K78" s="86"/>
      <c r="L78" s="53"/>
      <c r="M78" s="53"/>
      <c r="N78" s="55"/>
    </row>
    <row r="79" spans="1:14">
      <c r="A79" s="81"/>
      <c r="B79" s="82"/>
      <c r="C79" s="82"/>
      <c r="D79" s="82"/>
      <c r="E79" s="82"/>
      <c r="F79" s="82"/>
      <c r="G79" s="82"/>
      <c r="H79" s="83"/>
      <c r="I79" s="84"/>
      <c r="J79" s="85"/>
      <c r="K79" s="86"/>
      <c r="L79" s="53"/>
      <c r="M79" s="53"/>
      <c r="N79" s="55"/>
    </row>
    <row r="80" spans="1:14">
      <c r="A80" s="81"/>
      <c r="B80" s="82"/>
      <c r="C80" s="82"/>
      <c r="D80" s="82"/>
      <c r="E80" s="82"/>
      <c r="F80" s="82"/>
      <c r="G80" s="82"/>
      <c r="H80" s="83"/>
      <c r="I80" s="84"/>
      <c r="J80" s="85"/>
      <c r="K80" s="86"/>
      <c r="L80" s="53"/>
      <c r="M80" s="53"/>
      <c r="N80" s="55"/>
    </row>
    <row r="81" spans="1:14">
      <c r="A81" s="81"/>
      <c r="B81" s="82"/>
      <c r="C81" s="82"/>
      <c r="D81" s="82"/>
      <c r="E81" s="82"/>
      <c r="F81" s="82"/>
      <c r="G81" s="82"/>
      <c r="H81" s="83"/>
      <c r="I81" s="84"/>
      <c r="J81" s="85"/>
      <c r="K81" s="86"/>
      <c r="L81" s="53"/>
      <c r="M81" s="53"/>
      <c r="N81" s="55"/>
    </row>
    <row r="82" spans="1:14">
      <c r="A82" s="81"/>
      <c r="B82" s="82"/>
      <c r="C82" s="82"/>
      <c r="D82" s="82"/>
      <c r="E82" s="82"/>
      <c r="F82" s="82"/>
      <c r="G82" s="82"/>
      <c r="H82" s="83"/>
      <c r="I82" s="84"/>
      <c r="J82" s="85"/>
      <c r="K82" s="86"/>
      <c r="L82" s="53"/>
      <c r="M82" s="53"/>
      <c r="N82" s="55"/>
    </row>
    <row r="83" spans="1:14">
      <c r="A83" s="81"/>
      <c r="B83" s="82"/>
      <c r="C83" s="82"/>
      <c r="D83" s="82"/>
      <c r="E83" s="82"/>
      <c r="F83" s="82"/>
      <c r="G83" s="82"/>
      <c r="H83" s="83"/>
      <c r="I83" s="84"/>
      <c r="J83" s="85"/>
      <c r="K83" s="86"/>
      <c r="L83" s="53"/>
      <c r="M83" s="53"/>
      <c r="N83" s="55"/>
    </row>
    <row r="84" spans="1:14">
      <c r="A84" s="81"/>
      <c r="B84" s="82"/>
      <c r="C84" s="82"/>
      <c r="D84" s="82"/>
      <c r="E84" s="82"/>
      <c r="F84" s="82"/>
      <c r="G84" s="82"/>
      <c r="H84" s="83"/>
      <c r="I84" s="84"/>
      <c r="J84" s="85"/>
      <c r="K84" s="86"/>
      <c r="L84" s="53"/>
      <c r="M84" s="53"/>
      <c r="N84" s="55"/>
    </row>
    <row r="85" spans="1:14">
      <c r="A85" s="81"/>
      <c r="B85" s="82"/>
      <c r="C85" s="82"/>
      <c r="D85" s="82"/>
      <c r="E85" s="82"/>
      <c r="F85" s="82"/>
      <c r="G85" s="82"/>
      <c r="H85" s="83"/>
      <c r="I85" s="84"/>
      <c r="J85" s="85"/>
      <c r="K85" s="86"/>
      <c r="L85" s="53"/>
      <c r="M85" s="53"/>
      <c r="N85" s="55"/>
    </row>
    <row r="86" spans="1:14">
      <c r="A86" s="81"/>
      <c r="B86" s="82"/>
      <c r="C86" s="82"/>
      <c r="D86" s="82"/>
      <c r="E86" s="82"/>
      <c r="F86" s="82"/>
      <c r="G86" s="82"/>
      <c r="H86" s="83"/>
      <c r="I86" s="84"/>
      <c r="J86" s="85"/>
      <c r="K86" s="86"/>
      <c r="L86" s="53"/>
      <c r="M86" s="53"/>
      <c r="N86" s="55"/>
    </row>
    <row r="87" spans="1:14">
      <c r="A87" s="81"/>
      <c r="B87" s="82"/>
      <c r="C87" s="82"/>
      <c r="D87" s="82"/>
      <c r="E87" s="82"/>
      <c r="F87" s="82"/>
      <c r="G87" s="82"/>
      <c r="H87" s="83"/>
      <c r="I87" s="84"/>
      <c r="J87" s="85"/>
      <c r="K87" s="86"/>
      <c r="L87" s="53"/>
      <c r="M87" s="53"/>
      <c r="N87" s="55"/>
    </row>
    <row r="88" spans="1:14">
      <c r="A88" s="81"/>
      <c r="B88" s="82"/>
      <c r="C88" s="82"/>
      <c r="D88" s="82"/>
      <c r="E88" s="82"/>
      <c r="F88" s="82"/>
      <c r="G88" s="82"/>
      <c r="H88" s="83"/>
      <c r="I88" s="84"/>
      <c r="J88" s="85"/>
      <c r="K88" s="86"/>
      <c r="L88" s="53"/>
      <c r="M88" s="53"/>
      <c r="N88" s="55"/>
    </row>
    <row r="89" spans="1:14">
      <c r="A89" s="81"/>
      <c r="B89" s="82"/>
      <c r="C89" s="82"/>
      <c r="D89" s="82"/>
      <c r="E89" s="82"/>
      <c r="F89" s="82"/>
      <c r="G89" s="82"/>
      <c r="H89" s="83"/>
      <c r="I89" s="84"/>
      <c r="J89" s="85"/>
      <c r="K89" s="86"/>
      <c r="L89" s="53"/>
      <c r="M89" s="53"/>
      <c r="N89" s="55"/>
    </row>
    <row r="90" spans="1:14">
      <c r="A90" s="81"/>
      <c r="B90" s="82"/>
      <c r="C90" s="82"/>
      <c r="D90" s="82"/>
      <c r="E90" s="82"/>
      <c r="F90" s="82"/>
      <c r="G90" s="82"/>
      <c r="H90" s="83"/>
      <c r="I90" s="84"/>
      <c r="J90" s="85"/>
      <c r="K90" s="86"/>
      <c r="L90" s="53"/>
      <c r="M90" s="53"/>
      <c r="N90" s="55"/>
    </row>
    <row r="91" spans="1:14">
      <c r="A91" s="81"/>
      <c r="B91" s="82"/>
      <c r="C91" s="82"/>
      <c r="D91" s="82"/>
      <c r="E91" s="82"/>
      <c r="F91" s="82"/>
      <c r="G91" s="82"/>
      <c r="H91" s="83"/>
      <c r="I91" s="84"/>
      <c r="J91" s="85"/>
      <c r="K91" s="86"/>
      <c r="L91" s="53"/>
      <c r="M91" s="53"/>
      <c r="N91" s="55"/>
    </row>
    <row r="92" spans="1:14">
      <c r="A92" s="81"/>
      <c r="B92" s="82"/>
      <c r="C92" s="82"/>
      <c r="D92" s="82"/>
      <c r="E92" s="82"/>
      <c r="F92" s="82"/>
      <c r="G92" s="82"/>
      <c r="H92" s="83"/>
      <c r="I92" s="84"/>
      <c r="J92" s="85"/>
      <c r="K92" s="86"/>
      <c r="L92" s="53"/>
      <c r="M92" s="53"/>
      <c r="N92" s="55"/>
    </row>
    <row r="93" spans="1:14">
      <c r="A93" s="81"/>
      <c r="B93" s="82"/>
      <c r="C93" s="82"/>
      <c r="D93" s="82"/>
      <c r="E93" s="82"/>
      <c r="F93" s="82"/>
      <c r="G93" s="82"/>
      <c r="H93" s="83"/>
      <c r="I93" s="84"/>
      <c r="J93" s="85"/>
      <c r="K93" s="86"/>
      <c r="L93" s="53"/>
      <c r="M93" s="53"/>
      <c r="N93" s="55"/>
    </row>
    <row r="94" spans="1:14">
      <c r="A94" s="81"/>
      <c r="B94" s="82"/>
      <c r="C94" s="82"/>
      <c r="D94" s="82"/>
      <c r="E94" s="82"/>
      <c r="F94" s="82"/>
      <c r="G94" s="82"/>
      <c r="H94" s="83"/>
      <c r="I94" s="84"/>
      <c r="J94" s="85"/>
      <c r="K94" s="86"/>
      <c r="L94" s="53"/>
      <c r="M94" s="53"/>
      <c r="N94" s="55"/>
    </row>
    <row r="95" spans="1:14">
      <c r="A95" s="81"/>
      <c r="B95" s="82"/>
      <c r="C95" s="82"/>
      <c r="D95" s="82"/>
      <c r="E95" s="82"/>
      <c r="F95" s="82"/>
      <c r="G95" s="82"/>
      <c r="H95" s="83"/>
      <c r="I95" s="84"/>
      <c r="J95" s="85"/>
      <c r="K95" s="86"/>
      <c r="L95" s="53"/>
      <c r="M95" s="53"/>
      <c r="N95" s="55"/>
    </row>
    <row r="96" spans="1:14">
      <c r="A96" s="81"/>
      <c r="B96" s="82"/>
      <c r="C96" s="82"/>
      <c r="D96" s="82"/>
      <c r="E96" s="82"/>
      <c r="F96" s="82"/>
      <c r="G96" s="82"/>
      <c r="H96" s="83"/>
      <c r="I96" s="84"/>
      <c r="J96" s="85"/>
      <c r="K96" s="86"/>
      <c r="L96" s="53"/>
      <c r="M96" s="53"/>
      <c r="N96" s="55"/>
    </row>
    <row r="97" spans="1:14">
      <c r="A97" s="81"/>
      <c r="B97" s="82"/>
      <c r="C97" s="82"/>
      <c r="D97" s="82"/>
      <c r="E97" s="82"/>
      <c r="F97" s="82"/>
      <c r="G97" s="82"/>
      <c r="H97" s="83"/>
      <c r="I97" s="84"/>
      <c r="J97" s="85"/>
      <c r="K97" s="86"/>
      <c r="L97" s="53"/>
      <c r="M97" s="53"/>
      <c r="N97" s="55"/>
    </row>
    <row r="98" spans="1:14">
      <c r="A98" s="81"/>
      <c r="B98" s="82"/>
      <c r="C98" s="82"/>
      <c r="D98" s="82"/>
      <c r="E98" s="82"/>
      <c r="F98" s="82"/>
      <c r="G98" s="82"/>
      <c r="H98" s="83"/>
      <c r="I98" s="84"/>
      <c r="J98" s="85"/>
      <c r="K98" s="86"/>
      <c r="L98" s="53"/>
      <c r="M98" s="53"/>
      <c r="N98" s="55"/>
    </row>
    <row r="99" spans="1:14">
      <c r="A99" s="81"/>
      <c r="B99" s="82"/>
      <c r="C99" s="82"/>
      <c r="D99" s="82"/>
      <c r="E99" s="82"/>
      <c r="F99" s="82"/>
      <c r="G99" s="82"/>
      <c r="H99" s="83"/>
      <c r="I99" s="84"/>
      <c r="J99" s="85"/>
      <c r="K99" s="86"/>
      <c r="L99" s="53"/>
      <c r="M99" s="53"/>
      <c r="N99" s="55"/>
    </row>
    <row r="100" spans="1:14">
      <c r="A100" s="81"/>
      <c r="B100" s="82"/>
      <c r="C100" s="82"/>
      <c r="D100" s="82"/>
      <c r="E100" s="82"/>
      <c r="F100" s="82"/>
      <c r="G100" s="82"/>
      <c r="H100" s="83"/>
      <c r="I100" s="84"/>
      <c r="J100" s="85"/>
      <c r="K100" s="86"/>
      <c r="L100" s="53"/>
      <c r="M100" s="53"/>
      <c r="N100" s="55"/>
    </row>
    <row r="101" spans="1:14">
      <c r="A101" s="81"/>
      <c r="B101" s="82"/>
      <c r="C101" s="82"/>
      <c r="D101" s="82"/>
      <c r="E101" s="82"/>
      <c r="F101" s="82"/>
      <c r="G101" s="82"/>
      <c r="H101" s="83"/>
      <c r="I101" s="84"/>
      <c r="J101" s="85"/>
      <c r="K101" s="86"/>
      <c r="L101" s="53"/>
      <c r="M101" s="53"/>
      <c r="N101" s="55"/>
    </row>
    <row r="102" spans="1:14">
      <c r="A102" s="81"/>
      <c r="B102" s="82"/>
      <c r="C102" s="82"/>
      <c r="D102" s="82"/>
      <c r="E102" s="82"/>
      <c r="F102" s="82"/>
      <c r="G102" s="82"/>
      <c r="H102" s="83"/>
      <c r="I102" s="84"/>
      <c r="J102" s="85"/>
      <c r="K102" s="86"/>
      <c r="L102" s="53"/>
      <c r="M102" s="53"/>
      <c r="N102" s="55"/>
    </row>
    <row r="103" spans="1:14">
      <c r="A103" s="81"/>
      <c r="B103" s="82"/>
      <c r="C103" s="82"/>
      <c r="D103" s="82"/>
      <c r="E103" s="82"/>
      <c r="F103" s="82"/>
      <c r="G103" s="82"/>
      <c r="H103" s="83"/>
      <c r="I103" s="84"/>
      <c r="J103" s="85"/>
      <c r="K103" s="86"/>
      <c r="L103" s="53"/>
      <c r="M103" s="53"/>
      <c r="N103" s="55"/>
    </row>
    <row r="104" spans="1:14">
      <c r="A104" s="81"/>
      <c r="B104" s="82"/>
      <c r="C104" s="82"/>
      <c r="D104" s="82"/>
      <c r="E104" s="82"/>
      <c r="F104" s="82"/>
      <c r="G104" s="82"/>
      <c r="H104" s="83"/>
      <c r="I104" s="84"/>
      <c r="J104" s="85"/>
      <c r="K104" s="86"/>
      <c r="L104" s="53"/>
      <c r="M104" s="53"/>
      <c r="N104" s="55"/>
    </row>
    <row r="105" spans="1:14">
      <c r="A105" s="81"/>
      <c r="B105" s="82"/>
      <c r="C105" s="82"/>
      <c r="D105" s="82"/>
      <c r="E105" s="82"/>
      <c r="F105" s="82"/>
      <c r="G105" s="82"/>
      <c r="H105" s="83"/>
      <c r="I105" s="84"/>
      <c r="J105" s="85"/>
      <c r="K105" s="86"/>
      <c r="L105" s="53"/>
      <c r="M105" s="53"/>
      <c r="N105" s="55"/>
    </row>
    <row r="106" spans="1:14">
      <c r="A106" s="81"/>
      <c r="B106" s="82"/>
      <c r="C106" s="82"/>
      <c r="D106" s="82"/>
      <c r="E106" s="82"/>
      <c r="F106" s="82"/>
      <c r="G106" s="82"/>
      <c r="H106" s="83"/>
      <c r="I106" s="84"/>
      <c r="J106" s="85"/>
      <c r="K106" s="86"/>
      <c r="L106" s="53"/>
      <c r="M106" s="53"/>
      <c r="N106" s="55"/>
    </row>
    <row r="107" spans="1:14">
      <c r="A107" s="81"/>
      <c r="B107" s="82"/>
      <c r="C107" s="82"/>
      <c r="D107" s="82"/>
      <c r="E107" s="82"/>
      <c r="F107" s="82"/>
      <c r="G107" s="82"/>
      <c r="H107" s="83"/>
      <c r="I107" s="84"/>
      <c r="J107" s="85"/>
      <c r="K107" s="86"/>
      <c r="L107" s="53"/>
      <c r="M107" s="53"/>
      <c r="N107" s="55"/>
    </row>
    <row r="108" spans="1:14">
      <c r="A108" s="81"/>
      <c r="B108" s="82"/>
      <c r="C108" s="82"/>
      <c r="D108" s="82"/>
      <c r="E108" s="82"/>
      <c r="F108" s="82"/>
      <c r="G108" s="82"/>
      <c r="H108" s="83"/>
      <c r="I108" s="84"/>
      <c r="J108" s="85"/>
      <c r="K108" s="86"/>
      <c r="L108" s="53"/>
      <c r="M108" s="53"/>
      <c r="N108" s="55"/>
    </row>
    <row r="109" spans="1:14">
      <c r="A109" s="81"/>
      <c r="B109" s="82"/>
      <c r="C109" s="82"/>
      <c r="D109" s="82"/>
      <c r="E109" s="82"/>
      <c r="F109" s="82"/>
      <c r="G109" s="82"/>
      <c r="H109" s="83"/>
      <c r="I109" s="84"/>
      <c r="J109" s="85"/>
      <c r="K109" s="86"/>
      <c r="L109" s="53"/>
      <c r="M109" s="53"/>
      <c r="N109" s="55"/>
    </row>
    <row r="110" spans="1:14">
      <c r="A110" s="81"/>
      <c r="B110" s="82"/>
      <c r="C110" s="82"/>
      <c r="D110" s="82"/>
      <c r="E110" s="82"/>
      <c r="F110" s="82"/>
      <c r="G110" s="82"/>
      <c r="H110" s="83"/>
      <c r="I110" s="84"/>
      <c r="J110" s="85"/>
      <c r="K110" s="86"/>
      <c r="L110" s="53"/>
      <c r="M110" s="53"/>
      <c r="N110" s="55"/>
    </row>
    <row r="111" spans="1:14">
      <c r="A111" s="81"/>
      <c r="B111" s="82"/>
      <c r="C111" s="82"/>
      <c r="D111" s="82"/>
      <c r="E111" s="82"/>
      <c r="F111" s="82"/>
      <c r="G111" s="82"/>
      <c r="H111" s="83"/>
      <c r="I111" s="84"/>
      <c r="J111" s="85"/>
      <c r="K111" s="86"/>
      <c r="L111" s="53"/>
      <c r="M111" s="53"/>
      <c r="N111" s="55"/>
    </row>
    <row r="112" spans="1:14">
      <c r="A112" s="81"/>
      <c r="B112" s="82"/>
      <c r="C112" s="82"/>
      <c r="D112" s="82"/>
      <c r="E112" s="82"/>
      <c r="F112" s="82"/>
      <c r="G112" s="82"/>
      <c r="H112" s="83"/>
      <c r="I112" s="84"/>
      <c r="J112" s="85"/>
      <c r="K112" s="86"/>
      <c r="L112" s="53"/>
      <c r="M112" s="53"/>
      <c r="N112" s="55"/>
    </row>
    <row r="113" spans="1:14">
      <c r="A113" s="81"/>
      <c r="B113" s="82"/>
      <c r="C113" s="82"/>
      <c r="D113" s="82"/>
      <c r="E113" s="82"/>
      <c r="F113" s="82"/>
      <c r="G113" s="82"/>
      <c r="H113" s="83"/>
      <c r="I113" s="84"/>
      <c r="J113" s="85"/>
      <c r="K113" s="86"/>
      <c r="L113" s="53"/>
      <c r="M113" s="53"/>
      <c r="N113" s="55"/>
    </row>
    <row r="114" spans="1:14">
      <c r="A114" s="81"/>
      <c r="B114" s="82"/>
      <c r="C114" s="82"/>
      <c r="D114" s="82"/>
      <c r="E114" s="82"/>
      <c r="F114" s="82"/>
      <c r="G114" s="82"/>
      <c r="H114" s="83"/>
      <c r="I114" s="84"/>
      <c r="J114" s="85"/>
      <c r="K114" s="86"/>
      <c r="L114" s="53"/>
      <c r="M114" s="53"/>
      <c r="N114" s="55"/>
    </row>
    <row r="115" spans="1:14">
      <c r="A115" s="81"/>
      <c r="B115" s="82"/>
      <c r="C115" s="82"/>
      <c r="D115" s="82"/>
      <c r="E115" s="82"/>
      <c r="F115" s="82"/>
      <c r="G115" s="82"/>
      <c r="H115" s="83"/>
      <c r="I115" s="84"/>
      <c r="J115" s="85"/>
      <c r="K115" s="86"/>
      <c r="L115" s="53"/>
      <c r="M115" s="53"/>
      <c r="N115" s="55"/>
    </row>
    <row r="116" spans="1:14">
      <c r="A116" s="81"/>
      <c r="B116" s="82"/>
      <c r="C116" s="82"/>
      <c r="D116" s="82"/>
      <c r="E116" s="82"/>
      <c r="F116" s="82"/>
      <c r="G116" s="82"/>
      <c r="H116" s="83"/>
      <c r="I116" s="84"/>
      <c r="J116" s="85"/>
      <c r="K116" s="86"/>
      <c r="L116" s="53"/>
      <c r="M116" s="53"/>
      <c r="N116" s="55"/>
    </row>
    <row r="117" spans="1:14">
      <c r="A117" s="81"/>
      <c r="B117" s="82"/>
      <c r="C117" s="82"/>
      <c r="D117" s="82"/>
      <c r="E117" s="82"/>
      <c r="F117" s="82"/>
      <c r="G117" s="82"/>
      <c r="H117" s="83"/>
      <c r="I117" s="84"/>
      <c r="J117" s="85"/>
      <c r="K117" s="86"/>
      <c r="L117" s="53"/>
      <c r="M117" s="53"/>
      <c r="N117" s="55"/>
    </row>
    <row r="118" spans="1:14">
      <c r="A118" s="81"/>
      <c r="B118" s="82"/>
      <c r="C118" s="82"/>
      <c r="D118" s="82"/>
      <c r="E118" s="82"/>
      <c r="F118" s="82"/>
      <c r="G118" s="82"/>
      <c r="H118" s="83"/>
      <c r="I118" s="84"/>
      <c r="J118" s="85"/>
      <c r="K118" s="86"/>
      <c r="L118" s="53"/>
      <c r="M118" s="53"/>
      <c r="N118" s="55"/>
    </row>
    <row r="119" spans="1:14">
      <c r="A119" s="81"/>
      <c r="B119" s="82"/>
      <c r="C119" s="82"/>
      <c r="D119" s="82"/>
      <c r="E119" s="82"/>
      <c r="F119" s="82"/>
      <c r="G119" s="82"/>
      <c r="H119" s="83"/>
      <c r="I119" s="84"/>
      <c r="J119" s="85"/>
      <c r="K119" s="86"/>
      <c r="L119" s="53"/>
      <c r="M119" s="53"/>
      <c r="N119" s="55"/>
    </row>
    <row r="120" spans="1:14">
      <c r="A120" s="81"/>
      <c r="B120" s="82"/>
      <c r="C120" s="82"/>
      <c r="D120" s="82"/>
      <c r="E120" s="82"/>
      <c r="F120" s="82"/>
      <c r="G120" s="82"/>
      <c r="H120" s="83"/>
      <c r="I120" s="84"/>
      <c r="J120" s="85"/>
      <c r="K120" s="86"/>
      <c r="L120" s="53"/>
      <c r="M120" s="53"/>
      <c r="N120" s="55"/>
    </row>
    <row r="121" spans="1:14">
      <c r="A121" s="81"/>
      <c r="B121" s="82"/>
      <c r="C121" s="82"/>
      <c r="D121" s="82"/>
      <c r="E121" s="82"/>
      <c r="F121" s="82"/>
      <c r="G121" s="82"/>
      <c r="H121" s="83"/>
      <c r="I121" s="84"/>
      <c r="J121" s="85"/>
      <c r="K121" s="86"/>
      <c r="L121" s="53"/>
      <c r="M121" s="53"/>
      <c r="N121" s="55"/>
    </row>
    <row r="122" spans="1:14">
      <c r="A122" s="81"/>
      <c r="B122" s="82"/>
      <c r="C122" s="82"/>
      <c r="D122" s="82"/>
      <c r="E122" s="82"/>
      <c r="F122" s="82"/>
      <c r="G122" s="82"/>
      <c r="H122" s="83"/>
      <c r="I122" s="84"/>
      <c r="J122" s="85"/>
      <c r="K122" s="86"/>
      <c r="L122" s="53"/>
      <c r="M122" s="53"/>
      <c r="N122" s="55"/>
    </row>
    <row r="123" spans="1:14">
      <c r="A123" s="81"/>
      <c r="B123" s="82"/>
      <c r="C123" s="82"/>
      <c r="D123" s="82"/>
      <c r="E123" s="82"/>
      <c r="F123" s="82"/>
      <c r="G123" s="82"/>
      <c r="H123" s="83"/>
      <c r="I123" s="84"/>
      <c r="J123" s="85"/>
      <c r="K123" s="86"/>
      <c r="L123" s="53"/>
      <c r="M123" s="53"/>
      <c r="N123" s="55"/>
    </row>
    <row r="124" spans="1:14">
      <c r="A124" s="81"/>
      <c r="B124" s="82"/>
      <c r="C124" s="82"/>
      <c r="D124" s="82"/>
      <c r="E124" s="82"/>
      <c r="F124" s="82"/>
      <c r="G124" s="82"/>
      <c r="H124" s="83"/>
      <c r="I124" s="84"/>
      <c r="J124" s="85"/>
      <c r="K124" s="86"/>
      <c r="L124" s="53"/>
      <c r="M124" s="53"/>
      <c r="N124" s="55"/>
    </row>
    <row r="125" spans="1:14">
      <c r="A125" s="81"/>
      <c r="B125" s="82"/>
      <c r="C125" s="82"/>
      <c r="D125" s="82"/>
      <c r="E125" s="82"/>
      <c r="F125" s="82"/>
      <c r="G125" s="82"/>
      <c r="H125" s="83"/>
      <c r="I125" s="84"/>
      <c r="J125" s="85"/>
      <c r="K125" s="86"/>
      <c r="L125" s="53"/>
      <c r="M125" s="53"/>
      <c r="N125" s="55"/>
    </row>
    <row r="126" spans="1:14">
      <c r="A126" s="81"/>
      <c r="B126" s="82"/>
      <c r="C126" s="82"/>
      <c r="D126" s="82"/>
      <c r="E126" s="82"/>
      <c r="F126" s="82"/>
      <c r="G126" s="82"/>
      <c r="H126" s="83"/>
      <c r="I126" s="84"/>
      <c r="J126" s="85"/>
      <c r="K126" s="86"/>
      <c r="L126" s="53"/>
      <c r="M126" s="53"/>
      <c r="N126" s="55"/>
    </row>
    <row r="127" spans="1:14">
      <c r="A127" s="81"/>
      <c r="B127" s="82"/>
      <c r="C127" s="82"/>
      <c r="D127" s="82"/>
      <c r="E127" s="82"/>
      <c r="F127" s="82"/>
      <c r="G127" s="82"/>
      <c r="H127" s="83"/>
      <c r="I127" s="84"/>
      <c r="J127" s="85"/>
      <c r="K127" s="86"/>
      <c r="L127" s="53"/>
      <c r="M127" s="53"/>
      <c r="N127" s="55"/>
    </row>
    <row r="128" spans="1:14">
      <c r="A128" s="81"/>
      <c r="B128" s="82"/>
      <c r="C128" s="82"/>
      <c r="D128" s="82"/>
      <c r="E128" s="82"/>
      <c r="F128" s="82"/>
      <c r="G128" s="82"/>
      <c r="H128" s="83"/>
      <c r="I128" s="84"/>
      <c r="J128" s="85"/>
      <c r="K128" s="86"/>
      <c r="L128" s="53"/>
      <c r="M128" s="53"/>
      <c r="N128" s="55"/>
    </row>
    <row r="129" spans="1:14">
      <c r="A129" s="81"/>
      <c r="B129" s="82"/>
      <c r="C129" s="82"/>
      <c r="D129" s="82"/>
      <c r="E129" s="82"/>
      <c r="F129" s="82"/>
      <c r="G129" s="82"/>
      <c r="H129" s="83"/>
      <c r="I129" s="84"/>
      <c r="J129" s="85"/>
      <c r="K129" s="86"/>
      <c r="L129" s="53"/>
      <c r="M129" s="53"/>
      <c r="N129" s="55"/>
    </row>
    <row r="130" spans="1:14">
      <c r="A130" s="81"/>
      <c r="B130" s="82"/>
      <c r="C130" s="82"/>
      <c r="D130" s="82"/>
      <c r="E130" s="82"/>
      <c r="F130" s="82"/>
      <c r="G130" s="82"/>
      <c r="H130" s="83"/>
      <c r="I130" s="84"/>
      <c r="J130" s="85"/>
      <c r="K130" s="86"/>
      <c r="L130" s="53"/>
      <c r="M130" s="53"/>
      <c r="N130" s="55"/>
    </row>
    <row r="131" spans="1:14">
      <c r="A131" s="81"/>
      <c r="B131" s="82"/>
      <c r="C131" s="82"/>
      <c r="D131" s="82"/>
      <c r="E131" s="82"/>
      <c r="F131" s="82"/>
      <c r="G131" s="82"/>
      <c r="H131" s="83"/>
      <c r="I131" s="84"/>
      <c r="J131" s="85"/>
      <c r="K131" s="86"/>
      <c r="L131" s="53"/>
      <c r="M131" s="53"/>
      <c r="N131" s="55"/>
    </row>
    <row r="132" spans="1:14">
      <c r="A132" s="81"/>
      <c r="B132" s="82"/>
      <c r="C132" s="82"/>
      <c r="D132" s="82"/>
      <c r="E132" s="82"/>
      <c r="F132" s="82"/>
      <c r="G132" s="82"/>
      <c r="H132" s="83"/>
      <c r="I132" s="84"/>
      <c r="J132" s="85"/>
      <c r="K132" s="86"/>
      <c r="L132" s="53"/>
      <c r="M132" s="53"/>
      <c r="N132" s="55"/>
    </row>
    <row r="133" spans="1:14">
      <c r="A133" s="81"/>
      <c r="B133" s="82"/>
      <c r="C133" s="82"/>
      <c r="D133" s="82"/>
      <c r="E133" s="82"/>
      <c r="F133" s="82"/>
      <c r="G133" s="82"/>
      <c r="H133" s="83"/>
      <c r="I133" s="84"/>
      <c r="J133" s="85"/>
      <c r="K133" s="86"/>
      <c r="L133" s="53"/>
      <c r="M133" s="53"/>
      <c r="N133" s="55"/>
    </row>
    <row r="134" spans="1:14">
      <c r="A134" s="81"/>
      <c r="B134" s="82"/>
      <c r="C134" s="82"/>
      <c r="D134" s="82"/>
      <c r="E134" s="82"/>
      <c r="F134" s="82"/>
      <c r="G134" s="82"/>
      <c r="H134" s="83"/>
      <c r="I134" s="84"/>
      <c r="J134" s="85"/>
      <c r="K134" s="86"/>
      <c r="L134" s="53"/>
      <c r="M134" s="53"/>
      <c r="N134" s="55"/>
    </row>
    <row r="135" spans="1:14">
      <c r="A135" s="81"/>
      <c r="B135" s="82"/>
      <c r="C135" s="82"/>
      <c r="D135" s="82"/>
      <c r="E135" s="82"/>
      <c r="F135" s="82"/>
      <c r="G135" s="82"/>
      <c r="H135" s="83"/>
      <c r="I135" s="84"/>
      <c r="J135" s="85"/>
      <c r="K135" s="86"/>
      <c r="L135" s="53"/>
      <c r="M135" s="53"/>
      <c r="N135" s="55"/>
    </row>
    <row r="136" spans="1:14">
      <c r="A136" s="81"/>
      <c r="B136" s="82"/>
      <c r="C136" s="82"/>
      <c r="D136" s="82"/>
      <c r="E136" s="82"/>
      <c r="F136" s="82"/>
      <c r="G136" s="82"/>
      <c r="H136" s="83"/>
      <c r="I136" s="84"/>
      <c r="J136" s="85"/>
      <c r="K136" s="86"/>
      <c r="L136" s="53"/>
      <c r="M136" s="53"/>
      <c r="N136" s="55"/>
    </row>
    <row r="137" spans="1:14">
      <c r="A137" s="81"/>
      <c r="B137" s="82"/>
      <c r="C137" s="82"/>
      <c r="D137" s="82"/>
      <c r="E137" s="82"/>
      <c r="F137" s="82"/>
      <c r="G137" s="82"/>
      <c r="H137" s="83"/>
      <c r="I137" s="84"/>
      <c r="J137" s="85"/>
      <c r="K137" s="86"/>
      <c r="L137" s="53"/>
      <c r="M137" s="53"/>
      <c r="N137" s="55"/>
    </row>
    <row r="138" spans="1:14">
      <c r="A138" s="81"/>
      <c r="B138" s="82"/>
      <c r="C138" s="82"/>
      <c r="D138" s="82"/>
      <c r="E138" s="82"/>
      <c r="F138" s="82"/>
      <c r="G138" s="82"/>
      <c r="H138" s="83"/>
      <c r="I138" s="84"/>
      <c r="J138" s="85"/>
      <c r="K138" s="86"/>
      <c r="L138" s="53"/>
      <c r="M138" s="53"/>
      <c r="N138" s="55"/>
    </row>
    <row r="139" spans="1:14">
      <c r="A139" s="81"/>
      <c r="B139" s="82"/>
      <c r="C139" s="82"/>
      <c r="D139" s="82"/>
      <c r="E139" s="82"/>
      <c r="F139" s="82"/>
      <c r="G139" s="82"/>
      <c r="H139" s="83"/>
      <c r="I139" s="84"/>
      <c r="J139" s="85"/>
      <c r="K139" s="86"/>
      <c r="L139" s="53"/>
      <c r="M139" s="53"/>
      <c r="N139" s="55"/>
    </row>
    <row r="140" spans="1:14">
      <c r="A140" s="81"/>
      <c r="B140" s="82"/>
      <c r="C140" s="82"/>
      <c r="D140" s="82"/>
      <c r="E140" s="82"/>
      <c r="F140" s="82"/>
      <c r="G140" s="82"/>
      <c r="H140" s="83"/>
      <c r="I140" s="84"/>
      <c r="J140" s="85"/>
      <c r="K140" s="86"/>
      <c r="L140" s="53"/>
      <c r="M140" s="53"/>
      <c r="N140" s="55"/>
    </row>
    <row r="141" spans="1:14">
      <c r="A141" s="81"/>
      <c r="B141" s="82"/>
      <c r="C141" s="82"/>
      <c r="D141" s="82"/>
      <c r="E141" s="82"/>
      <c r="F141" s="82"/>
      <c r="G141" s="82"/>
      <c r="H141" s="83"/>
      <c r="I141" s="84"/>
      <c r="J141" s="85"/>
      <c r="K141" s="86"/>
      <c r="L141" s="53"/>
      <c r="M141" s="53"/>
      <c r="N141" s="55"/>
    </row>
    <row r="142" spans="1:14">
      <c r="A142" s="81"/>
      <c r="B142" s="82"/>
      <c r="C142" s="82"/>
      <c r="D142" s="82"/>
      <c r="E142" s="82"/>
      <c r="F142" s="82"/>
      <c r="G142" s="82"/>
      <c r="H142" s="83"/>
      <c r="I142" s="84"/>
      <c r="J142" s="85"/>
      <c r="K142" s="86"/>
      <c r="L142" s="53"/>
      <c r="M142" s="53"/>
      <c r="N142" s="55"/>
    </row>
    <row r="143" spans="1:14">
      <c r="A143" s="81"/>
      <c r="B143" s="82"/>
      <c r="C143" s="82"/>
      <c r="D143" s="82"/>
      <c r="E143" s="82"/>
      <c r="F143" s="82"/>
      <c r="G143" s="82"/>
      <c r="H143" s="83"/>
      <c r="I143" s="84"/>
      <c r="J143" s="85"/>
      <c r="K143" s="86"/>
      <c r="L143" s="53"/>
      <c r="M143" s="53"/>
      <c r="N143" s="55"/>
    </row>
    <row r="144" spans="1:14">
      <c r="A144" s="81"/>
      <c r="B144" s="82"/>
      <c r="C144" s="82"/>
      <c r="D144" s="82"/>
      <c r="E144" s="82"/>
      <c r="F144" s="82"/>
      <c r="G144" s="82"/>
      <c r="H144" s="83"/>
      <c r="I144" s="84"/>
      <c r="J144" s="85"/>
      <c r="K144" s="86"/>
      <c r="L144" s="53"/>
      <c r="M144" s="53"/>
      <c r="N144" s="55"/>
    </row>
    <row r="145" spans="1:14">
      <c r="A145" s="81"/>
      <c r="B145" s="82"/>
      <c r="C145" s="82"/>
      <c r="D145" s="82"/>
      <c r="E145" s="82"/>
      <c r="F145" s="82"/>
      <c r="G145" s="82"/>
      <c r="H145" s="83"/>
      <c r="I145" s="84"/>
      <c r="J145" s="85"/>
      <c r="K145" s="86"/>
      <c r="L145" s="53"/>
      <c r="M145" s="53"/>
      <c r="N145" s="55"/>
    </row>
    <row r="146" spans="1:14">
      <c r="A146" s="81"/>
      <c r="B146" s="82"/>
      <c r="C146" s="82"/>
      <c r="D146" s="82"/>
      <c r="E146" s="82"/>
      <c r="F146" s="82"/>
      <c r="G146" s="82"/>
      <c r="H146" s="83"/>
      <c r="I146" s="84"/>
      <c r="J146" s="85"/>
      <c r="K146" s="86"/>
      <c r="L146" s="53"/>
      <c r="M146" s="53"/>
      <c r="N146" s="55"/>
    </row>
    <row r="147" spans="1:14">
      <c r="A147" s="81"/>
      <c r="B147" s="82"/>
      <c r="C147" s="82"/>
      <c r="D147" s="82"/>
      <c r="E147" s="82"/>
      <c r="F147" s="82"/>
      <c r="G147" s="82"/>
      <c r="H147" s="83"/>
      <c r="I147" s="84"/>
      <c r="J147" s="85"/>
      <c r="K147" s="86"/>
      <c r="L147" s="53"/>
      <c r="M147" s="53"/>
      <c r="N147" s="55"/>
    </row>
    <row r="148" spans="1:14">
      <c r="A148" s="81"/>
      <c r="B148" s="82"/>
      <c r="C148" s="82"/>
      <c r="D148" s="82"/>
      <c r="E148" s="82"/>
      <c r="F148" s="82"/>
      <c r="G148" s="82"/>
      <c r="H148" s="83"/>
      <c r="I148" s="84"/>
      <c r="J148" s="85"/>
      <c r="K148" s="86"/>
      <c r="L148" s="53"/>
      <c r="M148" s="53"/>
      <c r="N148" s="55"/>
    </row>
    <row r="149" spans="1:14">
      <c r="A149" s="81"/>
      <c r="B149" s="82"/>
      <c r="C149" s="82"/>
      <c r="D149" s="82"/>
      <c r="E149" s="82"/>
      <c r="F149" s="82"/>
      <c r="G149" s="82"/>
      <c r="H149" s="83"/>
      <c r="I149" s="84"/>
      <c r="J149" s="85"/>
      <c r="K149" s="86"/>
      <c r="L149" s="53"/>
      <c r="M149" s="53"/>
      <c r="N149" s="55"/>
    </row>
    <row r="150" spans="1:14">
      <c r="A150" s="81"/>
      <c r="B150" s="82"/>
      <c r="C150" s="82"/>
      <c r="D150" s="82"/>
      <c r="E150" s="82"/>
      <c r="F150" s="82"/>
      <c r="G150" s="82"/>
      <c r="H150" s="83"/>
      <c r="I150" s="84"/>
      <c r="J150" s="85"/>
      <c r="K150" s="86"/>
      <c r="L150" s="53"/>
      <c r="M150" s="53"/>
      <c r="N150" s="55"/>
    </row>
    <row r="151" spans="1:14">
      <c r="A151" s="81"/>
      <c r="B151" s="82"/>
      <c r="C151" s="82"/>
      <c r="D151" s="82"/>
      <c r="E151" s="82"/>
      <c r="F151" s="82"/>
      <c r="G151" s="82"/>
      <c r="H151" s="83"/>
      <c r="I151" s="84"/>
      <c r="J151" s="85"/>
      <c r="K151" s="86"/>
      <c r="L151" s="53"/>
      <c r="M151" s="53"/>
      <c r="N151" s="55"/>
    </row>
    <row r="152" spans="1:14">
      <c r="A152" s="81"/>
      <c r="B152" s="82"/>
      <c r="C152" s="82"/>
      <c r="D152" s="82"/>
      <c r="E152" s="82"/>
      <c r="F152" s="82"/>
      <c r="G152" s="82"/>
      <c r="H152" s="83"/>
      <c r="I152" s="84"/>
      <c r="J152" s="85"/>
      <c r="K152" s="86"/>
      <c r="L152" s="53"/>
      <c r="M152" s="53"/>
      <c r="N152" s="55"/>
    </row>
    <row r="153" spans="1:14">
      <c r="A153" s="81"/>
      <c r="B153" s="82"/>
      <c r="C153" s="82"/>
      <c r="D153" s="82"/>
      <c r="E153" s="82"/>
      <c r="F153" s="82"/>
      <c r="G153" s="82"/>
      <c r="H153" s="83"/>
      <c r="I153" s="84"/>
      <c r="J153" s="85"/>
      <c r="K153" s="86"/>
      <c r="L153" s="53"/>
      <c r="M153" s="53"/>
      <c r="N153" s="55"/>
    </row>
    <row r="154" spans="1:14">
      <c r="A154" s="81"/>
      <c r="B154" s="82"/>
      <c r="C154" s="82"/>
      <c r="D154" s="82"/>
      <c r="E154" s="82"/>
      <c r="F154" s="82"/>
      <c r="G154" s="82"/>
      <c r="H154" s="83"/>
      <c r="I154" s="84"/>
      <c r="J154" s="85"/>
      <c r="K154" s="86"/>
      <c r="L154" s="53"/>
      <c r="M154" s="53"/>
      <c r="N154" s="55"/>
    </row>
    <row r="155" spans="1:14">
      <c r="A155" s="81"/>
      <c r="B155" s="82"/>
      <c r="C155" s="82"/>
      <c r="D155" s="82"/>
      <c r="E155" s="82"/>
      <c r="F155" s="82"/>
      <c r="G155" s="82"/>
      <c r="H155" s="83"/>
      <c r="I155" s="84"/>
      <c r="J155" s="85"/>
      <c r="K155" s="86"/>
      <c r="L155" s="53"/>
      <c r="M155" s="53"/>
      <c r="N155" s="55"/>
    </row>
    <row r="156" spans="1:14">
      <c r="A156" s="81"/>
      <c r="B156" s="82"/>
      <c r="C156" s="82"/>
      <c r="D156" s="82"/>
      <c r="E156" s="82"/>
      <c r="F156" s="82"/>
      <c r="G156" s="82"/>
      <c r="H156" s="83"/>
      <c r="I156" s="84"/>
      <c r="J156" s="85"/>
      <c r="K156" s="86"/>
      <c r="L156" s="53"/>
      <c r="M156" s="53"/>
      <c r="N156" s="55"/>
    </row>
    <row r="157" spans="1:14">
      <c r="A157" s="81"/>
      <c r="B157" s="82"/>
      <c r="C157" s="82"/>
      <c r="D157" s="82"/>
      <c r="E157" s="82"/>
      <c r="F157" s="82"/>
      <c r="G157" s="82"/>
      <c r="H157" s="83"/>
      <c r="I157" s="84"/>
      <c r="J157" s="85"/>
      <c r="K157" s="86"/>
      <c r="L157" s="53"/>
      <c r="M157" s="53"/>
      <c r="N157" s="55"/>
    </row>
    <row r="158" spans="1:14">
      <c r="A158" s="81"/>
      <c r="B158" s="82"/>
      <c r="C158" s="82"/>
      <c r="D158" s="82"/>
      <c r="E158" s="82"/>
      <c r="F158" s="82"/>
      <c r="G158" s="82"/>
      <c r="H158" s="83"/>
      <c r="I158" s="84"/>
      <c r="J158" s="85"/>
      <c r="K158" s="86"/>
      <c r="L158" s="53"/>
      <c r="M158" s="53"/>
      <c r="N158" s="55"/>
    </row>
    <row r="159" spans="1:14">
      <c r="A159" s="81"/>
      <c r="B159" s="82"/>
      <c r="C159" s="82"/>
      <c r="D159" s="82"/>
      <c r="E159" s="82"/>
      <c r="F159" s="82"/>
      <c r="G159" s="82"/>
      <c r="H159" s="83"/>
      <c r="I159" s="84"/>
      <c r="J159" s="85"/>
      <c r="K159" s="86"/>
      <c r="L159" s="53"/>
      <c r="M159" s="53"/>
      <c r="N159" s="55"/>
    </row>
    <row r="160" spans="1:14">
      <c r="A160" s="81"/>
      <c r="B160" s="82"/>
      <c r="C160" s="82"/>
      <c r="D160" s="82"/>
      <c r="E160" s="82"/>
      <c r="F160" s="82"/>
      <c r="G160" s="82"/>
      <c r="H160" s="83"/>
      <c r="I160" s="84"/>
      <c r="J160" s="85"/>
      <c r="K160" s="86"/>
      <c r="L160" s="53"/>
      <c r="M160" s="53"/>
      <c r="N160" s="55"/>
    </row>
    <row r="161" spans="1:14">
      <c r="A161" s="81"/>
      <c r="B161" s="82"/>
      <c r="C161" s="82"/>
      <c r="D161" s="82"/>
      <c r="E161" s="82"/>
      <c r="F161" s="82"/>
      <c r="G161" s="82"/>
      <c r="H161" s="83"/>
      <c r="I161" s="84"/>
      <c r="J161" s="85"/>
      <c r="K161" s="86"/>
      <c r="L161" s="53"/>
      <c r="M161" s="53"/>
      <c r="N161" s="55"/>
    </row>
    <row r="162" spans="1:14">
      <c r="A162" s="81"/>
      <c r="B162" s="82"/>
      <c r="C162" s="82"/>
      <c r="D162" s="82"/>
      <c r="E162" s="82"/>
      <c r="F162" s="82"/>
      <c r="G162" s="82"/>
      <c r="H162" s="83"/>
      <c r="I162" s="84"/>
      <c r="J162" s="85"/>
      <c r="K162" s="86"/>
      <c r="L162" s="53"/>
      <c r="M162" s="53"/>
      <c r="N162" s="55"/>
    </row>
    <row r="163" spans="1:14">
      <c r="A163" s="81"/>
      <c r="B163" s="82"/>
      <c r="C163" s="82"/>
      <c r="D163" s="82"/>
      <c r="E163" s="82"/>
      <c r="F163" s="82"/>
      <c r="G163" s="82"/>
      <c r="H163" s="83"/>
      <c r="I163" s="84"/>
      <c r="J163" s="85"/>
      <c r="K163" s="86"/>
      <c r="L163" s="53"/>
      <c r="M163" s="53"/>
      <c r="N163" s="55"/>
    </row>
    <row r="164" spans="1:14">
      <c r="A164" s="81"/>
      <c r="B164" s="82"/>
      <c r="C164" s="82"/>
      <c r="D164" s="82"/>
      <c r="E164" s="82"/>
      <c r="F164" s="82"/>
      <c r="G164" s="82"/>
      <c r="H164" s="83"/>
      <c r="I164" s="84"/>
      <c r="J164" s="85"/>
      <c r="K164" s="86"/>
      <c r="L164" s="53"/>
      <c r="M164" s="53"/>
      <c r="N164" s="55"/>
    </row>
    <row r="165" spans="1:14">
      <c r="A165" s="81"/>
      <c r="B165" s="82"/>
      <c r="C165" s="82"/>
      <c r="D165" s="82"/>
      <c r="E165" s="82"/>
      <c r="F165" s="82"/>
      <c r="G165" s="82"/>
      <c r="H165" s="83"/>
      <c r="I165" s="84"/>
      <c r="J165" s="85"/>
      <c r="K165" s="86"/>
      <c r="L165" s="53"/>
      <c r="M165" s="53"/>
      <c r="N165" s="55"/>
    </row>
    <row r="166" spans="1:14">
      <c r="A166" s="81"/>
      <c r="B166" s="82"/>
      <c r="C166" s="82"/>
      <c r="D166" s="82"/>
      <c r="E166" s="82"/>
      <c r="F166" s="82"/>
      <c r="G166" s="82"/>
      <c r="H166" s="83"/>
      <c r="I166" s="84"/>
      <c r="J166" s="85"/>
      <c r="K166" s="86"/>
      <c r="L166" s="53"/>
      <c r="M166" s="53"/>
      <c r="N166" s="55"/>
    </row>
    <row r="167" spans="1:14">
      <c r="A167" s="81"/>
      <c r="B167" s="82"/>
      <c r="C167" s="82"/>
      <c r="D167" s="82"/>
      <c r="E167" s="82"/>
      <c r="F167" s="82"/>
      <c r="G167" s="82"/>
      <c r="H167" s="83"/>
      <c r="I167" s="84"/>
      <c r="J167" s="85"/>
      <c r="K167" s="86"/>
      <c r="L167" s="53"/>
      <c r="M167" s="53"/>
      <c r="N167" s="55"/>
    </row>
    <row r="168" spans="1:14">
      <c r="A168" s="81"/>
      <c r="B168" s="82"/>
      <c r="C168" s="82"/>
      <c r="D168" s="82"/>
      <c r="E168" s="82"/>
      <c r="F168" s="82"/>
      <c r="G168" s="82"/>
      <c r="H168" s="83"/>
      <c r="I168" s="84"/>
      <c r="J168" s="85"/>
      <c r="K168" s="86"/>
      <c r="L168" s="53"/>
      <c r="M168" s="53"/>
      <c r="N168" s="55"/>
    </row>
    <row r="169" spans="1:14">
      <c r="A169" s="81"/>
      <c r="B169" s="82"/>
      <c r="C169" s="82"/>
      <c r="D169" s="82"/>
      <c r="E169" s="82"/>
      <c r="F169" s="82"/>
      <c r="G169" s="82"/>
      <c r="H169" s="83"/>
      <c r="I169" s="84"/>
      <c r="J169" s="85"/>
      <c r="K169" s="86"/>
      <c r="L169" s="53"/>
      <c r="M169" s="53"/>
      <c r="N169" s="55"/>
    </row>
    <row r="170" spans="1:14">
      <c r="A170" s="81"/>
      <c r="B170" s="82"/>
      <c r="C170" s="82"/>
      <c r="D170" s="82"/>
      <c r="E170" s="82"/>
      <c r="F170" s="82"/>
      <c r="G170" s="82"/>
      <c r="H170" s="83"/>
      <c r="I170" s="84"/>
      <c r="J170" s="85"/>
      <c r="K170" s="86"/>
      <c r="L170" s="53"/>
      <c r="M170" s="53"/>
      <c r="N170" s="55"/>
    </row>
    <row r="171" spans="1:14">
      <c r="A171" s="81"/>
      <c r="B171" s="82"/>
      <c r="C171" s="82"/>
      <c r="D171" s="82"/>
      <c r="E171" s="82"/>
      <c r="F171" s="82"/>
      <c r="G171" s="82"/>
      <c r="H171" s="83"/>
      <c r="I171" s="84"/>
      <c r="J171" s="85"/>
      <c r="K171" s="86"/>
      <c r="L171" s="53"/>
      <c r="M171" s="53"/>
      <c r="N171" s="55"/>
    </row>
    <row r="172" spans="1:14">
      <c r="A172" s="81"/>
      <c r="B172" s="82"/>
      <c r="C172" s="82"/>
      <c r="D172" s="82"/>
      <c r="E172" s="82"/>
      <c r="F172" s="82"/>
      <c r="G172" s="82"/>
      <c r="H172" s="83"/>
      <c r="I172" s="84"/>
      <c r="J172" s="85"/>
      <c r="K172" s="86"/>
      <c r="L172" s="53"/>
      <c r="M172" s="53"/>
      <c r="N172" s="55"/>
    </row>
    <row r="173" spans="1:14">
      <c r="A173" s="81"/>
      <c r="B173" s="82"/>
      <c r="C173" s="82"/>
      <c r="D173" s="82"/>
      <c r="E173" s="82"/>
      <c r="F173" s="82"/>
      <c r="G173" s="82"/>
      <c r="H173" s="83"/>
      <c r="I173" s="84"/>
      <c r="J173" s="85"/>
      <c r="K173" s="86"/>
      <c r="L173" s="53"/>
      <c r="M173" s="53"/>
      <c r="N173" s="55"/>
    </row>
    <row r="174" spans="1:14">
      <c r="A174" s="81"/>
      <c r="B174" s="82"/>
      <c r="C174" s="82"/>
      <c r="D174" s="82"/>
      <c r="E174" s="82"/>
      <c r="F174" s="82"/>
      <c r="G174" s="82"/>
      <c r="H174" s="83"/>
      <c r="I174" s="84"/>
      <c r="J174" s="85"/>
      <c r="K174" s="86"/>
      <c r="L174" s="53"/>
      <c r="M174" s="53"/>
      <c r="N174" s="55"/>
    </row>
    <row r="175" spans="1:14">
      <c r="A175" s="81"/>
      <c r="B175" s="82"/>
      <c r="C175" s="82"/>
      <c r="D175" s="82"/>
      <c r="E175" s="82"/>
      <c r="F175" s="82"/>
      <c r="G175" s="82"/>
      <c r="H175" s="83"/>
      <c r="I175" s="84"/>
      <c r="J175" s="85"/>
      <c r="K175" s="86"/>
      <c r="L175" s="53"/>
      <c r="M175" s="53"/>
      <c r="N175" s="55"/>
    </row>
    <row r="176" spans="1:14">
      <c r="A176" s="81"/>
      <c r="B176" s="82"/>
      <c r="C176" s="82"/>
      <c r="D176" s="82"/>
      <c r="E176" s="82"/>
      <c r="F176" s="82"/>
      <c r="G176" s="82"/>
      <c r="H176" s="83"/>
      <c r="I176" s="84"/>
      <c r="J176" s="85"/>
      <c r="K176" s="86"/>
      <c r="L176" s="53"/>
      <c r="M176" s="53"/>
      <c r="N176" s="55"/>
    </row>
    <row r="177" spans="1:14">
      <c r="A177" s="81"/>
      <c r="B177" s="82"/>
      <c r="C177" s="82"/>
      <c r="D177" s="82"/>
      <c r="E177" s="82"/>
      <c r="F177" s="82"/>
      <c r="G177" s="82"/>
      <c r="H177" s="83"/>
      <c r="I177" s="84"/>
      <c r="J177" s="85"/>
      <c r="K177" s="86"/>
      <c r="L177" s="53"/>
      <c r="M177" s="53"/>
      <c r="N177" s="55"/>
    </row>
    <row r="178" spans="1:14">
      <c r="A178" s="81"/>
      <c r="B178" s="82"/>
      <c r="C178" s="82"/>
      <c r="D178" s="82"/>
      <c r="E178" s="82"/>
      <c r="F178" s="82"/>
      <c r="G178" s="82"/>
      <c r="H178" s="83"/>
      <c r="I178" s="84"/>
      <c r="J178" s="85"/>
      <c r="K178" s="86"/>
      <c r="L178" s="53"/>
      <c r="M178" s="53"/>
      <c r="N178" s="55"/>
    </row>
    <row r="179" spans="1:14">
      <c r="A179" s="81"/>
      <c r="B179" s="82"/>
      <c r="C179" s="82"/>
      <c r="D179" s="82"/>
      <c r="E179" s="82"/>
      <c r="F179" s="82"/>
      <c r="G179" s="82"/>
      <c r="H179" s="83"/>
      <c r="I179" s="84"/>
      <c r="J179" s="85"/>
      <c r="K179" s="86"/>
      <c r="L179" s="53"/>
      <c r="M179" s="53"/>
      <c r="N179" s="55"/>
    </row>
    <row r="180" spans="1:14">
      <c r="A180" s="81"/>
      <c r="B180" s="82"/>
      <c r="C180" s="82"/>
      <c r="D180" s="82"/>
      <c r="E180" s="82"/>
      <c r="F180" s="82"/>
      <c r="G180" s="82"/>
      <c r="H180" s="83"/>
      <c r="I180" s="84"/>
      <c r="J180" s="85"/>
      <c r="K180" s="86"/>
      <c r="L180" s="53"/>
      <c r="M180" s="53"/>
      <c r="N180" s="55"/>
    </row>
    <row r="181" spans="1:14">
      <c r="A181" s="81"/>
      <c r="B181" s="82"/>
      <c r="C181" s="82"/>
      <c r="D181" s="82"/>
      <c r="E181" s="82"/>
      <c r="F181" s="82"/>
      <c r="G181" s="82"/>
      <c r="H181" s="83"/>
      <c r="I181" s="84"/>
      <c r="J181" s="85"/>
      <c r="K181" s="86"/>
      <c r="L181" s="53"/>
      <c r="M181" s="53"/>
      <c r="N181" s="55"/>
    </row>
    <row r="182" spans="1:14">
      <c r="A182" s="81"/>
      <c r="B182" s="82"/>
      <c r="C182" s="82"/>
      <c r="D182" s="82"/>
      <c r="E182" s="82"/>
      <c r="F182" s="82"/>
      <c r="G182" s="82"/>
      <c r="H182" s="83"/>
      <c r="I182" s="84"/>
      <c r="J182" s="85"/>
      <c r="K182" s="86"/>
      <c r="L182" s="53"/>
      <c r="M182" s="53"/>
      <c r="N182" s="55"/>
    </row>
    <row r="183" spans="1:14">
      <c r="A183" s="81"/>
      <c r="B183" s="82"/>
      <c r="C183" s="82"/>
      <c r="D183" s="82"/>
      <c r="E183" s="82"/>
      <c r="F183" s="82"/>
      <c r="G183" s="82"/>
      <c r="H183" s="83"/>
      <c r="I183" s="84"/>
      <c r="J183" s="85"/>
      <c r="K183" s="86"/>
      <c r="L183" s="53"/>
      <c r="M183" s="53"/>
      <c r="N183" s="55"/>
    </row>
    <row r="184" spans="1:14">
      <c r="A184" s="81"/>
      <c r="B184" s="82"/>
      <c r="C184" s="82"/>
      <c r="D184" s="82"/>
      <c r="E184" s="82"/>
      <c r="F184" s="82"/>
      <c r="G184" s="82"/>
      <c r="H184" s="83"/>
      <c r="I184" s="84"/>
      <c r="J184" s="85"/>
      <c r="K184" s="86"/>
      <c r="L184" s="53"/>
      <c r="M184" s="53"/>
      <c r="N184" s="55"/>
    </row>
    <row r="185" spans="1:14">
      <c r="A185" s="81"/>
      <c r="B185" s="82"/>
      <c r="C185" s="82"/>
      <c r="D185" s="82"/>
      <c r="E185" s="82"/>
      <c r="F185" s="82"/>
      <c r="G185" s="82"/>
      <c r="H185" s="83"/>
      <c r="I185" s="84"/>
      <c r="J185" s="85"/>
      <c r="K185" s="86"/>
      <c r="L185" s="53"/>
      <c r="M185" s="53"/>
      <c r="N185" s="55"/>
    </row>
    <row r="186" spans="1:14">
      <c r="A186" s="81"/>
      <c r="B186" s="82"/>
      <c r="C186" s="82"/>
      <c r="D186" s="82"/>
      <c r="E186" s="82"/>
      <c r="F186" s="82"/>
      <c r="G186" s="82"/>
      <c r="H186" s="83"/>
      <c r="I186" s="84"/>
      <c r="J186" s="85"/>
      <c r="K186" s="86"/>
      <c r="L186" s="53"/>
      <c r="M186" s="53"/>
      <c r="N186" s="55"/>
    </row>
    <row r="187" spans="1:14">
      <c r="A187" s="81"/>
      <c r="B187" s="82"/>
      <c r="C187" s="82"/>
      <c r="D187" s="82"/>
      <c r="E187" s="82"/>
      <c r="F187" s="82"/>
      <c r="G187" s="82"/>
      <c r="H187" s="83"/>
      <c r="I187" s="84"/>
      <c r="J187" s="85"/>
      <c r="K187" s="86"/>
      <c r="L187" s="53"/>
      <c r="M187" s="53"/>
      <c r="N187" s="55"/>
    </row>
    <row r="188" spans="1:14">
      <c r="A188" s="81"/>
      <c r="B188" s="82"/>
      <c r="C188" s="82"/>
      <c r="D188" s="82"/>
      <c r="E188" s="82"/>
      <c r="F188" s="82"/>
      <c r="G188" s="82"/>
      <c r="H188" s="83"/>
      <c r="I188" s="84"/>
      <c r="J188" s="85"/>
      <c r="K188" s="86"/>
      <c r="L188" s="53"/>
      <c r="M188" s="53"/>
      <c r="N188" s="55"/>
    </row>
    <row r="189" spans="1:14">
      <c r="A189" s="81"/>
      <c r="B189" s="82"/>
      <c r="C189" s="82"/>
      <c r="D189" s="82"/>
      <c r="E189" s="82"/>
      <c r="F189" s="82"/>
      <c r="G189" s="82"/>
      <c r="H189" s="83"/>
      <c r="I189" s="84"/>
      <c r="J189" s="85"/>
      <c r="K189" s="86"/>
      <c r="L189" s="53"/>
      <c r="M189" s="53"/>
      <c r="N189" s="55"/>
    </row>
    <row r="190" spans="1:14">
      <c r="A190" s="81"/>
      <c r="B190" s="82"/>
      <c r="C190" s="82"/>
      <c r="D190" s="82"/>
      <c r="E190" s="82"/>
      <c r="F190" s="82"/>
      <c r="G190" s="82"/>
      <c r="H190" s="83"/>
      <c r="I190" s="84"/>
      <c r="J190" s="85"/>
      <c r="K190" s="86"/>
      <c r="L190" s="53"/>
      <c r="M190" s="53"/>
      <c r="N190" s="55"/>
    </row>
    <row r="191" spans="1:14">
      <c r="A191" s="81"/>
      <c r="B191" s="82"/>
      <c r="C191" s="82"/>
      <c r="D191" s="82"/>
      <c r="E191" s="82"/>
      <c r="F191" s="82"/>
      <c r="G191" s="82"/>
      <c r="H191" s="83"/>
      <c r="I191" s="84"/>
      <c r="J191" s="85"/>
      <c r="K191" s="86"/>
      <c r="L191" s="53"/>
      <c r="M191" s="53"/>
      <c r="N191" s="55"/>
    </row>
    <row r="192" spans="1:14">
      <c r="A192" s="81"/>
      <c r="B192" s="82"/>
      <c r="C192" s="82"/>
      <c r="D192" s="82"/>
      <c r="E192" s="82"/>
      <c r="F192" s="82"/>
      <c r="G192" s="82"/>
      <c r="H192" s="83"/>
      <c r="I192" s="84"/>
      <c r="J192" s="85"/>
      <c r="K192" s="86"/>
      <c r="L192" s="53"/>
      <c r="M192" s="53"/>
      <c r="N192" s="55"/>
    </row>
    <row r="193" spans="1:14">
      <c r="A193" s="81"/>
      <c r="B193" s="82"/>
      <c r="C193" s="82"/>
      <c r="D193" s="82"/>
      <c r="E193" s="82"/>
      <c r="F193" s="82"/>
      <c r="G193" s="82"/>
      <c r="H193" s="83"/>
      <c r="I193" s="84"/>
      <c r="J193" s="85"/>
      <c r="K193" s="86"/>
      <c r="L193" s="53"/>
      <c r="M193" s="53"/>
      <c r="N193" s="55"/>
    </row>
    <row r="194" spans="1:14">
      <c r="A194" s="81"/>
      <c r="B194" s="82"/>
      <c r="C194" s="82"/>
      <c r="D194" s="82"/>
      <c r="E194" s="82"/>
      <c r="F194" s="82"/>
      <c r="G194" s="82"/>
      <c r="H194" s="83"/>
      <c r="I194" s="84"/>
      <c r="J194" s="85"/>
      <c r="K194" s="86"/>
      <c r="L194" s="53"/>
      <c r="M194" s="53"/>
      <c r="N194" s="55"/>
    </row>
    <row r="195" spans="1:14">
      <c r="A195" s="81"/>
      <c r="B195" s="82"/>
      <c r="C195" s="82"/>
      <c r="D195" s="82"/>
      <c r="E195" s="82"/>
      <c r="F195" s="82"/>
      <c r="G195" s="82"/>
      <c r="H195" s="83"/>
      <c r="I195" s="84"/>
      <c r="J195" s="85"/>
      <c r="K195" s="86"/>
      <c r="L195" s="53"/>
      <c r="M195" s="53"/>
      <c r="N195" s="55"/>
    </row>
    <row r="196" spans="1:14">
      <c r="A196" s="81"/>
      <c r="B196" s="82"/>
      <c r="C196" s="82"/>
      <c r="D196" s="82"/>
      <c r="E196" s="82"/>
      <c r="F196" s="82"/>
      <c r="G196" s="82"/>
      <c r="H196" s="83"/>
      <c r="I196" s="84"/>
      <c r="J196" s="85"/>
      <c r="K196" s="86"/>
      <c r="L196" s="53"/>
      <c r="M196" s="53"/>
      <c r="N196" s="55"/>
    </row>
    <row r="197" spans="1:14">
      <c r="A197" s="81"/>
      <c r="B197" s="82"/>
      <c r="C197" s="82"/>
      <c r="D197" s="82"/>
      <c r="E197" s="82"/>
      <c r="F197" s="82"/>
      <c r="G197" s="82"/>
      <c r="H197" s="83"/>
      <c r="I197" s="84"/>
      <c r="J197" s="85"/>
      <c r="K197" s="86"/>
      <c r="L197" s="53"/>
      <c r="M197" s="53"/>
      <c r="N197" s="55"/>
    </row>
    <row r="198" spans="1:14">
      <c r="A198" s="81"/>
      <c r="B198" s="82"/>
      <c r="C198" s="82"/>
      <c r="D198" s="82"/>
      <c r="E198" s="82"/>
      <c r="F198" s="82"/>
      <c r="G198" s="82"/>
      <c r="H198" s="83"/>
      <c r="I198" s="84"/>
      <c r="J198" s="85"/>
      <c r="K198" s="86"/>
      <c r="L198" s="53"/>
      <c r="M198" s="53"/>
      <c r="N198" s="55"/>
    </row>
    <row r="199" spans="1:14">
      <c r="A199" s="81"/>
      <c r="B199" s="82"/>
      <c r="C199" s="82"/>
      <c r="D199" s="82"/>
      <c r="E199" s="82"/>
      <c r="F199" s="82"/>
      <c r="G199" s="82"/>
      <c r="H199" s="83"/>
      <c r="I199" s="84"/>
      <c r="J199" s="85"/>
      <c r="K199" s="86"/>
      <c r="L199" s="53"/>
      <c r="M199" s="53"/>
      <c r="N199" s="55"/>
    </row>
    <row r="200" spans="1:14">
      <c r="A200" s="81"/>
      <c r="B200" s="82"/>
      <c r="C200" s="82"/>
      <c r="D200" s="82"/>
      <c r="E200" s="82"/>
      <c r="F200" s="82"/>
      <c r="G200" s="82"/>
      <c r="H200" s="83"/>
      <c r="I200" s="84"/>
      <c r="J200" s="85"/>
      <c r="K200" s="86"/>
      <c r="L200" s="53"/>
      <c r="M200" s="53"/>
      <c r="N200" s="55"/>
    </row>
    <row r="201" spans="1:14">
      <c r="A201" s="81"/>
      <c r="B201" s="82"/>
      <c r="C201" s="82"/>
      <c r="D201" s="82"/>
      <c r="E201" s="82"/>
      <c r="F201" s="82"/>
      <c r="G201" s="82"/>
      <c r="H201" s="83"/>
      <c r="I201" s="84"/>
      <c r="J201" s="85"/>
      <c r="K201" s="86"/>
      <c r="L201" s="53"/>
      <c r="M201" s="53"/>
      <c r="N201" s="55"/>
    </row>
    <row r="202" spans="1:14">
      <c r="A202" s="81"/>
      <c r="B202" s="82"/>
      <c r="C202" s="82"/>
      <c r="D202" s="82"/>
      <c r="E202" s="82"/>
      <c r="F202" s="82"/>
      <c r="G202" s="82"/>
      <c r="H202" s="83"/>
      <c r="I202" s="84"/>
      <c r="J202" s="85"/>
      <c r="K202" s="86"/>
      <c r="L202" s="53"/>
      <c r="M202" s="53"/>
      <c r="N202" s="55"/>
    </row>
    <row r="203" spans="1:14">
      <c r="A203" s="81"/>
      <c r="B203" s="82"/>
      <c r="C203" s="82"/>
      <c r="D203" s="82"/>
      <c r="E203" s="82"/>
      <c r="F203" s="82"/>
      <c r="G203" s="82"/>
      <c r="H203" s="83"/>
      <c r="I203" s="84"/>
      <c r="J203" s="85"/>
      <c r="K203" s="86"/>
      <c r="L203" s="53"/>
      <c r="M203" s="53"/>
      <c r="N203" s="55"/>
    </row>
    <row r="204" spans="1:14">
      <c r="A204" s="81"/>
      <c r="B204" s="82"/>
      <c r="C204" s="82"/>
      <c r="D204" s="82"/>
      <c r="E204" s="82"/>
      <c r="F204" s="82"/>
      <c r="G204" s="82"/>
      <c r="H204" s="83"/>
      <c r="I204" s="84"/>
      <c r="J204" s="85"/>
      <c r="K204" s="86"/>
      <c r="L204" s="53"/>
      <c r="M204" s="53"/>
      <c r="N204" s="55"/>
    </row>
    <row r="205" spans="1:14">
      <c r="A205" s="81"/>
      <c r="B205" s="82"/>
      <c r="C205" s="82"/>
      <c r="D205" s="82"/>
      <c r="E205" s="82"/>
      <c r="F205" s="82"/>
      <c r="G205" s="82"/>
      <c r="H205" s="83"/>
      <c r="I205" s="84"/>
      <c r="J205" s="85"/>
      <c r="K205" s="86"/>
      <c r="L205" s="53"/>
      <c r="M205" s="53"/>
      <c r="N205" s="55"/>
    </row>
    <row r="206" spans="1:14">
      <c r="A206" s="81"/>
      <c r="B206" s="82"/>
      <c r="C206" s="82"/>
      <c r="D206" s="82"/>
      <c r="E206" s="82"/>
      <c r="F206" s="82"/>
      <c r="G206" s="82"/>
      <c r="H206" s="83"/>
      <c r="I206" s="84"/>
      <c r="J206" s="85"/>
      <c r="K206" s="86"/>
      <c r="L206" s="53"/>
      <c r="M206" s="53"/>
      <c r="N206" s="55"/>
    </row>
    <row r="207" spans="1:14">
      <c r="A207" s="81"/>
      <c r="B207" s="82"/>
      <c r="C207" s="82"/>
      <c r="D207" s="82"/>
      <c r="E207" s="82"/>
      <c r="F207" s="82"/>
      <c r="G207" s="82"/>
      <c r="H207" s="83"/>
      <c r="I207" s="84"/>
      <c r="J207" s="85"/>
      <c r="K207" s="86"/>
      <c r="L207" s="53"/>
      <c r="M207" s="53"/>
      <c r="N207" s="55"/>
    </row>
    <row r="208" spans="1:14">
      <c r="A208" s="81"/>
      <c r="B208" s="82"/>
      <c r="C208" s="82"/>
      <c r="D208" s="82"/>
      <c r="E208" s="82"/>
      <c r="F208" s="82"/>
      <c r="G208" s="82"/>
      <c r="H208" s="83"/>
      <c r="I208" s="84"/>
      <c r="J208" s="85"/>
      <c r="K208" s="86"/>
      <c r="L208" s="53"/>
      <c r="M208" s="53"/>
      <c r="N208" s="55"/>
    </row>
    <row r="209" spans="1:14">
      <c r="A209" s="81"/>
      <c r="B209" s="82"/>
      <c r="C209" s="82"/>
      <c r="D209" s="82"/>
      <c r="E209" s="82"/>
      <c r="F209" s="82"/>
      <c r="G209" s="82"/>
      <c r="H209" s="83"/>
      <c r="I209" s="84"/>
      <c r="J209" s="85"/>
      <c r="K209" s="86"/>
      <c r="L209" s="53"/>
      <c r="M209" s="53"/>
      <c r="N209" s="55"/>
    </row>
    <row r="210" spans="1:14">
      <c r="A210" s="81"/>
      <c r="B210" s="82"/>
      <c r="C210" s="82"/>
      <c r="D210" s="82"/>
      <c r="E210" s="82"/>
      <c r="F210" s="82"/>
      <c r="G210" s="82"/>
      <c r="H210" s="83"/>
      <c r="I210" s="84"/>
      <c r="J210" s="85"/>
      <c r="K210" s="86"/>
      <c r="L210" s="53"/>
      <c r="M210" s="53"/>
      <c r="N210" s="55"/>
    </row>
    <row r="211" spans="1:14">
      <c r="A211" s="81"/>
      <c r="B211" s="82"/>
      <c r="C211" s="82"/>
      <c r="D211" s="82"/>
      <c r="E211" s="82"/>
      <c r="F211" s="82"/>
      <c r="G211" s="82"/>
      <c r="H211" s="83"/>
      <c r="I211" s="84"/>
      <c r="J211" s="85"/>
      <c r="K211" s="86"/>
      <c r="L211" s="53"/>
      <c r="M211" s="53"/>
      <c r="N211" s="55"/>
    </row>
    <row r="212" spans="1:14">
      <c r="A212" s="81"/>
      <c r="B212" s="82"/>
      <c r="C212" s="82"/>
      <c r="D212" s="82"/>
      <c r="E212" s="82"/>
      <c r="F212" s="82"/>
      <c r="G212" s="82"/>
      <c r="H212" s="83"/>
      <c r="I212" s="84"/>
      <c r="J212" s="85"/>
      <c r="K212" s="86"/>
      <c r="L212" s="53"/>
      <c r="M212" s="53"/>
      <c r="N212" s="55"/>
    </row>
    <row r="213" spans="1:14">
      <c r="A213" s="81"/>
      <c r="B213" s="82"/>
      <c r="C213" s="82"/>
      <c r="D213" s="82"/>
      <c r="E213" s="82"/>
      <c r="F213" s="82"/>
      <c r="G213" s="82"/>
      <c r="H213" s="83"/>
      <c r="I213" s="84"/>
      <c r="J213" s="85"/>
      <c r="K213" s="86"/>
      <c r="L213" s="53"/>
      <c r="M213" s="53"/>
      <c r="N213" s="55"/>
    </row>
    <row r="214" spans="1:14">
      <c r="A214" s="81"/>
      <c r="B214" s="82"/>
      <c r="C214" s="82"/>
      <c r="D214" s="82"/>
      <c r="E214" s="82"/>
      <c r="F214" s="82"/>
      <c r="G214" s="82"/>
      <c r="H214" s="83"/>
      <c r="I214" s="84"/>
      <c r="J214" s="85"/>
      <c r="K214" s="86"/>
      <c r="L214" s="53"/>
      <c r="M214" s="53"/>
      <c r="N214" s="55"/>
    </row>
    <row r="215" spans="1:14">
      <c r="A215" s="81"/>
      <c r="B215" s="82"/>
      <c r="C215" s="82"/>
      <c r="D215" s="82"/>
      <c r="E215" s="82"/>
      <c r="F215" s="82"/>
      <c r="G215" s="82"/>
      <c r="H215" s="83"/>
      <c r="I215" s="84"/>
      <c r="J215" s="85"/>
      <c r="K215" s="86"/>
      <c r="L215" s="53"/>
      <c r="M215" s="53"/>
      <c r="N215" s="55"/>
    </row>
    <row r="216" spans="1:14">
      <c r="A216" s="81"/>
      <c r="B216" s="82"/>
      <c r="C216" s="82"/>
      <c r="D216" s="82"/>
      <c r="E216" s="82"/>
      <c r="F216" s="82"/>
      <c r="G216" s="82"/>
      <c r="H216" s="83"/>
      <c r="I216" s="84"/>
      <c r="J216" s="85"/>
      <c r="K216" s="86"/>
      <c r="L216" s="53"/>
      <c r="M216" s="53"/>
      <c r="N216" s="55"/>
    </row>
    <row r="217" spans="1:14">
      <c r="A217" s="81"/>
      <c r="B217" s="82"/>
      <c r="C217" s="82"/>
      <c r="D217" s="82"/>
      <c r="E217" s="82"/>
      <c r="F217" s="82"/>
      <c r="G217" s="82"/>
      <c r="H217" s="83"/>
      <c r="I217" s="84"/>
      <c r="J217" s="85"/>
      <c r="K217" s="86"/>
      <c r="L217" s="53"/>
      <c r="M217" s="53"/>
      <c r="N217" s="55"/>
    </row>
    <row r="218" spans="1:14">
      <c r="A218" s="81"/>
      <c r="B218" s="82"/>
      <c r="C218" s="82"/>
      <c r="D218" s="82"/>
      <c r="E218" s="82"/>
      <c r="F218" s="82"/>
      <c r="G218" s="82"/>
      <c r="H218" s="83"/>
      <c r="I218" s="84"/>
      <c r="J218" s="85"/>
      <c r="K218" s="86"/>
      <c r="L218" s="53"/>
      <c r="M218" s="53"/>
      <c r="N218" s="55"/>
    </row>
    <row r="219" spans="1:14">
      <c r="A219" s="81"/>
      <c r="B219" s="82"/>
      <c r="C219" s="82"/>
      <c r="D219" s="82"/>
      <c r="E219" s="82"/>
      <c r="F219" s="82"/>
      <c r="G219" s="82"/>
      <c r="H219" s="83"/>
      <c r="I219" s="84"/>
      <c r="J219" s="85"/>
      <c r="K219" s="86"/>
      <c r="L219" s="53"/>
      <c r="M219" s="53"/>
      <c r="N219" s="55"/>
    </row>
    <row r="220" spans="1:14">
      <c r="A220" s="81"/>
      <c r="B220" s="82"/>
      <c r="C220" s="82"/>
      <c r="D220" s="82"/>
      <c r="E220" s="82"/>
      <c r="F220" s="82"/>
      <c r="G220" s="82"/>
      <c r="H220" s="83"/>
      <c r="I220" s="84"/>
      <c r="J220" s="85"/>
      <c r="K220" s="86"/>
      <c r="L220" s="53"/>
      <c r="M220" s="53"/>
      <c r="N220" s="55"/>
    </row>
    <row r="221" spans="1:14">
      <c r="A221" s="81"/>
      <c r="B221" s="82"/>
      <c r="C221" s="82"/>
      <c r="D221" s="82"/>
      <c r="E221" s="82"/>
      <c r="F221" s="82"/>
      <c r="G221" s="82"/>
      <c r="H221" s="83"/>
      <c r="I221" s="84"/>
      <c r="J221" s="85"/>
      <c r="K221" s="86"/>
      <c r="L221" s="53"/>
      <c r="M221" s="53"/>
      <c r="N221" s="55"/>
    </row>
    <row r="222" spans="1:14">
      <c r="A222" s="81"/>
      <c r="B222" s="82"/>
      <c r="C222" s="82"/>
      <c r="D222" s="82"/>
      <c r="E222" s="82"/>
      <c r="F222" s="82"/>
      <c r="G222" s="82"/>
      <c r="H222" s="83"/>
      <c r="I222" s="84"/>
      <c r="J222" s="85"/>
      <c r="K222" s="86"/>
      <c r="L222" s="53"/>
      <c r="M222" s="53"/>
      <c r="N222" s="55"/>
    </row>
    <row r="223" spans="1:14">
      <c r="A223" s="81"/>
      <c r="B223" s="82"/>
      <c r="C223" s="82"/>
      <c r="D223" s="82"/>
      <c r="E223" s="82"/>
      <c r="F223" s="82"/>
      <c r="G223" s="82"/>
      <c r="H223" s="83"/>
      <c r="I223" s="84"/>
      <c r="J223" s="85"/>
      <c r="K223" s="86"/>
      <c r="L223" s="53"/>
      <c r="M223" s="53"/>
      <c r="N223" s="55"/>
    </row>
    <row r="224" spans="1:14">
      <c r="A224" s="81"/>
      <c r="B224" s="82"/>
      <c r="C224" s="82"/>
      <c r="D224" s="82"/>
      <c r="E224" s="82"/>
      <c r="F224" s="82"/>
      <c r="G224" s="82"/>
      <c r="H224" s="83"/>
      <c r="I224" s="84"/>
      <c r="J224" s="85"/>
      <c r="K224" s="86"/>
      <c r="L224" s="53"/>
      <c r="M224" s="53"/>
      <c r="N224" s="55"/>
    </row>
    <row r="225" spans="1:14">
      <c r="A225" s="81"/>
      <c r="B225" s="82"/>
      <c r="C225" s="82"/>
      <c r="D225" s="82"/>
      <c r="E225" s="82"/>
      <c r="F225" s="82"/>
      <c r="G225" s="82"/>
      <c r="H225" s="83"/>
      <c r="I225" s="84"/>
      <c r="J225" s="85"/>
      <c r="K225" s="86"/>
      <c r="L225" s="53"/>
      <c r="M225" s="53"/>
      <c r="N225" s="55"/>
    </row>
    <row r="226" spans="1:14">
      <c r="A226" s="81"/>
      <c r="B226" s="82"/>
      <c r="C226" s="82"/>
      <c r="D226" s="82"/>
      <c r="E226" s="82"/>
      <c r="F226" s="82"/>
      <c r="G226" s="82"/>
      <c r="H226" s="83"/>
      <c r="I226" s="84"/>
      <c r="J226" s="85"/>
      <c r="K226" s="86"/>
      <c r="L226" s="53"/>
      <c r="M226" s="53"/>
      <c r="N226" s="55"/>
    </row>
    <row r="227" spans="1:14">
      <c r="A227" s="81"/>
      <c r="B227" s="82"/>
      <c r="C227" s="82"/>
      <c r="D227" s="82"/>
      <c r="E227" s="82"/>
      <c r="F227" s="82"/>
      <c r="G227" s="82"/>
      <c r="H227" s="83"/>
      <c r="I227" s="84"/>
      <c r="J227" s="85"/>
      <c r="K227" s="86"/>
      <c r="L227" s="53"/>
      <c r="M227" s="53"/>
      <c r="N227" s="55"/>
    </row>
    <row r="228" spans="1:14">
      <c r="A228" s="81"/>
      <c r="B228" s="82"/>
      <c r="C228" s="82"/>
      <c r="D228" s="82"/>
      <c r="E228" s="82"/>
      <c r="F228" s="82"/>
      <c r="G228" s="82"/>
      <c r="H228" s="83"/>
      <c r="I228" s="84"/>
      <c r="J228" s="85"/>
      <c r="K228" s="86"/>
      <c r="L228" s="53"/>
      <c r="M228" s="53"/>
      <c r="N228" s="55"/>
    </row>
    <row r="229" spans="1:14">
      <c r="A229" s="81"/>
      <c r="B229" s="82"/>
      <c r="C229" s="82"/>
      <c r="D229" s="82"/>
      <c r="E229" s="82"/>
      <c r="F229" s="82"/>
      <c r="G229" s="82"/>
      <c r="H229" s="83"/>
      <c r="I229" s="84"/>
      <c r="J229" s="85"/>
      <c r="K229" s="86"/>
      <c r="L229" s="53"/>
      <c r="M229" s="53"/>
      <c r="N229" s="55"/>
    </row>
    <row r="230" spans="1:14">
      <c r="A230" s="81"/>
      <c r="B230" s="82"/>
      <c r="C230" s="82"/>
      <c r="D230" s="82"/>
      <c r="E230" s="82"/>
      <c r="F230" s="82"/>
      <c r="G230" s="82"/>
      <c r="H230" s="83"/>
      <c r="I230" s="84"/>
      <c r="J230" s="85"/>
      <c r="K230" s="86"/>
      <c r="L230" s="53"/>
      <c r="M230" s="53"/>
      <c r="N230" s="55"/>
    </row>
    <row r="231" spans="1:14">
      <c r="A231" s="81"/>
      <c r="B231" s="82"/>
      <c r="C231" s="82"/>
      <c r="D231" s="82"/>
      <c r="E231" s="82"/>
      <c r="F231" s="82"/>
      <c r="G231" s="82"/>
      <c r="H231" s="83"/>
      <c r="I231" s="84"/>
      <c r="J231" s="85"/>
      <c r="K231" s="86"/>
      <c r="L231" s="53"/>
      <c r="M231" s="53"/>
      <c r="N231" s="55"/>
    </row>
    <row r="232" spans="1:14">
      <c r="A232" s="81"/>
      <c r="B232" s="82"/>
      <c r="C232" s="82"/>
      <c r="D232" s="82"/>
      <c r="E232" s="82"/>
      <c r="F232" s="82"/>
      <c r="G232" s="82"/>
      <c r="H232" s="83"/>
      <c r="I232" s="84"/>
      <c r="J232" s="85"/>
      <c r="K232" s="86"/>
      <c r="L232" s="53"/>
      <c r="M232" s="53"/>
      <c r="N232" s="55"/>
    </row>
    <row r="233" spans="1:14">
      <c r="A233" s="81"/>
      <c r="B233" s="82"/>
      <c r="C233" s="82"/>
      <c r="D233" s="82"/>
      <c r="E233" s="82"/>
      <c r="F233" s="82"/>
      <c r="G233" s="82"/>
      <c r="H233" s="83"/>
      <c r="I233" s="84"/>
      <c r="J233" s="85"/>
      <c r="K233" s="86"/>
      <c r="L233" s="53"/>
      <c r="M233" s="53"/>
      <c r="N233" s="55"/>
    </row>
    <row r="234" spans="1:14">
      <c r="A234" s="81"/>
      <c r="B234" s="82"/>
      <c r="C234" s="82"/>
      <c r="D234" s="82"/>
      <c r="E234" s="82"/>
      <c r="F234" s="82"/>
      <c r="G234" s="82"/>
      <c r="H234" s="83"/>
      <c r="I234" s="84"/>
      <c r="J234" s="85"/>
      <c r="K234" s="86"/>
      <c r="L234" s="53"/>
      <c r="M234" s="53"/>
      <c r="N234" s="55"/>
    </row>
    <row r="235" spans="1:14">
      <c r="A235" s="81"/>
      <c r="B235" s="82"/>
      <c r="C235" s="82"/>
      <c r="D235" s="82"/>
      <c r="E235" s="82"/>
      <c r="F235" s="82"/>
      <c r="G235" s="82"/>
      <c r="H235" s="83"/>
      <c r="I235" s="84"/>
      <c r="J235" s="85"/>
      <c r="K235" s="86"/>
      <c r="L235" s="53"/>
      <c r="M235" s="53"/>
      <c r="N235" s="55"/>
    </row>
    <row r="236" spans="1:14">
      <c r="A236" s="81"/>
      <c r="B236" s="82"/>
      <c r="C236" s="82"/>
      <c r="D236" s="82"/>
      <c r="E236" s="82"/>
      <c r="F236" s="82"/>
      <c r="G236" s="82"/>
      <c r="H236" s="83"/>
      <c r="I236" s="84"/>
      <c r="J236" s="85"/>
      <c r="K236" s="86"/>
      <c r="L236" s="53"/>
      <c r="M236" s="53"/>
      <c r="N236" s="55"/>
    </row>
    <row r="237" spans="1:14">
      <c r="A237" s="81"/>
      <c r="B237" s="82"/>
      <c r="C237" s="82"/>
      <c r="D237" s="82"/>
      <c r="E237" s="82"/>
      <c r="F237" s="82"/>
      <c r="G237" s="82"/>
      <c r="H237" s="83"/>
      <c r="I237" s="84"/>
      <c r="J237" s="85"/>
      <c r="K237" s="86"/>
      <c r="L237" s="53"/>
      <c r="M237" s="53"/>
      <c r="N237" s="55"/>
    </row>
    <row r="238" spans="1:14">
      <c r="A238" s="81"/>
      <c r="B238" s="82"/>
      <c r="C238" s="82"/>
      <c r="D238" s="82"/>
      <c r="E238" s="82"/>
      <c r="F238" s="82"/>
      <c r="G238" s="82"/>
      <c r="H238" s="83"/>
      <c r="I238" s="84"/>
      <c r="J238" s="85"/>
      <c r="K238" s="86"/>
      <c r="L238" s="53"/>
      <c r="M238" s="53"/>
      <c r="N238" s="55"/>
    </row>
    <row r="239" spans="1:14">
      <c r="A239" s="81"/>
      <c r="B239" s="82"/>
      <c r="C239" s="82"/>
      <c r="D239" s="82"/>
      <c r="E239" s="82"/>
      <c r="F239" s="82"/>
      <c r="G239" s="82"/>
      <c r="H239" s="83"/>
      <c r="I239" s="84"/>
      <c r="J239" s="85"/>
      <c r="K239" s="86"/>
      <c r="L239" s="53"/>
      <c r="M239" s="53"/>
      <c r="N239" s="55"/>
    </row>
    <row r="240" spans="1:14">
      <c r="A240" s="81"/>
      <c r="B240" s="82"/>
      <c r="C240" s="82"/>
      <c r="D240" s="82"/>
      <c r="E240" s="82"/>
      <c r="F240" s="82"/>
      <c r="G240" s="82"/>
      <c r="H240" s="83"/>
      <c r="I240" s="84"/>
      <c r="J240" s="85"/>
      <c r="K240" s="86"/>
      <c r="L240" s="53"/>
      <c r="M240" s="53"/>
      <c r="N240" s="55"/>
    </row>
    <row r="241" spans="1:14">
      <c r="A241" s="81"/>
      <c r="B241" s="82"/>
      <c r="C241" s="82"/>
      <c r="D241" s="82"/>
      <c r="E241" s="82"/>
      <c r="F241" s="82"/>
      <c r="G241" s="82"/>
      <c r="H241" s="83"/>
      <c r="I241" s="84"/>
      <c r="J241" s="85"/>
      <c r="K241" s="86"/>
      <c r="L241" s="53"/>
      <c r="M241" s="53"/>
      <c r="N241" s="55"/>
    </row>
    <row r="242" spans="1:14">
      <c r="A242" s="81"/>
      <c r="B242" s="82"/>
      <c r="C242" s="82"/>
      <c r="D242" s="82"/>
      <c r="E242" s="82"/>
      <c r="F242" s="82"/>
      <c r="G242" s="82"/>
      <c r="H242" s="83"/>
      <c r="I242" s="84"/>
      <c r="J242" s="85"/>
      <c r="K242" s="86"/>
      <c r="L242" s="53"/>
      <c r="M242" s="53"/>
      <c r="N242" s="55"/>
    </row>
    <row r="243" spans="1:14">
      <c r="A243" s="81"/>
      <c r="B243" s="82"/>
      <c r="C243" s="82"/>
      <c r="D243" s="82"/>
      <c r="E243" s="82"/>
      <c r="F243" s="82"/>
      <c r="G243" s="82"/>
      <c r="H243" s="83"/>
      <c r="I243" s="84"/>
      <c r="J243" s="85"/>
      <c r="K243" s="86"/>
      <c r="L243" s="53"/>
      <c r="M243" s="53"/>
      <c r="N243" s="55"/>
    </row>
    <row r="244" spans="1:14">
      <c r="A244" s="81"/>
      <c r="B244" s="82"/>
      <c r="C244" s="82"/>
      <c r="D244" s="82"/>
      <c r="E244" s="82"/>
      <c r="F244" s="82"/>
      <c r="G244" s="82"/>
      <c r="H244" s="83"/>
      <c r="I244" s="84"/>
      <c r="J244" s="85"/>
      <c r="K244" s="86"/>
      <c r="L244" s="53"/>
      <c r="M244" s="53"/>
      <c r="N244" s="55"/>
    </row>
    <row r="245" spans="1:14">
      <c r="A245" s="81"/>
      <c r="B245" s="82"/>
      <c r="C245" s="82"/>
      <c r="D245" s="82"/>
      <c r="E245" s="82"/>
      <c r="F245" s="82"/>
      <c r="G245" s="82"/>
      <c r="H245" s="83"/>
      <c r="I245" s="84"/>
      <c r="J245" s="85"/>
      <c r="K245" s="86"/>
      <c r="L245" s="53"/>
      <c r="M245" s="53"/>
      <c r="N245" s="55"/>
    </row>
    <row r="246" spans="1:14">
      <c r="A246" s="81"/>
      <c r="B246" s="82"/>
      <c r="C246" s="82"/>
      <c r="D246" s="82"/>
      <c r="E246" s="82"/>
      <c r="F246" s="82"/>
      <c r="G246" s="82"/>
      <c r="H246" s="83"/>
      <c r="I246" s="84"/>
      <c r="J246" s="85"/>
      <c r="K246" s="86"/>
      <c r="L246" s="53"/>
      <c r="M246" s="53"/>
      <c r="N246" s="55"/>
    </row>
    <row r="247" spans="1:14">
      <c r="A247" s="81"/>
      <c r="B247" s="82"/>
      <c r="C247" s="82"/>
      <c r="D247" s="82"/>
      <c r="E247" s="82"/>
      <c r="F247" s="82"/>
      <c r="G247" s="82"/>
      <c r="H247" s="83"/>
      <c r="I247" s="84"/>
      <c r="J247" s="85"/>
      <c r="K247" s="86"/>
      <c r="L247" s="53"/>
      <c r="M247" s="53"/>
      <c r="N247" s="55"/>
    </row>
    <row r="248" spans="1:14">
      <c r="A248" s="81"/>
      <c r="B248" s="82"/>
      <c r="C248" s="82"/>
      <c r="D248" s="82"/>
      <c r="E248" s="82"/>
      <c r="F248" s="82"/>
      <c r="G248" s="82"/>
      <c r="H248" s="83"/>
      <c r="I248" s="84"/>
      <c r="J248" s="85"/>
      <c r="K248" s="86"/>
      <c r="L248" s="53"/>
      <c r="M248" s="53"/>
      <c r="N248" s="55"/>
    </row>
    <row r="249" spans="1:14">
      <c r="A249" s="81"/>
      <c r="B249" s="82"/>
      <c r="C249" s="82"/>
      <c r="D249" s="82"/>
      <c r="E249" s="82"/>
      <c r="F249" s="82"/>
      <c r="G249" s="82"/>
      <c r="H249" s="83"/>
      <c r="I249" s="84"/>
      <c r="J249" s="85"/>
      <c r="K249" s="86"/>
      <c r="L249" s="53"/>
      <c r="M249" s="53"/>
      <c r="N249" s="55"/>
    </row>
    <row r="250" spans="1:14">
      <c r="A250" s="81"/>
      <c r="B250" s="82"/>
      <c r="C250" s="82"/>
      <c r="D250" s="82"/>
      <c r="E250" s="82"/>
      <c r="F250" s="82"/>
      <c r="G250" s="82"/>
      <c r="H250" s="83"/>
      <c r="I250" s="84"/>
      <c r="J250" s="85"/>
      <c r="K250" s="86"/>
      <c r="L250" s="53"/>
      <c r="M250" s="53"/>
      <c r="N250" s="55"/>
    </row>
    <row r="251" spans="1:14">
      <c r="A251" s="81"/>
      <c r="B251" s="82"/>
      <c r="C251" s="82"/>
      <c r="D251" s="82"/>
      <c r="E251" s="82"/>
      <c r="F251" s="82"/>
      <c r="G251" s="82"/>
      <c r="H251" s="83"/>
      <c r="I251" s="84"/>
      <c r="J251" s="85"/>
      <c r="K251" s="86"/>
      <c r="L251" s="53"/>
      <c r="M251" s="53"/>
      <c r="N251" s="55"/>
    </row>
    <row r="252" spans="1:14">
      <c r="A252" s="81"/>
      <c r="B252" s="82"/>
      <c r="C252" s="82"/>
      <c r="D252" s="82"/>
      <c r="E252" s="82"/>
      <c r="F252" s="82"/>
      <c r="G252" s="82"/>
      <c r="H252" s="83"/>
      <c r="I252" s="84"/>
      <c r="J252" s="85"/>
      <c r="K252" s="86"/>
      <c r="L252" s="53"/>
      <c r="M252" s="53"/>
      <c r="N252" s="55"/>
    </row>
    <row r="253" spans="1:14">
      <c r="A253" s="81"/>
      <c r="B253" s="82"/>
      <c r="C253" s="82"/>
      <c r="D253" s="82"/>
      <c r="E253" s="82"/>
      <c r="F253" s="82"/>
      <c r="G253" s="82"/>
      <c r="H253" s="83"/>
      <c r="I253" s="84"/>
      <c r="J253" s="85"/>
      <c r="K253" s="86"/>
      <c r="L253" s="53"/>
      <c r="M253" s="53"/>
      <c r="N253" s="55"/>
    </row>
    <row r="254" spans="1:14">
      <c r="A254" s="81"/>
      <c r="B254" s="82"/>
      <c r="C254" s="82"/>
      <c r="D254" s="82"/>
      <c r="E254" s="82"/>
      <c r="F254" s="82"/>
      <c r="G254" s="82"/>
      <c r="H254" s="83"/>
      <c r="I254" s="84"/>
      <c r="J254" s="85"/>
      <c r="K254" s="86"/>
      <c r="L254" s="53"/>
      <c r="M254" s="53"/>
      <c r="N254" s="55"/>
    </row>
    <row r="255" spans="1:14">
      <c r="A255" s="81"/>
      <c r="B255" s="82"/>
      <c r="C255" s="82"/>
      <c r="D255" s="82"/>
      <c r="E255" s="82"/>
      <c r="F255" s="82"/>
      <c r="G255" s="82"/>
      <c r="H255" s="83"/>
      <c r="I255" s="84"/>
      <c r="J255" s="85"/>
      <c r="K255" s="86"/>
      <c r="L255" s="53"/>
      <c r="M255" s="53"/>
      <c r="N255" s="55"/>
    </row>
    <row r="256" spans="1:14">
      <c r="A256" s="81"/>
      <c r="B256" s="82"/>
      <c r="C256" s="82"/>
      <c r="D256" s="82"/>
      <c r="E256" s="82"/>
      <c r="F256" s="82"/>
      <c r="G256" s="82"/>
      <c r="H256" s="83"/>
      <c r="I256" s="84"/>
      <c r="J256" s="85"/>
      <c r="K256" s="86"/>
      <c r="L256" s="53"/>
      <c r="M256" s="53"/>
      <c r="N256" s="55"/>
    </row>
    <row r="257" spans="1:14">
      <c r="A257" s="81"/>
      <c r="B257" s="82"/>
      <c r="C257" s="82"/>
      <c r="D257" s="82"/>
      <c r="E257" s="82"/>
      <c r="F257" s="82"/>
      <c r="G257" s="82"/>
      <c r="H257" s="83"/>
      <c r="I257" s="84"/>
      <c r="J257" s="85"/>
      <c r="K257" s="86"/>
      <c r="L257" s="53"/>
      <c r="M257" s="53"/>
      <c r="N257" s="55"/>
    </row>
    <row r="258" spans="1:14">
      <c r="A258" s="81"/>
      <c r="B258" s="82"/>
      <c r="C258" s="82"/>
      <c r="D258" s="82"/>
      <c r="E258" s="82"/>
      <c r="F258" s="82"/>
      <c r="G258" s="82"/>
      <c r="H258" s="83"/>
      <c r="I258" s="84"/>
      <c r="J258" s="85"/>
      <c r="K258" s="86"/>
      <c r="L258" s="53"/>
      <c r="M258" s="53"/>
      <c r="N258" s="55"/>
    </row>
    <row r="259" spans="1:14">
      <c r="A259" s="81"/>
      <c r="B259" s="82"/>
      <c r="C259" s="82"/>
      <c r="D259" s="82"/>
      <c r="E259" s="82"/>
      <c r="F259" s="82"/>
      <c r="G259" s="82"/>
      <c r="H259" s="83"/>
      <c r="I259" s="84"/>
      <c r="J259" s="85"/>
      <c r="K259" s="86"/>
      <c r="L259" s="53"/>
      <c r="M259" s="53"/>
      <c r="N259" s="55"/>
    </row>
    <row r="260" spans="1:14">
      <c r="A260" s="81"/>
      <c r="B260" s="82"/>
      <c r="C260" s="82"/>
      <c r="D260" s="82"/>
      <c r="E260" s="82"/>
      <c r="F260" s="82"/>
      <c r="G260" s="82"/>
      <c r="H260" s="83"/>
      <c r="I260" s="84"/>
      <c r="J260" s="85"/>
      <c r="K260" s="86"/>
      <c r="L260" s="53"/>
      <c r="M260" s="53"/>
      <c r="N260" s="55"/>
    </row>
    <row r="261" spans="1:14">
      <c r="A261" s="81"/>
      <c r="B261" s="82"/>
      <c r="C261" s="82"/>
      <c r="D261" s="82"/>
      <c r="E261" s="82"/>
      <c r="F261" s="82"/>
      <c r="G261" s="82"/>
      <c r="H261" s="83"/>
      <c r="I261" s="84"/>
      <c r="J261" s="85"/>
      <c r="K261" s="86"/>
      <c r="L261" s="53"/>
      <c r="M261" s="53"/>
      <c r="N261" s="55"/>
    </row>
    <row r="262" spans="1:14">
      <c r="A262" s="81"/>
      <c r="B262" s="82"/>
      <c r="C262" s="82"/>
      <c r="D262" s="82"/>
      <c r="E262" s="82"/>
      <c r="F262" s="82"/>
      <c r="G262" s="82"/>
      <c r="H262" s="83"/>
      <c r="I262" s="84"/>
      <c r="J262" s="85"/>
      <c r="K262" s="86"/>
      <c r="L262" s="53"/>
      <c r="M262" s="53"/>
      <c r="N262" s="55"/>
    </row>
    <row r="263" spans="1:14">
      <c r="A263" s="81"/>
      <c r="B263" s="82"/>
      <c r="C263" s="82"/>
      <c r="D263" s="82"/>
      <c r="E263" s="82"/>
      <c r="F263" s="82"/>
      <c r="G263" s="82"/>
      <c r="H263" s="83"/>
      <c r="I263" s="84"/>
      <c r="J263" s="85"/>
      <c r="K263" s="86"/>
      <c r="L263" s="53"/>
      <c r="M263" s="53"/>
      <c r="N263" s="55"/>
    </row>
    <row r="264" spans="1:14">
      <c r="A264" s="81"/>
      <c r="B264" s="82"/>
      <c r="C264" s="82"/>
      <c r="D264" s="82"/>
      <c r="E264" s="82"/>
      <c r="F264" s="82"/>
      <c r="G264" s="82"/>
      <c r="H264" s="83"/>
      <c r="I264" s="84"/>
      <c r="J264" s="85"/>
      <c r="K264" s="86"/>
      <c r="L264" s="53"/>
      <c r="M264" s="53"/>
      <c r="N264" s="55"/>
    </row>
    <row r="265" spans="1:14">
      <c r="A265" s="81"/>
      <c r="B265" s="82"/>
      <c r="C265" s="82"/>
      <c r="D265" s="82"/>
      <c r="E265" s="82"/>
      <c r="F265" s="82"/>
      <c r="G265" s="82"/>
      <c r="H265" s="83"/>
      <c r="I265" s="84"/>
      <c r="J265" s="85"/>
      <c r="K265" s="86"/>
      <c r="L265" s="53"/>
      <c r="M265" s="53"/>
      <c r="N265" s="55"/>
    </row>
    <row r="266" spans="1:14">
      <c r="A266" s="81"/>
      <c r="B266" s="82"/>
      <c r="C266" s="82"/>
      <c r="D266" s="82"/>
      <c r="E266" s="82"/>
      <c r="F266" s="82"/>
      <c r="G266" s="82"/>
      <c r="H266" s="83"/>
      <c r="I266" s="84"/>
      <c r="J266" s="85"/>
      <c r="K266" s="86"/>
      <c r="L266" s="53"/>
      <c r="M266" s="53"/>
      <c r="N266" s="55"/>
    </row>
    <row r="267" spans="1:14">
      <c r="A267" s="81"/>
      <c r="B267" s="82"/>
      <c r="C267" s="82"/>
      <c r="D267" s="82"/>
      <c r="E267" s="82"/>
      <c r="F267" s="82"/>
      <c r="G267" s="82"/>
      <c r="H267" s="83"/>
      <c r="I267" s="84"/>
      <c r="J267" s="85"/>
      <c r="K267" s="86"/>
      <c r="L267" s="53"/>
      <c r="M267" s="53"/>
      <c r="N267" s="55"/>
    </row>
    <row r="268" spans="1:14">
      <c r="A268" s="81"/>
      <c r="B268" s="82"/>
      <c r="C268" s="82"/>
      <c r="D268" s="82"/>
      <c r="E268" s="82"/>
      <c r="F268" s="82"/>
      <c r="G268" s="82"/>
      <c r="H268" s="83"/>
      <c r="I268" s="84"/>
      <c r="J268" s="85"/>
      <c r="K268" s="86"/>
      <c r="L268" s="53"/>
      <c r="M268" s="53"/>
      <c r="N268" s="55"/>
    </row>
    <row r="269" spans="1:14">
      <c r="A269" s="81"/>
      <c r="B269" s="82"/>
      <c r="C269" s="82"/>
      <c r="D269" s="82"/>
      <c r="E269" s="82"/>
      <c r="F269" s="82"/>
      <c r="G269" s="82"/>
      <c r="H269" s="83"/>
      <c r="I269" s="84"/>
      <c r="J269" s="85"/>
      <c r="K269" s="86"/>
      <c r="L269" s="53"/>
      <c r="M269" s="53"/>
      <c r="N269" s="55"/>
    </row>
    <row r="270" spans="1:14">
      <c r="A270" s="81"/>
      <c r="B270" s="82"/>
      <c r="C270" s="82"/>
      <c r="D270" s="82"/>
      <c r="E270" s="82"/>
      <c r="F270" s="82"/>
      <c r="G270" s="82"/>
      <c r="H270" s="83"/>
      <c r="I270" s="84"/>
      <c r="J270" s="85"/>
      <c r="K270" s="86"/>
      <c r="L270" s="53"/>
      <c r="M270" s="53"/>
      <c r="N270" s="55"/>
    </row>
    <row r="271" spans="1:14">
      <c r="A271" s="81"/>
      <c r="B271" s="82"/>
      <c r="C271" s="82"/>
      <c r="D271" s="82"/>
      <c r="E271" s="82"/>
      <c r="F271" s="82"/>
      <c r="G271" s="82"/>
      <c r="H271" s="83"/>
      <c r="I271" s="84"/>
      <c r="J271" s="85"/>
      <c r="K271" s="86"/>
      <c r="L271" s="53"/>
      <c r="M271" s="53"/>
      <c r="N271" s="55"/>
    </row>
    <row r="272" spans="1:14">
      <c r="A272" s="81"/>
      <c r="B272" s="82"/>
      <c r="C272" s="82"/>
      <c r="D272" s="82"/>
      <c r="E272" s="82"/>
      <c r="F272" s="82"/>
      <c r="G272" s="82"/>
      <c r="H272" s="83"/>
      <c r="I272" s="84"/>
      <c r="J272" s="85"/>
      <c r="K272" s="86"/>
      <c r="L272" s="53"/>
      <c r="M272" s="53"/>
      <c r="N272" s="55"/>
    </row>
    <row r="273" spans="1:14">
      <c r="A273" s="81"/>
      <c r="B273" s="82"/>
      <c r="C273" s="82"/>
      <c r="D273" s="82"/>
      <c r="E273" s="82"/>
      <c r="F273" s="82"/>
      <c r="G273" s="82"/>
      <c r="H273" s="83"/>
      <c r="I273" s="84"/>
      <c r="J273" s="85"/>
      <c r="K273" s="86"/>
      <c r="L273" s="53"/>
      <c r="M273" s="53"/>
      <c r="N273" s="55"/>
    </row>
    <row r="274" spans="1:14">
      <c r="A274" s="81"/>
      <c r="B274" s="82"/>
      <c r="C274" s="82"/>
      <c r="D274" s="82"/>
      <c r="E274" s="82"/>
      <c r="F274" s="82"/>
      <c r="G274" s="82"/>
      <c r="H274" s="83"/>
      <c r="I274" s="84"/>
      <c r="J274" s="85"/>
      <c r="K274" s="86"/>
      <c r="L274" s="53"/>
      <c r="M274" s="53"/>
      <c r="N274" s="55"/>
    </row>
    <row r="275" spans="1:14">
      <c r="A275" s="81"/>
      <c r="B275" s="82"/>
      <c r="C275" s="82"/>
      <c r="D275" s="82"/>
      <c r="E275" s="82"/>
      <c r="F275" s="82"/>
      <c r="G275" s="82"/>
      <c r="H275" s="83"/>
      <c r="I275" s="84"/>
      <c r="J275" s="85"/>
      <c r="K275" s="86"/>
      <c r="L275" s="53"/>
      <c r="M275" s="53"/>
      <c r="N275" s="55"/>
    </row>
    <row r="276" spans="1:14">
      <c r="A276" s="81"/>
      <c r="B276" s="82"/>
      <c r="C276" s="82"/>
      <c r="D276" s="82"/>
      <c r="E276" s="82"/>
      <c r="F276" s="82"/>
      <c r="G276" s="82"/>
      <c r="H276" s="83"/>
      <c r="I276" s="84"/>
      <c r="J276" s="85"/>
      <c r="K276" s="86"/>
      <c r="L276" s="53"/>
      <c r="M276" s="53"/>
      <c r="N276" s="55"/>
    </row>
    <row r="277" spans="1:14">
      <c r="A277" s="81"/>
      <c r="B277" s="82"/>
      <c r="C277" s="82"/>
      <c r="D277" s="82"/>
      <c r="E277" s="82"/>
      <c r="F277" s="82"/>
      <c r="G277" s="82"/>
      <c r="H277" s="83"/>
      <c r="I277" s="84"/>
      <c r="J277" s="85"/>
      <c r="K277" s="86"/>
      <c r="L277" s="53"/>
      <c r="M277" s="53"/>
      <c r="N277" s="55"/>
    </row>
    <row r="278" spans="1:14">
      <c r="A278" s="81"/>
      <c r="B278" s="82"/>
      <c r="C278" s="82"/>
      <c r="D278" s="82"/>
      <c r="E278" s="82"/>
      <c r="F278" s="82"/>
      <c r="G278" s="82"/>
      <c r="H278" s="83"/>
      <c r="I278" s="84"/>
      <c r="J278" s="85"/>
      <c r="K278" s="86"/>
      <c r="L278" s="53"/>
      <c r="M278" s="53"/>
      <c r="N278" s="55"/>
    </row>
    <row r="279" spans="1:14">
      <c r="A279" s="81"/>
      <c r="B279" s="82"/>
      <c r="C279" s="82"/>
      <c r="D279" s="82"/>
      <c r="E279" s="82"/>
      <c r="F279" s="82"/>
      <c r="G279" s="82"/>
      <c r="H279" s="83"/>
      <c r="I279" s="84"/>
      <c r="J279" s="85"/>
      <c r="K279" s="86"/>
      <c r="L279" s="53"/>
      <c r="M279" s="53"/>
      <c r="N279" s="55"/>
    </row>
    <row r="280" spans="1:14">
      <c r="A280" s="81"/>
      <c r="B280" s="82"/>
      <c r="C280" s="82"/>
      <c r="D280" s="82"/>
      <c r="E280" s="82"/>
      <c r="F280" s="82"/>
      <c r="G280" s="82"/>
      <c r="H280" s="83"/>
      <c r="I280" s="84"/>
      <c r="J280" s="85"/>
      <c r="K280" s="86"/>
      <c r="L280" s="53"/>
      <c r="M280" s="53"/>
      <c r="N280" s="55"/>
    </row>
    <row r="281" spans="1:14">
      <c r="A281" s="81"/>
      <c r="B281" s="82"/>
      <c r="C281" s="82"/>
      <c r="D281" s="82"/>
      <c r="E281" s="82"/>
      <c r="F281" s="82"/>
      <c r="G281" s="82"/>
      <c r="H281" s="83"/>
      <c r="I281" s="84"/>
      <c r="J281" s="85"/>
      <c r="K281" s="86"/>
      <c r="L281" s="53"/>
      <c r="M281" s="53"/>
      <c r="N281" s="55"/>
    </row>
    <row r="282" spans="1:14">
      <c r="A282" s="81"/>
      <c r="B282" s="82"/>
      <c r="C282" s="82"/>
      <c r="D282" s="82"/>
      <c r="E282" s="82"/>
      <c r="F282" s="82"/>
      <c r="G282" s="82"/>
      <c r="H282" s="83"/>
      <c r="I282" s="84"/>
      <c r="J282" s="85"/>
      <c r="K282" s="86"/>
      <c r="L282" s="53"/>
      <c r="M282" s="53"/>
      <c r="N282" s="55"/>
    </row>
    <row r="283" spans="1:14">
      <c r="A283" s="81"/>
      <c r="B283" s="82"/>
      <c r="C283" s="82"/>
      <c r="D283" s="82"/>
      <c r="E283" s="82"/>
      <c r="F283" s="82"/>
      <c r="G283" s="82"/>
      <c r="H283" s="83"/>
      <c r="I283" s="84"/>
      <c r="J283" s="85"/>
      <c r="K283" s="86"/>
      <c r="L283" s="53"/>
      <c r="M283" s="53"/>
      <c r="N283" s="55"/>
    </row>
    <row r="284" spans="1:14">
      <c r="A284" s="81"/>
      <c r="B284" s="82"/>
      <c r="C284" s="82"/>
      <c r="D284" s="82"/>
      <c r="E284" s="82"/>
      <c r="F284" s="82"/>
      <c r="G284" s="82"/>
      <c r="H284" s="83"/>
      <c r="I284" s="84"/>
      <c r="J284" s="85"/>
      <c r="K284" s="86"/>
      <c r="L284" s="53"/>
      <c r="M284" s="53"/>
      <c r="N284" s="55"/>
    </row>
    <row r="285" spans="1:14">
      <c r="A285" s="81"/>
      <c r="B285" s="82"/>
      <c r="C285" s="82"/>
      <c r="D285" s="82"/>
      <c r="E285" s="82"/>
      <c r="F285" s="82"/>
      <c r="G285" s="82"/>
      <c r="H285" s="83"/>
      <c r="I285" s="84"/>
      <c r="J285" s="85"/>
      <c r="K285" s="86"/>
      <c r="L285" s="53"/>
      <c r="M285" s="53"/>
      <c r="N285" s="55"/>
    </row>
    <row r="286" spans="1:14">
      <c r="A286" s="81"/>
      <c r="B286" s="82"/>
      <c r="C286" s="82"/>
      <c r="D286" s="82"/>
      <c r="E286" s="82"/>
      <c r="F286" s="82"/>
      <c r="G286" s="82"/>
      <c r="H286" s="83"/>
      <c r="I286" s="84"/>
      <c r="J286" s="85"/>
      <c r="K286" s="86"/>
      <c r="L286" s="53"/>
      <c r="M286" s="53"/>
      <c r="N286" s="55"/>
    </row>
    <row r="287" spans="1:14">
      <c r="A287" s="81"/>
      <c r="B287" s="82"/>
      <c r="C287" s="82"/>
      <c r="D287" s="82"/>
      <c r="E287" s="82"/>
      <c r="F287" s="82"/>
      <c r="G287" s="82"/>
      <c r="H287" s="83"/>
      <c r="I287" s="84"/>
      <c r="J287" s="85"/>
      <c r="K287" s="86"/>
      <c r="L287" s="53"/>
      <c r="M287" s="53"/>
      <c r="N287" s="55"/>
    </row>
    <row r="288" spans="1:14">
      <c r="A288" s="81"/>
      <c r="B288" s="82"/>
      <c r="C288" s="82"/>
      <c r="D288" s="82"/>
      <c r="E288" s="82"/>
      <c r="F288" s="82"/>
      <c r="G288" s="82"/>
      <c r="H288" s="83"/>
      <c r="I288" s="84"/>
      <c r="J288" s="85"/>
      <c r="K288" s="86"/>
      <c r="L288" s="53"/>
      <c r="M288" s="53"/>
      <c r="N288" s="55"/>
    </row>
    <row r="289" spans="1:14">
      <c r="A289" s="81"/>
      <c r="B289" s="82"/>
      <c r="C289" s="82"/>
      <c r="D289" s="82"/>
      <c r="E289" s="82"/>
      <c r="F289" s="82"/>
      <c r="G289" s="82"/>
      <c r="H289" s="83"/>
      <c r="I289" s="84"/>
      <c r="J289" s="85"/>
      <c r="K289" s="86"/>
      <c r="L289" s="53"/>
      <c r="M289" s="53"/>
      <c r="N289" s="55"/>
    </row>
    <row r="290" spans="1:14">
      <c r="A290" s="81"/>
      <c r="B290" s="82"/>
      <c r="C290" s="82"/>
      <c r="D290" s="82"/>
      <c r="E290" s="82"/>
      <c r="F290" s="82"/>
      <c r="G290" s="82"/>
      <c r="H290" s="83"/>
      <c r="I290" s="84"/>
      <c r="J290" s="85"/>
      <c r="K290" s="86"/>
      <c r="L290" s="53"/>
      <c r="M290" s="53"/>
      <c r="N290" s="55"/>
    </row>
    <row r="291" spans="1:14">
      <c r="A291" s="81"/>
      <c r="B291" s="82"/>
      <c r="C291" s="82"/>
      <c r="D291" s="82"/>
      <c r="E291" s="82"/>
      <c r="F291" s="82"/>
      <c r="G291" s="82"/>
      <c r="H291" s="83"/>
      <c r="I291" s="84"/>
      <c r="J291" s="85"/>
      <c r="K291" s="86"/>
      <c r="L291" s="53"/>
      <c r="M291" s="53"/>
      <c r="N291" s="55"/>
    </row>
    <row r="292" spans="1:14">
      <c r="A292" s="81"/>
      <c r="B292" s="82"/>
      <c r="C292" s="82"/>
      <c r="D292" s="82"/>
      <c r="E292" s="82"/>
      <c r="F292" s="82"/>
      <c r="G292" s="82"/>
      <c r="H292" s="83"/>
      <c r="I292" s="84"/>
      <c r="J292" s="85"/>
      <c r="K292" s="86"/>
      <c r="L292" s="53"/>
      <c r="M292" s="53"/>
      <c r="N292" s="55"/>
    </row>
    <row r="293" spans="1:14">
      <c r="A293" s="81"/>
      <c r="B293" s="82"/>
      <c r="C293" s="82"/>
      <c r="D293" s="82"/>
      <c r="E293" s="82"/>
      <c r="F293" s="82"/>
      <c r="G293" s="82"/>
      <c r="H293" s="83"/>
      <c r="I293" s="84"/>
      <c r="J293" s="85"/>
      <c r="K293" s="86"/>
      <c r="L293" s="53"/>
      <c r="M293" s="53"/>
      <c r="N293" s="55"/>
    </row>
    <row r="294" spans="1:14">
      <c r="A294" s="81"/>
      <c r="B294" s="82"/>
      <c r="C294" s="82"/>
      <c r="D294" s="82"/>
      <c r="E294" s="82"/>
      <c r="F294" s="82"/>
      <c r="G294" s="82"/>
      <c r="H294" s="83"/>
      <c r="I294" s="84"/>
      <c r="J294" s="85"/>
      <c r="K294" s="86"/>
      <c r="L294" s="53"/>
      <c r="M294" s="53"/>
      <c r="N294" s="55"/>
    </row>
    <row r="295" spans="1:14">
      <c r="A295" s="81"/>
      <c r="B295" s="82"/>
      <c r="C295" s="82"/>
      <c r="D295" s="82"/>
      <c r="E295" s="82"/>
      <c r="F295" s="82"/>
      <c r="G295" s="82"/>
      <c r="H295" s="83"/>
      <c r="I295" s="84"/>
      <c r="J295" s="85"/>
      <c r="K295" s="86"/>
      <c r="L295" s="53"/>
      <c r="M295" s="53"/>
      <c r="N295" s="55"/>
    </row>
    <row r="296" spans="1:14">
      <c r="A296" s="81"/>
      <c r="B296" s="82"/>
      <c r="C296" s="82"/>
      <c r="D296" s="82"/>
      <c r="E296" s="82"/>
      <c r="F296" s="82"/>
      <c r="G296" s="82"/>
      <c r="H296" s="83"/>
      <c r="I296" s="84"/>
      <c r="J296" s="85"/>
      <c r="K296" s="86"/>
      <c r="L296" s="53"/>
      <c r="M296" s="53"/>
      <c r="N296" s="55"/>
    </row>
    <row r="297" spans="1:14">
      <c r="A297" s="81"/>
      <c r="B297" s="82"/>
      <c r="C297" s="82"/>
      <c r="D297" s="82"/>
      <c r="E297" s="82"/>
      <c r="F297" s="82"/>
      <c r="G297" s="82"/>
      <c r="H297" s="83"/>
      <c r="I297" s="84"/>
      <c r="J297" s="85"/>
      <c r="K297" s="86"/>
      <c r="L297" s="53"/>
      <c r="M297" s="53"/>
      <c r="N297" s="55"/>
    </row>
    <row r="298" spans="1:14">
      <c r="A298" s="81"/>
      <c r="B298" s="82"/>
      <c r="C298" s="82"/>
      <c r="D298" s="82"/>
      <c r="E298" s="82"/>
      <c r="F298" s="82"/>
      <c r="G298" s="82"/>
      <c r="H298" s="83"/>
      <c r="I298" s="84"/>
      <c r="J298" s="85"/>
      <c r="K298" s="86"/>
      <c r="L298" s="53"/>
      <c r="M298" s="53"/>
      <c r="N298" s="55"/>
    </row>
    <row r="299" spans="1:14">
      <c r="A299" s="81"/>
      <c r="B299" s="82"/>
      <c r="C299" s="82"/>
      <c r="D299" s="82"/>
      <c r="E299" s="82"/>
      <c r="F299" s="82"/>
      <c r="G299" s="82"/>
      <c r="H299" s="83"/>
      <c r="I299" s="84"/>
      <c r="J299" s="85"/>
      <c r="K299" s="86"/>
      <c r="L299" s="53"/>
      <c r="M299" s="53"/>
      <c r="N299" s="55"/>
    </row>
    <row r="300" spans="1:14">
      <c r="A300" s="81"/>
      <c r="B300" s="82"/>
      <c r="C300" s="82"/>
      <c r="D300" s="82"/>
      <c r="E300" s="82"/>
      <c r="F300" s="82"/>
      <c r="G300" s="82"/>
      <c r="H300" s="83"/>
      <c r="I300" s="84"/>
      <c r="J300" s="85"/>
      <c r="K300" s="86"/>
      <c r="L300" s="53"/>
      <c r="M300" s="53"/>
      <c r="N300" s="55"/>
    </row>
    <row r="301" spans="1:14">
      <c r="A301" s="81"/>
      <c r="B301" s="82"/>
      <c r="C301" s="82"/>
      <c r="D301" s="82"/>
      <c r="E301" s="82"/>
      <c r="F301" s="82"/>
      <c r="G301" s="82"/>
      <c r="H301" s="83"/>
      <c r="I301" s="84"/>
      <c r="J301" s="85"/>
      <c r="K301" s="86"/>
      <c r="L301" s="53"/>
      <c r="M301" s="53"/>
      <c r="N301" s="55"/>
    </row>
    <row r="302" spans="1:14">
      <c r="A302" s="81"/>
      <c r="B302" s="82"/>
      <c r="C302" s="82"/>
      <c r="D302" s="82"/>
      <c r="E302" s="82"/>
      <c r="F302" s="82"/>
      <c r="G302" s="82"/>
      <c r="H302" s="83"/>
      <c r="I302" s="84"/>
      <c r="J302" s="85"/>
      <c r="K302" s="86"/>
      <c r="L302" s="53"/>
      <c r="M302" s="53"/>
      <c r="N302" s="55"/>
    </row>
    <row r="303" spans="1:14">
      <c r="A303" s="81"/>
      <c r="B303" s="82"/>
      <c r="C303" s="82"/>
      <c r="D303" s="82"/>
      <c r="E303" s="82"/>
      <c r="F303" s="82"/>
      <c r="G303" s="82"/>
      <c r="H303" s="83"/>
      <c r="I303" s="84"/>
      <c r="J303" s="85"/>
      <c r="K303" s="86"/>
      <c r="L303" s="53"/>
      <c r="M303" s="53"/>
      <c r="N303" s="55"/>
    </row>
    <row r="304" spans="1:14">
      <c r="A304" s="81"/>
      <c r="B304" s="82"/>
      <c r="C304" s="82"/>
      <c r="D304" s="82"/>
      <c r="E304" s="82"/>
      <c r="F304" s="82"/>
      <c r="G304" s="82"/>
      <c r="H304" s="83"/>
      <c r="I304" s="84"/>
      <c r="J304" s="85"/>
      <c r="K304" s="86"/>
      <c r="L304" s="53"/>
      <c r="M304" s="53"/>
      <c r="N304" s="55"/>
    </row>
    <row r="305" spans="1:14">
      <c r="A305" s="81"/>
      <c r="B305" s="82"/>
      <c r="C305" s="82"/>
      <c r="D305" s="82"/>
      <c r="E305" s="82"/>
      <c r="F305" s="82"/>
      <c r="G305" s="82"/>
      <c r="H305" s="83"/>
      <c r="I305" s="84"/>
      <c r="J305" s="85"/>
      <c r="K305" s="86"/>
      <c r="L305" s="53"/>
      <c r="M305" s="53"/>
      <c r="N305" s="55"/>
    </row>
    <row r="306" spans="1:14">
      <c r="A306" s="81"/>
      <c r="B306" s="82"/>
      <c r="C306" s="82"/>
      <c r="D306" s="82"/>
      <c r="E306" s="82"/>
      <c r="F306" s="82"/>
      <c r="G306" s="82"/>
      <c r="H306" s="83"/>
      <c r="I306" s="84"/>
      <c r="J306" s="85"/>
      <c r="K306" s="86"/>
      <c r="L306" s="53"/>
      <c r="M306" s="53"/>
      <c r="N306" s="55"/>
    </row>
    <row r="307" spans="1:14">
      <c r="A307" s="81"/>
      <c r="B307" s="82"/>
      <c r="C307" s="82"/>
      <c r="D307" s="82"/>
      <c r="E307" s="82"/>
      <c r="F307" s="82"/>
      <c r="G307" s="82"/>
      <c r="H307" s="83"/>
      <c r="I307" s="84"/>
      <c r="J307" s="85"/>
      <c r="K307" s="86"/>
      <c r="L307" s="53"/>
      <c r="M307" s="53"/>
      <c r="N307" s="55"/>
    </row>
    <row r="308" spans="1:14">
      <c r="A308" s="81"/>
      <c r="B308" s="82"/>
      <c r="C308" s="82"/>
      <c r="D308" s="82"/>
      <c r="E308" s="82"/>
      <c r="F308" s="82"/>
      <c r="G308" s="82"/>
      <c r="H308" s="83"/>
      <c r="I308" s="84"/>
      <c r="J308" s="85"/>
      <c r="K308" s="86"/>
      <c r="L308" s="53"/>
      <c r="M308" s="53"/>
      <c r="N308" s="55"/>
    </row>
    <row r="309" spans="1:14">
      <c r="A309" s="81"/>
      <c r="B309" s="82"/>
      <c r="C309" s="82"/>
      <c r="D309" s="82"/>
      <c r="E309" s="82"/>
      <c r="F309" s="82"/>
      <c r="G309" s="82"/>
      <c r="H309" s="83"/>
      <c r="I309" s="84"/>
      <c r="J309" s="85"/>
      <c r="K309" s="86"/>
      <c r="L309" s="53"/>
      <c r="M309" s="53"/>
      <c r="N309" s="55"/>
    </row>
    <row r="310" spans="1:14">
      <c r="A310" s="81"/>
      <c r="B310" s="82"/>
      <c r="C310" s="82"/>
      <c r="D310" s="82"/>
      <c r="E310" s="82"/>
      <c r="F310" s="82"/>
      <c r="G310" s="82"/>
      <c r="H310" s="83"/>
      <c r="I310" s="84"/>
      <c r="J310" s="85"/>
      <c r="K310" s="86"/>
      <c r="L310" s="53"/>
      <c r="M310" s="53"/>
      <c r="N310" s="55"/>
    </row>
    <row r="311" spans="1:14">
      <c r="A311" s="81"/>
      <c r="B311" s="82"/>
      <c r="C311" s="82"/>
      <c r="D311" s="82"/>
      <c r="E311" s="82"/>
      <c r="F311" s="82"/>
      <c r="G311" s="82"/>
      <c r="H311" s="83"/>
      <c r="I311" s="84"/>
      <c r="J311" s="85"/>
      <c r="K311" s="86"/>
      <c r="L311" s="53"/>
      <c r="M311" s="53"/>
      <c r="N311" s="55"/>
    </row>
    <row r="312" spans="1:14">
      <c r="A312" s="81"/>
      <c r="B312" s="82"/>
      <c r="C312" s="82"/>
      <c r="D312" s="82"/>
      <c r="E312" s="82"/>
      <c r="F312" s="82"/>
      <c r="G312" s="82"/>
      <c r="H312" s="83"/>
      <c r="I312" s="84"/>
      <c r="J312" s="85"/>
      <c r="K312" s="86"/>
      <c r="L312" s="53"/>
      <c r="M312" s="53"/>
      <c r="N312" s="55"/>
    </row>
    <row r="313" spans="1:14">
      <c r="A313" s="81"/>
      <c r="B313" s="82"/>
      <c r="C313" s="82"/>
      <c r="D313" s="82"/>
      <c r="E313" s="82"/>
      <c r="F313" s="82"/>
      <c r="G313" s="82"/>
      <c r="H313" s="83"/>
      <c r="I313" s="84"/>
      <c r="J313" s="85"/>
      <c r="K313" s="86"/>
      <c r="L313" s="53"/>
      <c r="M313" s="53"/>
      <c r="N313" s="55"/>
    </row>
    <row r="314" spans="1:14">
      <c r="A314" s="81"/>
      <c r="B314" s="82"/>
      <c r="C314" s="82"/>
      <c r="D314" s="82"/>
      <c r="E314" s="82"/>
      <c r="F314" s="82"/>
      <c r="G314" s="82"/>
      <c r="H314" s="83"/>
      <c r="I314" s="84"/>
      <c r="J314" s="85"/>
      <c r="K314" s="86"/>
      <c r="L314" s="53"/>
      <c r="M314" s="53"/>
      <c r="N314" s="55"/>
    </row>
    <row r="315" spans="1:14">
      <c r="A315" s="81"/>
      <c r="B315" s="82"/>
      <c r="C315" s="82"/>
      <c r="D315" s="82"/>
      <c r="E315" s="82"/>
      <c r="F315" s="82"/>
      <c r="G315" s="82"/>
      <c r="H315" s="83"/>
      <c r="I315" s="84"/>
      <c r="J315" s="85"/>
      <c r="K315" s="86"/>
      <c r="L315" s="53"/>
      <c r="M315" s="53"/>
      <c r="N315" s="55"/>
    </row>
    <row r="316" spans="1:14">
      <c r="A316" s="81"/>
      <c r="B316" s="82"/>
      <c r="C316" s="82"/>
      <c r="D316" s="82"/>
      <c r="E316" s="82"/>
      <c r="F316" s="82"/>
      <c r="G316" s="82"/>
      <c r="H316" s="83"/>
      <c r="I316" s="84"/>
      <c r="J316" s="85"/>
      <c r="K316" s="86"/>
      <c r="L316" s="53"/>
      <c r="M316" s="53"/>
      <c r="N316" s="55"/>
    </row>
    <row r="317" spans="1:14">
      <c r="A317" s="81"/>
      <c r="B317" s="82"/>
      <c r="C317" s="82"/>
      <c r="D317" s="82"/>
      <c r="E317" s="82"/>
      <c r="F317" s="82"/>
      <c r="G317" s="82"/>
      <c r="H317" s="83"/>
      <c r="I317" s="84"/>
      <c r="J317" s="85"/>
      <c r="K317" s="86"/>
      <c r="L317" s="53"/>
      <c r="M317" s="53"/>
      <c r="N317" s="55"/>
    </row>
    <row r="318" spans="1:14">
      <c r="A318" s="81"/>
      <c r="B318" s="82"/>
      <c r="C318" s="82"/>
      <c r="D318" s="82"/>
      <c r="E318" s="82"/>
      <c r="F318" s="82"/>
      <c r="G318" s="82"/>
      <c r="H318" s="83"/>
      <c r="I318" s="84"/>
      <c r="J318" s="85"/>
      <c r="K318" s="86"/>
      <c r="L318" s="53"/>
      <c r="M318" s="53"/>
      <c r="N318" s="55"/>
    </row>
    <row r="319" spans="1:14">
      <c r="A319" s="81"/>
      <c r="B319" s="82"/>
      <c r="C319" s="82"/>
      <c r="D319" s="82"/>
      <c r="E319" s="82"/>
      <c r="F319" s="82"/>
      <c r="G319" s="82"/>
      <c r="H319" s="83"/>
      <c r="I319" s="84"/>
      <c r="J319" s="85"/>
      <c r="K319" s="86"/>
      <c r="L319" s="53"/>
      <c r="M319" s="53"/>
      <c r="N319" s="55"/>
    </row>
    <row r="320" spans="1:14">
      <c r="A320" s="81"/>
      <c r="B320" s="82"/>
      <c r="C320" s="82"/>
      <c r="D320" s="82"/>
      <c r="E320" s="82"/>
      <c r="F320" s="82"/>
      <c r="G320" s="82"/>
      <c r="H320" s="83"/>
      <c r="I320" s="84"/>
      <c r="J320" s="85"/>
      <c r="K320" s="86"/>
      <c r="L320" s="53"/>
      <c r="M320" s="53"/>
      <c r="N320" s="55"/>
    </row>
    <row r="321" spans="1:14">
      <c r="A321" s="81"/>
      <c r="B321" s="82"/>
      <c r="C321" s="82"/>
      <c r="D321" s="82"/>
      <c r="E321" s="82"/>
      <c r="F321" s="82"/>
      <c r="G321" s="82"/>
      <c r="H321" s="83"/>
      <c r="I321" s="84"/>
      <c r="J321" s="85"/>
      <c r="K321" s="86"/>
      <c r="L321" s="53"/>
      <c r="M321" s="53"/>
      <c r="N321" s="55"/>
    </row>
    <row r="322" spans="1:14">
      <c r="A322" s="81"/>
      <c r="B322" s="82"/>
      <c r="C322" s="82"/>
      <c r="D322" s="82"/>
      <c r="E322" s="82"/>
      <c r="F322" s="82"/>
      <c r="G322" s="82"/>
      <c r="H322" s="83"/>
      <c r="I322" s="84"/>
      <c r="J322" s="85"/>
      <c r="K322" s="86"/>
      <c r="L322" s="53"/>
      <c r="M322" s="53"/>
      <c r="N322" s="55"/>
    </row>
    <row r="323" spans="1:14">
      <c r="A323" s="81"/>
      <c r="B323" s="82"/>
      <c r="C323" s="82"/>
      <c r="D323" s="82"/>
      <c r="E323" s="82"/>
      <c r="F323" s="82"/>
      <c r="G323" s="82"/>
      <c r="H323" s="83"/>
      <c r="I323" s="84"/>
      <c r="J323" s="85"/>
      <c r="K323" s="86"/>
      <c r="L323" s="53"/>
      <c r="M323" s="53"/>
      <c r="N323" s="55"/>
    </row>
    <row r="324" spans="1:14">
      <c r="A324" s="81"/>
      <c r="B324" s="82"/>
      <c r="C324" s="82"/>
      <c r="D324" s="82"/>
      <c r="E324" s="82"/>
      <c r="F324" s="82"/>
      <c r="G324" s="82"/>
      <c r="H324" s="83"/>
      <c r="I324" s="84"/>
      <c r="J324" s="85"/>
      <c r="K324" s="86"/>
      <c r="L324" s="53"/>
      <c r="M324" s="53"/>
      <c r="N324" s="55"/>
    </row>
    <row r="325" spans="1:14">
      <c r="A325" s="81"/>
      <c r="B325" s="82"/>
      <c r="C325" s="82"/>
      <c r="D325" s="82"/>
      <c r="E325" s="82"/>
      <c r="F325" s="82"/>
      <c r="G325" s="82"/>
      <c r="H325" s="83"/>
      <c r="I325" s="84"/>
      <c r="J325" s="85"/>
      <c r="K325" s="86"/>
      <c r="L325" s="53"/>
      <c r="M325" s="53"/>
      <c r="N325" s="55"/>
    </row>
    <row r="326" spans="1:14">
      <c r="A326" s="81"/>
      <c r="B326" s="82"/>
      <c r="C326" s="82"/>
      <c r="D326" s="82"/>
      <c r="E326" s="82"/>
      <c r="F326" s="82"/>
      <c r="G326" s="82"/>
      <c r="H326" s="83"/>
      <c r="I326" s="84"/>
      <c r="J326" s="85"/>
      <c r="K326" s="86"/>
      <c r="L326" s="53"/>
      <c r="M326" s="53"/>
      <c r="N326" s="55"/>
    </row>
    <row r="327" spans="1:14">
      <c r="A327" s="81"/>
      <c r="B327" s="82"/>
      <c r="C327" s="82"/>
      <c r="D327" s="82"/>
      <c r="E327" s="82"/>
      <c r="F327" s="82"/>
      <c r="G327" s="82"/>
      <c r="H327" s="83"/>
      <c r="I327" s="84"/>
      <c r="J327" s="85"/>
      <c r="K327" s="86"/>
      <c r="L327" s="53"/>
      <c r="M327" s="53"/>
      <c r="N327" s="55"/>
    </row>
    <row r="328" spans="1:14">
      <c r="A328" s="81"/>
      <c r="B328" s="82"/>
      <c r="C328" s="82"/>
      <c r="D328" s="82"/>
      <c r="E328" s="82"/>
      <c r="F328" s="82"/>
      <c r="G328" s="82"/>
      <c r="H328" s="83"/>
      <c r="I328" s="84"/>
      <c r="J328" s="85"/>
      <c r="K328" s="86"/>
      <c r="L328" s="53"/>
      <c r="M328" s="53"/>
      <c r="N328" s="55"/>
    </row>
    <row r="329" spans="1:14">
      <c r="A329" s="81"/>
      <c r="B329" s="82"/>
      <c r="C329" s="82"/>
      <c r="D329" s="82"/>
      <c r="E329" s="82"/>
      <c r="F329" s="82"/>
      <c r="G329" s="82"/>
      <c r="H329" s="83"/>
      <c r="I329" s="84"/>
      <c r="J329" s="85"/>
      <c r="K329" s="86"/>
      <c r="L329" s="53"/>
      <c r="M329" s="53"/>
      <c r="N329" s="55"/>
    </row>
    <row r="330" spans="1:14">
      <c r="A330" s="81"/>
      <c r="B330" s="82"/>
      <c r="C330" s="82"/>
      <c r="D330" s="82"/>
      <c r="E330" s="82"/>
      <c r="F330" s="82"/>
      <c r="G330" s="82"/>
      <c r="H330" s="83"/>
      <c r="I330" s="84"/>
      <c r="J330" s="85"/>
      <c r="K330" s="86"/>
      <c r="L330" s="53"/>
      <c r="M330" s="53"/>
      <c r="N330" s="55"/>
    </row>
    <row r="331" spans="1:14">
      <c r="A331" s="81"/>
      <c r="B331" s="82"/>
      <c r="C331" s="82"/>
      <c r="D331" s="82"/>
      <c r="E331" s="82"/>
      <c r="F331" s="82"/>
      <c r="G331" s="82"/>
      <c r="H331" s="83"/>
      <c r="I331" s="84"/>
      <c r="J331" s="85"/>
      <c r="K331" s="86"/>
      <c r="L331" s="53"/>
      <c r="M331" s="53"/>
      <c r="N331" s="55"/>
    </row>
    <row r="332" spans="1:14">
      <c r="A332" s="81"/>
      <c r="B332" s="82"/>
      <c r="C332" s="82"/>
      <c r="D332" s="82"/>
      <c r="E332" s="82"/>
      <c r="F332" s="82"/>
      <c r="G332" s="82"/>
      <c r="H332" s="83"/>
      <c r="I332" s="84"/>
      <c r="J332" s="85"/>
      <c r="K332" s="86"/>
      <c r="L332" s="53"/>
      <c r="M332" s="53"/>
      <c r="N332" s="55"/>
    </row>
    <row r="333" spans="1:14">
      <c r="A333" s="81"/>
      <c r="B333" s="82"/>
      <c r="C333" s="82"/>
      <c r="D333" s="82"/>
      <c r="E333" s="82"/>
      <c r="F333" s="82"/>
      <c r="G333" s="82"/>
      <c r="H333" s="83"/>
      <c r="I333" s="84"/>
      <c r="J333" s="85"/>
      <c r="K333" s="86"/>
      <c r="L333" s="53"/>
      <c r="M333" s="53"/>
      <c r="N333" s="55"/>
    </row>
    <row r="334" spans="1:14">
      <c r="A334" s="81"/>
      <c r="B334" s="82"/>
      <c r="C334" s="82"/>
      <c r="D334" s="82"/>
      <c r="E334" s="82"/>
      <c r="F334" s="82"/>
      <c r="G334" s="82"/>
      <c r="H334" s="83"/>
      <c r="I334" s="84"/>
      <c r="J334" s="85"/>
      <c r="K334" s="86"/>
      <c r="L334" s="53"/>
      <c r="M334" s="53"/>
      <c r="N334" s="55"/>
    </row>
    <row r="335" spans="1:14">
      <c r="A335" s="81"/>
      <c r="B335" s="82"/>
      <c r="C335" s="82"/>
      <c r="D335" s="82"/>
      <c r="E335" s="82"/>
      <c r="F335" s="82"/>
      <c r="G335" s="82"/>
      <c r="H335" s="83"/>
      <c r="I335" s="84"/>
      <c r="J335" s="85"/>
      <c r="K335" s="86"/>
      <c r="L335" s="53"/>
      <c r="M335" s="53"/>
      <c r="N335" s="55"/>
    </row>
    <row r="336" spans="1:14">
      <c r="A336" s="81"/>
      <c r="B336" s="82"/>
      <c r="C336" s="82"/>
      <c r="D336" s="82"/>
      <c r="E336" s="82"/>
      <c r="F336" s="82"/>
      <c r="G336" s="82"/>
      <c r="H336" s="83"/>
      <c r="I336" s="84"/>
      <c r="J336" s="85"/>
      <c r="K336" s="86"/>
      <c r="L336" s="53"/>
      <c r="M336" s="53"/>
      <c r="N336" s="55"/>
    </row>
    <row r="337" spans="1:14">
      <c r="A337" s="81"/>
      <c r="B337" s="82"/>
      <c r="C337" s="82"/>
      <c r="D337" s="82"/>
      <c r="E337" s="82"/>
      <c r="F337" s="82"/>
      <c r="G337" s="82"/>
      <c r="H337" s="83"/>
      <c r="I337" s="84"/>
      <c r="J337" s="85"/>
      <c r="K337" s="86"/>
      <c r="L337" s="53"/>
      <c r="M337" s="53"/>
      <c r="N337" s="55"/>
    </row>
    <row r="338" spans="1:14">
      <c r="A338" s="81"/>
      <c r="B338" s="82"/>
      <c r="C338" s="82"/>
      <c r="D338" s="82"/>
      <c r="E338" s="82"/>
      <c r="F338" s="82"/>
      <c r="G338" s="82"/>
      <c r="H338" s="83"/>
      <c r="I338" s="84"/>
      <c r="J338" s="85"/>
      <c r="K338" s="86"/>
      <c r="L338" s="53"/>
      <c r="M338" s="53"/>
      <c r="N338" s="55"/>
    </row>
    <row r="339" spans="1:14">
      <c r="A339" s="81"/>
      <c r="B339" s="82"/>
      <c r="C339" s="82"/>
      <c r="D339" s="82"/>
      <c r="E339" s="82"/>
      <c r="F339" s="82"/>
      <c r="G339" s="82"/>
      <c r="H339" s="83"/>
      <c r="I339" s="84"/>
      <c r="J339" s="85"/>
      <c r="K339" s="86"/>
      <c r="L339" s="53"/>
      <c r="M339" s="53"/>
      <c r="N339" s="55"/>
    </row>
    <row r="340" spans="1:14">
      <c r="A340" s="81"/>
      <c r="B340" s="82"/>
      <c r="C340" s="82"/>
      <c r="D340" s="82"/>
      <c r="E340" s="82"/>
      <c r="F340" s="82"/>
      <c r="G340" s="82"/>
      <c r="H340" s="83"/>
      <c r="I340" s="84"/>
      <c r="J340" s="85"/>
      <c r="K340" s="86"/>
      <c r="L340" s="53"/>
      <c r="M340" s="53"/>
      <c r="N340" s="55"/>
    </row>
    <row r="341" spans="1:14">
      <c r="A341" s="81"/>
      <c r="B341" s="82"/>
      <c r="C341" s="82"/>
      <c r="D341" s="82"/>
      <c r="E341" s="82"/>
      <c r="F341" s="82"/>
      <c r="G341" s="82"/>
      <c r="H341" s="83"/>
      <c r="I341" s="84"/>
      <c r="J341" s="85"/>
      <c r="K341" s="86"/>
      <c r="L341" s="53"/>
      <c r="M341" s="53"/>
      <c r="N341" s="55"/>
    </row>
    <row r="342" spans="1:14">
      <c r="A342" s="81"/>
      <c r="B342" s="82"/>
      <c r="C342" s="82"/>
      <c r="D342" s="82"/>
      <c r="E342" s="82"/>
      <c r="F342" s="82"/>
      <c r="G342" s="82"/>
      <c r="H342" s="83"/>
      <c r="I342" s="84"/>
      <c r="J342" s="85"/>
      <c r="K342" s="86"/>
      <c r="L342" s="53"/>
      <c r="M342" s="53"/>
      <c r="N342" s="55"/>
    </row>
    <row r="343" spans="1:14">
      <c r="A343" s="81"/>
      <c r="B343" s="82"/>
      <c r="C343" s="82"/>
      <c r="D343" s="82"/>
      <c r="E343" s="82"/>
      <c r="F343" s="82"/>
      <c r="G343" s="82"/>
      <c r="H343" s="83"/>
      <c r="I343" s="84"/>
      <c r="J343" s="85"/>
      <c r="K343" s="86"/>
      <c r="L343" s="53"/>
      <c r="M343" s="53"/>
      <c r="N343" s="55"/>
    </row>
    <row r="344" spans="1:14">
      <c r="A344" s="81"/>
      <c r="B344" s="82"/>
      <c r="C344" s="82"/>
      <c r="D344" s="82"/>
      <c r="E344" s="82"/>
      <c r="F344" s="82"/>
      <c r="G344" s="82"/>
      <c r="H344" s="83"/>
      <c r="I344" s="84"/>
      <c r="J344" s="85"/>
      <c r="K344" s="86"/>
      <c r="L344" s="53"/>
      <c r="M344" s="53"/>
      <c r="N344" s="55"/>
    </row>
    <row r="345" spans="1:14">
      <c r="A345" s="81"/>
      <c r="B345" s="82"/>
      <c r="C345" s="82"/>
      <c r="D345" s="82"/>
      <c r="E345" s="82"/>
      <c r="F345" s="82"/>
      <c r="G345" s="82"/>
      <c r="H345" s="83"/>
      <c r="I345" s="84"/>
      <c r="J345" s="85"/>
      <c r="K345" s="86"/>
      <c r="L345" s="53"/>
      <c r="M345" s="53"/>
      <c r="N345" s="55"/>
    </row>
    <row r="346" spans="1:14">
      <c r="A346" s="81"/>
      <c r="B346" s="82"/>
      <c r="C346" s="82"/>
      <c r="D346" s="82"/>
      <c r="E346" s="82"/>
      <c r="F346" s="82"/>
      <c r="G346" s="82"/>
      <c r="H346" s="83"/>
      <c r="I346" s="84"/>
      <c r="J346" s="85"/>
      <c r="K346" s="86"/>
      <c r="L346" s="53"/>
      <c r="M346" s="53"/>
      <c r="N346" s="55"/>
    </row>
    <row r="347" spans="1:14">
      <c r="A347" s="81"/>
      <c r="B347" s="82"/>
      <c r="C347" s="82"/>
      <c r="D347" s="82"/>
      <c r="E347" s="82"/>
      <c r="F347" s="82"/>
      <c r="G347" s="82"/>
      <c r="H347" s="83"/>
      <c r="I347" s="84"/>
      <c r="J347" s="85"/>
      <c r="K347" s="86"/>
      <c r="L347" s="53"/>
      <c r="M347" s="53"/>
      <c r="N347" s="55"/>
    </row>
    <row r="348" spans="1:14">
      <c r="A348" s="81"/>
      <c r="B348" s="82"/>
      <c r="C348" s="82"/>
      <c r="D348" s="82"/>
      <c r="E348" s="82"/>
      <c r="F348" s="82"/>
      <c r="G348" s="82"/>
      <c r="H348" s="83"/>
      <c r="I348" s="84"/>
      <c r="J348" s="85"/>
      <c r="K348" s="86"/>
      <c r="L348" s="53"/>
      <c r="M348" s="53"/>
      <c r="N348" s="55"/>
    </row>
    <row r="349" spans="1:14">
      <c r="A349" s="81"/>
      <c r="B349" s="82"/>
      <c r="C349" s="82"/>
      <c r="D349" s="82"/>
      <c r="E349" s="82"/>
      <c r="F349" s="82"/>
      <c r="G349" s="82"/>
      <c r="H349" s="83"/>
      <c r="I349" s="84"/>
      <c r="J349" s="85"/>
      <c r="K349" s="86"/>
      <c r="L349" s="53"/>
      <c r="M349" s="53"/>
      <c r="N349" s="55"/>
    </row>
    <row r="350" spans="1:14">
      <c r="A350" s="81"/>
      <c r="B350" s="82"/>
      <c r="C350" s="82"/>
      <c r="D350" s="82"/>
      <c r="E350" s="82"/>
      <c r="F350" s="82"/>
      <c r="G350" s="82"/>
      <c r="H350" s="83"/>
      <c r="I350" s="84"/>
      <c r="J350" s="85"/>
      <c r="K350" s="86"/>
      <c r="L350" s="53"/>
      <c r="M350" s="53"/>
      <c r="N350" s="55"/>
    </row>
    <row r="351" spans="1:14">
      <c r="A351" s="81"/>
      <c r="B351" s="82"/>
      <c r="C351" s="82"/>
      <c r="D351" s="82"/>
      <c r="E351" s="82"/>
      <c r="F351" s="82"/>
      <c r="G351" s="82"/>
      <c r="H351" s="83"/>
      <c r="I351" s="84"/>
      <c r="J351" s="85"/>
      <c r="K351" s="86"/>
      <c r="L351" s="53"/>
      <c r="M351" s="53"/>
      <c r="N351" s="55"/>
    </row>
    <row r="352" spans="1:14">
      <c r="A352" s="81"/>
      <c r="B352" s="82"/>
      <c r="C352" s="82"/>
      <c r="D352" s="82"/>
      <c r="E352" s="82"/>
      <c r="F352" s="82"/>
      <c r="G352" s="82"/>
      <c r="H352" s="83"/>
      <c r="I352" s="84"/>
      <c r="J352" s="85"/>
      <c r="K352" s="86"/>
      <c r="L352" s="53"/>
      <c r="M352" s="53"/>
      <c r="N352" s="55"/>
    </row>
    <row r="353" spans="1:14">
      <c r="A353" s="81"/>
      <c r="B353" s="82"/>
      <c r="C353" s="82"/>
      <c r="D353" s="82"/>
      <c r="E353" s="82"/>
      <c r="F353" s="82"/>
      <c r="G353" s="82"/>
      <c r="H353" s="83"/>
      <c r="I353" s="84"/>
      <c r="J353" s="85"/>
      <c r="K353" s="86"/>
      <c r="L353" s="53"/>
      <c r="M353" s="53"/>
      <c r="N353" s="55"/>
    </row>
    <row r="354" spans="1:14">
      <c r="A354" s="81"/>
      <c r="B354" s="82"/>
      <c r="C354" s="82"/>
      <c r="D354" s="82"/>
      <c r="E354" s="82"/>
      <c r="F354" s="82"/>
      <c r="G354" s="82"/>
      <c r="H354" s="83"/>
      <c r="I354" s="84"/>
      <c r="J354" s="85"/>
      <c r="K354" s="86"/>
      <c r="L354" s="53"/>
      <c r="M354" s="53"/>
      <c r="N354" s="55"/>
    </row>
    <row r="355" spans="1:14">
      <c r="A355" s="81"/>
      <c r="B355" s="82"/>
      <c r="C355" s="82"/>
      <c r="D355" s="82"/>
      <c r="E355" s="82"/>
      <c r="F355" s="82"/>
      <c r="G355" s="82"/>
      <c r="H355" s="83"/>
      <c r="I355" s="84"/>
      <c r="J355" s="85"/>
      <c r="K355" s="86"/>
      <c r="L355" s="53"/>
      <c r="M355" s="53"/>
      <c r="N355" s="55"/>
    </row>
    <row r="356" spans="1:14">
      <c r="A356" s="81"/>
      <c r="B356" s="82"/>
      <c r="C356" s="82"/>
      <c r="D356" s="82"/>
      <c r="E356" s="82"/>
      <c r="F356" s="82"/>
      <c r="G356" s="82"/>
      <c r="H356" s="83"/>
      <c r="I356" s="84"/>
      <c r="J356" s="85"/>
      <c r="K356" s="86"/>
      <c r="L356" s="53"/>
      <c r="M356" s="53"/>
      <c r="N356" s="55"/>
    </row>
    <row r="357" spans="1:14">
      <c r="A357" s="81"/>
      <c r="B357" s="82"/>
      <c r="C357" s="82"/>
      <c r="D357" s="82"/>
      <c r="E357" s="82"/>
      <c r="F357" s="82"/>
      <c r="G357" s="82"/>
      <c r="H357" s="83"/>
      <c r="I357" s="84"/>
      <c r="J357" s="85"/>
      <c r="K357" s="86"/>
      <c r="L357" s="53"/>
      <c r="M357" s="53"/>
      <c r="N357" s="55"/>
    </row>
    <row r="358" spans="1:14">
      <c r="A358" s="81"/>
      <c r="B358" s="82"/>
      <c r="C358" s="82"/>
      <c r="D358" s="82"/>
      <c r="E358" s="82"/>
      <c r="F358" s="82"/>
      <c r="G358" s="82"/>
      <c r="H358" s="83"/>
      <c r="I358" s="84"/>
      <c r="J358" s="85"/>
      <c r="K358" s="86"/>
      <c r="L358" s="53"/>
      <c r="M358" s="53"/>
      <c r="N358" s="55"/>
    </row>
    <row r="359" spans="1:14">
      <c r="A359" s="81"/>
      <c r="B359" s="82"/>
      <c r="C359" s="82"/>
      <c r="D359" s="82"/>
      <c r="E359" s="82"/>
      <c r="F359" s="82"/>
      <c r="G359" s="82"/>
      <c r="H359" s="83"/>
      <c r="I359" s="84"/>
      <c r="J359" s="85"/>
      <c r="K359" s="86"/>
      <c r="L359" s="53"/>
      <c r="M359" s="53"/>
      <c r="N359" s="55"/>
    </row>
    <row r="360" spans="1:14">
      <c r="A360" s="81"/>
      <c r="B360" s="82"/>
      <c r="C360" s="82"/>
      <c r="D360" s="82"/>
      <c r="E360" s="82"/>
      <c r="F360" s="82"/>
      <c r="G360" s="82"/>
      <c r="H360" s="83"/>
      <c r="I360" s="84"/>
      <c r="J360" s="85"/>
      <c r="K360" s="86"/>
      <c r="L360" s="53"/>
      <c r="M360" s="53"/>
      <c r="N360" s="55"/>
    </row>
    <row r="361" spans="1:14">
      <c r="A361" s="81"/>
      <c r="B361" s="82"/>
      <c r="C361" s="82"/>
      <c r="D361" s="82"/>
      <c r="E361" s="82"/>
      <c r="F361" s="82"/>
      <c r="G361" s="82"/>
      <c r="H361" s="83"/>
      <c r="I361" s="84"/>
      <c r="J361" s="85"/>
      <c r="K361" s="86"/>
      <c r="L361" s="53"/>
      <c r="M361" s="53"/>
      <c r="N361" s="55"/>
    </row>
    <row r="362" spans="1:14">
      <c r="A362" s="81"/>
      <c r="B362" s="82"/>
      <c r="C362" s="82"/>
      <c r="D362" s="82"/>
      <c r="E362" s="82"/>
      <c r="F362" s="82"/>
      <c r="G362" s="82"/>
      <c r="H362" s="83"/>
      <c r="I362" s="84"/>
      <c r="J362" s="85"/>
      <c r="K362" s="86"/>
      <c r="L362" s="53"/>
      <c r="M362" s="53"/>
      <c r="N362" s="55"/>
    </row>
    <row r="363" spans="1:14">
      <c r="A363" s="81"/>
      <c r="B363" s="82"/>
      <c r="C363" s="82"/>
      <c r="D363" s="82"/>
      <c r="E363" s="82"/>
      <c r="F363" s="82"/>
      <c r="G363" s="82"/>
      <c r="H363" s="83"/>
      <c r="I363" s="84"/>
      <c r="J363" s="85"/>
      <c r="K363" s="86"/>
      <c r="L363" s="53"/>
      <c r="M363" s="53"/>
      <c r="N363" s="55"/>
    </row>
    <row r="364" spans="1:14">
      <c r="A364" s="81"/>
      <c r="B364" s="82"/>
      <c r="C364" s="82"/>
      <c r="D364" s="82"/>
      <c r="E364" s="82"/>
      <c r="F364" s="82"/>
      <c r="G364" s="82"/>
      <c r="H364" s="83"/>
      <c r="I364" s="84"/>
      <c r="J364" s="85"/>
      <c r="K364" s="86"/>
      <c r="L364" s="53"/>
      <c r="M364" s="53"/>
      <c r="N364" s="55"/>
    </row>
    <row r="365" spans="1:14">
      <c r="A365" s="81"/>
      <c r="B365" s="82"/>
      <c r="C365" s="82"/>
      <c r="D365" s="82"/>
      <c r="E365" s="82"/>
      <c r="F365" s="82"/>
      <c r="G365" s="82"/>
      <c r="H365" s="83"/>
      <c r="I365" s="84"/>
      <c r="J365" s="85"/>
      <c r="K365" s="86"/>
      <c r="L365" s="53"/>
      <c r="M365" s="53"/>
      <c r="N365" s="55"/>
    </row>
    <row r="366" spans="1:14">
      <c r="A366" s="81"/>
      <c r="B366" s="82"/>
      <c r="C366" s="82"/>
      <c r="D366" s="82"/>
      <c r="E366" s="82"/>
      <c r="F366" s="82"/>
      <c r="G366" s="82"/>
      <c r="H366" s="83"/>
      <c r="I366" s="84"/>
      <c r="J366" s="85"/>
      <c r="K366" s="86"/>
      <c r="L366" s="53"/>
      <c r="M366" s="53"/>
      <c r="N366" s="55"/>
    </row>
    <row r="367" spans="1:14">
      <c r="A367" s="81"/>
      <c r="B367" s="82"/>
      <c r="C367" s="82"/>
      <c r="D367" s="82"/>
      <c r="E367" s="82"/>
      <c r="F367" s="82"/>
      <c r="G367" s="82"/>
      <c r="H367" s="83"/>
      <c r="I367" s="84"/>
      <c r="J367" s="85"/>
      <c r="K367" s="86"/>
      <c r="L367" s="53"/>
      <c r="M367" s="53"/>
      <c r="N367" s="55"/>
    </row>
    <row r="368" spans="1:14">
      <c r="A368" s="81"/>
      <c r="B368" s="82"/>
      <c r="C368" s="82"/>
      <c r="D368" s="82"/>
      <c r="E368" s="82"/>
      <c r="F368" s="82"/>
      <c r="G368" s="82"/>
      <c r="H368" s="83"/>
      <c r="I368" s="84"/>
      <c r="J368" s="85"/>
      <c r="K368" s="86"/>
      <c r="L368" s="53"/>
      <c r="M368" s="53"/>
      <c r="N368" s="55"/>
    </row>
    <row r="369" spans="1:14">
      <c r="A369" s="81"/>
      <c r="B369" s="82"/>
      <c r="C369" s="82"/>
      <c r="D369" s="82"/>
      <c r="E369" s="82"/>
      <c r="F369" s="82"/>
      <c r="G369" s="82"/>
      <c r="H369" s="83"/>
      <c r="I369" s="84"/>
      <c r="J369" s="85"/>
      <c r="K369" s="86"/>
      <c r="L369" s="53"/>
      <c r="M369" s="53"/>
      <c r="N369" s="55"/>
    </row>
    <row r="370" spans="1:14">
      <c r="A370" s="81"/>
      <c r="B370" s="82"/>
      <c r="C370" s="82"/>
      <c r="D370" s="82"/>
      <c r="E370" s="82"/>
      <c r="F370" s="82"/>
      <c r="G370" s="82"/>
      <c r="H370" s="83"/>
      <c r="I370" s="84"/>
      <c r="J370" s="85"/>
      <c r="K370" s="86"/>
      <c r="L370" s="53"/>
      <c r="M370" s="53"/>
      <c r="N370" s="55"/>
    </row>
    <row r="371" spans="1:14">
      <c r="A371" s="81"/>
      <c r="B371" s="82"/>
      <c r="C371" s="82"/>
      <c r="D371" s="82"/>
      <c r="E371" s="82"/>
      <c r="F371" s="82"/>
      <c r="G371" s="82"/>
      <c r="H371" s="83"/>
      <c r="I371" s="84"/>
      <c r="J371" s="85"/>
      <c r="K371" s="86"/>
      <c r="L371" s="53"/>
      <c r="M371" s="53"/>
      <c r="N371" s="55"/>
    </row>
    <row r="372" spans="1:14">
      <c r="A372" s="81"/>
      <c r="B372" s="82"/>
      <c r="C372" s="82"/>
      <c r="D372" s="82"/>
      <c r="E372" s="82"/>
      <c r="F372" s="82"/>
      <c r="G372" s="82"/>
      <c r="H372" s="83"/>
      <c r="I372" s="84"/>
      <c r="J372" s="85"/>
      <c r="K372" s="86"/>
      <c r="L372" s="53"/>
      <c r="M372" s="53"/>
      <c r="N372" s="55"/>
    </row>
    <row r="373" spans="1:14">
      <c r="A373" s="81"/>
      <c r="B373" s="82"/>
      <c r="C373" s="82"/>
      <c r="D373" s="82"/>
      <c r="E373" s="82"/>
      <c r="F373" s="82"/>
      <c r="G373" s="82"/>
      <c r="H373" s="83"/>
      <c r="I373" s="84"/>
      <c r="J373" s="85"/>
      <c r="K373" s="86"/>
      <c r="L373" s="53"/>
      <c r="M373" s="53"/>
      <c r="N373" s="55"/>
    </row>
    <row r="374" spans="1:14">
      <c r="A374" s="81"/>
      <c r="B374" s="82"/>
      <c r="C374" s="82"/>
      <c r="D374" s="82"/>
      <c r="E374" s="82"/>
      <c r="F374" s="82"/>
      <c r="G374" s="82"/>
      <c r="H374" s="83"/>
      <c r="I374" s="84"/>
      <c r="J374" s="85"/>
      <c r="K374" s="86"/>
      <c r="L374" s="53"/>
      <c r="M374" s="53"/>
      <c r="N374" s="55"/>
    </row>
    <row r="375" spans="1:14">
      <c r="A375" s="81"/>
      <c r="B375" s="82"/>
      <c r="C375" s="82"/>
      <c r="D375" s="82"/>
      <c r="E375" s="82"/>
      <c r="F375" s="82"/>
      <c r="G375" s="82"/>
      <c r="H375" s="83"/>
      <c r="I375" s="84"/>
      <c r="J375" s="85"/>
      <c r="K375" s="86"/>
      <c r="L375" s="53"/>
      <c r="M375" s="53"/>
      <c r="N375" s="55"/>
    </row>
    <row r="376" spans="1:14">
      <c r="A376" s="81"/>
      <c r="B376" s="82"/>
      <c r="C376" s="82"/>
      <c r="D376" s="82"/>
      <c r="E376" s="82"/>
      <c r="F376" s="82"/>
      <c r="G376" s="82"/>
      <c r="H376" s="83"/>
      <c r="I376" s="84"/>
      <c r="J376" s="85"/>
      <c r="K376" s="86"/>
      <c r="L376" s="53"/>
      <c r="M376" s="53"/>
      <c r="N376" s="55"/>
    </row>
    <row r="377" spans="1:14">
      <c r="A377" s="81"/>
      <c r="B377" s="82"/>
      <c r="C377" s="82"/>
      <c r="D377" s="82"/>
      <c r="E377" s="82"/>
      <c r="F377" s="82"/>
      <c r="G377" s="82"/>
      <c r="H377" s="83"/>
      <c r="I377" s="84"/>
      <c r="J377" s="85"/>
      <c r="K377" s="86"/>
      <c r="L377" s="53"/>
      <c r="M377" s="53"/>
      <c r="N377" s="55"/>
    </row>
    <row r="378" spans="1:14">
      <c r="A378" s="81"/>
      <c r="B378" s="82"/>
      <c r="C378" s="82"/>
      <c r="D378" s="82"/>
      <c r="E378" s="82"/>
      <c r="F378" s="82"/>
      <c r="G378" s="82"/>
      <c r="H378" s="83"/>
      <c r="I378" s="84"/>
      <c r="J378" s="85"/>
      <c r="K378" s="86"/>
      <c r="L378" s="53"/>
      <c r="M378" s="53"/>
      <c r="N378" s="55"/>
    </row>
    <row r="379" spans="1:14">
      <c r="A379" s="81"/>
      <c r="B379" s="82"/>
      <c r="C379" s="82"/>
      <c r="D379" s="82"/>
      <c r="E379" s="82"/>
      <c r="F379" s="82"/>
      <c r="G379" s="82"/>
      <c r="H379" s="83"/>
      <c r="I379" s="84"/>
      <c r="J379" s="85"/>
      <c r="K379" s="86"/>
      <c r="L379" s="53"/>
      <c r="M379" s="53"/>
      <c r="N379" s="55"/>
    </row>
    <row r="380" spans="1:14">
      <c r="A380" s="81"/>
      <c r="B380" s="82"/>
      <c r="C380" s="82"/>
      <c r="D380" s="82"/>
      <c r="E380" s="82"/>
      <c r="F380" s="82"/>
      <c r="G380" s="82"/>
      <c r="H380" s="83"/>
      <c r="I380" s="84"/>
      <c r="J380" s="85"/>
      <c r="K380" s="86"/>
      <c r="L380" s="53"/>
      <c r="M380" s="53"/>
      <c r="N380" s="55"/>
    </row>
    <row r="381" spans="1:14">
      <c r="A381" s="81"/>
      <c r="B381" s="82"/>
      <c r="C381" s="82"/>
      <c r="D381" s="82"/>
      <c r="E381" s="82"/>
      <c r="F381" s="82"/>
      <c r="G381" s="82"/>
      <c r="H381" s="83"/>
      <c r="I381" s="84"/>
      <c r="J381" s="85"/>
      <c r="K381" s="86"/>
      <c r="L381" s="53"/>
      <c r="M381" s="53"/>
      <c r="N381" s="55"/>
    </row>
    <row r="382" spans="1:14">
      <c r="A382" s="81"/>
      <c r="B382" s="82"/>
      <c r="C382" s="82"/>
      <c r="D382" s="82"/>
      <c r="E382" s="82"/>
      <c r="F382" s="82"/>
      <c r="G382" s="82"/>
      <c r="H382" s="83"/>
      <c r="I382" s="84"/>
      <c r="J382" s="85"/>
      <c r="K382" s="86"/>
      <c r="L382" s="53"/>
      <c r="M382" s="53"/>
      <c r="N382" s="55"/>
    </row>
    <row r="383" spans="1:14">
      <c r="A383" s="81"/>
      <c r="B383" s="82"/>
      <c r="C383" s="82"/>
      <c r="D383" s="82"/>
      <c r="E383" s="82"/>
      <c r="F383" s="82"/>
      <c r="G383" s="82"/>
      <c r="H383" s="83"/>
      <c r="I383" s="84"/>
      <c r="J383" s="85"/>
      <c r="K383" s="86"/>
      <c r="L383" s="53"/>
      <c r="M383" s="53"/>
      <c r="N383" s="55"/>
    </row>
    <row r="384" spans="1:14">
      <c r="A384" s="81"/>
      <c r="B384" s="82"/>
      <c r="C384" s="82"/>
      <c r="D384" s="82"/>
      <c r="E384" s="82"/>
      <c r="F384" s="82"/>
      <c r="G384" s="82"/>
      <c r="H384" s="83"/>
      <c r="I384" s="84"/>
      <c r="J384" s="85"/>
      <c r="K384" s="86"/>
      <c r="L384" s="53"/>
      <c r="M384" s="53"/>
      <c r="N384" s="55"/>
    </row>
    <row r="385" spans="1:14">
      <c r="A385" s="81"/>
      <c r="B385" s="82"/>
      <c r="C385" s="82"/>
      <c r="D385" s="82"/>
      <c r="E385" s="82"/>
      <c r="F385" s="82"/>
      <c r="G385" s="82"/>
      <c r="H385" s="83"/>
      <c r="I385" s="84"/>
      <c r="J385" s="85"/>
      <c r="K385" s="86"/>
      <c r="L385" s="53"/>
      <c r="M385" s="53"/>
      <c r="N385" s="55"/>
    </row>
    <row r="386" spans="1:14">
      <c r="A386" s="81"/>
      <c r="B386" s="82"/>
      <c r="C386" s="82"/>
      <c r="D386" s="82"/>
      <c r="E386" s="82"/>
      <c r="F386" s="82"/>
      <c r="G386" s="82"/>
      <c r="H386" s="83"/>
      <c r="I386" s="84"/>
      <c r="J386" s="85"/>
      <c r="K386" s="86"/>
      <c r="L386" s="53"/>
      <c r="M386" s="53"/>
      <c r="N386" s="55"/>
    </row>
    <row r="387" spans="1:14">
      <c r="A387" s="81"/>
      <c r="B387" s="82"/>
      <c r="C387" s="82"/>
      <c r="D387" s="82"/>
      <c r="E387" s="82"/>
      <c r="F387" s="82"/>
      <c r="G387" s="82"/>
      <c r="H387" s="83"/>
      <c r="I387" s="84"/>
      <c r="J387" s="85"/>
      <c r="K387" s="86"/>
      <c r="L387" s="53"/>
      <c r="M387" s="53"/>
      <c r="N387" s="55"/>
    </row>
    <row r="388" spans="1:14">
      <c r="A388" s="81"/>
      <c r="B388" s="82"/>
      <c r="C388" s="82"/>
      <c r="D388" s="82"/>
      <c r="E388" s="82"/>
      <c r="F388" s="82"/>
      <c r="G388" s="82"/>
      <c r="H388" s="83"/>
      <c r="I388" s="84"/>
      <c r="J388" s="85"/>
      <c r="K388" s="86"/>
      <c r="L388" s="53"/>
      <c r="M388" s="53"/>
      <c r="N388" s="55"/>
    </row>
    <row r="389" spans="1:14">
      <c r="A389" s="81"/>
      <c r="B389" s="82"/>
      <c r="C389" s="82"/>
      <c r="D389" s="82"/>
      <c r="E389" s="82"/>
      <c r="F389" s="82"/>
      <c r="G389" s="82"/>
      <c r="H389" s="83"/>
      <c r="I389" s="84"/>
      <c r="J389" s="85"/>
      <c r="K389" s="86"/>
      <c r="L389" s="53"/>
      <c r="M389" s="53"/>
      <c r="N389" s="55"/>
    </row>
    <row r="390" spans="1:14">
      <c r="A390" s="81"/>
      <c r="B390" s="82"/>
      <c r="C390" s="82"/>
      <c r="D390" s="82"/>
      <c r="E390" s="82"/>
      <c r="F390" s="82"/>
      <c r="G390" s="82"/>
      <c r="H390" s="83"/>
      <c r="I390" s="84"/>
      <c r="J390" s="85"/>
      <c r="K390" s="86"/>
      <c r="L390" s="53"/>
      <c r="M390" s="53"/>
      <c r="N390" s="55"/>
    </row>
    <row r="391" spans="1:14">
      <c r="A391" s="81"/>
      <c r="B391" s="82"/>
      <c r="C391" s="82"/>
      <c r="D391" s="82"/>
      <c r="E391" s="82"/>
      <c r="F391" s="82"/>
      <c r="G391" s="82"/>
      <c r="H391" s="83"/>
      <c r="I391" s="84"/>
      <c r="J391" s="85"/>
      <c r="K391" s="86"/>
      <c r="L391" s="53"/>
      <c r="M391" s="53"/>
      <c r="N391" s="55"/>
    </row>
    <row r="392" spans="1:14">
      <c r="A392" s="81"/>
      <c r="B392" s="82"/>
      <c r="C392" s="82"/>
      <c r="D392" s="82"/>
      <c r="E392" s="82"/>
      <c r="F392" s="82"/>
      <c r="G392" s="82"/>
      <c r="H392" s="83"/>
      <c r="I392" s="84"/>
      <c r="J392" s="85"/>
      <c r="K392" s="86"/>
      <c r="L392" s="53"/>
      <c r="M392" s="53"/>
      <c r="N392" s="55"/>
    </row>
    <row r="393" spans="1:14">
      <c r="A393" s="81"/>
      <c r="B393" s="82"/>
      <c r="C393" s="82"/>
      <c r="D393" s="82"/>
      <c r="E393" s="82"/>
      <c r="F393" s="82"/>
      <c r="G393" s="82"/>
      <c r="H393" s="83"/>
      <c r="I393" s="84"/>
      <c r="J393" s="85"/>
      <c r="K393" s="86"/>
      <c r="L393" s="53"/>
      <c r="M393" s="53"/>
      <c r="N393" s="55"/>
    </row>
    <row r="394" spans="1:14">
      <c r="A394" s="81"/>
      <c r="B394" s="82"/>
      <c r="C394" s="82"/>
      <c r="D394" s="82"/>
      <c r="E394" s="82"/>
      <c r="F394" s="82"/>
      <c r="G394" s="82"/>
      <c r="H394" s="83"/>
      <c r="I394" s="84"/>
      <c r="J394" s="85"/>
      <c r="K394" s="86"/>
      <c r="L394" s="53"/>
      <c r="M394" s="53"/>
      <c r="N394" s="55"/>
    </row>
    <row r="395" spans="1:14">
      <c r="A395" s="81"/>
      <c r="B395" s="82"/>
      <c r="C395" s="82"/>
      <c r="D395" s="82"/>
      <c r="E395" s="82"/>
      <c r="F395" s="82"/>
      <c r="G395" s="82"/>
      <c r="H395" s="83"/>
      <c r="I395" s="84"/>
      <c r="J395" s="85"/>
      <c r="K395" s="86"/>
      <c r="L395" s="53"/>
      <c r="M395" s="53"/>
      <c r="N395" s="55"/>
    </row>
    <row r="396" spans="1:14">
      <c r="A396" s="81"/>
      <c r="B396" s="82"/>
      <c r="C396" s="82"/>
      <c r="D396" s="82"/>
      <c r="E396" s="82"/>
      <c r="F396" s="82"/>
      <c r="G396" s="82"/>
      <c r="H396" s="83"/>
      <c r="I396" s="84"/>
      <c r="J396" s="85"/>
      <c r="K396" s="86"/>
      <c r="L396" s="53"/>
      <c r="M396" s="53"/>
      <c r="N396" s="55"/>
    </row>
    <row r="397" spans="1:14">
      <c r="A397" s="81"/>
      <c r="B397" s="82"/>
      <c r="C397" s="82"/>
      <c r="D397" s="82"/>
      <c r="E397" s="82"/>
      <c r="F397" s="82"/>
      <c r="G397" s="82"/>
      <c r="H397" s="83"/>
      <c r="I397" s="84"/>
      <c r="J397" s="85"/>
      <c r="K397" s="86"/>
      <c r="L397" s="53"/>
      <c r="M397" s="53"/>
      <c r="N397" s="55"/>
    </row>
    <row r="398" spans="1:14">
      <c r="A398" s="81"/>
      <c r="B398" s="82"/>
      <c r="C398" s="82"/>
      <c r="D398" s="82"/>
      <c r="E398" s="82"/>
      <c r="F398" s="82"/>
      <c r="G398" s="82"/>
      <c r="H398" s="83"/>
      <c r="I398" s="84"/>
      <c r="J398" s="85"/>
      <c r="K398" s="86"/>
      <c r="L398" s="53"/>
      <c r="M398" s="53"/>
      <c r="N398" s="55"/>
    </row>
    <row r="399" spans="1:14">
      <c r="A399" s="81"/>
      <c r="B399" s="82"/>
      <c r="C399" s="82"/>
      <c r="D399" s="82"/>
      <c r="E399" s="82"/>
      <c r="F399" s="82"/>
      <c r="G399" s="82"/>
      <c r="H399" s="83"/>
      <c r="I399" s="84"/>
      <c r="J399" s="85"/>
      <c r="K399" s="86"/>
      <c r="L399" s="53"/>
      <c r="M399" s="53"/>
      <c r="N399" s="55"/>
    </row>
    <row r="400" spans="1:14">
      <c r="A400" s="81"/>
      <c r="B400" s="82"/>
      <c r="C400" s="82"/>
      <c r="D400" s="82"/>
      <c r="E400" s="82"/>
      <c r="F400" s="82"/>
      <c r="G400" s="82"/>
      <c r="H400" s="83"/>
      <c r="I400" s="84"/>
      <c r="J400" s="85"/>
      <c r="K400" s="86"/>
      <c r="L400" s="53"/>
      <c r="M400" s="53"/>
      <c r="N400" s="55"/>
    </row>
    <row r="401" spans="1:14">
      <c r="A401" s="81"/>
      <c r="B401" s="82"/>
      <c r="C401" s="82"/>
      <c r="D401" s="82"/>
      <c r="E401" s="82"/>
      <c r="F401" s="82"/>
      <c r="G401" s="82"/>
      <c r="H401" s="83"/>
      <c r="I401" s="84"/>
      <c r="J401" s="85"/>
      <c r="K401" s="86"/>
      <c r="L401" s="53"/>
      <c r="M401" s="53"/>
      <c r="N401" s="55"/>
    </row>
    <row r="402" spans="1:14">
      <c r="A402" s="81"/>
      <c r="B402" s="82"/>
      <c r="C402" s="82"/>
      <c r="D402" s="82"/>
      <c r="E402" s="82"/>
      <c r="F402" s="82"/>
      <c r="G402" s="82"/>
      <c r="H402" s="83"/>
      <c r="I402" s="84"/>
      <c r="J402" s="85"/>
      <c r="K402" s="86"/>
      <c r="L402" s="53"/>
      <c r="M402" s="53"/>
      <c r="N402" s="55"/>
    </row>
    <row r="403" spans="1:14">
      <c r="A403" s="81"/>
      <c r="B403" s="82"/>
      <c r="C403" s="82"/>
      <c r="D403" s="82"/>
      <c r="E403" s="82"/>
      <c r="F403" s="82"/>
      <c r="G403" s="82"/>
      <c r="H403" s="83"/>
      <c r="I403" s="84"/>
      <c r="J403" s="85"/>
      <c r="K403" s="86"/>
      <c r="L403" s="53"/>
      <c r="M403" s="53"/>
      <c r="N403" s="55"/>
    </row>
    <row r="404" spans="1:14">
      <c r="A404" s="81"/>
      <c r="B404" s="82"/>
      <c r="C404" s="82"/>
      <c r="D404" s="82"/>
      <c r="E404" s="82"/>
      <c r="F404" s="82"/>
      <c r="G404" s="82"/>
      <c r="H404" s="83"/>
      <c r="I404" s="84"/>
      <c r="J404" s="85"/>
      <c r="K404" s="86"/>
      <c r="L404" s="53"/>
      <c r="M404" s="53"/>
      <c r="N404" s="55"/>
    </row>
    <row r="405" spans="1:14">
      <c r="A405" s="81"/>
      <c r="B405" s="82"/>
      <c r="C405" s="82"/>
      <c r="D405" s="82"/>
      <c r="E405" s="82"/>
      <c r="F405" s="82"/>
      <c r="G405" s="82"/>
      <c r="H405" s="83"/>
      <c r="I405" s="84"/>
      <c r="J405" s="85"/>
      <c r="K405" s="86"/>
      <c r="L405" s="53"/>
      <c r="M405" s="53"/>
      <c r="N405" s="55"/>
    </row>
    <row r="406" spans="1:14">
      <c r="A406" s="81"/>
      <c r="B406" s="82"/>
      <c r="C406" s="82"/>
      <c r="D406" s="82"/>
      <c r="E406" s="82"/>
      <c r="F406" s="82"/>
      <c r="G406" s="82"/>
      <c r="H406" s="83"/>
      <c r="I406" s="84"/>
      <c r="J406" s="85"/>
      <c r="K406" s="86"/>
      <c r="L406" s="53"/>
      <c r="M406" s="53"/>
      <c r="N406" s="55"/>
    </row>
    <row r="407" spans="1:14">
      <c r="A407" s="81"/>
      <c r="B407" s="82"/>
      <c r="C407" s="82"/>
      <c r="D407" s="82"/>
      <c r="E407" s="82"/>
      <c r="F407" s="82"/>
      <c r="G407" s="82"/>
      <c r="H407" s="83"/>
      <c r="I407" s="84"/>
      <c r="J407" s="85"/>
      <c r="K407" s="86"/>
      <c r="L407" s="53"/>
      <c r="M407" s="53"/>
      <c r="N407" s="55"/>
    </row>
    <row r="408" spans="1:14">
      <c r="A408" s="81"/>
      <c r="B408" s="82"/>
      <c r="C408" s="82"/>
      <c r="D408" s="82"/>
      <c r="E408" s="82"/>
      <c r="F408" s="82"/>
      <c r="G408" s="82"/>
      <c r="H408" s="83"/>
      <c r="I408" s="84"/>
      <c r="J408" s="85"/>
      <c r="K408" s="86"/>
      <c r="L408" s="53"/>
      <c r="M408" s="53"/>
      <c r="N408" s="55"/>
    </row>
    <row r="409" spans="1:14">
      <c r="A409" s="81"/>
      <c r="B409" s="82"/>
      <c r="C409" s="82"/>
      <c r="D409" s="82"/>
      <c r="E409" s="82"/>
      <c r="F409" s="82"/>
      <c r="G409" s="82"/>
      <c r="H409" s="83"/>
      <c r="I409" s="84"/>
      <c r="J409" s="85"/>
      <c r="K409" s="86"/>
      <c r="L409" s="53"/>
      <c r="M409" s="53"/>
      <c r="N409" s="55"/>
    </row>
    <row r="410" spans="1:14">
      <c r="A410" s="81"/>
      <c r="B410" s="82"/>
      <c r="C410" s="82"/>
      <c r="D410" s="82"/>
      <c r="E410" s="82"/>
      <c r="F410" s="82"/>
      <c r="G410" s="82"/>
      <c r="H410" s="83"/>
      <c r="I410" s="84"/>
      <c r="J410" s="85"/>
      <c r="K410" s="86"/>
      <c r="L410" s="53"/>
      <c r="M410" s="53"/>
      <c r="N410" s="55"/>
    </row>
    <row r="411" spans="1:14">
      <c r="A411" s="81"/>
      <c r="B411" s="82"/>
      <c r="C411" s="82"/>
      <c r="D411" s="82"/>
      <c r="E411" s="82"/>
      <c r="F411" s="82"/>
      <c r="G411" s="82"/>
      <c r="H411" s="83"/>
      <c r="I411" s="84"/>
      <c r="J411" s="85"/>
      <c r="K411" s="86"/>
      <c r="L411" s="53"/>
      <c r="M411" s="53"/>
      <c r="N411" s="55"/>
    </row>
    <row r="412" spans="1:14">
      <c r="A412" s="81"/>
      <c r="B412" s="82"/>
      <c r="C412" s="82"/>
      <c r="D412" s="82"/>
      <c r="E412" s="82"/>
      <c r="F412" s="82"/>
      <c r="G412" s="82"/>
      <c r="H412" s="83"/>
      <c r="I412" s="84"/>
      <c r="J412" s="85"/>
      <c r="K412" s="86"/>
      <c r="L412" s="53"/>
      <c r="M412" s="53"/>
      <c r="N412" s="55"/>
    </row>
    <row r="413" spans="1:14">
      <c r="A413" s="81"/>
      <c r="B413" s="82"/>
      <c r="C413" s="82"/>
      <c r="D413" s="82"/>
      <c r="E413" s="82"/>
      <c r="F413" s="82"/>
      <c r="G413" s="82"/>
      <c r="H413" s="83"/>
      <c r="I413" s="84"/>
      <c r="J413" s="85"/>
      <c r="K413" s="86"/>
      <c r="L413" s="53"/>
      <c r="M413" s="53"/>
      <c r="N413" s="55"/>
    </row>
    <row r="414" spans="1:14">
      <c r="A414" s="81"/>
      <c r="B414" s="82"/>
      <c r="C414" s="82"/>
      <c r="D414" s="82"/>
      <c r="E414" s="82"/>
      <c r="F414" s="82"/>
      <c r="G414" s="82"/>
      <c r="H414" s="83"/>
      <c r="I414" s="84"/>
      <c r="J414" s="85"/>
      <c r="K414" s="86"/>
      <c r="L414" s="53"/>
      <c r="M414" s="53"/>
      <c r="N414" s="55"/>
    </row>
    <row r="415" spans="1:14">
      <c r="A415" s="81"/>
      <c r="B415" s="82"/>
      <c r="C415" s="82"/>
      <c r="D415" s="82"/>
      <c r="E415" s="82"/>
      <c r="F415" s="82"/>
      <c r="G415" s="82"/>
      <c r="H415" s="83"/>
      <c r="I415" s="84"/>
      <c r="J415" s="85"/>
      <c r="K415" s="86"/>
      <c r="L415" s="53"/>
      <c r="M415" s="53"/>
      <c r="N415" s="55"/>
    </row>
    <row r="416" spans="1:14">
      <c r="A416" s="81"/>
      <c r="B416" s="82"/>
      <c r="C416" s="82"/>
      <c r="D416" s="82"/>
      <c r="E416" s="82"/>
      <c r="F416" s="82"/>
      <c r="G416" s="82"/>
      <c r="H416" s="83"/>
      <c r="I416" s="84"/>
      <c r="J416" s="85"/>
      <c r="K416" s="86"/>
      <c r="L416" s="53"/>
      <c r="M416" s="53"/>
      <c r="N416" s="55"/>
    </row>
    <row r="417" spans="1:14">
      <c r="A417" s="81"/>
      <c r="B417" s="82"/>
      <c r="C417" s="82"/>
      <c r="D417" s="82"/>
      <c r="E417" s="82"/>
      <c r="F417" s="82"/>
      <c r="G417" s="82"/>
      <c r="H417" s="83"/>
      <c r="I417" s="84"/>
      <c r="J417" s="85"/>
      <c r="K417" s="86"/>
      <c r="L417" s="53"/>
      <c r="M417" s="53"/>
      <c r="N417" s="55"/>
    </row>
    <row r="418" spans="1:14">
      <c r="A418" s="81"/>
      <c r="B418" s="82"/>
      <c r="C418" s="82"/>
      <c r="D418" s="82"/>
      <c r="E418" s="82"/>
      <c r="F418" s="82"/>
      <c r="G418" s="82"/>
      <c r="H418" s="83"/>
      <c r="I418" s="84"/>
      <c r="J418" s="85"/>
      <c r="K418" s="86"/>
      <c r="L418" s="53"/>
      <c r="M418" s="53"/>
      <c r="N418" s="55"/>
    </row>
    <row r="419" spans="1:14">
      <c r="A419" s="81"/>
      <c r="B419" s="82"/>
      <c r="C419" s="82"/>
      <c r="D419" s="82"/>
      <c r="E419" s="82"/>
      <c r="F419" s="82"/>
      <c r="G419" s="82"/>
      <c r="H419" s="83"/>
      <c r="I419" s="84"/>
      <c r="J419" s="85"/>
      <c r="K419" s="86"/>
      <c r="L419" s="53"/>
      <c r="M419" s="53"/>
      <c r="N419" s="55"/>
    </row>
    <row r="420" spans="1:14">
      <c r="A420" s="81"/>
      <c r="B420" s="82"/>
      <c r="C420" s="82"/>
      <c r="D420" s="82"/>
      <c r="E420" s="82"/>
      <c r="F420" s="82"/>
      <c r="G420" s="82"/>
      <c r="H420" s="83"/>
      <c r="I420" s="84"/>
      <c r="J420" s="85"/>
      <c r="K420" s="86"/>
      <c r="L420" s="53"/>
      <c r="M420" s="53"/>
      <c r="N420" s="55"/>
    </row>
    <row r="421" spans="1:14">
      <c r="A421" s="81"/>
      <c r="B421" s="82"/>
      <c r="C421" s="82"/>
      <c r="D421" s="82"/>
      <c r="E421" s="82"/>
      <c r="F421" s="82"/>
      <c r="G421" s="82"/>
      <c r="H421" s="83"/>
      <c r="I421" s="84"/>
      <c r="J421" s="85"/>
      <c r="K421" s="86"/>
      <c r="L421" s="53"/>
      <c r="M421" s="53"/>
      <c r="N421" s="55"/>
    </row>
    <row r="422" spans="1:14">
      <c r="A422" s="81"/>
      <c r="B422" s="82"/>
      <c r="C422" s="82"/>
      <c r="D422" s="82"/>
      <c r="E422" s="82"/>
      <c r="F422" s="82"/>
      <c r="G422" s="82"/>
      <c r="H422" s="83"/>
      <c r="I422" s="84"/>
      <c r="J422" s="85"/>
      <c r="K422" s="86"/>
      <c r="L422" s="53"/>
      <c r="M422" s="53"/>
      <c r="N422" s="55"/>
    </row>
    <row r="423" spans="1:14">
      <c r="A423" s="81"/>
      <c r="B423" s="82"/>
      <c r="C423" s="82"/>
      <c r="D423" s="82"/>
      <c r="E423" s="82"/>
      <c r="F423" s="82"/>
      <c r="G423" s="82"/>
      <c r="H423" s="83"/>
      <c r="I423" s="84"/>
      <c r="J423" s="85"/>
      <c r="K423" s="86"/>
      <c r="L423" s="53"/>
      <c r="M423" s="53"/>
      <c r="N423" s="55"/>
    </row>
    <row r="424" spans="1:14">
      <c r="A424" s="81"/>
      <c r="B424" s="82"/>
      <c r="C424" s="82"/>
      <c r="D424" s="82"/>
      <c r="E424" s="82"/>
      <c r="F424" s="82"/>
      <c r="G424" s="82"/>
      <c r="H424" s="83"/>
      <c r="I424" s="84"/>
      <c r="J424" s="85"/>
      <c r="K424" s="86"/>
      <c r="L424" s="53"/>
      <c r="M424" s="53"/>
      <c r="N424" s="55"/>
    </row>
    <row r="425" spans="1:14">
      <c r="A425" s="81"/>
      <c r="B425" s="82"/>
      <c r="C425" s="82"/>
      <c r="D425" s="82"/>
      <c r="E425" s="82"/>
      <c r="F425" s="82"/>
      <c r="G425" s="82"/>
      <c r="H425" s="83"/>
      <c r="I425" s="84"/>
      <c r="J425" s="85"/>
      <c r="K425" s="86"/>
      <c r="L425" s="53"/>
      <c r="M425" s="53"/>
      <c r="N425" s="55"/>
    </row>
    <row r="426" spans="1:14">
      <c r="A426" s="81"/>
      <c r="B426" s="82"/>
      <c r="C426" s="82"/>
      <c r="D426" s="82"/>
      <c r="E426" s="82"/>
      <c r="F426" s="82"/>
      <c r="G426" s="82"/>
      <c r="H426" s="83"/>
      <c r="I426" s="84"/>
      <c r="J426" s="85"/>
      <c r="K426" s="86"/>
      <c r="L426" s="53"/>
      <c r="M426" s="53"/>
      <c r="N426" s="55"/>
    </row>
    <row r="427" spans="1:14">
      <c r="A427" s="81"/>
      <c r="B427" s="82"/>
      <c r="C427" s="82"/>
      <c r="D427" s="82"/>
      <c r="E427" s="82"/>
      <c r="F427" s="82"/>
      <c r="G427" s="82"/>
      <c r="H427" s="83"/>
      <c r="I427" s="84"/>
      <c r="J427" s="85"/>
      <c r="K427" s="86"/>
      <c r="L427" s="53"/>
      <c r="M427" s="53"/>
      <c r="N427" s="55"/>
    </row>
    <row r="428" spans="1:14">
      <c r="A428" s="81"/>
      <c r="B428" s="82"/>
      <c r="C428" s="82"/>
      <c r="D428" s="82"/>
      <c r="E428" s="82"/>
      <c r="F428" s="82"/>
      <c r="G428" s="82"/>
      <c r="H428" s="83"/>
      <c r="I428" s="84"/>
      <c r="J428" s="85"/>
      <c r="K428" s="86"/>
      <c r="L428" s="53"/>
      <c r="M428" s="53"/>
      <c r="N428" s="55"/>
    </row>
    <row r="429" spans="1:14">
      <c r="A429" s="81"/>
      <c r="B429" s="82"/>
      <c r="C429" s="82"/>
      <c r="D429" s="82"/>
      <c r="E429" s="82"/>
      <c r="F429" s="82"/>
      <c r="G429" s="82"/>
      <c r="H429" s="83"/>
      <c r="I429" s="84"/>
      <c r="J429" s="85"/>
      <c r="K429" s="86"/>
      <c r="L429" s="53"/>
      <c r="M429" s="53"/>
      <c r="N429" s="55"/>
    </row>
    <row r="430" spans="1:14">
      <c r="A430" s="81"/>
      <c r="B430" s="82"/>
      <c r="C430" s="82"/>
      <c r="D430" s="82"/>
      <c r="E430" s="82"/>
      <c r="F430" s="82"/>
      <c r="G430" s="82"/>
      <c r="H430" s="83"/>
      <c r="I430" s="84"/>
      <c r="J430" s="85"/>
      <c r="K430" s="86"/>
      <c r="L430" s="53"/>
      <c r="M430" s="53"/>
      <c r="N430" s="55"/>
    </row>
    <row r="431" spans="1:14">
      <c r="A431" s="81"/>
      <c r="B431" s="82"/>
      <c r="C431" s="82"/>
      <c r="D431" s="82"/>
      <c r="E431" s="82"/>
      <c r="F431" s="82"/>
      <c r="G431" s="82"/>
      <c r="H431" s="83"/>
      <c r="I431" s="84"/>
      <c r="J431" s="85"/>
      <c r="K431" s="86"/>
      <c r="L431" s="53"/>
      <c r="M431" s="53"/>
      <c r="N431" s="55"/>
    </row>
    <row r="432" spans="1:14">
      <c r="A432" s="81"/>
      <c r="B432" s="82"/>
      <c r="C432" s="82"/>
      <c r="D432" s="82"/>
      <c r="E432" s="82"/>
      <c r="F432" s="82"/>
      <c r="G432" s="82"/>
      <c r="H432" s="83"/>
      <c r="I432" s="84"/>
      <c r="J432" s="85"/>
      <c r="K432" s="86"/>
      <c r="L432" s="53"/>
      <c r="M432" s="53"/>
      <c r="N432" s="55"/>
    </row>
    <row r="433" spans="1:14">
      <c r="A433" s="81"/>
      <c r="B433" s="82"/>
      <c r="C433" s="82"/>
      <c r="D433" s="82"/>
      <c r="E433" s="82"/>
      <c r="F433" s="82"/>
      <c r="G433" s="82"/>
      <c r="H433" s="83"/>
      <c r="I433" s="84"/>
      <c r="J433" s="85"/>
      <c r="K433" s="86"/>
      <c r="L433" s="53"/>
      <c r="M433" s="53"/>
      <c r="N433" s="55"/>
    </row>
    <row r="434" spans="1:14">
      <c r="A434" s="81"/>
      <c r="B434" s="82"/>
      <c r="C434" s="82"/>
      <c r="D434" s="82"/>
      <c r="E434" s="82"/>
      <c r="F434" s="82"/>
      <c r="G434" s="82"/>
      <c r="H434" s="83"/>
      <c r="I434" s="84"/>
      <c r="J434" s="85"/>
      <c r="K434" s="86"/>
      <c r="L434" s="53"/>
      <c r="M434" s="53"/>
      <c r="N434" s="55"/>
    </row>
    <row r="435" spans="1:14">
      <c r="A435" s="81"/>
      <c r="B435" s="82"/>
      <c r="C435" s="82"/>
      <c r="D435" s="82"/>
      <c r="E435" s="82"/>
      <c r="F435" s="82"/>
      <c r="G435" s="82"/>
      <c r="H435" s="83"/>
      <c r="I435" s="84"/>
      <c r="J435" s="85"/>
      <c r="K435" s="86"/>
      <c r="L435" s="53"/>
      <c r="M435" s="53"/>
      <c r="N435" s="55"/>
    </row>
    <row r="436" spans="1:14">
      <c r="A436" s="81"/>
      <c r="B436" s="82"/>
      <c r="C436" s="82"/>
      <c r="D436" s="82"/>
      <c r="E436" s="82"/>
      <c r="F436" s="82"/>
      <c r="G436" s="82"/>
      <c r="H436" s="83"/>
      <c r="I436" s="84"/>
      <c r="J436" s="85"/>
      <c r="K436" s="86"/>
      <c r="L436" s="53"/>
      <c r="M436" s="53"/>
      <c r="N436" s="55"/>
    </row>
    <row r="437" spans="1:14">
      <c r="A437" s="81"/>
      <c r="B437" s="82"/>
      <c r="C437" s="82"/>
      <c r="D437" s="82"/>
      <c r="E437" s="82"/>
      <c r="F437" s="82"/>
      <c r="G437" s="82"/>
      <c r="H437" s="83"/>
      <c r="I437" s="84"/>
      <c r="J437" s="85"/>
      <c r="K437" s="86"/>
      <c r="L437" s="53"/>
      <c r="M437" s="53"/>
      <c r="N437" s="55"/>
    </row>
    <row r="438" spans="1:14">
      <c r="A438" s="81"/>
      <c r="B438" s="82"/>
      <c r="C438" s="82"/>
      <c r="D438" s="82"/>
      <c r="E438" s="82"/>
      <c r="F438" s="82"/>
      <c r="G438" s="82"/>
      <c r="H438" s="83"/>
      <c r="I438" s="84"/>
      <c r="J438" s="85"/>
      <c r="K438" s="86"/>
      <c r="L438" s="53"/>
      <c r="M438" s="53"/>
      <c r="N438" s="55"/>
    </row>
    <row r="439" spans="1:14">
      <c r="A439" s="81"/>
      <c r="B439" s="82"/>
      <c r="C439" s="82"/>
      <c r="D439" s="82"/>
      <c r="E439" s="82"/>
      <c r="F439" s="82"/>
      <c r="G439" s="82"/>
      <c r="H439" s="83"/>
      <c r="I439" s="84"/>
      <c r="J439" s="85"/>
      <c r="K439" s="86"/>
      <c r="L439" s="53"/>
      <c r="M439" s="53"/>
      <c r="N439" s="55"/>
    </row>
    <row r="440" spans="1:14">
      <c r="A440" s="81"/>
      <c r="B440" s="82"/>
      <c r="C440" s="82"/>
      <c r="D440" s="82"/>
      <c r="E440" s="82"/>
      <c r="F440" s="82"/>
      <c r="G440" s="82"/>
      <c r="H440" s="83"/>
      <c r="I440" s="84"/>
      <c r="J440" s="85"/>
      <c r="K440" s="86"/>
      <c r="L440" s="53"/>
      <c r="M440" s="53"/>
      <c r="N440" s="55"/>
    </row>
    <row r="441" spans="1:14">
      <c r="A441" s="81"/>
      <c r="B441" s="82"/>
      <c r="C441" s="82"/>
      <c r="D441" s="82"/>
      <c r="E441" s="82"/>
      <c r="F441" s="82"/>
      <c r="G441" s="82"/>
      <c r="H441" s="83"/>
      <c r="I441" s="84"/>
      <c r="J441" s="85"/>
      <c r="K441" s="86"/>
      <c r="L441" s="53"/>
      <c r="M441" s="53"/>
      <c r="N441" s="55"/>
    </row>
    <row r="442" spans="1:14">
      <c r="A442" s="81"/>
      <c r="B442" s="82"/>
      <c r="C442" s="82"/>
      <c r="D442" s="82"/>
      <c r="E442" s="82"/>
      <c r="F442" s="82"/>
      <c r="G442" s="82"/>
      <c r="H442" s="83"/>
      <c r="I442" s="84"/>
      <c r="J442" s="85"/>
      <c r="K442" s="86"/>
      <c r="L442" s="53"/>
      <c r="M442" s="53"/>
      <c r="N442" s="55"/>
    </row>
    <row r="443" spans="1:14">
      <c r="A443" s="81"/>
      <c r="B443" s="82"/>
      <c r="C443" s="82"/>
      <c r="D443" s="82"/>
      <c r="E443" s="82"/>
      <c r="F443" s="82"/>
      <c r="G443" s="82"/>
      <c r="H443" s="83"/>
      <c r="I443" s="84"/>
      <c r="J443" s="85"/>
      <c r="K443" s="86"/>
      <c r="L443" s="53"/>
      <c r="M443" s="53"/>
      <c r="N443" s="55"/>
    </row>
    <row r="444" spans="1:14">
      <c r="A444" s="81"/>
      <c r="B444" s="82"/>
      <c r="C444" s="82"/>
      <c r="D444" s="82"/>
      <c r="E444" s="82"/>
      <c r="F444" s="82"/>
      <c r="G444" s="82"/>
      <c r="H444" s="83"/>
      <c r="I444" s="84"/>
      <c r="J444" s="85"/>
      <c r="K444" s="86"/>
      <c r="L444" s="53"/>
      <c r="M444" s="53"/>
      <c r="N444" s="55"/>
    </row>
    <row r="445" spans="1:14">
      <c r="A445" s="81"/>
      <c r="B445" s="82"/>
      <c r="C445" s="82"/>
      <c r="D445" s="82"/>
      <c r="E445" s="82"/>
      <c r="F445" s="82"/>
      <c r="G445" s="82"/>
      <c r="H445" s="83"/>
      <c r="I445" s="84"/>
      <c r="J445" s="85"/>
      <c r="K445" s="86"/>
      <c r="L445" s="53"/>
      <c r="M445" s="53"/>
      <c r="N445" s="55"/>
    </row>
    <row r="446" spans="1:14">
      <c r="A446" s="81"/>
      <c r="B446" s="82"/>
      <c r="C446" s="82"/>
      <c r="D446" s="82"/>
      <c r="E446" s="82"/>
      <c r="F446" s="82"/>
      <c r="G446" s="82"/>
      <c r="H446" s="83"/>
      <c r="I446" s="84"/>
      <c r="J446" s="85"/>
      <c r="K446" s="86"/>
      <c r="L446" s="53"/>
      <c r="M446" s="53"/>
      <c r="N446" s="55"/>
    </row>
    <row r="447" spans="1:14">
      <c r="A447" s="81"/>
      <c r="B447" s="82"/>
      <c r="C447" s="82"/>
      <c r="D447" s="82"/>
      <c r="E447" s="82"/>
      <c r="F447" s="82"/>
      <c r="G447" s="82"/>
      <c r="H447" s="83"/>
      <c r="I447" s="84"/>
      <c r="J447" s="85"/>
      <c r="K447" s="86"/>
      <c r="L447" s="53"/>
      <c r="M447" s="53"/>
      <c r="N447" s="55"/>
    </row>
    <row r="448" spans="1:14">
      <c r="A448" s="81"/>
      <c r="B448" s="82"/>
      <c r="C448" s="82"/>
      <c r="D448" s="82"/>
      <c r="E448" s="82"/>
      <c r="F448" s="82"/>
      <c r="G448" s="82"/>
      <c r="H448" s="83"/>
      <c r="I448" s="84"/>
      <c r="J448" s="85"/>
      <c r="K448" s="86"/>
      <c r="L448" s="53"/>
      <c r="M448" s="53"/>
      <c r="N448" s="55"/>
    </row>
    <row r="449" spans="1:14">
      <c r="A449" s="81"/>
      <c r="B449" s="82"/>
      <c r="C449" s="82"/>
      <c r="D449" s="82"/>
      <c r="E449" s="82"/>
      <c r="F449" s="82"/>
      <c r="G449" s="82"/>
      <c r="H449" s="83"/>
      <c r="I449" s="84"/>
      <c r="J449" s="85"/>
      <c r="K449" s="86"/>
      <c r="L449" s="53"/>
      <c r="M449" s="53"/>
      <c r="N449" s="55"/>
    </row>
    <row r="450" spans="1:14">
      <c r="A450" s="81"/>
      <c r="B450" s="82"/>
      <c r="C450" s="82"/>
      <c r="D450" s="82"/>
      <c r="E450" s="82"/>
      <c r="F450" s="82"/>
      <c r="G450" s="82"/>
      <c r="H450" s="83"/>
      <c r="I450" s="84"/>
      <c r="J450" s="85"/>
      <c r="K450" s="86"/>
      <c r="L450" s="53"/>
      <c r="M450" s="53"/>
      <c r="N450" s="55"/>
    </row>
    <row r="451" spans="1:14">
      <c r="A451" s="81"/>
      <c r="B451" s="82"/>
      <c r="C451" s="82"/>
      <c r="D451" s="82"/>
      <c r="E451" s="82"/>
      <c r="F451" s="82"/>
      <c r="G451" s="82"/>
      <c r="H451" s="83"/>
      <c r="I451" s="84"/>
      <c r="J451" s="85"/>
      <c r="K451" s="86"/>
      <c r="L451" s="53"/>
      <c r="M451" s="53"/>
      <c r="N451" s="55"/>
    </row>
    <row r="452" spans="1:14">
      <c r="A452" s="81"/>
      <c r="B452" s="82"/>
      <c r="C452" s="82"/>
      <c r="D452" s="82"/>
      <c r="E452" s="82"/>
      <c r="F452" s="82"/>
      <c r="G452" s="82"/>
      <c r="H452" s="83"/>
      <c r="I452" s="84"/>
      <c r="J452" s="85"/>
      <c r="K452" s="86"/>
      <c r="L452" s="53"/>
      <c r="M452" s="53"/>
      <c r="N452" s="55"/>
    </row>
    <row r="453" spans="1:14">
      <c r="A453" s="81"/>
      <c r="B453" s="82"/>
      <c r="C453" s="82"/>
      <c r="D453" s="82"/>
      <c r="E453" s="82"/>
      <c r="F453" s="82"/>
      <c r="G453" s="82"/>
      <c r="H453" s="83"/>
      <c r="I453" s="84"/>
      <c r="J453" s="85"/>
      <c r="K453" s="86"/>
      <c r="L453" s="53"/>
      <c r="M453" s="53"/>
      <c r="N453" s="55"/>
    </row>
    <row r="454" spans="1:14">
      <c r="A454" s="81"/>
      <c r="B454" s="82"/>
      <c r="C454" s="82"/>
      <c r="D454" s="82"/>
      <c r="E454" s="82"/>
      <c r="F454" s="82"/>
      <c r="G454" s="82"/>
      <c r="H454" s="83"/>
      <c r="I454" s="84"/>
      <c r="J454" s="85"/>
      <c r="K454" s="86"/>
      <c r="L454" s="53"/>
      <c r="M454" s="53"/>
      <c r="N454" s="55"/>
    </row>
    <row r="455" spans="1:14">
      <c r="A455" s="81"/>
      <c r="B455" s="82"/>
      <c r="C455" s="82"/>
      <c r="D455" s="82"/>
      <c r="E455" s="82"/>
      <c r="F455" s="82"/>
      <c r="G455" s="82"/>
      <c r="H455" s="83"/>
      <c r="I455" s="84"/>
      <c r="J455" s="85"/>
      <c r="K455" s="86"/>
      <c r="L455" s="53"/>
      <c r="M455" s="53"/>
      <c r="N455" s="55"/>
    </row>
    <row r="456" spans="1:14">
      <c r="A456" s="81"/>
      <c r="B456" s="82"/>
      <c r="C456" s="82"/>
      <c r="D456" s="82"/>
      <c r="E456" s="82"/>
      <c r="F456" s="82"/>
      <c r="G456" s="82"/>
      <c r="H456" s="83"/>
      <c r="I456" s="84"/>
      <c r="J456" s="85"/>
      <c r="K456" s="86"/>
      <c r="L456" s="53"/>
      <c r="M456" s="53"/>
      <c r="N456" s="55"/>
    </row>
    <row r="457" spans="1:14">
      <c r="A457" s="81"/>
      <c r="B457" s="82"/>
      <c r="C457" s="82"/>
      <c r="D457" s="82"/>
      <c r="E457" s="82"/>
      <c r="F457" s="82"/>
      <c r="G457" s="82"/>
      <c r="H457" s="83"/>
      <c r="I457" s="84"/>
      <c r="J457" s="85"/>
      <c r="K457" s="86"/>
      <c r="L457" s="53"/>
      <c r="M457" s="53"/>
      <c r="N457" s="55"/>
    </row>
    <row r="458" spans="1:14">
      <c r="A458" s="81"/>
      <c r="B458" s="82"/>
      <c r="C458" s="82"/>
      <c r="D458" s="82"/>
      <c r="E458" s="82"/>
      <c r="F458" s="82"/>
      <c r="G458" s="82"/>
      <c r="H458" s="83"/>
      <c r="I458" s="84"/>
      <c r="J458" s="85"/>
      <c r="K458" s="86"/>
      <c r="L458" s="53"/>
      <c r="M458" s="53"/>
      <c r="N458" s="55"/>
    </row>
    <row r="459" spans="1:14">
      <c r="A459" s="81"/>
      <c r="B459" s="82"/>
      <c r="C459" s="82"/>
      <c r="D459" s="82"/>
      <c r="E459" s="82"/>
      <c r="F459" s="82"/>
      <c r="G459" s="82"/>
      <c r="H459" s="83"/>
      <c r="I459" s="84"/>
      <c r="J459" s="85"/>
      <c r="K459" s="86"/>
      <c r="L459" s="53"/>
      <c r="M459" s="53"/>
      <c r="N459" s="55"/>
    </row>
    <row r="460" spans="1:14">
      <c r="A460" s="81"/>
      <c r="B460" s="82"/>
      <c r="C460" s="82"/>
      <c r="D460" s="82"/>
      <c r="E460" s="82"/>
      <c r="F460" s="82"/>
      <c r="G460" s="82"/>
      <c r="H460" s="83"/>
      <c r="I460" s="84"/>
      <c r="J460" s="85"/>
      <c r="K460" s="86"/>
      <c r="L460" s="53"/>
      <c r="M460" s="53"/>
      <c r="N460" s="55"/>
    </row>
    <row r="461" spans="1:14">
      <c r="A461" s="81"/>
      <c r="B461" s="82"/>
      <c r="C461" s="82"/>
      <c r="D461" s="82"/>
      <c r="E461" s="82"/>
      <c r="F461" s="82"/>
      <c r="G461" s="82"/>
      <c r="H461" s="83"/>
      <c r="I461" s="84"/>
      <c r="J461" s="85"/>
      <c r="K461" s="86"/>
      <c r="L461" s="53"/>
      <c r="M461" s="53"/>
      <c r="N461" s="55"/>
    </row>
    <row r="462" spans="1:14">
      <c r="A462" s="81"/>
      <c r="B462" s="82"/>
      <c r="C462" s="82"/>
      <c r="D462" s="82"/>
      <c r="E462" s="82"/>
      <c r="F462" s="82"/>
      <c r="G462" s="82"/>
      <c r="H462" s="83"/>
      <c r="I462" s="84"/>
      <c r="J462" s="85"/>
      <c r="K462" s="86"/>
      <c r="L462" s="53"/>
      <c r="M462" s="53"/>
      <c r="N462" s="55"/>
    </row>
    <row r="463" spans="1:14">
      <c r="A463" s="81"/>
      <c r="B463" s="82"/>
      <c r="C463" s="82"/>
      <c r="D463" s="82"/>
      <c r="E463" s="82"/>
      <c r="F463" s="82"/>
      <c r="G463" s="82"/>
      <c r="H463" s="83"/>
      <c r="I463" s="84"/>
      <c r="J463" s="85"/>
      <c r="K463" s="86"/>
      <c r="L463" s="53"/>
      <c r="M463" s="53"/>
      <c r="N463" s="55"/>
    </row>
    <row r="464" spans="1:14">
      <c r="A464" s="81"/>
      <c r="B464" s="82"/>
      <c r="C464" s="82"/>
      <c r="D464" s="82"/>
      <c r="E464" s="82"/>
      <c r="F464" s="82"/>
      <c r="G464" s="82"/>
      <c r="H464" s="83"/>
      <c r="I464" s="84"/>
      <c r="J464" s="85"/>
      <c r="K464" s="86"/>
      <c r="L464" s="53"/>
      <c r="M464" s="53"/>
      <c r="N464" s="55"/>
    </row>
    <row r="465" spans="1:14">
      <c r="A465" s="81"/>
      <c r="B465" s="82"/>
      <c r="C465" s="82"/>
      <c r="D465" s="82"/>
      <c r="E465" s="82"/>
      <c r="F465" s="82"/>
      <c r="G465" s="82"/>
      <c r="H465" s="83"/>
      <c r="I465" s="84"/>
      <c r="J465" s="85"/>
      <c r="K465" s="86"/>
      <c r="L465" s="53"/>
      <c r="M465" s="53"/>
      <c r="N465" s="55"/>
    </row>
    <row r="466" spans="1:14">
      <c r="A466" s="81"/>
      <c r="B466" s="82"/>
      <c r="C466" s="82"/>
      <c r="D466" s="82"/>
      <c r="E466" s="82"/>
      <c r="F466" s="82"/>
      <c r="G466" s="82"/>
      <c r="H466" s="83"/>
      <c r="I466" s="84"/>
      <c r="J466" s="85"/>
      <c r="K466" s="86"/>
      <c r="L466" s="53"/>
      <c r="M466" s="53"/>
      <c r="N466" s="55"/>
    </row>
    <row r="467" spans="1:14">
      <c r="A467" s="81"/>
      <c r="B467" s="82"/>
      <c r="C467" s="82"/>
      <c r="D467" s="82"/>
      <c r="E467" s="82"/>
      <c r="F467" s="82"/>
      <c r="G467" s="82"/>
      <c r="H467" s="83"/>
      <c r="I467" s="84"/>
      <c r="J467" s="85"/>
      <c r="K467" s="86"/>
      <c r="L467" s="53"/>
      <c r="M467" s="53"/>
      <c r="N467" s="55"/>
    </row>
    <row r="468" spans="1:14">
      <c r="A468" s="81"/>
      <c r="B468" s="82"/>
      <c r="C468" s="82"/>
      <c r="D468" s="82"/>
      <c r="E468" s="82"/>
      <c r="F468" s="82"/>
      <c r="G468" s="82"/>
      <c r="H468" s="83"/>
      <c r="I468" s="84"/>
      <c r="J468" s="85"/>
      <c r="K468" s="86"/>
      <c r="L468" s="53"/>
      <c r="M468" s="53"/>
      <c r="N468" s="55"/>
    </row>
    <row r="469" spans="1:14">
      <c r="A469" s="81"/>
      <c r="B469" s="82"/>
      <c r="C469" s="82"/>
      <c r="D469" s="82"/>
      <c r="E469" s="82"/>
      <c r="F469" s="82"/>
      <c r="G469" s="82"/>
      <c r="H469" s="83"/>
      <c r="I469" s="84"/>
      <c r="J469" s="85"/>
      <c r="K469" s="86"/>
      <c r="L469" s="53"/>
      <c r="M469" s="53"/>
      <c r="N469" s="55"/>
    </row>
    <row r="470" spans="1:14">
      <c r="A470" s="81"/>
      <c r="B470" s="82"/>
      <c r="C470" s="82"/>
      <c r="D470" s="82"/>
      <c r="E470" s="82"/>
      <c r="F470" s="82"/>
      <c r="G470" s="82"/>
      <c r="H470" s="83"/>
      <c r="I470" s="84"/>
      <c r="J470" s="85"/>
      <c r="K470" s="86"/>
      <c r="L470" s="53"/>
      <c r="M470" s="53"/>
      <c r="N470" s="55"/>
    </row>
    <row r="471" spans="1:14">
      <c r="A471" s="81"/>
      <c r="B471" s="82"/>
      <c r="C471" s="82"/>
      <c r="D471" s="82"/>
      <c r="E471" s="82"/>
      <c r="F471" s="82"/>
      <c r="G471" s="82"/>
      <c r="H471" s="83"/>
      <c r="I471" s="84"/>
      <c r="J471" s="85"/>
      <c r="K471" s="86"/>
      <c r="L471" s="53"/>
      <c r="M471" s="53"/>
      <c r="N471" s="55"/>
    </row>
    <row r="472" spans="1:14">
      <c r="A472" s="81"/>
      <c r="B472" s="82"/>
      <c r="C472" s="82"/>
      <c r="D472" s="82"/>
      <c r="E472" s="82"/>
      <c r="F472" s="82"/>
      <c r="G472" s="82"/>
      <c r="H472" s="83"/>
      <c r="I472" s="84"/>
      <c r="J472" s="85"/>
      <c r="K472" s="86"/>
      <c r="L472" s="53"/>
      <c r="M472" s="53"/>
      <c r="N472" s="55"/>
    </row>
    <row r="473" spans="1:14">
      <c r="A473" s="81"/>
      <c r="B473" s="82"/>
      <c r="C473" s="82"/>
      <c r="D473" s="82"/>
      <c r="E473" s="82"/>
      <c r="F473" s="82"/>
      <c r="G473" s="82"/>
      <c r="H473" s="83"/>
      <c r="I473" s="84"/>
      <c r="J473" s="85"/>
      <c r="K473" s="86"/>
      <c r="L473" s="53"/>
      <c r="M473" s="53"/>
      <c r="N473" s="55"/>
    </row>
    <row r="474" spans="1:14">
      <c r="A474" s="81"/>
      <c r="B474" s="82"/>
      <c r="C474" s="82"/>
      <c r="D474" s="82"/>
      <c r="E474" s="82"/>
      <c r="F474" s="82"/>
      <c r="G474" s="82"/>
      <c r="H474" s="83"/>
      <c r="I474" s="84"/>
      <c r="J474" s="85"/>
      <c r="K474" s="86"/>
      <c r="L474" s="53"/>
      <c r="M474" s="53"/>
      <c r="N474" s="55"/>
    </row>
    <row r="475" spans="1:14">
      <c r="A475" s="81"/>
      <c r="B475" s="82"/>
      <c r="C475" s="82"/>
      <c r="D475" s="82"/>
      <c r="E475" s="82"/>
      <c r="F475" s="82"/>
      <c r="G475" s="82"/>
      <c r="H475" s="83"/>
      <c r="I475" s="84"/>
      <c r="J475" s="85"/>
      <c r="K475" s="86"/>
      <c r="L475" s="53"/>
      <c r="M475" s="53"/>
      <c r="N475" s="55"/>
    </row>
    <row r="476" spans="1:14">
      <c r="A476" s="81"/>
      <c r="B476" s="82"/>
      <c r="C476" s="82"/>
      <c r="D476" s="82"/>
      <c r="E476" s="82"/>
      <c r="F476" s="82"/>
      <c r="G476" s="82"/>
      <c r="H476" s="83"/>
      <c r="I476" s="84"/>
      <c r="J476" s="85"/>
      <c r="K476" s="86"/>
      <c r="L476" s="53"/>
      <c r="M476" s="53"/>
      <c r="N476" s="55"/>
    </row>
    <row r="477" spans="1:14">
      <c r="A477" s="81"/>
      <c r="B477" s="82"/>
      <c r="C477" s="82"/>
      <c r="D477" s="82"/>
      <c r="E477" s="82"/>
      <c r="F477" s="82"/>
      <c r="G477" s="82"/>
      <c r="H477" s="83"/>
      <c r="I477" s="84"/>
      <c r="J477" s="85"/>
      <c r="K477" s="86"/>
      <c r="L477" s="53"/>
      <c r="M477" s="53"/>
      <c r="N477" s="55"/>
    </row>
    <row r="478" spans="1:14">
      <c r="A478" s="81"/>
      <c r="B478" s="82"/>
      <c r="C478" s="82"/>
      <c r="D478" s="82"/>
      <c r="E478" s="82"/>
      <c r="F478" s="82"/>
      <c r="G478" s="82"/>
      <c r="H478" s="83"/>
      <c r="I478" s="84"/>
      <c r="J478" s="85"/>
      <c r="K478" s="86"/>
      <c r="L478" s="53"/>
      <c r="M478" s="53"/>
      <c r="N478" s="55"/>
    </row>
    <row r="479" spans="1:14">
      <c r="A479" s="81"/>
      <c r="B479" s="82"/>
      <c r="C479" s="82"/>
      <c r="D479" s="82"/>
      <c r="E479" s="82"/>
      <c r="F479" s="82"/>
      <c r="G479" s="82"/>
      <c r="H479" s="83"/>
      <c r="I479" s="84"/>
      <c r="J479" s="85"/>
      <c r="K479" s="86"/>
      <c r="L479" s="53"/>
      <c r="M479" s="53"/>
      <c r="N479" s="55"/>
    </row>
    <row r="480" spans="1:14">
      <c r="A480" s="81"/>
      <c r="B480" s="82"/>
      <c r="C480" s="82"/>
      <c r="D480" s="82"/>
      <c r="E480" s="82"/>
      <c r="F480" s="82"/>
      <c r="G480" s="82"/>
      <c r="H480" s="83"/>
      <c r="I480" s="84"/>
      <c r="J480" s="85"/>
      <c r="K480" s="86"/>
      <c r="L480" s="53"/>
      <c r="M480" s="53"/>
      <c r="N480" s="55"/>
    </row>
    <row r="481" spans="1:14">
      <c r="A481" s="81"/>
      <c r="B481" s="82"/>
      <c r="C481" s="82"/>
      <c r="D481" s="82"/>
      <c r="E481" s="82"/>
      <c r="F481" s="82"/>
      <c r="G481" s="82"/>
      <c r="H481" s="83"/>
      <c r="I481" s="84"/>
      <c r="J481" s="85"/>
      <c r="K481" s="86"/>
      <c r="L481" s="53"/>
      <c r="M481" s="53"/>
      <c r="N481" s="55"/>
    </row>
    <row r="482" spans="1:14">
      <c r="A482" s="81"/>
      <c r="B482" s="82"/>
      <c r="C482" s="82"/>
      <c r="D482" s="82"/>
      <c r="E482" s="82"/>
      <c r="F482" s="82"/>
      <c r="G482" s="82"/>
      <c r="H482" s="83"/>
      <c r="I482" s="84"/>
      <c r="J482" s="85"/>
      <c r="K482" s="86"/>
      <c r="L482" s="53"/>
      <c r="M482" s="53"/>
      <c r="N482" s="55"/>
    </row>
    <row r="483" spans="1:14">
      <c r="A483" s="81"/>
      <c r="B483" s="82"/>
      <c r="C483" s="82"/>
      <c r="D483" s="82"/>
      <c r="E483" s="82"/>
      <c r="F483" s="82"/>
      <c r="G483" s="82"/>
      <c r="H483" s="83"/>
      <c r="I483" s="84"/>
      <c r="J483" s="85"/>
      <c r="K483" s="86"/>
      <c r="L483" s="53"/>
      <c r="M483" s="53"/>
      <c r="N483" s="55"/>
    </row>
    <row r="484" spans="1:14">
      <c r="A484" s="81"/>
      <c r="B484" s="82"/>
      <c r="C484" s="82"/>
      <c r="D484" s="82"/>
      <c r="E484" s="82"/>
      <c r="F484" s="82"/>
      <c r="G484" s="82"/>
      <c r="H484" s="83"/>
      <c r="I484" s="84"/>
      <c r="J484" s="85"/>
      <c r="K484" s="86"/>
      <c r="L484" s="53"/>
      <c r="M484" s="53"/>
      <c r="N484" s="55"/>
    </row>
    <row r="485" spans="1:14">
      <c r="A485" s="81"/>
      <c r="B485" s="82"/>
      <c r="C485" s="82"/>
      <c r="D485" s="82"/>
      <c r="E485" s="82"/>
      <c r="F485" s="82"/>
      <c r="G485" s="82"/>
      <c r="H485" s="83"/>
      <c r="I485" s="84"/>
      <c r="J485" s="85"/>
      <c r="K485" s="86"/>
      <c r="L485" s="53"/>
      <c r="M485" s="53"/>
      <c r="N485" s="55"/>
    </row>
    <row r="486" spans="1:14">
      <c r="A486" s="81"/>
      <c r="B486" s="82"/>
      <c r="C486" s="82"/>
      <c r="D486" s="82"/>
      <c r="E486" s="82"/>
      <c r="F486" s="82"/>
      <c r="G486" s="82"/>
      <c r="H486" s="83"/>
      <c r="I486" s="84"/>
      <c r="J486" s="85"/>
      <c r="K486" s="86"/>
      <c r="L486" s="53"/>
      <c r="M486" s="53"/>
      <c r="N486" s="55"/>
    </row>
    <row r="487" spans="1:14">
      <c r="A487" s="81"/>
      <c r="B487" s="82"/>
      <c r="C487" s="82"/>
      <c r="D487" s="82"/>
      <c r="E487" s="82"/>
      <c r="F487" s="82"/>
      <c r="G487" s="82"/>
      <c r="H487" s="83"/>
      <c r="I487" s="84"/>
      <c r="J487" s="85"/>
      <c r="K487" s="86"/>
      <c r="L487" s="53"/>
      <c r="M487" s="53"/>
      <c r="N487" s="55"/>
    </row>
    <row r="488" spans="1:14">
      <c r="A488" s="81"/>
      <c r="B488" s="82"/>
      <c r="C488" s="82"/>
      <c r="D488" s="82"/>
      <c r="E488" s="82"/>
      <c r="F488" s="82"/>
      <c r="G488" s="82"/>
      <c r="H488" s="83"/>
      <c r="I488" s="84"/>
      <c r="J488" s="85"/>
      <c r="K488" s="86"/>
      <c r="L488" s="53"/>
      <c r="M488" s="53"/>
      <c r="N488" s="55"/>
    </row>
    <row r="489" spans="1:14">
      <c r="A489" s="81"/>
      <c r="B489" s="82"/>
      <c r="C489" s="82"/>
      <c r="D489" s="82"/>
      <c r="E489" s="82"/>
      <c r="F489" s="82"/>
      <c r="G489" s="82"/>
      <c r="H489" s="83"/>
      <c r="I489" s="84"/>
      <c r="J489" s="85"/>
      <c r="K489" s="86"/>
      <c r="L489" s="53"/>
      <c r="M489" s="53"/>
      <c r="N489" s="55"/>
    </row>
    <row r="490" spans="1:14">
      <c r="A490" s="81"/>
      <c r="B490" s="82"/>
      <c r="C490" s="82"/>
      <c r="D490" s="82"/>
      <c r="E490" s="82"/>
      <c r="F490" s="82"/>
      <c r="G490" s="82"/>
      <c r="H490" s="83"/>
      <c r="I490" s="84"/>
      <c r="J490" s="85"/>
      <c r="K490" s="86"/>
      <c r="L490" s="53"/>
      <c r="M490" s="53"/>
      <c r="N490" s="55"/>
    </row>
    <row r="491" spans="1:14">
      <c r="A491" s="81"/>
      <c r="B491" s="82"/>
      <c r="C491" s="82"/>
      <c r="D491" s="82"/>
      <c r="E491" s="82"/>
      <c r="F491" s="82"/>
      <c r="G491" s="82"/>
      <c r="H491" s="83"/>
      <c r="I491" s="84"/>
      <c r="J491" s="85"/>
      <c r="K491" s="86"/>
      <c r="L491" s="53"/>
      <c r="M491" s="53"/>
      <c r="N491" s="55"/>
    </row>
    <row r="492" spans="1:14">
      <c r="A492" s="81"/>
      <c r="B492" s="82"/>
      <c r="C492" s="82"/>
      <c r="D492" s="82"/>
      <c r="E492" s="82"/>
      <c r="F492" s="82"/>
      <c r="G492" s="82"/>
      <c r="H492" s="83"/>
      <c r="I492" s="84"/>
      <c r="J492" s="85"/>
      <c r="K492" s="86"/>
      <c r="L492" s="53"/>
      <c r="M492" s="53"/>
      <c r="N492" s="55"/>
    </row>
    <row r="493" spans="1:14">
      <c r="A493" s="81"/>
      <c r="B493" s="82"/>
      <c r="C493" s="82"/>
      <c r="D493" s="82"/>
      <c r="E493" s="82"/>
      <c r="F493" s="82"/>
      <c r="G493" s="82"/>
      <c r="H493" s="83"/>
      <c r="I493" s="84"/>
      <c r="J493" s="85"/>
      <c r="K493" s="86"/>
      <c r="L493" s="53"/>
      <c r="M493" s="53"/>
      <c r="N493" s="55"/>
    </row>
    <row r="494" spans="1:14">
      <c r="A494" s="81"/>
      <c r="B494" s="82"/>
      <c r="C494" s="82"/>
      <c r="D494" s="82"/>
      <c r="E494" s="82"/>
      <c r="F494" s="82"/>
      <c r="G494" s="82"/>
      <c r="H494" s="83"/>
      <c r="I494" s="84"/>
      <c r="J494" s="85"/>
      <c r="K494" s="86"/>
      <c r="L494" s="53"/>
      <c r="M494" s="53"/>
      <c r="N494" s="55"/>
    </row>
    <row r="495" spans="1:14">
      <c r="A495" s="81"/>
      <c r="B495" s="82"/>
      <c r="C495" s="82"/>
      <c r="D495" s="82"/>
      <c r="E495" s="82"/>
      <c r="F495" s="82"/>
      <c r="G495" s="82"/>
      <c r="H495" s="83"/>
      <c r="I495" s="84"/>
      <c r="J495" s="85"/>
      <c r="K495" s="86"/>
      <c r="L495" s="53"/>
      <c r="M495" s="53"/>
      <c r="N495" s="55"/>
    </row>
    <row r="496" spans="1:14">
      <c r="A496" s="81"/>
      <c r="B496" s="82"/>
      <c r="C496" s="82"/>
      <c r="D496" s="82"/>
      <c r="E496" s="82"/>
      <c r="F496" s="82"/>
      <c r="G496" s="82"/>
      <c r="H496" s="83"/>
      <c r="I496" s="84"/>
      <c r="J496" s="85"/>
      <c r="K496" s="86"/>
      <c r="L496" s="53"/>
      <c r="M496" s="53"/>
      <c r="N496" s="55"/>
    </row>
    <row r="497" spans="1:14">
      <c r="A497" s="81"/>
      <c r="B497" s="82"/>
      <c r="C497" s="82"/>
      <c r="D497" s="82"/>
      <c r="E497" s="82"/>
      <c r="F497" s="82"/>
      <c r="G497" s="82"/>
      <c r="H497" s="83"/>
      <c r="I497" s="84"/>
      <c r="J497" s="85"/>
      <c r="K497" s="86"/>
      <c r="L497" s="53"/>
      <c r="M497" s="53"/>
      <c r="N497" s="55"/>
    </row>
    <row r="498" spans="1:14">
      <c r="A498" s="81"/>
      <c r="B498" s="82"/>
      <c r="C498" s="82"/>
      <c r="D498" s="82"/>
      <c r="E498" s="82"/>
      <c r="F498" s="82"/>
      <c r="G498" s="82"/>
      <c r="H498" s="83"/>
      <c r="I498" s="84"/>
      <c r="J498" s="85"/>
      <c r="K498" s="86"/>
      <c r="L498" s="53"/>
      <c r="M498" s="53"/>
      <c r="N498" s="55"/>
    </row>
    <row r="499" spans="1:14">
      <c r="A499" s="81"/>
      <c r="B499" s="82"/>
      <c r="C499" s="82"/>
      <c r="D499" s="82"/>
      <c r="E499" s="82"/>
      <c r="F499" s="82"/>
      <c r="G499" s="82"/>
      <c r="H499" s="83"/>
      <c r="I499" s="84"/>
      <c r="J499" s="85"/>
      <c r="K499" s="86"/>
      <c r="L499" s="53"/>
      <c r="M499" s="53"/>
      <c r="N499" s="55"/>
    </row>
    <row r="500" spans="1:14">
      <c r="A500" s="81"/>
      <c r="B500" s="82"/>
      <c r="C500" s="82"/>
      <c r="D500" s="82"/>
      <c r="E500" s="82"/>
      <c r="F500" s="82"/>
      <c r="G500" s="82"/>
      <c r="H500" s="83"/>
      <c r="I500" s="84"/>
      <c r="J500" s="85"/>
      <c r="K500" s="86"/>
      <c r="L500" s="53"/>
      <c r="M500" s="53"/>
      <c r="N500" s="55"/>
    </row>
    <row r="501" spans="1:14">
      <c r="A501" s="81"/>
      <c r="B501" s="82"/>
      <c r="C501" s="82"/>
      <c r="D501" s="82"/>
      <c r="E501" s="82"/>
      <c r="F501" s="82"/>
      <c r="G501" s="82"/>
      <c r="H501" s="83"/>
      <c r="I501" s="84"/>
      <c r="J501" s="85"/>
      <c r="K501" s="86"/>
      <c r="L501" s="53"/>
      <c r="M501" s="53"/>
      <c r="N501" s="55"/>
    </row>
    <row r="502" spans="1:14" ht="15.75" thickBot="1">
      <c r="A502" s="171" t="s">
        <v>102</v>
      </c>
      <c r="B502" s="172"/>
      <c r="C502" s="87"/>
      <c r="D502" s="87"/>
      <c r="E502" s="87"/>
      <c r="F502" s="87"/>
      <c r="G502" s="87"/>
      <c r="H502" s="88">
        <f>SUM(H28:H501)</f>
        <v>0</v>
      </c>
      <c r="I502" s="88">
        <f>SUM(I28:I501)</f>
        <v>0</v>
      </c>
      <c r="J502" s="87"/>
      <c r="K502" s="89">
        <f>SUM(K28:K501)</f>
        <v>0</v>
      </c>
      <c r="L502" s="90"/>
      <c r="M502" s="90"/>
      <c r="N502" s="91"/>
    </row>
    <row r="503" spans="1:14" ht="15.75" thickTop="1">
      <c r="A503" s="92"/>
      <c r="B503" s="93"/>
      <c r="C503" s="94"/>
      <c r="D503" s="95"/>
      <c r="E503" s="95"/>
      <c r="F503" s="95"/>
      <c r="G503" s="94"/>
      <c r="H503" s="95"/>
      <c r="I503" s="95"/>
      <c r="J503" s="94"/>
      <c r="K503" s="94"/>
      <c r="L503" s="53"/>
      <c r="M503" s="53"/>
      <c r="N503" s="55"/>
    </row>
    <row r="504" spans="1:14">
      <c r="A504" s="96"/>
      <c r="B504" s="97" t="s">
        <v>103</v>
      </c>
      <c r="C504" s="98"/>
      <c r="D504" s="98"/>
      <c r="E504" s="98"/>
      <c r="F504" s="98"/>
      <c r="G504" s="98"/>
      <c r="H504" s="95" t="s">
        <v>104</v>
      </c>
      <c r="I504" s="98" t="s">
        <v>54</v>
      </c>
      <c r="J504" s="95" t="s">
        <v>105</v>
      </c>
      <c r="K504" s="95" t="s">
        <v>106</v>
      </c>
      <c r="L504" s="53"/>
      <c r="M504" s="53"/>
      <c r="N504" s="55"/>
    </row>
    <row r="505" spans="1:14">
      <c r="A505" s="92"/>
      <c r="B505" s="99"/>
      <c r="C505" s="99"/>
      <c r="D505" s="99"/>
      <c r="E505" s="99"/>
      <c r="F505" s="99"/>
      <c r="G505" s="99"/>
      <c r="H505" s="86"/>
      <c r="I505" s="84"/>
      <c r="J505" s="100" t="s">
        <v>107</v>
      </c>
      <c r="K505" s="101">
        <f>H505*I505</f>
        <v>0</v>
      </c>
      <c r="L505" s="53"/>
      <c r="M505" s="53"/>
      <c r="N505" s="55"/>
    </row>
    <row r="506" spans="1:14">
      <c r="A506" s="92"/>
      <c r="B506" s="99"/>
      <c r="C506" s="99"/>
      <c r="D506" s="99"/>
      <c r="E506" s="99"/>
      <c r="F506" s="99"/>
      <c r="G506" s="99"/>
      <c r="H506" s="86"/>
      <c r="I506" s="84"/>
      <c r="J506" s="102" t="s">
        <v>107</v>
      </c>
      <c r="K506" s="101">
        <f>H506*I506</f>
        <v>0</v>
      </c>
      <c r="L506" s="53"/>
      <c r="M506" s="53"/>
      <c r="N506" s="55"/>
    </row>
    <row r="507" spans="1:14" ht="15.75" thickBot="1">
      <c r="A507" s="92"/>
      <c r="B507" s="103"/>
      <c r="C507" s="103"/>
      <c r="D507" s="103"/>
      <c r="E507" s="103"/>
      <c r="F507" s="103"/>
      <c r="G507" s="103"/>
      <c r="H507" s="104"/>
      <c r="I507" s="105"/>
      <c r="J507" s="106"/>
      <c r="K507" s="107"/>
      <c r="L507" s="53"/>
      <c r="M507" s="53"/>
      <c r="N507" s="55"/>
    </row>
    <row r="508" spans="1:14" ht="15.75" thickBot="1">
      <c r="A508" s="108" t="s">
        <v>108</v>
      </c>
      <c r="B508" s="109"/>
      <c r="C508" s="109"/>
      <c r="D508" s="109"/>
      <c r="E508" s="109"/>
      <c r="F508" s="109"/>
      <c r="G508" s="109"/>
      <c r="H508" s="109"/>
      <c r="I508" s="109"/>
      <c r="J508" s="109"/>
      <c r="K508" s="110">
        <f>K502+K505+K506</f>
        <v>0</v>
      </c>
      <c r="L508" s="111"/>
      <c r="M508" s="111"/>
      <c r="N508" s="112"/>
    </row>
    <row r="509" spans="1:14">
      <c r="A509" s="77"/>
      <c r="B509" s="53"/>
      <c r="C509" s="53"/>
      <c r="D509" s="61"/>
      <c r="E509" s="61"/>
      <c r="F509" s="61"/>
      <c r="G509" s="53"/>
      <c r="H509" s="61"/>
      <c r="I509" s="61"/>
      <c r="J509" s="53"/>
      <c r="K509" s="53"/>
      <c r="L509" s="53"/>
      <c r="M509" s="53"/>
      <c r="N509" s="55"/>
    </row>
    <row r="510" spans="1:14" ht="15" customHeight="1">
      <c r="A510" s="161" t="s">
        <v>109</v>
      </c>
      <c r="B510" s="162"/>
      <c r="C510" s="162"/>
      <c r="D510" s="162"/>
      <c r="E510" s="162"/>
      <c r="F510" s="162"/>
      <c r="G510" s="162"/>
      <c r="H510" s="162"/>
      <c r="I510" s="162"/>
      <c r="J510" s="162"/>
      <c r="K510" s="162"/>
      <c r="L510" s="162"/>
      <c r="M510" s="162"/>
      <c r="N510" s="163"/>
    </row>
    <row r="511" spans="1:14" ht="15" customHeight="1">
      <c r="A511" s="164" t="s">
        <v>110</v>
      </c>
      <c r="B511" s="165"/>
      <c r="C511" s="165"/>
      <c r="D511" s="165"/>
      <c r="E511" s="165"/>
      <c r="F511" s="165"/>
      <c r="G511" s="165"/>
      <c r="H511" s="165"/>
      <c r="I511" s="165"/>
      <c r="J511" s="165"/>
      <c r="K511" s="165"/>
      <c r="L511" s="165"/>
      <c r="M511" s="165"/>
      <c r="N511" s="166"/>
    </row>
    <row r="512" spans="1:14">
      <c r="A512" s="77"/>
      <c r="B512" s="53"/>
      <c r="C512" s="53"/>
      <c r="D512" s="61"/>
      <c r="E512" s="61"/>
      <c r="F512" s="61"/>
      <c r="G512" s="53"/>
      <c r="H512" s="61"/>
      <c r="I512" s="61"/>
      <c r="J512" s="53"/>
      <c r="K512" s="53"/>
      <c r="L512" s="53"/>
      <c r="M512" s="53"/>
      <c r="N512" s="55"/>
    </row>
    <row r="513" spans="1:14">
      <c r="A513" s="77"/>
      <c r="B513" s="53"/>
      <c r="C513" s="53"/>
      <c r="D513" s="61"/>
      <c r="E513" s="61"/>
      <c r="F513" s="61"/>
      <c r="G513" s="53"/>
      <c r="H513" s="61"/>
      <c r="I513" s="61"/>
      <c r="J513" s="53"/>
      <c r="K513" s="53"/>
      <c r="L513" s="53"/>
      <c r="M513" s="53"/>
      <c r="N513" s="55"/>
    </row>
    <row r="514" spans="1:14">
      <c r="A514" s="77"/>
      <c r="B514" s="53"/>
      <c r="C514" s="53"/>
      <c r="D514" s="61"/>
      <c r="E514" s="61"/>
      <c r="F514" s="61"/>
      <c r="G514" s="53"/>
      <c r="H514" s="61"/>
      <c r="I514" s="61"/>
      <c r="J514" s="53"/>
      <c r="K514" s="53"/>
      <c r="L514" s="53"/>
      <c r="M514" s="53"/>
      <c r="N514" s="55"/>
    </row>
    <row r="515" spans="1:14">
      <c r="A515" s="77"/>
      <c r="B515" s="53"/>
      <c r="C515" s="53"/>
      <c r="D515" s="61"/>
      <c r="E515" s="61"/>
      <c r="F515" s="61"/>
      <c r="G515" s="53"/>
      <c r="H515" s="61"/>
      <c r="I515" s="61"/>
      <c r="J515" s="53"/>
      <c r="K515" s="53"/>
      <c r="L515" s="53"/>
      <c r="M515" s="53"/>
      <c r="N515" s="55"/>
    </row>
    <row r="516" spans="1:14">
      <c r="A516" s="77"/>
      <c r="B516" s="53"/>
      <c r="C516" s="53"/>
      <c r="D516" s="61"/>
      <c r="E516" s="61"/>
      <c r="F516" s="61"/>
      <c r="G516" s="53"/>
      <c r="H516" s="61"/>
      <c r="I516" s="61"/>
      <c r="J516" s="53"/>
      <c r="K516" s="53"/>
      <c r="L516" s="53"/>
      <c r="M516" s="53"/>
      <c r="N516" s="55"/>
    </row>
    <row r="517" spans="1:14">
      <c r="A517" s="77"/>
      <c r="B517" s="53"/>
      <c r="C517" s="53"/>
      <c r="D517" s="61"/>
      <c r="E517" s="61"/>
      <c r="F517" s="61"/>
      <c r="G517" s="53"/>
      <c r="H517" s="61"/>
      <c r="I517" s="61"/>
      <c r="J517" s="53"/>
      <c r="K517" s="53"/>
      <c r="L517" s="167"/>
      <c r="M517" s="167"/>
      <c r="N517" s="168"/>
    </row>
    <row r="518" spans="1:14">
      <c r="A518" s="77"/>
      <c r="B518" s="53"/>
      <c r="C518" s="53"/>
      <c r="D518" s="61"/>
      <c r="E518" s="61"/>
      <c r="F518" s="61"/>
      <c r="G518" s="53"/>
      <c r="H518" s="61"/>
      <c r="I518" s="61"/>
      <c r="J518" s="53"/>
      <c r="K518" s="53"/>
      <c r="L518" s="53"/>
      <c r="M518" s="53"/>
      <c r="N518" s="113" t="s">
        <v>111</v>
      </c>
    </row>
    <row r="519" spans="1:14">
      <c r="A519" s="77"/>
      <c r="B519" s="53"/>
      <c r="C519" s="53"/>
      <c r="D519" s="61"/>
      <c r="E519" s="61"/>
      <c r="F519" s="61"/>
      <c r="G519" s="53"/>
      <c r="H519" s="61"/>
      <c r="I519" s="61"/>
      <c r="J519" s="53"/>
      <c r="K519" s="53"/>
      <c r="L519" s="53"/>
      <c r="M519" s="53"/>
      <c r="N519" s="55"/>
    </row>
    <row r="520" spans="1:14">
      <c r="A520" s="77"/>
      <c r="B520" s="53"/>
      <c r="C520" s="53"/>
      <c r="D520" s="61"/>
      <c r="E520" s="61"/>
      <c r="F520" s="61"/>
      <c r="G520" s="53"/>
      <c r="H520" s="61"/>
      <c r="I520" s="61"/>
      <c r="J520" s="53"/>
      <c r="K520" s="53"/>
      <c r="L520" s="167"/>
      <c r="M520" s="167"/>
      <c r="N520" s="168"/>
    </row>
    <row r="521" spans="1:14">
      <c r="A521" s="77"/>
      <c r="B521" s="53"/>
      <c r="C521" s="53"/>
      <c r="D521" s="61"/>
      <c r="E521" s="61"/>
      <c r="F521" s="61"/>
      <c r="G521" s="53"/>
      <c r="H521" s="61"/>
      <c r="I521" s="61"/>
      <c r="J521" s="53"/>
      <c r="K521" s="53"/>
      <c r="L521" s="53"/>
      <c r="M521" s="53"/>
      <c r="N521" s="113" t="s">
        <v>112</v>
      </c>
    </row>
    <row r="522" spans="1:14">
      <c r="A522" s="77"/>
      <c r="B522" s="53"/>
      <c r="C522" s="53"/>
      <c r="D522" s="61"/>
      <c r="E522" s="61"/>
      <c r="F522" s="61"/>
      <c r="G522" s="53"/>
      <c r="H522" s="61"/>
      <c r="I522" s="61"/>
      <c r="J522" s="53"/>
      <c r="K522" s="53"/>
      <c r="L522" s="53"/>
      <c r="M522" s="53"/>
      <c r="N522" s="55"/>
    </row>
    <row r="523" spans="1:14">
      <c r="A523" s="77"/>
      <c r="B523" s="53"/>
      <c r="C523" s="53"/>
      <c r="D523" s="61"/>
      <c r="E523" s="61"/>
      <c r="F523" s="61"/>
      <c r="G523" s="53"/>
      <c r="H523" s="61"/>
      <c r="I523" s="61"/>
      <c r="J523" s="53"/>
      <c r="K523" s="53"/>
      <c r="L523" s="53"/>
      <c r="M523" s="53"/>
      <c r="N523" s="55"/>
    </row>
    <row r="524" spans="1:14" ht="15.75" thickBot="1">
      <c r="A524" s="114"/>
      <c r="B524" s="115"/>
      <c r="C524" s="115"/>
      <c r="D524" s="116"/>
      <c r="E524" s="117" t="s">
        <v>113</v>
      </c>
      <c r="F524" s="117"/>
      <c r="G524" s="115"/>
      <c r="H524" s="116"/>
      <c r="I524" s="116"/>
      <c r="J524" s="115"/>
      <c r="K524" s="115"/>
      <c r="L524" s="115"/>
      <c r="M524" s="115"/>
      <c r="N524" s="118"/>
    </row>
    <row r="554" ht="15" customHeight="1"/>
    <row r="555" ht="15" customHeight="1"/>
  </sheetData>
  <mergeCells count="17">
    <mergeCell ref="A510:N510"/>
    <mergeCell ref="A511:N511"/>
    <mergeCell ref="L517:N517"/>
    <mergeCell ref="L520:N520"/>
    <mergeCell ref="A15:G15"/>
    <mergeCell ref="H15:N15"/>
    <mergeCell ref="A16:G21"/>
    <mergeCell ref="A23:N23"/>
    <mergeCell ref="A26:K27"/>
    <mergeCell ref="A502:B502"/>
    <mergeCell ref="A14:G14"/>
    <mergeCell ref="H14:N14"/>
    <mergeCell ref="F1:J2"/>
    <mergeCell ref="A9:G9"/>
    <mergeCell ref="H9:N9"/>
    <mergeCell ref="A10:G13"/>
    <mergeCell ref="H12:K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C000"/>
  </sheetPr>
  <dimension ref="A1:K19"/>
  <sheetViews>
    <sheetView zoomScaleNormal="100" workbookViewId="0"/>
  </sheetViews>
  <sheetFormatPr defaultRowHeight="15.75"/>
  <cols>
    <col min="1" max="1" width="6.85546875" customWidth="1"/>
    <col min="2" max="2" width="8.5703125" style="17" customWidth="1"/>
    <col min="3" max="3" width="15.42578125" style="10" customWidth="1"/>
    <col min="4" max="4" width="87.7109375" style="10" customWidth="1"/>
    <col min="5" max="5" width="13.28515625" style="10" customWidth="1"/>
    <col min="6" max="6" width="9" style="16" customWidth="1"/>
  </cols>
  <sheetData>
    <row r="1" spans="1:11" ht="24" customHeight="1">
      <c r="C1"/>
      <c r="D1"/>
      <c r="E1"/>
    </row>
    <row r="2" spans="1:11" ht="15.75" customHeight="1">
      <c r="C2"/>
      <c r="D2"/>
      <c r="E2"/>
    </row>
    <row r="3" spans="1:11" s="2" customFormat="1" ht="7.5" customHeight="1">
      <c r="A3" s="1" t="s">
        <v>42</v>
      </c>
      <c r="B3" s="18" t="s">
        <v>42</v>
      </c>
      <c r="C3" s="18"/>
      <c r="D3" s="4"/>
      <c r="E3" s="4"/>
      <c r="F3" s="20"/>
      <c r="G3" s="4"/>
      <c r="H3" s="4"/>
      <c r="I3" s="4"/>
      <c r="J3" s="5" t="s">
        <v>42</v>
      </c>
      <c r="K3" s="6" t="s">
        <v>42</v>
      </c>
    </row>
    <row r="4" spans="1:11" s="7" customFormat="1" ht="15.75" customHeight="1">
      <c r="B4" s="19"/>
      <c r="C4" s="15"/>
      <c r="D4" s="8"/>
      <c r="E4" s="8"/>
      <c r="F4" s="15"/>
    </row>
    <row r="5" spans="1:11" s="7" customFormat="1" ht="20.100000000000001" customHeight="1">
      <c r="B5" s="19"/>
      <c r="C5" s="173" t="s">
        <v>43</v>
      </c>
      <c r="D5" s="173"/>
      <c r="E5" s="173"/>
      <c r="F5" s="15"/>
    </row>
    <row r="6" spans="1:11" s="7" customFormat="1" ht="20.100000000000001" customHeight="1">
      <c r="B6" s="19"/>
      <c r="C6" s="11" t="s">
        <v>44</v>
      </c>
      <c r="D6" s="11" t="s">
        <v>41</v>
      </c>
      <c r="E6" s="11" t="s">
        <v>48</v>
      </c>
      <c r="F6" s="15"/>
    </row>
    <row r="7" spans="1:11" s="7" customFormat="1" ht="17.100000000000001" customHeight="1">
      <c r="B7" s="19"/>
      <c r="C7" s="12" t="s">
        <v>45</v>
      </c>
      <c r="D7" s="13" t="s">
        <v>114</v>
      </c>
      <c r="E7" s="21" t="s">
        <v>49</v>
      </c>
      <c r="F7" s="15"/>
    </row>
    <row r="8" spans="1:11" s="7" customFormat="1" ht="17.100000000000001" customHeight="1">
      <c r="B8" s="19"/>
      <c r="C8" s="12" t="s">
        <v>46</v>
      </c>
      <c r="D8" s="13" t="s">
        <v>115</v>
      </c>
      <c r="E8" s="14" t="s">
        <v>49</v>
      </c>
      <c r="F8" s="15"/>
    </row>
    <row r="9" spans="1:11" s="7" customFormat="1" ht="17.100000000000001" customHeight="1">
      <c r="B9" s="19"/>
      <c r="C9" s="12" t="s">
        <v>47</v>
      </c>
      <c r="D9" s="13" t="s">
        <v>116</v>
      </c>
      <c r="E9" s="14" t="s">
        <v>49</v>
      </c>
      <c r="F9" s="15"/>
    </row>
    <row r="10" spans="1:11" s="7" customFormat="1" ht="15">
      <c r="B10" s="19"/>
      <c r="C10" s="15"/>
      <c r="D10" s="15"/>
      <c r="E10" s="15"/>
      <c r="F10" s="15"/>
    </row>
    <row r="11" spans="1:11" s="7" customFormat="1" ht="15">
      <c r="B11" s="19"/>
      <c r="C11" s="15"/>
      <c r="D11" s="15"/>
      <c r="E11" s="15"/>
      <c r="F11" s="15"/>
    </row>
    <row r="12" spans="1:11" s="7" customFormat="1">
      <c r="B12" s="19"/>
      <c r="C12" s="9"/>
      <c r="E12" s="9"/>
      <c r="F12" s="15"/>
    </row>
    <row r="13" spans="1:11" s="7" customFormat="1">
      <c r="B13" s="19"/>
      <c r="C13" s="9"/>
      <c r="E13" s="9"/>
      <c r="F13" s="15"/>
    </row>
    <row r="14" spans="1:11" s="7" customFormat="1">
      <c r="B14" s="19"/>
      <c r="C14" s="9"/>
      <c r="E14" s="9"/>
      <c r="F14" s="15"/>
    </row>
    <row r="15" spans="1:11" s="7" customFormat="1">
      <c r="B15" s="19"/>
      <c r="C15" s="9"/>
      <c r="D15" s="7" t="s">
        <v>56</v>
      </c>
      <c r="E15" s="9"/>
      <c r="F15" s="15"/>
    </row>
    <row r="16" spans="1:11" s="7" customFormat="1">
      <c r="B16" s="19"/>
      <c r="C16" s="9"/>
      <c r="D16" s="9"/>
      <c r="E16" s="9"/>
      <c r="F16" s="15"/>
    </row>
    <row r="17" spans="1:11" s="7" customFormat="1">
      <c r="B17" s="19"/>
      <c r="C17" s="9"/>
      <c r="D17" s="9"/>
      <c r="E17" s="9"/>
      <c r="F17" s="15"/>
    </row>
    <row r="18" spans="1:11" s="7" customFormat="1">
      <c r="B18" s="19"/>
      <c r="C18" s="9"/>
      <c r="D18" s="9"/>
      <c r="E18" s="9"/>
      <c r="F18" s="15"/>
    </row>
    <row r="19" spans="1:11" s="2" customFormat="1" ht="7.5" customHeight="1">
      <c r="A19" s="1" t="s">
        <v>42</v>
      </c>
      <c r="B19" s="18" t="s">
        <v>42</v>
      </c>
      <c r="C19" s="3"/>
      <c r="D19" s="4"/>
      <c r="E19" s="4"/>
      <c r="F19" s="20"/>
      <c r="G19" s="4"/>
      <c r="H19" s="4"/>
      <c r="I19" s="4"/>
      <c r="J19" s="5" t="s">
        <v>42</v>
      </c>
      <c r="K19" s="6" t="s">
        <v>42</v>
      </c>
    </row>
  </sheetData>
  <mergeCells count="1">
    <mergeCell ref="C5:E5"/>
  </mergeCells>
  <hyperlinks>
    <hyperlink ref="D7" r:id="rId1" display="\\10.5.0.27\bersama\BUYER EXPORT\2024\AGRON\20240524 INV 0177 AGRON BY SEA FM MAJALENGKA 1x40'HC+1x20' ID2073\INV0177EXPGGV2024 GCC.xlsx"/>
    <hyperlink ref="D8" r:id="rId2" display="\\10.8.0.35\Bersama\IT\RPA PPIC\View open PO VS ex factory\TARIKAN EKSPOR PLAN"/>
    <hyperlink ref="D9" r:id="rId3"/>
  </hyperlinks>
  <pageMargins left="0.7" right="0.7" top="0.75" bottom="0.75" header="0.3" footer="0.3"/>
  <pageSetup orientation="portrait" r:id="rId4"/>
  <drawing r:id="rId5"/>
  <legacy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BDC787"/>
  </sheetPr>
  <dimension ref="A1:Y63"/>
  <sheetViews>
    <sheetView tabSelected="1" topLeftCell="A43" workbookViewId="0">
      <selection sqref="A1:A2"/>
    </sheetView>
  </sheetViews>
  <sheetFormatPr defaultRowHeight="15"/>
  <cols>
    <col min="1" max="1" width="12.140625" customWidth="1"/>
    <col min="2" max="2" width="10.5703125" customWidth="1"/>
    <col min="3" max="3" width="10.42578125" customWidth="1"/>
    <col min="4" max="4" width="12.28515625" customWidth="1"/>
    <col min="5" max="5" width="14.28515625" customWidth="1"/>
    <col min="6" max="6" width="11.85546875" customWidth="1"/>
    <col min="7" max="7" width="40.7109375" customWidth="1"/>
    <col min="8" max="8" width="9" customWidth="1"/>
    <col min="9" max="9" width="11.28515625" customWidth="1"/>
    <col min="10" max="11" width="17" customWidth="1"/>
    <col min="12" max="12" width="15" customWidth="1"/>
    <col min="13" max="13" width="14" customWidth="1"/>
    <col min="14" max="14" width="15.140625" customWidth="1"/>
    <col min="15" max="15" width="16.85546875" customWidth="1"/>
    <col min="16" max="16" width="14.85546875" customWidth="1"/>
    <col min="17" max="17" width="9" customWidth="1"/>
    <col min="18" max="18" width="5.5703125" customWidth="1"/>
    <col min="19" max="19" width="9" customWidth="1"/>
    <col min="20" max="20" width="5.5703125" customWidth="1"/>
    <col min="21" max="21" width="9" customWidth="1"/>
    <col min="22" max="22" width="10.7109375" customWidth="1"/>
    <col min="23" max="24" width="26.140625" customWidth="1"/>
    <col min="25" max="25" width="83.85546875" customWidth="1"/>
  </cols>
  <sheetData>
    <row r="1" spans="1:25" ht="25.5">
      <c r="A1" s="149" t="s">
        <v>0</v>
      </c>
      <c r="B1" s="150" t="s">
        <v>1</v>
      </c>
      <c r="C1" s="150"/>
      <c r="D1" s="151" t="s">
        <v>2</v>
      </c>
      <c r="E1" s="151" t="s">
        <v>3</v>
      </c>
      <c r="F1" s="148" t="s">
        <v>4</v>
      </c>
      <c r="G1" s="150" t="s">
        <v>5</v>
      </c>
      <c r="H1" s="150" t="s">
        <v>6</v>
      </c>
      <c r="I1" s="149" t="s">
        <v>7</v>
      </c>
      <c r="J1" s="148" t="s">
        <v>8</v>
      </c>
      <c r="K1" s="149" t="s">
        <v>9</v>
      </c>
      <c r="L1" s="152" t="s">
        <v>10</v>
      </c>
      <c r="M1" s="148" t="s">
        <v>11</v>
      </c>
      <c r="N1" s="148" t="s">
        <v>12</v>
      </c>
      <c r="O1" s="149" t="s">
        <v>13</v>
      </c>
      <c r="P1" s="155" t="s">
        <v>14</v>
      </c>
      <c r="Q1" s="156" t="s">
        <v>15</v>
      </c>
      <c r="R1" s="156"/>
      <c r="S1" s="156"/>
      <c r="T1" s="156"/>
      <c r="U1" s="156"/>
      <c r="V1" s="149" t="s">
        <v>16</v>
      </c>
      <c r="W1" s="141" t="s">
        <v>17</v>
      </c>
      <c r="X1" s="149" t="s">
        <v>18</v>
      </c>
      <c r="Y1" s="153" t="s">
        <v>19</v>
      </c>
    </row>
    <row r="2" spans="1:25" ht="25.5">
      <c r="A2" s="149"/>
      <c r="B2" s="140" t="s">
        <v>20</v>
      </c>
      <c r="C2" s="140" t="s">
        <v>21</v>
      </c>
      <c r="D2" s="151"/>
      <c r="E2" s="151"/>
      <c r="F2" s="148"/>
      <c r="G2" s="150"/>
      <c r="H2" s="150"/>
      <c r="I2" s="149"/>
      <c r="J2" s="148"/>
      <c r="K2" s="149"/>
      <c r="L2" s="152"/>
      <c r="M2" s="148"/>
      <c r="N2" s="148"/>
      <c r="O2" s="149"/>
      <c r="P2" s="155"/>
      <c r="Q2" s="142" t="s">
        <v>22</v>
      </c>
      <c r="R2" s="142" t="s">
        <v>23</v>
      </c>
      <c r="S2" s="142" t="s">
        <v>24</v>
      </c>
      <c r="T2" s="142" t="s">
        <v>23</v>
      </c>
      <c r="U2" s="142" t="s">
        <v>25</v>
      </c>
      <c r="V2" s="149"/>
      <c r="W2" s="141" t="s">
        <v>26</v>
      </c>
      <c r="X2" s="149" t="s">
        <v>27</v>
      </c>
      <c r="Y2" s="154"/>
    </row>
    <row r="3" spans="1:25">
      <c r="A3" s="26" t="s">
        <v>0</v>
      </c>
      <c r="B3" s="26">
        <v>1</v>
      </c>
      <c r="C3" s="26">
        <v>25</v>
      </c>
      <c r="D3" s="26" t="s">
        <v>28</v>
      </c>
      <c r="E3" s="26" t="s">
        <v>123</v>
      </c>
      <c r="F3" s="26" t="s">
        <v>50</v>
      </c>
      <c r="G3" s="26" t="s">
        <v>40</v>
      </c>
      <c r="H3" s="26" t="str">
        <f t="shared" ref="H3:H34" si="0">IFERROR(IF(RIGHT(D3,1)="A","S",IF(RIGHT(D3,1)="B","M",IF(RIGHT(D3,1)="C","L",IF(RIGHT(D3,1)="D","XL",IF(RIGHT(D3,1)="E","XXL",""))))),"")</f>
        <v>S</v>
      </c>
      <c r="I3" s="26">
        <f t="shared" ref="I3:I34" si="1">IFERROR(J3/K3,"")</f>
        <v>36</v>
      </c>
      <c r="J3" s="26">
        <v>900</v>
      </c>
      <c r="K3" s="26">
        <f t="shared" ref="K3:K34" si="2">C3-B3+1</f>
        <v>25</v>
      </c>
      <c r="L3" s="27">
        <f t="shared" ref="L3:L34" si="3">IFERROR(K3*V3,"")</f>
        <v>1.3310392733999998</v>
      </c>
      <c r="M3" s="26">
        <v>216</v>
      </c>
      <c r="N3" s="26">
        <v>240</v>
      </c>
      <c r="O3" s="27">
        <f t="shared" ref="O3:O34" si="4">IFERROR(N3/K3,"")</f>
        <v>9.6</v>
      </c>
      <c r="P3" s="27">
        <f t="shared" ref="P3:P34" si="5">IFERROR(M3/K3,"")</f>
        <v>8.64</v>
      </c>
      <c r="Q3" s="26">
        <v>48.26</v>
      </c>
      <c r="R3" s="26" t="s">
        <v>23</v>
      </c>
      <c r="S3" s="26">
        <v>48.26</v>
      </c>
      <c r="T3" s="26" t="s">
        <v>23</v>
      </c>
      <c r="U3" s="26">
        <v>22.86</v>
      </c>
      <c r="V3" s="28">
        <f t="shared" ref="V3:V34" si="6">IFERROR((Q3*S3*U3)/1000000,"")</f>
        <v>5.3241570935999995E-2</v>
      </c>
      <c r="W3" s="26" t="s">
        <v>51</v>
      </c>
      <c r="X3" s="26" t="s">
        <v>51</v>
      </c>
      <c r="Y3" s="26" t="s">
        <v>37</v>
      </c>
    </row>
    <row r="4" spans="1:25">
      <c r="A4" s="26" t="s">
        <v>0</v>
      </c>
      <c r="B4" s="26">
        <v>27</v>
      </c>
      <c r="C4" s="26">
        <v>79</v>
      </c>
      <c r="D4" s="26" t="s">
        <v>29</v>
      </c>
      <c r="E4" s="26" t="s">
        <v>123</v>
      </c>
      <c r="F4" s="26" t="s">
        <v>50</v>
      </c>
      <c r="G4" s="26" t="s">
        <v>40</v>
      </c>
      <c r="H4" s="26" t="str">
        <f t="shared" si="0"/>
        <v>M</v>
      </c>
      <c r="I4" s="26">
        <f t="shared" si="1"/>
        <v>36</v>
      </c>
      <c r="J4" s="26">
        <v>1908</v>
      </c>
      <c r="K4" s="26">
        <f t="shared" si="2"/>
        <v>53</v>
      </c>
      <c r="L4" s="27">
        <f t="shared" si="3"/>
        <v>2.8218032596079996</v>
      </c>
      <c r="M4" s="26">
        <v>481.24</v>
      </c>
      <c r="N4" s="26">
        <v>532.12</v>
      </c>
      <c r="O4" s="27">
        <f t="shared" si="4"/>
        <v>10.040000000000001</v>
      </c>
      <c r="P4" s="27">
        <f t="shared" si="5"/>
        <v>9.08</v>
      </c>
      <c r="Q4" s="26">
        <v>48.26</v>
      </c>
      <c r="R4" s="26" t="s">
        <v>23</v>
      </c>
      <c r="S4" s="26">
        <v>48.26</v>
      </c>
      <c r="T4" s="26" t="s">
        <v>23</v>
      </c>
      <c r="U4" s="26">
        <v>22.86</v>
      </c>
      <c r="V4" s="28">
        <f t="shared" si="6"/>
        <v>5.3241570935999995E-2</v>
      </c>
      <c r="W4" s="26" t="s">
        <v>51</v>
      </c>
      <c r="X4" s="26" t="s">
        <v>51</v>
      </c>
      <c r="Y4" s="26" t="s">
        <v>37</v>
      </c>
    </row>
    <row r="5" spans="1:25">
      <c r="A5" s="26" t="s">
        <v>0</v>
      </c>
      <c r="B5" s="26">
        <v>82</v>
      </c>
      <c r="C5" s="26">
        <v>132</v>
      </c>
      <c r="D5" s="26" t="s">
        <v>30</v>
      </c>
      <c r="E5" s="26" t="s">
        <v>123</v>
      </c>
      <c r="F5" s="26" t="s">
        <v>50</v>
      </c>
      <c r="G5" s="26" t="s">
        <v>40</v>
      </c>
      <c r="H5" s="26" t="str">
        <f t="shared" si="0"/>
        <v>L</v>
      </c>
      <c r="I5" s="26">
        <f t="shared" si="1"/>
        <v>36</v>
      </c>
      <c r="J5" s="26">
        <v>1836</v>
      </c>
      <c r="K5" s="26">
        <f t="shared" si="2"/>
        <v>51</v>
      </c>
      <c r="L5" s="27">
        <f t="shared" si="3"/>
        <v>2.7153201177359998</v>
      </c>
      <c r="M5" s="26">
        <v>492.66</v>
      </c>
      <c r="N5" s="26">
        <v>541.62</v>
      </c>
      <c r="O5" s="27">
        <f t="shared" si="4"/>
        <v>10.62</v>
      </c>
      <c r="P5" s="27">
        <f t="shared" si="5"/>
        <v>9.66</v>
      </c>
      <c r="Q5" s="26">
        <v>48.26</v>
      </c>
      <c r="R5" s="26" t="s">
        <v>23</v>
      </c>
      <c r="S5" s="26">
        <v>48.26</v>
      </c>
      <c r="T5" s="26" t="s">
        <v>23</v>
      </c>
      <c r="U5" s="26">
        <v>22.86</v>
      </c>
      <c r="V5" s="28">
        <f t="shared" si="6"/>
        <v>5.3241570935999995E-2</v>
      </c>
      <c r="W5" s="26" t="s">
        <v>51</v>
      </c>
      <c r="X5" s="26" t="s">
        <v>51</v>
      </c>
      <c r="Y5" s="26" t="s">
        <v>37</v>
      </c>
    </row>
    <row r="6" spans="1:25">
      <c r="A6" s="26" t="s">
        <v>0</v>
      </c>
      <c r="B6" s="26">
        <v>135</v>
      </c>
      <c r="C6" s="26">
        <v>162</v>
      </c>
      <c r="D6" s="26" t="s">
        <v>31</v>
      </c>
      <c r="E6" s="26" t="s">
        <v>123</v>
      </c>
      <c r="F6" s="26" t="s">
        <v>50</v>
      </c>
      <c r="G6" s="26" t="s">
        <v>40</v>
      </c>
      <c r="H6" s="26" t="str">
        <f t="shared" si="0"/>
        <v>XL</v>
      </c>
      <c r="I6" s="26">
        <f t="shared" si="1"/>
        <v>36</v>
      </c>
      <c r="J6" s="26">
        <v>1008</v>
      </c>
      <c r="K6" s="26">
        <f t="shared" si="2"/>
        <v>28</v>
      </c>
      <c r="L6" s="27">
        <f t="shared" si="3"/>
        <v>1.7392246505759998</v>
      </c>
      <c r="M6" s="26">
        <v>300.72000000000003</v>
      </c>
      <c r="N6" s="26">
        <v>329.28</v>
      </c>
      <c r="O6" s="27">
        <f t="shared" si="4"/>
        <v>11.76</v>
      </c>
      <c r="P6" s="27">
        <f t="shared" si="5"/>
        <v>10.74</v>
      </c>
      <c r="Q6" s="26">
        <v>48.26</v>
      </c>
      <c r="R6" s="26" t="s">
        <v>23</v>
      </c>
      <c r="S6" s="26">
        <v>48.26</v>
      </c>
      <c r="T6" s="26" t="s">
        <v>23</v>
      </c>
      <c r="U6" s="26">
        <v>26.67</v>
      </c>
      <c r="V6" s="28">
        <f t="shared" si="6"/>
        <v>6.2115166091999997E-2</v>
      </c>
      <c r="W6" s="26" t="s">
        <v>51</v>
      </c>
      <c r="X6" s="26" t="s">
        <v>51</v>
      </c>
      <c r="Y6" s="26" t="s">
        <v>37</v>
      </c>
    </row>
    <row r="7" spans="1:25">
      <c r="A7" s="26" t="s">
        <v>0</v>
      </c>
      <c r="B7" s="26">
        <v>1</v>
      </c>
      <c r="C7" s="26">
        <v>55</v>
      </c>
      <c r="D7" s="26" t="s">
        <v>126</v>
      </c>
      <c r="E7" s="26" t="s">
        <v>123</v>
      </c>
      <c r="F7" s="26" t="s">
        <v>50</v>
      </c>
      <c r="G7" s="26" t="s">
        <v>39</v>
      </c>
      <c r="H7" s="26" t="str">
        <f t="shared" si="0"/>
        <v>S</v>
      </c>
      <c r="I7" s="26">
        <f t="shared" si="1"/>
        <v>36</v>
      </c>
      <c r="J7" s="26">
        <v>1980</v>
      </c>
      <c r="K7" s="26">
        <f t="shared" si="2"/>
        <v>55</v>
      </c>
      <c r="L7" s="27">
        <f t="shared" si="3"/>
        <v>2.9282864014799999</v>
      </c>
      <c r="M7" s="26">
        <v>475.2</v>
      </c>
      <c r="N7" s="26">
        <v>528</v>
      </c>
      <c r="O7" s="27">
        <f t="shared" si="4"/>
        <v>9.6</v>
      </c>
      <c r="P7" s="27">
        <f t="shared" si="5"/>
        <v>8.64</v>
      </c>
      <c r="Q7" s="26">
        <v>48.26</v>
      </c>
      <c r="R7" s="26" t="s">
        <v>23</v>
      </c>
      <c r="S7" s="26">
        <v>48.26</v>
      </c>
      <c r="T7" s="26" t="s">
        <v>23</v>
      </c>
      <c r="U7" s="26">
        <v>22.86</v>
      </c>
      <c r="V7" s="28">
        <f t="shared" si="6"/>
        <v>5.3241570935999995E-2</v>
      </c>
      <c r="W7" s="26" t="s">
        <v>51</v>
      </c>
      <c r="X7" s="26" t="s">
        <v>51</v>
      </c>
      <c r="Y7" s="26" t="s">
        <v>37</v>
      </c>
    </row>
    <row r="8" spans="1:25">
      <c r="A8" s="26" t="s">
        <v>0</v>
      </c>
      <c r="B8" s="26">
        <v>56</v>
      </c>
      <c r="C8" s="26">
        <v>56</v>
      </c>
      <c r="D8" s="26" t="s">
        <v>126</v>
      </c>
      <c r="E8" s="26" t="s">
        <v>123</v>
      </c>
      <c r="F8" s="26" t="s">
        <v>50</v>
      </c>
      <c r="G8" s="26" t="s">
        <v>39</v>
      </c>
      <c r="H8" s="26" t="str">
        <f t="shared" si="0"/>
        <v>S</v>
      </c>
      <c r="I8" s="26">
        <f t="shared" si="1"/>
        <v>27</v>
      </c>
      <c r="J8" s="26">
        <v>27</v>
      </c>
      <c r="K8" s="26">
        <f t="shared" si="2"/>
        <v>1</v>
      </c>
      <c r="L8" s="27">
        <f t="shared" si="3"/>
        <v>5.3241570935999995E-2</v>
      </c>
      <c r="M8" s="26">
        <v>6.48</v>
      </c>
      <c r="N8" s="26">
        <v>7.46</v>
      </c>
      <c r="O8" s="27">
        <f t="shared" si="4"/>
        <v>7.46</v>
      </c>
      <c r="P8" s="27">
        <f t="shared" si="5"/>
        <v>6.48</v>
      </c>
      <c r="Q8" s="26">
        <v>48.26</v>
      </c>
      <c r="R8" s="26" t="s">
        <v>23</v>
      </c>
      <c r="S8" s="26">
        <v>48.26</v>
      </c>
      <c r="T8" s="26" t="s">
        <v>23</v>
      </c>
      <c r="U8" s="26">
        <v>22.86</v>
      </c>
      <c r="V8" s="28">
        <f t="shared" si="6"/>
        <v>5.3241570935999995E-2</v>
      </c>
      <c r="W8" s="26" t="s">
        <v>51</v>
      </c>
      <c r="X8" s="26" t="s">
        <v>51</v>
      </c>
      <c r="Y8" s="26" t="s">
        <v>37</v>
      </c>
    </row>
    <row r="9" spans="1:25">
      <c r="A9" s="26" t="s">
        <v>0</v>
      </c>
      <c r="B9" s="26">
        <v>59</v>
      </c>
      <c r="C9" s="26">
        <v>176</v>
      </c>
      <c r="D9" s="26" t="s">
        <v>127</v>
      </c>
      <c r="E9" s="26" t="s">
        <v>123</v>
      </c>
      <c r="F9" s="26" t="s">
        <v>50</v>
      </c>
      <c r="G9" s="26" t="s">
        <v>39</v>
      </c>
      <c r="H9" s="26" t="str">
        <f t="shared" si="0"/>
        <v>M</v>
      </c>
      <c r="I9" s="26">
        <f t="shared" si="1"/>
        <v>36</v>
      </c>
      <c r="J9" s="26">
        <v>4248</v>
      </c>
      <c r="K9" s="26">
        <f t="shared" si="2"/>
        <v>118</v>
      </c>
      <c r="L9" s="27">
        <f t="shared" si="3"/>
        <v>6.2825053704479989</v>
      </c>
      <c r="M9" s="26">
        <v>1071.44</v>
      </c>
      <c r="N9" s="26">
        <v>1184.72</v>
      </c>
      <c r="O9" s="27">
        <f t="shared" si="4"/>
        <v>10.040000000000001</v>
      </c>
      <c r="P9" s="27">
        <f t="shared" si="5"/>
        <v>9.08</v>
      </c>
      <c r="Q9" s="26">
        <v>48.26</v>
      </c>
      <c r="R9" s="26" t="s">
        <v>23</v>
      </c>
      <c r="S9" s="26">
        <v>48.26</v>
      </c>
      <c r="T9" s="26" t="s">
        <v>23</v>
      </c>
      <c r="U9" s="26">
        <v>22.86</v>
      </c>
      <c r="V9" s="28">
        <f t="shared" si="6"/>
        <v>5.3241570935999995E-2</v>
      </c>
      <c r="W9" s="26" t="s">
        <v>51</v>
      </c>
      <c r="X9" s="26" t="s">
        <v>51</v>
      </c>
      <c r="Y9" s="26" t="s">
        <v>37</v>
      </c>
    </row>
    <row r="10" spans="1:25">
      <c r="A10" s="26" t="s">
        <v>0</v>
      </c>
      <c r="B10" s="26">
        <v>177</v>
      </c>
      <c r="C10" s="26">
        <v>177</v>
      </c>
      <c r="D10" s="26" t="s">
        <v>127</v>
      </c>
      <c r="E10" s="26" t="s">
        <v>123</v>
      </c>
      <c r="F10" s="26" t="s">
        <v>50</v>
      </c>
      <c r="G10" s="26" t="s">
        <v>39</v>
      </c>
      <c r="H10" s="26" t="str">
        <f t="shared" si="0"/>
        <v>M</v>
      </c>
      <c r="I10" s="26">
        <f t="shared" si="1"/>
        <v>8</v>
      </c>
      <c r="J10" s="26">
        <v>8</v>
      </c>
      <c r="K10" s="26">
        <f t="shared" si="2"/>
        <v>1</v>
      </c>
      <c r="L10" s="27">
        <f t="shared" si="3"/>
        <v>5.3241570935999995E-2</v>
      </c>
      <c r="M10" s="26">
        <v>2.0099999999999998</v>
      </c>
      <c r="N10" s="26">
        <v>2.99</v>
      </c>
      <c r="O10" s="27">
        <f t="shared" si="4"/>
        <v>2.99</v>
      </c>
      <c r="P10" s="27">
        <f t="shared" si="5"/>
        <v>2.0099999999999998</v>
      </c>
      <c r="Q10" s="26">
        <v>48.26</v>
      </c>
      <c r="R10" s="26" t="s">
        <v>23</v>
      </c>
      <c r="S10" s="26">
        <v>48.26</v>
      </c>
      <c r="T10" s="26" t="s">
        <v>23</v>
      </c>
      <c r="U10" s="26">
        <v>22.86</v>
      </c>
      <c r="V10" s="28">
        <f t="shared" si="6"/>
        <v>5.3241570935999995E-2</v>
      </c>
      <c r="W10" s="26" t="s">
        <v>51</v>
      </c>
      <c r="X10" s="26" t="s">
        <v>51</v>
      </c>
      <c r="Y10" s="26" t="s">
        <v>37</v>
      </c>
    </row>
    <row r="11" spans="1:25">
      <c r="A11" s="26" t="s">
        <v>0</v>
      </c>
      <c r="B11" s="26">
        <v>180</v>
      </c>
      <c r="C11" s="26">
        <v>291</v>
      </c>
      <c r="D11" s="26" t="s">
        <v>128</v>
      </c>
      <c r="E11" s="26" t="s">
        <v>123</v>
      </c>
      <c r="F11" s="26" t="s">
        <v>50</v>
      </c>
      <c r="G11" s="26" t="s">
        <v>39</v>
      </c>
      <c r="H11" s="26" t="str">
        <f t="shared" si="0"/>
        <v>L</v>
      </c>
      <c r="I11" s="26">
        <f t="shared" si="1"/>
        <v>36</v>
      </c>
      <c r="J11" s="26">
        <v>4032</v>
      </c>
      <c r="K11" s="26">
        <f t="shared" si="2"/>
        <v>112</v>
      </c>
      <c r="L11" s="27">
        <f t="shared" si="3"/>
        <v>5.9630559448319991</v>
      </c>
      <c r="M11" s="26">
        <v>1081.92</v>
      </c>
      <c r="N11" s="26">
        <v>1189.44</v>
      </c>
      <c r="O11" s="27">
        <f t="shared" si="4"/>
        <v>10.620000000000001</v>
      </c>
      <c r="P11" s="27">
        <f t="shared" si="5"/>
        <v>9.66</v>
      </c>
      <c r="Q11" s="26">
        <v>48.26</v>
      </c>
      <c r="R11" s="26" t="s">
        <v>23</v>
      </c>
      <c r="S11" s="26">
        <v>48.26</v>
      </c>
      <c r="T11" s="26" t="s">
        <v>23</v>
      </c>
      <c r="U11" s="26">
        <v>22.86</v>
      </c>
      <c r="V11" s="28">
        <f t="shared" si="6"/>
        <v>5.3241570935999995E-2</v>
      </c>
      <c r="W11" s="26" t="s">
        <v>51</v>
      </c>
      <c r="X11" s="26" t="s">
        <v>51</v>
      </c>
      <c r="Y11" s="26" t="s">
        <v>37</v>
      </c>
    </row>
    <row r="12" spans="1:25">
      <c r="A12" s="26" t="s">
        <v>0</v>
      </c>
      <c r="B12" s="26">
        <v>292</v>
      </c>
      <c r="C12" s="26">
        <v>292</v>
      </c>
      <c r="D12" s="26" t="s">
        <v>128</v>
      </c>
      <c r="E12" s="26" t="s">
        <v>123</v>
      </c>
      <c r="F12" s="26" t="s">
        <v>50</v>
      </c>
      <c r="G12" s="26" t="s">
        <v>39</v>
      </c>
      <c r="H12" s="26" t="str">
        <f t="shared" si="0"/>
        <v>L</v>
      </c>
      <c r="I12" s="26">
        <f t="shared" si="1"/>
        <v>5</v>
      </c>
      <c r="J12" s="26">
        <v>5</v>
      </c>
      <c r="K12" s="26">
        <f t="shared" si="2"/>
        <v>1</v>
      </c>
      <c r="L12" s="27">
        <f t="shared" si="3"/>
        <v>5.3241570935999995E-2</v>
      </c>
      <c r="M12" s="26">
        <v>1.34</v>
      </c>
      <c r="N12" s="26">
        <v>2.3199999999999998</v>
      </c>
      <c r="O12" s="27">
        <f t="shared" si="4"/>
        <v>2.3199999999999998</v>
      </c>
      <c r="P12" s="27">
        <f t="shared" si="5"/>
        <v>1.34</v>
      </c>
      <c r="Q12" s="26">
        <v>48.26</v>
      </c>
      <c r="R12" s="26" t="s">
        <v>23</v>
      </c>
      <c r="S12" s="26">
        <v>48.26</v>
      </c>
      <c r="T12" s="26" t="s">
        <v>23</v>
      </c>
      <c r="U12" s="26">
        <v>22.86</v>
      </c>
      <c r="V12" s="28">
        <f t="shared" si="6"/>
        <v>5.3241570935999995E-2</v>
      </c>
      <c r="W12" s="26" t="s">
        <v>51</v>
      </c>
      <c r="X12" s="26" t="s">
        <v>51</v>
      </c>
      <c r="Y12" s="26" t="s">
        <v>37</v>
      </c>
    </row>
    <row r="13" spans="1:25">
      <c r="A13" s="26" t="s">
        <v>0</v>
      </c>
      <c r="B13" s="26">
        <v>296</v>
      </c>
      <c r="C13" s="26">
        <v>353</v>
      </c>
      <c r="D13" s="26" t="s">
        <v>129</v>
      </c>
      <c r="E13" s="26" t="s">
        <v>123</v>
      </c>
      <c r="F13" s="26" t="s">
        <v>50</v>
      </c>
      <c r="G13" s="26" t="s">
        <v>39</v>
      </c>
      <c r="H13" s="26" t="str">
        <f t="shared" si="0"/>
        <v>XL</v>
      </c>
      <c r="I13" s="26">
        <f t="shared" si="1"/>
        <v>36</v>
      </c>
      <c r="J13" s="26">
        <v>2088</v>
      </c>
      <c r="K13" s="26">
        <f t="shared" si="2"/>
        <v>58</v>
      </c>
      <c r="L13" s="27">
        <f t="shared" si="3"/>
        <v>3.6026796333359998</v>
      </c>
      <c r="M13" s="26">
        <v>622.91999999999996</v>
      </c>
      <c r="N13" s="26">
        <v>682.08</v>
      </c>
      <c r="O13" s="27">
        <f t="shared" si="4"/>
        <v>11.760000000000002</v>
      </c>
      <c r="P13" s="27">
        <f t="shared" si="5"/>
        <v>10.739999999999998</v>
      </c>
      <c r="Q13" s="26">
        <v>48.26</v>
      </c>
      <c r="R13" s="26" t="s">
        <v>23</v>
      </c>
      <c r="S13" s="26">
        <v>48.26</v>
      </c>
      <c r="T13" s="26" t="s">
        <v>23</v>
      </c>
      <c r="U13" s="26">
        <v>26.67</v>
      </c>
      <c r="V13" s="28">
        <f t="shared" si="6"/>
        <v>6.2115166091999997E-2</v>
      </c>
      <c r="W13" s="26" t="s">
        <v>51</v>
      </c>
      <c r="X13" s="26" t="s">
        <v>51</v>
      </c>
      <c r="Y13" s="26" t="s">
        <v>37</v>
      </c>
    </row>
    <row r="14" spans="1:25">
      <c r="A14" s="26" t="s">
        <v>0</v>
      </c>
      <c r="B14" s="26">
        <v>354</v>
      </c>
      <c r="C14" s="26">
        <v>354</v>
      </c>
      <c r="D14" s="26" t="s">
        <v>129</v>
      </c>
      <c r="E14" s="26" t="s">
        <v>123</v>
      </c>
      <c r="F14" s="26" t="s">
        <v>50</v>
      </c>
      <c r="G14" s="26" t="s">
        <v>39</v>
      </c>
      <c r="H14" s="26" t="str">
        <f t="shared" si="0"/>
        <v>XL</v>
      </c>
      <c r="I14" s="26">
        <f t="shared" si="1"/>
        <v>15</v>
      </c>
      <c r="J14" s="26">
        <v>15</v>
      </c>
      <c r="K14" s="26">
        <f t="shared" si="2"/>
        <v>1</v>
      </c>
      <c r="L14" s="27">
        <f t="shared" si="3"/>
        <v>6.2115166091999997E-2</v>
      </c>
      <c r="M14" s="26">
        <v>4.47</v>
      </c>
      <c r="N14" s="26">
        <v>5.49</v>
      </c>
      <c r="O14" s="27">
        <f t="shared" si="4"/>
        <v>5.49</v>
      </c>
      <c r="P14" s="27">
        <f t="shared" si="5"/>
        <v>4.47</v>
      </c>
      <c r="Q14" s="26">
        <v>48.26</v>
      </c>
      <c r="R14" s="26" t="s">
        <v>23</v>
      </c>
      <c r="S14" s="26">
        <v>48.26</v>
      </c>
      <c r="T14" s="26" t="s">
        <v>23</v>
      </c>
      <c r="U14" s="26">
        <v>26.67</v>
      </c>
      <c r="V14" s="28">
        <f t="shared" si="6"/>
        <v>6.2115166091999997E-2</v>
      </c>
      <c r="W14" s="26" t="s">
        <v>51</v>
      </c>
      <c r="X14" s="26" t="s">
        <v>51</v>
      </c>
      <c r="Y14" s="26" t="s">
        <v>37</v>
      </c>
    </row>
    <row r="15" spans="1:25">
      <c r="A15" s="26" t="s">
        <v>0</v>
      </c>
      <c r="B15" s="26">
        <v>1</v>
      </c>
      <c r="C15" s="26">
        <v>10</v>
      </c>
      <c r="D15" s="26" t="s">
        <v>130</v>
      </c>
      <c r="E15" s="26" t="s">
        <v>123</v>
      </c>
      <c r="F15" s="26" t="s">
        <v>50</v>
      </c>
      <c r="G15" s="26" t="s">
        <v>39</v>
      </c>
      <c r="H15" s="26" t="str">
        <f t="shared" si="0"/>
        <v>XXL</v>
      </c>
      <c r="I15" s="26">
        <f t="shared" si="1"/>
        <v>36</v>
      </c>
      <c r="J15" s="26">
        <v>360</v>
      </c>
      <c r="K15" s="26">
        <f t="shared" si="2"/>
        <v>10</v>
      </c>
      <c r="L15" s="27">
        <f t="shared" si="3"/>
        <v>0.62115166091999996</v>
      </c>
      <c r="M15" s="26">
        <v>109.4</v>
      </c>
      <c r="N15" s="26">
        <v>119.6</v>
      </c>
      <c r="O15" s="27">
        <f t="shared" si="4"/>
        <v>11.959999999999999</v>
      </c>
      <c r="P15" s="27">
        <f t="shared" si="5"/>
        <v>10.940000000000001</v>
      </c>
      <c r="Q15" s="26">
        <v>48.26</v>
      </c>
      <c r="R15" s="26" t="s">
        <v>23</v>
      </c>
      <c r="S15" s="26">
        <v>48.26</v>
      </c>
      <c r="T15" s="26" t="s">
        <v>23</v>
      </c>
      <c r="U15" s="26">
        <v>26.67</v>
      </c>
      <c r="V15" s="28">
        <f t="shared" si="6"/>
        <v>6.2115166091999997E-2</v>
      </c>
      <c r="W15" s="26" t="s">
        <v>51</v>
      </c>
      <c r="X15" s="26" t="s">
        <v>51</v>
      </c>
      <c r="Y15" s="26" t="s">
        <v>37</v>
      </c>
    </row>
    <row r="16" spans="1:25">
      <c r="A16" s="26" t="s">
        <v>0</v>
      </c>
      <c r="B16" s="26">
        <v>1</v>
      </c>
      <c r="C16" s="26">
        <v>32</v>
      </c>
      <c r="D16" s="26" t="s">
        <v>132</v>
      </c>
      <c r="E16" s="26" t="s">
        <v>123</v>
      </c>
      <c r="F16" s="26" t="s">
        <v>50</v>
      </c>
      <c r="G16" s="26" t="s">
        <v>209</v>
      </c>
      <c r="H16" s="26" t="str">
        <f t="shared" si="0"/>
        <v>S</v>
      </c>
      <c r="I16" s="26">
        <f t="shared" si="1"/>
        <v>36</v>
      </c>
      <c r="J16" s="26">
        <v>1152</v>
      </c>
      <c r="K16" s="26">
        <f t="shared" si="2"/>
        <v>32</v>
      </c>
      <c r="L16" s="27">
        <f t="shared" si="3"/>
        <v>1.7037302699519998</v>
      </c>
      <c r="M16" s="26">
        <v>276.48</v>
      </c>
      <c r="N16" s="26">
        <v>289.92</v>
      </c>
      <c r="O16" s="27">
        <f t="shared" si="4"/>
        <v>9.06</v>
      </c>
      <c r="P16" s="27">
        <f t="shared" si="5"/>
        <v>8.64</v>
      </c>
      <c r="Q16" s="26">
        <v>48.26</v>
      </c>
      <c r="R16" s="26" t="s">
        <v>23</v>
      </c>
      <c r="S16" s="26">
        <v>48.26</v>
      </c>
      <c r="T16" s="26" t="s">
        <v>23</v>
      </c>
      <c r="U16" s="26">
        <v>22.86</v>
      </c>
      <c r="V16" s="28">
        <f t="shared" si="6"/>
        <v>5.3241570935999995E-2</v>
      </c>
      <c r="W16" s="26" t="s">
        <v>51</v>
      </c>
      <c r="X16" s="26" t="s">
        <v>51</v>
      </c>
      <c r="Y16" s="26" t="s">
        <v>37</v>
      </c>
    </row>
    <row r="17" spans="1:25">
      <c r="A17" s="26" t="s">
        <v>0</v>
      </c>
      <c r="B17" s="26">
        <v>34</v>
      </c>
      <c r="C17" s="26">
        <v>102</v>
      </c>
      <c r="D17" s="26" t="s">
        <v>133</v>
      </c>
      <c r="E17" s="26" t="s">
        <v>123</v>
      </c>
      <c r="F17" s="26" t="s">
        <v>50</v>
      </c>
      <c r="G17" s="26" t="s">
        <v>209</v>
      </c>
      <c r="H17" s="26" t="str">
        <f t="shared" si="0"/>
        <v>M</v>
      </c>
      <c r="I17" s="26">
        <f t="shared" si="1"/>
        <v>36</v>
      </c>
      <c r="J17" s="26">
        <v>2484</v>
      </c>
      <c r="K17" s="26">
        <f t="shared" si="2"/>
        <v>69</v>
      </c>
      <c r="L17" s="27">
        <f t="shared" si="3"/>
        <v>3.6736683945839999</v>
      </c>
      <c r="M17" s="26">
        <v>626.52</v>
      </c>
      <c r="N17" s="26">
        <v>692.76</v>
      </c>
      <c r="O17" s="27">
        <f t="shared" si="4"/>
        <v>10.039999999999999</v>
      </c>
      <c r="P17" s="27">
        <f t="shared" si="5"/>
        <v>9.08</v>
      </c>
      <c r="Q17" s="26">
        <v>48.26</v>
      </c>
      <c r="R17" s="26" t="s">
        <v>23</v>
      </c>
      <c r="S17" s="26">
        <v>48.26</v>
      </c>
      <c r="T17" s="26" t="s">
        <v>23</v>
      </c>
      <c r="U17" s="26">
        <v>22.86</v>
      </c>
      <c r="V17" s="28">
        <f t="shared" si="6"/>
        <v>5.3241570935999995E-2</v>
      </c>
      <c r="W17" s="26" t="s">
        <v>51</v>
      </c>
      <c r="X17" s="26" t="s">
        <v>51</v>
      </c>
      <c r="Y17" s="26" t="s">
        <v>37</v>
      </c>
    </row>
    <row r="18" spans="1:25">
      <c r="A18" s="26" t="s">
        <v>0</v>
      </c>
      <c r="B18" s="26">
        <v>106</v>
      </c>
      <c r="C18" s="26">
        <v>170</v>
      </c>
      <c r="D18" s="26" t="s">
        <v>134</v>
      </c>
      <c r="E18" s="26" t="s">
        <v>123</v>
      </c>
      <c r="F18" s="26" t="s">
        <v>50</v>
      </c>
      <c r="G18" s="26" t="s">
        <v>209</v>
      </c>
      <c r="H18" s="26" t="str">
        <f t="shared" si="0"/>
        <v>L</v>
      </c>
      <c r="I18" s="26">
        <f t="shared" si="1"/>
        <v>36</v>
      </c>
      <c r="J18" s="26">
        <v>2340</v>
      </c>
      <c r="K18" s="26">
        <f t="shared" si="2"/>
        <v>65</v>
      </c>
      <c r="L18" s="27">
        <f t="shared" si="3"/>
        <v>3.4607021108399998</v>
      </c>
      <c r="M18" s="26">
        <v>627.9</v>
      </c>
      <c r="N18" s="26">
        <v>690.3</v>
      </c>
      <c r="O18" s="27">
        <f t="shared" si="4"/>
        <v>10.62</v>
      </c>
      <c r="P18" s="27">
        <f t="shared" si="5"/>
        <v>9.66</v>
      </c>
      <c r="Q18" s="26">
        <v>48.26</v>
      </c>
      <c r="R18" s="26" t="s">
        <v>23</v>
      </c>
      <c r="S18" s="26">
        <v>48.26</v>
      </c>
      <c r="T18" s="26" t="s">
        <v>23</v>
      </c>
      <c r="U18" s="26">
        <v>22.86</v>
      </c>
      <c r="V18" s="28">
        <f t="shared" si="6"/>
        <v>5.3241570935999995E-2</v>
      </c>
      <c r="W18" s="26" t="s">
        <v>51</v>
      </c>
      <c r="X18" s="26" t="s">
        <v>51</v>
      </c>
      <c r="Y18" s="26" t="s">
        <v>37</v>
      </c>
    </row>
    <row r="19" spans="1:25">
      <c r="A19" s="26" t="s">
        <v>0</v>
      </c>
      <c r="B19" s="26">
        <v>173</v>
      </c>
      <c r="C19" s="26">
        <v>200</v>
      </c>
      <c r="D19" s="26" t="s">
        <v>135</v>
      </c>
      <c r="E19" s="26" t="s">
        <v>123</v>
      </c>
      <c r="F19" s="26" t="s">
        <v>50</v>
      </c>
      <c r="G19" s="26" t="s">
        <v>209</v>
      </c>
      <c r="H19" s="26" t="str">
        <f t="shared" si="0"/>
        <v>XL</v>
      </c>
      <c r="I19" s="26">
        <f t="shared" si="1"/>
        <v>36</v>
      </c>
      <c r="J19" s="26">
        <v>1008</v>
      </c>
      <c r="K19" s="26">
        <f t="shared" si="2"/>
        <v>28</v>
      </c>
      <c r="L19" s="27">
        <f t="shared" si="3"/>
        <v>1.7392246505759998</v>
      </c>
      <c r="M19" s="26">
        <v>300.72000000000003</v>
      </c>
      <c r="N19" s="26">
        <v>329.28</v>
      </c>
      <c r="O19" s="27">
        <f t="shared" si="4"/>
        <v>11.76</v>
      </c>
      <c r="P19" s="27">
        <f t="shared" si="5"/>
        <v>10.74</v>
      </c>
      <c r="Q19" s="26">
        <v>48.26</v>
      </c>
      <c r="R19" s="26" t="s">
        <v>23</v>
      </c>
      <c r="S19" s="26">
        <v>48.26</v>
      </c>
      <c r="T19" s="26" t="s">
        <v>23</v>
      </c>
      <c r="U19" s="26">
        <v>26.67</v>
      </c>
      <c r="V19" s="28">
        <f t="shared" si="6"/>
        <v>6.2115166091999997E-2</v>
      </c>
      <c r="W19" s="26" t="s">
        <v>51</v>
      </c>
      <c r="X19" s="26" t="s">
        <v>51</v>
      </c>
      <c r="Y19" s="26" t="s">
        <v>37</v>
      </c>
    </row>
    <row r="20" spans="1:25">
      <c r="A20" s="26" t="s">
        <v>0</v>
      </c>
      <c r="B20" s="26">
        <v>1</v>
      </c>
      <c r="C20" s="26">
        <v>10</v>
      </c>
      <c r="D20" s="26" t="s">
        <v>136</v>
      </c>
      <c r="E20" s="26" t="s">
        <v>123</v>
      </c>
      <c r="F20" s="26" t="s">
        <v>50</v>
      </c>
      <c r="G20" s="26" t="s">
        <v>209</v>
      </c>
      <c r="H20" s="26" t="str">
        <f t="shared" si="0"/>
        <v>XXL</v>
      </c>
      <c r="I20" s="26">
        <f t="shared" si="1"/>
        <v>36</v>
      </c>
      <c r="J20" s="26">
        <v>360</v>
      </c>
      <c r="K20" s="26">
        <f t="shared" si="2"/>
        <v>10</v>
      </c>
      <c r="L20" s="27">
        <f t="shared" si="3"/>
        <v>0.62115166091999996</v>
      </c>
      <c r="M20" s="26">
        <v>109.4</v>
      </c>
      <c r="N20" s="26">
        <v>119.6</v>
      </c>
      <c r="O20" s="27">
        <f t="shared" si="4"/>
        <v>11.959999999999999</v>
      </c>
      <c r="P20" s="27">
        <f t="shared" si="5"/>
        <v>10.940000000000001</v>
      </c>
      <c r="Q20" s="26">
        <v>48.26</v>
      </c>
      <c r="R20" s="26" t="s">
        <v>23</v>
      </c>
      <c r="S20" s="26">
        <v>48.26</v>
      </c>
      <c r="T20" s="26" t="s">
        <v>23</v>
      </c>
      <c r="U20" s="26">
        <v>26.67</v>
      </c>
      <c r="V20" s="28">
        <f t="shared" si="6"/>
        <v>6.2115166091999997E-2</v>
      </c>
      <c r="W20" s="26" t="s">
        <v>51</v>
      </c>
      <c r="X20" s="26" t="s">
        <v>51</v>
      </c>
      <c r="Y20" s="26" t="s">
        <v>37</v>
      </c>
    </row>
    <row r="21" spans="1:25">
      <c r="A21" s="26" t="s">
        <v>0</v>
      </c>
      <c r="B21" s="26">
        <v>1</v>
      </c>
      <c r="C21" s="26">
        <v>30</v>
      </c>
      <c r="D21" s="26" t="s">
        <v>138</v>
      </c>
      <c r="E21" s="26" t="s">
        <v>139</v>
      </c>
      <c r="F21" s="26" t="s">
        <v>50</v>
      </c>
      <c r="G21" s="26" t="s">
        <v>39</v>
      </c>
      <c r="H21" s="26" t="str">
        <f t="shared" si="0"/>
        <v>S</v>
      </c>
      <c r="I21" s="26">
        <f t="shared" si="1"/>
        <v>36</v>
      </c>
      <c r="J21" s="26">
        <v>1080</v>
      </c>
      <c r="K21" s="26">
        <f t="shared" si="2"/>
        <v>30</v>
      </c>
      <c r="L21" s="27">
        <f t="shared" si="3"/>
        <v>1.5972471280799998</v>
      </c>
      <c r="M21" s="26">
        <v>273.60000000000002</v>
      </c>
      <c r="N21" s="26">
        <v>303</v>
      </c>
      <c r="O21" s="27">
        <f t="shared" si="4"/>
        <v>10.1</v>
      </c>
      <c r="P21" s="27">
        <f t="shared" si="5"/>
        <v>9.120000000000001</v>
      </c>
      <c r="Q21" s="26">
        <v>48.26</v>
      </c>
      <c r="R21" s="26" t="s">
        <v>23</v>
      </c>
      <c r="S21" s="26">
        <v>48.26</v>
      </c>
      <c r="T21" s="26" t="s">
        <v>23</v>
      </c>
      <c r="U21" s="26">
        <v>22.86</v>
      </c>
      <c r="V21" s="28">
        <f t="shared" si="6"/>
        <v>5.3241570935999995E-2</v>
      </c>
      <c r="W21" s="26" t="s">
        <v>51</v>
      </c>
      <c r="X21" s="26" t="s">
        <v>51</v>
      </c>
      <c r="Y21" s="26" t="s">
        <v>185</v>
      </c>
    </row>
    <row r="22" spans="1:25">
      <c r="A22" s="26" t="s">
        <v>0</v>
      </c>
      <c r="B22" s="26">
        <v>32</v>
      </c>
      <c r="C22" s="26">
        <v>108</v>
      </c>
      <c r="D22" s="26" t="s">
        <v>140</v>
      </c>
      <c r="E22" s="26" t="s">
        <v>139</v>
      </c>
      <c r="F22" s="26" t="s">
        <v>50</v>
      </c>
      <c r="G22" s="26" t="s">
        <v>39</v>
      </c>
      <c r="H22" s="26" t="str">
        <f t="shared" si="0"/>
        <v>M</v>
      </c>
      <c r="I22" s="26">
        <f t="shared" si="1"/>
        <v>36</v>
      </c>
      <c r="J22" s="26">
        <v>2772</v>
      </c>
      <c r="K22" s="26">
        <f t="shared" si="2"/>
        <v>77</v>
      </c>
      <c r="L22" s="27">
        <f t="shared" si="3"/>
        <v>4.0996009620719995</v>
      </c>
      <c r="M22" s="26">
        <v>746.9</v>
      </c>
      <c r="N22" s="26">
        <v>822.36</v>
      </c>
      <c r="O22" s="27">
        <f t="shared" si="4"/>
        <v>10.68</v>
      </c>
      <c r="P22" s="27">
        <f t="shared" si="5"/>
        <v>9.6999999999999993</v>
      </c>
      <c r="Q22" s="26">
        <v>48.26</v>
      </c>
      <c r="R22" s="26" t="s">
        <v>23</v>
      </c>
      <c r="S22" s="26">
        <v>48.26</v>
      </c>
      <c r="T22" s="26" t="s">
        <v>23</v>
      </c>
      <c r="U22" s="26">
        <v>22.86</v>
      </c>
      <c r="V22" s="28">
        <f t="shared" si="6"/>
        <v>5.3241570935999995E-2</v>
      </c>
      <c r="W22" s="26" t="s">
        <v>51</v>
      </c>
      <c r="X22" s="26" t="s">
        <v>51</v>
      </c>
      <c r="Y22" s="26" t="s">
        <v>185</v>
      </c>
    </row>
    <row r="23" spans="1:25">
      <c r="A23" s="26" t="s">
        <v>0</v>
      </c>
      <c r="B23" s="26">
        <v>112</v>
      </c>
      <c r="C23" s="26">
        <v>182</v>
      </c>
      <c r="D23" s="26" t="s">
        <v>141</v>
      </c>
      <c r="E23" s="26" t="s">
        <v>139</v>
      </c>
      <c r="F23" s="26" t="s">
        <v>50</v>
      </c>
      <c r="G23" s="26" t="s">
        <v>39</v>
      </c>
      <c r="H23" s="26" t="str">
        <f t="shared" si="0"/>
        <v>L</v>
      </c>
      <c r="I23" s="26">
        <f t="shared" si="1"/>
        <v>36</v>
      </c>
      <c r="J23" s="26">
        <v>2556</v>
      </c>
      <c r="K23" s="26">
        <f t="shared" si="2"/>
        <v>71</v>
      </c>
      <c r="L23" s="27">
        <f t="shared" si="3"/>
        <v>3.7801515364559997</v>
      </c>
      <c r="M23" s="26">
        <v>729.88</v>
      </c>
      <c r="N23" s="26">
        <v>799.46</v>
      </c>
      <c r="O23" s="27">
        <f t="shared" si="4"/>
        <v>11.26</v>
      </c>
      <c r="P23" s="27">
        <f t="shared" si="5"/>
        <v>10.28</v>
      </c>
      <c r="Q23" s="26">
        <v>48.26</v>
      </c>
      <c r="R23" s="26" t="s">
        <v>23</v>
      </c>
      <c r="S23" s="26">
        <v>48.26</v>
      </c>
      <c r="T23" s="26" t="s">
        <v>23</v>
      </c>
      <c r="U23" s="26">
        <v>22.86</v>
      </c>
      <c r="V23" s="28">
        <f t="shared" si="6"/>
        <v>5.3241570935999995E-2</v>
      </c>
      <c r="W23" s="26" t="s">
        <v>51</v>
      </c>
      <c r="X23" s="26" t="s">
        <v>51</v>
      </c>
      <c r="Y23" s="26" t="s">
        <v>185</v>
      </c>
    </row>
    <row r="24" spans="1:25">
      <c r="A24" s="26" t="s">
        <v>0</v>
      </c>
      <c r="B24" s="26">
        <v>186</v>
      </c>
      <c r="C24" s="26">
        <v>225</v>
      </c>
      <c r="D24" s="26" t="s">
        <v>142</v>
      </c>
      <c r="E24" s="26" t="s">
        <v>139</v>
      </c>
      <c r="F24" s="26" t="s">
        <v>50</v>
      </c>
      <c r="G24" s="26" t="s">
        <v>39</v>
      </c>
      <c r="H24" s="26" t="str">
        <f t="shared" si="0"/>
        <v>XL</v>
      </c>
      <c r="I24" s="26">
        <f t="shared" si="1"/>
        <v>36</v>
      </c>
      <c r="J24" s="26">
        <v>1440</v>
      </c>
      <c r="K24" s="26">
        <f t="shared" si="2"/>
        <v>40</v>
      </c>
      <c r="L24" s="27">
        <f t="shared" si="3"/>
        <v>2.4846066436799998</v>
      </c>
      <c r="M24" s="26">
        <v>440</v>
      </c>
      <c r="N24" s="26">
        <v>481.6</v>
      </c>
      <c r="O24" s="27">
        <f t="shared" si="4"/>
        <v>12.040000000000001</v>
      </c>
      <c r="P24" s="27">
        <f t="shared" si="5"/>
        <v>11</v>
      </c>
      <c r="Q24" s="26">
        <v>48.26</v>
      </c>
      <c r="R24" s="26" t="s">
        <v>23</v>
      </c>
      <c r="S24" s="26">
        <v>48.26</v>
      </c>
      <c r="T24" s="26" t="s">
        <v>23</v>
      </c>
      <c r="U24" s="26">
        <v>26.67</v>
      </c>
      <c r="V24" s="28">
        <f t="shared" si="6"/>
        <v>6.2115166091999997E-2</v>
      </c>
      <c r="W24" s="26" t="s">
        <v>51</v>
      </c>
      <c r="X24" s="26" t="s">
        <v>51</v>
      </c>
      <c r="Y24" s="26" t="s">
        <v>185</v>
      </c>
    </row>
    <row r="25" spans="1:25">
      <c r="A25" s="26" t="s">
        <v>0</v>
      </c>
      <c r="B25" s="26">
        <v>1</v>
      </c>
      <c r="C25" s="26">
        <v>30</v>
      </c>
      <c r="D25" s="26" t="s">
        <v>144</v>
      </c>
      <c r="E25" s="26" t="s">
        <v>145</v>
      </c>
      <c r="F25" s="26" t="s">
        <v>50</v>
      </c>
      <c r="G25" s="26" t="s">
        <v>39</v>
      </c>
      <c r="H25" s="26" t="str">
        <f t="shared" si="0"/>
        <v>S</v>
      </c>
      <c r="I25" s="26">
        <f t="shared" si="1"/>
        <v>36</v>
      </c>
      <c r="J25" s="26">
        <v>1080</v>
      </c>
      <c r="K25" s="26">
        <f t="shared" si="2"/>
        <v>30</v>
      </c>
      <c r="L25" s="27">
        <f t="shared" si="3"/>
        <v>1.86345498276</v>
      </c>
      <c r="M25" s="26">
        <v>282.60000000000002</v>
      </c>
      <c r="N25" s="26">
        <v>313.2</v>
      </c>
      <c r="O25" s="27">
        <f t="shared" si="4"/>
        <v>10.44</v>
      </c>
      <c r="P25" s="27">
        <f t="shared" si="5"/>
        <v>9.42</v>
      </c>
      <c r="Q25" s="26">
        <v>48.26</v>
      </c>
      <c r="R25" s="26" t="s">
        <v>23</v>
      </c>
      <c r="S25" s="26">
        <v>48.26</v>
      </c>
      <c r="T25" s="26" t="s">
        <v>23</v>
      </c>
      <c r="U25" s="26">
        <v>26.67</v>
      </c>
      <c r="V25" s="28">
        <f t="shared" si="6"/>
        <v>6.2115166091999997E-2</v>
      </c>
      <c r="W25" s="26" t="s">
        <v>51</v>
      </c>
      <c r="X25" s="26" t="s">
        <v>51</v>
      </c>
      <c r="Y25" s="26" t="s">
        <v>183</v>
      </c>
    </row>
    <row r="26" spans="1:25">
      <c r="A26" s="26" t="s">
        <v>0</v>
      </c>
      <c r="B26" s="26">
        <v>32</v>
      </c>
      <c r="C26" s="26">
        <v>95</v>
      </c>
      <c r="D26" s="26" t="s">
        <v>146</v>
      </c>
      <c r="E26" s="26" t="s">
        <v>145</v>
      </c>
      <c r="F26" s="26" t="s">
        <v>50</v>
      </c>
      <c r="G26" s="26" t="s">
        <v>39</v>
      </c>
      <c r="H26" s="26" t="str">
        <f t="shared" si="0"/>
        <v>M</v>
      </c>
      <c r="I26" s="26">
        <f t="shared" si="1"/>
        <v>36</v>
      </c>
      <c r="J26" s="26">
        <v>2304</v>
      </c>
      <c r="K26" s="26">
        <f t="shared" si="2"/>
        <v>64</v>
      </c>
      <c r="L26" s="27">
        <f t="shared" si="3"/>
        <v>3.9753706298879998</v>
      </c>
      <c r="M26" s="26">
        <v>645.12</v>
      </c>
      <c r="N26" s="26">
        <v>710.4</v>
      </c>
      <c r="O26" s="27">
        <f t="shared" si="4"/>
        <v>11.1</v>
      </c>
      <c r="P26" s="27">
        <f t="shared" si="5"/>
        <v>10.08</v>
      </c>
      <c r="Q26" s="26">
        <v>48.26</v>
      </c>
      <c r="R26" s="26" t="s">
        <v>23</v>
      </c>
      <c r="S26" s="26">
        <v>48.26</v>
      </c>
      <c r="T26" s="26" t="s">
        <v>23</v>
      </c>
      <c r="U26" s="26">
        <v>26.67</v>
      </c>
      <c r="V26" s="28">
        <f t="shared" si="6"/>
        <v>6.2115166091999997E-2</v>
      </c>
      <c r="W26" s="26" t="s">
        <v>51</v>
      </c>
      <c r="X26" s="26" t="s">
        <v>51</v>
      </c>
      <c r="Y26" s="26" t="s">
        <v>183</v>
      </c>
    </row>
    <row r="27" spans="1:25">
      <c r="A27" s="26" t="s">
        <v>0</v>
      </c>
      <c r="B27" s="26">
        <v>98</v>
      </c>
      <c r="C27" s="26">
        <v>154</v>
      </c>
      <c r="D27" s="26" t="s">
        <v>147</v>
      </c>
      <c r="E27" s="26" t="s">
        <v>145</v>
      </c>
      <c r="F27" s="26" t="s">
        <v>50</v>
      </c>
      <c r="G27" s="26" t="s">
        <v>39</v>
      </c>
      <c r="H27" s="26" t="str">
        <f t="shared" si="0"/>
        <v>L</v>
      </c>
      <c r="I27" s="26">
        <f t="shared" si="1"/>
        <v>36</v>
      </c>
      <c r="J27" s="26">
        <v>2052</v>
      </c>
      <c r="K27" s="26">
        <f t="shared" si="2"/>
        <v>57</v>
      </c>
      <c r="L27" s="27">
        <f t="shared" si="3"/>
        <v>3.5405644672439998</v>
      </c>
      <c r="M27" s="26">
        <v>606.48</v>
      </c>
      <c r="N27" s="26">
        <v>664.62</v>
      </c>
      <c r="O27" s="27">
        <f t="shared" si="4"/>
        <v>11.66</v>
      </c>
      <c r="P27" s="27">
        <f t="shared" si="5"/>
        <v>10.64</v>
      </c>
      <c r="Q27" s="26">
        <v>48.26</v>
      </c>
      <c r="R27" s="26" t="s">
        <v>23</v>
      </c>
      <c r="S27" s="26">
        <v>48.26</v>
      </c>
      <c r="T27" s="26" t="s">
        <v>23</v>
      </c>
      <c r="U27" s="26">
        <v>26.67</v>
      </c>
      <c r="V27" s="28">
        <f t="shared" si="6"/>
        <v>6.2115166091999997E-2</v>
      </c>
      <c r="W27" s="26" t="s">
        <v>51</v>
      </c>
      <c r="X27" s="26" t="s">
        <v>51</v>
      </c>
      <c r="Y27" s="26" t="s">
        <v>183</v>
      </c>
    </row>
    <row r="28" spans="1:25">
      <c r="A28" s="26" t="s">
        <v>0</v>
      </c>
      <c r="B28" s="26">
        <v>157</v>
      </c>
      <c r="C28" s="26">
        <v>187</v>
      </c>
      <c r="D28" s="26" t="s">
        <v>148</v>
      </c>
      <c r="E28" s="26" t="s">
        <v>145</v>
      </c>
      <c r="F28" s="26" t="s">
        <v>50</v>
      </c>
      <c r="G28" s="26" t="s">
        <v>39</v>
      </c>
      <c r="H28" s="26" t="str">
        <f t="shared" si="0"/>
        <v>XL</v>
      </c>
      <c r="I28" s="26">
        <f t="shared" si="1"/>
        <v>36</v>
      </c>
      <c r="J28" s="26">
        <v>1116</v>
      </c>
      <c r="K28" s="26">
        <f t="shared" si="2"/>
        <v>31</v>
      </c>
      <c r="L28" s="27">
        <f t="shared" si="3"/>
        <v>1.9255701488519998</v>
      </c>
      <c r="M28" s="26">
        <v>350.3</v>
      </c>
      <c r="N28" s="26">
        <v>381.92</v>
      </c>
      <c r="O28" s="27">
        <f t="shared" si="4"/>
        <v>12.32</v>
      </c>
      <c r="P28" s="27">
        <f t="shared" si="5"/>
        <v>11.3</v>
      </c>
      <c r="Q28" s="26">
        <v>48.26</v>
      </c>
      <c r="R28" s="26" t="s">
        <v>23</v>
      </c>
      <c r="S28" s="26">
        <v>48.26</v>
      </c>
      <c r="T28" s="26" t="s">
        <v>23</v>
      </c>
      <c r="U28" s="26">
        <v>26.67</v>
      </c>
      <c r="V28" s="28">
        <f t="shared" si="6"/>
        <v>6.2115166091999997E-2</v>
      </c>
      <c r="W28" s="26" t="s">
        <v>51</v>
      </c>
      <c r="X28" s="26" t="s">
        <v>51</v>
      </c>
      <c r="Y28" s="26" t="s">
        <v>183</v>
      </c>
    </row>
    <row r="29" spans="1:25">
      <c r="A29" s="26" t="s">
        <v>0</v>
      </c>
      <c r="B29" s="26">
        <v>1</v>
      </c>
      <c r="C29" s="26">
        <v>39</v>
      </c>
      <c r="D29" s="26" t="s">
        <v>150</v>
      </c>
      <c r="E29" s="26" t="s">
        <v>151</v>
      </c>
      <c r="F29" s="26" t="s">
        <v>50</v>
      </c>
      <c r="G29" s="26" t="s">
        <v>202</v>
      </c>
      <c r="H29" s="26" t="str">
        <f t="shared" si="0"/>
        <v>S</v>
      </c>
      <c r="I29" s="26">
        <f t="shared" si="1"/>
        <v>36</v>
      </c>
      <c r="J29" s="26">
        <v>1404</v>
      </c>
      <c r="K29" s="26">
        <f t="shared" si="2"/>
        <v>39</v>
      </c>
      <c r="L29" s="27">
        <f t="shared" si="3"/>
        <v>2.0764212665039996</v>
      </c>
      <c r="M29" s="26">
        <v>344.76</v>
      </c>
      <c r="N29" s="26">
        <v>396.24</v>
      </c>
      <c r="O29" s="27">
        <f t="shared" si="4"/>
        <v>10.16</v>
      </c>
      <c r="P29" s="27">
        <f t="shared" si="5"/>
        <v>8.84</v>
      </c>
      <c r="Q29" s="26">
        <v>48.26</v>
      </c>
      <c r="R29" s="26" t="s">
        <v>23</v>
      </c>
      <c r="S29" s="26">
        <v>48.26</v>
      </c>
      <c r="T29" s="26" t="s">
        <v>23</v>
      </c>
      <c r="U29" s="26">
        <v>22.86</v>
      </c>
      <c r="V29" s="28">
        <f t="shared" si="6"/>
        <v>5.3241570935999995E-2</v>
      </c>
      <c r="W29" s="26" t="s">
        <v>51</v>
      </c>
      <c r="X29" s="26" t="s">
        <v>51</v>
      </c>
      <c r="Y29" s="26" t="s">
        <v>184</v>
      </c>
    </row>
    <row r="30" spans="1:25">
      <c r="A30" s="26" t="s">
        <v>0</v>
      </c>
      <c r="B30" s="26">
        <v>40</v>
      </c>
      <c r="C30" s="26">
        <v>40</v>
      </c>
      <c r="D30" s="26" t="s">
        <v>150</v>
      </c>
      <c r="E30" s="26" t="s">
        <v>151</v>
      </c>
      <c r="F30" s="26" t="s">
        <v>50</v>
      </c>
      <c r="G30" s="26" t="s">
        <v>202</v>
      </c>
      <c r="H30" s="26" t="str">
        <f t="shared" si="0"/>
        <v>S</v>
      </c>
      <c r="I30" s="26">
        <f t="shared" si="1"/>
        <v>27</v>
      </c>
      <c r="J30" s="26">
        <v>27</v>
      </c>
      <c r="K30" s="26">
        <f t="shared" si="2"/>
        <v>1</v>
      </c>
      <c r="L30" s="27">
        <f t="shared" si="3"/>
        <v>5.3241570935999995E-2</v>
      </c>
      <c r="M30" s="26">
        <v>6.24</v>
      </c>
      <c r="N30" s="26">
        <v>7.56</v>
      </c>
      <c r="O30" s="27">
        <f t="shared" si="4"/>
        <v>7.56</v>
      </c>
      <c r="P30" s="27">
        <f t="shared" si="5"/>
        <v>6.24</v>
      </c>
      <c r="Q30" s="26">
        <v>48.26</v>
      </c>
      <c r="R30" s="26" t="s">
        <v>23</v>
      </c>
      <c r="S30" s="26">
        <v>48.26</v>
      </c>
      <c r="T30" s="26" t="s">
        <v>23</v>
      </c>
      <c r="U30" s="26">
        <v>22.86</v>
      </c>
      <c r="V30" s="28">
        <f t="shared" si="6"/>
        <v>5.3241570935999995E-2</v>
      </c>
      <c r="W30" s="26" t="s">
        <v>51</v>
      </c>
      <c r="X30" s="26" t="s">
        <v>51</v>
      </c>
      <c r="Y30" s="26" t="s">
        <v>184</v>
      </c>
    </row>
    <row r="31" spans="1:25">
      <c r="A31" s="26" t="s">
        <v>0</v>
      </c>
      <c r="B31" s="26">
        <v>41</v>
      </c>
      <c r="C31" s="26">
        <v>216</v>
      </c>
      <c r="D31" s="26" t="s">
        <v>152</v>
      </c>
      <c r="E31" s="26" t="s">
        <v>151</v>
      </c>
      <c r="F31" s="26" t="s">
        <v>50</v>
      </c>
      <c r="G31" s="26" t="s">
        <v>202</v>
      </c>
      <c r="H31" s="26" t="str">
        <f t="shared" si="0"/>
        <v>M</v>
      </c>
      <c r="I31" s="26">
        <f t="shared" si="1"/>
        <v>36</v>
      </c>
      <c r="J31" s="26">
        <v>6336</v>
      </c>
      <c r="K31" s="26">
        <f t="shared" si="2"/>
        <v>176</v>
      </c>
      <c r="L31" s="27">
        <f t="shared" si="3"/>
        <v>9.3705164847359992</v>
      </c>
      <c r="M31" s="26">
        <v>1668.48</v>
      </c>
      <c r="N31" s="26">
        <v>1900.8</v>
      </c>
      <c r="O31" s="27">
        <f t="shared" si="4"/>
        <v>10.799999999999999</v>
      </c>
      <c r="P31" s="27">
        <f t="shared" si="5"/>
        <v>9.48</v>
      </c>
      <c r="Q31" s="26">
        <v>48.26</v>
      </c>
      <c r="R31" s="26" t="s">
        <v>23</v>
      </c>
      <c r="S31" s="26">
        <v>48.26</v>
      </c>
      <c r="T31" s="26" t="s">
        <v>23</v>
      </c>
      <c r="U31" s="26">
        <v>22.86</v>
      </c>
      <c r="V31" s="28">
        <f t="shared" si="6"/>
        <v>5.3241570935999995E-2</v>
      </c>
      <c r="W31" s="26" t="s">
        <v>51</v>
      </c>
      <c r="X31" s="26" t="s">
        <v>51</v>
      </c>
      <c r="Y31" s="26" t="s">
        <v>184</v>
      </c>
    </row>
    <row r="32" spans="1:25">
      <c r="A32" s="26" t="s">
        <v>0</v>
      </c>
      <c r="B32" s="26">
        <v>217</v>
      </c>
      <c r="C32" s="26">
        <v>217</v>
      </c>
      <c r="D32" s="26" t="s">
        <v>152</v>
      </c>
      <c r="E32" s="26" t="s">
        <v>151</v>
      </c>
      <c r="F32" s="26" t="s">
        <v>50</v>
      </c>
      <c r="G32" s="26" t="s">
        <v>202</v>
      </c>
      <c r="H32" s="26" t="str">
        <f t="shared" si="0"/>
        <v>M</v>
      </c>
      <c r="I32" s="26">
        <f t="shared" si="1"/>
        <v>23</v>
      </c>
      <c r="J32" s="26">
        <v>23</v>
      </c>
      <c r="K32" s="26">
        <f t="shared" si="2"/>
        <v>1</v>
      </c>
      <c r="L32" s="27">
        <f t="shared" si="3"/>
        <v>5.3241570935999995E-2</v>
      </c>
      <c r="M32" s="26">
        <v>5.58</v>
      </c>
      <c r="N32" s="26">
        <v>6.9</v>
      </c>
      <c r="O32" s="27">
        <f t="shared" si="4"/>
        <v>6.9</v>
      </c>
      <c r="P32" s="27">
        <f t="shared" si="5"/>
        <v>5.58</v>
      </c>
      <c r="Q32" s="26">
        <v>48.26</v>
      </c>
      <c r="R32" s="26" t="s">
        <v>23</v>
      </c>
      <c r="S32" s="26">
        <v>48.26</v>
      </c>
      <c r="T32" s="26" t="s">
        <v>23</v>
      </c>
      <c r="U32" s="26">
        <v>22.86</v>
      </c>
      <c r="V32" s="28">
        <f t="shared" si="6"/>
        <v>5.3241570935999995E-2</v>
      </c>
      <c r="W32" s="26" t="s">
        <v>51</v>
      </c>
      <c r="X32" s="26" t="s">
        <v>51</v>
      </c>
      <c r="Y32" s="26" t="s">
        <v>184</v>
      </c>
    </row>
    <row r="33" spans="1:25">
      <c r="A33" s="26" t="s">
        <v>0</v>
      </c>
      <c r="B33" s="26">
        <v>218</v>
      </c>
      <c r="C33" s="26">
        <v>315</v>
      </c>
      <c r="D33" s="26" t="s">
        <v>153</v>
      </c>
      <c r="E33" s="26" t="s">
        <v>151</v>
      </c>
      <c r="F33" s="26" t="s">
        <v>50</v>
      </c>
      <c r="G33" s="26" t="s">
        <v>202</v>
      </c>
      <c r="H33" s="26" t="str">
        <f t="shared" si="0"/>
        <v>L</v>
      </c>
      <c r="I33" s="26">
        <f t="shared" si="1"/>
        <v>36</v>
      </c>
      <c r="J33" s="26">
        <v>3528</v>
      </c>
      <c r="K33" s="26">
        <f t="shared" si="2"/>
        <v>98</v>
      </c>
      <c r="L33" s="27">
        <f t="shared" si="3"/>
        <v>5.2176739517279991</v>
      </c>
      <c r="M33" s="26">
        <v>987.84</v>
      </c>
      <c r="N33" s="26">
        <v>1117.2</v>
      </c>
      <c r="O33" s="27">
        <f t="shared" si="4"/>
        <v>11.4</v>
      </c>
      <c r="P33" s="27">
        <f t="shared" si="5"/>
        <v>10.08</v>
      </c>
      <c r="Q33" s="26">
        <v>48.26</v>
      </c>
      <c r="R33" s="26" t="s">
        <v>23</v>
      </c>
      <c r="S33" s="26">
        <v>48.26</v>
      </c>
      <c r="T33" s="26" t="s">
        <v>23</v>
      </c>
      <c r="U33" s="26">
        <v>22.86</v>
      </c>
      <c r="V33" s="28">
        <f t="shared" si="6"/>
        <v>5.3241570935999995E-2</v>
      </c>
      <c r="W33" s="26" t="s">
        <v>51</v>
      </c>
      <c r="X33" s="26" t="s">
        <v>51</v>
      </c>
      <c r="Y33" s="26" t="s">
        <v>184</v>
      </c>
    </row>
    <row r="34" spans="1:25">
      <c r="A34" s="26" t="s">
        <v>0</v>
      </c>
      <c r="B34" s="26">
        <v>316</v>
      </c>
      <c r="C34" s="26">
        <v>316</v>
      </c>
      <c r="D34" s="26" t="s">
        <v>153</v>
      </c>
      <c r="E34" s="26" t="s">
        <v>151</v>
      </c>
      <c r="F34" s="26" t="s">
        <v>50</v>
      </c>
      <c r="G34" s="26" t="s">
        <v>202</v>
      </c>
      <c r="H34" s="26" t="str">
        <f t="shared" si="0"/>
        <v>L</v>
      </c>
      <c r="I34" s="26">
        <f t="shared" si="1"/>
        <v>24</v>
      </c>
      <c r="J34" s="26">
        <v>24</v>
      </c>
      <c r="K34" s="26">
        <f t="shared" si="2"/>
        <v>1</v>
      </c>
      <c r="L34" s="27">
        <f t="shared" si="3"/>
        <v>5.3241570935999995E-2</v>
      </c>
      <c r="M34" s="26">
        <v>6.12</v>
      </c>
      <c r="N34" s="26">
        <v>7.44</v>
      </c>
      <c r="O34" s="27">
        <f t="shared" si="4"/>
        <v>7.44</v>
      </c>
      <c r="P34" s="27">
        <f t="shared" si="5"/>
        <v>6.12</v>
      </c>
      <c r="Q34" s="26">
        <v>48.26</v>
      </c>
      <c r="R34" s="26" t="s">
        <v>23</v>
      </c>
      <c r="S34" s="26">
        <v>48.26</v>
      </c>
      <c r="T34" s="26" t="s">
        <v>23</v>
      </c>
      <c r="U34" s="26">
        <v>22.86</v>
      </c>
      <c r="V34" s="28">
        <f t="shared" si="6"/>
        <v>5.3241570935999995E-2</v>
      </c>
      <c r="W34" s="26" t="s">
        <v>51</v>
      </c>
      <c r="X34" s="26" t="s">
        <v>51</v>
      </c>
      <c r="Y34" s="26" t="s">
        <v>184</v>
      </c>
    </row>
    <row r="35" spans="1:25">
      <c r="A35" s="26" t="s">
        <v>0</v>
      </c>
      <c r="B35" s="26">
        <v>317</v>
      </c>
      <c r="C35" s="26">
        <v>334</v>
      </c>
      <c r="D35" s="26" t="s">
        <v>154</v>
      </c>
      <c r="E35" s="26" t="s">
        <v>151</v>
      </c>
      <c r="F35" s="26" t="s">
        <v>50</v>
      </c>
      <c r="G35" s="26" t="s">
        <v>202</v>
      </c>
      <c r="H35" s="26" t="str">
        <f t="shared" ref="H35:H62" si="7">IFERROR(IF(RIGHT(D35,1)="A","S",IF(RIGHT(D35,1)="B","M",IF(RIGHT(D35,1)="C","L",IF(RIGHT(D35,1)="D","XL",IF(RIGHT(D35,1)="E","XXL",""))))),"")</f>
        <v>XL</v>
      </c>
      <c r="I35" s="26">
        <f t="shared" ref="I35:I66" si="8">IFERROR(J35/K35,"")</f>
        <v>36</v>
      </c>
      <c r="J35" s="26">
        <v>648</v>
      </c>
      <c r="K35" s="26">
        <f t="shared" ref="K35:K62" si="9">C35-B35+1</f>
        <v>18</v>
      </c>
      <c r="L35" s="27">
        <f t="shared" ref="L35:L66" si="10">IFERROR(K35*V35,"")</f>
        <v>1.118072989656</v>
      </c>
      <c r="M35" s="26">
        <v>196.56</v>
      </c>
      <c r="N35" s="26">
        <v>220.32</v>
      </c>
      <c r="O35" s="27">
        <f t="shared" ref="O35:O66" si="11">IFERROR(N35/K35,"")</f>
        <v>12.24</v>
      </c>
      <c r="P35" s="27">
        <f t="shared" ref="P35:P62" si="12">IFERROR(M35/K35,"")</f>
        <v>10.92</v>
      </c>
      <c r="Q35" s="26">
        <v>48.26</v>
      </c>
      <c r="R35" s="26" t="s">
        <v>23</v>
      </c>
      <c r="S35" s="26">
        <v>48.26</v>
      </c>
      <c r="T35" s="26" t="s">
        <v>23</v>
      </c>
      <c r="U35" s="26">
        <v>26.67</v>
      </c>
      <c r="V35" s="28">
        <f t="shared" ref="V35:V66" si="13">IFERROR((Q35*S35*U35)/1000000,"")</f>
        <v>6.2115166091999997E-2</v>
      </c>
      <c r="W35" s="26" t="s">
        <v>51</v>
      </c>
      <c r="X35" s="26" t="s">
        <v>51</v>
      </c>
      <c r="Y35" s="26" t="s">
        <v>184</v>
      </c>
    </row>
    <row r="36" spans="1:25">
      <c r="A36" s="26" t="s">
        <v>0</v>
      </c>
      <c r="B36" s="26">
        <v>1</v>
      </c>
      <c r="C36" s="26">
        <v>41</v>
      </c>
      <c r="D36" s="26" t="s">
        <v>156</v>
      </c>
      <c r="E36" s="26" t="s">
        <v>151</v>
      </c>
      <c r="F36" s="26" t="s">
        <v>50</v>
      </c>
      <c r="G36" s="26" t="s">
        <v>205</v>
      </c>
      <c r="H36" s="26" t="str">
        <f t="shared" si="7"/>
        <v>S</v>
      </c>
      <c r="I36" s="26">
        <f t="shared" si="8"/>
        <v>36</v>
      </c>
      <c r="J36" s="26">
        <v>1476</v>
      </c>
      <c r="K36" s="26">
        <f t="shared" si="9"/>
        <v>41</v>
      </c>
      <c r="L36" s="27">
        <f t="shared" si="10"/>
        <v>2.1829044083759999</v>
      </c>
      <c r="M36" s="26">
        <v>361.62</v>
      </c>
      <c r="N36" s="26">
        <v>415.74</v>
      </c>
      <c r="O36" s="27">
        <f t="shared" si="11"/>
        <v>10.14</v>
      </c>
      <c r="P36" s="27">
        <f t="shared" si="12"/>
        <v>8.82</v>
      </c>
      <c r="Q36" s="26">
        <v>48.26</v>
      </c>
      <c r="R36" s="26" t="s">
        <v>23</v>
      </c>
      <c r="S36" s="26">
        <v>48.26</v>
      </c>
      <c r="T36" s="26" t="s">
        <v>23</v>
      </c>
      <c r="U36" s="26">
        <v>22.86</v>
      </c>
      <c r="V36" s="28">
        <f t="shared" si="13"/>
        <v>5.3241570935999995E-2</v>
      </c>
      <c r="W36" s="26" t="s">
        <v>51</v>
      </c>
      <c r="X36" s="26" t="s">
        <v>51</v>
      </c>
      <c r="Y36" s="26" t="s">
        <v>184</v>
      </c>
    </row>
    <row r="37" spans="1:25">
      <c r="A37" s="26" t="s">
        <v>0</v>
      </c>
      <c r="B37" s="26">
        <v>42</v>
      </c>
      <c r="C37" s="26">
        <v>42</v>
      </c>
      <c r="D37" s="26" t="s">
        <v>156</v>
      </c>
      <c r="E37" s="26" t="s">
        <v>151</v>
      </c>
      <c r="F37" s="26" t="s">
        <v>50</v>
      </c>
      <c r="G37" s="26" t="s">
        <v>205</v>
      </c>
      <c r="H37" s="26" t="str">
        <f t="shared" si="7"/>
        <v>S</v>
      </c>
      <c r="I37" s="26">
        <f t="shared" si="8"/>
        <v>25</v>
      </c>
      <c r="J37" s="26">
        <v>25</v>
      </c>
      <c r="K37" s="26">
        <f t="shared" si="9"/>
        <v>1</v>
      </c>
      <c r="L37" s="27">
        <f t="shared" si="10"/>
        <v>5.3241570935999995E-2</v>
      </c>
      <c r="M37" s="26">
        <v>5.68</v>
      </c>
      <c r="N37" s="26">
        <v>7</v>
      </c>
      <c r="O37" s="27">
        <f t="shared" si="11"/>
        <v>7</v>
      </c>
      <c r="P37" s="27">
        <f t="shared" si="12"/>
        <v>5.68</v>
      </c>
      <c r="Q37" s="26">
        <v>48.26</v>
      </c>
      <c r="R37" s="26" t="s">
        <v>23</v>
      </c>
      <c r="S37" s="26">
        <v>48.26</v>
      </c>
      <c r="T37" s="26" t="s">
        <v>23</v>
      </c>
      <c r="U37" s="26">
        <v>22.86</v>
      </c>
      <c r="V37" s="28">
        <f t="shared" si="13"/>
        <v>5.3241570935999995E-2</v>
      </c>
      <c r="W37" s="26" t="s">
        <v>51</v>
      </c>
      <c r="X37" s="26" t="s">
        <v>51</v>
      </c>
      <c r="Y37" s="26" t="s">
        <v>184</v>
      </c>
    </row>
    <row r="38" spans="1:25">
      <c r="A38" s="26" t="s">
        <v>0</v>
      </c>
      <c r="B38" s="26">
        <v>43</v>
      </c>
      <c r="C38" s="26">
        <v>182</v>
      </c>
      <c r="D38" s="26" t="s">
        <v>157</v>
      </c>
      <c r="E38" s="26" t="s">
        <v>151</v>
      </c>
      <c r="F38" s="26" t="s">
        <v>50</v>
      </c>
      <c r="G38" s="26" t="s">
        <v>205</v>
      </c>
      <c r="H38" s="26" t="str">
        <f t="shared" si="7"/>
        <v>M</v>
      </c>
      <c r="I38" s="26">
        <f t="shared" si="8"/>
        <v>36</v>
      </c>
      <c r="J38" s="26">
        <v>5040</v>
      </c>
      <c r="K38" s="26">
        <f t="shared" si="9"/>
        <v>140</v>
      </c>
      <c r="L38" s="27">
        <f t="shared" si="10"/>
        <v>7.4538199310399991</v>
      </c>
      <c r="M38" s="26">
        <v>1324.4</v>
      </c>
      <c r="N38" s="26">
        <v>1509.2</v>
      </c>
      <c r="O38" s="27">
        <f t="shared" si="11"/>
        <v>10.780000000000001</v>
      </c>
      <c r="P38" s="27">
        <f t="shared" si="12"/>
        <v>9.4600000000000009</v>
      </c>
      <c r="Q38" s="26">
        <v>48.26</v>
      </c>
      <c r="R38" s="26" t="s">
        <v>23</v>
      </c>
      <c r="S38" s="26">
        <v>48.26</v>
      </c>
      <c r="T38" s="26" t="s">
        <v>23</v>
      </c>
      <c r="U38" s="26">
        <v>22.86</v>
      </c>
      <c r="V38" s="28">
        <f t="shared" si="13"/>
        <v>5.3241570935999995E-2</v>
      </c>
      <c r="W38" s="26" t="s">
        <v>51</v>
      </c>
      <c r="X38" s="26" t="s">
        <v>51</v>
      </c>
      <c r="Y38" s="26" t="s">
        <v>184</v>
      </c>
    </row>
    <row r="39" spans="1:25">
      <c r="A39" s="26" t="s">
        <v>0</v>
      </c>
      <c r="B39" s="26">
        <v>183</v>
      </c>
      <c r="C39" s="26">
        <v>183</v>
      </c>
      <c r="D39" s="26" t="s">
        <v>157</v>
      </c>
      <c r="E39" s="26" t="s">
        <v>151</v>
      </c>
      <c r="F39" s="26" t="s">
        <v>50</v>
      </c>
      <c r="G39" s="26" t="s">
        <v>205</v>
      </c>
      <c r="H39" s="26" t="str">
        <f t="shared" si="7"/>
        <v>M</v>
      </c>
      <c r="I39" s="26">
        <f t="shared" si="8"/>
        <v>17</v>
      </c>
      <c r="J39" s="26">
        <v>17</v>
      </c>
      <c r="K39" s="26">
        <f t="shared" si="9"/>
        <v>1</v>
      </c>
      <c r="L39" s="27">
        <f t="shared" si="10"/>
        <v>5.3241570935999995E-2</v>
      </c>
      <c r="M39" s="26">
        <v>3.61</v>
      </c>
      <c r="N39" s="26">
        <v>4.93</v>
      </c>
      <c r="O39" s="27">
        <f t="shared" si="11"/>
        <v>4.93</v>
      </c>
      <c r="P39" s="27">
        <f t="shared" si="12"/>
        <v>3.61</v>
      </c>
      <c r="Q39" s="26">
        <v>48.26</v>
      </c>
      <c r="R39" s="26" t="s">
        <v>23</v>
      </c>
      <c r="S39" s="26">
        <v>48.26</v>
      </c>
      <c r="T39" s="26" t="s">
        <v>23</v>
      </c>
      <c r="U39" s="26">
        <v>22.86</v>
      </c>
      <c r="V39" s="28">
        <f t="shared" si="13"/>
        <v>5.3241570935999995E-2</v>
      </c>
      <c r="W39" s="26" t="s">
        <v>51</v>
      </c>
      <c r="X39" s="26" t="s">
        <v>51</v>
      </c>
      <c r="Y39" s="26" t="s">
        <v>184</v>
      </c>
    </row>
    <row r="40" spans="1:25">
      <c r="A40" s="26" t="s">
        <v>0</v>
      </c>
      <c r="B40" s="26">
        <v>184</v>
      </c>
      <c r="C40" s="26">
        <v>279</v>
      </c>
      <c r="D40" s="26" t="s">
        <v>158</v>
      </c>
      <c r="E40" s="26" t="s">
        <v>151</v>
      </c>
      <c r="F40" s="26" t="s">
        <v>50</v>
      </c>
      <c r="G40" s="26" t="s">
        <v>205</v>
      </c>
      <c r="H40" s="26" t="str">
        <f t="shared" si="7"/>
        <v>L</v>
      </c>
      <c r="I40" s="26">
        <f t="shared" si="8"/>
        <v>36</v>
      </c>
      <c r="J40" s="26">
        <v>3456</v>
      </c>
      <c r="K40" s="26">
        <f t="shared" si="9"/>
        <v>96</v>
      </c>
      <c r="L40" s="27">
        <f t="shared" si="10"/>
        <v>5.1111908098559997</v>
      </c>
      <c r="M40" s="26">
        <v>967.68</v>
      </c>
      <c r="N40" s="26">
        <v>1094.4000000000001</v>
      </c>
      <c r="O40" s="27">
        <f t="shared" si="11"/>
        <v>11.4</v>
      </c>
      <c r="P40" s="27">
        <f t="shared" si="12"/>
        <v>10.08</v>
      </c>
      <c r="Q40" s="26">
        <v>48.26</v>
      </c>
      <c r="R40" s="26" t="s">
        <v>23</v>
      </c>
      <c r="S40" s="26">
        <v>48.26</v>
      </c>
      <c r="T40" s="26" t="s">
        <v>23</v>
      </c>
      <c r="U40" s="26">
        <v>22.86</v>
      </c>
      <c r="V40" s="28">
        <f t="shared" si="13"/>
        <v>5.3241570935999995E-2</v>
      </c>
      <c r="W40" s="26" t="s">
        <v>51</v>
      </c>
      <c r="X40" s="26" t="s">
        <v>51</v>
      </c>
      <c r="Y40" s="26" t="s">
        <v>184</v>
      </c>
    </row>
    <row r="41" spans="1:25">
      <c r="A41" s="26" t="s">
        <v>0</v>
      </c>
      <c r="B41" s="26">
        <v>280</v>
      </c>
      <c r="C41" s="26">
        <v>280</v>
      </c>
      <c r="D41" s="26" t="s">
        <v>158</v>
      </c>
      <c r="E41" s="26" t="s">
        <v>151</v>
      </c>
      <c r="F41" s="26" t="s">
        <v>50</v>
      </c>
      <c r="G41" s="26" t="s">
        <v>205</v>
      </c>
      <c r="H41" s="26" t="str">
        <f t="shared" si="7"/>
        <v>L</v>
      </c>
      <c r="I41" s="26">
        <f t="shared" si="8"/>
        <v>25</v>
      </c>
      <c r="J41" s="26">
        <v>25</v>
      </c>
      <c r="K41" s="26">
        <f t="shared" si="9"/>
        <v>1</v>
      </c>
      <c r="L41" s="27">
        <f t="shared" si="10"/>
        <v>5.3241570935999995E-2</v>
      </c>
      <c r="M41" s="26">
        <v>6.43</v>
      </c>
      <c r="N41" s="26">
        <v>7.75</v>
      </c>
      <c r="O41" s="27">
        <f t="shared" si="11"/>
        <v>7.75</v>
      </c>
      <c r="P41" s="27">
        <f t="shared" si="12"/>
        <v>6.43</v>
      </c>
      <c r="Q41" s="26">
        <v>48.26</v>
      </c>
      <c r="R41" s="26" t="s">
        <v>23</v>
      </c>
      <c r="S41" s="26">
        <v>48.26</v>
      </c>
      <c r="T41" s="26" t="s">
        <v>23</v>
      </c>
      <c r="U41" s="26">
        <v>22.86</v>
      </c>
      <c r="V41" s="28">
        <f t="shared" si="13"/>
        <v>5.3241570935999995E-2</v>
      </c>
      <c r="W41" s="26" t="s">
        <v>51</v>
      </c>
      <c r="X41" s="26" t="s">
        <v>51</v>
      </c>
      <c r="Y41" s="26" t="s">
        <v>184</v>
      </c>
    </row>
    <row r="42" spans="1:25">
      <c r="A42" s="26" t="s">
        <v>0</v>
      </c>
      <c r="B42" s="26">
        <v>281</v>
      </c>
      <c r="C42" s="26">
        <v>325</v>
      </c>
      <c r="D42" s="26" t="s">
        <v>159</v>
      </c>
      <c r="E42" s="26" t="s">
        <v>151</v>
      </c>
      <c r="F42" s="26" t="s">
        <v>50</v>
      </c>
      <c r="G42" s="26" t="s">
        <v>205</v>
      </c>
      <c r="H42" s="26" t="str">
        <f t="shared" si="7"/>
        <v>XL</v>
      </c>
      <c r="I42" s="26">
        <f t="shared" si="8"/>
        <v>36</v>
      </c>
      <c r="J42" s="26">
        <v>1620</v>
      </c>
      <c r="K42" s="26">
        <f t="shared" si="9"/>
        <v>45</v>
      </c>
      <c r="L42" s="27">
        <f t="shared" si="10"/>
        <v>2.7951824741399998</v>
      </c>
      <c r="M42" s="26">
        <v>491.4</v>
      </c>
      <c r="N42" s="26">
        <v>550.79999999999995</v>
      </c>
      <c r="O42" s="27">
        <f t="shared" si="11"/>
        <v>12.239999999999998</v>
      </c>
      <c r="P42" s="27">
        <f t="shared" si="12"/>
        <v>10.92</v>
      </c>
      <c r="Q42" s="26">
        <v>48.26</v>
      </c>
      <c r="R42" s="26" t="s">
        <v>23</v>
      </c>
      <c r="S42" s="26">
        <v>48.26</v>
      </c>
      <c r="T42" s="26" t="s">
        <v>23</v>
      </c>
      <c r="U42" s="26">
        <v>26.67</v>
      </c>
      <c r="V42" s="28">
        <f t="shared" si="13"/>
        <v>6.2115166091999997E-2</v>
      </c>
      <c r="W42" s="26" t="s">
        <v>51</v>
      </c>
      <c r="X42" s="26" t="s">
        <v>51</v>
      </c>
      <c r="Y42" s="26" t="s">
        <v>184</v>
      </c>
    </row>
    <row r="43" spans="1:25">
      <c r="A43" s="26" t="s">
        <v>0</v>
      </c>
      <c r="B43" s="26">
        <v>326</v>
      </c>
      <c r="C43" s="26">
        <v>326</v>
      </c>
      <c r="D43" s="26" t="s">
        <v>159</v>
      </c>
      <c r="E43" s="26" t="s">
        <v>151</v>
      </c>
      <c r="F43" s="26" t="s">
        <v>50</v>
      </c>
      <c r="G43" s="26" t="s">
        <v>205</v>
      </c>
      <c r="H43" s="26" t="str">
        <f t="shared" si="7"/>
        <v>XL</v>
      </c>
      <c r="I43" s="26">
        <f t="shared" si="8"/>
        <v>32</v>
      </c>
      <c r="J43" s="26">
        <v>32</v>
      </c>
      <c r="K43" s="26">
        <f t="shared" si="9"/>
        <v>1</v>
      </c>
      <c r="L43" s="27">
        <f t="shared" si="10"/>
        <v>6.2115166091999997E-2</v>
      </c>
      <c r="M43" s="26">
        <v>9.56</v>
      </c>
      <c r="N43" s="26">
        <v>10.88</v>
      </c>
      <c r="O43" s="27">
        <f t="shared" si="11"/>
        <v>10.88</v>
      </c>
      <c r="P43" s="27">
        <f t="shared" si="12"/>
        <v>9.56</v>
      </c>
      <c r="Q43" s="26">
        <v>48.26</v>
      </c>
      <c r="R43" s="26" t="s">
        <v>23</v>
      </c>
      <c r="S43" s="26">
        <v>48.26</v>
      </c>
      <c r="T43" s="26" t="s">
        <v>23</v>
      </c>
      <c r="U43" s="26">
        <v>26.67</v>
      </c>
      <c r="V43" s="28">
        <f t="shared" si="13"/>
        <v>6.2115166091999997E-2</v>
      </c>
      <c r="W43" s="26" t="s">
        <v>51</v>
      </c>
      <c r="X43" s="26" t="s">
        <v>51</v>
      </c>
      <c r="Y43" s="26" t="s">
        <v>184</v>
      </c>
    </row>
    <row r="44" spans="1:25">
      <c r="A44" s="26" t="s">
        <v>0</v>
      </c>
      <c r="B44" s="26">
        <v>1</v>
      </c>
      <c r="C44" s="26">
        <v>16</v>
      </c>
      <c r="D44" s="26" t="s">
        <v>160</v>
      </c>
      <c r="E44" s="26" t="s">
        <v>151</v>
      </c>
      <c r="F44" s="26" t="s">
        <v>50</v>
      </c>
      <c r="G44" s="26" t="s">
        <v>205</v>
      </c>
      <c r="H44" s="26" t="str">
        <f t="shared" si="7"/>
        <v>XXL</v>
      </c>
      <c r="I44" s="26">
        <f t="shared" si="8"/>
        <v>36</v>
      </c>
      <c r="J44" s="26">
        <v>576</v>
      </c>
      <c r="K44" s="26">
        <f t="shared" si="9"/>
        <v>16</v>
      </c>
      <c r="L44" s="27">
        <f t="shared" si="10"/>
        <v>0.99384265747199996</v>
      </c>
      <c r="M44" s="26">
        <v>185.28</v>
      </c>
      <c r="N44" s="26">
        <v>206.4</v>
      </c>
      <c r="O44" s="27">
        <f t="shared" si="11"/>
        <v>12.9</v>
      </c>
      <c r="P44" s="27">
        <f t="shared" si="12"/>
        <v>11.58</v>
      </c>
      <c r="Q44" s="26">
        <v>48.26</v>
      </c>
      <c r="R44" s="26" t="s">
        <v>23</v>
      </c>
      <c r="S44" s="26">
        <v>48.26</v>
      </c>
      <c r="T44" s="26" t="s">
        <v>23</v>
      </c>
      <c r="U44" s="26">
        <v>26.67</v>
      </c>
      <c r="V44" s="28">
        <f t="shared" si="13"/>
        <v>6.2115166091999997E-2</v>
      </c>
      <c r="W44" s="26" t="s">
        <v>51</v>
      </c>
      <c r="X44" s="26" t="s">
        <v>51</v>
      </c>
      <c r="Y44" s="26" t="s">
        <v>184</v>
      </c>
    </row>
    <row r="45" spans="1:25">
      <c r="A45" s="26" t="s">
        <v>0</v>
      </c>
      <c r="B45" s="26">
        <v>17</v>
      </c>
      <c r="C45" s="26">
        <v>17</v>
      </c>
      <c r="D45" s="26" t="s">
        <v>160</v>
      </c>
      <c r="E45" s="26" t="s">
        <v>151</v>
      </c>
      <c r="F45" s="26" t="s">
        <v>50</v>
      </c>
      <c r="G45" s="26" t="s">
        <v>205</v>
      </c>
      <c r="H45" s="26" t="str">
        <f t="shared" si="7"/>
        <v>XXL</v>
      </c>
      <c r="I45" s="26">
        <f t="shared" si="8"/>
        <v>33</v>
      </c>
      <c r="J45" s="26">
        <v>33</v>
      </c>
      <c r="K45" s="26">
        <f t="shared" si="9"/>
        <v>1</v>
      </c>
      <c r="L45" s="27">
        <f t="shared" si="10"/>
        <v>6.2115166091999997E-2</v>
      </c>
      <c r="M45" s="26">
        <v>10.23</v>
      </c>
      <c r="N45" s="26">
        <v>11.55</v>
      </c>
      <c r="O45" s="27">
        <f t="shared" si="11"/>
        <v>11.55</v>
      </c>
      <c r="P45" s="27">
        <f t="shared" si="12"/>
        <v>10.23</v>
      </c>
      <c r="Q45" s="26">
        <v>48.26</v>
      </c>
      <c r="R45" s="26" t="s">
        <v>23</v>
      </c>
      <c r="S45" s="26">
        <v>48.26</v>
      </c>
      <c r="T45" s="26" t="s">
        <v>23</v>
      </c>
      <c r="U45" s="26">
        <v>26.67</v>
      </c>
      <c r="V45" s="28">
        <f t="shared" si="13"/>
        <v>6.2115166091999997E-2</v>
      </c>
      <c r="W45" s="26" t="s">
        <v>51</v>
      </c>
      <c r="X45" s="26" t="s">
        <v>51</v>
      </c>
      <c r="Y45" s="26" t="s">
        <v>184</v>
      </c>
    </row>
    <row r="46" spans="1:25">
      <c r="A46" s="26" t="s">
        <v>0</v>
      </c>
      <c r="B46" s="26">
        <v>1</v>
      </c>
      <c r="C46" s="26">
        <v>11</v>
      </c>
      <c r="D46" s="26" t="s">
        <v>162</v>
      </c>
      <c r="E46" s="26" t="s">
        <v>151</v>
      </c>
      <c r="F46" s="26" t="s">
        <v>50</v>
      </c>
      <c r="G46" s="26" t="s">
        <v>39</v>
      </c>
      <c r="H46" s="26" t="str">
        <f t="shared" si="7"/>
        <v>S</v>
      </c>
      <c r="I46" s="26">
        <f t="shared" si="8"/>
        <v>36</v>
      </c>
      <c r="J46" s="26">
        <v>396</v>
      </c>
      <c r="K46" s="26">
        <f t="shared" si="9"/>
        <v>11</v>
      </c>
      <c r="L46" s="27">
        <f t="shared" si="10"/>
        <v>0.58565728029599995</v>
      </c>
      <c r="M46" s="26">
        <v>98.34</v>
      </c>
      <c r="N46" s="26">
        <v>112.86</v>
      </c>
      <c r="O46" s="27">
        <f t="shared" si="11"/>
        <v>10.26</v>
      </c>
      <c r="P46" s="27">
        <f t="shared" si="12"/>
        <v>8.94</v>
      </c>
      <c r="Q46" s="26">
        <v>48.26</v>
      </c>
      <c r="R46" s="26" t="s">
        <v>23</v>
      </c>
      <c r="S46" s="26">
        <v>48.26</v>
      </c>
      <c r="T46" s="26" t="s">
        <v>23</v>
      </c>
      <c r="U46" s="26">
        <v>22.86</v>
      </c>
      <c r="V46" s="28">
        <f t="shared" si="13"/>
        <v>5.3241570935999995E-2</v>
      </c>
      <c r="W46" s="26" t="s">
        <v>51</v>
      </c>
      <c r="X46" s="26" t="s">
        <v>51</v>
      </c>
      <c r="Y46" s="26" t="s">
        <v>184</v>
      </c>
    </row>
    <row r="47" spans="1:25">
      <c r="A47" s="26" t="s">
        <v>0</v>
      </c>
      <c r="B47" s="26">
        <v>12</v>
      </c>
      <c r="C47" s="26">
        <v>33</v>
      </c>
      <c r="D47" s="26" t="s">
        <v>163</v>
      </c>
      <c r="E47" s="26" t="s">
        <v>151</v>
      </c>
      <c r="F47" s="26" t="s">
        <v>50</v>
      </c>
      <c r="G47" s="26" t="s">
        <v>39</v>
      </c>
      <c r="H47" s="26" t="str">
        <f t="shared" si="7"/>
        <v>M</v>
      </c>
      <c r="I47" s="26">
        <f t="shared" si="8"/>
        <v>36</v>
      </c>
      <c r="J47" s="26">
        <v>792</v>
      </c>
      <c r="K47" s="26">
        <f t="shared" si="9"/>
        <v>22</v>
      </c>
      <c r="L47" s="27">
        <f t="shared" si="10"/>
        <v>1.1713145605919999</v>
      </c>
      <c r="M47" s="26">
        <v>209.44</v>
      </c>
      <c r="N47" s="26">
        <v>238.48</v>
      </c>
      <c r="O47" s="27">
        <f t="shared" si="11"/>
        <v>10.84</v>
      </c>
      <c r="P47" s="27">
        <f t="shared" si="12"/>
        <v>9.52</v>
      </c>
      <c r="Q47" s="26">
        <v>48.26</v>
      </c>
      <c r="R47" s="26" t="s">
        <v>23</v>
      </c>
      <c r="S47" s="26">
        <v>48.26</v>
      </c>
      <c r="T47" s="26" t="s">
        <v>23</v>
      </c>
      <c r="U47" s="26">
        <v>22.86</v>
      </c>
      <c r="V47" s="28">
        <f t="shared" si="13"/>
        <v>5.3241570935999995E-2</v>
      </c>
      <c r="W47" s="26" t="s">
        <v>51</v>
      </c>
      <c r="X47" s="26" t="s">
        <v>51</v>
      </c>
      <c r="Y47" s="26" t="s">
        <v>184</v>
      </c>
    </row>
    <row r="48" spans="1:25">
      <c r="A48" s="26" t="s">
        <v>0</v>
      </c>
      <c r="B48" s="26">
        <v>34</v>
      </c>
      <c r="C48" s="26">
        <v>54</v>
      </c>
      <c r="D48" s="26" t="s">
        <v>164</v>
      </c>
      <c r="E48" s="26" t="s">
        <v>151</v>
      </c>
      <c r="F48" s="26" t="s">
        <v>50</v>
      </c>
      <c r="G48" s="26" t="s">
        <v>39</v>
      </c>
      <c r="H48" s="26" t="str">
        <f t="shared" si="7"/>
        <v>L</v>
      </c>
      <c r="I48" s="26">
        <f t="shared" si="8"/>
        <v>36</v>
      </c>
      <c r="J48" s="26">
        <v>756</v>
      </c>
      <c r="K48" s="26">
        <f t="shared" si="9"/>
        <v>21</v>
      </c>
      <c r="L48" s="27">
        <f t="shared" si="10"/>
        <v>1.118072989656</v>
      </c>
      <c r="M48" s="26">
        <v>211.68</v>
      </c>
      <c r="N48" s="26">
        <v>239.4</v>
      </c>
      <c r="O48" s="27">
        <f t="shared" si="11"/>
        <v>11.4</v>
      </c>
      <c r="P48" s="27">
        <f t="shared" si="12"/>
        <v>10.08</v>
      </c>
      <c r="Q48" s="26">
        <v>48.26</v>
      </c>
      <c r="R48" s="26" t="s">
        <v>23</v>
      </c>
      <c r="S48" s="26">
        <v>48.26</v>
      </c>
      <c r="T48" s="26" t="s">
        <v>23</v>
      </c>
      <c r="U48" s="26">
        <v>22.86</v>
      </c>
      <c r="V48" s="28">
        <f t="shared" si="13"/>
        <v>5.3241570935999995E-2</v>
      </c>
      <c r="W48" s="26" t="s">
        <v>51</v>
      </c>
      <c r="X48" s="26" t="s">
        <v>51</v>
      </c>
      <c r="Y48" s="26" t="s">
        <v>184</v>
      </c>
    </row>
    <row r="49" spans="1:25">
      <c r="A49" s="26" t="s">
        <v>0</v>
      </c>
      <c r="B49" s="26">
        <v>55</v>
      </c>
      <c r="C49" s="26">
        <v>55</v>
      </c>
      <c r="D49" s="26" t="s">
        <v>164</v>
      </c>
      <c r="E49" s="26" t="s">
        <v>151</v>
      </c>
      <c r="F49" s="26" t="s">
        <v>50</v>
      </c>
      <c r="G49" s="26" t="s">
        <v>39</v>
      </c>
      <c r="H49" s="26" t="str">
        <f t="shared" si="7"/>
        <v>L</v>
      </c>
      <c r="I49" s="26">
        <f t="shared" si="8"/>
        <v>32</v>
      </c>
      <c r="J49" s="26">
        <v>32</v>
      </c>
      <c r="K49" s="26">
        <f t="shared" si="9"/>
        <v>1</v>
      </c>
      <c r="L49" s="27">
        <f t="shared" si="10"/>
        <v>5.3241570935999995E-2</v>
      </c>
      <c r="M49" s="26">
        <v>8.6</v>
      </c>
      <c r="N49" s="26">
        <v>9.92</v>
      </c>
      <c r="O49" s="27">
        <f t="shared" si="11"/>
        <v>9.92</v>
      </c>
      <c r="P49" s="27">
        <f t="shared" si="12"/>
        <v>8.6</v>
      </c>
      <c r="Q49" s="26">
        <v>48.26</v>
      </c>
      <c r="R49" s="26" t="s">
        <v>23</v>
      </c>
      <c r="S49" s="26">
        <v>48.26</v>
      </c>
      <c r="T49" s="26" t="s">
        <v>23</v>
      </c>
      <c r="U49" s="26">
        <v>22.86</v>
      </c>
      <c r="V49" s="28">
        <f t="shared" si="13"/>
        <v>5.3241570935999995E-2</v>
      </c>
      <c r="W49" s="26" t="s">
        <v>51</v>
      </c>
      <c r="X49" s="26" t="s">
        <v>51</v>
      </c>
      <c r="Y49" s="26" t="s">
        <v>184</v>
      </c>
    </row>
    <row r="50" spans="1:25">
      <c r="A50" s="26" t="s">
        <v>0</v>
      </c>
      <c r="B50" s="26">
        <v>56</v>
      </c>
      <c r="C50" s="26">
        <v>66</v>
      </c>
      <c r="D50" s="26" t="s">
        <v>165</v>
      </c>
      <c r="E50" s="26" t="s">
        <v>151</v>
      </c>
      <c r="F50" s="26" t="s">
        <v>50</v>
      </c>
      <c r="G50" s="26" t="s">
        <v>39</v>
      </c>
      <c r="H50" s="26" t="str">
        <f t="shared" si="7"/>
        <v>XL</v>
      </c>
      <c r="I50" s="26">
        <f t="shared" si="8"/>
        <v>36</v>
      </c>
      <c r="J50" s="26">
        <v>396</v>
      </c>
      <c r="K50" s="26">
        <f t="shared" si="9"/>
        <v>11</v>
      </c>
      <c r="L50" s="27">
        <f t="shared" si="10"/>
        <v>0.68326682701199992</v>
      </c>
      <c r="M50" s="26">
        <v>120.78</v>
      </c>
      <c r="N50" s="26">
        <v>135.30000000000001</v>
      </c>
      <c r="O50" s="27">
        <f t="shared" si="11"/>
        <v>12.3</v>
      </c>
      <c r="P50" s="27">
        <f t="shared" si="12"/>
        <v>10.98</v>
      </c>
      <c r="Q50" s="26">
        <v>48.26</v>
      </c>
      <c r="R50" s="26" t="s">
        <v>23</v>
      </c>
      <c r="S50" s="26">
        <v>48.26</v>
      </c>
      <c r="T50" s="26" t="s">
        <v>23</v>
      </c>
      <c r="U50" s="26">
        <v>26.67</v>
      </c>
      <c r="V50" s="28">
        <f t="shared" si="13"/>
        <v>6.2115166091999997E-2</v>
      </c>
      <c r="W50" s="26" t="s">
        <v>51</v>
      </c>
      <c r="X50" s="26" t="s">
        <v>51</v>
      </c>
      <c r="Y50" s="26" t="s">
        <v>184</v>
      </c>
    </row>
    <row r="51" spans="1:25">
      <c r="A51" s="26" t="s">
        <v>0</v>
      </c>
      <c r="B51" s="26">
        <v>1</v>
      </c>
      <c r="C51" s="26">
        <v>29</v>
      </c>
      <c r="D51" s="26" t="s">
        <v>167</v>
      </c>
      <c r="E51" s="26" t="s">
        <v>123</v>
      </c>
      <c r="F51" s="26" t="s">
        <v>50</v>
      </c>
      <c r="G51" s="26" t="s">
        <v>208</v>
      </c>
      <c r="H51" s="26" t="str">
        <f t="shared" si="7"/>
        <v>S</v>
      </c>
      <c r="I51" s="26">
        <f t="shared" si="8"/>
        <v>36</v>
      </c>
      <c r="J51" s="26">
        <v>1044</v>
      </c>
      <c r="K51" s="26">
        <f t="shared" si="9"/>
        <v>29</v>
      </c>
      <c r="L51" s="27">
        <f t="shared" si="10"/>
        <v>1.5440055571439999</v>
      </c>
      <c r="M51" s="26">
        <v>250.56</v>
      </c>
      <c r="N51" s="26">
        <v>278.39999999999998</v>
      </c>
      <c r="O51" s="27">
        <f t="shared" si="11"/>
        <v>9.6</v>
      </c>
      <c r="P51" s="27">
        <f t="shared" si="12"/>
        <v>8.64</v>
      </c>
      <c r="Q51" s="26">
        <v>48.26</v>
      </c>
      <c r="R51" s="26" t="s">
        <v>23</v>
      </c>
      <c r="S51" s="26">
        <v>48.26</v>
      </c>
      <c r="T51" s="26" t="s">
        <v>23</v>
      </c>
      <c r="U51" s="26">
        <v>22.86</v>
      </c>
      <c r="V51" s="28">
        <f t="shared" si="13"/>
        <v>5.3241570935999995E-2</v>
      </c>
      <c r="W51" s="26" t="s">
        <v>51</v>
      </c>
      <c r="X51" s="26" t="s">
        <v>51</v>
      </c>
      <c r="Y51" s="26" t="s">
        <v>37</v>
      </c>
    </row>
    <row r="52" spans="1:25">
      <c r="A52" s="26" t="s">
        <v>0</v>
      </c>
      <c r="B52" s="26">
        <v>31</v>
      </c>
      <c r="C52" s="26">
        <v>100</v>
      </c>
      <c r="D52" s="26" t="s">
        <v>168</v>
      </c>
      <c r="E52" s="26" t="s">
        <v>123</v>
      </c>
      <c r="F52" s="26" t="s">
        <v>50</v>
      </c>
      <c r="G52" s="26" t="s">
        <v>208</v>
      </c>
      <c r="H52" s="26" t="str">
        <f t="shared" si="7"/>
        <v>M</v>
      </c>
      <c r="I52" s="26">
        <f t="shared" si="8"/>
        <v>36</v>
      </c>
      <c r="J52" s="26">
        <v>2520</v>
      </c>
      <c r="K52" s="26">
        <f t="shared" si="9"/>
        <v>70</v>
      </c>
      <c r="L52" s="27">
        <f t="shared" si="10"/>
        <v>3.7269099655199995</v>
      </c>
      <c r="M52" s="26">
        <v>635.6</v>
      </c>
      <c r="N52" s="26">
        <v>702.8</v>
      </c>
      <c r="O52" s="27">
        <f t="shared" si="11"/>
        <v>10.039999999999999</v>
      </c>
      <c r="P52" s="27">
        <f t="shared" si="12"/>
        <v>9.08</v>
      </c>
      <c r="Q52" s="26">
        <v>48.26</v>
      </c>
      <c r="R52" s="26" t="s">
        <v>23</v>
      </c>
      <c r="S52" s="26">
        <v>48.26</v>
      </c>
      <c r="T52" s="26" t="s">
        <v>23</v>
      </c>
      <c r="U52" s="26">
        <v>22.86</v>
      </c>
      <c r="V52" s="28">
        <f t="shared" si="13"/>
        <v>5.3241570935999995E-2</v>
      </c>
      <c r="W52" s="26" t="s">
        <v>51</v>
      </c>
      <c r="X52" s="26" t="s">
        <v>51</v>
      </c>
      <c r="Y52" s="26" t="s">
        <v>37</v>
      </c>
    </row>
    <row r="53" spans="1:25">
      <c r="A53" s="26" t="s">
        <v>0</v>
      </c>
      <c r="B53" s="26">
        <v>104</v>
      </c>
      <c r="C53" s="26">
        <v>167</v>
      </c>
      <c r="D53" s="26" t="s">
        <v>169</v>
      </c>
      <c r="E53" s="26" t="s">
        <v>123</v>
      </c>
      <c r="F53" s="26" t="s">
        <v>50</v>
      </c>
      <c r="G53" s="26" t="s">
        <v>208</v>
      </c>
      <c r="H53" s="26" t="str">
        <f t="shared" si="7"/>
        <v>L</v>
      </c>
      <c r="I53" s="26">
        <f t="shared" si="8"/>
        <v>36</v>
      </c>
      <c r="J53" s="26">
        <v>2304</v>
      </c>
      <c r="K53" s="26">
        <f t="shared" si="9"/>
        <v>64</v>
      </c>
      <c r="L53" s="27">
        <f t="shared" si="10"/>
        <v>3.4074605399039997</v>
      </c>
      <c r="M53" s="26">
        <v>618.24</v>
      </c>
      <c r="N53" s="26">
        <v>679.68</v>
      </c>
      <c r="O53" s="27">
        <f t="shared" si="11"/>
        <v>10.62</v>
      </c>
      <c r="P53" s="27">
        <f t="shared" si="12"/>
        <v>9.66</v>
      </c>
      <c r="Q53" s="26">
        <v>48.26</v>
      </c>
      <c r="R53" s="26" t="s">
        <v>23</v>
      </c>
      <c r="S53" s="26">
        <v>48.26</v>
      </c>
      <c r="T53" s="26" t="s">
        <v>23</v>
      </c>
      <c r="U53" s="26">
        <v>22.86</v>
      </c>
      <c r="V53" s="28">
        <f t="shared" si="13"/>
        <v>5.3241570935999995E-2</v>
      </c>
      <c r="W53" s="26" t="s">
        <v>51</v>
      </c>
      <c r="X53" s="26" t="s">
        <v>51</v>
      </c>
      <c r="Y53" s="26" t="s">
        <v>37</v>
      </c>
    </row>
    <row r="54" spans="1:25">
      <c r="A54" s="26" t="s">
        <v>0</v>
      </c>
      <c r="B54" s="26">
        <v>170</v>
      </c>
      <c r="C54" s="26">
        <v>203</v>
      </c>
      <c r="D54" s="26" t="s">
        <v>170</v>
      </c>
      <c r="E54" s="26" t="s">
        <v>123</v>
      </c>
      <c r="F54" s="26" t="s">
        <v>50</v>
      </c>
      <c r="G54" s="26" t="s">
        <v>208</v>
      </c>
      <c r="H54" s="26" t="str">
        <f t="shared" si="7"/>
        <v>XL</v>
      </c>
      <c r="I54" s="26">
        <f t="shared" si="8"/>
        <v>36</v>
      </c>
      <c r="J54" s="26">
        <v>1224</v>
      </c>
      <c r="K54" s="26">
        <f t="shared" si="9"/>
        <v>34</v>
      </c>
      <c r="L54" s="27">
        <f t="shared" si="10"/>
        <v>2.1119156471279998</v>
      </c>
      <c r="M54" s="26">
        <v>365.16</v>
      </c>
      <c r="N54" s="26">
        <v>399.84</v>
      </c>
      <c r="O54" s="27">
        <f t="shared" si="11"/>
        <v>11.76</v>
      </c>
      <c r="P54" s="27">
        <f t="shared" si="12"/>
        <v>10.74</v>
      </c>
      <c r="Q54" s="26">
        <v>48.26</v>
      </c>
      <c r="R54" s="26" t="s">
        <v>23</v>
      </c>
      <c r="S54" s="26">
        <v>48.26</v>
      </c>
      <c r="T54" s="26" t="s">
        <v>23</v>
      </c>
      <c r="U54" s="26">
        <v>26.67</v>
      </c>
      <c r="V54" s="28">
        <f t="shared" si="13"/>
        <v>6.2115166091999997E-2</v>
      </c>
      <c r="W54" s="26" t="s">
        <v>51</v>
      </c>
      <c r="X54" s="26" t="s">
        <v>51</v>
      </c>
      <c r="Y54" s="26" t="s">
        <v>37</v>
      </c>
    </row>
    <row r="55" spans="1:25">
      <c r="A55" s="26" t="s">
        <v>0</v>
      </c>
      <c r="B55" s="26">
        <v>1</v>
      </c>
      <c r="C55" s="26">
        <v>9</v>
      </c>
      <c r="D55" s="26" t="s">
        <v>171</v>
      </c>
      <c r="E55" s="26" t="s">
        <v>123</v>
      </c>
      <c r="F55" s="26" t="s">
        <v>50</v>
      </c>
      <c r="G55" s="26" t="s">
        <v>208</v>
      </c>
      <c r="H55" s="26" t="str">
        <f t="shared" si="7"/>
        <v>XXL</v>
      </c>
      <c r="I55" s="26">
        <f t="shared" si="8"/>
        <v>36</v>
      </c>
      <c r="J55" s="26">
        <v>324</v>
      </c>
      <c r="K55" s="26">
        <f t="shared" si="9"/>
        <v>9</v>
      </c>
      <c r="L55" s="27">
        <f t="shared" si="10"/>
        <v>0.559036494828</v>
      </c>
      <c r="M55" s="26">
        <v>98.46</v>
      </c>
      <c r="N55" s="26">
        <v>107.64</v>
      </c>
      <c r="O55" s="27">
        <f t="shared" si="11"/>
        <v>11.96</v>
      </c>
      <c r="P55" s="27">
        <f t="shared" si="12"/>
        <v>10.94</v>
      </c>
      <c r="Q55" s="26">
        <v>48.26</v>
      </c>
      <c r="R55" s="26" t="s">
        <v>23</v>
      </c>
      <c r="S55" s="26">
        <v>48.26</v>
      </c>
      <c r="T55" s="26" t="s">
        <v>23</v>
      </c>
      <c r="U55" s="26">
        <v>26.67</v>
      </c>
      <c r="V55" s="28">
        <f t="shared" si="13"/>
        <v>6.2115166091999997E-2</v>
      </c>
      <c r="W55" s="26" t="s">
        <v>51</v>
      </c>
      <c r="X55" s="26" t="s">
        <v>51</v>
      </c>
      <c r="Y55" s="26" t="s">
        <v>37</v>
      </c>
    </row>
    <row r="56" spans="1:25">
      <c r="A56" s="26" t="s">
        <v>0</v>
      </c>
      <c r="B56" s="26">
        <v>10</v>
      </c>
      <c r="C56" s="26">
        <v>10</v>
      </c>
      <c r="D56" s="26" t="s">
        <v>171</v>
      </c>
      <c r="E56" s="26" t="s">
        <v>123</v>
      </c>
      <c r="F56" s="26" t="s">
        <v>50</v>
      </c>
      <c r="G56" s="26" t="s">
        <v>208</v>
      </c>
      <c r="H56" s="26" t="str">
        <f t="shared" si="7"/>
        <v>XXL</v>
      </c>
      <c r="I56" s="26">
        <f t="shared" si="8"/>
        <v>31</v>
      </c>
      <c r="J56" s="26">
        <v>31</v>
      </c>
      <c r="K56" s="26">
        <f t="shared" si="9"/>
        <v>1</v>
      </c>
      <c r="L56" s="27">
        <f t="shared" si="10"/>
        <v>6.2115166091999997E-2</v>
      </c>
      <c r="M56" s="26">
        <v>9.42</v>
      </c>
      <c r="N56" s="26">
        <v>10.44</v>
      </c>
      <c r="O56" s="27">
        <f t="shared" si="11"/>
        <v>10.44</v>
      </c>
      <c r="P56" s="27">
        <f t="shared" si="12"/>
        <v>9.42</v>
      </c>
      <c r="Q56" s="26">
        <v>48.26</v>
      </c>
      <c r="R56" s="26" t="s">
        <v>23</v>
      </c>
      <c r="S56" s="26">
        <v>48.26</v>
      </c>
      <c r="T56" s="26" t="s">
        <v>23</v>
      </c>
      <c r="U56" s="26">
        <v>26.67</v>
      </c>
      <c r="V56" s="28">
        <f t="shared" si="13"/>
        <v>6.2115166091999997E-2</v>
      </c>
      <c r="W56" s="26" t="s">
        <v>51</v>
      </c>
      <c r="X56" s="26" t="s">
        <v>51</v>
      </c>
      <c r="Y56" s="26" t="s">
        <v>37</v>
      </c>
    </row>
    <row r="57" spans="1:25">
      <c r="A57" s="26" t="s">
        <v>0</v>
      </c>
      <c r="B57" s="26">
        <v>1</v>
      </c>
      <c r="C57" s="26">
        <v>20</v>
      </c>
      <c r="D57" s="26" t="s">
        <v>32</v>
      </c>
      <c r="E57" s="26" t="s">
        <v>139</v>
      </c>
      <c r="F57" s="26" t="s">
        <v>50</v>
      </c>
      <c r="G57" s="26" t="s">
        <v>39</v>
      </c>
      <c r="H57" s="26" t="str">
        <f t="shared" si="7"/>
        <v>S</v>
      </c>
      <c r="I57" s="26">
        <f t="shared" si="8"/>
        <v>36</v>
      </c>
      <c r="J57" s="26">
        <v>720</v>
      </c>
      <c r="K57" s="26">
        <f t="shared" si="9"/>
        <v>20</v>
      </c>
      <c r="L57" s="27">
        <f t="shared" si="10"/>
        <v>1.0648314187199999</v>
      </c>
      <c r="M57" s="26">
        <v>146.80000000000001</v>
      </c>
      <c r="N57" s="26">
        <v>166.4</v>
      </c>
      <c r="O57" s="27">
        <f t="shared" si="11"/>
        <v>8.32</v>
      </c>
      <c r="P57" s="27">
        <f t="shared" si="12"/>
        <v>7.3400000000000007</v>
      </c>
      <c r="Q57" s="26">
        <v>48.26</v>
      </c>
      <c r="R57" s="26" t="s">
        <v>23</v>
      </c>
      <c r="S57" s="26">
        <v>48.26</v>
      </c>
      <c r="T57" s="26" t="s">
        <v>23</v>
      </c>
      <c r="U57" s="26">
        <v>22.86</v>
      </c>
      <c r="V57" s="28">
        <f t="shared" si="13"/>
        <v>5.3241570935999995E-2</v>
      </c>
      <c r="W57" s="26" t="s">
        <v>51</v>
      </c>
      <c r="X57" s="26" t="s">
        <v>51</v>
      </c>
      <c r="Y57" s="26" t="s">
        <v>38</v>
      </c>
    </row>
    <row r="58" spans="1:25">
      <c r="A58" s="26" t="s">
        <v>0</v>
      </c>
      <c r="B58" s="26">
        <v>22</v>
      </c>
      <c r="C58" s="26">
        <v>87</v>
      </c>
      <c r="D58" s="26" t="s">
        <v>33</v>
      </c>
      <c r="E58" s="26" t="s">
        <v>139</v>
      </c>
      <c r="F58" s="26" t="s">
        <v>50</v>
      </c>
      <c r="G58" s="26" t="s">
        <v>39</v>
      </c>
      <c r="H58" s="26" t="str">
        <f t="shared" si="7"/>
        <v>M</v>
      </c>
      <c r="I58" s="26">
        <f t="shared" si="8"/>
        <v>36</v>
      </c>
      <c r="J58" s="26">
        <v>2376</v>
      </c>
      <c r="K58" s="26">
        <f t="shared" si="9"/>
        <v>66</v>
      </c>
      <c r="L58" s="27">
        <f t="shared" si="10"/>
        <v>3.5139436817759995</v>
      </c>
      <c r="M58" s="26">
        <v>533.28</v>
      </c>
      <c r="N58" s="26">
        <v>597.96</v>
      </c>
      <c r="O58" s="27">
        <f t="shared" si="11"/>
        <v>9.06</v>
      </c>
      <c r="P58" s="27">
        <f t="shared" si="12"/>
        <v>8.08</v>
      </c>
      <c r="Q58" s="26">
        <v>48.26</v>
      </c>
      <c r="R58" s="26" t="s">
        <v>23</v>
      </c>
      <c r="S58" s="26">
        <v>48.26</v>
      </c>
      <c r="T58" s="26" t="s">
        <v>23</v>
      </c>
      <c r="U58" s="26">
        <v>22.86</v>
      </c>
      <c r="V58" s="28">
        <f t="shared" si="13"/>
        <v>5.3241570935999995E-2</v>
      </c>
      <c r="W58" s="26" t="s">
        <v>51</v>
      </c>
      <c r="X58" s="26" t="s">
        <v>51</v>
      </c>
      <c r="Y58" s="26" t="s">
        <v>38</v>
      </c>
    </row>
    <row r="59" spans="1:25">
      <c r="A59" s="26" t="s">
        <v>0</v>
      </c>
      <c r="B59" s="26">
        <v>88</v>
      </c>
      <c r="C59" s="26">
        <v>88</v>
      </c>
      <c r="D59" s="26" t="s">
        <v>33</v>
      </c>
      <c r="E59" s="26" t="s">
        <v>139</v>
      </c>
      <c r="F59" s="26" t="s">
        <v>50</v>
      </c>
      <c r="G59" s="26" t="s">
        <v>39</v>
      </c>
      <c r="H59" s="26" t="str">
        <f t="shared" si="7"/>
        <v>M</v>
      </c>
      <c r="I59" s="26">
        <f t="shared" si="8"/>
        <v>32</v>
      </c>
      <c r="J59" s="26">
        <v>32</v>
      </c>
      <c r="K59" s="26">
        <f t="shared" si="9"/>
        <v>1</v>
      </c>
      <c r="L59" s="27">
        <f t="shared" si="10"/>
        <v>5.3241570935999995E-2</v>
      </c>
      <c r="M59" s="26">
        <v>7.18</v>
      </c>
      <c r="N59" s="26">
        <v>8.16</v>
      </c>
      <c r="O59" s="27">
        <f t="shared" si="11"/>
        <v>8.16</v>
      </c>
      <c r="P59" s="27">
        <f t="shared" si="12"/>
        <v>7.18</v>
      </c>
      <c r="Q59" s="26">
        <v>48.26</v>
      </c>
      <c r="R59" s="26" t="s">
        <v>23</v>
      </c>
      <c r="S59" s="26">
        <v>48.26</v>
      </c>
      <c r="T59" s="26" t="s">
        <v>23</v>
      </c>
      <c r="U59" s="26">
        <v>22.86</v>
      </c>
      <c r="V59" s="28">
        <f t="shared" si="13"/>
        <v>5.3241570935999995E-2</v>
      </c>
      <c r="W59" s="26" t="s">
        <v>51</v>
      </c>
      <c r="X59" s="26" t="s">
        <v>51</v>
      </c>
      <c r="Y59" s="26" t="s">
        <v>38</v>
      </c>
    </row>
    <row r="60" spans="1:25">
      <c r="A60" s="26" t="s">
        <v>0</v>
      </c>
      <c r="B60" s="26">
        <v>91</v>
      </c>
      <c r="C60" s="26">
        <v>153</v>
      </c>
      <c r="D60" s="26" t="s">
        <v>34</v>
      </c>
      <c r="E60" s="26" t="s">
        <v>139</v>
      </c>
      <c r="F60" s="26" t="s">
        <v>50</v>
      </c>
      <c r="G60" s="26" t="s">
        <v>39</v>
      </c>
      <c r="H60" s="26" t="str">
        <f t="shared" si="7"/>
        <v>L</v>
      </c>
      <c r="I60" s="26">
        <f t="shared" si="8"/>
        <v>36</v>
      </c>
      <c r="J60" s="26">
        <v>2268</v>
      </c>
      <c r="K60" s="26">
        <f t="shared" si="9"/>
        <v>63</v>
      </c>
      <c r="L60" s="27">
        <f t="shared" si="10"/>
        <v>3.3542189689679995</v>
      </c>
      <c r="M60" s="26">
        <v>555.66</v>
      </c>
      <c r="N60" s="26">
        <v>617.4</v>
      </c>
      <c r="O60" s="27">
        <f t="shared" si="11"/>
        <v>9.7999999999999989</v>
      </c>
      <c r="P60" s="27">
        <f t="shared" si="12"/>
        <v>8.82</v>
      </c>
      <c r="Q60" s="26">
        <v>48.26</v>
      </c>
      <c r="R60" s="26" t="s">
        <v>23</v>
      </c>
      <c r="S60" s="26">
        <v>48.26</v>
      </c>
      <c r="T60" s="26" t="s">
        <v>23</v>
      </c>
      <c r="U60" s="26">
        <v>22.86</v>
      </c>
      <c r="V60" s="28">
        <f t="shared" si="13"/>
        <v>5.3241570935999995E-2</v>
      </c>
      <c r="W60" s="26" t="s">
        <v>51</v>
      </c>
      <c r="X60" s="26" t="s">
        <v>51</v>
      </c>
      <c r="Y60" s="26" t="s">
        <v>38</v>
      </c>
    </row>
    <row r="61" spans="1:25">
      <c r="A61" s="26" t="s">
        <v>0</v>
      </c>
      <c r="B61" s="26">
        <v>156</v>
      </c>
      <c r="C61" s="26">
        <v>175</v>
      </c>
      <c r="D61" s="26" t="s">
        <v>35</v>
      </c>
      <c r="E61" s="26" t="s">
        <v>139</v>
      </c>
      <c r="F61" s="26" t="s">
        <v>50</v>
      </c>
      <c r="G61" s="26" t="s">
        <v>39</v>
      </c>
      <c r="H61" s="26" t="str">
        <f t="shared" si="7"/>
        <v>XL</v>
      </c>
      <c r="I61" s="26">
        <f t="shared" si="8"/>
        <v>36</v>
      </c>
      <c r="J61" s="26">
        <v>720</v>
      </c>
      <c r="K61" s="26">
        <f t="shared" si="9"/>
        <v>20</v>
      </c>
      <c r="L61" s="27">
        <f t="shared" si="10"/>
        <v>1.2423033218399999</v>
      </c>
      <c r="M61" s="26">
        <v>186.4</v>
      </c>
      <c r="N61" s="26">
        <v>207.2</v>
      </c>
      <c r="O61" s="27">
        <f t="shared" si="11"/>
        <v>10.36</v>
      </c>
      <c r="P61" s="27">
        <f t="shared" si="12"/>
        <v>9.32</v>
      </c>
      <c r="Q61" s="26">
        <v>48.26</v>
      </c>
      <c r="R61" s="26" t="s">
        <v>23</v>
      </c>
      <c r="S61" s="26">
        <v>48.26</v>
      </c>
      <c r="T61" s="26" t="s">
        <v>23</v>
      </c>
      <c r="U61" s="26">
        <v>26.67</v>
      </c>
      <c r="V61" s="28">
        <f t="shared" si="13"/>
        <v>6.2115166091999997E-2</v>
      </c>
      <c r="W61" s="26" t="s">
        <v>51</v>
      </c>
      <c r="X61" s="26" t="s">
        <v>51</v>
      </c>
      <c r="Y61" s="26" t="s">
        <v>38</v>
      </c>
    </row>
    <row r="62" spans="1:25">
      <c r="A62" s="26" t="s">
        <v>0</v>
      </c>
      <c r="B62" s="26">
        <v>1</v>
      </c>
      <c r="C62" s="26">
        <v>10</v>
      </c>
      <c r="D62" s="26" t="s">
        <v>36</v>
      </c>
      <c r="E62" s="26" t="s">
        <v>139</v>
      </c>
      <c r="F62" s="26" t="s">
        <v>50</v>
      </c>
      <c r="G62" s="26" t="s">
        <v>39</v>
      </c>
      <c r="H62" s="26" t="str">
        <f t="shared" si="7"/>
        <v>XXL</v>
      </c>
      <c r="I62" s="26">
        <f t="shared" si="8"/>
        <v>36</v>
      </c>
      <c r="J62" s="26">
        <v>360</v>
      </c>
      <c r="K62" s="26">
        <f t="shared" si="9"/>
        <v>10</v>
      </c>
      <c r="L62" s="27">
        <f t="shared" si="10"/>
        <v>0.62115166091999996</v>
      </c>
      <c r="M62" s="26">
        <v>98.2</v>
      </c>
      <c r="N62" s="26">
        <v>108.6</v>
      </c>
      <c r="O62" s="27">
        <f t="shared" si="11"/>
        <v>10.86</v>
      </c>
      <c r="P62" s="27">
        <f t="shared" si="12"/>
        <v>9.82</v>
      </c>
      <c r="Q62" s="26">
        <v>48.26</v>
      </c>
      <c r="R62" s="26" t="s">
        <v>23</v>
      </c>
      <c r="S62" s="26">
        <v>48.26</v>
      </c>
      <c r="T62" s="26" t="s">
        <v>23</v>
      </c>
      <c r="U62" s="26">
        <v>26.67</v>
      </c>
      <c r="V62" s="28">
        <f t="shared" si="13"/>
        <v>6.2115166091999997E-2</v>
      </c>
      <c r="W62" s="26" t="s">
        <v>51</v>
      </c>
      <c r="X62" s="26" t="s">
        <v>51</v>
      </c>
      <c r="Y62" s="26" t="s">
        <v>38</v>
      </c>
    </row>
    <row r="63" spans="1:25" s="29" customFormat="1">
      <c r="A63" s="30"/>
      <c r="B63" s="30"/>
      <c r="C63" s="30"/>
      <c r="D63" s="30" t="s">
        <v>52</v>
      </c>
      <c r="E63" s="30"/>
      <c r="F63" s="30"/>
      <c r="G63" s="30"/>
      <c r="H63" s="30"/>
      <c r="I63" s="30"/>
      <c r="J63" s="30">
        <f t="shared" ref="J63:N63" si="14">SUM(J3:J62)</f>
        <v>80744</v>
      </c>
      <c r="K63" s="30">
        <f t="shared" si="14"/>
        <v>2248</v>
      </c>
      <c r="L63" s="30">
        <f t="shared" si="14"/>
        <v>124.32794173071598</v>
      </c>
      <c r="M63" s="30">
        <f t="shared" si="14"/>
        <v>21616.969999999998</v>
      </c>
      <c r="N63" s="30">
        <f t="shared" si="14"/>
        <v>24059.13</v>
      </c>
      <c r="O63" s="30"/>
      <c r="P63" s="30"/>
      <c r="Q63" s="30"/>
      <c r="R63" s="30"/>
      <c r="S63" s="30"/>
      <c r="T63" s="30"/>
      <c r="U63" s="30"/>
      <c r="V63" s="30"/>
      <c r="W63" s="30"/>
      <c r="X63" s="30"/>
      <c r="Y63" s="30"/>
    </row>
  </sheetData>
  <mergeCells count="19">
    <mergeCell ref="Y1:Y2"/>
    <mergeCell ref="N1:N2"/>
    <mergeCell ref="O1:O2"/>
    <mergeCell ref="P1:P2"/>
    <mergeCell ref="Q1:U1"/>
    <mergeCell ref="V1:V2"/>
    <mergeCell ref="X1:X2"/>
    <mergeCell ref="H1:H2"/>
    <mergeCell ref="I1:I2"/>
    <mergeCell ref="J1:J2"/>
    <mergeCell ref="K1:K2"/>
    <mergeCell ref="L1:L2"/>
    <mergeCell ref="M1:M2"/>
    <mergeCell ref="A1:A2"/>
    <mergeCell ref="B1:C1"/>
    <mergeCell ref="D1:D2"/>
    <mergeCell ref="E1:E2"/>
    <mergeCell ref="F1:F2"/>
    <mergeCell ref="G1:G2"/>
  </mergeCells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D36DD"/>
  </sheetPr>
  <dimension ref="A1:AF60"/>
  <sheetViews>
    <sheetView workbookViewId="0"/>
  </sheetViews>
  <sheetFormatPr defaultRowHeight="15"/>
  <sheetData>
    <row r="1" spans="1:32" ht="33">
      <c r="A1" s="174" t="s">
        <v>174</v>
      </c>
      <c r="B1" s="175" t="s">
        <v>175</v>
      </c>
      <c r="C1" s="175" t="s">
        <v>176</v>
      </c>
      <c r="D1" s="175" t="s">
        <v>186</v>
      </c>
      <c r="E1" s="176" t="s">
        <v>178</v>
      </c>
      <c r="F1" s="177" t="s">
        <v>177</v>
      </c>
      <c r="G1" s="174" t="s">
        <v>187</v>
      </c>
      <c r="H1" s="178" t="s">
        <v>188</v>
      </c>
      <c r="I1" s="174" t="s">
        <v>177</v>
      </c>
      <c r="J1" s="179" t="s">
        <v>177</v>
      </c>
      <c r="K1" s="180" t="s">
        <v>189</v>
      </c>
      <c r="L1" s="181"/>
      <c r="M1" s="181"/>
      <c r="N1" s="179" t="s">
        <v>179</v>
      </c>
      <c r="O1" s="179" t="s">
        <v>190</v>
      </c>
      <c r="P1" s="179" t="s">
        <v>179</v>
      </c>
      <c r="Q1" s="119" t="s">
        <v>191</v>
      </c>
      <c r="R1" s="119"/>
      <c r="S1" s="119"/>
      <c r="T1" s="120"/>
      <c r="AD1" t="s">
        <v>192</v>
      </c>
      <c r="AE1" t="s">
        <v>193</v>
      </c>
    </row>
    <row r="2" spans="1:32" ht="16.5" thickBot="1">
      <c r="A2" s="121"/>
      <c r="B2" s="122"/>
      <c r="C2" s="122"/>
      <c r="D2" s="122"/>
      <c r="E2" s="123" t="s">
        <v>55</v>
      </c>
      <c r="F2" s="124"/>
      <c r="G2" s="121"/>
      <c r="H2" s="121"/>
      <c r="I2" s="121" t="s">
        <v>194</v>
      </c>
      <c r="J2" s="125" t="s">
        <v>180</v>
      </c>
      <c r="K2" s="126" t="s">
        <v>54</v>
      </c>
      <c r="L2" s="126" t="s">
        <v>194</v>
      </c>
      <c r="M2" s="127" t="s">
        <v>180</v>
      </c>
      <c r="N2" s="125" t="s">
        <v>182</v>
      </c>
      <c r="O2" s="125" t="s">
        <v>182</v>
      </c>
      <c r="P2" s="125" t="s">
        <v>181</v>
      </c>
      <c r="Q2" s="119" t="s">
        <v>195</v>
      </c>
      <c r="R2" s="119" t="s">
        <v>54</v>
      </c>
      <c r="S2" s="119" t="s">
        <v>55</v>
      </c>
      <c r="T2" s="120" t="s">
        <v>180</v>
      </c>
      <c r="U2" t="s">
        <v>196</v>
      </c>
      <c r="V2" t="s">
        <v>196</v>
      </c>
      <c r="W2" t="s">
        <v>196</v>
      </c>
      <c r="X2" t="s">
        <v>196</v>
      </c>
      <c r="Y2" t="s">
        <v>196</v>
      </c>
      <c r="Z2" t="s">
        <v>196</v>
      </c>
      <c r="AA2" t="s">
        <v>196</v>
      </c>
      <c r="AB2" t="s">
        <v>196</v>
      </c>
      <c r="AC2" t="s">
        <v>196</v>
      </c>
      <c r="AD2" t="s">
        <v>196</v>
      </c>
      <c r="AE2" t="s">
        <v>196</v>
      </c>
      <c r="AF2" t="s">
        <v>196</v>
      </c>
    </row>
    <row r="3" spans="1:32" ht="15.75" thickTop="1">
      <c r="A3" s="182" t="s">
        <v>145</v>
      </c>
      <c r="B3" s="182" t="s">
        <v>144</v>
      </c>
      <c r="C3" s="182" t="s">
        <v>143</v>
      </c>
      <c r="D3" s="182">
        <v>24001285</v>
      </c>
      <c r="E3" s="183">
        <v>6.39</v>
      </c>
      <c r="F3" s="182">
        <v>1080</v>
      </c>
      <c r="G3" s="182" t="s">
        <v>124</v>
      </c>
      <c r="H3" s="184">
        <f>((48.26*48.26*26.67)/1000000)</f>
        <v>6.2115166091999997E-2</v>
      </c>
      <c r="I3" s="182">
        <f t="shared" ref="I3:I47" si="0">ROUNDUP(F3/36,0)</f>
        <v>30</v>
      </c>
      <c r="J3" s="182">
        <f t="shared" ref="J3:J47" si="1">ROUND(I3*H3,2)</f>
        <v>1.86</v>
      </c>
      <c r="K3" s="182">
        <f t="shared" ref="K3:K47" si="2">ROUNDUP(F3*1.03,0)</f>
        <v>1113</v>
      </c>
      <c r="L3" s="182">
        <f t="shared" ref="L3:L47" si="3">ROUNDUP(K3/36,0)</f>
        <v>31</v>
      </c>
      <c r="M3" s="182">
        <f t="shared" ref="M3:M47" si="4">ROUND(L3*H3,2)</f>
        <v>1.93</v>
      </c>
      <c r="N3" s="185">
        <v>282.60000000000002</v>
      </c>
      <c r="O3" s="185">
        <v>313.2</v>
      </c>
      <c r="P3" s="185">
        <v>0.25</v>
      </c>
      <c r="Q3" s="128" t="s">
        <v>197</v>
      </c>
      <c r="R3" s="128">
        <f t="shared" ref="R3:R47" si="5">F3</f>
        <v>1080</v>
      </c>
      <c r="S3" s="129">
        <f>F3*E3</f>
        <v>6901.2</v>
      </c>
      <c r="T3" s="130">
        <f t="shared" ref="T3:T47" si="6">H3*I3</f>
        <v>1.86345498276</v>
      </c>
      <c r="U3" s="131" t="s">
        <v>39</v>
      </c>
      <c r="V3" s="131">
        <v>48.26</v>
      </c>
      <c r="W3" s="131" t="s">
        <v>198</v>
      </c>
      <c r="X3" s="131">
        <v>48.26</v>
      </c>
      <c r="Y3" s="131" t="s">
        <v>198</v>
      </c>
      <c r="Z3" s="131">
        <v>26.67</v>
      </c>
      <c r="AA3" s="131" t="s">
        <v>199</v>
      </c>
      <c r="AB3" s="131"/>
      <c r="AC3" s="131" t="str">
        <f t="shared" ref="AC3:AC34" si="7">AE3&amp;" "&amp;AD3</f>
        <v>MEN'S STRETCH COTTON 3-PACK BOXER BRIEF 57% COTTON 38% POLYESTER 5% SPANDEX</v>
      </c>
      <c r="AD3" s="131" t="s">
        <v>200</v>
      </c>
      <c r="AE3" s="131" t="s">
        <v>201</v>
      </c>
      <c r="AF3" s="131">
        <v>3</v>
      </c>
    </row>
    <row r="4" spans="1:32">
      <c r="A4" s="182" t="s">
        <v>145</v>
      </c>
      <c r="B4" s="182" t="s">
        <v>146</v>
      </c>
      <c r="C4" s="182" t="s">
        <v>143</v>
      </c>
      <c r="D4" s="182">
        <v>24001285</v>
      </c>
      <c r="E4" s="183">
        <v>6.39</v>
      </c>
      <c r="F4" s="182">
        <v>2304</v>
      </c>
      <c r="G4" s="182" t="s">
        <v>124</v>
      </c>
      <c r="H4" s="184">
        <f>((48.26*48.26*26.67)/1000000)</f>
        <v>6.2115166091999997E-2</v>
      </c>
      <c r="I4" s="182">
        <f t="shared" si="0"/>
        <v>64</v>
      </c>
      <c r="J4" s="182">
        <f t="shared" si="1"/>
        <v>3.98</v>
      </c>
      <c r="K4" s="182">
        <f t="shared" si="2"/>
        <v>2374</v>
      </c>
      <c r="L4" s="182">
        <f t="shared" si="3"/>
        <v>66</v>
      </c>
      <c r="M4" s="182">
        <f t="shared" si="4"/>
        <v>4.0999999999999996</v>
      </c>
      <c r="N4" s="185">
        <v>645.12</v>
      </c>
      <c r="O4" s="185">
        <v>710.4</v>
      </c>
      <c r="P4" s="185">
        <v>0.26</v>
      </c>
      <c r="Q4" s="131"/>
      <c r="R4" s="128">
        <f t="shared" si="5"/>
        <v>2304</v>
      </c>
      <c r="S4" s="129">
        <f t="shared" ref="S4:S47" si="8">F4*E4</f>
        <v>14722.56</v>
      </c>
      <c r="T4" s="130">
        <f t="shared" si="6"/>
        <v>3.9753706298879998</v>
      </c>
      <c r="U4" s="131" t="s">
        <v>39</v>
      </c>
      <c r="V4" s="131">
        <v>48.26</v>
      </c>
      <c r="W4" s="131" t="s">
        <v>198</v>
      </c>
      <c r="X4" s="131">
        <v>48.26</v>
      </c>
      <c r="Y4" s="131" t="s">
        <v>198</v>
      </c>
      <c r="Z4" s="131">
        <v>26.67</v>
      </c>
      <c r="AA4" s="131" t="s">
        <v>199</v>
      </c>
      <c r="AB4" s="131"/>
      <c r="AC4" s="131" t="str">
        <f t="shared" si="7"/>
        <v>MEN'S STRETCH COTTON 3-PACK BOXER BRIEF 57% COTTON 38% POLYESTER 5% SPANDEX</v>
      </c>
      <c r="AD4" s="131" t="s">
        <v>200</v>
      </c>
      <c r="AE4" s="131" t="s">
        <v>201</v>
      </c>
      <c r="AF4" s="131">
        <v>3</v>
      </c>
    </row>
    <row r="5" spans="1:32">
      <c r="A5" s="182" t="s">
        <v>145</v>
      </c>
      <c r="B5" s="182" t="s">
        <v>147</v>
      </c>
      <c r="C5" s="182" t="s">
        <v>143</v>
      </c>
      <c r="D5" s="182">
        <v>24001285</v>
      </c>
      <c r="E5" s="183">
        <v>6.39</v>
      </c>
      <c r="F5" s="182">
        <v>2052</v>
      </c>
      <c r="G5" s="182" t="s">
        <v>124</v>
      </c>
      <c r="H5" s="184">
        <f>((48.26*48.26*26.67)/1000000)</f>
        <v>6.2115166091999997E-2</v>
      </c>
      <c r="I5" s="182">
        <f t="shared" si="0"/>
        <v>57</v>
      </c>
      <c r="J5" s="182">
        <f t="shared" si="1"/>
        <v>3.54</v>
      </c>
      <c r="K5" s="182">
        <f t="shared" si="2"/>
        <v>2114</v>
      </c>
      <c r="L5" s="182">
        <f t="shared" si="3"/>
        <v>59</v>
      </c>
      <c r="M5" s="182">
        <f t="shared" si="4"/>
        <v>3.66</v>
      </c>
      <c r="N5" s="185">
        <v>606.48</v>
      </c>
      <c r="O5" s="185">
        <v>664.62</v>
      </c>
      <c r="P5" s="185">
        <v>0.27</v>
      </c>
      <c r="Q5" s="131"/>
      <c r="R5" s="128">
        <f t="shared" si="5"/>
        <v>2052</v>
      </c>
      <c r="S5" s="129">
        <f t="shared" si="8"/>
        <v>13112.279999999999</v>
      </c>
      <c r="T5" s="130">
        <f t="shared" si="6"/>
        <v>3.5405644672439998</v>
      </c>
      <c r="U5" s="131" t="s">
        <v>39</v>
      </c>
      <c r="V5" s="131">
        <v>48.26</v>
      </c>
      <c r="W5" s="131" t="s">
        <v>198</v>
      </c>
      <c r="X5" s="131">
        <v>48.26</v>
      </c>
      <c r="Y5" s="131" t="s">
        <v>198</v>
      </c>
      <c r="Z5" s="131">
        <v>26.67</v>
      </c>
      <c r="AA5" s="131" t="s">
        <v>199</v>
      </c>
      <c r="AB5" s="131"/>
      <c r="AC5" s="131" t="str">
        <f t="shared" si="7"/>
        <v>MEN'S STRETCH COTTON 3-PACK BOXER BRIEF 57% COTTON 38% POLYESTER 5% SPANDEX</v>
      </c>
      <c r="AD5" s="131" t="s">
        <v>200</v>
      </c>
      <c r="AE5" s="131" t="s">
        <v>201</v>
      </c>
      <c r="AF5" s="131">
        <v>3</v>
      </c>
    </row>
    <row r="6" spans="1:32">
      <c r="A6" s="182" t="s">
        <v>145</v>
      </c>
      <c r="B6" s="182" t="s">
        <v>148</v>
      </c>
      <c r="C6" s="182" t="s">
        <v>143</v>
      </c>
      <c r="D6" s="182">
        <v>24001285</v>
      </c>
      <c r="E6" s="183">
        <v>6.39</v>
      </c>
      <c r="F6" s="182">
        <v>1116</v>
      </c>
      <c r="G6" s="182" t="s">
        <v>124</v>
      </c>
      <c r="H6" s="184">
        <f>((48.26*48.26*26.67)/1000000)</f>
        <v>6.2115166091999997E-2</v>
      </c>
      <c r="I6" s="182">
        <f t="shared" si="0"/>
        <v>31</v>
      </c>
      <c r="J6" s="182">
        <f t="shared" si="1"/>
        <v>1.93</v>
      </c>
      <c r="K6" s="182">
        <f t="shared" si="2"/>
        <v>1150</v>
      </c>
      <c r="L6" s="182">
        <f t="shared" si="3"/>
        <v>32</v>
      </c>
      <c r="M6" s="182">
        <f t="shared" si="4"/>
        <v>1.99</v>
      </c>
      <c r="N6" s="185">
        <v>350.3</v>
      </c>
      <c r="O6" s="185">
        <v>381.92</v>
      </c>
      <c r="P6" s="185">
        <v>0.28999999999999998</v>
      </c>
      <c r="Q6" s="131"/>
      <c r="R6" s="128">
        <f t="shared" si="5"/>
        <v>1116</v>
      </c>
      <c r="S6" s="129">
        <f t="shared" si="8"/>
        <v>7131.24</v>
      </c>
      <c r="T6" s="130">
        <f t="shared" si="6"/>
        <v>1.9255701488519998</v>
      </c>
      <c r="U6" s="131" t="s">
        <v>39</v>
      </c>
      <c r="V6" s="131">
        <v>48.26</v>
      </c>
      <c r="W6" s="131" t="s">
        <v>198</v>
      </c>
      <c r="X6" s="131">
        <v>48.26</v>
      </c>
      <c r="Y6" s="131" t="s">
        <v>198</v>
      </c>
      <c r="Z6" s="131">
        <v>26.67</v>
      </c>
      <c r="AA6" s="131" t="s">
        <v>199</v>
      </c>
      <c r="AB6" s="131"/>
      <c r="AC6" s="131" t="str">
        <f t="shared" si="7"/>
        <v>MEN'S STRETCH COTTON 3-PACK BOXER BRIEF 57% COTTON 38% POLYESTER 5% SPANDEX</v>
      </c>
      <c r="AD6" s="131" t="s">
        <v>200</v>
      </c>
      <c r="AE6" s="131" t="s">
        <v>201</v>
      </c>
      <c r="AF6" s="131">
        <v>3</v>
      </c>
    </row>
    <row r="7" spans="1:32">
      <c r="A7" s="186" t="s">
        <v>151</v>
      </c>
      <c r="B7" s="186" t="s">
        <v>150</v>
      </c>
      <c r="C7" s="186" t="s">
        <v>149</v>
      </c>
      <c r="D7" s="186">
        <v>24001266</v>
      </c>
      <c r="E7" s="187">
        <v>4.93</v>
      </c>
      <c r="F7" s="186">
        <v>1431</v>
      </c>
      <c r="G7" s="186" t="s">
        <v>124</v>
      </c>
      <c r="H7" s="188">
        <f>((48.26*48.26*22.86)/1000000)</f>
        <v>5.3241570935999995E-2</v>
      </c>
      <c r="I7" s="186">
        <f t="shared" si="0"/>
        <v>40</v>
      </c>
      <c r="J7" s="186">
        <f t="shared" si="1"/>
        <v>2.13</v>
      </c>
      <c r="K7" s="186">
        <f t="shared" si="2"/>
        <v>1474</v>
      </c>
      <c r="L7" s="186">
        <f t="shared" si="3"/>
        <v>41</v>
      </c>
      <c r="M7" s="186">
        <f t="shared" si="4"/>
        <v>2.1800000000000002</v>
      </c>
      <c r="N7" s="189">
        <v>351</v>
      </c>
      <c r="O7" s="189">
        <v>403.8</v>
      </c>
      <c r="P7" s="189">
        <v>0.25</v>
      </c>
      <c r="Q7" s="132"/>
      <c r="R7" s="133">
        <f t="shared" si="5"/>
        <v>1431</v>
      </c>
      <c r="S7" s="134">
        <f t="shared" si="8"/>
        <v>7054.83</v>
      </c>
      <c r="T7" s="135">
        <f t="shared" si="6"/>
        <v>2.1296628374399997</v>
      </c>
      <c r="U7" s="132" t="s">
        <v>202</v>
      </c>
      <c r="V7" s="132">
        <v>48.26</v>
      </c>
      <c r="W7" s="132" t="s">
        <v>198</v>
      </c>
      <c r="X7" s="132">
        <v>48.26</v>
      </c>
      <c r="Y7" s="132" t="s">
        <v>198</v>
      </c>
      <c r="Z7" s="132">
        <v>22.86</v>
      </c>
      <c r="AA7" s="132" t="s">
        <v>199</v>
      </c>
      <c r="AB7" s="132"/>
      <c r="AC7" s="132" t="str">
        <f t="shared" si="7"/>
        <v>MEN'S C PERFORMANCE 3-PACK BOXER BRIEF 91% POLYESTER 9% SPANDEX</v>
      </c>
      <c r="AD7" s="132" t="s">
        <v>203</v>
      </c>
      <c r="AE7" s="132" t="s">
        <v>204</v>
      </c>
      <c r="AF7" s="132">
        <v>3</v>
      </c>
    </row>
    <row r="8" spans="1:32">
      <c r="A8" s="186" t="s">
        <v>151</v>
      </c>
      <c r="B8" s="186" t="s">
        <v>152</v>
      </c>
      <c r="C8" s="186" t="s">
        <v>149</v>
      </c>
      <c r="D8" s="186">
        <v>24001266</v>
      </c>
      <c r="E8" s="187">
        <v>4.93</v>
      </c>
      <c r="F8" s="186">
        <v>6359</v>
      </c>
      <c r="G8" s="186" t="s">
        <v>124</v>
      </c>
      <c r="H8" s="188">
        <f>((48.26*48.26*22.86)/1000000)</f>
        <v>5.3241570935999995E-2</v>
      </c>
      <c r="I8" s="186">
        <f t="shared" si="0"/>
        <v>177</v>
      </c>
      <c r="J8" s="186">
        <f t="shared" si="1"/>
        <v>9.42</v>
      </c>
      <c r="K8" s="186">
        <f t="shared" si="2"/>
        <v>6550</v>
      </c>
      <c r="L8" s="186">
        <f t="shared" si="3"/>
        <v>182</v>
      </c>
      <c r="M8" s="186">
        <f t="shared" si="4"/>
        <v>9.69</v>
      </c>
      <c r="N8" s="189">
        <v>1674.06</v>
      </c>
      <c r="O8" s="189">
        <v>1907.7</v>
      </c>
      <c r="P8" s="189">
        <v>0.26</v>
      </c>
      <c r="Q8" s="132"/>
      <c r="R8" s="133">
        <f t="shared" si="5"/>
        <v>6359</v>
      </c>
      <c r="S8" s="134">
        <f t="shared" si="8"/>
        <v>31349.87</v>
      </c>
      <c r="T8" s="135">
        <f t="shared" si="6"/>
        <v>9.4237580556719998</v>
      </c>
      <c r="U8" s="132" t="s">
        <v>202</v>
      </c>
      <c r="V8" s="132">
        <v>48.26</v>
      </c>
      <c r="W8" s="132" t="s">
        <v>198</v>
      </c>
      <c r="X8" s="132">
        <v>48.26</v>
      </c>
      <c r="Y8" s="132" t="s">
        <v>198</v>
      </c>
      <c r="Z8" s="132">
        <v>22.86</v>
      </c>
      <c r="AA8" s="132" t="s">
        <v>199</v>
      </c>
      <c r="AB8" s="132"/>
      <c r="AC8" s="132" t="str">
        <f t="shared" si="7"/>
        <v>MEN'S C PERFORMANCE 3-PACK BOXER BRIEF 91% POLYESTER 9% SPANDEX</v>
      </c>
      <c r="AD8" s="132" t="s">
        <v>203</v>
      </c>
      <c r="AE8" s="132" t="s">
        <v>204</v>
      </c>
      <c r="AF8" s="132">
        <v>3</v>
      </c>
    </row>
    <row r="9" spans="1:32">
      <c r="A9" s="186" t="s">
        <v>151</v>
      </c>
      <c r="B9" s="186" t="s">
        <v>153</v>
      </c>
      <c r="C9" s="186" t="s">
        <v>149</v>
      </c>
      <c r="D9" s="186">
        <v>24001266</v>
      </c>
      <c r="E9" s="187">
        <v>4.93</v>
      </c>
      <c r="F9" s="186">
        <v>3552</v>
      </c>
      <c r="G9" s="186" t="s">
        <v>124</v>
      </c>
      <c r="H9" s="188">
        <f>((48.26*48.26*22.86)/1000000)</f>
        <v>5.3241570935999995E-2</v>
      </c>
      <c r="I9" s="186">
        <f t="shared" si="0"/>
        <v>99</v>
      </c>
      <c r="J9" s="186">
        <f t="shared" si="1"/>
        <v>5.27</v>
      </c>
      <c r="K9" s="186">
        <f t="shared" si="2"/>
        <v>3659</v>
      </c>
      <c r="L9" s="186">
        <f t="shared" si="3"/>
        <v>102</v>
      </c>
      <c r="M9" s="186">
        <f t="shared" si="4"/>
        <v>5.43</v>
      </c>
      <c r="N9" s="189">
        <v>993.96</v>
      </c>
      <c r="O9" s="189">
        <v>1124.6400000000001</v>
      </c>
      <c r="P9" s="189">
        <v>0.27</v>
      </c>
      <c r="Q9" s="132"/>
      <c r="R9" s="133">
        <f t="shared" si="5"/>
        <v>3552</v>
      </c>
      <c r="S9" s="134">
        <f t="shared" si="8"/>
        <v>17511.36</v>
      </c>
      <c r="T9" s="135">
        <f t="shared" si="6"/>
        <v>5.2709155226639997</v>
      </c>
      <c r="U9" s="132" t="s">
        <v>202</v>
      </c>
      <c r="V9" s="132">
        <v>48.26</v>
      </c>
      <c r="W9" s="132" t="s">
        <v>198</v>
      </c>
      <c r="X9" s="132">
        <v>48.26</v>
      </c>
      <c r="Y9" s="132" t="s">
        <v>198</v>
      </c>
      <c r="Z9" s="132">
        <v>22.86</v>
      </c>
      <c r="AA9" s="132" t="s">
        <v>199</v>
      </c>
      <c r="AB9" s="132"/>
      <c r="AC9" s="132" t="str">
        <f t="shared" si="7"/>
        <v>MEN'S C PERFORMANCE 3-PACK BOXER BRIEF 91% POLYESTER 9% SPANDEX</v>
      </c>
      <c r="AD9" s="132" t="s">
        <v>203</v>
      </c>
      <c r="AE9" s="132" t="s">
        <v>204</v>
      </c>
      <c r="AF9" s="132">
        <v>3</v>
      </c>
    </row>
    <row r="10" spans="1:32">
      <c r="A10" s="186" t="s">
        <v>151</v>
      </c>
      <c r="B10" s="186" t="s">
        <v>154</v>
      </c>
      <c r="C10" s="186" t="s">
        <v>149</v>
      </c>
      <c r="D10" s="186">
        <v>24001266</v>
      </c>
      <c r="E10" s="187">
        <v>4.93</v>
      </c>
      <c r="F10" s="186">
        <v>648</v>
      </c>
      <c r="G10" s="186" t="s">
        <v>124</v>
      </c>
      <c r="H10" s="188">
        <f>((48.26*48.26*26.67)/1000000)</f>
        <v>6.2115166091999997E-2</v>
      </c>
      <c r="I10" s="186">
        <f t="shared" si="0"/>
        <v>18</v>
      </c>
      <c r="J10" s="186">
        <f t="shared" si="1"/>
        <v>1.1200000000000001</v>
      </c>
      <c r="K10" s="186">
        <f t="shared" si="2"/>
        <v>668</v>
      </c>
      <c r="L10" s="186">
        <f t="shared" si="3"/>
        <v>19</v>
      </c>
      <c r="M10" s="186">
        <f t="shared" si="4"/>
        <v>1.18</v>
      </c>
      <c r="N10" s="189">
        <v>196.56</v>
      </c>
      <c r="O10" s="189">
        <v>220.32</v>
      </c>
      <c r="P10" s="189">
        <v>0.28999999999999998</v>
      </c>
      <c r="Q10" s="132"/>
      <c r="R10" s="133">
        <f t="shared" si="5"/>
        <v>648</v>
      </c>
      <c r="S10" s="134">
        <f t="shared" si="8"/>
        <v>3194.64</v>
      </c>
      <c r="T10" s="135">
        <f t="shared" si="6"/>
        <v>1.118072989656</v>
      </c>
      <c r="U10" s="132" t="s">
        <v>202</v>
      </c>
      <c r="V10" s="132">
        <v>48.26</v>
      </c>
      <c r="W10" s="132" t="s">
        <v>198</v>
      </c>
      <c r="X10" s="132">
        <v>48.26</v>
      </c>
      <c r="Y10" s="132" t="s">
        <v>198</v>
      </c>
      <c r="Z10" s="132">
        <v>26.67</v>
      </c>
      <c r="AA10" s="132" t="s">
        <v>199</v>
      </c>
      <c r="AB10" s="132"/>
      <c r="AC10" s="132" t="str">
        <f t="shared" si="7"/>
        <v>MEN'S C PERFORMANCE 3-PACK BOXER BRIEF 91% POLYESTER 9% SPANDEX</v>
      </c>
      <c r="AD10" s="132" t="s">
        <v>203</v>
      </c>
      <c r="AE10" s="132" t="s">
        <v>204</v>
      </c>
      <c r="AF10" s="132">
        <v>3</v>
      </c>
    </row>
    <row r="11" spans="1:32">
      <c r="A11" s="186" t="s">
        <v>151</v>
      </c>
      <c r="B11" s="186" t="s">
        <v>156</v>
      </c>
      <c r="C11" s="186" t="s">
        <v>155</v>
      </c>
      <c r="D11" s="186">
        <v>24001268</v>
      </c>
      <c r="E11" s="187">
        <v>4.93</v>
      </c>
      <c r="F11" s="186">
        <v>1501</v>
      </c>
      <c r="G11" s="186" t="s">
        <v>124</v>
      </c>
      <c r="H11" s="188">
        <f>((48.26*48.26*22.86)/1000000)</f>
        <v>5.3241570935999995E-2</v>
      </c>
      <c r="I11" s="186">
        <f t="shared" si="0"/>
        <v>42</v>
      </c>
      <c r="J11" s="186">
        <f t="shared" si="1"/>
        <v>2.2400000000000002</v>
      </c>
      <c r="K11" s="186">
        <f t="shared" si="2"/>
        <v>1547</v>
      </c>
      <c r="L11" s="186">
        <f t="shared" si="3"/>
        <v>43</v>
      </c>
      <c r="M11" s="186">
        <f t="shared" si="4"/>
        <v>2.29</v>
      </c>
      <c r="N11" s="189">
        <v>367.3</v>
      </c>
      <c r="O11" s="189">
        <v>422.74</v>
      </c>
      <c r="P11" s="189">
        <v>0.25</v>
      </c>
      <c r="Q11" s="132"/>
      <c r="R11" s="133">
        <f t="shared" si="5"/>
        <v>1501</v>
      </c>
      <c r="S11" s="134">
        <f t="shared" si="8"/>
        <v>7399.9299999999994</v>
      </c>
      <c r="T11" s="135">
        <f t="shared" si="6"/>
        <v>2.236145979312</v>
      </c>
      <c r="U11" s="132" t="s">
        <v>205</v>
      </c>
      <c r="V11" s="132">
        <v>48.26</v>
      </c>
      <c r="W11" s="132" t="s">
        <v>198</v>
      </c>
      <c r="X11" s="132">
        <v>48.26</v>
      </c>
      <c r="Y11" s="132" t="s">
        <v>198</v>
      </c>
      <c r="Z11" s="132">
        <v>22.86</v>
      </c>
      <c r="AA11" s="132" t="s">
        <v>199</v>
      </c>
      <c r="AB11" s="132"/>
      <c r="AC11" s="132" t="str">
        <f t="shared" si="7"/>
        <v>MEN'S C PERFORMANCE 3-PACK BOXER BRIEF 91% POLYESTER 9% SPANDEX</v>
      </c>
      <c r="AD11" s="132" t="s">
        <v>203</v>
      </c>
      <c r="AE11" s="132" t="s">
        <v>204</v>
      </c>
      <c r="AF11" s="132">
        <v>3</v>
      </c>
    </row>
    <row r="12" spans="1:32">
      <c r="A12" s="186" t="s">
        <v>151</v>
      </c>
      <c r="B12" s="186" t="s">
        <v>157</v>
      </c>
      <c r="C12" s="186" t="s">
        <v>155</v>
      </c>
      <c r="D12" s="186">
        <v>24001268</v>
      </c>
      <c r="E12" s="187">
        <v>4.93</v>
      </c>
      <c r="F12" s="186">
        <v>5057</v>
      </c>
      <c r="G12" s="186" t="s">
        <v>124</v>
      </c>
      <c r="H12" s="188">
        <f>((48.26*48.26*22.86)/1000000)</f>
        <v>5.3241570935999995E-2</v>
      </c>
      <c r="I12" s="186">
        <f t="shared" si="0"/>
        <v>141</v>
      </c>
      <c r="J12" s="186">
        <f t="shared" si="1"/>
        <v>7.51</v>
      </c>
      <c r="K12" s="186">
        <f t="shared" si="2"/>
        <v>5209</v>
      </c>
      <c r="L12" s="186">
        <f t="shared" si="3"/>
        <v>145</v>
      </c>
      <c r="M12" s="186">
        <f t="shared" si="4"/>
        <v>7.72</v>
      </c>
      <c r="N12" s="189">
        <v>1328.01</v>
      </c>
      <c r="O12" s="189">
        <v>1514.13</v>
      </c>
      <c r="P12" s="189">
        <v>0.26</v>
      </c>
      <c r="Q12" s="132"/>
      <c r="R12" s="133">
        <f t="shared" si="5"/>
        <v>5057</v>
      </c>
      <c r="S12" s="134">
        <f t="shared" si="8"/>
        <v>24931.01</v>
      </c>
      <c r="T12" s="135">
        <f t="shared" si="6"/>
        <v>7.5070615019759996</v>
      </c>
      <c r="U12" s="132" t="s">
        <v>205</v>
      </c>
      <c r="V12" s="132">
        <v>48.26</v>
      </c>
      <c r="W12" s="132" t="s">
        <v>198</v>
      </c>
      <c r="X12" s="132">
        <v>48.26</v>
      </c>
      <c r="Y12" s="132" t="s">
        <v>198</v>
      </c>
      <c r="Z12" s="132">
        <v>22.86</v>
      </c>
      <c r="AA12" s="132" t="s">
        <v>199</v>
      </c>
      <c r="AB12" s="132"/>
      <c r="AC12" s="132" t="str">
        <f t="shared" si="7"/>
        <v>MEN'S C PERFORMANCE 3-PACK BOXER BRIEF 91% POLYESTER 9% SPANDEX</v>
      </c>
      <c r="AD12" s="132" t="s">
        <v>203</v>
      </c>
      <c r="AE12" s="132" t="s">
        <v>204</v>
      </c>
      <c r="AF12" s="132">
        <v>3</v>
      </c>
    </row>
    <row r="13" spans="1:32">
      <c r="A13" s="186" t="s">
        <v>151</v>
      </c>
      <c r="B13" s="186" t="s">
        <v>158</v>
      </c>
      <c r="C13" s="186" t="s">
        <v>155</v>
      </c>
      <c r="D13" s="186">
        <v>24001268</v>
      </c>
      <c r="E13" s="187">
        <v>4.93</v>
      </c>
      <c r="F13" s="186">
        <v>3481</v>
      </c>
      <c r="G13" s="186" t="s">
        <v>124</v>
      </c>
      <c r="H13" s="188">
        <f>((48.26*48.26*22.86)/1000000)</f>
        <v>5.3241570935999995E-2</v>
      </c>
      <c r="I13" s="186">
        <f t="shared" si="0"/>
        <v>97</v>
      </c>
      <c r="J13" s="186">
        <f t="shared" si="1"/>
        <v>5.16</v>
      </c>
      <c r="K13" s="186">
        <f t="shared" si="2"/>
        <v>3586</v>
      </c>
      <c r="L13" s="186">
        <f t="shared" si="3"/>
        <v>100</v>
      </c>
      <c r="M13" s="186">
        <f t="shared" si="4"/>
        <v>5.32</v>
      </c>
      <c r="N13" s="189">
        <v>974.11</v>
      </c>
      <c r="O13" s="189">
        <v>1102.1500000000001</v>
      </c>
      <c r="P13" s="189">
        <v>0.27</v>
      </c>
      <c r="Q13" s="132"/>
      <c r="R13" s="133">
        <f t="shared" si="5"/>
        <v>3481</v>
      </c>
      <c r="S13" s="134">
        <f t="shared" si="8"/>
        <v>17161.329999999998</v>
      </c>
      <c r="T13" s="135">
        <f t="shared" si="6"/>
        <v>5.1644323807919994</v>
      </c>
      <c r="U13" s="132" t="s">
        <v>205</v>
      </c>
      <c r="V13" s="132">
        <v>48.26</v>
      </c>
      <c r="W13" s="132" t="s">
        <v>198</v>
      </c>
      <c r="X13" s="132">
        <v>48.26</v>
      </c>
      <c r="Y13" s="132" t="s">
        <v>198</v>
      </c>
      <c r="Z13" s="132">
        <v>22.86</v>
      </c>
      <c r="AA13" s="132" t="s">
        <v>199</v>
      </c>
      <c r="AB13" s="132"/>
      <c r="AC13" s="132" t="str">
        <f t="shared" si="7"/>
        <v>MEN'S C PERFORMANCE 3-PACK BOXER BRIEF 91% POLYESTER 9% SPANDEX</v>
      </c>
      <c r="AD13" s="132" t="s">
        <v>203</v>
      </c>
      <c r="AE13" s="132" t="s">
        <v>204</v>
      </c>
      <c r="AF13" s="132">
        <v>3</v>
      </c>
    </row>
    <row r="14" spans="1:32">
      <c r="A14" s="186" t="s">
        <v>151</v>
      </c>
      <c r="B14" s="186" t="s">
        <v>159</v>
      </c>
      <c r="C14" s="186" t="s">
        <v>155</v>
      </c>
      <c r="D14" s="186">
        <v>24001268</v>
      </c>
      <c r="E14" s="187">
        <v>4.93</v>
      </c>
      <c r="F14" s="186">
        <v>1652</v>
      </c>
      <c r="G14" s="186" t="s">
        <v>124</v>
      </c>
      <c r="H14" s="188">
        <f>((48.26*48.26*26.67)/1000000)</f>
        <v>6.2115166091999997E-2</v>
      </c>
      <c r="I14" s="186">
        <f t="shared" si="0"/>
        <v>46</v>
      </c>
      <c r="J14" s="186">
        <f t="shared" si="1"/>
        <v>2.86</v>
      </c>
      <c r="K14" s="186">
        <f t="shared" si="2"/>
        <v>1702</v>
      </c>
      <c r="L14" s="186">
        <f t="shared" si="3"/>
        <v>48</v>
      </c>
      <c r="M14" s="186">
        <f t="shared" si="4"/>
        <v>2.98</v>
      </c>
      <c r="N14" s="189">
        <v>500.96</v>
      </c>
      <c r="O14" s="189">
        <v>561.67999999999995</v>
      </c>
      <c r="P14" s="189">
        <v>0.28999999999999998</v>
      </c>
      <c r="Q14" s="132"/>
      <c r="R14" s="133">
        <f t="shared" si="5"/>
        <v>1652</v>
      </c>
      <c r="S14" s="134">
        <f t="shared" si="8"/>
        <v>8144.36</v>
      </c>
      <c r="T14" s="135">
        <f t="shared" si="6"/>
        <v>2.8572976402319998</v>
      </c>
      <c r="U14" s="132" t="s">
        <v>205</v>
      </c>
      <c r="V14" s="132">
        <v>48.26</v>
      </c>
      <c r="W14" s="132" t="s">
        <v>198</v>
      </c>
      <c r="X14" s="132">
        <v>48.26</v>
      </c>
      <c r="Y14" s="132" t="s">
        <v>198</v>
      </c>
      <c r="Z14" s="132">
        <v>26.67</v>
      </c>
      <c r="AA14" s="132" t="s">
        <v>199</v>
      </c>
      <c r="AB14" s="132"/>
      <c r="AC14" s="132" t="str">
        <f t="shared" si="7"/>
        <v>MEN'S C PERFORMANCE 3-PACK BOXER BRIEF 91% POLYESTER 9% SPANDEX</v>
      </c>
      <c r="AD14" s="132" t="s">
        <v>203</v>
      </c>
      <c r="AE14" s="132" t="s">
        <v>204</v>
      </c>
      <c r="AF14" s="132">
        <v>3</v>
      </c>
    </row>
    <row r="15" spans="1:32">
      <c r="A15" s="186" t="s">
        <v>151</v>
      </c>
      <c r="B15" s="186" t="s">
        <v>160</v>
      </c>
      <c r="C15" s="186" t="s">
        <v>155</v>
      </c>
      <c r="D15" s="186">
        <v>24001269</v>
      </c>
      <c r="E15" s="187">
        <v>5.28</v>
      </c>
      <c r="F15" s="186">
        <v>609</v>
      </c>
      <c r="G15" s="186" t="s">
        <v>124</v>
      </c>
      <c r="H15" s="188">
        <f>((48.26*48.26*26.67)/1000000)</f>
        <v>6.2115166091999997E-2</v>
      </c>
      <c r="I15" s="186">
        <f t="shared" si="0"/>
        <v>17</v>
      </c>
      <c r="J15" s="186">
        <f t="shared" si="1"/>
        <v>1.06</v>
      </c>
      <c r="K15" s="186">
        <f t="shared" si="2"/>
        <v>628</v>
      </c>
      <c r="L15" s="186">
        <f t="shared" si="3"/>
        <v>18</v>
      </c>
      <c r="M15" s="186">
        <f t="shared" si="4"/>
        <v>1.1200000000000001</v>
      </c>
      <c r="N15" s="189">
        <v>195.51</v>
      </c>
      <c r="O15" s="189">
        <v>217.95</v>
      </c>
      <c r="P15" s="189">
        <v>0.3</v>
      </c>
      <c r="Q15" s="132"/>
      <c r="R15" s="133">
        <f t="shared" si="5"/>
        <v>609</v>
      </c>
      <c r="S15" s="134">
        <f t="shared" si="8"/>
        <v>3215.52</v>
      </c>
      <c r="T15" s="135">
        <f t="shared" si="6"/>
        <v>1.0559578235639999</v>
      </c>
      <c r="U15" s="132" t="s">
        <v>205</v>
      </c>
      <c r="V15" s="132">
        <v>48.26</v>
      </c>
      <c r="W15" s="132" t="s">
        <v>198</v>
      </c>
      <c r="X15" s="132">
        <v>48.26</v>
      </c>
      <c r="Y15" s="132" t="s">
        <v>198</v>
      </c>
      <c r="Z15" s="132">
        <v>26.67</v>
      </c>
      <c r="AA15" s="132" t="s">
        <v>199</v>
      </c>
      <c r="AB15" s="132"/>
      <c r="AC15" s="132" t="str">
        <f t="shared" si="7"/>
        <v>MEN'S C PERFORMANCE 3-PACK BOXER BRIEF 91% POLYESTER 9% SPANDEX</v>
      </c>
      <c r="AD15" s="132" t="s">
        <v>203</v>
      </c>
      <c r="AE15" s="132" t="s">
        <v>204</v>
      </c>
      <c r="AF15" s="132">
        <v>3</v>
      </c>
    </row>
    <row r="16" spans="1:32">
      <c r="A16" s="186" t="s">
        <v>151</v>
      </c>
      <c r="B16" s="186" t="s">
        <v>162</v>
      </c>
      <c r="C16" s="186" t="s">
        <v>161</v>
      </c>
      <c r="D16" s="186">
        <v>24001270</v>
      </c>
      <c r="E16" s="187">
        <v>4.93</v>
      </c>
      <c r="F16" s="186">
        <v>396</v>
      </c>
      <c r="G16" s="186" t="s">
        <v>124</v>
      </c>
      <c r="H16" s="188">
        <f>((48.26*48.26*22.86)/1000000)</f>
        <v>5.3241570935999995E-2</v>
      </c>
      <c r="I16" s="186">
        <f t="shared" si="0"/>
        <v>11</v>
      </c>
      <c r="J16" s="186">
        <f t="shared" si="1"/>
        <v>0.59</v>
      </c>
      <c r="K16" s="186">
        <f t="shared" si="2"/>
        <v>408</v>
      </c>
      <c r="L16" s="186">
        <f t="shared" si="3"/>
        <v>12</v>
      </c>
      <c r="M16" s="186">
        <f t="shared" si="4"/>
        <v>0.64</v>
      </c>
      <c r="N16" s="189">
        <v>98.34</v>
      </c>
      <c r="O16" s="189">
        <v>112.86</v>
      </c>
      <c r="P16" s="189">
        <v>0.25</v>
      </c>
      <c r="Q16" s="132"/>
      <c r="R16" s="133">
        <f t="shared" si="5"/>
        <v>396</v>
      </c>
      <c r="S16" s="134">
        <f t="shared" si="8"/>
        <v>1952.28</v>
      </c>
      <c r="T16" s="135">
        <f t="shared" si="6"/>
        <v>0.58565728029599995</v>
      </c>
      <c r="U16" s="132" t="s">
        <v>39</v>
      </c>
      <c r="V16" s="132">
        <v>48.26</v>
      </c>
      <c r="W16" s="132" t="s">
        <v>198</v>
      </c>
      <c r="X16" s="132">
        <v>48.26</v>
      </c>
      <c r="Y16" s="132" t="s">
        <v>198</v>
      </c>
      <c r="Z16" s="132">
        <v>22.86</v>
      </c>
      <c r="AA16" s="132" t="s">
        <v>199</v>
      </c>
      <c r="AB16" s="132"/>
      <c r="AC16" s="132" t="str">
        <f t="shared" si="7"/>
        <v>MEN'S C PERFORMANCE 3-PACK BOXER BRIEF 91% POLYESTER 9% SPANDEX</v>
      </c>
      <c r="AD16" s="132" t="s">
        <v>203</v>
      </c>
      <c r="AE16" s="132" t="s">
        <v>204</v>
      </c>
      <c r="AF16" s="132">
        <v>3</v>
      </c>
    </row>
    <row r="17" spans="1:32">
      <c r="A17" s="186" t="s">
        <v>151</v>
      </c>
      <c r="B17" s="186" t="s">
        <v>163</v>
      </c>
      <c r="C17" s="186" t="s">
        <v>161</v>
      </c>
      <c r="D17" s="186">
        <v>24001270</v>
      </c>
      <c r="E17" s="187">
        <v>4.93</v>
      </c>
      <c r="F17" s="186">
        <v>792</v>
      </c>
      <c r="G17" s="186" t="s">
        <v>124</v>
      </c>
      <c r="H17" s="188">
        <f>((48.26*48.26*22.86)/1000000)</f>
        <v>5.3241570935999995E-2</v>
      </c>
      <c r="I17" s="186">
        <f t="shared" si="0"/>
        <v>22</v>
      </c>
      <c r="J17" s="186">
        <f t="shared" si="1"/>
        <v>1.17</v>
      </c>
      <c r="K17" s="186">
        <f t="shared" si="2"/>
        <v>816</v>
      </c>
      <c r="L17" s="186">
        <f t="shared" si="3"/>
        <v>23</v>
      </c>
      <c r="M17" s="186">
        <f t="shared" si="4"/>
        <v>1.22</v>
      </c>
      <c r="N17" s="189">
        <v>209.44</v>
      </c>
      <c r="O17" s="189">
        <v>238.48</v>
      </c>
      <c r="P17" s="189">
        <v>0.26</v>
      </c>
      <c r="Q17" s="132"/>
      <c r="R17" s="133">
        <f t="shared" si="5"/>
        <v>792</v>
      </c>
      <c r="S17" s="134">
        <f t="shared" si="8"/>
        <v>3904.56</v>
      </c>
      <c r="T17" s="135">
        <f t="shared" si="6"/>
        <v>1.1713145605919999</v>
      </c>
      <c r="U17" s="132" t="s">
        <v>39</v>
      </c>
      <c r="V17" s="132">
        <v>48.26</v>
      </c>
      <c r="W17" s="132" t="s">
        <v>198</v>
      </c>
      <c r="X17" s="132">
        <v>48.26</v>
      </c>
      <c r="Y17" s="132" t="s">
        <v>198</v>
      </c>
      <c r="Z17" s="132">
        <v>22.86</v>
      </c>
      <c r="AA17" s="132" t="s">
        <v>199</v>
      </c>
      <c r="AB17" s="132"/>
      <c r="AC17" s="132" t="str">
        <f t="shared" si="7"/>
        <v>MEN'S C PERFORMANCE 3-PACK BOXER BRIEF 91% POLYESTER 9% SPANDEX</v>
      </c>
      <c r="AD17" s="132" t="s">
        <v>203</v>
      </c>
      <c r="AE17" s="132" t="s">
        <v>204</v>
      </c>
      <c r="AF17" s="132">
        <v>3</v>
      </c>
    </row>
    <row r="18" spans="1:32">
      <c r="A18" s="186" t="s">
        <v>151</v>
      </c>
      <c r="B18" s="186" t="s">
        <v>164</v>
      </c>
      <c r="C18" s="186" t="s">
        <v>161</v>
      </c>
      <c r="D18" s="186">
        <v>24001270</v>
      </c>
      <c r="E18" s="187">
        <v>4.93</v>
      </c>
      <c r="F18" s="186">
        <v>788</v>
      </c>
      <c r="G18" s="186" t="s">
        <v>124</v>
      </c>
      <c r="H18" s="188">
        <f>((48.26*48.26*22.86)/1000000)</f>
        <v>5.3241570935999995E-2</v>
      </c>
      <c r="I18" s="186">
        <f t="shared" si="0"/>
        <v>22</v>
      </c>
      <c r="J18" s="186">
        <f t="shared" si="1"/>
        <v>1.17</v>
      </c>
      <c r="K18" s="186">
        <f t="shared" si="2"/>
        <v>812</v>
      </c>
      <c r="L18" s="186">
        <f t="shared" si="3"/>
        <v>23</v>
      </c>
      <c r="M18" s="186">
        <f t="shared" si="4"/>
        <v>1.22</v>
      </c>
      <c r="N18" s="189">
        <v>220.28</v>
      </c>
      <c r="O18" s="189">
        <v>249.32</v>
      </c>
      <c r="P18" s="189">
        <v>0.27</v>
      </c>
      <c r="Q18" s="132"/>
      <c r="R18" s="133">
        <f t="shared" si="5"/>
        <v>788</v>
      </c>
      <c r="S18" s="134">
        <f t="shared" si="8"/>
        <v>3884.8399999999997</v>
      </c>
      <c r="T18" s="135">
        <f t="shared" si="6"/>
        <v>1.1713145605919999</v>
      </c>
      <c r="U18" s="132" t="s">
        <v>39</v>
      </c>
      <c r="V18" s="132">
        <v>48.26</v>
      </c>
      <c r="W18" s="132" t="s">
        <v>198</v>
      </c>
      <c r="X18" s="132">
        <v>48.26</v>
      </c>
      <c r="Y18" s="132" t="s">
        <v>198</v>
      </c>
      <c r="Z18" s="132">
        <v>22.86</v>
      </c>
      <c r="AA18" s="132" t="s">
        <v>199</v>
      </c>
      <c r="AB18" s="132"/>
      <c r="AC18" s="132" t="str">
        <f t="shared" si="7"/>
        <v>MEN'S C PERFORMANCE 3-PACK BOXER BRIEF 91% POLYESTER 9% SPANDEX</v>
      </c>
      <c r="AD18" s="132" t="s">
        <v>203</v>
      </c>
      <c r="AE18" s="132" t="s">
        <v>204</v>
      </c>
      <c r="AF18" s="132">
        <v>3</v>
      </c>
    </row>
    <row r="19" spans="1:32">
      <c r="A19" s="186" t="s">
        <v>151</v>
      </c>
      <c r="B19" s="186" t="s">
        <v>165</v>
      </c>
      <c r="C19" s="186" t="s">
        <v>161</v>
      </c>
      <c r="D19" s="186">
        <v>24001270</v>
      </c>
      <c r="E19" s="187">
        <v>4.93</v>
      </c>
      <c r="F19" s="186">
        <v>396</v>
      </c>
      <c r="G19" s="186" t="s">
        <v>124</v>
      </c>
      <c r="H19" s="188">
        <f>((48.26*48.26*26.67)/1000000)</f>
        <v>6.2115166091999997E-2</v>
      </c>
      <c r="I19" s="186">
        <f t="shared" si="0"/>
        <v>11</v>
      </c>
      <c r="J19" s="186">
        <f t="shared" si="1"/>
        <v>0.68</v>
      </c>
      <c r="K19" s="186">
        <f t="shared" si="2"/>
        <v>408</v>
      </c>
      <c r="L19" s="186">
        <f t="shared" si="3"/>
        <v>12</v>
      </c>
      <c r="M19" s="186">
        <f t="shared" si="4"/>
        <v>0.75</v>
      </c>
      <c r="N19" s="189">
        <v>120.78</v>
      </c>
      <c r="O19" s="189">
        <v>135.30000000000001</v>
      </c>
      <c r="P19" s="189">
        <v>0.28999999999999998</v>
      </c>
      <c r="Q19" s="132"/>
      <c r="R19" s="133">
        <f t="shared" si="5"/>
        <v>396</v>
      </c>
      <c r="S19" s="134">
        <f t="shared" si="8"/>
        <v>1952.28</v>
      </c>
      <c r="T19" s="135">
        <f t="shared" si="6"/>
        <v>0.68326682701199992</v>
      </c>
      <c r="U19" s="132" t="s">
        <v>39</v>
      </c>
      <c r="V19" s="132">
        <v>48.26</v>
      </c>
      <c r="W19" s="132" t="s">
        <v>198</v>
      </c>
      <c r="X19" s="132">
        <v>48.26</v>
      </c>
      <c r="Y19" s="132" t="s">
        <v>198</v>
      </c>
      <c r="Z19" s="132">
        <v>26.67</v>
      </c>
      <c r="AA19" s="132" t="s">
        <v>199</v>
      </c>
      <c r="AB19" s="132"/>
      <c r="AC19" s="132" t="str">
        <f t="shared" si="7"/>
        <v>MEN'S C PERFORMANCE 3-PACK BOXER BRIEF 91% POLYESTER 9% SPANDEX</v>
      </c>
      <c r="AD19" s="132" t="s">
        <v>203</v>
      </c>
      <c r="AE19" s="132" t="s">
        <v>204</v>
      </c>
      <c r="AF19" s="132">
        <v>3</v>
      </c>
    </row>
    <row r="20" spans="1:32">
      <c r="A20" s="182" t="s">
        <v>139</v>
      </c>
      <c r="B20" s="182" t="s">
        <v>138</v>
      </c>
      <c r="C20" s="182" t="s">
        <v>137</v>
      </c>
      <c r="D20" s="182">
        <v>24001310</v>
      </c>
      <c r="E20" s="183">
        <v>5.63</v>
      </c>
      <c r="F20" s="182">
        <v>1080</v>
      </c>
      <c r="G20" s="182" t="s">
        <v>124</v>
      </c>
      <c r="H20" s="184">
        <f>((48.26*48.26*22.86)/1000000)</f>
        <v>5.3241570935999995E-2</v>
      </c>
      <c r="I20" s="182">
        <f t="shared" si="0"/>
        <v>30</v>
      </c>
      <c r="J20" s="185">
        <f t="shared" si="1"/>
        <v>1.6</v>
      </c>
      <c r="K20" s="182">
        <f t="shared" si="2"/>
        <v>1113</v>
      </c>
      <c r="L20" s="182">
        <f t="shared" si="3"/>
        <v>31</v>
      </c>
      <c r="M20" s="182">
        <f t="shared" si="4"/>
        <v>1.65</v>
      </c>
      <c r="N20" s="185">
        <v>273.60000000000002</v>
      </c>
      <c r="O20" s="185">
        <v>303</v>
      </c>
      <c r="P20" s="185">
        <v>0.25</v>
      </c>
      <c r="Q20" s="131"/>
      <c r="R20" s="128">
        <f t="shared" si="5"/>
        <v>1080</v>
      </c>
      <c r="S20" s="129">
        <f t="shared" si="8"/>
        <v>6080.4</v>
      </c>
      <c r="T20" s="130">
        <f t="shared" si="6"/>
        <v>1.5972471280799998</v>
      </c>
      <c r="U20" s="131" t="s">
        <v>39</v>
      </c>
      <c r="V20" s="131">
        <v>48.26</v>
      </c>
      <c r="W20" s="131" t="s">
        <v>198</v>
      </c>
      <c r="X20" s="131">
        <v>48.26</v>
      </c>
      <c r="Y20" s="131" t="s">
        <v>198</v>
      </c>
      <c r="Z20" s="131">
        <v>22.86</v>
      </c>
      <c r="AA20" s="131" t="s">
        <v>199</v>
      </c>
      <c r="AB20" s="131"/>
      <c r="AC20" s="131" t="str">
        <f t="shared" si="7"/>
        <v>MEN'S MICROFIBER 3-PACK LONG BOXER BRIEF 91% POLYESTER 9% SPANDEX</v>
      </c>
      <c r="AD20" s="131" t="s">
        <v>203</v>
      </c>
      <c r="AE20" s="131" t="s">
        <v>206</v>
      </c>
      <c r="AF20" s="131">
        <v>3</v>
      </c>
    </row>
    <row r="21" spans="1:32">
      <c r="A21" s="182" t="s">
        <v>139</v>
      </c>
      <c r="B21" s="182" t="s">
        <v>140</v>
      </c>
      <c r="C21" s="182" t="s">
        <v>137</v>
      </c>
      <c r="D21" s="182">
        <v>24001310</v>
      </c>
      <c r="E21" s="183">
        <v>5.63</v>
      </c>
      <c r="F21" s="182">
        <v>2772</v>
      </c>
      <c r="G21" s="182" t="s">
        <v>124</v>
      </c>
      <c r="H21" s="184">
        <f>((48.26*48.26*22.86)/1000000)</f>
        <v>5.3241570935999995E-2</v>
      </c>
      <c r="I21" s="182">
        <f t="shared" si="0"/>
        <v>77</v>
      </c>
      <c r="J21" s="185">
        <f t="shared" si="1"/>
        <v>4.0999999999999996</v>
      </c>
      <c r="K21" s="182">
        <f t="shared" si="2"/>
        <v>2856</v>
      </c>
      <c r="L21" s="182">
        <f t="shared" si="3"/>
        <v>80</v>
      </c>
      <c r="M21" s="182">
        <f t="shared" si="4"/>
        <v>4.26</v>
      </c>
      <c r="N21" s="185">
        <v>746.9</v>
      </c>
      <c r="O21" s="185">
        <v>822.36</v>
      </c>
      <c r="P21" s="185">
        <v>0.26</v>
      </c>
      <c r="Q21" s="131"/>
      <c r="R21" s="128">
        <f t="shared" si="5"/>
        <v>2772</v>
      </c>
      <c r="S21" s="129">
        <f t="shared" si="8"/>
        <v>15606.36</v>
      </c>
      <c r="T21" s="130">
        <f t="shared" si="6"/>
        <v>4.0996009620719995</v>
      </c>
      <c r="U21" s="131" t="s">
        <v>39</v>
      </c>
      <c r="V21" s="131">
        <v>48.26</v>
      </c>
      <c r="W21" s="131" t="s">
        <v>198</v>
      </c>
      <c r="X21" s="131">
        <v>48.26</v>
      </c>
      <c r="Y21" s="131" t="s">
        <v>198</v>
      </c>
      <c r="Z21" s="131">
        <v>22.86</v>
      </c>
      <c r="AA21" s="131" t="s">
        <v>199</v>
      </c>
      <c r="AB21" s="131"/>
      <c r="AC21" s="131" t="str">
        <f t="shared" si="7"/>
        <v>MEN'S MICROFIBER 3-PACK LONG BOXER BRIEF 91% POLYESTER 9% SPANDEX</v>
      </c>
      <c r="AD21" s="131" t="s">
        <v>203</v>
      </c>
      <c r="AE21" s="131" t="s">
        <v>206</v>
      </c>
      <c r="AF21" s="131">
        <v>3</v>
      </c>
    </row>
    <row r="22" spans="1:32">
      <c r="A22" s="182" t="s">
        <v>139</v>
      </c>
      <c r="B22" s="182" t="s">
        <v>141</v>
      </c>
      <c r="C22" s="182" t="s">
        <v>137</v>
      </c>
      <c r="D22" s="182">
        <v>24001310</v>
      </c>
      <c r="E22" s="183">
        <v>5.63</v>
      </c>
      <c r="F22" s="182">
        <v>2556</v>
      </c>
      <c r="G22" s="182" t="s">
        <v>124</v>
      </c>
      <c r="H22" s="184">
        <f>((48.26*48.26*22.86)/1000000)</f>
        <v>5.3241570935999995E-2</v>
      </c>
      <c r="I22" s="182">
        <f t="shared" si="0"/>
        <v>71</v>
      </c>
      <c r="J22" s="185">
        <f t="shared" si="1"/>
        <v>3.78</v>
      </c>
      <c r="K22" s="182">
        <f t="shared" si="2"/>
        <v>2633</v>
      </c>
      <c r="L22" s="182">
        <f t="shared" si="3"/>
        <v>74</v>
      </c>
      <c r="M22" s="182">
        <f t="shared" si="4"/>
        <v>3.94</v>
      </c>
      <c r="N22" s="185">
        <v>729.88</v>
      </c>
      <c r="O22" s="185">
        <v>799.46</v>
      </c>
      <c r="P22" s="185">
        <v>0.27</v>
      </c>
      <c r="Q22" s="131"/>
      <c r="R22" s="128">
        <f t="shared" si="5"/>
        <v>2556</v>
      </c>
      <c r="S22" s="129">
        <f t="shared" si="8"/>
        <v>14390.279999999999</v>
      </c>
      <c r="T22" s="130">
        <f t="shared" si="6"/>
        <v>3.7801515364559997</v>
      </c>
      <c r="U22" s="131" t="s">
        <v>39</v>
      </c>
      <c r="V22" s="131">
        <v>48.26</v>
      </c>
      <c r="W22" s="131" t="s">
        <v>198</v>
      </c>
      <c r="X22" s="131">
        <v>48.26</v>
      </c>
      <c r="Y22" s="131" t="s">
        <v>198</v>
      </c>
      <c r="Z22" s="131">
        <v>22.86</v>
      </c>
      <c r="AA22" s="131" t="s">
        <v>199</v>
      </c>
      <c r="AB22" s="131"/>
      <c r="AC22" s="131" t="str">
        <f t="shared" si="7"/>
        <v>MEN'S MICROFIBER 3-PACK LONG BOXER BRIEF 91% POLYESTER 9% SPANDEX</v>
      </c>
      <c r="AD22" s="131" t="s">
        <v>203</v>
      </c>
      <c r="AE22" s="131" t="s">
        <v>206</v>
      </c>
      <c r="AF22" s="131">
        <v>3</v>
      </c>
    </row>
    <row r="23" spans="1:32">
      <c r="A23" s="182" t="s">
        <v>139</v>
      </c>
      <c r="B23" s="182" t="s">
        <v>142</v>
      </c>
      <c r="C23" s="182" t="s">
        <v>137</v>
      </c>
      <c r="D23" s="182">
        <v>24001310</v>
      </c>
      <c r="E23" s="183">
        <v>5.63</v>
      </c>
      <c r="F23" s="182">
        <v>1440</v>
      </c>
      <c r="G23" s="182" t="s">
        <v>124</v>
      </c>
      <c r="H23" s="184">
        <f>((48.26*48.26*26.67)/1000000)</f>
        <v>6.2115166091999997E-2</v>
      </c>
      <c r="I23" s="182">
        <f t="shared" si="0"/>
        <v>40</v>
      </c>
      <c r="J23" s="185">
        <f t="shared" si="1"/>
        <v>2.48</v>
      </c>
      <c r="K23" s="182">
        <f t="shared" si="2"/>
        <v>1484</v>
      </c>
      <c r="L23" s="182">
        <f t="shared" si="3"/>
        <v>42</v>
      </c>
      <c r="M23" s="182">
        <f t="shared" si="4"/>
        <v>2.61</v>
      </c>
      <c r="N23" s="185">
        <v>440</v>
      </c>
      <c r="O23" s="185">
        <v>481.6</v>
      </c>
      <c r="P23" s="185">
        <v>0.28999999999999998</v>
      </c>
      <c r="Q23" s="131"/>
      <c r="R23" s="128">
        <f t="shared" si="5"/>
        <v>1440</v>
      </c>
      <c r="S23" s="129">
        <f t="shared" si="8"/>
        <v>8107.2</v>
      </c>
      <c r="T23" s="130">
        <f t="shared" si="6"/>
        <v>2.4846066436799998</v>
      </c>
      <c r="U23" s="131" t="s">
        <v>39</v>
      </c>
      <c r="V23" s="131">
        <v>48.26</v>
      </c>
      <c r="W23" s="131" t="s">
        <v>198</v>
      </c>
      <c r="X23" s="131">
        <v>48.26</v>
      </c>
      <c r="Y23" s="131" t="s">
        <v>198</v>
      </c>
      <c r="Z23" s="131">
        <v>26.67</v>
      </c>
      <c r="AA23" s="131" t="s">
        <v>199</v>
      </c>
      <c r="AB23" s="131"/>
      <c r="AC23" s="131" t="str">
        <f t="shared" si="7"/>
        <v>MEN'S MICROFIBER 3-PACK LONG BOXER BRIEF 91% POLYESTER 9% SPANDEX</v>
      </c>
      <c r="AD23" s="131" t="s">
        <v>203</v>
      </c>
      <c r="AE23" s="131" t="s">
        <v>206</v>
      </c>
      <c r="AF23" s="131">
        <v>3</v>
      </c>
    </row>
    <row r="24" spans="1:32">
      <c r="A24" s="182" t="s">
        <v>123</v>
      </c>
      <c r="B24" s="182" t="s">
        <v>28</v>
      </c>
      <c r="C24" s="182" t="s">
        <v>122</v>
      </c>
      <c r="D24" s="182">
        <v>24001290</v>
      </c>
      <c r="E24" s="183">
        <v>5.14</v>
      </c>
      <c r="F24" s="182">
        <v>900</v>
      </c>
      <c r="G24" s="182" t="s">
        <v>124</v>
      </c>
      <c r="H24" s="184">
        <f>((48.26*48.26*22.86)/1000000)</f>
        <v>5.3241570935999995E-2</v>
      </c>
      <c r="I24" s="182">
        <f t="shared" si="0"/>
        <v>25</v>
      </c>
      <c r="J24" s="182">
        <f t="shared" si="1"/>
        <v>1.33</v>
      </c>
      <c r="K24" s="182">
        <f t="shared" si="2"/>
        <v>927</v>
      </c>
      <c r="L24" s="182">
        <f t="shared" si="3"/>
        <v>26</v>
      </c>
      <c r="M24" s="182">
        <f t="shared" si="4"/>
        <v>1.38</v>
      </c>
      <c r="N24" s="185">
        <v>216</v>
      </c>
      <c r="O24" s="185">
        <v>240</v>
      </c>
      <c r="P24" s="185">
        <v>0.25</v>
      </c>
      <c r="Q24" s="131"/>
      <c r="R24" s="128">
        <f t="shared" si="5"/>
        <v>900</v>
      </c>
      <c r="S24" s="129">
        <f t="shared" si="8"/>
        <v>4626</v>
      </c>
      <c r="T24" s="130">
        <f t="shared" si="6"/>
        <v>1.3310392733999998</v>
      </c>
      <c r="U24" s="131" t="s">
        <v>40</v>
      </c>
      <c r="V24" s="131">
        <v>48.26</v>
      </c>
      <c r="W24" s="131" t="s">
        <v>198</v>
      </c>
      <c r="X24" s="131">
        <v>48.26</v>
      </c>
      <c r="Y24" s="131" t="s">
        <v>198</v>
      </c>
      <c r="Z24" s="131">
        <v>22.86</v>
      </c>
      <c r="AA24" s="131" t="s">
        <v>199</v>
      </c>
      <c r="AB24" s="131"/>
      <c r="AC24" s="131" t="str">
        <f t="shared" si="7"/>
        <v>MEN'S MICROFIBER 3-PACK BOXER BRIEF 91% POLYESTER 9% SPANDEX</v>
      </c>
      <c r="AD24" s="131" t="s">
        <v>203</v>
      </c>
      <c r="AE24" s="131" t="s">
        <v>207</v>
      </c>
      <c r="AF24" s="131">
        <v>3</v>
      </c>
    </row>
    <row r="25" spans="1:32">
      <c r="A25" s="182" t="s">
        <v>123</v>
      </c>
      <c r="B25" s="182" t="s">
        <v>29</v>
      </c>
      <c r="C25" s="182" t="s">
        <v>122</v>
      </c>
      <c r="D25" s="182">
        <v>24001290</v>
      </c>
      <c r="E25" s="183">
        <v>5.14</v>
      </c>
      <c r="F25" s="182">
        <v>1908</v>
      </c>
      <c r="G25" s="182" t="s">
        <v>124</v>
      </c>
      <c r="H25" s="184">
        <f>((48.26*48.26*22.86)/1000000)</f>
        <v>5.3241570935999995E-2</v>
      </c>
      <c r="I25" s="182">
        <f t="shared" si="0"/>
        <v>53</v>
      </c>
      <c r="J25" s="182">
        <f t="shared" si="1"/>
        <v>2.82</v>
      </c>
      <c r="K25" s="182">
        <f t="shared" si="2"/>
        <v>1966</v>
      </c>
      <c r="L25" s="182">
        <f t="shared" si="3"/>
        <v>55</v>
      </c>
      <c r="M25" s="182">
        <f t="shared" si="4"/>
        <v>2.93</v>
      </c>
      <c r="N25" s="185">
        <v>481.24</v>
      </c>
      <c r="O25" s="185">
        <v>532.12</v>
      </c>
      <c r="P25" s="185">
        <v>0.26</v>
      </c>
      <c r="Q25" s="131"/>
      <c r="R25" s="128">
        <f t="shared" si="5"/>
        <v>1908</v>
      </c>
      <c r="S25" s="129">
        <f t="shared" si="8"/>
        <v>9807.119999999999</v>
      </c>
      <c r="T25" s="130">
        <f t="shared" si="6"/>
        <v>2.8218032596079996</v>
      </c>
      <c r="U25" s="131" t="s">
        <v>40</v>
      </c>
      <c r="V25" s="131">
        <v>48.26</v>
      </c>
      <c r="W25" s="131" t="s">
        <v>198</v>
      </c>
      <c r="X25" s="131">
        <v>48.26</v>
      </c>
      <c r="Y25" s="131" t="s">
        <v>198</v>
      </c>
      <c r="Z25" s="131">
        <v>22.86</v>
      </c>
      <c r="AA25" s="131" t="s">
        <v>199</v>
      </c>
      <c r="AB25" s="131"/>
      <c r="AC25" s="131" t="str">
        <f t="shared" si="7"/>
        <v>MEN'S MICROFIBER 3-PACK BOXER BRIEF 91% POLYESTER 9% SPANDEX</v>
      </c>
      <c r="AD25" s="131" t="s">
        <v>203</v>
      </c>
      <c r="AE25" s="131" t="s">
        <v>207</v>
      </c>
      <c r="AF25" s="131">
        <v>3</v>
      </c>
    </row>
    <row r="26" spans="1:32">
      <c r="A26" s="182" t="s">
        <v>123</v>
      </c>
      <c r="B26" s="182" t="s">
        <v>30</v>
      </c>
      <c r="C26" s="182" t="s">
        <v>122</v>
      </c>
      <c r="D26" s="182">
        <v>24001290</v>
      </c>
      <c r="E26" s="183">
        <v>5.14</v>
      </c>
      <c r="F26" s="182">
        <v>1836</v>
      </c>
      <c r="G26" s="182" t="s">
        <v>124</v>
      </c>
      <c r="H26" s="184">
        <f>((48.26*48.26*22.86)/1000000)</f>
        <v>5.3241570935999995E-2</v>
      </c>
      <c r="I26" s="182">
        <f t="shared" si="0"/>
        <v>51</v>
      </c>
      <c r="J26" s="182">
        <f t="shared" si="1"/>
        <v>2.72</v>
      </c>
      <c r="K26" s="182">
        <f t="shared" si="2"/>
        <v>1892</v>
      </c>
      <c r="L26" s="182">
        <f t="shared" si="3"/>
        <v>53</v>
      </c>
      <c r="M26" s="182">
        <f t="shared" si="4"/>
        <v>2.82</v>
      </c>
      <c r="N26" s="185">
        <v>492.66</v>
      </c>
      <c r="O26" s="185">
        <v>541.62</v>
      </c>
      <c r="P26" s="185">
        <v>0.27</v>
      </c>
      <c r="Q26" s="131"/>
      <c r="R26" s="128">
        <f t="shared" si="5"/>
        <v>1836</v>
      </c>
      <c r="S26" s="129">
        <f t="shared" si="8"/>
        <v>9437.0399999999991</v>
      </c>
      <c r="T26" s="130">
        <f t="shared" si="6"/>
        <v>2.7153201177359998</v>
      </c>
      <c r="U26" s="131" t="s">
        <v>40</v>
      </c>
      <c r="V26" s="131">
        <v>48.26</v>
      </c>
      <c r="W26" s="131" t="s">
        <v>198</v>
      </c>
      <c r="X26" s="131">
        <v>48.26</v>
      </c>
      <c r="Y26" s="131" t="s">
        <v>198</v>
      </c>
      <c r="Z26" s="131">
        <v>22.86</v>
      </c>
      <c r="AA26" s="131" t="s">
        <v>199</v>
      </c>
      <c r="AB26" s="131"/>
      <c r="AC26" s="131" t="str">
        <f t="shared" si="7"/>
        <v>MEN'S MICROFIBER 3-PACK BOXER BRIEF 91% POLYESTER 9% SPANDEX</v>
      </c>
      <c r="AD26" s="131" t="s">
        <v>203</v>
      </c>
      <c r="AE26" s="131" t="s">
        <v>207</v>
      </c>
      <c r="AF26" s="131">
        <v>3</v>
      </c>
    </row>
    <row r="27" spans="1:32">
      <c r="A27" s="182" t="s">
        <v>123</v>
      </c>
      <c r="B27" s="182" t="s">
        <v>31</v>
      </c>
      <c r="C27" s="182" t="s">
        <v>122</v>
      </c>
      <c r="D27" s="182">
        <v>24001290</v>
      </c>
      <c r="E27" s="183">
        <v>5.14</v>
      </c>
      <c r="F27" s="182">
        <v>1008</v>
      </c>
      <c r="G27" s="182" t="s">
        <v>124</v>
      </c>
      <c r="H27" s="184">
        <f>((48.26*48.26*26.67)/1000000)</f>
        <v>6.2115166091999997E-2</v>
      </c>
      <c r="I27" s="182">
        <f t="shared" si="0"/>
        <v>28</v>
      </c>
      <c r="J27" s="182">
        <f t="shared" si="1"/>
        <v>1.74</v>
      </c>
      <c r="K27" s="182">
        <f t="shared" si="2"/>
        <v>1039</v>
      </c>
      <c r="L27" s="182">
        <f t="shared" si="3"/>
        <v>29</v>
      </c>
      <c r="M27" s="182">
        <f t="shared" si="4"/>
        <v>1.8</v>
      </c>
      <c r="N27" s="185">
        <v>300.72000000000003</v>
      </c>
      <c r="O27" s="185">
        <v>329.28</v>
      </c>
      <c r="P27" s="185">
        <v>0.28999999999999998</v>
      </c>
      <c r="Q27" s="131"/>
      <c r="R27" s="128">
        <f t="shared" si="5"/>
        <v>1008</v>
      </c>
      <c r="S27" s="129">
        <f t="shared" si="8"/>
        <v>5181.12</v>
      </c>
      <c r="T27" s="130">
        <f t="shared" si="6"/>
        <v>1.7392246505759998</v>
      </c>
      <c r="U27" s="131" t="s">
        <v>40</v>
      </c>
      <c r="V27" s="131">
        <v>48.26</v>
      </c>
      <c r="W27" s="131" t="s">
        <v>198</v>
      </c>
      <c r="X27" s="131">
        <v>48.26</v>
      </c>
      <c r="Y27" s="131" t="s">
        <v>198</v>
      </c>
      <c r="Z27" s="131">
        <v>26.67</v>
      </c>
      <c r="AA27" s="131" t="s">
        <v>199</v>
      </c>
      <c r="AB27" s="131"/>
      <c r="AC27" s="131" t="str">
        <f t="shared" si="7"/>
        <v>MEN'S MICROFIBER 3-PACK BOXER BRIEF 91% POLYESTER 9% SPANDEX</v>
      </c>
      <c r="AD27" s="131" t="s">
        <v>203</v>
      </c>
      <c r="AE27" s="131" t="s">
        <v>207</v>
      </c>
      <c r="AF27" s="131">
        <v>3</v>
      </c>
    </row>
    <row r="28" spans="1:32">
      <c r="A28" s="186" t="s">
        <v>123</v>
      </c>
      <c r="B28" s="186" t="s">
        <v>167</v>
      </c>
      <c r="C28" s="186" t="s">
        <v>166</v>
      </c>
      <c r="D28" s="186">
        <v>24001291</v>
      </c>
      <c r="E28" s="187">
        <v>5.14</v>
      </c>
      <c r="F28" s="186">
        <v>1044</v>
      </c>
      <c r="G28" s="186" t="s">
        <v>124</v>
      </c>
      <c r="H28" s="188">
        <f>((48.26*48.26*22.86)/1000000)</f>
        <v>5.3241570935999995E-2</v>
      </c>
      <c r="I28" s="186">
        <f t="shared" si="0"/>
        <v>29</v>
      </c>
      <c r="J28" s="186">
        <f t="shared" si="1"/>
        <v>1.54</v>
      </c>
      <c r="K28" s="186">
        <f t="shared" si="2"/>
        <v>1076</v>
      </c>
      <c r="L28" s="186">
        <f t="shared" si="3"/>
        <v>30</v>
      </c>
      <c r="M28" s="186">
        <f t="shared" si="4"/>
        <v>1.6</v>
      </c>
      <c r="N28" s="189">
        <v>250.56</v>
      </c>
      <c r="O28" s="189">
        <v>278.39999999999998</v>
      </c>
      <c r="P28" s="189">
        <v>0.25</v>
      </c>
      <c r="Q28" s="132"/>
      <c r="R28" s="133">
        <f t="shared" si="5"/>
        <v>1044</v>
      </c>
      <c r="S28" s="134">
        <f t="shared" si="8"/>
        <v>5366.16</v>
      </c>
      <c r="T28" s="135">
        <f t="shared" si="6"/>
        <v>1.5440055571439999</v>
      </c>
      <c r="U28" s="132" t="s">
        <v>208</v>
      </c>
      <c r="V28" s="132">
        <v>48.26</v>
      </c>
      <c r="W28" s="132" t="s">
        <v>198</v>
      </c>
      <c r="X28" s="132">
        <v>48.26</v>
      </c>
      <c r="Y28" s="132" t="s">
        <v>198</v>
      </c>
      <c r="Z28" s="132">
        <v>22.86</v>
      </c>
      <c r="AA28" s="132" t="s">
        <v>199</v>
      </c>
      <c r="AB28" s="132"/>
      <c r="AC28" s="132" t="str">
        <f t="shared" si="7"/>
        <v>MEN'S MICROFIBER 3-PACK BOXER BRIEF 91% POLYESTER 9% SPANDEX</v>
      </c>
      <c r="AD28" s="132" t="s">
        <v>203</v>
      </c>
      <c r="AE28" s="132" t="s">
        <v>207</v>
      </c>
      <c r="AF28" s="132">
        <v>3</v>
      </c>
    </row>
    <row r="29" spans="1:32">
      <c r="A29" s="186" t="s">
        <v>123</v>
      </c>
      <c r="B29" s="186" t="s">
        <v>168</v>
      </c>
      <c r="C29" s="186" t="s">
        <v>166</v>
      </c>
      <c r="D29" s="186">
        <v>24001291</v>
      </c>
      <c r="E29" s="187">
        <v>5.14</v>
      </c>
      <c r="F29" s="186">
        <v>2520</v>
      </c>
      <c r="G29" s="186" t="s">
        <v>124</v>
      </c>
      <c r="H29" s="188">
        <f>((48.26*48.26*22.86)/1000000)</f>
        <v>5.3241570935999995E-2</v>
      </c>
      <c r="I29" s="186">
        <f t="shared" si="0"/>
        <v>70</v>
      </c>
      <c r="J29" s="186">
        <f t="shared" si="1"/>
        <v>3.73</v>
      </c>
      <c r="K29" s="186">
        <f t="shared" si="2"/>
        <v>2596</v>
      </c>
      <c r="L29" s="186">
        <f t="shared" si="3"/>
        <v>73</v>
      </c>
      <c r="M29" s="186">
        <f t="shared" si="4"/>
        <v>3.89</v>
      </c>
      <c r="N29" s="189">
        <v>635.6</v>
      </c>
      <c r="O29" s="189">
        <v>702.8</v>
      </c>
      <c r="P29" s="189">
        <v>0.26</v>
      </c>
      <c r="Q29" s="132"/>
      <c r="R29" s="133">
        <f t="shared" si="5"/>
        <v>2520</v>
      </c>
      <c r="S29" s="134">
        <f t="shared" si="8"/>
        <v>12952.8</v>
      </c>
      <c r="T29" s="135">
        <f t="shared" si="6"/>
        <v>3.7269099655199995</v>
      </c>
      <c r="U29" s="132" t="s">
        <v>208</v>
      </c>
      <c r="V29" s="132">
        <v>48.26</v>
      </c>
      <c r="W29" s="132" t="s">
        <v>198</v>
      </c>
      <c r="X29" s="132">
        <v>48.26</v>
      </c>
      <c r="Y29" s="132" t="s">
        <v>198</v>
      </c>
      <c r="Z29" s="132">
        <v>22.86</v>
      </c>
      <c r="AA29" s="132" t="s">
        <v>199</v>
      </c>
      <c r="AB29" s="132"/>
      <c r="AC29" s="132" t="str">
        <f t="shared" si="7"/>
        <v>MEN'S MICROFIBER 3-PACK BOXER BRIEF 91% POLYESTER 9% SPANDEX</v>
      </c>
      <c r="AD29" s="132" t="s">
        <v>203</v>
      </c>
      <c r="AE29" s="132" t="s">
        <v>207</v>
      </c>
      <c r="AF29" s="132">
        <v>3</v>
      </c>
    </row>
    <row r="30" spans="1:32">
      <c r="A30" s="186" t="s">
        <v>123</v>
      </c>
      <c r="B30" s="186" t="s">
        <v>169</v>
      </c>
      <c r="C30" s="186" t="s">
        <v>166</v>
      </c>
      <c r="D30" s="186">
        <v>24001291</v>
      </c>
      <c r="E30" s="187">
        <v>5.14</v>
      </c>
      <c r="F30" s="186">
        <v>2304</v>
      </c>
      <c r="G30" s="186" t="s">
        <v>124</v>
      </c>
      <c r="H30" s="188">
        <f>((48.26*48.26*22.86)/1000000)</f>
        <v>5.3241570935999995E-2</v>
      </c>
      <c r="I30" s="186">
        <f t="shared" si="0"/>
        <v>64</v>
      </c>
      <c r="J30" s="186">
        <f t="shared" si="1"/>
        <v>3.41</v>
      </c>
      <c r="K30" s="186">
        <f t="shared" si="2"/>
        <v>2374</v>
      </c>
      <c r="L30" s="186">
        <f t="shared" si="3"/>
        <v>66</v>
      </c>
      <c r="M30" s="186">
        <f t="shared" si="4"/>
        <v>3.51</v>
      </c>
      <c r="N30" s="189">
        <v>618.24</v>
      </c>
      <c r="O30" s="189">
        <v>679.68</v>
      </c>
      <c r="P30" s="189">
        <v>0.27</v>
      </c>
      <c r="Q30" s="132"/>
      <c r="R30" s="133">
        <f t="shared" si="5"/>
        <v>2304</v>
      </c>
      <c r="S30" s="134">
        <f t="shared" si="8"/>
        <v>11842.56</v>
      </c>
      <c r="T30" s="135">
        <f t="shared" si="6"/>
        <v>3.4074605399039997</v>
      </c>
      <c r="U30" s="132" t="s">
        <v>208</v>
      </c>
      <c r="V30" s="132">
        <v>48.26</v>
      </c>
      <c r="W30" s="132" t="s">
        <v>198</v>
      </c>
      <c r="X30" s="132">
        <v>48.26</v>
      </c>
      <c r="Y30" s="132" t="s">
        <v>198</v>
      </c>
      <c r="Z30" s="132">
        <v>22.86</v>
      </c>
      <c r="AA30" s="132" t="s">
        <v>199</v>
      </c>
      <c r="AB30" s="132"/>
      <c r="AC30" s="132" t="str">
        <f t="shared" si="7"/>
        <v>MEN'S MICROFIBER 3-PACK BOXER BRIEF 91% POLYESTER 9% SPANDEX</v>
      </c>
      <c r="AD30" s="132" t="s">
        <v>203</v>
      </c>
      <c r="AE30" s="132" t="s">
        <v>207</v>
      </c>
      <c r="AF30" s="132">
        <v>3</v>
      </c>
    </row>
    <row r="31" spans="1:32">
      <c r="A31" s="186" t="s">
        <v>123</v>
      </c>
      <c r="B31" s="186" t="s">
        <v>170</v>
      </c>
      <c r="C31" s="186" t="s">
        <v>166</v>
      </c>
      <c r="D31" s="186">
        <v>24001291</v>
      </c>
      <c r="E31" s="187">
        <v>5.14</v>
      </c>
      <c r="F31" s="186">
        <v>1224</v>
      </c>
      <c r="G31" s="186" t="s">
        <v>124</v>
      </c>
      <c r="H31" s="188">
        <f>((48.26*48.26*26.67)/1000000)</f>
        <v>6.2115166091999997E-2</v>
      </c>
      <c r="I31" s="186">
        <f t="shared" si="0"/>
        <v>34</v>
      </c>
      <c r="J31" s="186">
        <f t="shared" si="1"/>
        <v>2.11</v>
      </c>
      <c r="K31" s="186">
        <f t="shared" si="2"/>
        <v>1261</v>
      </c>
      <c r="L31" s="186">
        <f t="shared" si="3"/>
        <v>36</v>
      </c>
      <c r="M31" s="186">
        <f t="shared" si="4"/>
        <v>2.2400000000000002</v>
      </c>
      <c r="N31" s="189">
        <v>365.16</v>
      </c>
      <c r="O31" s="189">
        <v>399.84</v>
      </c>
      <c r="P31" s="189">
        <v>0.28999999999999998</v>
      </c>
      <c r="Q31" s="132"/>
      <c r="R31" s="133">
        <f t="shared" si="5"/>
        <v>1224</v>
      </c>
      <c r="S31" s="134">
        <f t="shared" si="8"/>
        <v>6291.36</v>
      </c>
      <c r="T31" s="135">
        <f t="shared" si="6"/>
        <v>2.1119156471279998</v>
      </c>
      <c r="U31" s="132" t="s">
        <v>208</v>
      </c>
      <c r="V31" s="132">
        <v>48.26</v>
      </c>
      <c r="W31" s="132" t="s">
        <v>198</v>
      </c>
      <c r="X31" s="132">
        <v>48.26</v>
      </c>
      <c r="Y31" s="132" t="s">
        <v>198</v>
      </c>
      <c r="Z31" s="132">
        <v>26.67</v>
      </c>
      <c r="AA31" s="132" t="s">
        <v>199</v>
      </c>
      <c r="AB31" s="132"/>
      <c r="AC31" s="132" t="str">
        <f t="shared" si="7"/>
        <v>MEN'S MICROFIBER 3-PACK BOXER BRIEF 91% POLYESTER 9% SPANDEX</v>
      </c>
      <c r="AD31" s="132" t="s">
        <v>203</v>
      </c>
      <c r="AE31" s="132" t="s">
        <v>207</v>
      </c>
      <c r="AF31" s="132">
        <v>3</v>
      </c>
    </row>
    <row r="32" spans="1:32">
      <c r="A32" s="186" t="s">
        <v>123</v>
      </c>
      <c r="B32" s="186" t="s">
        <v>171</v>
      </c>
      <c r="C32" s="186" t="s">
        <v>166</v>
      </c>
      <c r="D32" s="186">
        <v>24001292</v>
      </c>
      <c r="E32" s="187">
        <v>5.49</v>
      </c>
      <c r="F32" s="186">
        <v>355</v>
      </c>
      <c r="G32" s="186" t="s">
        <v>124</v>
      </c>
      <c r="H32" s="188">
        <f>((48.26*48.26*26.67)/1000000)</f>
        <v>6.2115166091999997E-2</v>
      </c>
      <c r="I32" s="186">
        <f t="shared" si="0"/>
        <v>10</v>
      </c>
      <c r="J32" s="186">
        <f t="shared" si="1"/>
        <v>0.62</v>
      </c>
      <c r="K32" s="186">
        <f t="shared" si="2"/>
        <v>366</v>
      </c>
      <c r="L32" s="186">
        <f t="shared" si="3"/>
        <v>11</v>
      </c>
      <c r="M32" s="186">
        <f t="shared" si="4"/>
        <v>0.68</v>
      </c>
      <c r="N32" s="189">
        <v>107.88</v>
      </c>
      <c r="O32" s="189">
        <v>118.08</v>
      </c>
      <c r="P32" s="189">
        <v>0.3</v>
      </c>
      <c r="Q32" s="132"/>
      <c r="R32" s="133">
        <f t="shared" si="5"/>
        <v>355</v>
      </c>
      <c r="S32" s="134">
        <f t="shared" si="8"/>
        <v>1948.95</v>
      </c>
      <c r="T32" s="135">
        <f t="shared" si="6"/>
        <v>0.62115166091999996</v>
      </c>
      <c r="U32" s="132" t="s">
        <v>208</v>
      </c>
      <c r="V32" s="132">
        <v>48.26</v>
      </c>
      <c r="W32" s="132" t="s">
        <v>198</v>
      </c>
      <c r="X32" s="132">
        <v>48.26</v>
      </c>
      <c r="Y32" s="132" t="s">
        <v>198</v>
      </c>
      <c r="Z32" s="132">
        <v>26.67</v>
      </c>
      <c r="AA32" s="132" t="s">
        <v>199</v>
      </c>
      <c r="AB32" s="132"/>
      <c r="AC32" s="132" t="str">
        <f t="shared" si="7"/>
        <v>MEN'S MICROFIBER 3-PACK BOXER BRIEF 91% POLYESTER 9% SPANDEX</v>
      </c>
      <c r="AD32" s="132" t="s">
        <v>203</v>
      </c>
      <c r="AE32" s="132" t="s">
        <v>207</v>
      </c>
      <c r="AF32" s="132">
        <v>3</v>
      </c>
    </row>
    <row r="33" spans="1:32">
      <c r="A33" s="182" t="s">
        <v>123</v>
      </c>
      <c r="B33" s="182" t="s">
        <v>126</v>
      </c>
      <c r="C33" s="182" t="s">
        <v>125</v>
      </c>
      <c r="D33" s="182">
        <v>24001297</v>
      </c>
      <c r="E33" s="183">
        <v>5.14</v>
      </c>
      <c r="F33" s="182">
        <v>2007</v>
      </c>
      <c r="G33" s="182" t="s">
        <v>124</v>
      </c>
      <c r="H33" s="184">
        <f>((48.26*48.26*22.86)/1000000)</f>
        <v>5.3241570935999995E-2</v>
      </c>
      <c r="I33" s="182">
        <f t="shared" si="0"/>
        <v>56</v>
      </c>
      <c r="J33" s="182">
        <f t="shared" si="1"/>
        <v>2.98</v>
      </c>
      <c r="K33" s="182">
        <f t="shared" si="2"/>
        <v>2068</v>
      </c>
      <c r="L33" s="182">
        <f t="shared" si="3"/>
        <v>58</v>
      </c>
      <c r="M33" s="182">
        <f t="shared" si="4"/>
        <v>3.09</v>
      </c>
      <c r="N33" s="185">
        <v>481.68</v>
      </c>
      <c r="O33" s="185">
        <v>535.46</v>
      </c>
      <c r="P33" s="185">
        <v>0.25</v>
      </c>
      <c r="Q33" s="131"/>
      <c r="R33" s="128">
        <f t="shared" si="5"/>
        <v>2007</v>
      </c>
      <c r="S33" s="129">
        <f t="shared" si="8"/>
        <v>10315.98</v>
      </c>
      <c r="T33" s="130">
        <f t="shared" si="6"/>
        <v>2.9815279724159995</v>
      </c>
      <c r="U33" s="131" t="s">
        <v>39</v>
      </c>
      <c r="V33" s="131">
        <v>48.26</v>
      </c>
      <c r="W33" s="131" t="s">
        <v>198</v>
      </c>
      <c r="X33" s="131">
        <v>48.26</v>
      </c>
      <c r="Y33" s="131" t="s">
        <v>198</v>
      </c>
      <c r="Z33" s="131">
        <v>22.86</v>
      </c>
      <c r="AA33" s="131" t="s">
        <v>199</v>
      </c>
      <c r="AB33" s="131"/>
      <c r="AC33" s="131" t="str">
        <f t="shared" si="7"/>
        <v>MEN'S MICROFIBER 3-PACK BOXER BRIEF 91% POLYESTER 9% SPANDEX</v>
      </c>
      <c r="AD33" s="131" t="s">
        <v>203</v>
      </c>
      <c r="AE33" s="131" t="s">
        <v>207</v>
      </c>
      <c r="AF33" s="131">
        <v>3</v>
      </c>
    </row>
    <row r="34" spans="1:32">
      <c r="A34" s="182" t="s">
        <v>123</v>
      </c>
      <c r="B34" s="182" t="s">
        <v>127</v>
      </c>
      <c r="C34" s="182" t="s">
        <v>125</v>
      </c>
      <c r="D34" s="182">
        <v>24001297</v>
      </c>
      <c r="E34" s="183">
        <v>5.14</v>
      </c>
      <c r="F34" s="182">
        <v>4256</v>
      </c>
      <c r="G34" s="182" t="s">
        <v>124</v>
      </c>
      <c r="H34" s="184">
        <f>((48.26*48.26*22.86)/1000000)</f>
        <v>5.3241570935999995E-2</v>
      </c>
      <c r="I34" s="182">
        <f t="shared" si="0"/>
        <v>119</v>
      </c>
      <c r="J34" s="182">
        <f t="shared" si="1"/>
        <v>6.34</v>
      </c>
      <c r="K34" s="182">
        <f t="shared" si="2"/>
        <v>4384</v>
      </c>
      <c r="L34" s="182">
        <f t="shared" si="3"/>
        <v>122</v>
      </c>
      <c r="M34" s="182">
        <f t="shared" si="4"/>
        <v>6.5</v>
      </c>
      <c r="N34" s="185">
        <v>1073.45</v>
      </c>
      <c r="O34" s="185">
        <v>1187.71</v>
      </c>
      <c r="P34" s="185">
        <v>0.26</v>
      </c>
      <c r="Q34" s="131"/>
      <c r="R34" s="128">
        <f t="shared" si="5"/>
        <v>4256</v>
      </c>
      <c r="S34" s="129">
        <f t="shared" si="8"/>
        <v>21875.84</v>
      </c>
      <c r="T34" s="130">
        <f t="shared" si="6"/>
        <v>6.3357469413839995</v>
      </c>
      <c r="U34" s="131" t="s">
        <v>39</v>
      </c>
      <c r="V34" s="131">
        <v>48.26</v>
      </c>
      <c r="W34" s="131" t="s">
        <v>198</v>
      </c>
      <c r="X34" s="131">
        <v>48.26</v>
      </c>
      <c r="Y34" s="131" t="s">
        <v>198</v>
      </c>
      <c r="Z34" s="131">
        <v>22.86</v>
      </c>
      <c r="AA34" s="131" t="s">
        <v>199</v>
      </c>
      <c r="AB34" s="131"/>
      <c r="AC34" s="131" t="str">
        <f t="shared" si="7"/>
        <v>MEN'S MICROFIBER 3-PACK BOXER BRIEF 91% POLYESTER 9% SPANDEX</v>
      </c>
      <c r="AD34" s="131" t="s">
        <v>203</v>
      </c>
      <c r="AE34" s="131" t="s">
        <v>207</v>
      </c>
      <c r="AF34" s="131">
        <v>3</v>
      </c>
    </row>
    <row r="35" spans="1:32">
      <c r="A35" s="182" t="s">
        <v>123</v>
      </c>
      <c r="B35" s="182" t="s">
        <v>128</v>
      </c>
      <c r="C35" s="182" t="s">
        <v>125</v>
      </c>
      <c r="D35" s="182">
        <v>24001297</v>
      </c>
      <c r="E35" s="183">
        <v>5.14</v>
      </c>
      <c r="F35" s="182">
        <v>4037</v>
      </c>
      <c r="G35" s="182" t="s">
        <v>124</v>
      </c>
      <c r="H35" s="184">
        <f>((48.26*48.26*22.86)/1000000)</f>
        <v>5.3241570935999995E-2</v>
      </c>
      <c r="I35" s="182">
        <f t="shared" si="0"/>
        <v>113</v>
      </c>
      <c r="J35" s="182">
        <f t="shared" si="1"/>
        <v>6.02</v>
      </c>
      <c r="K35" s="182">
        <f t="shared" si="2"/>
        <v>4159</v>
      </c>
      <c r="L35" s="182">
        <f t="shared" si="3"/>
        <v>116</v>
      </c>
      <c r="M35" s="182">
        <f t="shared" si="4"/>
        <v>6.18</v>
      </c>
      <c r="N35" s="185">
        <v>1083.26</v>
      </c>
      <c r="O35" s="185">
        <v>1191.76</v>
      </c>
      <c r="P35" s="185">
        <v>0.27</v>
      </c>
      <c r="Q35" s="131"/>
      <c r="R35" s="128">
        <f t="shared" si="5"/>
        <v>4037</v>
      </c>
      <c r="S35" s="129">
        <f t="shared" si="8"/>
        <v>20750.18</v>
      </c>
      <c r="T35" s="130">
        <f t="shared" si="6"/>
        <v>6.0162975157679996</v>
      </c>
      <c r="U35" s="131" t="s">
        <v>39</v>
      </c>
      <c r="V35" s="131">
        <v>48.26</v>
      </c>
      <c r="W35" s="131" t="s">
        <v>198</v>
      </c>
      <c r="X35" s="131">
        <v>48.26</v>
      </c>
      <c r="Y35" s="131" t="s">
        <v>198</v>
      </c>
      <c r="Z35" s="131">
        <v>22.86</v>
      </c>
      <c r="AA35" s="131" t="s">
        <v>199</v>
      </c>
      <c r="AB35" s="131"/>
      <c r="AC35" s="131" t="str">
        <f t="shared" ref="AC35:AC66" si="9">AE35&amp;" "&amp;AD35</f>
        <v>MEN'S MICROFIBER 3-PACK BOXER BRIEF 91% POLYESTER 9% SPANDEX</v>
      </c>
      <c r="AD35" s="131" t="s">
        <v>203</v>
      </c>
      <c r="AE35" s="131" t="s">
        <v>207</v>
      </c>
      <c r="AF35" s="131">
        <v>3</v>
      </c>
    </row>
    <row r="36" spans="1:32">
      <c r="A36" s="182" t="s">
        <v>123</v>
      </c>
      <c r="B36" s="182" t="s">
        <v>129</v>
      </c>
      <c r="C36" s="182" t="s">
        <v>125</v>
      </c>
      <c r="D36" s="182">
        <v>24001297</v>
      </c>
      <c r="E36" s="183">
        <v>5.14</v>
      </c>
      <c r="F36" s="182">
        <v>2103</v>
      </c>
      <c r="G36" s="182" t="s">
        <v>124</v>
      </c>
      <c r="H36" s="184">
        <f>((48.26*48.26*26.67)/1000000)</f>
        <v>6.2115166091999997E-2</v>
      </c>
      <c r="I36" s="182">
        <f t="shared" si="0"/>
        <v>59</v>
      </c>
      <c r="J36" s="182">
        <f t="shared" si="1"/>
        <v>3.66</v>
      </c>
      <c r="K36" s="182">
        <f t="shared" si="2"/>
        <v>2167</v>
      </c>
      <c r="L36" s="182">
        <f t="shared" si="3"/>
        <v>61</v>
      </c>
      <c r="M36" s="182">
        <f t="shared" si="4"/>
        <v>3.79</v>
      </c>
      <c r="N36" s="185">
        <v>627.39</v>
      </c>
      <c r="O36" s="185">
        <v>687.57</v>
      </c>
      <c r="P36" s="185">
        <v>0.28999999999999998</v>
      </c>
      <c r="Q36" s="131"/>
      <c r="R36" s="128">
        <f t="shared" si="5"/>
        <v>2103</v>
      </c>
      <c r="S36" s="129">
        <f t="shared" si="8"/>
        <v>10809.42</v>
      </c>
      <c r="T36" s="130">
        <f t="shared" si="6"/>
        <v>3.6647947994279999</v>
      </c>
      <c r="U36" s="131" t="s">
        <v>39</v>
      </c>
      <c r="V36" s="131">
        <v>48.26</v>
      </c>
      <c r="W36" s="131" t="s">
        <v>198</v>
      </c>
      <c r="X36" s="131">
        <v>48.26</v>
      </c>
      <c r="Y36" s="131" t="s">
        <v>198</v>
      </c>
      <c r="Z36" s="131">
        <v>26.67</v>
      </c>
      <c r="AA36" s="131" t="s">
        <v>199</v>
      </c>
      <c r="AB36" s="131"/>
      <c r="AC36" s="131" t="str">
        <f t="shared" si="9"/>
        <v>MEN'S MICROFIBER 3-PACK BOXER BRIEF 91% POLYESTER 9% SPANDEX</v>
      </c>
      <c r="AD36" s="131" t="s">
        <v>203</v>
      </c>
      <c r="AE36" s="131" t="s">
        <v>207</v>
      </c>
      <c r="AF36" s="131">
        <v>3</v>
      </c>
    </row>
    <row r="37" spans="1:32">
      <c r="A37" s="182" t="s">
        <v>123</v>
      </c>
      <c r="B37" s="182" t="s">
        <v>130</v>
      </c>
      <c r="C37" s="182" t="s">
        <v>125</v>
      </c>
      <c r="D37" s="182">
        <v>24001298</v>
      </c>
      <c r="E37" s="183">
        <v>5.49</v>
      </c>
      <c r="F37" s="182">
        <v>360</v>
      </c>
      <c r="G37" s="182" t="s">
        <v>124</v>
      </c>
      <c r="H37" s="184">
        <f>((48.26*48.26*26.67)/1000000)</f>
        <v>6.2115166091999997E-2</v>
      </c>
      <c r="I37" s="182">
        <f t="shared" si="0"/>
        <v>10</v>
      </c>
      <c r="J37" s="182">
        <f t="shared" si="1"/>
        <v>0.62</v>
      </c>
      <c r="K37" s="182">
        <f t="shared" si="2"/>
        <v>371</v>
      </c>
      <c r="L37" s="182">
        <f t="shared" si="3"/>
        <v>11</v>
      </c>
      <c r="M37" s="182">
        <f t="shared" si="4"/>
        <v>0.68</v>
      </c>
      <c r="N37" s="185">
        <v>109.4</v>
      </c>
      <c r="O37" s="185">
        <v>119.6</v>
      </c>
      <c r="P37" s="185">
        <v>0.3</v>
      </c>
      <c r="Q37" s="131"/>
      <c r="R37" s="128">
        <f t="shared" si="5"/>
        <v>360</v>
      </c>
      <c r="S37" s="129">
        <f t="shared" si="8"/>
        <v>1976.4</v>
      </c>
      <c r="T37" s="130">
        <f t="shared" si="6"/>
        <v>0.62115166091999996</v>
      </c>
      <c r="U37" s="131" t="s">
        <v>39</v>
      </c>
      <c r="V37" s="131">
        <v>48.26</v>
      </c>
      <c r="W37" s="131" t="s">
        <v>198</v>
      </c>
      <c r="X37" s="131">
        <v>48.26</v>
      </c>
      <c r="Y37" s="131" t="s">
        <v>198</v>
      </c>
      <c r="Z37" s="131">
        <v>26.67</v>
      </c>
      <c r="AA37" s="131" t="s">
        <v>199</v>
      </c>
      <c r="AB37" s="131"/>
      <c r="AC37" s="131" t="str">
        <f t="shared" si="9"/>
        <v>MEN'S MICROFIBER 3-PACK BOXER BRIEF 91% POLYESTER 9% SPANDEX</v>
      </c>
      <c r="AD37" s="131" t="s">
        <v>203</v>
      </c>
      <c r="AE37" s="131" t="s">
        <v>207</v>
      </c>
      <c r="AF37" s="131">
        <v>3</v>
      </c>
    </row>
    <row r="38" spans="1:32">
      <c r="A38" s="182" t="s">
        <v>123</v>
      </c>
      <c r="B38" s="182" t="s">
        <v>132</v>
      </c>
      <c r="C38" s="182" t="s">
        <v>131</v>
      </c>
      <c r="D38" s="182">
        <v>24001300</v>
      </c>
      <c r="E38" s="183">
        <v>5.14</v>
      </c>
      <c r="F38" s="182">
        <v>1152</v>
      </c>
      <c r="G38" s="182" t="s">
        <v>124</v>
      </c>
      <c r="H38" s="184">
        <f>((48.26*48.26*22.86)/1000000)</f>
        <v>5.3241570935999995E-2</v>
      </c>
      <c r="I38" s="182">
        <f t="shared" si="0"/>
        <v>32</v>
      </c>
      <c r="J38" s="182">
        <f t="shared" si="1"/>
        <v>1.7</v>
      </c>
      <c r="K38" s="182">
        <f t="shared" si="2"/>
        <v>1187</v>
      </c>
      <c r="L38" s="182">
        <f t="shared" si="3"/>
        <v>33</v>
      </c>
      <c r="M38" s="182">
        <f t="shared" si="4"/>
        <v>1.76</v>
      </c>
      <c r="N38" s="185">
        <v>276.48</v>
      </c>
      <c r="O38" s="185">
        <v>289.92</v>
      </c>
      <c r="P38" s="185">
        <v>0.25</v>
      </c>
      <c r="Q38" s="131"/>
      <c r="R38" s="128">
        <f t="shared" si="5"/>
        <v>1152</v>
      </c>
      <c r="S38" s="129">
        <f t="shared" si="8"/>
        <v>5921.28</v>
      </c>
      <c r="T38" s="130">
        <f t="shared" si="6"/>
        <v>1.7037302699519998</v>
      </c>
      <c r="U38" s="131" t="s">
        <v>209</v>
      </c>
      <c r="V38" s="131">
        <v>48.26</v>
      </c>
      <c r="W38" s="131" t="s">
        <v>198</v>
      </c>
      <c r="X38" s="131">
        <v>48.26</v>
      </c>
      <c r="Y38" s="131" t="s">
        <v>198</v>
      </c>
      <c r="Z38" s="131">
        <v>22.86</v>
      </c>
      <c r="AA38" s="131" t="s">
        <v>199</v>
      </c>
      <c r="AB38" s="131"/>
      <c r="AC38" s="131" t="str">
        <f t="shared" si="9"/>
        <v>MEN'S MICROFIBER 3-PACK BOXER BRIEF 91% POLYESTER 9% SPANDEX</v>
      </c>
      <c r="AD38" s="131" t="s">
        <v>203</v>
      </c>
      <c r="AE38" s="131" t="s">
        <v>207</v>
      </c>
      <c r="AF38" s="131">
        <v>3</v>
      </c>
    </row>
    <row r="39" spans="1:32">
      <c r="A39" s="182" t="s">
        <v>123</v>
      </c>
      <c r="B39" s="182" t="s">
        <v>133</v>
      </c>
      <c r="C39" s="182" t="s">
        <v>131</v>
      </c>
      <c r="D39" s="182">
        <v>24001300</v>
      </c>
      <c r="E39" s="183">
        <v>5.14</v>
      </c>
      <c r="F39" s="182">
        <v>2484</v>
      </c>
      <c r="G39" s="182" t="s">
        <v>124</v>
      </c>
      <c r="H39" s="184">
        <f>((48.26*48.26*22.86)/1000000)</f>
        <v>5.3241570935999995E-2</v>
      </c>
      <c r="I39" s="182">
        <f t="shared" si="0"/>
        <v>69</v>
      </c>
      <c r="J39" s="182">
        <f t="shared" si="1"/>
        <v>3.67</v>
      </c>
      <c r="K39" s="182">
        <f t="shared" si="2"/>
        <v>2559</v>
      </c>
      <c r="L39" s="182">
        <f t="shared" si="3"/>
        <v>72</v>
      </c>
      <c r="M39" s="182">
        <f t="shared" si="4"/>
        <v>3.83</v>
      </c>
      <c r="N39" s="185">
        <v>626.52</v>
      </c>
      <c r="O39" s="185">
        <v>692.76</v>
      </c>
      <c r="P39" s="185">
        <v>0.26</v>
      </c>
      <c r="Q39" s="131"/>
      <c r="R39" s="128">
        <f t="shared" si="5"/>
        <v>2484</v>
      </c>
      <c r="S39" s="129">
        <f t="shared" si="8"/>
        <v>12767.759999999998</v>
      </c>
      <c r="T39" s="130">
        <f t="shared" si="6"/>
        <v>3.6736683945839999</v>
      </c>
      <c r="U39" s="131" t="s">
        <v>209</v>
      </c>
      <c r="V39" s="131">
        <v>48.26</v>
      </c>
      <c r="W39" s="131" t="s">
        <v>198</v>
      </c>
      <c r="X39" s="131">
        <v>48.26</v>
      </c>
      <c r="Y39" s="131" t="s">
        <v>198</v>
      </c>
      <c r="Z39" s="131">
        <v>22.86</v>
      </c>
      <c r="AA39" s="131" t="s">
        <v>199</v>
      </c>
      <c r="AB39" s="131"/>
      <c r="AC39" s="131" t="str">
        <f t="shared" si="9"/>
        <v>MEN'S MICROFIBER 3-PACK BOXER BRIEF 91% POLYESTER 9% SPANDEX</v>
      </c>
      <c r="AD39" s="131" t="s">
        <v>203</v>
      </c>
      <c r="AE39" s="131" t="s">
        <v>207</v>
      </c>
      <c r="AF39" s="131">
        <v>3</v>
      </c>
    </row>
    <row r="40" spans="1:32">
      <c r="A40" s="182" t="s">
        <v>123</v>
      </c>
      <c r="B40" s="182" t="s">
        <v>134</v>
      </c>
      <c r="C40" s="182" t="s">
        <v>131</v>
      </c>
      <c r="D40" s="182">
        <v>24001300</v>
      </c>
      <c r="E40" s="183">
        <v>5.14</v>
      </c>
      <c r="F40" s="182">
        <v>2340</v>
      </c>
      <c r="G40" s="182" t="s">
        <v>124</v>
      </c>
      <c r="H40" s="184">
        <f>((48.26*48.26*22.86)/1000000)</f>
        <v>5.3241570935999995E-2</v>
      </c>
      <c r="I40" s="182">
        <f t="shared" si="0"/>
        <v>65</v>
      </c>
      <c r="J40" s="182">
        <f t="shared" si="1"/>
        <v>3.46</v>
      </c>
      <c r="K40" s="182">
        <f t="shared" si="2"/>
        <v>2411</v>
      </c>
      <c r="L40" s="182">
        <f t="shared" si="3"/>
        <v>67</v>
      </c>
      <c r="M40" s="182">
        <f t="shared" si="4"/>
        <v>3.57</v>
      </c>
      <c r="N40" s="185">
        <v>627.9</v>
      </c>
      <c r="O40" s="185">
        <v>690.3</v>
      </c>
      <c r="P40" s="185">
        <v>0.27</v>
      </c>
      <c r="Q40" s="131"/>
      <c r="R40" s="128">
        <f t="shared" si="5"/>
        <v>2340</v>
      </c>
      <c r="S40" s="129">
        <f t="shared" si="8"/>
        <v>12027.599999999999</v>
      </c>
      <c r="T40" s="130">
        <f t="shared" si="6"/>
        <v>3.4607021108399998</v>
      </c>
      <c r="U40" s="131" t="s">
        <v>209</v>
      </c>
      <c r="V40" s="131">
        <v>48.26</v>
      </c>
      <c r="W40" s="131" t="s">
        <v>198</v>
      </c>
      <c r="X40" s="131">
        <v>48.26</v>
      </c>
      <c r="Y40" s="131" t="s">
        <v>198</v>
      </c>
      <c r="Z40" s="131">
        <v>22.86</v>
      </c>
      <c r="AA40" s="131" t="s">
        <v>199</v>
      </c>
      <c r="AB40" s="131"/>
      <c r="AC40" s="131" t="str">
        <f t="shared" si="9"/>
        <v>MEN'S MICROFIBER 3-PACK BOXER BRIEF 91% POLYESTER 9% SPANDEX</v>
      </c>
      <c r="AD40" s="131" t="s">
        <v>203</v>
      </c>
      <c r="AE40" s="131" t="s">
        <v>207</v>
      </c>
      <c r="AF40" s="131">
        <v>3</v>
      </c>
    </row>
    <row r="41" spans="1:32">
      <c r="A41" s="182" t="s">
        <v>123</v>
      </c>
      <c r="B41" s="182" t="s">
        <v>135</v>
      </c>
      <c r="C41" s="182" t="s">
        <v>131</v>
      </c>
      <c r="D41" s="182">
        <v>24001300</v>
      </c>
      <c r="E41" s="183">
        <v>5.14</v>
      </c>
      <c r="F41" s="182">
        <v>1008</v>
      </c>
      <c r="G41" s="182" t="s">
        <v>124</v>
      </c>
      <c r="H41" s="184">
        <f>((48.26*48.26*26.67)/1000000)</f>
        <v>6.2115166091999997E-2</v>
      </c>
      <c r="I41" s="182">
        <f t="shared" si="0"/>
        <v>28</v>
      </c>
      <c r="J41" s="182">
        <f t="shared" si="1"/>
        <v>1.74</v>
      </c>
      <c r="K41" s="182">
        <f t="shared" si="2"/>
        <v>1039</v>
      </c>
      <c r="L41" s="182">
        <f t="shared" si="3"/>
        <v>29</v>
      </c>
      <c r="M41" s="182">
        <f t="shared" si="4"/>
        <v>1.8</v>
      </c>
      <c r="N41" s="185">
        <v>300.72000000000003</v>
      </c>
      <c r="O41" s="185">
        <v>329.28</v>
      </c>
      <c r="P41" s="185">
        <v>0.28999999999999998</v>
      </c>
      <c r="Q41" s="131"/>
      <c r="R41" s="128">
        <f t="shared" si="5"/>
        <v>1008</v>
      </c>
      <c r="S41" s="129">
        <f t="shared" si="8"/>
        <v>5181.12</v>
      </c>
      <c r="T41" s="130">
        <f t="shared" si="6"/>
        <v>1.7392246505759998</v>
      </c>
      <c r="U41" s="131" t="s">
        <v>209</v>
      </c>
      <c r="V41" s="131">
        <v>48.26</v>
      </c>
      <c r="W41" s="131" t="s">
        <v>198</v>
      </c>
      <c r="X41" s="131">
        <v>48.26</v>
      </c>
      <c r="Y41" s="131" t="s">
        <v>198</v>
      </c>
      <c r="Z41" s="131">
        <v>26.67</v>
      </c>
      <c r="AA41" s="131" t="s">
        <v>199</v>
      </c>
      <c r="AB41" s="131"/>
      <c r="AC41" s="131" t="str">
        <f t="shared" si="9"/>
        <v>MEN'S MICROFIBER 3-PACK BOXER BRIEF 91% POLYESTER 9% SPANDEX</v>
      </c>
      <c r="AD41" s="131" t="s">
        <v>203</v>
      </c>
      <c r="AE41" s="131" t="s">
        <v>207</v>
      </c>
      <c r="AF41" s="131">
        <v>3</v>
      </c>
    </row>
    <row r="42" spans="1:32">
      <c r="A42" s="182" t="s">
        <v>123</v>
      </c>
      <c r="B42" s="182" t="s">
        <v>136</v>
      </c>
      <c r="C42" s="182" t="s">
        <v>131</v>
      </c>
      <c r="D42" s="182">
        <v>24001301</v>
      </c>
      <c r="E42" s="183">
        <v>5.49</v>
      </c>
      <c r="F42" s="182">
        <v>360</v>
      </c>
      <c r="G42" s="182" t="s">
        <v>124</v>
      </c>
      <c r="H42" s="184">
        <f>((48.26*48.26*26.67)/1000000)</f>
        <v>6.2115166091999997E-2</v>
      </c>
      <c r="I42" s="182">
        <f t="shared" si="0"/>
        <v>10</v>
      </c>
      <c r="J42" s="182">
        <f t="shared" si="1"/>
        <v>0.62</v>
      </c>
      <c r="K42" s="182">
        <f t="shared" si="2"/>
        <v>371</v>
      </c>
      <c r="L42" s="182">
        <f t="shared" si="3"/>
        <v>11</v>
      </c>
      <c r="M42" s="182">
        <f t="shared" si="4"/>
        <v>0.68</v>
      </c>
      <c r="N42" s="185">
        <v>109.4</v>
      </c>
      <c r="O42" s="185">
        <v>119.6</v>
      </c>
      <c r="P42" s="185">
        <v>0.3</v>
      </c>
      <c r="Q42" s="131"/>
      <c r="R42" s="128">
        <f t="shared" si="5"/>
        <v>360</v>
      </c>
      <c r="S42" s="129">
        <f t="shared" si="8"/>
        <v>1976.4</v>
      </c>
      <c r="T42" s="130">
        <f t="shared" si="6"/>
        <v>0.62115166091999996</v>
      </c>
      <c r="U42" s="131" t="s">
        <v>209</v>
      </c>
      <c r="V42" s="131">
        <v>48.26</v>
      </c>
      <c r="W42" s="131" t="s">
        <v>198</v>
      </c>
      <c r="X42" s="131">
        <v>48.26</v>
      </c>
      <c r="Y42" s="131" t="s">
        <v>198</v>
      </c>
      <c r="Z42" s="131">
        <v>26.67</v>
      </c>
      <c r="AA42" s="131" t="s">
        <v>199</v>
      </c>
      <c r="AB42" s="131"/>
      <c r="AC42" s="131" t="str">
        <f t="shared" si="9"/>
        <v>MEN'S MICROFIBER 3-PACK BOXER BRIEF 91% POLYESTER 9% SPANDEX</v>
      </c>
      <c r="AD42" s="131" t="s">
        <v>203</v>
      </c>
      <c r="AE42" s="131" t="s">
        <v>207</v>
      </c>
      <c r="AF42" s="131">
        <v>3</v>
      </c>
    </row>
    <row r="43" spans="1:32">
      <c r="A43" s="186" t="s">
        <v>139</v>
      </c>
      <c r="B43" s="186" t="s">
        <v>32</v>
      </c>
      <c r="C43" s="186" t="s">
        <v>172</v>
      </c>
      <c r="D43" s="186">
        <v>24001319</v>
      </c>
      <c r="E43" s="187">
        <v>4.92</v>
      </c>
      <c r="F43" s="186">
        <v>720</v>
      </c>
      <c r="G43" s="186" t="s">
        <v>124</v>
      </c>
      <c r="H43" s="188">
        <f>((48.26*48.26*22.86)/1000000)</f>
        <v>5.3241570935999995E-2</v>
      </c>
      <c r="I43" s="186">
        <f t="shared" si="0"/>
        <v>20</v>
      </c>
      <c r="J43" s="186">
        <f t="shared" si="1"/>
        <v>1.06</v>
      </c>
      <c r="K43" s="186">
        <f t="shared" si="2"/>
        <v>742</v>
      </c>
      <c r="L43" s="186">
        <f t="shared" si="3"/>
        <v>21</v>
      </c>
      <c r="M43" s="186">
        <f t="shared" si="4"/>
        <v>1.1200000000000001</v>
      </c>
      <c r="N43" s="189">
        <v>146.80000000000001</v>
      </c>
      <c r="O43" s="189">
        <v>166.4</v>
      </c>
      <c r="P43" s="189">
        <v>0.25</v>
      </c>
      <c r="Q43" s="132"/>
      <c r="R43" s="133">
        <f t="shared" si="5"/>
        <v>720</v>
      </c>
      <c r="S43" s="134">
        <f t="shared" si="8"/>
        <v>3542.4</v>
      </c>
      <c r="T43" s="135">
        <f t="shared" si="6"/>
        <v>1.0648314187199999</v>
      </c>
      <c r="U43" s="132" t="s">
        <v>39</v>
      </c>
      <c r="V43" s="132">
        <v>48.26</v>
      </c>
      <c r="W43" s="132" t="s">
        <v>198</v>
      </c>
      <c r="X43" s="132">
        <v>48.26</v>
      </c>
      <c r="Y43" s="132" t="s">
        <v>198</v>
      </c>
      <c r="Z43" s="132">
        <v>22.86</v>
      </c>
      <c r="AA43" s="132" t="s">
        <v>199</v>
      </c>
      <c r="AB43" s="132"/>
      <c r="AC43" s="132" t="str">
        <f t="shared" si="9"/>
        <v>MEN'S MICROFIBER 3-PACK TRUNK 91% POLYESTER 9% SPANDEX</v>
      </c>
      <c r="AD43" s="132" t="s">
        <v>203</v>
      </c>
      <c r="AE43" s="132" t="s">
        <v>210</v>
      </c>
      <c r="AF43" s="132">
        <v>3</v>
      </c>
    </row>
    <row r="44" spans="1:32">
      <c r="A44" s="186" t="s">
        <v>139</v>
      </c>
      <c r="B44" s="186" t="s">
        <v>33</v>
      </c>
      <c r="C44" s="186" t="s">
        <v>172</v>
      </c>
      <c r="D44" s="186">
        <v>24001319</v>
      </c>
      <c r="E44" s="187">
        <v>4.92</v>
      </c>
      <c r="F44" s="186">
        <v>2408</v>
      </c>
      <c r="G44" s="186" t="s">
        <v>124</v>
      </c>
      <c r="H44" s="188">
        <f>((48.26*48.26*22.86)/1000000)</f>
        <v>5.3241570935999995E-2</v>
      </c>
      <c r="I44" s="186">
        <f t="shared" si="0"/>
        <v>67</v>
      </c>
      <c r="J44" s="186">
        <f t="shared" si="1"/>
        <v>3.57</v>
      </c>
      <c r="K44" s="186">
        <f t="shared" si="2"/>
        <v>2481</v>
      </c>
      <c r="L44" s="186">
        <f t="shared" si="3"/>
        <v>69</v>
      </c>
      <c r="M44" s="186">
        <f t="shared" si="4"/>
        <v>3.67</v>
      </c>
      <c r="N44" s="189">
        <v>540.46</v>
      </c>
      <c r="O44" s="189">
        <v>606.12</v>
      </c>
      <c r="P44" s="189">
        <v>0.26</v>
      </c>
      <c r="Q44" s="132"/>
      <c r="R44" s="133">
        <f t="shared" si="5"/>
        <v>2408</v>
      </c>
      <c r="S44" s="134">
        <f t="shared" si="8"/>
        <v>11847.36</v>
      </c>
      <c r="T44" s="135">
        <f t="shared" si="6"/>
        <v>3.5671852527119996</v>
      </c>
      <c r="U44" s="132" t="s">
        <v>39</v>
      </c>
      <c r="V44" s="132">
        <v>48.26</v>
      </c>
      <c r="W44" s="132" t="s">
        <v>198</v>
      </c>
      <c r="X44" s="132">
        <v>48.26</v>
      </c>
      <c r="Y44" s="132" t="s">
        <v>198</v>
      </c>
      <c r="Z44" s="132">
        <v>22.86</v>
      </c>
      <c r="AA44" s="132" t="s">
        <v>199</v>
      </c>
      <c r="AB44" s="132"/>
      <c r="AC44" s="132" t="str">
        <f t="shared" si="9"/>
        <v>MEN'S MICROFIBER 3-PACK TRUNK 91% POLYESTER 9% SPANDEX</v>
      </c>
      <c r="AD44" s="132" t="s">
        <v>203</v>
      </c>
      <c r="AE44" s="132" t="s">
        <v>210</v>
      </c>
      <c r="AF44" s="132">
        <v>3</v>
      </c>
    </row>
    <row r="45" spans="1:32">
      <c r="A45" s="186" t="s">
        <v>139</v>
      </c>
      <c r="B45" s="186" t="s">
        <v>34</v>
      </c>
      <c r="C45" s="186" t="s">
        <v>172</v>
      </c>
      <c r="D45" s="186">
        <v>24001319</v>
      </c>
      <c r="E45" s="187">
        <v>4.92</v>
      </c>
      <c r="F45" s="186">
        <v>2268</v>
      </c>
      <c r="G45" s="186" t="s">
        <v>124</v>
      </c>
      <c r="H45" s="188">
        <f>((48.26*48.26*22.86)/1000000)</f>
        <v>5.3241570935999995E-2</v>
      </c>
      <c r="I45" s="186">
        <f t="shared" si="0"/>
        <v>63</v>
      </c>
      <c r="J45" s="186">
        <f t="shared" si="1"/>
        <v>3.35</v>
      </c>
      <c r="K45" s="186">
        <f t="shared" si="2"/>
        <v>2337</v>
      </c>
      <c r="L45" s="186">
        <f t="shared" si="3"/>
        <v>65</v>
      </c>
      <c r="M45" s="186">
        <f t="shared" si="4"/>
        <v>3.46</v>
      </c>
      <c r="N45" s="189">
        <v>555.66</v>
      </c>
      <c r="O45" s="189">
        <v>617.4</v>
      </c>
      <c r="P45" s="189">
        <v>0.27</v>
      </c>
      <c r="Q45" s="132"/>
      <c r="R45" s="133">
        <f t="shared" si="5"/>
        <v>2268</v>
      </c>
      <c r="S45" s="134">
        <f t="shared" si="8"/>
        <v>11158.56</v>
      </c>
      <c r="T45" s="135">
        <f t="shared" si="6"/>
        <v>3.3542189689679995</v>
      </c>
      <c r="U45" s="132" t="s">
        <v>39</v>
      </c>
      <c r="V45" s="132">
        <v>48.26</v>
      </c>
      <c r="W45" s="132" t="s">
        <v>198</v>
      </c>
      <c r="X45" s="132">
        <v>48.26</v>
      </c>
      <c r="Y45" s="132" t="s">
        <v>198</v>
      </c>
      <c r="Z45" s="132">
        <v>22.86</v>
      </c>
      <c r="AA45" s="132" t="s">
        <v>199</v>
      </c>
      <c r="AB45" s="132"/>
      <c r="AC45" s="132" t="str">
        <f t="shared" si="9"/>
        <v>MEN'S MICROFIBER 3-PACK TRUNK 91% POLYESTER 9% SPANDEX</v>
      </c>
      <c r="AD45" s="132" t="s">
        <v>203</v>
      </c>
      <c r="AE45" s="132" t="s">
        <v>210</v>
      </c>
      <c r="AF45" s="132">
        <v>3</v>
      </c>
    </row>
    <row r="46" spans="1:32">
      <c r="A46" s="186" t="s">
        <v>139</v>
      </c>
      <c r="B46" s="186" t="s">
        <v>35</v>
      </c>
      <c r="C46" s="186" t="s">
        <v>172</v>
      </c>
      <c r="D46" s="186">
        <v>24001319</v>
      </c>
      <c r="E46" s="187">
        <v>4.92</v>
      </c>
      <c r="F46" s="186">
        <v>720</v>
      </c>
      <c r="G46" s="186" t="s">
        <v>124</v>
      </c>
      <c r="H46" s="188">
        <f>((48.26*48.26*26.67)/1000000)</f>
        <v>6.2115166091999997E-2</v>
      </c>
      <c r="I46" s="186">
        <f t="shared" si="0"/>
        <v>20</v>
      </c>
      <c r="J46" s="186">
        <f t="shared" si="1"/>
        <v>1.24</v>
      </c>
      <c r="K46" s="186">
        <f t="shared" si="2"/>
        <v>742</v>
      </c>
      <c r="L46" s="186">
        <f t="shared" si="3"/>
        <v>21</v>
      </c>
      <c r="M46" s="186">
        <f t="shared" si="4"/>
        <v>1.3</v>
      </c>
      <c r="N46" s="189">
        <v>186.4</v>
      </c>
      <c r="O46" s="189">
        <v>207.2</v>
      </c>
      <c r="P46" s="189">
        <v>0.28999999999999998</v>
      </c>
      <c r="Q46" s="132"/>
      <c r="R46" s="133">
        <f t="shared" si="5"/>
        <v>720</v>
      </c>
      <c r="S46" s="134">
        <f t="shared" si="8"/>
        <v>3542.4</v>
      </c>
      <c r="T46" s="135">
        <f t="shared" si="6"/>
        <v>1.2423033218399999</v>
      </c>
      <c r="U46" s="132" t="s">
        <v>39</v>
      </c>
      <c r="V46" s="132">
        <v>48.26</v>
      </c>
      <c r="W46" s="132" t="s">
        <v>198</v>
      </c>
      <c r="X46" s="132">
        <v>48.26</v>
      </c>
      <c r="Y46" s="132" t="s">
        <v>198</v>
      </c>
      <c r="Z46" s="132">
        <v>26.67</v>
      </c>
      <c r="AA46" s="132" t="s">
        <v>199</v>
      </c>
      <c r="AB46" s="132"/>
      <c r="AC46" s="132" t="str">
        <f t="shared" si="9"/>
        <v>MEN'S MICROFIBER 3-PACK TRUNK 91% POLYESTER 9% SPANDEX</v>
      </c>
      <c r="AD46" s="132" t="s">
        <v>203</v>
      </c>
      <c r="AE46" s="132" t="s">
        <v>210</v>
      </c>
      <c r="AF46" s="132">
        <v>3</v>
      </c>
    </row>
    <row r="47" spans="1:32">
      <c r="A47" s="186" t="s">
        <v>139</v>
      </c>
      <c r="B47" s="186" t="s">
        <v>36</v>
      </c>
      <c r="C47" s="186" t="s">
        <v>172</v>
      </c>
      <c r="D47" s="186">
        <v>24001320</v>
      </c>
      <c r="E47" s="187">
        <v>5.22</v>
      </c>
      <c r="F47" s="186">
        <v>360</v>
      </c>
      <c r="G47" s="186" t="s">
        <v>124</v>
      </c>
      <c r="H47" s="188">
        <f>((48.26*48.26*26.67)/1000000)</f>
        <v>6.2115166091999997E-2</v>
      </c>
      <c r="I47" s="186">
        <f t="shared" si="0"/>
        <v>10</v>
      </c>
      <c r="J47" s="186">
        <f t="shared" si="1"/>
        <v>0.62</v>
      </c>
      <c r="K47" s="186">
        <f t="shared" si="2"/>
        <v>371</v>
      </c>
      <c r="L47" s="186">
        <f t="shared" si="3"/>
        <v>11</v>
      </c>
      <c r="M47" s="186">
        <f t="shared" si="4"/>
        <v>0.68</v>
      </c>
      <c r="N47" s="189">
        <v>98.2</v>
      </c>
      <c r="O47" s="189">
        <v>108.6</v>
      </c>
      <c r="P47" s="189">
        <v>0.3</v>
      </c>
      <c r="Q47" s="132"/>
      <c r="R47" s="133">
        <f t="shared" si="5"/>
        <v>360</v>
      </c>
      <c r="S47" s="134">
        <f t="shared" si="8"/>
        <v>1879.1999999999998</v>
      </c>
      <c r="T47" s="135">
        <f t="shared" si="6"/>
        <v>0.62115166091999996</v>
      </c>
      <c r="U47" s="132" t="s">
        <v>39</v>
      </c>
      <c r="V47" s="132">
        <v>48.26</v>
      </c>
      <c r="W47" s="132" t="s">
        <v>198</v>
      </c>
      <c r="X47" s="132">
        <v>48.26</v>
      </c>
      <c r="Y47" s="132" t="s">
        <v>198</v>
      </c>
      <c r="Z47" s="132">
        <v>26.67</v>
      </c>
      <c r="AA47" s="132" t="s">
        <v>199</v>
      </c>
      <c r="AB47" s="132"/>
      <c r="AC47" s="132" t="str">
        <f t="shared" si="9"/>
        <v>MEN'S MICROFIBER 3-PACK TRUNK 91% POLYESTER 9% SPANDEX</v>
      </c>
      <c r="AD47" s="132" t="s">
        <v>203</v>
      </c>
      <c r="AE47" s="132" t="s">
        <v>210</v>
      </c>
      <c r="AF47" s="132">
        <v>3</v>
      </c>
    </row>
    <row r="48" spans="1:32">
      <c r="A48" s="190"/>
      <c r="B48" s="190"/>
      <c r="C48" s="190"/>
      <c r="D48" s="190"/>
      <c r="E48" s="191"/>
      <c r="F48" s="190"/>
      <c r="G48" s="190"/>
      <c r="H48" s="190"/>
      <c r="I48" s="190"/>
      <c r="J48" s="190"/>
      <c r="K48" s="190"/>
      <c r="L48" s="190"/>
      <c r="M48" s="190"/>
      <c r="N48" s="192"/>
      <c r="O48" s="192"/>
      <c r="P48" s="192"/>
      <c r="AC48" t="str">
        <f t="shared" si="9"/>
        <v xml:space="preserve"> </v>
      </c>
    </row>
    <row r="49" spans="1:29">
      <c r="A49" s="190"/>
      <c r="B49" s="190"/>
      <c r="C49" s="190"/>
      <c r="D49" s="190"/>
      <c r="E49" s="191"/>
      <c r="F49" s="193">
        <f t="shared" ref="F49:O49" si="10">SUM(F3:F47)</f>
        <v>80744</v>
      </c>
      <c r="G49" s="190"/>
      <c r="H49" s="190"/>
      <c r="I49" s="190">
        <f t="shared" si="10"/>
        <v>2248</v>
      </c>
      <c r="J49" s="190">
        <f t="shared" si="10"/>
        <v>124.32</v>
      </c>
      <c r="K49" s="190">
        <f t="shared" si="10"/>
        <v>83190</v>
      </c>
      <c r="L49" s="190">
        <f t="shared" si="10"/>
        <v>2329</v>
      </c>
      <c r="M49" s="190">
        <f t="shared" si="10"/>
        <v>128.84</v>
      </c>
      <c r="N49" s="192">
        <f t="shared" si="10"/>
        <v>21616.970000000005</v>
      </c>
      <c r="O49" s="192">
        <f t="shared" si="10"/>
        <v>24059.129999999994</v>
      </c>
      <c r="P49" s="192"/>
      <c r="R49" s="119">
        <f t="shared" ref="R49:T49" si="11">SUM(R3:R47)</f>
        <v>80744</v>
      </c>
      <c r="S49" s="136">
        <f>SUM(S3:S47)</f>
        <v>420733.34</v>
      </c>
      <c r="T49" s="120">
        <f t="shared" si="11"/>
        <v>124.32794173071603</v>
      </c>
      <c r="AC49" t="str">
        <f t="shared" si="9"/>
        <v xml:space="preserve"> </v>
      </c>
    </row>
    <row r="50" spans="1:29">
      <c r="E50" s="137"/>
      <c r="N50" s="138"/>
      <c r="O50" s="138"/>
      <c r="P50" s="138"/>
      <c r="AC50" t="str">
        <f t="shared" si="9"/>
        <v xml:space="preserve"> </v>
      </c>
    </row>
    <row r="51" spans="1:29">
      <c r="A51" s="139" t="s">
        <v>183</v>
      </c>
      <c r="E51" s="137"/>
      <c r="N51" s="138"/>
      <c r="O51" s="138"/>
      <c r="P51" s="138"/>
      <c r="AC51" t="str">
        <f t="shared" si="9"/>
        <v xml:space="preserve"> </v>
      </c>
    </row>
    <row r="52" spans="1:29">
      <c r="A52" t="s">
        <v>211</v>
      </c>
      <c r="E52" s="137"/>
      <c r="N52" s="138"/>
      <c r="O52" s="138"/>
      <c r="P52" s="138"/>
      <c r="AC52" t="str">
        <f t="shared" si="9"/>
        <v xml:space="preserve"> </v>
      </c>
    </row>
    <row r="53" spans="1:29">
      <c r="A53" s="139" t="s">
        <v>184</v>
      </c>
      <c r="E53" s="137"/>
      <c r="N53" s="138"/>
      <c r="O53" s="138"/>
      <c r="P53" s="138"/>
      <c r="AC53" t="str">
        <f t="shared" si="9"/>
        <v xml:space="preserve"> </v>
      </c>
    </row>
    <row r="54" spans="1:29">
      <c r="A54" t="s">
        <v>212</v>
      </c>
      <c r="E54" s="137"/>
      <c r="N54" s="138"/>
      <c r="O54" s="138"/>
      <c r="P54" s="138"/>
      <c r="AC54" t="str">
        <f t="shared" si="9"/>
        <v xml:space="preserve"> </v>
      </c>
    </row>
    <row r="55" spans="1:29">
      <c r="A55" s="139" t="s">
        <v>185</v>
      </c>
      <c r="E55" s="137"/>
      <c r="N55" s="138"/>
      <c r="O55" s="138"/>
      <c r="P55" s="138"/>
      <c r="AC55" t="str">
        <f t="shared" si="9"/>
        <v xml:space="preserve"> </v>
      </c>
    </row>
    <row r="56" spans="1:29">
      <c r="A56" t="s">
        <v>213</v>
      </c>
      <c r="E56" s="137"/>
      <c r="N56" s="138"/>
      <c r="O56" s="138"/>
      <c r="P56" s="138"/>
      <c r="AC56" t="str">
        <f t="shared" si="9"/>
        <v xml:space="preserve"> </v>
      </c>
    </row>
    <row r="57" spans="1:29">
      <c r="A57" s="139" t="s">
        <v>37</v>
      </c>
      <c r="E57" s="137"/>
      <c r="N57" s="138"/>
      <c r="O57" s="138"/>
      <c r="P57" s="138"/>
      <c r="AC57" t="str">
        <f t="shared" si="9"/>
        <v xml:space="preserve"> </v>
      </c>
    </row>
    <row r="58" spans="1:29">
      <c r="A58" t="s">
        <v>214</v>
      </c>
      <c r="E58" s="137"/>
      <c r="N58" s="138"/>
      <c r="O58" s="138"/>
      <c r="P58" s="138"/>
      <c r="AC58" t="str">
        <f t="shared" si="9"/>
        <v xml:space="preserve"> </v>
      </c>
    </row>
    <row r="59" spans="1:29">
      <c r="A59" s="139" t="s">
        <v>38</v>
      </c>
      <c r="E59" s="137"/>
      <c r="N59" s="138"/>
      <c r="O59" s="138"/>
      <c r="P59" s="138"/>
      <c r="AC59" t="str">
        <f t="shared" si="9"/>
        <v xml:space="preserve"> </v>
      </c>
    </row>
    <row r="60" spans="1:29">
      <c r="A60" t="s">
        <v>215</v>
      </c>
      <c r="E60" s="137"/>
      <c r="N60" s="138"/>
      <c r="O60" s="138"/>
      <c r="P60" s="138"/>
      <c r="AC60" t="str">
        <f t="shared" si="9"/>
        <v xml:space="preserve"> </v>
      </c>
    </row>
  </sheetData>
  <mergeCells count="1">
    <mergeCell ref="K1:M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2191ED"/>
  </sheetPr>
  <dimension ref="A1:N96"/>
  <sheetViews>
    <sheetView zoomScaleNormal="100" workbookViewId="0"/>
  </sheetViews>
  <sheetFormatPr defaultRowHeight="15"/>
  <cols>
    <col min="1" max="1" width="26" bestFit="1" customWidth="1"/>
    <col min="2" max="2" width="11" bestFit="1" customWidth="1"/>
    <col min="3" max="3" width="9.140625" bestFit="1" customWidth="1"/>
    <col min="4" max="4" width="34.140625" bestFit="1" customWidth="1"/>
    <col min="5" max="5" width="36.7109375" bestFit="1" customWidth="1"/>
    <col min="6" max="6" width="74.42578125" bestFit="1" customWidth="1"/>
    <col min="7" max="7" width="9" bestFit="1" customWidth="1"/>
    <col min="8" max="8" width="22" bestFit="1" customWidth="1"/>
    <col min="9" max="9" width="9.7109375" bestFit="1" customWidth="1"/>
    <col min="10" max="10" width="9.85546875" bestFit="1" customWidth="1"/>
    <col min="11" max="11" width="15.28515625" bestFit="1" customWidth="1"/>
    <col min="12" max="12" width="16.28515625" bestFit="1" customWidth="1"/>
    <col min="14" max="14" width="15.7109375" bestFit="1" customWidth="1"/>
  </cols>
  <sheetData>
    <row r="1" spans="1:14" ht="15.75" thickBot="1">
      <c r="A1" s="31"/>
      <c r="B1" s="32"/>
      <c r="C1" s="32"/>
      <c r="D1" s="33"/>
      <c r="E1" s="33"/>
      <c r="F1" s="159" t="s">
        <v>57</v>
      </c>
      <c r="G1" s="159"/>
      <c r="H1" s="159"/>
      <c r="I1" s="159"/>
      <c r="J1" s="159"/>
      <c r="K1" s="32"/>
      <c r="L1" s="32"/>
      <c r="M1" s="32"/>
      <c r="N1" s="34"/>
    </row>
    <row r="2" spans="1:14">
      <c r="A2" s="35"/>
      <c r="B2" s="145"/>
      <c r="C2" s="145"/>
      <c r="D2" s="37"/>
      <c r="E2" s="37"/>
      <c r="F2" s="159"/>
      <c r="G2" s="159"/>
      <c r="H2" s="159"/>
      <c r="I2" s="159"/>
      <c r="J2" s="159"/>
      <c r="K2" s="145"/>
      <c r="L2" s="145"/>
      <c r="M2" s="145"/>
      <c r="N2" s="146"/>
    </row>
    <row r="3" spans="1:14" ht="50.25">
      <c r="A3" s="147" t="s">
        <v>58</v>
      </c>
      <c r="B3" s="40"/>
      <c r="C3" s="40"/>
      <c r="D3" s="40"/>
      <c r="E3" s="40"/>
      <c r="F3" s="40"/>
      <c r="G3" s="41"/>
      <c r="H3" s="42" t="s">
        <v>59</v>
      </c>
      <c r="I3" s="43"/>
      <c r="J3" s="44"/>
      <c r="K3" s="45"/>
      <c r="L3" s="46" t="s">
        <v>60</v>
      </c>
      <c r="M3" s="44"/>
      <c r="N3" s="47"/>
    </row>
    <row r="4" spans="1:14">
      <c r="A4" s="48" t="s">
        <v>61</v>
      </c>
      <c r="B4" s="49"/>
      <c r="C4" s="49"/>
      <c r="D4" s="49"/>
      <c r="E4" s="49"/>
      <c r="F4" s="49"/>
      <c r="G4" s="50"/>
      <c r="H4" s="51" t="s">
        <v>117</v>
      </c>
      <c r="I4" s="52"/>
      <c r="J4" s="53"/>
      <c r="K4" s="54"/>
      <c r="L4" s="53"/>
      <c r="M4" s="53"/>
      <c r="N4" s="55"/>
    </row>
    <row r="5" spans="1:14">
      <c r="A5" s="48" t="s">
        <v>63</v>
      </c>
      <c r="B5" s="49"/>
      <c r="C5" s="49"/>
      <c r="D5" s="49"/>
      <c r="E5" s="49"/>
      <c r="F5" s="49"/>
      <c r="G5" s="50"/>
      <c r="H5" s="56">
        <v>45464</v>
      </c>
      <c r="I5" s="57"/>
      <c r="J5" s="145"/>
      <c r="K5" s="58"/>
      <c r="L5" s="145"/>
      <c r="M5" s="145"/>
      <c r="N5" s="146"/>
    </row>
    <row r="6" spans="1:14">
      <c r="A6" s="48" t="s">
        <v>64</v>
      </c>
      <c r="B6" s="49"/>
      <c r="C6" s="49"/>
      <c r="D6" s="49"/>
      <c r="E6" s="49"/>
      <c r="F6" s="49"/>
      <c r="G6" s="50"/>
      <c r="H6" s="59" t="s">
        <v>65</v>
      </c>
      <c r="I6" s="43"/>
      <c r="J6" s="44"/>
      <c r="K6" s="45"/>
      <c r="L6" s="60" t="s">
        <v>66</v>
      </c>
      <c r="M6" s="44"/>
      <c r="N6" s="47"/>
    </row>
    <row r="7" spans="1:14">
      <c r="A7" s="48" t="s">
        <v>67</v>
      </c>
      <c r="B7" s="49"/>
      <c r="C7" s="49"/>
      <c r="D7" s="49"/>
      <c r="E7" s="49"/>
      <c r="F7" s="49"/>
      <c r="G7" s="50"/>
      <c r="H7" s="51" t="s">
        <v>55</v>
      </c>
      <c r="I7" s="61"/>
      <c r="J7" s="53"/>
      <c r="K7" s="54"/>
      <c r="L7" s="53" t="s">
        <v>68</v>
      </c>
      <c r="M7" s="53"/>
      <c r="N7" s="55"/>
    </row>
    <row r="8" spans="1:14">
      <c r="A8" s="143"/>
      <c r="B8" s="144"/>
      <c r="C8" s="144"/>
      <c r="D8" s="144"/>
      <c r="E8" s="144"/>
      <c r="F8" s="144"/>
      <c r="G8" s="64"/>
      <c r="H8" s="65"/>
      <c r="I8" s="61"/>
      <c r="J8" s="53"/>
      <c r="K8" s="54"/>
      <c r="L8" s="53"/>
      <c r="M8" s="53"/>
      <c r="N8" s="55"/>
    </row>
    <row r="9" spans="1:14" ht="60" customHeight="1">
      <c r="A9" s="157" t="s">
        <v>69</v>
      </c>
      <c r="B9" s="157"/>
      <c r="C9" s="157"/>
      <c r="D9" s="157"/>
      <c r="E9" s="157"/>
      <c r="F9" s="157"/>
      <c r="G9" s="157"/>
      <c r="H9" s="158" t="s">
        <v>70</v>
      </c>
      <c r="I9" s="158"/>
      <c r="J9" s="158"/>
      <c r="K9" s="158"/>
      <c r="L9" s="158"/>
      <c r="M9" s="158"/>
      <c r="N9" s="158"/>
    </row>
    <row r="10" spans="1:14">
      <c r="A10" s="157" t="s">
        <v>71</v>
      </c>
      <c r="B10" s="157"/>
      <c r="C10" s="157"/>
      <c r="D10" s="157"/>
      <c r="E10" s="157"/>
      <c r="F10" s="157"/>
      <c r="G10" s="157"/>
      <c r="H10" s="66" t="s">
        <v>72</v>
      </c>
      <c r="I10" s="43"/>
      <c r="J10" s="44"/>
      <c r="K10" s="53"/>
      <c r="L10" s="67" t="s">
        <v>73</v>
      </c>
      <c r="M10" s="53"/>
      <c r="N10" s="55"/>
    </row>
    <row r="11" spans="1:14">
      <c r="A11" s="157"/>
      <c r="B11" s="157"/>
      <c r="C11" s="157"/>
      <c r="D11" s="157"/>
      <c r="E11" s="157"/>
      <c r="F11" s="157"/>
      <c r="G11" s="157"/>
      <c r="H11" s="65" t="s">
        <v>53</v>
      </c>
      <c r="I11" s="37"/>
      <c r="J11" s="145"/>
      <c r="K11" s="53"/>
      <c r="L11" s="68" t="s">
        <v>74</v>
      </c>
      <c r="M11" s="145"/>
      <c r="N11" s="146"/>
    </row>
    <row r="12" spans="1:14" ht="25.5">
      <c r="A12" s="157"/>
      <c r="B12" s="157"/>
      <c r="C12" s="157"/>
      <c r="D12" s="157"/>
      <c r="E12" s="157"/>
      <c r="F12" s="157"/>
      <c r="G12" s="157"/>
      <c r="H12" s="160" t="s">
        <v>75</v>
      </c>
      <c r="I12" s="160"/>
      <c r="J12" s="160"/>
      <c r="K12" s="160"/>
      <c r="L12" s="69"/>
      <c r="M12" s="44"/>
      <c r="N12" s="47"/>
    </row>
    <row r="13" spans="1:14">
      <c r="A13" s="157"/>
      <c r="B13" s="157"/>
      <c r="C13" s="157"/>
      <c r="D13" s="157"/>
      <c r="E13" s="157"/>
      <c r="F13" s="157"/>
      <c r="G13" s="157"/>
      <c r="H13" s="160"/>
      <c r="I13" s="160"/>
      <c r="J13" s="160"/>
      <c r="K13" s="160"/>
      <c r="L13" s="53"/>
      <c r="M13" s="53"/>
      <c r="N13" s="55"/>
    </row>
    <row r="14" spans="1:14">
      <c r="A14" s="157" t="s">
        <v>76</v>
      </c>
      <c r="B14" s="157"/>
      <c r="C14" s="157"/>
      <c r="D14" s="157"/>
      <c r="E14" s="157"/>
      <c r="F14" s="157"/>
      <c r="G14" s="157"/>
      <c r="H14" s="158" t="s">
        <v>77</v>
      </c>
      <c r="I14" s="158"/>
      <c r="J14" s="158"/>
      <c r="K14" s="158"/>
      <c r="L14" s="158"/>
      <c r="M14" s="158"/>
      <c r="N14" s="158"/>
    </row>
    <row r="15" spans="1:14">
      <c r="A15" s="157" t="s">
        <v>78</v>
      </c>
      <c r="B15" s="157"/>
      <c r="C15" s="157"/>
      <c r="D15" s="157"/>
      <c r="E15" s="157"/>
      <c r="F15" s="157"/>
      <c r="G15" s="157"/>
      <c r="H15" s="158" t="s">
        <v>79</v>
      </c>
      <c r="I15" s="158"/>
      <c r="J15" s="158"/>
      <c r="K15" s="158"/>
      <c r="L15" s="158"/>
      <c r="M15" s="158"/>
      <c r="N15" s="158"/>
    </row>
    <row r="16" spans="1:14">
      <c r="A16" s="157" t="s">
        <v>80</v>
      </c>
      <c r="B16" s="157"/>
      <c r="C16" s="157"/>
      <c r="D16" s="157"/>
      <c r="E16" s="157"/>
      <c r="F16" s="157"/>
      <c r="G16" s="157"/>
      <c r="H16" s="42" t="s">
        <v>81</v>
      </c>
      <c r="I16" s="43"/>
      <c r="J16" s="44"/>
      <c r="K16" s="44"/>
      <c r="L16" s="44"/>
      <c r="M16" s="44"/>
      <c r="N16" s="47"/>
    </row>
    <row r="17" spans="1:14">
      <c r="A17" s="157"/>
      <c r="B17" s="157"/>
      <c r="C17" s="157"/>
      <c r="D17" s="157"/>
      <c r="E17" s="157"/>
      <c r="F17" s="157"/>
      <c r="G17" s="157"/>
      <c r="H17" s="51" t="s">
        <v>216</v>
      </c>
      <c r="I17" s="61"/>
      <c r="J17" s="53"/>
      <c r="K17" s="61" t="s">
        <v>83</v>
      </c>
      <c r="L17" s="53"/>
      <c r="M17" s="53"/>
      <c r="N17" s="55"/>
    </row>
    <row r="18" spans="1:14">
      <c r="A18" s="157"/>
      <c r="B18" s="157"/>
      <c r="C18" s="157"/>
      <c r="D18" s="157"/>
      <c r="E18" s="157"/>
      <c r="F18" s="157"/>
      <c r="G18" s="157"/>
      <c r="H18" s="70" t="s">
        <v>217</v>
      </c>
      <c r="I18" s="61"/>
      <c r="J18" s="53"/>
      <c r="K18" s="53" t="s">
        <v>85</v>
      </c>
      <c r="L18" s="53"/>
      <c r="M18" s="53"/>
      <c r="N18" s="55"/>
    </row>
    <row r="19" spans="1:14">
      <c r="A19" s="157"/>
      <c r="B19" s="157"/>
      <c r="C19" s="157"/>
      <c r="D19" s="157"/>
      <c r="E19" s="157"/>
      <c r="F19" s="157"/>
      <c r="G19" s="157"/>
      <c r="H19" s="51" t="s">
        <v>86</v>
      </c>
      <c r="I19" s="61"/>
      <c r="J19" s="53"/>
      <c r="K19" s="71" t="s">
        <v>87</v>
      </c>
      <c r="L19" s="53"/>
      <c r="M19" s="53"/>
      <c r="N19" s="55"/>
    </row>
    <row r="20" spans="1:14">
      <c r="A20" s="157"/>
      <c r="B20" s="157"/>
      <c r="C20" s="157"/>
      <c r="D20" s="157"/>
      <c r="E20" s="157"/>
      <c r="F20" s="157"/>
      <c r="G20" s="157"/>
      <c r="H20" s="51" t="s">
        <v>220</v>
      </c>
      <c r="I20" s="72"/>
      <c r="J20" s="53"/>
      <c r="K20" s="73" t="s">
        <v>218</v>
      </c>
      <c r="L20" s="53"/>
      <c r="M20" s="53"/>
      <c r="N20" s="55"/>
    </row>
    <row r="21" spans="1:14">
      <c r="A21" s="157"/>
      <c r="B21" s="157"/>
      <c r="C21" s="157"/>
      <c r="D21" s="157"/>
      <c r="E21" s="157"/>
      <c r="F21" s="157"/>
      <c r="G21" s="157"/>
      <c r="H21" s="65" t="s">
        <v>90</v>
      </c>
      <c r="I21" s="37"/>
      <c r="J21" s="145"/>
      <c r="K21" s="74" t="s">
        <v>219</v>
      </c>
      <c r="L21" s="145"/>
      <c r="M21" s="145"/>
      <c r="N21" s="146"/>
    </row>
    <row r="22" spans="1:14">
      <c r="A22" s="75" t="s">
        <v>92</v>
      </c>
      <c r="B22" s="44"/>
      <c r="C22" s="44"/>
      <c r="D22" s="43"/>
      <c r="E22" s="43"/>
      <c r="F22" s="43"/>
      <c r="G22" s="44"/>
      <c r="H22" s="43"/>
      <c r="I22" s="43"/>
      <c r="J22" s="44"/>
      <c r="K22" s="76"/>
      <c r="L22" s="44"/>
      <c r="M22" s="44"/>
      <c r="N22" s="47"/>
    </row>
    <row r="23" spans="1:14">
      <c r="A23" s="169"/>
      <c r="B23" s="169"/>
      <c r="C23" s="169"/>
      <c r="D23" s="169"/>
      <c r="E23" s="169"/>
      <c r="F23" s="169"/>
      <c r="G23" s="169"/>
      <c r="H23" s="169"/>
      <c r="I23" s="169"/>
      <c r="J23" s="169"/>
      <c r="K23" s="169"/>
      <c r="L23" s="169"/>
      <c r="M23" s="169"/>
      <c r="N23" s="169"/>
    </row>
    <row r="24" spans="1:14">
      <c r="A24" s="77"/>
      <c r="B24" s="53"/>
      <c r="C24" s="53"/>
      <c r="D24" s="61"/>
      <c r="E24" s="61"/>
      <c r="F24" s="61"/>
      <c r="G24" s="53"/>
      <c r="H24" s="61"/>
      <c r="I24" s="61"/>
      <c r="J24" s="53"/>
      <c r="K24" s="53"/>
      <c r="L24" s="53"/>
      <c r="M24" s="53"/>
      <c r="N24" s="55"/>
    </row>
    <row r="25" spans="1:14" ht="15.75" thickBot="1">
      <c r="A25" s="78"/>
      <c r="B25" s="79" t="s">
        <v>93</v>
      </c>
      <c r="C25" s="79" t="s">
        <v>94</v>
      </c>
      <c r="D25" s="79" t="s">
        <v>5</v>
      </c>
      <c r="E25" s="79" t="s">
        <v>6</v>
      </c>
      <c r="F25" s="79" t="s">
        <v>95</v>
      </c>
      <c r="G25" s="79" t="s">
        <v>96</v>
      </c>
      <c r="H25" s="80" t="s">
        <v>97</v>
      </c>
      <c r="I25" s="80" t="s">
        <v>98</v>
      </c>
      <c r="J25" s="80" t="s">
        <v>99</v>
      </c>
      <c r="K25" s="80" t="s">
        <v>100</v>
      </c>
      <c r="L25" s="53"/>
      <c r="M25" s="53"/>
      <c r="N25" s="55"/>
    </row>
    <row r="26" spans="1:14">
      <c r="A26" s="170" t="s">
        <v>101</v>
      </c>
      <c r="B26" s="170"/>
      <c r="C26" s="170"/>
      <c r="D26" s="170"/>
      <c r="E26" s="170"/>
      <c r="F26" s="170"/>
      <c r="G26" s="170"/>
      <c r="H26" s="170"/>
      <c r="I26" s="170"/>
      <c r="J26" s="170"/>
      <c r="K26" s="170"/>
      <c r="L26" s="53"/>
      <c r="M26" s="53"/>
      <c r="N26" s="55"/>
    </row>
    <row r="27" spans="1:14">
      <c r="A27" s="170"/>
      <c r="B27" s="170"/>
      <c r="C27" s="170"/>
      <c r="D27" s="170"/>
      <c r="E27" s="170"/>
      <c r="F27" s="170"/>
      <c r="G27" s="170"/>
      <c r="H27" s="170"/>
      <c r="I27" s="170"/>
      <c r="J27" s="170"/>
      <c r="K27" s="170"/>
      <c r="L27" s="53"/>
      <c r="M27" s="53"/>
      <c r="N27" s="55"/>
    </row>
    <row r="28" spans="1:14">
      <c r="A28" s="81"/>
      <c r="B28" s="82" t="s">
        <v>145</v>
      </c>
      <c r="C28" s="82" t="s">
        <v>144</v>
      </c>
      <c r="D28" s="82" t="s">
        <v>39</v>
      </c>
      <c r="E28" s="82" t="s">
        <v>118</v>
      </c>
      <c r="F28" s="82" t="s">
        <v>183</v>
      </c>
      <c r="G28" s="82">
        <v>61071100</v>
      </c>
      <c r="H28" s="83">
        <v>1080</v>
      </c>
      <c r="I28" s="84">
        <v>30</v>
      </c>
      <c r="J28" s="85">
        <v>6.39</v>
      </c>
      <c r="K28" s="86">
        <f t="shared" ref="K28:K72" si="0">H28*J28</f>
        <v>6901.2</v>
      </c>
      <c r="L28" s="53"/>
      <c r="M28" s="53"/>
      <c r="N28" s="55"/>
    </row>
    <row r="29" spans="1:14">
      <c r="A29" s="81"/>
      <c r="B29" s="82" t="s">
        <v>145</v>
      </c>
      <c r="C29" s="82" t="s">
        <v>146</v>
      </c>
      <c r="D29" s="82" t="s">
        <v>39</v>
      </c>
      <c r="E29" s="82" t="s">
        <v>119</v>
      </c>
      <c r="F29" s="82" t="s">
        <v>183</v>
      </c>
      <c r="G29" s="82">
        <v>61071100</v>
      </c>
      <c r="H29" s="83">
        <v>2304</v>
      </c>
      <c r="I29" s="84">
        <v>64</v>
      </c>
      <c r="J29" s="85">
        <v>6.39</v>
      </c>
      <c r="K29" s="86">
        <f t="shared" si="0"/>
        <v>14722.56</v>
      </c>
      <c r="L29" s="53"/>
      <c r="M29" s="53"/>
      <c r="N29" s="55"/>
    </row>
    <row r="30" spans="1:14">
      <c r="A30" s="81"/>
      <c r="B30" s="82" t="s">
        <v>145</v>
      </c>
      <c r="C30" s="82" t="s">
        <v>147</v>
      </c>
      <c r="D30" s="82" t="s">
        <v>39</v>
      </c>
      <c r="E30" s="82" t="s">
        <v>22</v>
      </c>
      <c r="F30" s="82" t="s">
        <v>183</v>
      </c>
      <c r="G30" s="82">
        <v>61071100</v>
      </c>
      <c r="H30" s="83">
        <v>2052</v>
      </c>
      <c r="I30" s="84">
        <v>57</v>
      </c>
      <c r="J30" s="85">
        <v>6.39</v>
      </c>
      <c r="K30" s="86">
        <f t="shared" si="0"/>
        <v>13112.279999999999</v>
      </c>
      <c r="L30" s="53"/>
      <c r="M30" s="53"/>
      <c r="N30" s="55"/>
    </row>
    <row r="31" spans="1:14">
      <c r="A31" s="81"/>
      <c r="B31" s="82" t="s">
        <v>145</v>
      </c>
      <c r="C31" s="82" t="s">
        <v>148</v>
      </c>
      <c r="D31" s="82" t="s">
        <v>39</v>
      </c>
      <c r="E31" s="82" t="s">
        <v>120</v>
      </c>
      <c r="F31" s="82" t="s">
        <v>183</v>
      </c>
      <c r="G31" s="82">
        <v>61071100</v>
      </c>
      <c r="H31" s="83">
        <v>1116</v>
      </c>
      <c r="I31" s="84">
        <v>31</v>
      </c>
      <c r="J31" s="85">
        <v>6.39</v>
      </c>
      <c r="K31" s="86">
        <f t="shared" si="0"/>
        <v>7131.24</v>
      </c>
      <c r="L31" s="53"/>
      <c r="M31" s="53"/>
      <c r="N31" s="55"/>
    </row>
    <row r="32" spans="1:14">
      <c r="A32" s="81"/>
      <c r="B32" s="82" t="s">
        <v>151</v>
      </c>
      <c r="C32" s="82" t="s">
        <v>150</v>
      </c>
      <c r="D32" s="82" t="s">
        <v>202</v>
      </c>
      <c r="E32" s="82" t="s">
        <v>118</v>
      </c>
      <c r="F32" s="82" t="s">
        <v>184</v>
      </c>
      <c r="G32" s="82">
        <v>61071200</v>
      </c>
      <c r="H32" s="83">
        <v>1431</v>
      </c>
      <c r="I32" s="84">
        <v>40</v>
      </c>
      <c r="J32" s="85">
        <v>4.93</v>
      </c>
      <c r="K32" s="86">
        <f t="shared" si="0"/>
        <v>7054.83</v>
      </c>
      <c r="L32" s="53"/>
      <c r="M32" s="53"/>
      <c r="N32" s="55"/>
    </row>
    <row r="33" spans="1:14">
      <c r="A33" s="81"/>
      <c r="B33" s="82" t="s">
        <v>151</v>
      </c>
      <c r="C33" s="82" t="s">
        <v>152</v>
      </c>
      <c r="D33" s="82" t="s">
        <v>202</v>
      </c>
      <c r="E33" s="82" t="s">
        <v>119</v>
      </c>
      <c r="F33" s="82" t="s">
        <v>184</v>
      </c>
      <c r="G33" s="82">
        <v>61071200</v>
      </c>
      <c r="H33" s="83">
        <v>6359</v>
      </c>
      <c r="I33" s="84">
        <v>177</v>
      </c>
      <c r="J33" s="85">
        <v>4.93</v>
      </c>
      <c r="K33" s="86">
        <f t="shared" si="0"/>
        <v>31349.87</v>
      </c>
      <c r="L33" s="53"/>
      <c r="M33" s="53"/>
      <c r="N33" s="55"/>
    </row>
    <row r="34" spans="1:14">
      <c r="A34" s="81"/>
      <c r="B34" s="82" t="s">
        <v>151</v>
      </c>
      <c r="C34" s="82" t="s">
        <v>153</v>
      </c>
      <c r="D34" s="82" t="s">
        <v>202</v>
      </c>
      <c r="E34" s="82" t="s">
        <v>22</v>
      </c>
      <c r="F34" s="82" t="s">
        <v>184</v>
      </c>
      <c r="G34" s="82">
        <v>61071200</v>
      </c>
      <c r="H34" s="83">
        <v>3552</v>
      </c>
      <c r="I34" s="84">
        <v>99</v>
      </c>
      <c r="J34" s="85">
        <v>4.93</v>
      </c>
      <c r="K34" s="86">
        <f t="shared" si="0"/>
        <v>17511.36</v>
      </c>
      <c r="L34" s="53"/>
      <c r="M34" s="53"/>
      <c r="N34" s="55"/>
    </row>
    <row r="35" spans="1:14">
      <c r="A35" s="81"/>
      <c r="B35" s="82" t="s">
        <v>151</v>
      </c>
      <c r="C35" s="82" t="s">
        <v>154</v>
      </c>
      <c r="D35" s="82" t="s">
        <v>202</v>
      </c>
      <c r="E35" s="82" t="s">
        <v>120</v>
      </c>
      <c r="F35" s="82" t="s">
        <v>184</v>
      </c>
      <c r="G35" s="82">
        <v>61071200</v>
      </c>
      <c r="H35" s="83">
        <v>648</v>
      </c>
      <c r="I35" s="84">
        <v>18</v>
      </c>
      <c r="J35" s="85">
        <v>4.93</v>
      </c>
      <c r="K35" s="86">
        <f t="shared" si="0"/>
        <v>3194.64</v>
      </c>
      <c r="L35" s="53"/>
      <c r="M35" s="53"/>
      <c r="N35" s="55"/>
    </row>
    <row r="36" spans="1:14">
      <c r="A36" s="81"/>
      <c r="B36" s="82" t="s">
        <v>151</v>
      </c>
      <c r="C36" s="82" t="s">
        <v>156</v>
      </c>
      <c r="D36" s="82" t="s">
        <v>205</v>
      </c>
      <c r="E36" s="82" t="s">
        <v>118</v>
      </c>
      <c r="F36" s="82" t="s">
        <v>184</v>
      </c>
      <c r="G36" s="82">
        <v>61071200</v>
      </c>
      <c r="H36" s="83">
        <v>1501</v>
      </c>
      <c r="I36" s="84">
        <v>42</v>
      </c>
      <c r="J36" s="85">
        <v>4.93</v>
      </c>
      <c r="K36" s="86">
        <f t="shared" si="0"/>
        <v>7399.9299999999994</v>
      </c>
      <c r="L36" s="53"/>
      <c r="M36" s="53"/>
      <c r="N36" s="55"/>
    </row>
    <row r="37" spans="1:14">
      <c r="A37" s="81"/>
      <c r="B37" s="82" t="s">
        <v>151</v>
      </c>
      <c r="C37" s="82" t="s">
        <v>157</v>
      </c>
      <c r="D37" s="82" t="s">
        <v>205</v>
      </c>
      <c r="E37" s="82" t="s">
        <v>119</v>
      </c>
      <c r="F37" s="82" t="s">
        <v>184</v>
      </c>
      <c r="G37" s="82">
        <v>61071200</v>
      </c>
      <c r="H37" s="83">
        <v>5057</v>
      </c>
      <c r="I37" s="84">
        <v>141</v>
      </c>
      <c r="J37" s="85">
        <v>4.93</v>
      </c>
      <c r="K37" s="86">
        <f t="shared" si="0"/>
        <v>24931.01</v>
      </c>
      <c r="L37" s="53"/>
      <c r="M37" s="53"/>
      <c r="N37" s="55"/>
    </row>
    <row r="38" spans="1:14">
      <c r="A38" s="81"/>
      <c r="B38" s="82" t="s">
        <v>151</v>
      </c>
      <c r="C38" s="82" t="s">
        <v>158</v>
      </c>
      <c r="D38" s="82" t="s">
        <v>205</v>
      </c>
      <c r="E38" s="82" t="s">
        <v>22</v>
      </c>
      <c r="F38" s="82" t="s">
        <v>184</v>
      </c>
      <c r="G38" s="82">
        <v>61071200</v>
      </c>
      <c r="H38" s="83">
        <v>3481</v>
      </c>
      <c r="I38" s="84">
        <v>97</v>
      </c>
      <c r="J38" s="85">
        <v>4.93</v>
      </c>
      <c r="K38" s="86">
        <f t="shared" si="0"/>
        <v>17161.329999999998</v>
      </c>
      <c r="L38" s="53"/>
      <c r="M38" s="53"/>
      <c r="N38" s="55"/>
    </row>
    <row r="39" spans="1:14">
      <c r="A39" s="81"/>
      <c r="B39" s="82" t="s">
        <v>151</v>
      </c>
      <c r="C39" s="82" t="s">
        <v>159</v>
      </c>
      <c r="D39" s="82" t="s">
        <v>205</v>
      </c>
      <c r="E39" s="82" t="s">
        <v>120</v>
      </c>
      <c r="F39" s="82" t="s">
        <v>184</v>
      </c>
      <c r="G39" s="82">
        <v>61071200</v>
      </c>
      <c r="H39" s="83">
        <v>1652</v>
      </c>
      <c r="I39" s="84">
        <v>46</v>
      </c>
      <c r="J39" s="85">
        <v>4.93</v>
      </c>
      <c r="K39" s="86">
        <f t="shared" si="0"/>
        <v>8144.36</v>
      </c>
      <c r="L39" s="53"/>
      <c r="M39" s="53"/>
      <c r="N39" s="55"/>
    </row>
    <row r="40" spans="1:14">
      <c r="A40" s="81"/>
      <c r="B40" s="82" t="s">
        <v>151</v>
      </c>
      <c r="C40" s="82" t="s">
        <v>160</v>
      </c>
      <c r="D40" s="82" t="s">
        <v>205</v>
      </c>
      <c r="E40" s="82" t="s">
        <v>121</v>
      </c>
      <c r="F40" s="82" t="s">
        <v>184</v>
      </c>
      <c r="G40" s="82">
        <v>61071200</v>
      </c>
      <c r="H40" s="83">
        <v>609</v>
      </c>
      <c r="I40" s="84">
        <v>17</v>
      </c>
      <c r="J40" s="85">
        <v>5.28</v>
      </c>
      <c r="K40" s="86">
        <f t="shared" si="0"/>
        <v>3215.52</v>
      </c>
      <c r="L40" s="53"/>
      <c r="M40" s="53"/>
      <c r="N40" s="55"/>
    </row>
    <row r="41" spans="1:14">
      <c r="A41" s="81"/>
      <c r="B41" s="82" t="s">
        <v>151</v>
      </c>
      <c r="C41" s="82" t="s">
        <v>162</v>
      </c>
      <c r="D41" s="82" t="s">
        <v>39</v>
      </c>
      <c r="E41" s="82" t="s">
        <v>118</v>
      </c>
      <c r="F41" s="82" t="s">
        <v>184</v>
      </c>
      <c r="G41" s="82">
        <v>61071200</v>
      </c>
      <c r="H41" s="83">
        <v>396</v>
      </c>
      <c r="I41" s="84">
        <v>11</v>
      </c>
      <c r="J41" s="85">
        <v>4.93</v>
      </c>
      <c r="K41" s="86">
        <f t="shared" si="0"/>
        <v>1952.28</v>
      </c>
      <c r="L41" s="53"/>
      <c r="M41" s="53"/>
      <c r="N41" s="55"/>
    </row>
    <row r="42" spans="1:14">
      <c r="A42" s="81"/>
      <c r="B42" s="82" t="s">
        <v>151</v>
      </c>
      <c r="C42" s="82" t="s">
        <v>163</v>
      </c>
      <c r="D42" s="82" t="s">
        <v>39</v>
      </c>
      <c r="E42" s="82" t="s">
        <v>119</v>
      </c>
      <c r="F42" s="82" t="s">
        <v>184</v>
      </c>
      <c r="G42" s="82">
        <v>61071200</v>
      </c>
      <c r="H42" s="83">
        <v>792</v>
      </c>
      <c r="I42" s="84">
        <v>22</v>
      </c>
      <c r="J42" s="85">
        <v>4.93</v>
      </c>
      <c r="K42" s="86">
        <f t="shared" si="0"/>
        <v>3904.56</v>
      </c>
      <c r="L42" s="53"/>
      <c r="M42" s="53"/>
      <c r="N42" s="55"/>
    </row>
    <row r="43" spans="1:14">
      <c r="A43" s="81"/>
      <c r="B43" s="82" t="s">
        <v>151</v>
      </c>
      <c r="C43" s="82" t="s">
        <v>164</v>
      </c>
      <c r="D43" s="82" t="s">
        <v>39</v>
      </c>
      <c r="E43" s="82" t="s">
        <v>22</v>
      </c>
      <c r="F43" s="82" t="s">
        <v>184</v>
      </c>
      <c r="G43" s="82">
        <v>61071200</v>
      </c>
      <c r="H43" s="83">
        <v>788</v>
      </c>
      <c r="I43" s="84">
        <v>22</v>
      </c>
      <c r="J43" s="85">
        <v>4.93</v>
      </c>
      <c r="K43" s="86">
        <f t="shared" si="0"/>
        <v>3884.8399999999997</v>
      </c>
      <c r="L43" s="53"/>
      <c r="M43" s="53"/>
      <c r="N43" s="55"/>
    </row>
    <row r="44" spans="1:14">
      <c r="A44" s="81"/>
      <c r="B44" s="82" t="s">
        <v>151</v>
      </c>
      <c r="C44" s="82" t="s">
        <v>165</v>
      </c>
      <c r="D44" s="82" t="s">
        <v>39</v>
      </c>
      <c r="E44" s="82" t="s">
        <v>120</v>
      </c>
      <c r="F44" s="82" t="s">
        <v>184</v>
      </c>
      <c r="G44" s="82">
        <v>61071200</v>
      </c>
      <c r="H44" s="83">
        <v>396</v>
      </c>
      <c r="I44" s="84">
        <v>11</v>
      </c>
      <c r="J44" s="85">
        <v>4.93</v>
      </c>
      <c r="K44" s="86">
        <f t="shared" si="0"/>
        <v>1952.28</v>
      </c>
      <c r="L44" s="53"/>
      <c r="M44" s="53"/>
      <c r="N44" s="55"/>
    </row>
    <row r="45" spans="1:14">
      <c r="A45" s="81"/>
      <c r="B45" s="82" t="s">
        <v>139</v>
      </c>
      <c r="C45" s="82" t="s">
        <v>138</v>
      </c>
      <c r="D45" s="82" t="s">
        <v>39</v>
      </c>
      <c r="E45" s="82" t="s">
        <v>118</v>
      </c>
      <c r="F45" s="82" t="s">
        <v>185</v>
      </c>
      <c r="G45" s="82">
        <v>61071200</v>
      </c>
      <c r="H45" s="83">
        <v>1080</v>
      </c>
      <c r="I45" s="84">
        <v>30</v>
      </c>
      <c r="J45" s="85">
        <v>5.63</v>
      </c>
      <c r="K45" s="86">
        <f t="shared" si="0"/>
        <v>6080.4</v>
      </c>
      <c r="L45" s="53"/>
      <c r="M45" s="53"/>
      <c r="N45" s="55"/>
    </row>
    <row r="46" spans="1:14">
      <c r="A46" s="81"/>
      <c r="B46" s="82" t="s">
        <v>139</v>
      </c>
      <c r="C46" s="82" t="s">
        <v>140</v>
      </c>
      <c r="D46" s="82" t="s">
        <v>39</v>
      </c>
      <c r="E46" s="82" t="s">
        <v>119</v>
      </c>
      <c r="F46" s="82" t="s">
        <v>185</v>
      </c>
      <c r="G46" s="82">
        <v>61071200</v>
      </c>
      <c r="H46" s="83">
        <v>2772</v>
      </c>
      <c r="I46" s="84">
        <v>77</v>
      </c>
      <c r="J46" s="85">
        <v>5.63</v>
      </c>
      <c r="K46" s="86">
        <f t="shared" si="0"/>
        <v>15606.36</v>
      </c>
      <c r="L46" s="53"/>
      <c r="M46" s="53"/>
      <c r="N46" s="55"/>
    </row>
    <row r="47" spans="1:14">
      <c r="A47" s="81"/>
      <c r="B47" s="82" t="s">
        <v>139</v>
      </c>
      <c r="C47" s="82" t="s">
        <v>141</v>
      </c>
      <c r="D47" s="82" t="s">
        <v>39</v>
      </c>
      <c r="E47" s="82" t="s">
        <v>22</v>
      </c>
      <c r="F47" s="82" t="s">
        <v>185</v>
      </c>
      <c r="G47" s="82">
        <v>61071200</v>
      </c>
      <c r="H47" s="83">
        <v>2556</v>
      </c>
      <c r="I47" s="84">
        <v>71</v>
      </c>
      <c r="J47" s="85">
        <v>5.63</v>
      </c>
      <c r="K47" s="86">
        <f t="shared" si="0"/>
        <v>14390.279999999999</v>
      </c>
      <c r="L47" s="53"/>
      <c r="M47" s="53"/>
      <c r="N47" s="55"/>
    </row>
    <row r="48" spans="1:14">
      <c r="A48" s="81"/>
      <c r="B48" s="82" t="s">
        <v>139</v>
      </c>
      <c r="C48" s="82" t="s">
        <v>142</v>
      </c>
      <c r="D48" s="82" t="s">
        <v>39</v>
      </c>
      <c r="E48" s="82" t="s">
        <v>120</v>
      </c>
      <c r="F48" s="82" t="s">
        <v>185</v>
      </c>
      <c r="G48" s="82">
        <v>61071200</v>
      </c>
      <c r="H48" s="83">
        <v>1440</v>
      </c>
      <c r="I48" s="84">
        <v>40</v>
      </c>
      <c r="J48" s="85">
        <v>5.63</v>
      </c>
      <c r="K48" s="86">
        <f t="shared" si="0"/>
        <v>8107.2</v>
      </c>
      <c r="L48" s="53"/>
      <c r="M48" s="53"/>
      <c r="N48" s="55"/>
    </row>
    <row r="49" spans="1:14">
      <c r="A49" s="81"/>
      <c r="B49" s="82" t="s">
        <v>123</v>
      </c>
      <c r="C49" s="82" t="s">
        <v>28</v>
      </c>
      <c r="D49" s="82" t="s">
        <v>40</v>
      </c>
      <c r="E49" s="82" t="s">
        <v>118</v>
      </c>
      <c r="F49" s="82" t="s">
        <v>37</v>
      </c>
      <c r="G49" s="82">
        <v>61071200</v>
      </c>
      <c r="H49" s="83">
        <v>900</v>
      </c>
      <c r="I49" s="84">
        <v>25</v>
      </c>
      <c r="J49" s="85">
        <v>5.14</v>
      </c>
      <c r="K49" s="86">
        <f t="shared" si="0"/>
        <v>4626</v>
      </c>
      <c r="L49" s="53"/>
      <c r="M49" s="53"/>
      <c r="N49" s="55"/>
    </row>
    <row r="50" spans="1:14">
      <c r="A50" s="81"/>
      <c r="B50" s="82" t="s">
        <v>123</v>
      </c>
      <c r="C50" s="82" t="s">
        <v>29</v>
      </c>
      <c r="D50" s="82" t="s">
        <v>40</v>
      </c>
      <c r="E50" s="82" t="s">
        <v>119</v>
      </c>
      <c r="F50" s="82" t="s">
        <v>37</v>
      </c>
      <c r="G50" s="82">
        <v>61071200</v>
      </c>
      <c r="H50" s="83">
        <v>1908</v>
      </c>
      <c r="I50" s="84">
        <v>53</v>
      </c>
      <c r="J50" s="85">
        <v>5.14</v>
      </c>
      <c r="K50" s="86">
        <f t="shared" si="0"/>
        <v>9807.119999999999</v>
      </c>
      <c r="L50" s="53"/>
      <c r="M50" s="53"/>
      <c r="N50" s="55"/>
    </row>
    <row r="51" spans="1:14">
      <c r="A51" s="81"/>
      <c r="B51" s="82" t="s">
        <v>123</v>
      </c>
      <c r="C51" s="82" t="s">
        <v>30</v>
      </c>
      <c r="D51" s="82" t="s">
        <v>40</v>
      </c>
      <c r="E51" s="82" t="s">
        <v>22</v>
      </c>
      <c r="F51" s="82" t="s">
        <v>37</v>
      </c>
      <c r="G51" s="82">
        <v>61071200</v>
      </c>
      <c r="H51" s="83">
        <v>1836</v>
      </c>
      <c r="I51" s="84">
        <v>51</v>
      </c>
      <c r="J51" s="85">
        <v>5.14</v>
      </c>
      <c r="K51" s="86">
        <f t="shared" si="0"/>
        <v>9437.0399999999991</v>
      </c>
      <c r="L51" s="53"/>
      <c r="M51" s="53"/>
      <c r="N51" s="55"/>
    </row>
    <row r="52" spans="1:14">
      <c r="A52" s="81"/>
      <c r="B52" s="82" t="s">
        <v>123</v>
      </c>
      <c r="C52" s="82" t="s">
        <v>31</v>
      </c>
      <c r="D52" s="82" t="s">
        <v>40</v>
      </c>
      <c r="E52" s="82" t="s">
        <v>120</v>
      </c>
      <c r="F52" s="82" t="s">
        <v>37</v>
      </c>
      <c r="G52" s="82">
        <v>61071200</v>
      </c>
      <c r="H52" s="83">
        <v>1008</v>
      </c>
      <c r="I52" s="84">
        <v>28</v>
      </c>
      <c r="J52" s="85">
        <v>5.14</v>
      </c>
      <c r="K52" s="86">
        <f t="shared" si="0"/>
        <v>5181.12</v>
      </c>
      <c r="L52" s="53"/>
      <c r="M52" s="53"/>
      <c r="N52" s="55"/>
    </row>
    <row r="53" spans="1:14">
      <c r="A53" s="81"/>
      <c r="B53" s="82" t="s">
        <v>123</v>
      </c>
      <c r="C53" s="82" t="s">
        <v>167</v>
      </c>
      <c r="D53" s="82" t="s">
        <v>208</v>
      </c>
      <c r="E53" s="82" t="s">
        <v>118</v>
      </c>
      <c r="F53" s="82" t="s">
        <v>37</v>
      </c>
      <c r="G53" s="82">
        <v>61071200</v>
      </c>
      <c r="H53" s="83">
        <v>1044</v>
      </c>
      <c r="I53" s="84">
        <v>29</v>
      </c>
      <c r="J53" s="85">
        <v>5.14</v>
      </c>
      <c r="K53" s="86">
        <f t="shared" si="0"/>
        <v>5366.16</v>
      </c>
      <c r="L53" s="53"/>
      <c r="M53" s="53"/>
      <c r="N53" s="55"/>
    </row>
    <row r="54" spans="1:14">
      <c r="A54" s="81"/>
      <c r="B54" s="82" t="s">
        <v>123</v>
      </c>
      <c r="C54" s="82" t="s">
        <v>168</v>
      </c>
      <c r="D54" s="82" t="s">
        <v>208</v>
      </c>
      <c r="E54" s="82" t="s">
        <v>119</v>
      </c>
      <c r="F54" s="82" t="s">
        <v>37</v>
      </c>
      <c r="G54" s="82">
        <v>61071200</v>
      </c>
      <c r="H54" s="83">
        <v>2520</v>
      </c>
      <c r="I54" s="84">
        <v>70</v>
      </c>
      <c r="J54" s="85">
        <v>5.14</v>
      </c>
      <c r="K54" s="86">
        <f t="shared" si="0"/>
        <v>12952.8</v>
      </c>
      <c r="L54" s="53"/>
      <c r="M54" s="53"/>
      <c r="N54" s="55"/>
    </row>
    <row r="55" spans="1:14">
      <c r="A55" s="81"/>
      <c r="B55" s="82" t="s">
        <v>123</v>
      </c>
      <c r="C55" s="82" t="s">
        <v>169</v>
      </c>
      <c r="D55" s="82" t="s">
        <v>208</v>
      </c>
      <c r="E55" s="82" t="s">
        <v>22</v>
      </c>
      <c r="F55" s="82" t="s">
        <v>37</v>
      </c>
      <c r="G55" s="82">
        <v>61071200</v>
      </c>
      <c r="H55" s="83">
        <v>2304</v>
      </c>
      <c r="I55" s="84">
        <v>64</v>
      </c>
      <c r="J55" s="85">
        <v>5.14</v>
      </c>
      <c r="K55" s="86">
        <f t="shared" si="0"/>
        <v>11842.56</v>
      </c>
      <c r="L55" s="53"/>
      <c r="M55" s="53"/>
      <c r="N55" s="55"/>
    </row>
    <row r="56" spans="1:14">
      <c r="A56" s="81"/>
      <c r="B56" s="82" t="s">
        <v>123</v>
      </c>
      <c r="C56" s="82" t="s">
        <v>170</v>
      </c>
      <c r="D56" s="82" t="s">
        <v>208</v>
      </c>
      <c r="E56" s="82" t="s">
        <v>120</v>
      </c>
      <c r="F56" s="82" t="s">
        <v>37</v>
      </c>
      <c r="G56" s="82">
        <v>61071200</v>
      </c>
      <c r="H56" s="83">
        <v>1224</v>
      </c>
      <c r="I56" s="84">
        <v>34</v>
      </c>
      <c r="J56" s="85">
        <v>5.14</v>
      </c>
      <c r="K56" s="86">
        <f t="shared" si="0"/>
        <v>6291.36</v>
      </c>
      <c r="L56" s="53"/>
      <c r="M56" s="53"/>
      <c r="N56" s="55"/>
    </row>
    <row r="57" spans="1:14">
      <c r="A57" s="81"/>
      <c r="B57" s="82" t="s">
        <v>123</v>
      </c>
      <c r="C57" s="82" t="s">
        <v>171</v>
      </c>
      <c r="D57" s="82" t="s">
        <v>208</v>
      </c>
      <c r="E57" s="82" t="s">
        <v>121</v>
      </c>
      <c r="F57" s="82" t="s">
        <v>37</v>
      </c>
      <c r="G57" s="82">
        <v>61071200</v>
      </c>
      <c r="H57" s="83">
        <v>355</v>
      </c>
      <c r="I57" s="84">
        <v>10</v>
      </c>
      <c r="J57" s="85">
        <v>5.49</v>
      </c>
      <c r="K57" s="86">
        <f t="shared" si="0"/>
        <v>1948.95</v>
      </c>
      <c r="L57" s="53"/>
      <c r="M57" s="53"/>
      <c r="N57" s="55"/>
    </row>
    <row r="58" spans="1:14">
      <c r="A58" s="81"/>
      <c r="B58" s="82" t="s">
        <v>123</v>
      </c>
      <c r="C58" s="82" t="s">
        <v>126</v>
      </c>
      <c r="D58" s="82" t="s">
        <v>39</v>
      </c>
      <c r="E58" s="82" t="s">
        <v>118</v>
      </c>
      <c r="F58" s="82" t="s">
        <v>37</v>
      </c>
      <c r="G58" s="82">
        <v>61071200</v>
      </c>
      <c r="H58" s="83">
        <v>2007</v>
      </c>
      <c r="I58" s="84">
        <v>56</v>
      </c>
      <c r="J58" s="85">
        <v>5.14</v>
      </c>
      <c r="K58" s="86">
        <f t="shared" si="0"/>
        <v>10315.98</v>
      </c>
      <c r="L58" s="53"/>
      <c r="M58" s="53"/>
      <c r="N58" s="55"/>
    </row>
    <row r="59" spans="1:14">
      <c r="A59" s="81"/>
      <c r="B59" s="82" t="s">
        <v>123</v>
      </c>
      <c r="C59" s="82" t="s">
        <v>127</v>
      </c>
      <c r="D59" s="82" t="s">
        <v>39</v>
      </c>
      <c r="E59" s="82" t="s">
        <v>119</v>
      </c>
      <c r="F59" s="82" t="s">
        <v>37</v>
      </c>
      <c r="G59" s="82">
        <v>61071200</v>
      </c>
      <c r="H59" s="83">
        <v>4256</v>
      </c>
      <c r="I59" s="84">
        <v>119</v>
      </c>
      <c r="J59" s="85">
        <v>5.14</v>
      </c>
      <c r="K59" s="86">
        <f t="shared" si="0"/>
        <v>21875.84</v>
      </c>
      <c r="L59" s="53"/>
      <c r="M59" s="53"/>
      <c r="N59" s="55"/>
    </row>
    <row r="60" spans="1:14">
      <c r="A60" s="81"/>
      <c r="B60" s="82" t="s">
        <v>123</v>
      </c>
      <c r="C60" s="82" t="s">
        <v>128</v>
      </c>
      <c r="D60" s="82" t="s">
        <v>39</v>
      </c>
      <c r="E60" s="82" t="s">
        <v>22</v>
      </c>
      <c r="F60" s="82" t="s">
        <v>37</v>
      </c>
      <c r="G60" s="82">
        <v>61071200</v>
      </c>
      <c r="H60" s="83">
        <v>4037</v>
      </c>
      <c r="I60" s="84">
        <v>113</v>
      </c>
      <c r="J60" s="85">
        <v>5.14</v>
      </c>
      <c r="K60" s="86">
        <f t="shared" si="0"/>
        <v>20750.18</v>
      </c>
      <c r="L60" s="53"/>
      <c r="M60" s="53"/>
      <c r="N60" s="55"/>
    </row>
    <row r="61" spans="1:14">
      <c r="A61" s="81"/>
      <c r="B61" s="82" t="s">
        <v>123</v>
      </c>
      <c r="C61" s="82" t="s">
        <v>129</v>
      </c>
      <c r="D61" s="82" t="s">
        <v>39</v>
      </c>
      <c r="E61" s="82" t="s">
        <v>120</v>
      </c>
      <c r="F61" s="82" t="s">
        <v>37</v>
      </c>
      <c r="G61" s="82">
        <v>61071200</v>
      </c>
      <c r="H61" s="83">
        <v>2103</v>
      </c>
      <c r="I61" s="84">
        <v>59</v>
      </c>
      <c r="J61" s="85">
        <v>5.14</v>
      </c>
      <c r="K61" s="86">
        <f t="shared" si="0"/>
        <v>10809.42</v>
      </c>
      <c r="L61" s="53"/>
      <c r="M61" s="53"/>
      <c r="N61" s="55"/>
    </row>
    <row r="62" spans="1:14">
      <c r="A62" s="81"/>
      <c r="B62" s="82" t="s">
        <v>123</v>
      </c>
      <c r="C62" s="82" t="s">
        <v>130</v>
      </c>
      <c r="D62" s="82" t="s">
        <v>39</v>
      </c>
      <c r="E62" s="82" t="s">
        <v>121</v>
      </c>
      <c r="F62" s="82" t="s">
        <v>37</v>
      </c>
      <c r="G62" s="82">
        <v>61071200</v>
      </c>
      <c r="H62" s="83">
        <v>360</v>
      </c>
      <c r="I62" s="84">
        <v>10</v>
      </c>
      <c r="J62" s="85">
        <v>5.49</v>
      </c>
      <c r="K62" s="86">
        <f t="shared" si="0"/>
        <v>1976.4</v>
      </c>
      <c r="L62" s="53"/>
      <c r="M62" s="53"/>
      <c r="N62" s="55"/>
    </row>
    <row r="63" spans="1:14">
      <c r="A63" s="81"/>
      <c r="B63" s="82" t="s">
        <v>123</v>
      </c>
      <c r="C63" s="82" t="s">
        <v>132</v>
      </c>
      <c r="D63" s="82" t="s">
        <v>209</v>
      </c>
      <c r="E63" s="82" t="s">
        <v>118</v>
      </c>
      <c r="F63" s="82" t="s">
        <v>37</v>
      </c>
      <c r="G63" s="82">
        <v>61071200</v>
      </c>
      <c r="H63" s="83">
        <v>1152</v>
      </c>
      <c r="I63" s="84">
        <v>32</v>
      </c>
      <c r="J63" s="85">
        <v>5.14</v>
      </c>
      <c r="K63" s="86">
        <f t="shared" si="0"/>
        <v>5921.28</v>
      </c>
      <c r="L63" s="53"/>
      <c r="M63" s="53"/>
      <c r="N63" s="55"/>
    </row>
    <row r="64" spans="1:14">
      <c r="A64" s="81"/>
      <c r="B64" s="82" t="s">
        <v>123</v>
      </c>
      <c r="C64" s="82" t="s">
        <v>133</v>
      </c>
      <c r="D64" s="82" t="s">
        <v>209</v>
      </c>
      <c r="E64" s="82" t="s">
        <v>119</v>
      </c>
      <c r="F64" s="82" t="s">
        <v>37</v>
      </c>
      <c r="G64" s="82">
        <v>61071200</v>
      </c>
      <c r="H64" s="83">
        <v>2484</v>
      </c>
      <c r="I64" s="84">
        <v>69</v>
      </c>
      <c r="J64" s="85">
        <v>5.14</v>
      </c>
      <c r="K64" s="86">
        <f t="shared" si="0"/>
        <v>12767.759999999998</v>
      </c>
      <c r="L64" s="53"/>
      <c r="M64" s="53"/>
      <c r="N64" s="55"/>
    </row>
    <row r="65" spans="1:14">
      <c r="A65" s="81"/>
      <c r="B65" s="82" t="s">
        <v>123</v>
      </c>
      <c r="C65" s="82" t="s">
        <v>134</v>
      </c>
      <c r="D65" s="82" t="s">
        <v>209</v>
      </c>
      <c r="E65" s="82" t="s">
        <v>22</v>
      </c>
      <c r="F65" s="82" t="s">
        <v>37</v>
      </c>
      <c r="G65" s="82">
        <v>61071200</v>
      </c>
      <c r="H65" s="83">
        <v>2340</v>
      </c>
      <c r="I65" s="84">
        <v>65</v>
      </c>
      <c r="J65" s="85">
        <v>5.14</v>
      </c>
      <c r="K65" s="86">
        <f t="shared" si="0"/>
        <v>12027.599999999999</v>
      </c>
      <c r="L65" s="53"/>
      <c r="M65" s="53"/>
      <c r="N65" s="55"/>
    </row>
    <row r="66" spans="1:14">
      <c r="A66" s="81"/>
      <c r="B66" s="82" t="s">
        <v>123</v>
      </c>
      <c r="C66" s="82" t="s">
        <v>135</v>
      </c>
      <c r="D66" s="82" t="s">
        <v>209</v>
      </c>
      <c r="E66" s="82" t="s">
        <v>120</v>
      </c>
      <c r="F66" s="82" t="s">
        <v>37</v>
      </c>
      <c r="G66" s="82">
        <v>61071200</v>
      </c>
      <c r="H66" s="83">
        <v>1008</v>
      </c>
      <c r="I66" s="84">
        <v>28</v>
      </c>
      <c r="J66" s="85">
        <v>5.14</v>
      </c>
      <c r="K66" s="86">
        <f t="shared" si="0"/>
        <v>5181.12</v>
      </c>
      <c r="L66" s="53"/>
      <c r="M66" s="53"/>
      <c r="N66" s="55"/>
    </row>
    <row r="67" spans="1:14">
      <c r="A67" s="81"/>
      <c r="B67" s="82" t="s">
        <v>123</v>
      </c>
      <c r="C67" s="82" t="s">
        <v>136</v>
      </c>
      <c r="D67" s="82" t="s">
        <v>209</v>
      </c>
      <c r="E67" s="82" t="s">
        <v>121</v>
      </c>
      <c r="F67" s="82" t="s">
        <v>37</v>
      </c>
      <c r="G67" s="82">
        <v>61071200</v>
      </c>
      <c r="H67" s="83">
        <v>360</v>
      </c>
      <c r="I67" s="84">
        <v>10</v>
      </c>
      <c r="J67" s="85">
        <v>5.49</v>
      </c>
      <c r="K67" s="86">
        <f t="shared" si="0"/>
        <v>1976.4</v>
      </c>
      <c r="L67" s="53"/>
      <c r="M67" s="53"/>
      <c r="N67" s="55"/>
    </row>
    <row r="68" spans="1:14">
      <c r="A68" s="81"/>
      <c r="B68" s="82" t="s">
        <v>139</v>
      </c>
      <c r="C68" s="82" t="s">
        <v>32</v>
      </c>
      <c r="D68" s="82" t="s">
        <v>39</v>
      </c>
      <c r="E68" s="82" t="s">
        <v>118</v>
      </c>
      <c r="F68" s="82" t="s">
        <v>38</v>
      </c>
      <c r="G68" s="82">
        <v>61071200</v>
      </c>
      <c r="H68" s="83">
        <v>720</v>
      </c>
      <c r="I68" s="84">
        <v>20</v>
      </c>
      <c r="J68" s="85">
        <v>4.92</v>
      </c>
      <c r="K68" s="86">
        <f t="shared" si="0"/>
        <v>3542.4</v>
      </c>
      <c r="L68" s="53"/>
      <c r="M68" s="53"/>
      <c r="N68" s="55"/>
    </row>
    <row r="69" spans="1:14">
      <c r="A69" s="81"/>
      <c r="B69" s="82" t="s">
        <v>139</v>
      </c>
      <c r="C69" s="82" t="s">
        <v>33</v>
      </c>
      <c r="D69" s="82" t="s">
        <v>39</v>
      </c>
      <c r="E69" s="82" t="s">
        <v>119</v>
      </c>
      <c r="F69" s="82" t="s">
        <v>38</v>
      </c>
      <c r="G69" s="82">
        <v>61071200</v>
      </c>
      <c r="H69" s="83">
        <v>2408</v>
      </c>
      <c r="I69" s="84">
        <v>67</v>
      </c>
      <c r="J69" s="85">
        <v>4.92</v>
      </c>
      <c r="K69" s="86">
        <f t="shared" si="0"/>
        <v>11847.36</v>
      </c>
      <c r="L69" s="53"/>
      <c r="M69" s="53"/>
      <c r="N69" s="55"/>
    </row>
    <row r="70" spans="1:14">
      <c r="A70" s="81"/>
      <c r="B70" s="82" t="s">
        <v>139</v>
      </c>
      <c r="C70" s="82" t="s">
        <v>34</v>
      </c>
      <c r="D70" s="82" t="s">
        <v>39</v>
      </c>
      <c r="E70" s="82" t="s">
        <v>22</v>
      </c>
      <c r="F70" s="82" t="s">
        <v>38</v>
      </c>
      <c r="G70" s="82">
        <v>61071200</v>
      </c>
      <c r="H70" s="83">
        <v>2268</v>
      </c>
      <c r="I70" s="84">
        <v>63</v>
      </c>
      <c r="J70" s="85">
        <v>4.92</v>
      </c>
      <c r="K70" s="86">
        <f t="shared" si="0"/>
        <v>11158.56</v>
      </c>
      <c r="L70" s="53"/>
      <c r="M70" s="53"/>
      <c r="N70" s="55"/>
    </row>
    <row r="71" spans="1:14">
      <c r="A71" s="81"/>
      <c r="B71" s="82" t="s">
        <v>139</v>
      </c>
      <c r="C71" s="82" t="s">
        <v>35</v>
      </c>
      <c r="D71" s="82" t="s">
        <v>39</v>
      </c>
      <c r="E71" s="82" t="s">
        <v>120</v>
      </c>
      <c r="F71" s="82" t="s">
        <v>38</v>
      </c>
      <c r="G71" s="82">
        <v>61071200</v>
      </c>
      <c r="H71" s="83">
        <v>720</v>
      </c>
      <c r="I71" s="84">
        <v>20</v>
      </c>
      <c r="J71" s="85">
        <v>4.92</v>
      </c>
      <c r="K71" s="86">
        <f t="shared" si="0"/>
        <v>3542.4</v>
      </c>
      <c r="L71" s="53"/>
      <c r="M71" s="53"/>
      <c r="N71" s="55"/>
    </row>
    <row r="72" spans="1:14">
      <c r="A72" s="81"/>
      <c r="B72" s="82" t="s">
        <v>139</v>
      </c>
      <c r="C72" s="82" t="s">
        <v>36</v>
      </c>
      <c r="D72" s="82" t="s">
        <v>39</v>
      </c>
      <c r="E72" s="82" t="s">
        <v>121</v>
      </c>
      <c r="F72" s="82" t="s">
        <v>38</v>
      </c>
      <c r="G72" s="82">
        <v>61071200</v>
      </c>
      <c r="H72" s="83">
        <v>360</v>
      </c>
      <c r="I72" s="84">
        <v>10</v>
      </c>
      <c r="J72" s="85">
        <v>5.22</v>
      </c>
      <c r="K72" s="86">
        <f t="shared" si="0"/>
        <v>1879.1999999999998</v>
      </c>
      <c r="L72" s="53"/>
      <c r="M72" s="53"/>
      <c r="N72" s="55"/>
    </row>
    <row r="73" spans="1:14">
      <c r="A73" s="81"/>
      <c r="B73" s="82"/>
      <c r="C73" s="82"/>
      <c r="D73" s="82"/>
      <c r="E73" s="82"/>
      <c r="F73" s="82" t="s">
        <v>173</v>
      </c>
      <c r="G73" s="82"/>
      <c r="H73" s="83"/>
      <c r="I73" s="84"/>
      <c r="J73" s="85"/>
      <c r="K73" s="86"/>
      <c r="L73" s="53"/>
      <c r="M73" s="53"/>
      <c r="N73" s="55"/>
    </row>
    <row r="74" spans="1:14" ht="15.75" thickBot="1">
      <c r="A74" s="171" t="s">
        <v>102</v>
      </c>
      <c r="B74" s="172"/>
      <c r="C74" s="87"/>
      <c r="D74" s="87"/>
      <c r="E74" s="87"/>
      <c r="F74" s="87"/>
      <c r="G74" s="87"/>
      <c r="H74" s="88">
        <f>SUM(H28:H73)</f>
        <v>80744</v>
      </c>
      <c r="I74" s="88">
        <f>SUM(I28:I73)</f>
        <v>2248</v>
      </c>
      <c r="J74" s="87"/>
      <c r="K74" s="89">
        <f>SUM(K28:K73)</f>
        <v>420733.34</v>
      </c>
      <c r="L74" s="90"/>
      <c r="M74" s="90"/>
      <c r="N74" s="91"/>
    </row>
    <row r="75" spans="1:14" ht="15.75" thickTop="1">
      <c r="A75" s="92"/>
      <c r="B75" s="93"/>
      <c r="C75" s="94"/>
      <c r="D75" s="95"/>
      <c r="E75" s="95"/>
      <c r="F75" s="95"/>
      <c r="G75" s="94"/>
      <c r="H75" s="95"/>
      <c r="I75" s="95"/>
      <c r="J75" s="94"/>
      <c r="K75" s="94"/>
      <c r="L75" s="53"/>
      <c r="M75" s="53"/>
      <c r="N75" s="55"/>
    </row>
    <row r="76" spans="1:14">
      <c r="A76" s="96"/>
      <c r="B76" s="97" t="s">
        <v>103</v>
      </c>
      <c r="C76" s="98"/>
      <c r="D76" s="98"/>
      <c r="E76" s="98"/>
      <c r="F76" s="98"/>
      <c r="G76" s="98"/>
      <c r="H76" s="95" t="s">
        <v>104</v>
      </c>
      <c r="I76" s="98" t="s">
        <v>54</v>
      </c>
      <c r="J76" s="95" t="s">
        <v>105</v>
      </c>
      <c r="K76" s="95" t="s">
        <v>106</v>
      </c>
      <c r="L76" s="53"/>
      <c r="M76" s="53"/>
      <c r="N76" s="55"/>
    </row>
    <row r="77" spans="1:14">
      <c r="A77" s="92"/>
      <c r="B77" s="99"/>
      <c r="C77" s="99"/>
      <c r="D77" s="99"/>
      <c r="E77" s="99"/>
      <c r="F77" s="99"/>
      <c r="G77" s="99"/>
      <c r="H77" s="86"/>
      <c r="I77" s="84"/>
      <c r="J77" s="100" t="s">
        <v>107</v>
      </c>
      <c r="K77" s="101">
        <f>H77*I77</f>
        <v>0</v>
      </c>
      <c r="L77" s="53"/>
      <c r="M77" s="53"/>
      <c r="N77" s="55"/>
    </row>
    <row r="78" spans="1:14">
      <c r="A78" s="92"/>
      <c r="B78" s="99"/>
      <c r="C78" s="99"/>
      <c r="D78" s="99"/>
      <c r="E78" s="99"/>
      <c r="F78" s="99"/>
      <c r="G78" s="99"/>
      <c r="H78" s="86"/>
      <c r="I78" s="84"/>
      <c r="J78" s="102" t="s">
        <v>107</v>
      </c>
      <c r="K78" s="101">
        <f>H78*I78</f>
        <v>0</v>
      </c>
      <c r="L78" s="53"/>
      <c r="M78" s="53"/>
      <c r="N78" s="55"/>
    </row>
    <row r="79" spans="1:14" ht="15.75" thickBot="1">
      <c r="A79" s="92"/>
      <c r="B79" s="103"/>
      <c r="C79" s="103"/>
      <c r="D79" s="103"/>
      <c r="E79" s="103"/>
      <c r="F79" s="103"/>
      <c r="G79" s="103"/>
      <c r="H79" s="104"/>
      <c r="I79" s="105"/>
      <c r="J79" s="106"/>
      <c r="K79" s="107"/>
      <c r="L79" s="53"/>
      <c r="M79" s="53"/>
      <c r="N79" s="55"/>
    </row>
    <row r="80" spans="1:14" ht="15.75" thickBot="1">
      <c r="A80" s="108" t="s">
        <v>108</v>
      </c>
      <c r="B80" s="109"/>
      <c r="C80" s="109"/>
      <c r="D80" s="109"/>
      <c r="E80" s="109"/>
      <c r="F80" s="109"/>
      <c r="G80" s="109"/>
      <c r="H80" s="109"/>
      <c r="I80" s="109"/>
      <c r="J80" s="109"/>
      <c r="K80" s="110">
        <f>K74+K77+K78</f>
        <v>420733.34</v>
      </c>
      <c r="L80" s="111"/>
      <c r="M80" s="111"/>
      <c r="N80" s="112"/>
    </row>
    <row r="81" spans="1:14">
      <c r="A81" s="77"/>
      <c r="B81" s="53"/>
      <c r="C81" s="53"/>
      <c r="D81" s="61"/>
      <c r="E81" s="61"/>
      <c r="F81" s="61"/>
      <c r="G81" s="53"/>
      <c r="H81" s="61"/>
      <c r="I81" s="61"/>
      <c r="J81" s="53"/>
      <c r="K81" s="53"/>
      <c r="L81" s="53"/>
      <c r="M81" s="53"/>
      <c r="N81" s="55"/>
    </row>
    <row r="82" spans="1:14">
      <c r="A82" s="161" t="s">
        <v>109</v>
      </c>
      <c r="B82" s="162"/>
      <c r="C82" s="162"/>
      <c r="D82" s="162"/>
      <c r="E82" s="162"/>
      <c r="F82" s="162"/>
      <c r="G82" s="162"/>
      <c r="H82" s="162"/>
      <c r="I82" s="162"/>
      <c r="J82" s="162"/>
      <c r="K82" s="162"/>
      <c r="L82" s="162"/>
      <c r="M82" s="162"/>
      <c r="N82" s="163"/>
    </row>
    <row r="83" spans="1:14">
      <c r="A83" s="164" t="s">
        <v>110</v>
      </c>
      <c r="B83" s="165"/>
      <c r="C83" s="165"/>
      <c r="D83" s="165"/>
      <c r="E83" s="165"/>
      <c r="F83" s="165"/>
      <c r="G83" s="165"/>
      <c r="H83" s="165"/>
      <c r="I83" s="165"/>
      <c r="J83" s="165"/>
      <c r="K83" s="165"/>
      <c r="L83" s="165"/>
      <c r="M83" s="165"/>
      <c r="N83" s="166"/>
    </row>
    <row r="84" spans="1:14">
      <c r="A84" s="77"/>
      <c r="B84" s="53"/>
      <c r="C84" s="53"/>
      <c r="D84" s="61"/>
      <c r="E84" s="61"/>
      <c r="F84" s="61"/>
      <c r="G84" s="53"/>
      <c r="H84" s="61"/>
      <c r="I84" s="61"/>
      <c r="J84" s="53"/>
      <c r="K84" s="53"/>
      <c r="L84" s="53"/>
      <c r="M84" s="53"/>
      <c r="N84" s="55"/>
    </row>
    <row r="85" spans="1:14">
      <c r="A85" s="77"/>
      <c r="B85" s="53"/>
      <c r="C85" s="53"/>
      <c r="D85" s="61"/>
      <c r="E85" s="61"/>
      <c r="F85" s="61"/>
      <c r="G85" s="53"/>
      <c r="H85" s="61"/>
      <c r="I85" s="61"/>
      <c r="J85" s="53"/>
      <c r="K85" s="53"/>
      <c r="L85" s="53"/>
      <c r="M85" s="53"/>
      <c r="N85" s="55"/>
    </row>
    <row r="86" spans="1:14">
      <c r="A86" s="77"/>
      <c r="B86" s="53"/>
      <c r="C86" s="53"/>
      <c r="D86" s="61"/>
      <c r="E86" s="61"/>
      <c r="F86" s="61"/>
      <c r="G86" s="53"/>
      <c r="H86" s="61"/>
      <c r="I86" s="61"/>
      <c r="J86" s="53"/>
      <c r="K86" s="53"/>
      <c r="L86" s="53"/>
      <c r="M86" s="53"/>
      <c r="N86" s="55"/>
    </row>
    <row r="87" spans="1:14">
      <c r="A87" s="77"/>
      <c r="B87" s="53"/>
      <c r="C87" s="53"/>
      <c r="D87" s="61"/>
      <c r="E87" s="61"/>
      <c r="F87" s="61"/>
      <c r="G87" s="53"/>
      <c r="H87" s="61"/>
      <c r="I87" s="61"/>
      <c r="J87" s="53"/>
      <c r="K87" s="53"/>
      <c r="L87" s="53"/>
      <c r="M87" s="53"/>
      <c r="N87" s="55"/>
    </row>
    <row r="88" spans="1:14">
      <c r="A88" s="77"/>
      <c r="B88" s="53"/>
      <c r="C88" s="53"/>
      <c r="D88" s="61"/>
      <c r="E88" s="61"/>
      <c r="F88" s="61"/>
      <c r="G88" s="53"/>
      <c r="H88" s="61"/>
      <c r="I88" s="61"/>
      <c r="J88" s="53"/>
      <c r="K88" s="53"/>
      <c r="L88" s="53"/>
      <c r="M88" s="53"/>
      <c r="N88" s="55"/>
    </row>
    <row r="89" spans="1:14">
      <c r="A89" s="77"/>
      <c r="B89" s="53"/>
      <c r="C89" s="53"/>
      <c r="D89" s="61"/>
      <c r="E89" s="61"/>
      <c r="F89" s="61"/>
      <c r="G89" s="53"/>
      <c r="H89" s="61"/>
      <c r="I89" s="61"/>
      <c r="J89" s="53"/>
      <c r="K89" s="53"/>
      <c r="L89" s="167"/>
      <c r="M89" s="167"/>
      <c r="N89" s="168"/>
    </row>
    <row r="90" spans="1:14">
      <c r="A90" s="77"/>
      <c r="B90" s="53"/>
      <c r="C90" s="53"/>
      <c r="D90" s="61"/>
      <c r="E90" s="61"/>
      <c r="F90" s="61"/>
      <c r="G90" s="53"/>
      <c r="H90" s="61"/>
      <c r="I90" s="61"/>
      <c r="J90" s="53"/>
      <c r="K90" s="53"/>
      <c r="L90" s="53"/>
      <c r="M90" s="53"/>
      <c r="N90" s="113" t="s">
        <v>111</v>
      </c>
    </row>
    <row r="91" spans="1:14">
      <c r="A91" s="77"/>
      <c r="B91" s="53"/>
      <c r="C91" s="53"/>
      <c r="D91" s="61"/>
      <c r="E91" s="61"/>
      <c r="F91" s="61"/>
      <c r="G91" s="53"/>
      <c r="H91" s="61"/>
      <c r="I91" s="61"/>
      <c r="J91" s="53"/>
      <c r="K91" s="53"/>
      <c r="L91" s="53"/>
      <c r="M91" s="53"/>
      <c r="N91" s="55"/>
    </row>
    <row r="92" spans="1:14">
      <c r="A92" s="77"/>
      <c r="B92" s="53"/>
      <c r="C92" s="53"/>
      <c r="D92" s="61"/>
      <c r="E92" s="61"/>
      <c r="F92" s="61"/>
      <c r="G92" s="53"/>
      <c r="H92" s="61"/>
      <c r="I92" s="61"/>
      <c r="J92" s="53"/>
      <c r="K92" s="53"/>
      <c r="L92" s="167"/>
      <c r="M92" s="167"/>
      <c r="N92" s="168"/>
    </row>
    <row r="93" spans="1:14">
      <c r="A93" s="77"/>
      <c r="B93" s="53"/>
      <c r="C93" s="53"/>
      <c r="D93" s="61"/>
      <c r="E93" s="61"/>
      <c r="F93" s="61"/>
      <c r="G93" s="53"/>
      <c r="H93" s="61"/>
      <c r="I93" s="61"/>
      <c r="J93" s="53"/>
      <c r="K93" s="53"/>
      <c r="L93" s="53"/>
      <c r="M93" s="53"/>
      <c r="N93" s="113" t="s">
        <v>112</v>
      </c>
    </row>
    <row r="94" spans="1:14">
      <c r="A94" s="77"/>
      <c r="B94" s="53"/>
      <c r="C94" s="53"/>
      <c r="D94" s="61"/>
      <c r="E94" s="61"/>
      <c r="F94" s="61"/>
      <c r="G94" s="53"/>
      <c r="H94" s="61"/>
      <c r="I94" s="61"/>
      <c r="J94" s="53"/>
      <c r="K94" s="53"/>
      <c r="L94" s="53"/>
      <c r="M94" s="53"/>
      <c r="N94" s="55"/>
    </row>
    <row r="95" spans="1:14">
      <c r="A95" s="77"/>
      <c r="B95" s="53"/>
      <c r="C95" s="53"/>
      <c r="D95" s="61"/>
      <c r="E95" s="61"/>
      <c r="F95" s="61"/>
      <c r="G95" s="53"/>
      <c r="H95" s="61"/>
      <c r="I95" s="61"/>
      <c r="J95" s="53"/>
      <c r="K95" s="53"/>
      <c r="L95" s="53"/>
      <c r="M95" s="53"/>
      <c r="N95" s="55"/>
    </row>
    <row r="96" spans="1:14" ht="15.75" thickBot="1">
      <c r="A96" s="114"/>
      <c r="B96" s="115"/>
      <c r="C96" s="115"/>
      <c r="D96" s="116"/>
      <c r="E96" s="117" t="s">
        <v>113</v>
      </c>
      <c r="F96" s="117"/>
      <c r="G96" s="115"/>
      <c r="H96" s="116"/>
      <c r="I96" s="116"/>
      <c r="J96" s="115"/>
      <c r="K96" s="115"/>
      <c r="L96" s="115"/>
      <c r="M96" s="115"/>
      <c r="N96" s="118"/>
    </row>
  </sheetData>
  <mergeCells count="17">
    <mergeCell ref="A82:N82"/>
    <mergeCell ref="A83:N83"/>
    <mergeCell ref="L89:N89"/>
    <mergeCell ref="L92:N92"/>
    <mergeCell ref="A15:G15"/>
    <mergeCell ref="H15:N15"/>
    <mergeCell ref="A16:G21"/>
    <mergeCell ref="A23:N23"/>
    <mergeCell ref="A26:K27"/>
    <mergeCell ref="A74:B74"/>
    <mergeCell ref="F1:J2"/>
    <mergeCell ref="A9:G9"/>
    <mergeCell ref="H9:N9"/>
    <mergeCell ref="A10:G13"/>
    <mergeCell ref="H12:K13"/>
    <mergeCell ref="A14:G14"/>
    <mergeCell ref="H14:N1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DB</vt:lpstr>
      <vt:lpstr>TEMPLATE</vt:lpstr>
      <vt:lpstr>HOME</vt:lpstr>
      <vt:lpstr>PACKING LIST</vt:lpstr>
      <vt:lpstr>LOAD</vt:lpstr>
      <vt:lpstr>INVOICE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irna</cp:lastModifiedBy>
  <dcterms:created xsi:type="dcterms:W3CDTF">2024-06-18T07:33:50Z</dcterms:created>
  <dcterms:modified xsi:type="dcterms:W3CDTF">2024-06-24T00:44:44Z</dcterms:modified>
</cp:coreProperties>
</file>