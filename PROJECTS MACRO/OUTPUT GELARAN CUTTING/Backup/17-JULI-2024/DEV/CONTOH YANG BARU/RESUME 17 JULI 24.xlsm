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Produksi\OUTPUT GELARAN CUTTING\Backup\"/>
    </mc:Choice>
  </mc:AlternateContent>
  <xr:revisionPtr revIDLastSave="0" documentId="13_ncr:1_{AADE9D94-4A05-44CF-ADEE-A1CA5766FA68}" xr6:coauthVersionLast="47" xr6:coauthVersionMax="47" xr10:uidLastSave="{00000000-0000-0000-0000-000000000000}"/>
  <bookViews>
    <workbookView xWindow="-110" yWindow="-110" windowWidth="19420" windowHeight="10300" activeTab="2" xr2:uid="{C38BC23B-03ED-48B4-AB65-46AE9451C958}"/>
  </bookViews>
  <sheets>
    <sheet name="HOME" sheetId="1" r:id="rId1"/>
    <sheet name="GELARAN" sheetId="841" r:id="rId2"/>
    <sheet name="RESUME&quot;" sheetId="847" r:id="rId3"/>
    <sheet name="RESUME" sheetId="84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847" l="1"/>
  <c r="L13" i="847"/>
  <c r="K13" i="847"/>
  <c r="J13" i="847"/>
  <c r="I13" i="847"/>
  <c r="H13" i="847"/>
  <c r="G13" i="847"/>
  <c r="F13" i="847"/>
  <c r="E13" i="847"/>
  <c r="D13" i="847"/>
  <c r="R12" i="847"/>
  <c r="Q12" i="847"/>
  <c r="P12" i="847"/>
  <c r="O12" i="847"/>
  <c r="N12" i="847"/>
  <c r="R11" i="847"/>
  <c r="Q11" i="847"/>
  <c r="P11" i="847"/>
  <c r="O11" i="847"/>
  <c r="N11" i="847"/>
  <c r="M6" i="847"/>
  <c r="L6" i="847"/>
  <c r="K6" i="847"/>
  <c r="J6" i="847"/>
  <c r="I6" i="847"/>
  <c r="H6" i="847"/>
  <c r="G6" i="847"/>
  <c r="F6" i="847"/>
  <c r="E6" i="847"/>
  <c r="D6" i="847"/>
  <c r="R5" i="847"/>
  <c r="Q5" i="847"/>
  <c r="P5" i="847"/>
  <c r="O5" i="847"/>
  <c r="N5" i="847"/>
  <c r="R10" i="847"/>
  <c r="Q10" i="847"/>
  <c r="Q13" i="847" s="1"/>
  <c r="P10" i="847"/>
  <c r="P13" i="847" s="1"/>
  <c r="O10" i="847"/>
  <c r="O13" i="847" s="1"/>
  <c r="N10" i="847"/>
  <c r="N13" i="847" s="1"/>
  <c r="R4" i="847"/>
  <c r="Q4" i="847"/>
  <c r="P4" i="847"/>
  <c r="O4" i="847"/>
  <c r="N4" i="847"/>
  <c r="R3" i="847"/>
  <c r="Q3" i="847"/>
  <c r="P3" i="847"/>
  <c r="O3" i="847"/>
  <c r="N3" i="847"/>
  <c r="I9" i="841"/>
  <c r="J9" i="841"/>
  <c r="K9" i="841"/>
  <c r="L9" i="841"/>
  <c r="M9" i="841"/>
  <c r="I18" i="841"/>
  <c r="J18" i="841"/>
  <c r="K18" i="841"/>
  <c r="L18" i="841"/>
  <c r="M18" i="841"/>
  <c r="I29" i="841"/>
  <c r="J29" i="841"/>
  <c r="K29" i="841"/>
  <c r="L29" i="841"/>
  <c r="M29" i="841"/>
  <c r="I41" i="841"/>
  <c r="J41" i="841"/>
  <c r="K41" i="841"/>
  <c r="L41" i="841"/>
  <c r="M41" i="841"/>
  <c r="I53" i="841"/>
  <c r="J53" i="841"/>
  <c r="K53" i="841"/>
  <c r="L53" i="841"/>
  <c r="M53" i="841"/>
  <c r="I63" i="841"/>
  <c r="J63" i="841"/>
  <c r="K63" i="841"/>
  <c r="L63" i="841"/>
  <c r="M63" i="841"/>
  <c r="R13" i="847" l="1"/>
  <c r="O6" i="847"/>
  <c r="P6" i="847"/>
  <c r="Q6" i="847"/>
  <c r="R6" i="847"/>
  <c r="N6" i="847"/>
</calcChain>
</file>

<file path=xl/sharedStrings.xml><?xml version="1.0" encoding="utf-8"?>
<sst xmlns="http://schemas.openxmlformats.org/spreadsheetml/2006/main" count="222" uniqueCount="83">
  <si>
    <t>PATH FILE</t>
  </si>
  <si>
    <t>NAMA FILE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</si>
  <si>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</si>
  <si>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</si>
  <si>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</si>
  <si>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</si>
  <si>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</si>
  <si>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</si>
  <si>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</si>
  <si>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</si>
  <si>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</si>
  <si>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</si>
  <si>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</si>
  <si>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</si>
  <si>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</si>
  <si>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</si>
  <si>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</si>
  <si>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</si>
  <si>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</si>
  <si>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</si>
  <si>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</si>
  <si>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</si>
  <si>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</si>
  <si>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</si>
  <si>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</si>
  <si>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</si>
  <si>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</si>
  <si>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</si>
  <si>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Resume Output Gelaran Cutting</t>
  </si>
  <si>
    <t>QTY LEMBAR RASIO</t>
  </si>
  <si>
    <t>%actual</t>
  </si>
  <si>
    <t>QTY ORDER</t>
  </si>
  <si>
    <t>QTY OVER</t>
  </si>
  <si>
    <t>QTY GELAR</t>
  </si>
  <si>
    <t>BLC</t>
  </si>
  <si>
    <t>PO-0000247</t>
  </si>
  <si>
    <t>2024-07-19</t>
  </si>
  <si>
    <t>ADIDAS BRF, 5158002</t>
  </si>
  <si>
    <t>SCARLET</t>
  </si>
  <si>
    <t>0,1,0,0</t>
  </si>
  <si>
    <t>1,9,6,0</t>
  </si>
  <si>
    <t>1,2,2,1</t>
  </si>
  <si>
    <t>0,1,1,0</t>
  </si>
  <si>
    <t>1,0,0,1</t>
  </si>
  <si>
    <t>2024-07-16 15:54:35</t>
  </si>
  <si>
    <t>2024-07-16 15:54:52</t>
  </si>
  <si>
    <t>trial cutting</t>
  </si>
  <si>
    <t>C:\Users\ASUS Vivobook\Downloads</t>
  </si>
  <si>
    <t>ADIDAS BRF, 5158599</t>
  </si>
  <si>
    <t>BLUE</t>
  </si>
  <si>
    <t>01</t>
  </si>
  <si>
    <t>2024-07-15 11:03:23</t>
  </si>
  <si>
    <t>2024-07-04 18:56:19</t>
  </si>
  <si>
    <t>4,8,7,4</t>
  </si>
  <si>
    <t>2024-07-04 21:13:48</t>
  </si>
  <si>
    <t>2024-07-10 13:17:55</t>
  </si>
  <si>
    <t>2024-07-15 11:03:41</t>
  </si>
  <si>
    <t>2024-07-04 17:04:40</t>
  </si>
  <si>
    <t>2024-07-04 14:25:22</t>
  </si>
  <si>
    <t>2024-07-10 13:18:11</t>
  </si>
  <si>
    <t>NAVY</t>
  </si>
  <si>
    <t>2024-07-15 11:03:58</t>
  </si>
  <si>
    <t>2024-07-04 12:59:07</t>
  </si>
  <si>
    <t>2024-07-04 13:10:25</t>
  </si>
  <si>
    <t>2024-07-09 11:03:04</t>
  </si>
  <si>
    <t>2024-07-10 19:26:20</t>
  </si>
  <si>
    <t>2024-07-10 19:29:39</t>
  </si>
  <si>
    <t>2024-07-15 16:22:36</t>
  </si>
  <si>
    <t>2024-07-12 08:57:16</t>
  </si>
  <si>
    <t>3,6,6,3</t>
  </si>
  <si>
    <t>2024-07-12 12:35:44</t>
  </si>
  <si>
    <t>2024-07-12 12:36:34</t>
  </si>
  <si>
    <t>2024-07-15 17:57:57</t>
  </si>
  <si>
    <t>2024-07-15 16:22:52</t>
  </si>
  <si>
    <t>2024-07-11 19:29:46</t>
  </si>
  <si>
    <t>2024-07-11 20:26:31</t>
  </si>
  <si>
    <t>2024-07-12 08:29:04</t>
  </si>
  <si>
    <t>2024-07-12 19:35:39</t>
  </si>
  <si>
    <t>2024-07-15 07:54:11</t>
  </si>
  <si>
    <t>2024-07-15 16:23:08</t>
  </si>
  <si>
    <t>2024-07-12 16:31:38</t>
  </si>
  <si>
    <t>2024-07-12 17:57:03</t>
  </si>
  <si>
    <t>2024-07-15 17:50:17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</si>
</sst>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5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 style="thin">
        <color rgb="FF346265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346265"/>
      </top>
      <bottom style="thin">
        <color rgb="FF346265"/>
      </bottom>
      <diagonal/>
    </border>
    <border>
      <left/>
      <right/>
      <top/>
      <bottom style="thin">
        <color rgb="FF25433E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3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276225</xdr:colOff>
      <xdr:row>7</xdr:row>
      <xdr:rowOff>114299</xdr:rowOff>
    </xdr:from>
    <xdr:to>
      <xdr:col>1</xdr:col>
      <xdr:colOff>666750</xdr:colOff>
      <xdr:row>11</xdr:row>
      <xdr:rowOff>47624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76225" y="1403349"/>
          <a:ext cx="1317625" cy="68262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2AF8D5"/>
  </sheetPr>
  <dimension ref="A2:G10"/>
  <sheetViews>
    <sheetView showGridLines="0" workbookViewId="0"/>
  </sheetViews>
  <sheetFormatPr defaultRowHeight="14.5" x14ac:dyDescent="0.35"/>
  <cols>
    <col min="1" max="1" width="13.26953125" customWidth="1"/>
    <col min="2" max="2" width="16.54296875" customWidth="1"/>
    <col min="3" max="3" width="3.7265625" customWidth="1"/>
    <col min="4" max="4" width="68" bestFit="1" customWidth="1"/>
    <col min="5" max="5" width="29.7265625" bestFit="1" customWidth="1"/>
    <col min="6" max="6" width="5" bestFit="1" customWidth="1"/>
    <col min="7" max="7" width="3.26953125" customWidth="1"/>
  </cols>
  <sheetData>
    <row r="2" spans="1:7" x14ac:dyDescent="0.35">
      <c r="A2" s="5" t="s">
        <v>27</v>
      </c>
    </row>
    <row r="5" spans="1:7" x14ac:dyDescent="0.35">
      <c r="D5" s="1" t="s">
        <v>0</v>
      </c>
      <c r="E5" s="1" t="s">
        <v>1</v>
      </c>
      <c r="F5" s="1" t="s">
        <v>26</v>
      </c>
    </row>
    <row r="6" spans="1:7" x14ac:dyDescent="0.35">
      <c r="D6" s="2" t="s">
        <v>47</v>
      </c>
      <c r="E6" s="3" t="s">
        <v>46</v>
      </c>
      <c r="F6" s="4" t="s">
        <v>2</v>
      </c>
    </row>
    <row r="7" spans="1:7" x14ac:dyDescent="0.35">
      <c r="D7" s="2" t="s">
        <v>47</v>
      </c>
      <c r="E7" s="3" t="s">
        <v>28</v>
      </c>
      <c r="F7" s="4" t="s">
        <v>2</v>
      </c>
    </row>
    <row r="9" spans="1:7" ht="15" thickBot="1" x14ac:dyDescent="0.4">
      <c r="C9" s="6"/>
      <c r="D9" s="6"/>
      <c r="E9" s="6"/>
      <c r="F9" s="6"/>
      <c r="G9" s="6"/>
    </row>
    <row r="10" spans="1:7" ht="15" thickTop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43F28-AA29-4EB7-88FC-838562057455}">
  <sheetPr>
    <tabColor rgb="FFB9EA2A"/>
  </sheetPr>
  <dimension ref="A1:O65"/>
  <sheetViews>
    <sheetView topLeftCell="A49" zoomScale="90" zoomScaleNormal="90" workbookViewId="0">
      <selection activeCell="I62" sqref="I62:M62"/>
    </sheetView>
  </sheetViews>
  <sheetFormatPr defaultRowHeight="14.5" x14ac:dyDescent="0.35"/>
  <cols>
    <col min="1" max="1" width="9.36328125" style="7" customWidth="1"/>
    <col min="2" max="2" width="8.81640625" style="7" customWidth="1"/>
    <col min="3" max="3" width="21.81640625" style="7" customWidth="1"/>
    <col min="4" max="4" width="9.453125" style="7" customWidth="1"/>
    <col min="5" max="5" width="22.453125" style="7" customWidth="1"/>
    <col min="6" max="6" width="13.6328125" style="7" customWidth="1"/>
    <col min="7" max="7" width="10.6328125" style="7" customWidth="1"/>
    <col min="8" max="8" width="11.26953125" style="7" customWidth="1"/>
    <col min="9" max="9" width="8.26953125" style="7" customWidth="1"/>
    <col min="10" max="11" width="9.36328125" style="7" customWidth="1"/>
    <col min="12" max="12" width="8.26953125" style="7" customWidth="1"/>
    <col min="13" max="13" width="9.36328125" style="7" customWidth="1"/>
    <col min="14" max="14" width="17.453125" style="7" customWidth="1"/>
    <col min="15" max="15" width="23.36328125" style="7" customWidth="1"/>
    <col min="16" max="16384" width="8.7265625" style="7"/>
  </cols>
  <sheetData>
    <row r="1" spans="1:15" ht="16" customHeight="1" x14ac:dyDescent="0.35">
      <c r="A1" s="9" t="s">
        <v>18</v>
      </c>
      <c r="B1" s="9" t="s">
        <v>8</v>
      </c>
      <c r="C1" s="9" t="s">
        <v>19</v>
      </c>
      <c r="D1" s="9" t="s">
        <v>20</v>
      </c>
      <c r="E1" s="9" t="s">
        <v>3</v>
      </c>
      <c r="F1" s="9" t="s">
        <v>4</v>
      </c>
      <c r="G1" s="9" t="s">
        <v>7</v>
      </c>
      <c r="H1" s="9" t="s">
        <v>9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21</v>
      </c>
      <c r="N1" s="9" t="s">
        <v>11</v>
      </c>
      <c r="O1" s="16" t="s">
        <v>29</v>
      </c>
    </row>
    <row r="2" spans="1:15" x14ac:dyDescent="0.35">
      <c r="A2" s="10">
        <v>182979</v>
      </c>
      <c r="B2" s="10"/>
      <c r="C2" s="10"/>
      <c r="D2" s="10"/>
      <c r="E2" s="10" t="s">
        <v>48</v>
      </c>
      <c r="F2" s="10" t="s">
        <v>35</v>
      </c>
      <c r="G2" s="10" t="s">
        <v>49</v>
      </c>
      <c r="H2" s="10" t="s">
        <v>16</v>
      </c>
      <c r="I2" s="10">
        <v>720</v>
      </c>
      <c r="J2" s="10">
        <v>1440</v>
      </c>
      <c r="K2" s="10">
        <v>1260</v>
      </c>
      <c r="L2" s="10">
        <v>720</v>
      </c>
      <c r="M2" s="10">
        <v>4140</v>
      </c>
      <c r="N2" s="10" t="s">
        <v>22</v>
      </c>
      <c r="O2" s="17"/>
    </row>
    <row r="3" spans="1:15" x14ac:dyDescent="0.35">
      <c r="A3" s="11"/>
      <c r="B3" s="11"/>
      <c r="C3" s="11"/>
      <c r="D3" s="11"/>
      <c r="E3" s="11"/>
      <c r="F3" s="11"/>
      <c r="G3" s="11"/>
      <c r="H3" s="11" t="s">
        <v>6</v>
      </c>
      <c r="I3" s="11">
        <v>727.2</v>
      </c>
      <c r="J3" s="11">
        <v>1454.4</v>
      </c>
      <c r="K3" s="11">
        <v>1272.5999999999999</v>
      </c>
      <c r="L3" s="11">
        <v>727.2</v>
      </c>
      <c r="M3" s="11">
        <v>4181.3999999999996</v>
      </c>
      <c r="N3" s="11"/>
      <c r="O3" s="18"/>
    </row>
    <row r="4" spans="1:15" x14ac:dyDescent="0.35">
      <c r="A4" s="10"/>
      <c r="B4" s="10" t="s">
        <v>50</v>
      </c>
      <c r="C4" s="10" t="s">
        <v>51</v>
      </c>
      <c r="D4" s="10" t="s">
        <v>39</v>
      </c>
      <c r="E4" s="10"/>
      <c r="F4" s="10"/>
      <c r="G4" s="10"/>
      <c r="H4" s="10"/>
      <c r="I4" s="10">
        <v>0</v>
      </c>
      <c r="J4" s="10">
        <v>3</v>
      </c>
      <c r="K4" s="10">
        <v>0</v>
      </c>
      <c r="L4" s="10">
        <v>0</v>
      </c>
      <c r="M4" s="10">
        <v>3</v>
      </c>
      <c r="N4" s="10"/>
      <c r="O4" s="17">
        <v>3</v>
      </c>
    </row>
    <row r="5" spans="1:15" x14ac:dyDescent="0.35">
      <c r="A5" s="11"/>
      <c r="B5" s="11">
        <v>1</v>
      </c>
      <c r="C5" s="11" t="s">
        <v>52</v>
      </c>
      <c r="D5" s="11" t="s">
        <v>53</v>
      </c>
      <c r="E5" s="11"/>
      <c r="F5" s="11"/>
      <c r="G5" s="11"/>
      <c r="H5" s="11"/>
      <c r="I5" s="11">
        <v>399</v>
      </c>
      <c r="J5" s="11">
        <v>798</v>
      </c>
      <c r="K5" s="11">
        <v>699</v>
      </c>
      <c r="L5" s="11">
        <v>400</v>
      </c>
      <c r="M5" s="11">
        <v>2296</v>
      </c>
      <c r="N5" s="11"/>
      <c r="O5" s="18">
        <v>100</v>
      </c>
    </row>
    <row r="6" spans="1:15" x14ac:dyDescent="0.35">
      <c r="A6" s="10"/>
      <c r="B6" s="10">
        <v>2</v>
      </c>
      <c r="C6" s="10" t="s">
        <v>54</v>
      </c>
      <c r="D6" s="10" t="s">
        <v>53</v>
      </c>
      <c r="E6" s="10"/>
      <c r="F6" s="10"/>
      <c r="G6" s="10"/>
      <c r="H6" s="10"/>
      <c r="I6" s="10">
        <v>300</v>
      </c>
      <c r="J6" s="10">
        <v>597</v>
      </c>
      <c r="K6" s="10">
        <v>525</v>
      </c>
      <c r="L6" s="10">
        <v>299</v>
      </c>
      <c r="M6" s="10">
        <v>1721</v>
      </c>
      <c r="N6" s="10"/>
      <c r="O6" s="17">
        <v>75</v>
      </c>
    </row>
    <row r="7" spans="1:15" x14ac:dyDescent="0.35">
      <c r="A7" s="11"/>
      <c r="B7" s="11">
        <v>3</v>
      </c>
      <c r="C7" s="11" t="s">
        <v>55</v>
      </c>
      <c r="D7" s="11" t="s">
        <v>41</v>
      </c>
      <c r="E7" s="11"/>
      <c r="F7" s="11"/>
      <c r="G7" s="11"/>
      <c r="H7" s="11"/>
      <c r="I7" s="11">
        <v>27</v>
      </c>
      <c r="J7" s="11">
        <v>54</v>
      </c>
      <c r="K7" s="11">
        <v>54</v>
      </c>
      <c r="L7" s="11">
        <v>27</v>
      </c>
      <c r="M7" s="11">
        <v>162</v>
      </c>
      <c r="N7" s="11"/>
      <c r="O7" s="18">
        <v>27</v>
      </c>
    </row>
    <row r="8" spans="1:15" x14ac:dyDescent="0.35">
      <c r="A8" s="10"/>
      <c r="B8" s="10"/>
      <c r="C8" s="10"/>
      <c r="D8" s="10"/>
      <c r="E8" s="10"/>
      <c r="F8" s="10"/>
      <c r="G8" s="10"/>
      <c r="H8" s="10" t="s">
        <v>10</v>
      </c>
      <c r="I8" s="10">
        <v>726</v>
      </c>
      <c r="J8" s="10">
        <v>1452</v>
      </c>
      <c r="K8" s="10">
        <v>1278</v>
      </c>
      <c r="L8" s="10">
        <v>726</v>
      </c>
      <c r="M8" s="10">
        <v>4182</v>
      </c>
      <c r="N8" s="10"/>
      <c r="O8" s="17"/>
    </row>
    <row r="9" spans="1:15" ht="15.5" customHeight="1" x14ac:dyDescent="0.35">
      <c r="A9" s="12"/>
      <c r="B9" s="12"/>
      <c r="C9" s="12"/>
      <c r="D9" s="12"/>
      <c r="E9" s="12"/>
      <c r="F9" s="12"/>
      <c r="G9" s="12"/>
      <c r="H9" s="12" t="s">
        <v>30</v>
      </c>
      <c r="I9" s="23">
        <f t="shared" ref="I9:M9" si="0">IFERROR((I8/I2)-1,"Qty Order 0")</f>
        <v>8.3333333333333037E-3</v>
      </c>
      <c r="J9" s="23">
        <f t="shared" si="0"/>
        <v>8.3333333333333037E-3</v>
      </c>
      <c r="K9" s="23">
        <f t="shared" si="0"/>
        <v>1.4285714285714235E-2</v>
      </c>
      <c r="L9" s="23">
        <f t="shared" si="0"/>
        <v>8.3333333333333037E-3</v>
      </c>
      <c r="M9" s="23">
        <f t="shared" si="0"/>
        <v>1.0144927536231974E-2</v>
      </c>
      <c r="N9" s="12"/>
      <c r="O9" s="19"/>
    </row>
    <row r="10" spans="1:15" x14ac:dyDescent="0.35">
      <c r="A10" s="10"/>
      <c r="B10" s="10"/>
      <c r="C10" s="10"/>
      <c r="D10" s="10"/>
      <c r="E10" s="10"/>
      <c r="F10" s="10"/>
      <c r="G10" s="10"/>
      <c r="H10" s="10" t="s">
        <v>17</v>
      </c>
      <c r="I10" s="10">
        <v>-1.2</v>
      </c>
      <c r="J10" s="10">
        <v>-2.4000000000000998</v>
      </c>
      <c r="K10" s="10">
        <v>5.4000000000000998</v>
      </c>
      <c r="L10" s="10">
        <v>-1.2</v>
      </c>
      <c r="M10" s="10">
        <v>0.59999999999944997</v>
      </c>
      <c r="N10" s="10"/>
      <c r="O10" s="17"/>
    </row>
    <row r="11" spans="1:15" x14ac:dyDescent="0.35">
      <c r="A11" s="11"/>
      <c r="B11" s="11"/>
      <c r="C11" s="11"/>
      <c r="D11" s="11"/>
      <c r="E11" s="11" t="s">
        <v>48</v>
      </c>
      <c r="F11" s="11" t="s">
        <v>35</v>
      </c>
      <c r="G11" s="11" t="s">
        <v>25</v>
      </c>
      <c r="H11" s="11" t="s">
        <v>16</v>
      </c>
      <c r="I11" s="11">
        <v>720</v>
      </c>
      <c r="J11" s="11">
        <v>1440</v>
      </c>
      <c r="K11" s="11">
        <v>1260</v>
      </c>
      <c r="L11" s="11">
        <v>720</v>
      </c>
      <c r="M11" s="11">
        <v>4140</v>
      </c>
      <c r="N11" s="11" t="s">
        <v>22</v>
      </c>
      <c r="O11" s="18"/>
    </row>
    <row r="12" spans="1:15" x14ac:dyDescent="0.35">
      <c r="A12" s="10"/>
      <c r="B12" s="10"/>
      <c r="C12" s="10"/>
      <c r="D12" s="10"/>
      <c r="E12" s="10"/>
      <c r="F12" s="10"/>
      <c r="G12" s="10"/>
      <c r="H12" s="10" t="s">
        <v>6</v>
      </c>
      <c r="I12" s="10">
        <v>727.2</v>
      </c>
      <c r="J12" s="10">
        <v>1454.4</v>
      </c>
      <c r="K12" s="10">
        <v>1272.5999999999999</v>
      </c>
      <c r="L12" s="10">
        <v>727.2</v>
      </c>
      <c r="M12" s="10">
        <v>4181.3999999999996</v>
      </c>
      <c r="N12" s="10"/>
      <c r="O12" s="17"/>
    </row>
    <row r="13" spans="1:15" x14ac:dyDescent="0.35">
      <c r="A13" s="11"/>
      <c r="B13" s="11" t="s">
        <v>50</v>
      </c>
      <c r="C13" s="11" t="s">
        <v>56</v>
      </c>
      <c r="D13" s="11" t="s">
        <v>39</v>
      </c>
      <c r="E13" s="11"/>
      <c r="F13" s="11"/>
      <c r="G13" s="11"/>
      <c r="H13" s="11"/>
      <c r="I13" s="11">
        <v>0</v>
      </c>
      <c r="J13" s="11">
        <v>3</v>
      </c>
      <c r="K13" s="11">
        <v>0</v>
      </c>
      <c r="L13" s="11">
        <v>0</v>
      </c>
      <c r="M13" s="11">
        <v>3</v>
      </c>
      <c r="N13" s="11"/>
      <c r="O13" s="18">
        <v>3</v>
      </c>
    </row>
    <row r="14" spans="1:15" x14ac:dyDescent="0.35">
      <c r="A14" s="10"/>
      <c r="B14" s="10">
        <v>1</v>
      </c>
      <c r="C14" s="10" t="s">
        <v>57</v>
      </c>
      <c r="D14" s="10" t="s">
        <v>53</v>
      </c>
      <c r="E14" s="10"/>
      <c r="F14" s="10"/>
      <c r="G14" s="10"/>
      <c r="H14" s="10"/>
      <c r="I14" s="10">
        <v>400</v>
      </c>
      <c r="J14" s="10">
        <v>800</v>
      </c>
      <c r="K14" s="10">
        <v>700</v>
      </c>
      <c r="L14" s="10">
        <v>400</v>
      </c>
      <c r="M14" s="10">
        <v>2300</v>
      </c>
      <c r="N14" s="10"/>
      <c r="O14" s="17">
        <v>100</v>
      </c>
    </row>
    <row r="15" spans="1:15" x14ac:dyDescent="0.35">
      <c r="A15" s="11"/>
      <c r="B15" s="11">
        <v>2</v>
      </c>
      <c r="C15" s="11" t="s">
        <v>58</v>
      </c>
      <c r="D15" s="11" t="s">
        <v>53</v>
      </c>
      <c r="E15" s="11"/>
      <c r="F15" s="11"/>
      <c r="G15" s="11"/>
      <c r="H15" s="11"/>
      <c r="I15" s="11">
        <v>300</v>
      </c>
      <c r="J15" s="11">
        <v>600</v>
      </c>
      <c r="K15" s="11">
        <v>525</v>
      </c>
      <c r="L15" s="11">
        <v>300</v>
      </c>
      <c r="M15" s="11">
        <v>1725</v>
      </c>
      <c r="N15" s="11"/>
      <c r="O15" s="18">
        <v>75</v>
      </c>
    </row>
    <row r="16" spans="1:15" x14ac:dyDescent="0.35">
      <c r="A16" s="10"/>
      <c r="B16" s="10">
        <v>3</v>
      </c>
      <c r="C16" s="10" t="s">
        <v>59</v>
      </c>
      <c r="D16" s="10" t="s">
        <v>41</v>
      </c>
      <c r="E16" s="10"/>
      <c r="F16" s="10"/>
      <c r="G16" s="10"/>
      <c r="H16" s="10"/>
      <c r="I16" s="10">
        <v>27</v>
      </c>
      <c r="J16" s="10">
        <v>54</v>
      </c>
      <c r="K16" s="10">
        <v>54</v>
      </c>
      <c r="L16" s="10">
        <v>27</v>
      </c>
      <c r="M16" s="10">
        <v>162</v>
      </c>
      <c r="N16" s="10"/>
      <c r="O16" s="17">
        <v>27</v>
      </c>
    </row>
    <row r="17" spans="1:15" x14ac:dyDescent="0.35">
      <c r="A17" s="11"/>
      <c r="B17" s="11"/>
      <c r="C17" s="11"/>
      <c r="D17" s="11"/>
      <c r="E17" s="11"/>
      <c r="F17" s="11"/>
      <c r="G17" s="11"/>
      <c r="H17" s="11" t="s">
        <v>10</v>
      </c>
      <c r="I17" s="11">
        <v>727</v>
      </c>
      <c r="J17" s="11">
        <v>1457</v>
      </c>
      <c r="K17" s="11">
        <v>1279</v>
      </c>
      <c r="L17" s="11">
        <v>727</v>
      </c>
      <c r="M17" s="11">
        <v>4190</v>
      </c>
      <c r="N17" s="11"/>
      <c r="O17" s="18"/>
    </row>
    <row r="18" spans="1:15" ht="15.5" customHeight="1" x14ac:dyDescent="0.35">
      <c r="A18" s="12"/>
      <c r="B18" s="12"/>
      <c r="C18" s="12"/>
      <c r="D18" s="12"/>
      <c r="E18" s="12"/>
      <c r="F18" s="12"/>
      <c r="G18" s="12"/>
      <c r="H18" s="12" t="s">
        <v>30</v>
      </c>
      <c r="I18" s="23">
        <f t="shared" ref="I18:M18" si="1">IFERROR((I17/I11)-1,"Qty Order 0")</f>
        <v>9.7222222222221877E-3</v>
      </c>
      <c r="J18" s="23">
        <f t="shared" si="1"/>
        <v>1.1805555555555625E-2</v>
      </c>
      <c r="K18" s="23">
        <f t="shared" si="1"/>
        <v>1.5079365079365026E-2</v>
      </c>
      <c r="L18" s="23">
        <f t="shared" si="1"/>
        <v>9.7222222222221877E-3</v>
      </c>
      <c r="M18" s="23">
        <f t="shared" si="1"/>
        <v>1.2077294685990392E-2</v>
      </c>
      <c r="N18" s="12"/>
      <c r="O18" s="19"/>
    </row>
    <row r="19" spans="1:15" x14ac:dyDescent="0.35">
      <c r="A19" s="11"/>
      <c r="B19" s="11"/>
      <c r="C19" s="11"/>
      <c r="D19" s="11"/>
      <c r="E19" s="11"/>
      <c r="F19" s="11"/>
      <c r="G19" s="11"/>
      <c r="H19" s="11" t="s">
        <v>17</v>
      </c>
      <c r="I19" s="11">
        <v>-0.20000000000005</v>
      </c>
      <c r="J19" s="11">
        <v>2.5999999999999002</v>
      </c>
      <c r="K19" s="11">
        <v>6.4000000000000998</v>
      </c>
      <c r="L19" s="11">
        <v>-0.20000000000005</v>
      </c>
      <c r="M19" s="11">
        <v>8.5999999999995005</v>
      </c>
      <c r="N19" s="11"/>
      <c r="O19" s="18"/>
    </row>
    <row r="20" spans="1:15" x14ac:dyDescent="0.35">
      <c r="A20" s="10"/>
      <c r="B20" s="10"/>
      <c r="C20" s="10"/>
      <c r="D20" s="10"/>
      <c r="E20" s="10" t="s">
        <v>48</v>
      </c>
      <c r="F20" s="10" t="s">
        <v>35</v>
      </c>
      <c r="G20" s="10" t="s">
        <v>60</v>
      </c>
      <c r="H20" s="10" t="s">
        <v>16</v>
      </c>
      <c r="I20" s="10">
        <v>720</v>
      </c>
      <c r="J20" s="10">
        <v>1440</v>
      </c>
      <c r="K20" s="10">
        <v>1260</v>
      </c>
      <c r="L20" s="10">
        <v>720</v>
      </c>
      <c r="M20" s="10">
        <v>4140</v>
      </c>
      <c r="N20" s="10" t="s">
        <v>22</v>
      </c>
      <c r="O20" s="17"/>
    </row>
    <row r="21" spans="1:15" x14ac:dyDescent="0.35">
      <c r="A21" s="11"/>
      <c r="B21" s="11"/>
      <c r="C21" s="11"/>
      <c r="D21" s="11"/>
      <c r="E21" s="11"/>
      <c r="F21" s="11"/>
      <c r="G21" s="11"/>
      <c r="H21" s="11" t="s">
        <v>6</v>
      </c>
      <c r="I21" s="11">
        <v>727.2</v>
      </c>
      <c r="J21" s="11">
        <v>1454.4</v>
      </c>
      <c r="K21" s="11">
        <v>1272.5999999999999</v>
      </c>
      <c r="L21" s="11">
        <v>727.2</v>
      </c>
      <c r="M21" s="11">
        <v>4181.3999999999996</v>
      </c>
      <c r="N21" s="11"/>
      <c r="O21" s="18"/>
    </row>
    <row r="22" spans="1:15" x14ac:dyDescent="0.35">
      <c r="A22" s="10"/>
      <c r="B22" s="10" t="s">
        <v>50</v>
      </c>
      <c r="C22" s="10" t="s">
        <v>61</v>
      </c>
      <c r="D22" s="10" t="s">
        <v>39</v>
      </c>
      <c r="E22" s="10"/>
      <c r="F22" s="10"/>
      <c r="G22" s="10"/>
      <c r="H22" s="10"/>
      <c r="I22" s="10">
        <v>0</v>
      </c>
      <c r="J22" s="10">
        <v>3</v>
      </c>
      <c r="K22" s="10">
        <v>0</v>
      </c>
      <c r="L22" s="10">
        <v>0</v>
      </c>
      <c r="M22" s="10">
        <v>3</v>
      </c>
      <c r="N22" s="10"/>
      <c r="O22" s="17">
        <v>3</v>
      </c>
    </row>
    <row r="23" spans="1:15" x14ac:dyDescent="0.35">
      <c r="A23" s="11"/>
      <c r="B23" s="11">
        <v>1</v>
      </c>
      <c r="C23" s="11" t="s">
        <v>62</v>
      </c>
      <c r="D23" s="11" t="s">
        <v>53</v>
      </c>
      <c r="E23" s="11"/>
      <c r="F23" s="11"/>
      <c r="G23" s="11"/>
      <c r="H23" s="11"/>
      <c r="I23" s="11">
        <v>400</v>
      </c>
      <c r="J23" s="11">
        <v>800</v>
      </c>
      <c r="K23" s="11">
        <v>700</v>
      </c>
      <c r="L23" s="11">
        <v>400</v>
      </c>
      <c r="M23" s="11">
        <v>2300</v>
      </c>
      <c r="N23" s="11"/>
      <c r="O23" s="18">
        <v>100</v>
      </c>
    </row>
    <row r="24" spans="1:15" x14ac:dyDescent="0.35">
      <c r="A24" s="10"/>
      <c r="B24" s="10">
        <v>2</v>
      </c>
      <c r="C24" s="10" t="s">
        <v>63</v>
      </c>
      <c r="D24" s="10" t="s">
        <v>53</v>
      </c>
      <c r="E24" s="10"/>
      <c r="F24" s="10"/>
      <c r="G24" s="10"/>
      <c r="H24" s="10"/>
      <c r="I24" s="10">
        <v>304</v>
      </c>
      <c r="J24" s="10">
        <v>605</v>
      </c>
      <c r="K24" s="10">
        <v>528</v>
      </c>
      <c r="L24" s="10">
        <v>303</v>
      </c>
      <c r="M24" s="10">
        <v>1740</v>
      </c>
      <c r="N24" s="10"/>
      <c r="O24" s="17">
        <v>76</v>
      </c>
    </row>
    <row r="25" spans="1:15" x14ac:dyDescent="0.35">
      <c r="A25" s="11"/>
      <c r="B25" s="11">
        <v>3</v>
      </c>
      <c r="C25" s="11" t="s">
        <v>64</v>
      </c>
      <c r="D25" s="11" t="s">
        <v>41</v>
      </c>
      <c r="E25" s="11"/>
      <c r="F25" s="11"/>
      <c r="G25" s="11"/>
      <c r="H25" s="11"/>
      <c r="I25" s="11">
        <v>14</v>
      </c>
      <c r="J25" s="11">
        <v>28</v>
      </c>
      <c r="K25" s="11">
        <v>28</v>
      </c>
      <c r="L25" s="11">
        <v>14</v>
      </c>
      <c r="M25" s="11">
        <v>84</v>
      </c>
      <c r="N25" s="11"/>
      <c r="O25" s="18">
        <v>14</v>
      </c>
    </row>
    <row r="26" spans="1:15" x14ac:dyDescent="0.35">
      <c r="A26" s="10"/>
      <c r="B26" s="10">
        <v>4</v>
      </c>
      <c r="C26" s="10" t="s">
        <v>65</v>
      </c>
      <c r="D26" s="10" t="s">
        <v>43</v>
      </c>
      <c r="E26" s="10"/>
      <c r="F26" s="10"/>
      <c r="G26" s="10"/>
      <c r="H26" s="10"/>
      <c r="I26" s="10">
        <v>9</v>
      </c>
      <c r="J26" s="10">
        <v>0</v>
      </c>
      <c r="K26" s="10">
        <v>0</v>
      </c>
      <c r="L26" s="10">
        <v>9</v>
      </c>
      <c r="M26" s="10">
        <v>18</v>
      </c>
      <c r="N26" s="10"/>
      <c r="O26" s="17">
        <v>9</v>
      </c>
    </row>
    <row r="27" spans="1:15" x14ac:dyDescent="0.35">
      <c r="A27" s="11"/>
      <c r="B27" s="11">
        <v>4</v>
      </c>
      <c r="C27" s="11" t="s">
        <v>66</v>
      </c>
      <c r="D27" s="11" t="s">
        <v>42</v>
      </c>
      <c r="E27" s="11"/>
      <c r="F27" s="11"/>
      <c r="G27" s="11"/>
      <c r="H27" s="11"/>
      <c r="I27" s="11">
        <v>0</v>
      </c>
      <c r="J27" s="11">
        <v>15</v>
      </c>
      <c r="K27" s="11">
        <v>15</v>
      </c>
      <c r="L27" s="11">
        <v>0</v>
      </c>
      <c r="M27" s="11">
        <v>30</v>
      </c>
      <c r="N27" s="11"/>
      <c r="O27" s="18">
        <v>15</v>
      </c>
    </row>
    <row r="28" spans="1:15" x14ac:dyDescent="0.35">
      <c r="A28" s="10"/>
      <c r="B28" s="10"/>
      <c r="C28" s="10"/>
      <c r="D28" s="10"/>
      <c r="E28" s="10"/>
      <c r="F28" s="10"/>
      <c r="G28" s="10"/>
      <c r="H28" s="10" t="s">
        <v>10</v>
      </c>
      <c r="I28" s="10">
        <v>727</v>
      </c>
      <c r="J28" s="10">
        <v>1451</v>
      </c>
      <c r="K28" s="10">
        <v>1271</v>
      </c>
      <c r="L28" s="10">
        <v>726</v>
      </c>
      <c r="M28" s="10">
        <v>4175</v>
      </c>
      <c r="N28" s="10"/>
      <c r="O28" s="17"/>
    </row>
    <row r="29" spans="1:15" ht="15.5" customHeight="1" x14ac:dyDescent="0.35">
      <c r="A29" s="12"/>
      <c r="B29" s="12"/>
      <c r="C29" s="12"/>
      <c r="D29" s="12"/>
      <c r="E29" s="12"/>
      <c r="F29" s="12"/>
      <c r="G29" s="12"/>
      <c r="H29" s="12" t="s">
        <v>30</v>
      </c>
      <c r="I29" s="23">
        <f t="shared" ref="I29:M29" si="2">IFERROR((I28/I20)-1,"Qty Order 0")</f>
        <v>9.7222222222221877E-3</v>
      </c>
      <c r="J29" s="23">
        <f t="shared" si="2"/>
        <v>7.6388888888889728E-3</v>
      </c>
      <c r="K29" s="23">
        <f t="shared" si="2"/>
        <v>8.7301587301586991E-3</v>
      </c>
      <c r="L29" s="23">
        <f t="shared" si="2"/>
        <v>8.3333333333333037E-3</v>
      </c>
      <c r="M29" s="23">
        <f t="shared" si="2"/>
        <v>8.4541062801932743E-3</v>
      </c>
      <c r="N29" s="12"/>
      <c r="O29" s="19"/>
    </row>
    <row r="30" spans="1:15" x14ac:dyDescent="0.35">
      <c r="A30" s="10"/>
      <c r="B30" s="10"/>
      <c r="C30" s="10"/>
      <c r="D30" s="10"/>
      <c r="E30" s="10"/>
      <c r="F30" s="10"/>
      <c r="G30" s="10"/>
      <c r="H30" s="10" t="s">
        <v>17</v>
      </c>
      <c r="I30" s="10">
        <v>-0.20000000000005</v>
      </c>
      <c r="J30" s="10">
        <v>-3.4000000000000998</v>
      </c>
      <c r="K30" s="10">
        <v>-1.5999999999998999</v>
      </c>
      <c r="L30" s="10">
        <v>-1.2</v>
      </c>
      <c r="M30" s="10">
        <v>-6.4000000000005004</v>
      </c>
      <c r="N30" s="10"/>
      <c r="O30" s="17"/>
    </row>
    <row r="31" spans="1:15" ht="15.5" customHeight="1" x14ac:dyDescent="0.3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20"/>
    </row>
    <row r="32" spans="1:15" ht="16" customHeight="1" x14ac:dyDescent="0.35">
      <c r="A32" s="9" t="s">
        <v>18</v>
      </c>
      <c r="B32" s="9" t="s">
        <v>8</v>
      </c>
      <c r="C32" s="9" t="s">
        <v>19</v>
      </c>
      <c r="D32" s="9" t="s">
        <v>20</v>
      </c>
      <c r="E32" s="9" t="s">
        <v>3</v>
      </c>
      <c r="F32" s="9" t="s">
        <v>4</v>
      </c>
      <c r="G32" s="9" t="s">
        <v>7</v>
      </c>
      <c r="H32" s="9" t="s">
        <v>9</v>
      </c>
      <c r="I32" s="9" t="s">
        <v>12</v>
      </c>
      <c r="J32" s="9" t="s">
        <v>13</v>
      </c>
      <c r="K32" s="9" t="s">
        <v>14</v>
      </c>
      <c r="L32" s="9" t="s">
        <v>15</v>
      </c>
      <c r="M32" s="9" t="s">
        <v>21</v>
      </c>
      <c r="N32" s="9" t="s">
        <v>11</v>
      </c>
      <c r="O32" s="16" t="s">
        <v>29</v>
      </c>
    </row>
    <row r="33" spans="1:15" x14ac:dyDescent="0.35">
      <c r="A33" s="11">
        <v>183014</v>
      </c>
      <c r="B33" s="11"/>
      <c r="C33" s="11"/>
      <c r="D33" s="11"/>
      <c r="E33" s="11" t="s">
        <v>37</v>
      </c>
      <c r="F33" s="11" t="s">
        <v>5</v>
      </c>
      <c r="G33" s="11" t="s">
        <v>23</v>
      </c>
      <c r="H33" s="11" t="s">
        <v>16</v>
      </c>
      <c r="I33" s="11">
        <v>648</v>
      </c>
      <c r="J33" s="11">
        <v>1548</v>
      </c>
      <c r="K33" s="11">
        <v>1440</v>
      </c>
      <c r="L33" s="11">
        <v>612</v>
      </c>
      <c r="M33" s="11">
        <v>4248</v>
      </c>
      <c r="N33" s="11" t="s">
        <v>36</v>
      </c>
      <c r="O33" s="18"/>
    </row>
    <row r="34" spans="1:15" x14ac:dyDescent="0.35">
      <c r="A34" s="10"/>
      <c r="B34" s="10"/>
      <c r="C34" s="10"/>
      <c r="D34" s="10"/>
      <c r="E34" s="10"/>
      <c r="F34" s="10"/>
      <c r="G34" s="10"/>
      <c r="H34" s="10" t="s">
        <v>6</v>
      </c>
      <c r="I34" s="10">
        <v>648</v>
      </c>
      <c r="J34" s="10">
        <v>1548</v>
      </c>
      <c r="K34" s="10">
        <v>1440</v>
      </c>
      <c r="L34" s="10">
        <v>612</v>
      </c>
      <c r="M34" s="10">
        <v>4248</v>
      </c>
      <c r="N34" s="10"/>
      <c r="O34" s="17"/>
    </row>
    <row r="35" spans="1:15" x14ac:dyDescent="0.35">
      <c r="A35" s="11"/>
      <c r="B35" s="11" t="s">
        <v>50</v>
      </c>
      <c r="C35" s="11" t="s">
        <v>67</v>
      </c>
      <c r="D35" s="11" t="s">
        <v>39</v>
      </c>
      <c r="E35" s="11"/>
      <c r="F35" s="11"/>
      <c r="G35" s="11"/>
      <c r="H35" s="11"/>
      <c r="I35" s="11">
        <v>0</v>
      </c>
      <c r="J35" s="11">
        <v>3</v>
      </c>
      <c r="K35" s="11">
        <v>0</v>
      </c>
      <c r="L35" s="11">
        <v>0</v>
      </c>
      <c r="M35" s="11">
        <v>3</v>
      </c>
      <c r="N35" s="11"/>
      <c r="O35" s="18">
        <v>3</v>
      </c>
    </row>
    <row r="36" spans="1:15" x14ac:dyDescent="0.35">
      <c r="A36" s="10"/>
      <c r="B36" s="10">
        <v>1</v>
      </c>
      <c r="C36" s="10" t="s">
        <v>68</v>
      </c>
      <c r="D36" s="10" t="s">
        <v>69</v>
      </c>
      <c r="E36" s="10"/>
      <c r="F36" s="10"/>
      <c r="G36" s="10"/>
      <c r="H36" s="10"/>
      <c r="I36" s="10">
        <v>210</v>
      </c>
      <c r="J36" s="10">
        <v>420</v>
      </c>
      <c r="K36" s="10">
        <v>420</v>
      </c>
      <c r="L36" s="10">
        <v>210</v>
      </c>
      <c r="M36" s="10">
        <v>1260</v>
      </c>
      <c r="N36" s="10"/>
      <c r="O36" s="17">
        <v>70</v>
      </c>
    </row>
    <row r="37" spans="1:15" x14ac:dyDescent="0.35">
      <c r="A37" s="11"/>
      <c r="B37" s="11">
        <v>2</v>
      </c>
      <c r="C37" s="11" t="s">
        <v>70</v>
      </c>
      <c r="D37" s="11" t="s">
        <v>69</v>
      </c>
      <c r="E37" s="11"/>
      <c r="F37" s="11"/>
      <c r="G37" s="11"/>
      <c r="H37" s="11"/>
      <c r="I37" s="11">
        <v>210</v>
      </c>
      <c r="J37" s="11">
        <v>420</v>
      </c>
      <c r="K37" s="11">
        <v>420</v>
      </c>
      <c r="L37" s="11">
        <v>210</v>
      </c>
      <c r="M37" s="11">
        <v>1260</v>
      </c>
      <c r="N37" s="11"/>
      <c r="O37" s="18">
        <v>70</v>
      </c>
    </row>
    <row r="38" spans="1:15" x14ac:dyDescent="0.35">
      <c r="A38" s="10"/>
      <c r="B38" s="10">
        <v>3</v>
      </c>
      <c r="C38" s="10" t="s">
        <v>71</v>
      </c>
      <c r="D38" s="10" t="s">
        <v>69</v>
      </c>
      <c r="E38" s="10"/>
      <c r="F38" s="10"/>
      <c r="G38" s="10"/>
      <c r="H38" s="10"/>
      <c r="I38" s="10">
        <v>192</v>
      </c>
      <c r="J38" s="10">
        <v>384</v>
      </c>
      <c r="K38" s="10">
        <v>384</v>
      </c>
      <c r="L38" s="10">
        <v>192</v>
      </c>
      <c r="M38" s="10">
        <v>1152</v>
      </c>
      <c r="N38" s="10"/>
      <c r="O38" s="17">
        <v>64</v>
      </c>
    </row>
    <row r="39" spans="1:15" x14ac:dyDescent="0.35">
      <c r="A39" s="11"/>
      <c r="B39" s="11">
        <v>4</v>
      </c>
      <c r="C39" s="11" t="s">
        <v>72</v>
      </c>
      <c r="D39" s="11" t="s">
        <v>40</v>
      </c>
      <c r="E39" s="11"/>
      <c r="F39" s="11"/>
      <c r="G39" s="11"/>
      <c r="H39" s="11"/>
      <c r="I39" s="11">
        <v>36</v>
      </c>
      <c r="J39" s="11">
        <v>324</v>
      </c>
      <c r="K39" s="11">
        <v>216</v>
      </c>
      <c r="L39" s="11">
        <v>0</v>
      </c>
      <c r="M39" s="11">
        <v>576</v>
      </c>
      <c r="N39" s="11"/>
      <c r="O39" s="18">
        <v>36</v>
      </c>
    </row>
    <row r="40" spans="1:15" x14ac:dyDescent="0.35">
      <c r="A40" s="10"/>
      <c r="B40" s="10"/>
      <c r="C40" s="10"/>
      <c r="D40" s="10"/>
      <c r="E40" s="10"/>
      <c r="F40" s="10"/>
      <c r="G40" s="10"/>
      <c r="H40" s="10" t="s">
        <v>10</v>
      </c>
      <c r="I40" s="10">
        <v>648</v>
      </c>
      <c r="J40" s="10">
        <v>1551</v>
      </c>
      <c r="K40" s="10">
        <v>1440</v>
      </c>
      <c r="L40" s="10">
        <v>612</v>
      </c>
      <c r="M40" s="10">
        <v>4251</v>
      </c>
      <c r="N40" s="10"/>
      <c r="O40" s="17"/>
    </row>
    <row r="41" spans="1:15" ht="15.5" customHeight="1" x14ac:dyDescent="0.35">
      <c r="A41" s="12"/>
      <c r="B41" s="12"/>
      <c r="C41" s="12"/>
      <c r="D41" s="12"/>
      <c r="E41" s="12"/>
      <c r="F41" s="12"/>
      <c r="G41" s="12"/>
      <c r="H41" s="12" t="s">
        <v>30</v>
      </c>
      <c r="I41" s="23">
        <f t="shared" ref="I41:M41" si="3">IFERROR((I40/I33)-1,"Qty Order 0")</f>
        <v>0</v>
      </c>
      <c r="J41" s="23">
        <f t="shared" si="3"/>
        <v>1.9379844961240345E-3</v>
      </c>
      <c r="K41" s="23">
        <f t="shared" si="3"/>
        <v>0</v>
      </c>
      <c r="L41" s="23">
        <f t="shared" si="3"/>
        <v>0</v>
      </c>
      <c r="M41" s="23">
        <f t="shared" si="3"/>
        <v>7.0621468926557185E-4</v>
      </c>
      <c r="N41" s="12"/>
      <c r="O41" s="19"/>
    </row>
    <row r="42" spans="1:15" x14ac:dyDescent="0.35">
      <c r="A42" s="10"/>
      <c r="B42" s="10"/>
      <c r="C42" s="10"/>
      <c r="D42" s="10"/>
      <c r="E42" s="10"/>
      <c r="F42" s="10"/>
      <c r="G42" s="10"/>
      <c r="H42" s="10" t="s">
        <v>17</v>
      </c>
      <c r="I42" s="10">
        <v>0</v>
      </c>
      <c r="J42" s="10">
        <v>3</v>
      </c>
      <c r="K42" s="10">
        <v>0</v>
      </c>
      <c r="L42" s="10">
        <v>0</v>
      </c>
      <c r="M42" s="10">
        <v>3</v>
      </c>
      <c r="N42" s="10"/>
      <c r="O42" s="17"/>
    </row>
    <row r="43" spans="1:15" x14ac:dyDescent="0.35">
      <c r="A43" s="11"/>
      <c r="B43" s="11"/>
      <c r="C43" s="11"/>
      <c r="D43" s="11"/>
      <c r="E43" s="11" t="s">
        <v>37</v>
      </c>
      <c r="F43" s="11" t="s">
        <v>5</v>
      </c>
      <c r="G43" s="11" t="s">
        <v>38</v>
      </c>
      <c r="H43" s="11" t="s">
        <v>16</v>
      </c>
      <c r="I43" s="11">
        <v>648</v>
      </c>
      <c r="J43" s="11">
        <v>1548</v>
      </c>
      <c r="K43" s="11">
        <v>1440</v>
      </c>
      <c r="L43" s="11">
        <v>612</v>
      </c>
      <c r="M43" s="11">
        <v>4248</v>
      </c>
      <c r="N43" s="11" t="s">
        <v>36</v>
      </c>
      <c r="O43" s="18"/>
    </row>
    <row r="44" spans="1:15" x14ac:dyDescent="0.35">
      <c r="A44" s="10"/>
      <c r="B44" s="10"/>
      <c r="C44" s="10"/>
      <c r="D44" s="10"/>
      <c r="E44" s="10"/>
      <c r="F44" s="10"/>
      <c r="G44" s="10"/>
      <c r="H44" s="10" t="s">
        <v>6</v>
      </c>
      <c r="I44" s="10">
        <v>648</v>
      </c>
      <c r="J44" s="10">
        <v>1548</v>
      </c>
      <c r="K44" s="10">
        <v>1440</v>
      </c>
      <c r="L44" s="10">
        <v>612</v>
      </c>
      <c r="M44" s="10">
        <v>4248</v>
      </c>
      <c r="N44" s="10"/>
      <c r="O44" s="17"/>
    </row>
    <row r="45" spans="1:15" x14ac:dyDescent="0.35">
      <c r="A45" s="11"/>
      <c r="B45" s="11" t="s">
        <v>50</v>
      </c>
      <c r="C45" s="11" t="s">
        <v>73</v>
      </c>
      <c r="D45" s="11" t="s">
        <v>39</v>
      </c>
      <c r="E45" s="11"/>
      <c r="F45" s="11"/>
      <c r="G45" s="11"/>
      <c r="H45" s="11"/>
      <c r="I45" s="11">
        <v>0</v>
      </c>
      <c r="J45" s="11">
        <v>3</v>
      </c>
      <c r="K45" s="11">
        <v>0</v>
      </c>
      <c r="L45" s="11">
        <v>0</v>
      </c>
      <c r="M45" s="11">
        <v>3</v>
      </c>
      <c r="N45" s="11"/>
      <c r="O45" s="18">
        <v>3</v>
      </c>
    </row>
    <row r="46" spans="1:15" x14ac:dyDescent="0.35">
      <c r="A46" s="10"/>
      <c r="B46" s="10">
        <v>1</v>
      </c>
      <c r="C46" s="10" t="s">
        <v>74</v>
      </c>
      <c r="D46" s="10" t="s">
        <v>69</v>
      </c>
      <c r="E46" s="10"/>
      <c r="F46" s="10"/>
      <c r="G46" s="10"/>
      <c r="H46" s="10"/>
      <c r="I46" s="10">
        <v>210</v>
      </c>
      <c r="J46" s="10">
        <v>420</v>
      </c>
      <c r="K46" s="10">
        <v>420</v>
      </c>
      <c r="L46" s="10">
        <v>209</v>
      </c>
      <c r="M46" s="10">
        <v>1259</v>
      </c>
      <c r="N46" s="10"/>
      <c r="O46" s="17">
        <v>70</v>
      </c>
    </row>
    <row r="47" spans="1:15" x14ac:dyDescent="0.35">
      <c r="A47" s="11"/>
      <c r="B47" s="11">
        <v>2</v>
      </c>
      <c r="C47" s="11" t="s">
        <v>75</v>
      </c>
      <c r="D47" s="11" t="s">
        <v>69</v>
      </c>
      <c r="E47" s="11"/>
      <c r="F47" s="11"/>
      <c r="G47" s="11"/>
      <c r="H47" s="11"/>
      <c r="I47" s="11">
        <v>165</v>
      </c>
      <c r="J47" s="11">
        <v>330</v>
      </c>
      <c r="K47" s="11">
        <v>330</v>
      </c>
      <c r="L47" s="11">
        <v>165</v>
      </c>
      <c r="M47" s="11">
        <v>990</v>
      </c>
      <c r="N47" s="11"/>
      <c r="O47" s="18">
        <v>55</v>
      </c>
    </row>
    <row r="48" spans="1:15" x14ac:dyDescent="0.35">
      <c r="A48" s="10"/>
      <c r="B48" s="10">
        <v>3</v>
      </c>
      <c r="C48" s="10" t="s">
        <v>76</v>
      </c>
      <c r="D48" s="10" t="s">
        <v>69</v>
      </c>
      <c r="E48" s="10"/>
      <c r="F48" s="10"/>
      <c r="G48" s="10"/>
      <c r="H48" s="10"/>
      <c r="I48" s="10">
        <v>39</v>
      </c>
      <c r="J48" s="10">
        <v>77</v>
      </c>
      <c r="K48" s="10">
        <v>78</v>
      </c>
      <c r="L48" s="10">
        <v>39</v>
      </c>
      <c r="M48" s="10">
        <v>233</v>
      </c>
      <c r="N48" s="10"/>
      <c r="O48" s="17">
        <v>13</v>
      </c>
    </row>
    <row r="49" spans="1:15" x14ac:dyDescent="0.35">
      <c r="A49" s="11"/>
      <c r="B49" s="11">
        <v>4</v>
      </c>
      <c r="C49" s="11" t="s">
        <v>77</v>
      </c>
      <c r="D49" s="11" t="s">
        <v>69</v>
      </c>
      <c r="E49" s="11"/>
      <c r="F49" s="11"/>
      <c r="G49" s="11"/>
      <c r="H49" s="11"/>
      <c r="I49" s="11">
        <v>117</v>
      </c>
      <c r="J49" s="11">
        <v>234</v>
      </c>
      <c r="K49" s="11">
        <v>234</v>
      </c>
      <c r="L49" s="11">
        <v>117</v>
      </c>
      <c r="M49" s="11">
        <v>702</v>
      </c>
      <c r="N49" s="11"/>
      <c r="O49" s="18">
        <v>39</v>
      </c>
    </row>
    <row r="50" spans="1:15" x14ac:dyDescent="0.35">
      <c r="A50" s="10"/>
      <c r="B50" s="10">
        <v>5</v>
      </c>
      <c r="C50" s="10" t="s">
        <v>78</v>
      </c>
      <c r="D50" s="10" t="s">
        <v>69</v>
      </c>
      <c r="E50" s="10"/>
      <c r="F50" s="10"/>
      <c r="G50" s="10"/>
      <c r="H50" s="10"/>
      <c r="I50" s="10">
        <v>87</v>
      </c>
      <c r="J50" s="10">
        <v>174</v>
      </c>
      <c r="K50" s="10">
        <v>173</v>
      </c>
      <c r="L50" s="10">
        <v>87</v>
      </c>
      <c r="M50" s="10">
        <v>521</v>
      </c>
      <c r="N50" s="10"/>
      <c r="O50" s="17">
        <v>29</v>
      </c>
    </row>
    <row r="51" spans="1:15" x14ac:dyDescent="0.35">
      <c r="A51" s="11"/>
      <c r="B51" s="11">
        <v>6</v>
      </c>
      <c r="C51" s="11" t="s">
        <v>45</v>
      </c>
      <c r="D51" s="11" t="s">
        <v>40</v>
      </c>
      <c r="E51" s="11"/>
      <c r="F51" s="11"/>
      <c r="G51" s="11"/>
      <c r="H51" s="11"/>
      <c r="I51" s="11">
        <v>26</v>
      </c>
      <c r="J51" s="11">
        <v>234</v>
      </c>
      <c r="K51" s="11">
        <v>156</v>
      </c>
      <c r="L51" s="11">
        <v>0</v>
      </c>
      <c r="M51" s="11">
        <v>416</v>
      </c>
      <c r="N51" s="11"/>
      <c r="O51" s="18">
        <v>26</v>
      </c>
    </row>
    <row r="52" spans="1:15" x14ac:dyDescent="0.35">
      <c r="A52" s="10"/>
      <c r="B52" s="10"/>
      <c r="C52" s="10"/>
      <c r="D52" s="10"/>
      <c r="E52" s="10"/>
      <c r="F52" s="10"/>
      <c r="G52" s="10"/>
      <c r="H52" s="10" t="s">
        <v>10</v>
      </c>
      <c r="I52" s="10">
        <v>644</v>
      </c>
      <c r="J52" s="10">
        <v>1472</v>
      </c>
      <c r="K52" s="10">
        <v>1391</v>
      </c>
      <c r="L52" s="10">
        <v>617</v>
      </c>
      <c r="M52" s="10">
        <v>4124</v>
      </c>
      <c r="N52" s="10"/>
      <c r="O52" s="17"/>
    </row>
    <row r="53" spans="1:15" ht="15.5" customHeight="1" x14ac:dyDescent="0.35">
      <c r="A53" s="12"/>
      <c r="B53" s="12"/>
      <c r="C53" s="12"/>
      <c r="D53" s="12"/>
      <c r="E53" s="12"/>
      <c r="F53" s="12"/>
      <c r="G53" s="12"/>
      <c r="H53" s="12" t="s">
        <v>30</v>
      </c>
      <c r="I53" s="23">
        <f t="shared" ref="I53:M53" si="4">IFERROR((I52/I43)-1,"Qty Order 0")</f>
        <v>-6.1728395061728669E-3</v>
      </c>
      <c r="J53" s="23">
        <f t="shared" si="4"/>
        <v>-4.9095607235142169E-2</v>
      </c>
      <c r="K53" s="23">
        <f t="shared" si="4"/>
        <v>-3.4027777777777768E-2</v>
      </c>
      <c r="L53" s="23">
        <f t="shared" si="4"/>
        <v>8.1699346405228468E-3</v>
      </c>
      <c r="M53" s="23">
        <f t="shared" si="4"/>
        <v>-2.9190207156308823E-2</v>
      </c>
      <c r="N53" s="12"/>
      <c r="O53" s="19"/>
    </row>
    <row r="54" spans="1:15" x14ac:dyDescent="0.35">
      <c r="A54" s="10"/>
      <c r="B54" s="10"/>
      <c r="C54" s="10"/>
      <c r="D54" s="10"/>
      <c r="E54" s="10"/>
      <c r="F54" s="10"/>
      <c r="G54" s="10"/>
      <c r="H54" s="10" t="s">
        <v>17</v>
      </c>
      <c r="I54" s="10">
        <v>-4</v>
      </c>
      <c r="J54" s="10">
        <v>-76</v>
      </c>
      <c r="K54" s="10">
        <v>-49</v>
      </c>
      <c r="L54" s="10">
        <v>5</v>
      </c>
      <c r="M54" s="10">
        <v>-124</v>
      </c>
      <c r="N54" s="10"/>
      <c r="O54" s="17"/>
    </row>
    <row r="55" spans="1:15" x14ac:dyDescent="0.35">
      <c r="A55" s="11"/>
      <c r="B55" s="11"/>
      <c r="C55" s="11"/>
      <c r="D55" s="11"/>
      <c r="E55" s="11" t="s">
        <v>37</v>
      </c>
      <c r="F55" s="11" t="s">
        <v>5</v>
      </c>
      <c r="G55" s="11" t="s">
        <v>24</v>
      </c>
      <c r="H55" s="11" t="s">
        <v>16</v>
      </c>
      <c r="I55" s="11">
        <v>648</v>
      </c>
      <c r="J55" s="11">
        <v>1548</v>
      </c>
      <c r="K55" s="11">
        <v>1440</v>
      </c>
      <c r="L55" s="11">
        <v>612</v>
      </c>
      <c r="M55" s="11">
        <v>4248</v>
      </c>
      <c r="N55" s="11" t="s">
        <v>36</v>
      </c>
      <c r="O55" s="18"/>
    </row>
    <row r="56" spans="1:15" x14ac:dyDescent="0.35">
      <c r="A56" s="10"/>
      <c r="B56" s="10"/>
      <c r="C56" s="10"/>
      <c r="D56" s="10"/>
      <c r="E56" s="10"/>
      <c r="F56" s="10"/>
      <c r="G56" s="10"/>
      <c r="H56" s="10" t="s">
        <v>6</v>
      </c>
      <c r="I56" s="10">
        <v>648</v>
      </c>
      <c r="J56" s="10">
        <v>1548</v>
      </c>
      <c r="K56" s="10">
        <v>1440</v>
      </c>
      <c r="L56" s="10">
        <v>612</v>
      </c>
      <c r="M56" s="10">
        <v>4248</v>
      </c>
      <c r="N56" s="10"/>
      <c r="O56" s="17"/>
    </row>
    <row r="57" spans="1:15" x14ac:dyDescent="0.35">
      <c r="A57" s="11"/>
      <c r="B57" s="11" t="s">
        <v>50</v>
      </c>
      <c r="C57" s="11" t="s">
        <v>79</v>
      </c>
      <c r="D57" s="11" t="s">
        <v>39</v>
      </c>
      <c r="E57" s="11"/>
      <c r="F57" s="11"/>
      <c r="G57" s="11"/>
      <c r="H57" s="11"/>
      <c r="I57" s="11">
        <v>0</v>
      </c>
      <c r="J57" s="11">
        <v>3</v>
      </c>
      <c r="K57" s="11">
        <v>0</v>
      </c>
      <c r="L57" s="11">
        <v>0</v>
      </c>
      <c r="M57" s="11">
        <v>3</v>
      </c>
      <c r="N57" s="11"/>
      <c r="O57" s="18">
        <v>3</v>
      </c>
    </row>
    <row r="58" spans="1:15" x14ac:dyDescent="0.35">
      <c r="A58" s="10"/>
      <c r="B58" s="10">
        <v>1</v>
      </c>
      <c r="C58" s="10" t="s">
        <v>80</v>
      </c>
      <c r="D58" s="10" t="s">
        <v>69</v>
      </c>
      <c r="E58" s="10"/>
      <c r="F58" s="10"/>
      <c r="G58" s="10"/>
      <c r="H58" s="10"/>
      <c r="I58" s="10">
        <v>210</v>
      </c>
      <c r="J58" s="10">
        <v>420</v>
      </c>
      <c r="K58" s="10">
        <v>420</v>
      </c>
      <c r="L58" s="10">
        <v>210</v>
      </c>
      <c r="M58" s="10">
        <v>1260</v>
      </c>
      <c r="N58" s="10"/>
      <c r="O58" s="17">
        <v>70</v>
      </c>
    </row>
    <row r="59" spans="1:15" x14ac:dyDescent="0.35">
      <c r="A59" s="11"/>
      <c r="B59" s="11">
        <v>2</v>
      </c>
      <c r="C59" s="11" t="s">
        <v>81</v>
      </c>
      <c r="D59" s="11" t="s">
        <v>69</v>
      </c>
      <c r="E59" s="11"/>
      <c r="F59" s="11"/>
      <c r="G59" s="11"/>
      <c r="H59" s="11"/>
      <c r="I59" s="11">
        <v>210</v>
      </c>
      <c r="J59" s="11">
        <v>420</v>
      </c>
      <c r="K59" s="11">
        <v>420</v>
      </c>
      <c r="L59" s="11">
        <v>210</v>
      </c>
      <c r="M59" s="11">
        <v>1260</v>
      </c>
      <c r="N59" s="11"/>
      <c r="O59" s="18">
        <v>70</v>
      </c>
    </row>
    <row r="60" spans="1:15" x14ac:dyDescent="0.35">
      <c r="A60" s="10"/>
      <c r="B60" s="10">
        <v>3</v>
      </c>
      <c r="C60" s="10" t="s">
        <v>82</v>
      </c>
      <c r="D60" s="10" t="s">
        <v>69</v>
      </c>
      <c r="E60" s="10"/>
      <c r="F60" s="10"/>
      <c r="G60" s="10"/>
      <c r="H60" s="10"/>
      <c r="I60" s="10">
        <v>192</v>
      </c>
      <c r="J60" s="10">
        <v>383</v>
      </c>
      <c r="K60" s="10">
        <v>384</v>
      </c>
      <c r="L60" s="10">
        <v>192</v>
      </c>
      <c r="M60" s="10">
        <v>1151</v>
      </c>
      <c r="N60" s="10"/>
      <c r="O60" s="17">
        <v>64</v>
      </c>
    </row>
    <row r="61" spans="1:15" x14ac:dyDescent="0.35">
      <c r="A61" s="11"/>
      <c r="B61" s="11">
        <v>4</v>
      </c>
      <c r="C61" s="11" t="s">
        <v>44</v>
      </c>
      <c r="D61" s="11" t="s">
        <v>40</v>
      </c>
      <c r="E61" s="11"/>
      <c r="F61" s="11"/>
      <c r="G61" s="11"/>
      <c r="H61" s="11"/>
      <c r="I61" s="11">
        <v>36</v>
      </c>
      <c r="J61" s="11">
        <v>324</v>
      </c>
      <c r="K61" s="11">
        <v>216</v>
      </c>
      <c r="L61" s="11">
        <v>0</v>
      </c>
      <c r="M61" s="11">
        <v>576</v>
      </c>
      <c r="N61" s="11"/>
      <c r="O61" s="18">
        <v>36</v>
      </c>
    </row>
    <row r="62" spans="1:15" x14ac:dyDescent="0.35">
      <c r="A62" s="10"/>
      <c r="B62" s="10"/>
      <c r="C62" s="10"/>
      <c r="D62" s="10"/>
      <c r="E62" s="10"/>
      <c r="F62" s="10"/>
      <c r="G62" s="10"/>
      <c r="H62" s="10" t="s">
        <v>10</v>
      </c>
      <c r="I62" s="10">
        <v>648</v>
      </c>
      <c r="J62" s="10">
        <v>1550</v>
      </c>
      <c r="K62" s="10">
        <v>1440</v>
      </c>
      <c r="L62" s="10">
        <v>612</v>
      </c>
      <c r="M62" s="10">
        <v>4250</v>
      </c>
      <c r="N62" s="10"/>
      <c r="O62" s="17"/>
    </row>
    <row r="63" spans="1:15" ht="15.5" customHeight="1" x14ac:dyDescent="0.35">
      <c r="A63" s="14"/>
      <c r="B63" s="14"/>
      <c r="C63" s="14"/>
      <c r="D63" s="14"/>
      <c r="E63" s="14"/>
      <c r="F63" s="14"/>
      <c r="G63" s="14"/>
      <c r="H63" s="14" t="s">
        <v>30</v>
      </c>
      <c r="I63" s="24">
        <f t="shared" ref="I63:M63" si="5">IFERROR((I62/I55)-1,"Qty Order 0")</f>
        <v>0</v>
      </c>
      <c r="J63" s="24">
        <f t="shared" si="5"/>
        <v>1.2919896640826156E-3</v>
      </c>
      <c r="K63" s="24">
        <f t="shared" si="5"/>
        <v>0</v>
      </c>
      <c r="L63" s="24">
        <f t="shared" si="5"/>
        <v>0</v>
      </c>
      <c r="M63" s="24">
        <f t="shared" si="5"/>
        <v>4.7080979284364055E-4</v>
      </c>
      <c r="N63" s="14"/>
      <c r="O63" s="21"/>
    </row>
    <row r="64" spans="1:15" x14ac:dyDescent="0.35">
      <c r="A64" s="15"/>
      <c r="B64" s="15"/>
      <c r="C64" s="15"/>
      <c r="D64" s="15"/>
      <c r="E64" s="15"/>
      <c r="F64" s="15"/>
      <c r="G64" s="15"/>
      <c r="H64" s="15" t="s">
        <v>17</v>
      </c>
      <c r="I64" s="15">
        <v>0</v>
      </c>
      <c r="J64" s="15">
        <v>2</v>
      </c>
      <c r="K64" s="15">
        <v>0</v>
      </c>
      <c r="L64" s="15">
        <v>0</v>
      </c>
      <c r="M64" s="15">
        <v>2</v>
      </c>
      <c r="N64" s="15"/>
      <c r="O64" s="22"/>
    </row>
    <row r="65" spans="1:15" ht="15.5" customHeight="1" x14ac:dyDescent="0.3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06DCA-C408-4488-A2C0-37884E569BC9}">
  <dimension ref="A1:R13"/>
  <sheetViews>
    <sheetView tabSelected="1" workbookViewId="0">
      <selection activeCell="J15" sqref="J15"/>
    </sheetView>
  </sheetViews>
  <sheetFormatPr defaultRowHeight="14.5" x14ac:dyDescent="0.35"/>
  <cols>
    <col min="1" max="1" width="8.7265625" style="29"/>
    <col min="2" max="2" width="8.6328125" style="29" bestFit="1" customWidth="1"/>
    <col min="3" max="3" width="15.453125" style="29" bestFit="1" customWidth="1"/>
    <col min="4" max="16384" width="8.7265625" style="29"/>
  </cols>
  <sheetData>
    <row r="1" spans="1:18" x14ac:dyDescent="0.35">
      <c r="D1" s="27" t="s">
        <v>16</v>
      </c>
      <c r="E1" s="28"/>
      <c r="F1" s="28"/>
      <c r="G1" s="28"/>
      <c r="H1" s="28"/>
      <c r="I1" s="30" t="s">
        <v>33</v>
      </c>
      <c r="J1" s="30"/>
      <c r="K1" s="30"/>
      <c r="L1" s="30"/>
      <c r="M1" s="30"/>
      <c r="N1" s="30" t="s">
        <v>34</v>
      </c>
      <c r="O1" s="30"/>
      <c r="P1" s="30"/>
      <c r="Q1" s="30"/>
      <c r="R1" s="30"/>
    </row>
    <row r="2" spans="1:18" ht="15" x14ac:dyDescent="0.35">
      <c r="A2" s="9" t="s">
        <v>18</v>
      </c>
      <c r="B2" s="9" t="s">
        <v>7</v>
      </c>
      <c r="C2" s="9" t="s">
        <v>11</v>
      </c>
      <c r="D2" s="9" t="s">
        <v>12</v>
      </c>
      <c r="E2" s="9" t="s">
        <v>13</v>
      </c>
      <c r="F2" s="9" t="s">
        <v>14</v>
      </c>
      <c r="G2" s="9" t="s">
        <v>15</v>
      </c>
      <c r="H2" s="9" t="s">
        <v>21</v>
      </c>
      <c r="I2" s="9" t="s">
        <v>12</v>
      </c>
      <c r="J2" s="9" t="s">
        <v>13</v>
      </c>
      <c r="K2" s="9" t="s">
        <v>14</v>
      </c>
      <c r="L2" s="9" t="s">
        <v>15</v>
      </c>
      <c r="M2" s="9" t="s">
        <v>21</v>
      </c>
      <c r="N2" s="9" t="s">
        <v>12</v>
      </c>
      <c r="O2" s="9" t="s">
        <v>13</v>
      </c>
      <c r="P2" s="9" t="s">
        <v>14</v>
      </c>
      <c r="Q2" s="9" t="s">
        <v>15</v>
      </c>
      <c r="R2" s="9" t="s">
        <v>21</v>
      </c>
    </row>
    <row r="3" spans="1:18" x14ac:dyDescent="0.35">
      <c r="A3" s="31">
        <v>182979</v>
      </c>
      <c r="B3" s="31" t="s">
        <v>49</v>
      </c>
      <c r="C3" s="31" t="s">
        <v>22</v>
      </c>
      <c r="D3" s="31">
        <v>720</v>
      </c>
      <c r="E3" s="31">
        <v>1440</v>
      </c>
      <c r="F3" s="31">
        <v>1260</v>
      </c>
      <c r="G3" s="31">
        <v>720</v>
      </c>
      <c r="H3" s="31">
        <v>4140</v>
      </c>
      <c r="I3" s="31">
        <v>726</v>
      </c>
      <c r="J3" s="31">
        <v>1452</v>
      </c>
      <c r="K3" s="31">
        <v>1278</v>
      </c>
      <c r="L3" s="31">
        <v>726</v>
      </c>
      <c r="M3" s="31">
        <v>4182</v>
      </c>
      <c r="N3" s="32">
        <f>I3-D3</f>
        <v>6</v>
      </c>
      <c r="O3" s="32">
        <f t="shared" ref="O3:R3" si="0">J3-E3</f>
        <v>12</v>
      </c>
      <c r="P3" s="32">
        <f t="shared" si="0"/>
        <v>18</v>
      </c>
      <c r="Q3" s="32">
        <f t="shared" si="0"/>
        <v>6</v>
      </c>
      <c r="R3" s="32">
        <f t="shared" si="0"/>
        <v>42</v>
      </c>
    </row>
    <row r="4" spans="1:18" x14ac:dyDescent="0.35">
      <c r="A4" s="32"/>
      <c r="B4" s="31" t="s">
        <v>25</v>
      </c>
      <c r="C4" s="31"/>
      <c r="D4" s="31">
        <v>720</v>
      </c>
      <c r="E4" s="31">
        <v>1440</v>
      </c>
      <c r="F4" s="31">
        <v>1260</v>
      </c>
      <c r="G4" s="31">
        <v>720</v>
      </c>
      <c r="H4" s="31">
        <v>4140</v>
      </c>
      <c r="I4" s="31">
        <v>727</v>
      </c>
      <c r="J4" s="31">
        <v>1457</v>
      </c>
      <c r="K4" s="31">
        <v>1279</v>
      </c>
      <c r="L4" s="31">
        <v>727</v>
      </c>
      <c r="M4" s="31">
        <v>4190</v>
      </c>
      <c r="N4" s="32">
        <f>I4-D4</f>
        <v>7</v>
      </c>
      <c r="O4" s="32">
        <f t="shared" ref="O4" si="1">J4-E4</f>
        <v>17</v>
      </c>
      <c r="P4" s="32">
        <f t="shared" ref="P4" si="2">K4-F4</f>
        <v>19</v>
      </c>
      <c r="Q4" s="32">
        <f t="shared" ref="Q4" si="3">L4-G4</f>
        <v>7</v>
      </c>
      <c r="R4" s="32">
        <f t="shared" ref="R4" si="4">M4-H4</f>
        <v>50</v>
      </c>
    </row>
    <row r="5" spans="1:18" x14ac:dyDescent="0.35">
      <c r="A5" s="32"/>
      <c r="B5" s="31" t="s">
        <v>60</v>
      </c>
      <c r="C5" s="31"/>
      <c r="D5" s="31">
        <v>720</v>
      </c>
      <c r="E5" s="31">
        <v>1440</v>
      </c>
      <c r="F5" s="31">
        <v>1260</v>
      </c>
      <c r="G5" s="31">
        <v>720</v>
      </c>
      <c r="H5" s="31">
        <v>4140</v>
      </c>
      <c r="I5" s="31">
        <v>727</v>
      </c>
      <c r="J5" s="31">
        <v>1451</v>
      </c>
      <c r="K5" s="31">
        <v>1271</v>
      </c>
      <c r="L5" s="31">
        <v>726</v>
      </c>
      <c r="M5" s="31">
        <v>4175</v>
      </c>
      <c r="N5" s="32">
        <f>I5-D5</f>
        <v>7</v>
      </c>
      <c r="O5" s="32">
        <f t="shared" ref="O5" si="5">J5-E5</f>
        <v>11</v>
      </c>
      <c r="P5" s="32">
        <f t="shared" ref="P5" si="6">K5-F5</f>
        <v>11</v>
      </c>
      <c r="Q5" s="32">
        <f t="shared" ref="Q5" si="7">L5-G5</f>
        <v>6</v>
      </c>
      <c r="R5" s="32">
        <f t="shared" ref="R5" si="8">M5-H5</f>
        <v>35</v>
      </c>
    </row>
    <row r="6" spans="1:18" x14ac:dyDescent="0.35">
      <c r="A6" s="32"/>
      <c r="B6" s="31" t="s">
        <v>10</v>
      </c>
      <c r="C6" s="31"/>
      <c r="D6" s="31">
        <f>SUM(D3:D5)</f>
        <v>2160</v>
      </c>
      <c r="E6" s="31">
        <f t="shared" ref="E6:R6" si="9">SUM(E3:E5)</f>
        <v>4320</v>
      </c>
      <c r="F6" s="31">
        <f t="shared" si="9"/>
        <v>3780</v>
      </c>
      <c r="G6" s="31">
        <f t="shared" si="9"/>
        <v>2160</v>
      </c>
      <c r="H6" s="31">
        <f t="shared" si="9"/>
        <v>12420</v>
      </c>
      <c r="I6" s="31">
        <f t="shared" si="9"/>
        <v>2180</v>
      </c>
      <c r="J6" s="31">
        <f t="shared" si="9"/>
        <v>4360</v>
      </c>
      <c r="K6" s="31">
        <f t="shared" si="9"/>
        <v>3828</v>
      </c>
      <c r="L6" s="31">
        <f t="shared" si="9"/>
        <v>2179</v>
      </c>
      <c r="M6" s="31">
        <f t="shared" si="9"/>
        <v>12547</v>
      </c>
      <c r="N6" s="31">
        <f t="shared" si="9"/>
        <v>20</v>
      </c>
      <c r="O6" s="31">
        <f t="shared" si="9"/>
        <v>40</v>
      </c>
      <c r="P6" s="31">
        <f t="shared" si="9"/>
        <v>48</v>
      </c>
      <c r="Q6" s="31">
        <f t="shared" si="9"/>
        <v>19</v>
      </c>
      <c r="R6" s="31">
        <f t="shared" si="9"/>
        <v>127</v>
      </c>
    </row>
    <row r="7" spans="1:18" x14ac:dyDescent="0.35">
      <c r="A7" s="32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2"/>
      <c r="O7" s="32"/>
      <c r="P7" s="32"/>
      <c r="Q7" s="32"/>
      <c r="R7" s="32"/>
    </row>
    <row r="8" spans="1:18" x14ac:dyDescent="0.35">
      <c r="D8" s="27" t="s">
        <v>16</v>
      </c>
      <c r="E8" s="28"/>
      <c r="F8" s="28"/>
      <c r="G8" s="28"/>
      <c r="H8" s="28"/>
      <c r="I8" s="30" t="s">
        <v>33</v>
      </c>
      <c r="J8" s="30"/>
      <c r="K8" s="30"/>
      <c r="L8" s="30"/>
      <c r="M8" s="30"/>
      <c r="N8" s="30" t="s">
        <v>34</v>
      </c>
      <c r="O8" s="30"/>
      <c r="P8" s="30"/>
      <c r="Q8" s="30"/>
      <c r="R8" s="30"/>
    </row>
    <row r="9" spans="1:18" ht="15" x14ac:dyDescent="0.35">
      <c r="A9" s="9" t="s">
        <v>18</v>
      </c>
      <c r="B9" s="9" t="s">
        <v>7</v>
      </c>
      <c r="C9" s="9" t="s">
        <v>11</v>
      </c>
      <c r="D9" s="9" t="s">
        <v>12</v>
      </c>
      <c r="E9" s="9" t="s">
        <v>13</v>
      </c>
      <c r="F9" s="9" t="s">
        <v>14</v>
      </c>
      <c r="G9" s="9" t="s">
        <v>15</v>
      </c>
      <c r="H9" s="9" t="s">
        <v>21</v>
      </c>
      <c r="I9" s="9" t="s">
        <v>12</v>
      </c>
      <c r="J9" s="9" t="s">
        <v>13</v>
      </c>
      <c r="K9" s="9" t="s">
        <v>14</v>
      </c>
      <c r="L9" s="9" t="s">
        <v>15</v>
      </c>
      <c r="M9" s="9" t="s">
        <v>21</v>
      </c>
      <c r="N9" s="9" t="s">
        <v>12</v>
      </c>
      <c r="O9" s="9" t="s">
        <v>13</v>
      </c>
      <c r="P9" s="9" t="s">
        <v>14</v>
      </c>
      <c r="Q9" s="9" t="s">
        <v>15</v>
      </c>
      <c r="R9" s="9" t="s">
        <v>21</v>
      </c>
    </row>
    <row r="10" spans="1:18" x14ac:dyDescent="0.35">
      <c r="A10" s="31">
        <v>183014</v>
      </c>
      <c r="B10" s="31" t="s">
        <v>23</v>
      </c>
      <c r="C10" s="31" t="s">
        <v>36</v>
      </c>
      <c r="D10" s="31">
        <v>648</v>
      </c>
      <c r="E10" s="31">
        <v>1548</v>
      </c>
      <c r="F10" s="31">
        <v>1440</v>
      </c>
      <c r="G10" s="31">
        <v>612</v>
      </c>
      <c r="H10" s="31">
        <v>4248</v>
      </c>
      <c r="I10" s="32">
        <v>648</v>
      </c>
      <c r="J10" s="32">
        <v>1551</v>
      </c>
      <c r="K10" s="32">
        <v>1440</v>
      </c>
      <c r="L10" s="32">
        <v>612</v>
      </c>
      <c r="M10" s="32">
        <v>4251</v>
      </c>
      <c r="N10" s="32">
        <f>I10-D10</f>
        <v>0</v>
      </c>
      <c r="O10" s="32">
        <f t="shared" ref="O10" si="10">J10-E10</f>
        <v>3</v>
      </c>
      <c r="P10" s="32">
        <f t="shared" ref="P10" si="11">K10-F10</f>
        <v>0</v>
      </c>
      <c r="Q10" s="32">
        <f t="shared" ref="Q10" si="12">L10-G10</f>
        <v>0</v>
      </c>
      <c r="R10" s="32">
        <f t="shared" ref="R10" si="13">M10-H10</f>
        <v>3</v>
      </c>
    </row>
    <row r="11" spans="1:18" x14ac:dyDescent="0.35">
      <c r="A11" s="32"/>
      <c r="B11" s="32" t="s">
        <v>38</v>
      </c>
      <c r="C11" s="32"/>
      <c r="D11" s="32">
        <v>648</v>
      </c>
      <c r="E11" s="32">
        <v>1548</v>
      </c>
      <c r="F11" s="32">
        <v>1440</v>
      </c>
      <c r="G11" s="32">
        <v>612</v>
      </c>
      <c r="H11" s="32">
        <v>4248</v>
      </c>
      <c r="I11" s="32">
        <v>644</v>
      </c>
      <c r="J11" s="32">
        <v>1472</v>
      </c>
      <c r="K11" s="32">
        <v>1391</v>
      </c>
      <c r="L11" s="32">
        <v>617</v>
      </c>
      <c r="M11" s="32">
        <v>4124</v>
      </c>
      <c r="N11" s="32">
        <f t="shared" ref="N11:N12" si="14">I11-D11</f>
        <v>-4</v>
      </c>
      <c r="O11" s="32">
        <f t="shared" ref="O11:O12" si="15">J11-E11</f>
        <v>-76</v>
      </c>
      <c r="P11" s="32">
        <f t="shared" ref="P11:P12" si="16">K11-F11</f>
        <v>-49</v>
      </c>
      <c r="Q11" s="32">
        <f t="shared" ref="Q11:Q12" si="17">L11-G11</f>
        <v>5</v>
      </c>
      <c r="R11" s="32">
        <f t="shared" ref="R11:R12" si="18">M11-H11</f>
        <v>-124</v>
      </c>
    </row>
    <row r="12" spans="1:18" x14ac:dyDescent="0.35">
      <c r="A12" s="32"/>
      <c r="B12" s="32" t="s">
        <v>24</v>
      </c>
      <c r="C12" s="32"/>
      <c r="D12" s="32">
        <v>648</v>
      </c>
      <c r="E12" s="32">
        <v>1548</v>
      </c>
      <c r="F12" s="32">
        <v>1440</v>
      </c>
      <c r="G12" s="32">
        <v>612</v>
      </c>
      <c r="H12" s="32">
        <v>4248</v>
      </c>
      <c r="I12" s="32">
        <v>648</v>
      </c>
      <c r="J12" s="32">
        <v>1550</v>
      </c>
      <c r="K12" s="32">
        <v>1440</v>
      </c>
      <c r="L12" s="32">
        <v>612</v>
      </c>
      <c r="M12" s="32">
        <v>4250</v>
      </c>
      <c r="N12" s="32">
        <f t="shared" si="14"/>
        <v>0</v>
      </c>
      <c r="O12" s="32">
        <f t="shared" si="15"/>
        <v>2</v>
      </c>
      <c r="P12" s="32">
        <f t="shared" si="16"/>
        <v>0</v>
      </c>
      <c r="Q12" s="32">
        <f t="shared" si="17"/>
        <v>0</v>
      </c>
      <c r="R12" s="32">
        <f t="shared" si="18"/>
        <v>2</v>
      </c>
    </row>
    <row r="13" spans="1:18" x14ac:dyDescent="0.35">
      <c r="A13" s="32"/>
      <c r="B13" s="31" t="s">
        <v>10</v>
      </c>
      <c r="C13" s="31"/>
      <c r="D13" s="31">
        <f>SUM(D10:D12)</f>
        <v>1944</v>
      </c>
      <c r="E13" s="31">
        <f t="shared" ref="E13" si="19">SUM(E10:E12)</f>
        <v>4644</v>
      </c>
      <c r="F13" s="31">
        <f t="shared" ref="F13" si="20">SUM(F10:F12)</f>
        <v>4320</v>
      </c>
      <c r="G13" s="31">
        <f t="shared" ref="G13" si="21">SUM(G10:G12)</f>
        <v>1836</v>
      </c>
      <c r="H13" s="31">
        <f t="shared" ref="H13" si="22">SUM(H10:H12)</f>
        <v>12744</v>
      </c>
      <c r="I13" s="31">
        <f t="shared" ref="I13" si="23">SUM(I10:I12)</f>
        <v>1940</v>
      </c>
      <c r="J13" s="31">
        <f t="shared" ref="J13" si="24">SUM(J10:J12)</f>
        <v>4573</v>
      </c>
      <c r="K13" s="31">
        <f t="shared" ref="K13" si="25">SUM(K10:K12)</f>
        <v>4271</v>
      </c>
      <c r="L13" s="31">
        <f t="shared" ref="L13" si="26">SUM(L10:L12)</f>
        <v>1841</v>
      </c>
      <c r="M13" s="31">
        <f t="shared" ref="M13" si="27">SUM(M10:M12)</f>
        <v>12625</v>
      </c>
      <c r="N13" s="31">
        <f t="shared" ref="N13" si="28">SUM(N10:N12)</f>
        <v>-4</v>
      </c>
      <c r="O13" s="31">
        <f t="shared" ref="O13" si="29">SUM(O10:O12)</f>
        <v>-71</v>
      </c>
      <c r="P13" s="31">
        <f t="shared" ref="P13" si="30">SUM(P10:P12)</f>
        <v>-49</v>
      </c>
      <c r="Q13" s="31">
        <f t="shared" ref="Q13" si="31">SUM(Q10:Q12)</f>
        <v>5</v>
      </c>
      <c r="R13" s="31">
        <f t="shared" ref="R13" si="32">SUM(R10:R12)</f>
        <v>-119</v>
      </c>
    </row>
  </sheetData>
  <mergeCells count="6">
    <mergeCell ref="D1:H1"/>
    <mergeCell ref="I1:M1"/>
    <mergeCell ref="N1:R1"/>
    <mergeCell ref="D8:H8"/>
    <mergeCell ref="I8:M8"/>
    <mergeCell ref="N8:R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E206-A712-4F5F-8FFC-DF12BC61A37E}">
  <sheetPr>
    <tabColor rgb="FFE576AD"/>
  </sheetPr>
  <dimension ref="A1:F3"/>
  <sheetViews>
    <sheetView workbookViewId="0">
      <selection activeCell="E11" sqref="E11"/>
    </sheetView>
  </sheetViews>
  <sheetFormatPr defaultRowHeight="14.5" x14ac:dyDescent="0.35"/>
  <cols>
    <col min="1" max="1" width="9.36328125" style="7" customWidth="1"/>
    <col min="2" max="2" width="14.7265625" style="7" customWidth="1"/>
    <col min="3" max="3" width="13.453125" style="7" customWidth="1"/>
    <col min="4" max="4" width="14.54296875" style="7" customWidth="1"/>
    <col min="5" max="5" width="7" style="7" customWidth="1"/>
    <col min="6" max="6" width="17.453125" style="7" customWidth="1"/>
    <col min="7" max="16384" width="8.7265625" style="7"/>
  </cols>
  <sheetData>
    <row r="1" spans="1:6" ht="16" customHeight="1" x14ac:dyDescent="0.35">
      <c r="A1" s="9" t="s">
        <v>18</v>
      </c>
      <c r="B1" s="9" t="s">
        <v>31</v>
      </c>
      <c r="C1" s="9" t="s">
        <v>32</v>
      </c>
      <c r="D1" s="9" t="s">
        <v>33</v>
      </c>
      <c r="E1" s="9" t="s">
        <v>34</v>
      </c>
      <c r="F1" s="16" t="s">
        <v>11</v>
      </c>
    </row>
    <row r="2" spans="1:6" x14ac:dyDescent="0.35">
      <c r="A2" s="10">
        <v>182979</v>
      </c>
      <c r="B2" s="10">
        <v>12420</v>
      </c>
      <c r="C2" s="10">
        <v>12544.199999999999</v>
      </c>
      <c r="D2" s="10">
        <v>12547</v>
      </c>
      <c r="E2" s="10">
        <v>127</v>
      </c>
      <c r="F2" s="17" t="s">
        <v>22</v>
      </c>
    </row>
    <row r="3" spans="1:6" x14ac:dyDescent="0.35">
      <c r="A3" s="25">
        <v>183014</v>
      </c>
      <c r="B3" s="25">
        <v>12744</v>
      </c>
      <c r="C3" s="25">
        <v>12744</v>
      </c>
      <c r="D3" s="25">
        <v>12625</v>
      </c>
      <c r="E3" s="25">
        <v>-119</v>
      </c>
      <c r="F3" s="26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GELARAN</vt:lpstr>
      <vt:lpstr>RESUME"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HERU PRASETYO</cp:lastModifiedBy>
  <dcterms:created xsi:type="dcterms:W3CDTF">2024-06-28T02:11:31Z</dcterms:created>
  <dcterms:modified xsi:type="dcterms:W3CDTF">2024-07-17T01:41:20Z</dcterms:modified>
</cp:coreProperties>
</file>