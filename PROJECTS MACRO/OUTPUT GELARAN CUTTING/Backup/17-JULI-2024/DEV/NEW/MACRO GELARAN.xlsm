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Backup\17-JULI-2024\DEV\NEW\"/>
    </mc:Choice>
  </mc:AlternateContent>
  <xr:revisionPtr revIDLastSave="0" documentId="13_ncr:1_{003ABD91-7D19-441F-903A-F198B9A745EC}" xr6:coauthVersionLast="47" xr6:coauthVersionMax="47" xr10:uidLastSave="{00000000-0000-0000-0000-000000000000}"/>
  <bookViews>
    <workbookView xWindow="-120" yWindow="-120" windowWidth="20730" windowHeight="11160" tabRatio="785" xr2:uid="{C38BC23B-03ED-48B4-AB65-46AE9451C958}"/>
  </bookViews>
  <sheets>
    <sheet name="HOME" sheetId="1" r:id="rId1"/>
    <sheet name="GELARAN" sheetId="1164" r:id="rId2"/>
    <sheet name="RESUME" sheetId="123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1" i="1233" l="1"/>
  <c r="L61" i="1233"/>
  <c r="K61" i="1233"/>
  <c r="J61" i="1233"/>
  <c r="I61" i="1233"/>
  <c r="H61" i="1233"/>
  <c r="G61" i="1233"/>
  <c r="F61" i="1233"/>
  <c r="E61" i="1233"/>
  <c r="D61" i="1233"/>
  <c r="R60" i="1233"/>
  <c r="R61" i="1233" s="1"/>
  <c r="Q60" i="1233"/>
  <c r="Q61" i="1233" s="1"/>
  <c r="P60" i="1233"/>
  <c r="P61" i="1233" s="1"/>
  <c r="O60" i="1233"/>
  <c r="O61" i="1233" s="1"/>
  <c r="N60" i="1233"/>
  <c r="N61" i="1233" s="1"/>
  <c r="M56" i="1233"/>
  <c r="L56" i="1233"/>
  <c r="K56" i="1233"/>
  <c r="J56" i="1233"/>
  <c r="I56" i="1233"/>
  <c r="H56" i="1233"/>
  <c r="G56" i="1233"/>
  <c r="F56" i="1233"/>
  <c r="E56" i="1233"/>
  <c r="D56" i="1233"/>
  <c r="R55" i="1233"/>
  <c r="R56" i="1233" s="1"/>
  <c r="Q55" i="1233"/>
  <c r="Q56" i="1233" s="1"/>
  <c r="P55" i="1233"/>
  <c r="P56" i="1233" s="1"/>
  <c r="O55" i="1233"/>
  <c r="O56" i="1233" s="1"/>
  <c r="N55" i="1233"/>
  <c r="N56" i="1233" s="1"/>
  <c r="M51" i="1233"/>
  <c r="L51" i="1233"/>
  <c r="K51" i="1233"/>
  <c r="J51" i="1233"/>
  <c r="I51" i="1233"/>
  <c r="H51" i="1233"/>
  <c r="G51" i="1233"/>
  <c r="F51" i="1233"/>
  <c r="E51" i="1233"/>
  <c r="D51" i="1233"/>
  <c r="R50" i="1233"/>
  <c r="Q50" i="1233"/>
  <c r="P50" i="1233"/>
  <c r="O50" i="1233"/>
  <c r="N50" i="1233"/>
  <c r="R49" i="1233"/>
  <c r="Q49" i="1233"/>
  <c r="P49" i="1233"/>
  <c r="O49" i="1233"/>
  <c r="N49" i="1233"/>
  <c r="M45" i="1233"/>
  <c r="L45" i="1233"/>
  <c r="K45" i="1233"/>
  <c r="J45" i="1233"/>
  <c r="I45" i="1233"/>
  <c r="H45" i="1233"/>
  <c r="G45" i="1233"/>
  <c r="F45" i="1233"/>
  <c r="E45" i="1233"/>
  <c r="D45" i="1233"/>
  <c r="R44" i="1233"/>
  <c r="Q44" i="1233"/>
  <c r="P44" i="1233"/>
  <c r="O44" i="1233"/>
  <c r="N44" i="1233"/>
  <c r="R43" i="1233"/>
  <c r="Q43" i="1233"/>
  <c r="P43" i="1233"/>
  <c r="O43" i="1233"/>
  <c r="N43" i="1233"/>
  <c r="M39" i="1233"/>
  <c r="L39" i="1233"/>
  <c r="K39" i="1233"/>
  <c r="J39" i="1233"/>
  <c r="I39" i="1233"/>
  <c r="H39" i="1233"/>
  <c r="G39" i="1233"/>
  <c r="F39" i="1233"/>
  <c r="E39" i="1233"/>
  <c r="D39" i="1233"/>
  <c r="R38" i="1233"/>
  <c r="Q38" i="1233"/>
  <c r="P38" i="1233"/>
  <c r="O38" i="1233"/>
  <c r="N38" i="1233"/>
  <c r="R37" i="1233"/>
  <c r="Q37" i="1233"/>
  <c r="P37" i="1233"/>
  <c r="O37" i="1233"/>
  <c r="N37" i="1233"/>
  <c r="M33" i="1233"/>
  <c r="L33" i="1233"/>
  <c r="K33" i="1233"/>
  <c r="J33" i="1233"/>
  <c r="I33" i="1233"/>
  <c r="H33" i="1233"/>
  <c r="G33" i="1233"/>
  <c r="F33" i="1233"/>
  <c r="E33" i="1233"/>
  <c r="D33" i="1233"/>
  <c r="R32" i="1233"/>
  <c r="R33" i="1233" s="1"/>
  <c r="Q32" i="1233"/>
  <c r="Q33" i="1233" s="1"/>
  <c r="P32" i="1233"/>
  <c r="P33" i="1233" s="1"/>
  <c r="O32" i="1233"/>
  <c r="O33" i="1233" s="1"/>
  <c r="N32" i="1233"/>
  <c r="N33" i="1233" s="1"/>
  <c r="M28" i="1233"/>
  <c r="L28" i="1233"/>
  <c r="K28" i="1233"/>
  <c r="J28" i="1233"/>
  <c r="I28" i="1233"/>
  <c r="H28" i="1233"/>
  <c r="G28" i="1233"/>
  <c r="F28" i="1233"/>
  <c r="E28" i="1233"/>
  <c r="D28" i="1233"/>
  <c r="R27" i="1233"/>
  <c r="Q27" i="1233"/>
  <c r="P27" i="1233"/>
  <c r="O27" i="1233"/>
  <c r="N27" i="1233"/>
  <c r="R26" i="1233"/>
  <c r="Q26" i="1233"/>
  <c r="P26" i="1233"/>
  <c r="O26" i="1233"/>
  <c r="N26" i="1233"/>
  <c r="R25" i="1233"/>
  <c r="Q25" i="1233"/>
  <c r="P25" i="1233"/>
  <c r="O25" i="1233"/>
  <c r="N25" i="1233"/>
  <c r="M21" i="1233"/>
  <c r="L21" i="1233"/>
  <c r="K21" i="1233"/>
  <c r="J21" i="1233"/>
  <c r="I21" i="1233"/>
  <c r="H21" i="1233"/>
  <c r="G21" i="1233"/>
  <c r="F21" i="1233"/>
  <c r="E21" i="1233"/>
  <c r="D21" i="1233"/>
  <c r="R20" i="1233"/>
  <c r="R21" i="1233" s="1"/>
  <c r="Q20" i="1233"/>
  <c r="Q21" i="1233" s="1"/>
  <c r="P20" i="1233"/>
  <c r="P21" i="1233" s="1"/>
  <c r="O20" i="1233"/>
  <c r="O21" i="1233" s="1"/>
  <c r="N20" i="1233"/>
  <c r="N21" i="1233" s="1"/>
  <c r="G16" i="1233"/>
  <c r="F16" i="1233"/>
  <c r="E16" i="1233"/>
  <c r="D16" i="1233"/>
  <c r="I15" i="1233"/>
  <c r="I16" i="1233" s="1"/>
  <c r="H15" i="1233"/>
  <c r="H16" i="1233" s="1"/>
  <c r="M11" i="1233"/>
  <c r="L11" i="1233"/>
  <c r="K11" i="1233"/>
  <c r="J11" i="1233"/>
  <c r="I11" i="1233"/>
  <c r="H11" i="1233"/>
  <c r="G11" i="1233"/>
  <c r="F11" i="1233"/>
  <c r="E11" i="1233"/>
  <c r="D11" i="1233"/>
  <c r="R10" i="1233"/>
  <c r="R11" i="1233" s="1"/>
  <c r="Q10" i="1233"/>
  <c r="Q11" i="1233" s="1"/>
  <c r="P10" i="1233"/>
  <c r="P11" i="1233" s="1"/>
  <c r="O10" i="1233"/>
  <c r="O11" i="1233" s="1"/>
  <c r="N10" i="1233"/>
  <c r="N11" i="1233" s="1"/>
  <c r="M6" i="1233"/>
  <c r="L6" i="1233"/>
  <c r="K6" i="1233"/>
  <c r="J6" i="1233"/>
  <c r="I6" i="1233"/>
  <c r="H6" i="1233"/>
  <c r="G6" i="1233"/>
  <c r="F6" i="1233"/>
  <c r="E6" i="1233"/>
  <c r="D6" i="1233"/>
  <c r="R5" i="1233"/>
  <c r="Q5" i="1233"/>
  <c r="P5" i="1233"/>
  <c r="O5" i="1233"/>
  <c r="N5" i="1233"/>
  <c r="R4" i="1233"/>
  <c r="Q4" i="1233"/>
  <c r="P4" i="1233"/>
  <c r="O4" i="1233"/>
  <c r="N4" i="1233"/>
  <c r="R3" i="1233"/>
  <c r="Q3" i="1233"/>
  <c r="P3" i="1233"/>
  <c r="O3" i="1233"/>
  <c r="N3" i="1233"/>
  <c r="I8" i="1164"/>
  <c r="J8" i="1164"/>
  <c r="K8" i="1164"/>
  <c r="L8" i="1164"/>
  <c r="M8" i="1164"/>
  <c r="I14" i="1164"/>
  <c r="J14" i="1164"/>
  <c r="K14" i="1164"/>
  <c r="L14" i="1164"/>
  <c r="M14" i="1164"/>
  <c r="I20" i="1164"/>
  <c r="J20" i="1164"/>
  <c r="K20" i="1164"/>
  <c r="L20" i="1164"/>
  <c r="M20" i="1164"/>
  <c r="I28" i="1164"/>
  <c r="J28" i="1164"/>
  <c r="K28" i="1164"/>
  <c r="L28" i="1164"/>
  <c r="M28" i="1164"/>
  <c r="I36" i="1164"/>
  <c r="J36" i="1164"/>
  <c r="I44" i="1164"/>
  <c r="J44" i="1164"/>
  <c r="K44" i="1164"/>
  <c r="L44" i="1164"/>
  <c r="M44" i="1164"/>
  <c r="I55" i="1164"/>
  <c r="J55" i="1164"/>
  <c r="K55" i="1164"/>
  <c r="L55" i="1164"/>
  <c r="M55" i="1164"/>
  <c r="I66" i="1164"/>
  <c r="J66" i="1164"/>
  <c r="K66" i="1164"/>
  <c r="L66" i="1164"/>
  <c r="M66" i="1164"/>
  <c r="I75" i="1164"/>
  <c r="J75" i="1164"/>
  <c r="K75" i="1164"/>
  <c r="L75" i="1164"/>
  <c r="M75" i="1164"/>
  <c r="I83" i="1164"/>
  <c r="J83" i="1164"/>
  <c r="K83" i="1164"/>
  <c r="L83" i="1164"/>
  <c r="M83" i="1164"/>
  <c r="I91" i="1164"/>
  <c r="J91" i="1164"/>
  <c r="K91" i="1164"/>
  <c r="L91" i="1164"/>
  <c r="M91" i="1164"/>
  <c r="I97" i="1164"/>
  <c r="J97" i="1164"/>
  <c r="K97" i="1164"/>
  <c r="L97" i="1164"/>
  <c r="M97" i="1164"/>
  <c r="I105" i="1164"/>
  <c r="J105" i="1164"/>
  <c r="K105" i="1164"/>
  <c r="L105" i="1164"/>
  <c r="M105" i="1164"/>
  <c r="I113" i="1164"/>
  <c r="J113" i="1164"/>
  <c r="K113" i="1164"/>
  <c r="L113" i="1164"/>
  <c r="M113" i="1164"/>
  <c r="I123" i="1164"/>
  <c r="J123" i="1164"/>
  <c r="K123" i="1164"/>
  <c r="L123" i="1164"/>
  <c r="M123" i="1164"/>
  <c r="I129" i="1164"/>
  <c r="J129" i="1164"/>
  <c r="K129" i="1164"/>
  <c r="L129" i="1164"/>
  <c r="M129" i="1164"/>
  <c r="I139" i="1164"/>
  <c r="J139" i="1164"/>
  <c r="K139" i="1164"/>
  <c r="L139" i="1164"/>
  <c r="M139" i="1164"/>
  <c r="I147" i="1164"/>
  <c r="J147" i="1164"/>
  <c r="K147" i="1164"/>
  <c r="L147" i="1164"/>
  <c r="M147" i="1164"/>
  <c r="P51" i="1233" l="1"/>
  <c r="Q51" i="1233"/>
  <c r="O51" i="1233"/>
  <c r="R51" i="1233"/>
  <c r="N51" i="1233"/>
  <c r="P45" i="1233"/>
  <c r="O45" i="1233"/>
  <c r="Q45" i="1233"/>
  <c r="R45" i="1233"/>
  <c r="N45" i="1233"/>
  <c r="P39" i="1233"/>
  <c r="O39" i="1233"/>
  <c r="Q39" i="1233"/>
  <c r="R39" i="1233"/>
  <c r="N39" i="1233"/>
  <c r="P28" i="1233"/>
  <c r="O28" i="1233"/>
  <c r="Q28" i="1233"/>
  <c r="R28" i="1233"/>
  <c r="N28" i="1233"/>
  <c r="O6" i="1233"/>
  <c r="P6" i="1233"/>
  <c r="Q6" i="1233"/>
  <c r="R6" i="1233"/>
  <c r="N6" i="1233"/>
</calcChain>
</file>

<file path=xl/sharedStrings.xml><?xml version="1.0" encoding="utf-8"?>
<sst xmlns="http://schemas.openxmlformats.org/spreadsheetml/2006/main" count="669" uniqueCount="119">
  <si>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</si>
  <si>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</si>
  <si>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</si>
  <si>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</si>
  <si>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</si>
  <si>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</si>
  <si>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</si>
  <si>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</si>
  <si>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</si>
  <si>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</si>
  <si>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</si>
  <si>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</si>
  <si>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</si>
  <si>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</si>
  <si>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</si>
  <si>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</si>
  <si>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</si>
  <si>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</si>
  <si>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</si>
  <si>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</si>
  <si>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</si>
  <si>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</si>
  <si>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</si>
  <si>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</si>
  <si>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</si>
  <si>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</si>
  <si>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</si>
  <si>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</si>
  <si>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</si>
  <si>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</si>
  <si>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</si>
  <si>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</si>
  <si>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</si>
  <si>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</si>
  <si>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PO-0000247</t>
  </si>
  <si>
    <t>2024-07-19</t>
  </si>
  <si>
    <t>ADIDAS BRF, 5158002</t>
  </si>
  <si>
    <t>SCARLET</t>
  </si>
  <si>
    <t>0,1,0,0</t>
  </si>
  <si>
    <t>1,9,6,0</t>
  </si>
  <si>
    <t>1,2,2,1</t>
  </si>
  <si>
    <t>0,1,1,0</t>
  </si>
  <si>
    <t>1,0,0,1</t>
  </si>
  <si>
    <t>2024-07-16 15:54:35</t>
  </si>
  <si>
    <t>2024-07-16 15:54:52</t>
  </si>
  <si>
    <t>QTY GELAR</t>
  </si>
  <si>
    <t>BLC</t>
  </si>
  <si>
    <t>ADIDAS BRF, 5157997</t>
  </si>
  <si>
    <t>2024-07-16 09:12:52</t>
  </si>
  <si>
    <t>5,12,10,5</t>
  </si>
  <si>
    <t>2024-07-16 20:52:02</t>
  </si>
  <si>
    <t>2024-07-16 22:16:27</t>
  </si>
  <si>
    <t>1,3,3,2</t>
  </si>
  <si>
    <t>2024-07-16 19:29:51</t>
  </si>
  <si>
    <t>1,2,2,2</t>
  </si>
  <si>
    <t>2024-07-16 19:30:21</t>
  </si>
  <si>
    <t>ADIDAS BRF, 5158615</t>
  </si>
  <si>
    <t>GREEN</t>
  </si>
  <si>
    <t>2024-07-16 10:14:04</t>
  </si>
  <si>
    <t>2,0,0,2</t>
  </si>
  <si>
    <t>ADIDAS BRF, 5158615XXL</t>
  </si>
  <si>
    <t>LG INK-INDIGO</t>
  </si>
  <si>
    <t>XXL</t>
  </si>
  <si>
    <t>2024-07-16 08:24:59</t>
  </si>
  <si>
    <t>ADIDAS BRF, 5157994</t>
  </si>
  <si>
    <t>LEGEND INK</t>
  </si>
  <si>
    <t>2024-07-16 18:56:14</t>
  </si>
  <si>
    <t>ADIDAS BRF, 5158584</t>
  </si>
  <si>
    <t>2024-07-16 11:27:25</t>
  </si>
  <si>
    <t>1,9,12,0</t>
  </si>
  <si>
    <t>2024-07-16 15:39:40</t>
  </si>
  <si>
    <t>2024-07-16 15:40:13</t>
  </si>
  <si>
    <t>1,0,0,0</t>
  </si>
  <si>
    <t>2024-07-16 19:31:57</t>
  </si>
  <si>
    <t>0,0,0,1</t>
  </si>
  <si>
    <t>BEIGE</t>
  </si>
  <si>
    <t>2024-07-16 13:22:57</t>
  </si>
  <si>
    <t>2024-07-16 08:35:51</t>
  </si>
  <si>
    <t>2,0,0,0</t>
  </si>
  <si>
    <t>2024-07-16 08:36:12</t>
  </si>
  <si>
    <t>0,2,5,0</t>
  </si>
  <si>
    <t>2024-07-16 17:27:19</t>
  </si>
  <si>
    <t>0,1,2,0</t>
  </si>
  <si>
    <t>2024-07-16 21:15:15</t>
  </si>
  <si>
    <t>0,0,1,0</t>
  </si>
  <si>
    <t>2024-07-16 21:16:29</t>
  </si>
  <si>
    <t>CARBON</t>
  </si>
  <si>
    <t>2024-07-16 13:23:49</t>
  </si>
  <si>
    <t>2024-07-16 19:04:53</t>
  </si>
  <si>
    <t>2024-07-16 21:16:11</t>
  </si>
  <si>
    <t>2024-07-16 21:16:47</t>
  </si>
  <si>
    <t>ADIDAS BRF, 5158591</t>
  </si>
  <si>
    <t>SCARLET-MAROON</t>
  </si>
  <si>
    <t>2024-07-16 21:20:32</t>
  </si>
  <si>
    <t>ADIDAS BRF, 5158619</t>
  </si>
  <si>
    <t>BETTER SCARLET</t>
  </si>
  <si>
    <t>2024-07-16 20:13:08</t>
  </si>
  <si>
    <t>7,10,9,0</t>
  </si>
  <si>
    <t>2024-07-16 10:46:39</t>
  </si>
  <si>
    <t>0,0,0,2</t>
  </si>
  <si>
    <t>2024-07-16 10:46:58</t>
  </si>
  <si>
    <t>2024-07-16 10:47:38</t>
  </si>
  <si>
    <t>0,2,0,0</t>
  </si>
  <si>
    <t>ADIDAS BRF, 5158590</t>
  </si>
  <si>
    <t>2024-07-16 13:51:12</t>
  </si>
  <si>
    <t>0,4,2,0</t>
  </si>
  <si>
    <t>2024-07-16 13:51:33</t>
  </si>
  <si>
    <t>2024-07-16 12:43:44</t>
  </si>
  <si>
    <t>OLIVE</t>
  </si>
  <si>
    <t>2024-07-16 08:24:34</t>
  </si>
  <si>
    <t>ADIDAS BRF, 5158592</t>
  </si>
  <si>
    <t>2024-07-16 10:46:18</t>
  </si>
  <si>
    <t>0,2,2,0</t>
  </si>
  <si>
    <t>2024-07-16 10:48:10</t>
  </si>
  <si>
    <t>1,0,0,3</t>
  </si>
  <si>
    <t>2024-07-16 14:12:51</t>
  </si>
  <si>
    <t>ADIDAS BRF, 5158009</t>
  </si>
  <si>
    <t>PO-0000248</t>
  </si>
  <si>
    <t>2024-07-16 08:35:27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</si>
</sst>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/>
    <xf numFmtId="0" fontId="6" fillId="4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  <color rgb="FF94D050"/>
      <color rgb="FF22463D"/>
      <color rgb="FF00CCFF"/>
      <color rgb="FFFF0066"/>
      <color rgb="FF34A7B6"/>
      <color rgb="FF25433E"/>
      <color rgb="FF234345"/>
      <color rgb="FF9BCED5"/>
      <color rgb="FFE4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65CAD3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84.5703125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2</v>
      </c>
      <c r="E6" s="3" t="s">
        <v>30</v>
      </c>
      <c r="F6" s="4" t="s">
        <v>3</v>
      </c>
    </row>
    <row r="7" spans="1:7" x14ac:dyDescent="0.25">
      <c r="D7" s="2" t="s">
        <v>29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C9FB-8443-4CCF-A8EE-D9AEA65AD473}">
  <sheetPr codeName="Sheet110">
    <tabColor rgb="FF7C8C7F"/>
  </sheetPr>
  <dimension ref="A1:O149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2.42578125" style="7" customWidth="1"/>
    <col min="5" max="5" width="27.5703125" style="7" customWidth="1"/>
    <col min="6" max="6" width="14.42578125" style="7" customWidth="1"/>
    <col min="7" max="7" width="21" style="7" customWidth="1"/>
    <col min="8" max="8" width="12.140625" style="7" customWidth="1"/>
    <col min="9" max="10" width="11.85546875" style="7" customWidth="1"/>
    <col min="11" max="11" width="18.28515625" style="7" customWidth="1"/>
    <col min="12" max="12" width="24.14062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32</v>
      </c>
    </row>
    <row r="2" spans="1:15" x14ac:dyDescent="0.25">
      <c r="A2" s="10">
        <v>183015</v>
      </c>
      <c r="B2" s="10"/>
      <c r="C2" s="10"/>
      <c r="D2" s="10"/>
      <c r="E2" s="10" t="s">
        <v>47</v>
      </c>
      <c r="F2" s="10" t="s">
        <v>6</v>
      </c>
      <c r="G2" s="10" t="s">
        <v>26</v>
      </c>
      <c r="H2" s="10" t="s">
        <v>17</v>
      </c>
      <c r="I2" s="10">
        <v>360</v>
      </c>
      <c r="J2" s="10">
        <v>864</v>
      </c>
      <c r="K2" s="10">
        <v>720</v>
      </c>
      <c r="L2" s="10">
        <v>396</v>
      </c>
      <c r="M2" s="10">
        <v>2340</v>
      </c>
      <c r="N2" s="10" t="s">
        <v>35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360</v>
      </c>
      <c r="J3" s="11">
        <v>864</v>
      </c>
      <c r="K3" s="11">
        <v>720</v>
      </c>
      <c r="L3" s="11">
        <v>396</v>
      </c>
      <c r="M3" s="11">
        <v>2340</v>
      </c>
      <c r="N3" s="11"/>
      <c r="O3" s="18"/>
    </row>
    <row r="4" spans="1:15" x14ac:dyDescent="0.25">
      <c r="A4" s="10"/>
      <c r="B4" s="10">
        <v>1</v>
      </c>
      <c r="C4" s="10" t="s">
        <v>48</v>
      </c>
      <c r="D4" s="10" t="s">
        <v>49</v>
      </c>
      <c r="E4" s="10"/>
      <c r="F4" s="10"/>
      <c r="G4" s="10"/>
      <c r="H4" s="10"/>
      <c r="I4" s="10">
        <v>150</v>
      </c>
      <c r="J4" s="10">
        <v>360</v>
      </c>
      <c r="K4" s="10">
        <v>300</v>
      </c>
      <c r="L4" s="10">
        <v>150</v>
      </c>
      <c r="M4" s="10">
        <v>960</v>
      </c>
      <c r="N4" s="10"/>
      <c r="O4" s="17">
        <v>30</v>
      </c>
    </row>
    <row r="5" spans="1:15" x14ac:dyDescent="0.25">
      <c r="A5" s="11"/>
      <c r="B5" s="11">
        <v>2</v>
      </c>
      <c r="C5" s="11" t="s">
        <v>50</v>
      </c>
      <c r="D5" s="11" t="s">
        <v>49</v>
      </c>
      <c r="E5" s="11"/>
      <c r="F5" s="11"/>
      <c r="G5" s="11"/>
      <c r="H5" s="11"/>
      <c r="I5" s="11">
        <v>115</v>
      </c>
      <c r="J5" s="11">
        <v>276</v>
      </c>
      <c r="K5" s="11">
        <v>230</v>
      </c>
      <c r="L5" s="11">
        <v>115</v>
      </c>
      <c r="M5" s="11">
        <v>736</v>
      </c>
      <c r="N5" s="11"/>
      <c r="O5" s="18">
        <v>23</v>
      </c>
    </row>
    <row r="6" spans="1:15" x14ac:dyDescent="0.25">
      <c r="A6" s="10"/>
      <c r="B6" s="10">
        <v>3</v>
      </c>
      <c r="C6" s="10" t="s">
        <v>51</v>
      </c>
      <c r="D6" s="10" t="s">
        <v>52</v>
      </c>
      <c r="E6" s="10"/>
      <c r="F6" s="10"/>
      <c r="G6" s="10"/>
      <c r="H6" s="10"/>
      <c r="I6" s="10">
        <v>10</v>
      </c>
      <c r="J6" s="10">
        <v>30</v>
      </c>
      <c r="K6" s="10">
        <v>30</v>
      </c>
      <c r="L6" s="10">
        <v>20</v>
      </c>
      <c r="M6" s="10">
        <v>90</v>
      </c>
      <c r="N6" s="10"/>
      <c r="O6" s="17">
        <v>10</v>
      </c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11</v>
      </c>
      <c r="I7" s="11">
        <v>275</v>
      </c>
      <c r="J7" s="11">
        <v>666</v>
      </c>
      <c r="K7" s="11">
        <v>560</v>
      </c>
      <c r="L7" s="11">
        <v>285</v>
      </c>
      <c r="M7" s="11">
        <v>1786</v>
      </c>
      <c r="N7" s="11"/>
      <c r="O7" s="18"/>
    </row>
    <row r="8" spans="1:15" ht="17.45" customHeight="1" x14ac:dyDescent="0.25">
      <c r="A8" s="12"/>
      <c r="B8" s="12"/>
      <c r="C8" s="12"/>
      <c r="D8" s="12"/>
      <c r="E8" s="12"/>
      <c r="F8" s="12"/>
      <c r="G8" s="12"/>
      <c r="H8" s="12" t="s">
        <v>33</v>
      </c>
      <c r="I8" s="23">
        <f t="shared" ref="I8:M8" si="0">IFERROR((I7/I2)-1,"Qty Order 0")</f>
        <v>-0.23611111111111116</v>
      </c>
      <c r="J8" s="23">
        <f t="shared" si="0"/>
        <v>-0.22916666666666663</v>
      </c>
      <c r="K8" s="23">
        <f t="shared" si="0"/>
        <v>-0.22222222222222221</v>
      </c>
      <c r="L8" s="23">
        <f t="shared" si="0"/>
        <v>-0.28030303030303028</v>
      </c>
      <c r="M8" s="23">
        <f t="shared" si="0"/>
        <v>-0.2367521367521368</v>
      </c>
      <c r="N8" s="12"/>
      <c r="O8" s="19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18</v>
      </c>
      <c r="I9" s="11">
        <v>-85</v>
      </c>
      <c r="J9" s="11">
        <v>-198</v>
      </c>
      <c r="K9" s="11">
        <v>-160</v>
      </c>
      <c r="L9" s="11">
        <v>-111</v>
      </c>
      <c r="M9" s="11">
        <v>-554</v>
      </c>
      <c r="N9" s="11"/>
      <c r="O9" s="18"/>
    </row>
    <row r="10" spans="1:15" x14ac:dyDescent="0.25">
      <c r="A10" s="10"/>
      <c r="B10" s="10"/>
      <c r="C10" s="10"/>
      <c r="D10" s="10"/>
      <c r="E10" s="10" t="s">
        <v>47</v>
      </c>
      <c r="F10" s="10" t="s">
        <v>6</v>
      </c>
      <c r="G10" s="10" t="s">
        <v>25</v>
      </c>
      <c r="H10" s="10" t="s">
        <v>17</v>
      </c>
      <c r="I10" s="10">
        <v>360</v>
      </c>
      <c r="J10" s="10">
        <v>864</v>
      </c>
      <c r="K10" s="10">
        <v>720</v>
      </c>
      <c r="L10" s="10">
        <v>396</v>
      </c>
      <c r="M10" s="10">
        <v>2340</v>
      </c>
      <c r="N10" s="10" t="s">
        <v>35</v>
      </c>
      <c r="O10" s="17"/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7</v>
      </c>
      <c r="I11" s="11">
        <v>360</v>
      </c>
      <c r="J11" s="11">
        <v>864</v>
      </c>
      <c r="K11" s="11">
        <v>720</v>
      </c>
      <c r="L11" s="11">
        <v>396</v>
      </c>
      <c r="M11" s="11">
        <v>2340</v>
      </c>
      <c r="N11" s="11"/>
      <c r="O11" s="18"/>
    </row>
    <row r="12" spans="1:15" x14ac:dyDescent="0.25">
      <c r="A12" s="10"/>
      <c r="B12" s="10">
        <v>2</v>
      </c>
      <c r="C12" s="10" t="s">
        <v>53</v>
      </c>
      <c r="D12" s="10" t="s">
        <v>54</v>
      </c>
      <c r="E12" s="10"/>
      <c r="F12" s="10"/>
      <c r="G12" s="10"/>
      <c r="H12" s="10"/>
      <c r="I12" s="10">
        <v>16</v>
      </c>
      <c r="J12" s="10">
        <v>32</v>
      </c>
      <c r="K12" s="10">
        <v>32</v>
      </c>
      <c r="L12" s="10">
        <v>32</v>
      </c>
      <c r="M12" s="10">
        <v>112</v>
      </c>
      <c r="N12" s="10"/>
      <c r="O12" s="17">
        <v>16</v>
      </c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11</v>
      </c>
      <c r="I13" s="11">
        <v>16</v>
      </c>
      <c r="J13" s="11">
        <v>32</v>
      </c>
      <c r="K13" s="11">
        <v>32</v>
      </c>
      <c r="L13" s="11">
        <v>32</v>
      </c>
      <c r="M13" s="11">
        <v>112</v>
      </c>
      <c r="N13" s="11"/>
      <c r="O13" s="18"/>
    </row>
    <row r="14" spans="1:15" ht="17.45" customHeight="1" x14ac:dyDescent="0.25">
      <c r="A14" s="12"/>
      <c r="B14" s="12"/>
      <c r="C14" s="12"/>
      <c r="D14" s="12"/>
      <c r="E14" s="12"/>
      <c r="F14" s="12"/>
      <c r="G14" s="12"/>
      <c r="H14" s="12" t="s">
        <v>33</v>
      </c>
      <c r="I14" s="23">
        <f t="shared" ref="I14:M14" si="1">IFERROR((I13/I10)-1,"Qty Order 0")</f>
        <v>-0.9555555555555556</v>
      </c>
      <c r="J14" s="23">
        <f t="shared" si="1"/>
        <v>-0.96296296296296302</v>
      </c>
      <c r="K14" s="23">
        <f t="shared" si="1"/>
        <v>-0.9555555555555556</v>
      </c>
      <c r="L14" s="23">
        <f t="shared" si="1"/>
        <v>-0.91919191919191923</v>
      </c>
      <c r="M14" s="23">
        <f t="shared" si="1"/>
        <v>-0.95213675213675208</v>
      </c>
      <c r="N14" s="12"/>
      <c r="O14" s="19"/>
    </row>
    <row r="15" spans="1:15" x14ac:dyDescent="0.25">
      <c r="A15" s="11"/>
      <c r="B15" s="11"/>
      <c r="C15" s="11"/>
      <c r="D15" s="11"/>
      <c r="E15" s="11"/>
      <c r="F15" s="11"/>
      <c r="G15" s="11"/>
      <c r="H15" s="11" t="s">
        <v>18</v>
      </c>
      <c r="I15" s="11">
        <v>-344</v>
      </c>
      <c r="J15" s="11">
        <v>-832</v>
      </c>
      <c r="K15" s="11">
        <v>-688</v>
      </c>
      <c r="L15" s="11">
        <v>-364</v>
      </c>
      <c r="M15" s="11">
        <v>-2228</v>
      </c>
      <c r="N15" s="11"/>
      <c r="O15" s="18"/>
    </row>
    <row r="16" spans="1:15" x14ac:dyDescent="0.25">
      <c r="A16" s="10"/>
      <c r="B16" s="10"/>
      <c r="C16" s="10"/>
      <c r="D16" s="10"/>
      <c r="E16" s="10" t="s">
        <v>47</v>
      </c>
      <c r="F16" s="10" t="s">
        <v>6</v>
      </c>
      <c r="G16" s="10" t="s">
        <v>24</v>
      </c>
      <c r="H16" s="10" t="s">
        <v>17</v>
      </c>
      <c r="I16" s="10">
        <v>360</v>
      </c>
      <c r="J16" s="10">
        <v>864</v>
      </c>
      <c r="K16" s="10">
        <v>720</v>
      </c>
      <c r="L16" s="10">
        <v>396</v>
      </c>
      <c r="M16" s="10">
        <v>2340</v>
      </c>
      <c r="N16" s="10" t="s">
        <v>35</v>
      </c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7</v>
      </c>
      <c r="I17" s="11">
        <v>360</v>
      </c>
      <c r="J17" s="11">
        <v>864</v>
      </c>
      <c r="K17" s="11">
        <v>720</v>
      </c>
      <c r="L17" s="11">
        <v>396</v>
      </c>
      <c r="M17" s="11">
        <v>2340</v>
      </c>
      <c r="N17" s="11"/>
      <c r="O17" s="18"/>
    </row>
    <row r="18" spans="1:15" x14ac:dyDescent="0.25">
      <c r="A18" s="10"/>
      <c r="B18" s="10">
        <v>2</v>
      </c>
      <c r="C18" s="10" t="s">
        <v>55</v>
      </c>
      <c r="D18" s="10" t="s">
        <v>54</v>
      </c>
      <c r="E18" s="10"/>
      <c r="F18" s="10"/>
      <c r="G18" s="10"/>
      <c r="H18" s="10"/>
      <c r="I18" s="10">
        <v>16</v>
      </c>
      <c r="J18" s="10">
        <v>32</v>
      </c>
      <c r="K18" s="10">
        <v>32</v>
      </c>
      <c r="L18" s="10">
        <v>32</v>
      </c>
      <c r="M18" s="10">
        <v>112</v>
      </c>
      <c r="N18" s="10"/>
      <c r="O18" s="17">
        <v>16</v>
      </c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11</v>
      </c>
      <c r="I19" s="11">
        <v>16</v>
      </c>
      <c r="J19" s="11">
        <v>32</v>
      </c>
      <c r="K19" s="11">
        <v>32</v>
      </c>
      <c r="L19" s="11">
        <v>32</v>
      </c>
      <c r="M19" s="11">
        <v>112</v>
      </c>
      <c r="N19" s="11"/>
      <c r="O19" s="18"/>
    </row>
    <row r="20" spans="1:15" ht="17.45" customHeight="1" x14ac:dyDescent="0.25">
      <c r="A20" s="12"/>
      <c r="B20" s="12"/>
      <c r="C20" s="12"/>
      <c r="D20" s="12"/>
      <c r="E20" s="12"/>
      <c r="F20" s="12"/>
      <c r="G20" s="12"/>
      <c r="H20" s="12" t="s">
        <v>33</v>
      </c>
      <c r="I20" s="23">
        <f t="shared" ref="I20:M20" si="2">IFERROR((I19/I16)-1,"Qty Order 0")</f>
        <v>-0.9555555555555556</v>
      </c>
      <c r="J20" s="23">
        <f t="shared" si="2"/>
        <v>-0.96296296296296302</v>
      </c>
      <c r="K20" s="23">
        <f t="shared" si="2"/>
        <v>-0.9555555555555556</v>
      </c>
      <c r="L20" s="23">
        <f t="shared" si="2"/>
        <v>-0.91919191919191923</v>
      </c>
      <c r="M20" s="23">
        <f t="shared" si="2"/>
        <v>-0.95213675213675208</v>
      </c>
      <c r="N20" s="12"/>
      <c r="O20" s="19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18</v>
      </c>
      <c r="I21" s="11">
        <v>-344</v>
      </c>
      <c r="J21" s="11">
        <v>-832</v>
      </c>
      <c r="K21" s="11">
        <v>-688</v>
      </c>
      <c r="L21" s="11">
        <v>-364</v>
      </c>
      <c r="M21" s="11">
        <v>-2228</v>
      </c>
      <c r="N21" s="11"/>
      <c r="O21" s="18"/>
    </row>
    <row r="22" spans="1:15" ht="17.4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20"/>
    </row>
    <row r="23" spans="1:15" ht="17.45" customHeight="1" x14ac:dyDescent="0.25">
      <c r="A23" s="9" t="s">
        <v>19</v>
      </c>
      <c r="B23" s="9" t="s">
        <v>9</v>
      </c>
      <c r="C23" s="9" t="s">
        <v>20</v>
      </c>
      <c r="D23" s="9" t="s">
        <v>21</v>
      </c>
      <c r="E23" s="9" t="s">
        <v>4</v>
      </c>
      <c r="F23" s="9" t="s">
        <v>5</v>
      </c>
      <c r="G23" s="9" t="s">
        <v>8</v>
      </c>
      <c r="H23" s="9" t="s">
        <v>10</v>
      </c>
      <c r="I23" s="9" t="s">
        <v>13</v>
      </c>
      <c r="J23" s="9" t="s">
        <v>14</v>
      </c>
      <c r="K23" s="9" t="s">
        <v>15</v>
      </c>
      <c r="L23" s="9" t="s">
        <v>16</v>
      </c>
      <c r="M23" s="9" t="s">
        <v>22</v>
      </c>
      <c r="N23" s="9" t="s">
        <v>12</v>
      </c>
      <c r="O23" s="16" t="s">
        <v>32</v>
      </c>
    </row>
    <row r="24" spans="1:15" x14ac:dyDescent="0.25">
      <c r="A24" s="10">
        <v>182984</v>
      </c>
      <c r="B24" s="10"/>
      <c r="C24" s="10"/>
      <c r="D24" s="10"/>
      <c r="E24" s="10" t="s">
        <v>56</v>
      </c>
      <c r="F24" s="10" t="s">
        <v>34</v>
      </c>
      <c r="G24" s="10" t="s">
        <v>57</v>
      </c>
      <c r="H24" s="10" t="s">
        <v>17</v>
      </c>
      <c r="I24" s="10">
        <v>360</v>
      </c>
      <c r="J24" s="10">
        <v>576</v>
      </c>
      <c r="K24" s="10">
        <v>540</v>
      </c>
      <c r="L24" s="10">
        <v>360</v>
      </c>
      <c r="M24" s="10">
        <v>1836</v>
      </c>
      <c r="N24" s="10" t="s">
        <v>35</v>
      </c>
      <c r="O24" s="17"/>
    </row>
    <row r="25" spans="1:15" x14ac:dyDescent="0.25">
      <c r="A25" s="11"/>
      <c r="B25" s="11"/>
      <c r="C25" s="11"/>
      <c r="D25" s="11"/>
      <c r="E25" s="11"/>
      <c r="F25" s="11"/>
      <c r="G25" s="11"/>
      <c r="H25" s="11" t="s">
        <v>7</v>
      </c>
      <c r="I25" s="11">
        <v>363.6</v>
      </c>
      <c r="J25" s="11">
        <v>581.76</v>
      </c>
      <c r="K25" s="11">
        <v>545.4</v>
      </c>
      <c r="L25" s="11">
        <v>363.6</v>
      </c>
      <c r="M25" s="11">
        <v>1854.36</v>
      </c>
      <c r="N25" s="11"/>
      <c r="O25" s="18"/>
    </row>
    <row r="26" spans="1:15" x14ac:dyDescent="0.25">
      <c r="A26" s="10"/>
      <c r="B26" s="10">
        <v>2</v>
      </c>
      <c r="C26" s="10" t="s">
        <v>58</v>
      </c>
      <c r="D26" s="10" t="s">
        <v>59</v>
      </c>
      <c r="E26" s="10"/>
      <c r="F26" s="10"/>
      <c r="G26" s="10"/>
      <c r="H26" s="10"/>
      <c r="I26" s="10">
        <v>44</v>
      </c>
      <c r="J26" s="10">
        <v>0</v>
      </c>
      <c r="K26" s="10">
        <v>0</v>
      </c>
      <c r="L26" s="10">
        <v>44</v>
      </c>
      <c r="M26" s="10">
        <v>88</v>
      </c>
      <c r="N26" s="10"/>
      <c r="O26" s="17">
        <v>22</v>
      </c>
    </row>
    <row r="27" spans="1:15" x14ac:dyDescent="0.25">
      <c r="A27" s="11"/>
      <c r="B27" s="11"/>
      <c r="C27" s="11"/>
      <c r="D27" s="11"/>
      <c r="E27" s="11"/>
      <c r="F27" s="11"/>
      <c r="G27" s="11"/>
      <c r="H27" s="11" t="s">
        <v>11</v>
      </c>
      <c r="I27" s="11">
        <v>44</v>
      </c>
      <c r="J27" s="11">
        <v>0</v>
      </c>
      <c r="K27" s="11">
        <v>0</v>
      </c>
      <c r="L27" s="11">
        <v>44</v>
      </c>
      <c r="M27" s="11">
        <v>88</v>
      </c>
      <c r="N27" s="11"/>
      <c r="O27" s="18"/>
    </row>
    <row r="28" spans="1:15" ht="17.45" customHeight="1" x14ac:dyDescent="0.25">
      <c r="A28" s="12"/>
      <c r="B28" s="12"/>
      <c r="C28" s="12"/>
      <c r="D28" s="12"/>
      <c r="E28" s="12"/>
      <c r="F28" s="12"/>
      <c r="G28" s="12"/>
      <c r="H28" s="12" t="s">
        <v>33</v>
      </c>
      <c r="I28" s="23">
        <f t="shared" ref="I28:M28" si="3">IFERROR((I27/I24)-1,"Qty Order 0")</f>
        <v>-0.87777777777777777</v>
      </c>
      <c r="J28" s="23">
        <f t="shared" si="3"/>
        <v>-1</v>
      </c>
      <c r="K28" s="23">
        <f t="shared" si="3"/>
        <v>-1</v>
      </c>
      <c r="L28" s="23">
        <f t="shared" si="3"/>
        <v>-0.87777777777777777</v>
      </c>
      <c r="M28" s="23">
        <f t="shared" si="3"/>
        <v>-0.95206971677559915</v>
      </c>
      <c r="N28" s="12"/>
      <c r="O28" s="19"/>
    </row>
    <row r="29" spans="1:15" x14ac:dyDescent="0.25">
      <c r="A29" s="11"/>
      <c r="B29" s="11"/>
      <c r="C29" s="11"/>
      <c r="D29" s="11"/>
      <c r="E29" s="11"/>
      <c r="F29" s="11"/>
      <c r="G29" s="11"/>
      <c r="H29" s="11" t="s">
        <v>18</v>
      </c>
      <c r="I29" s="11">
        <v>-319.60000000000002</v>
      </c>
      <c r="J29" s="11">
        <v>-581.76</v>
      </c>
      <c r="K29" s="11">
        <v>-545.4</v>
      </c>
      <c r="L29" s="11">
        <v>-319.60000000000002</v>
      </c>
      <c r="M29" s="11">
        <v>-1766.36</v>
      </c>
      <c r="N29" s="11"/>
      <c r="O29" s="18"/>
    </row>
    <row r="30" spans="1:15" ht="17.4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20"/>
    </row>
    <row r="31" spans="1:15" ht="17.45" customHeight="1" x14ac:dyDescent="0.25">
      <c r="A31" s="9" t="s">
        <v>19</v>
      </c>
      <c r="B31" s="9" t="s">
        <v>9</v>
      </c>
      <c r="C31" s="9" t="s">
        <v>20</v>
      </c>
      <c r="D31" s="9" t="s">
        <v>21</v>
      </c>
      <c r="E31" s="9" t="s">
        <v>4</v>
      </c>
      <c r="F31" s="9" t="s">
        <v>5</v>
      </c>
      <c r="G31" s="9" t="s">
        <v>8</v>
      </c>
      <c r="H31" s="9" t="s">
        <v>10</v>
      </c>
      <c r="I31" s="9" t="s">
        <v>62</v>
      </c>
      <c r="J31" s="9" t="s">
        <v>22</v>
      </c>
      <c r="K31" s="9" t="s">
        <v>12</v>
      </c>
      <c r="L31" s="9" t="s">
        <v>32</v>
      </c>
      <c r="M31" s="9"/>
      <c r="N31" s="9"/>
      <c r="O31" s="16"/>
    </row>
    <row r="32" spans="1:15" x14ac:dyDescent="0.25">
      <c r="A32" s="10">
        <v>182985</v>
      </c>
      <c r="B32" s="10"/>
      <c r="C32" s="10"/>
      <c r="D32" s="10"/>
      <c r="E32" s="10" t="s">
        <v>60</v>
      </c>
      <c r="F32" s="10" t="s">
        <v>34</v>
      </c>
      <c r="G32" s="10" t="s">
        <v>61</v>
      </c>
      <c r="H32" s="10" t="s">
        <v>17</v>
      </c>
      <c r="I32" s="10">
        <v>360</v>
      </c>
      <c r="J32" s="10">
        <v>360</v>
      </c>
      <c r="K32" s="10" t="s">
        <v>35</v>
      </c>
      <c r="L32" s="10"/>
      <c r="M32" s="10"/>
      <c r="N32" s="10"/>
      <c r="O32" s="17"/>
    </row>
    <row r="33" spans="1:15" x14ac:dyDescent="0.25">
      <c r="A33" s="11"/>
      <c r="B33" s="11"/>
      <c r="C33" s="11"/>
      <c r="D33" s="11"/>
      <c r="E33" s="11"/>
      <c r="F33" s="11"/>
      <c r="G33" s="11"/>
      <c r="H33" s="11" t="s">
        <v>7</v>
      </c>
      <c r="I33" s="11">
        <v>363.6</v>
      </c>
      <c r="J33" s="11">
        <v>363.6</v>
      </c>
      <c r="K33" s="11"/>
      <c r="L33" s="11"/>
      <c r="M33" s="11"/>
      <c r="N33" s="11"/>
      <c r="O33" s="18"/>
    </row>
    <row r="34" spans="1:15" x14ac:dyDescent="0.25">
      <c r="A34" s="10"/>
      <c r="B34" s="10">
        <v>3</v>
      </c>
      <c r="C34" s="10" t="s">
        <v>63</v>
      </c>
      <c r="D34" s="10">
        <v>1</v>
      </c>
      <c r="E34" s="10"/>
      <c r="F34" s="10"/>
      <c r="G34" s="10"/>
      <c r="H34" s="10"/>
      <c r="I34" s="10">
        <v>10</v>
      </c>
      <c r="J34" s="10">
        <v>10</v>
      </c>
      <c r="K34" s="10"/>
      <c r="L34" s="10">
        <v>10</v>
      </c>
      <c r="M34" s="10"/>
      <c r="N34" s="10"/>
      <c r="O34" s="17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11</v>
      </c>
      <c r="I35" s="11">
        <v>10</v>
      </c>
      <c r="J35" s="11">
        <v>10</v>
      </c>
      <c r="K35" s="11"/>
      <c r="L35" s="11"/>
      <c r="M35" s="11"/>
      <c r="N35" s="11"/>
      <c r="O35" s="18"/>
    </row>
    <row r="36" spans="1:15" ht="17.45" customHeight="1" x14ac:dyDescent="0.25">
      <c r="A36" s="12"/>
      <c r="B36" s="12"/>
      <c r="C36" s="12"/>
      <c r="D36" s="12"/>
      <c r="E36" s="12"/>
      <c r="F36" s="12"/>
      <c r="G36" s="12"/>
      <c r="H36" s="12" t="s">
        <v>33</v>
      </c>
      <c r="I36" s="23">
        <f t="shared" ref="I36:J36" si="4">IFERROR((I35/I32)-1,"Qty Order 0")</f>
        <v>-0.97222222222222221</v>
      </c>
      <c r="J36" s="23">
        <f t="shared" si="4"/>
        <v>-0.97222222222222221</v>
      </c>
      <c r="K36" s="12"/>
      <c r="L36" s="12"/>
      <c r="M36" s="12"/>
      <c r="N36" s="12"/>
      <c r="O36" s="19"/>
    </row>
    <row r="37" spans="1:15" x14ac:dyDescent="0.25">
      <c r="A37" s="11"/>
      <c r="B37" s="11"/>
      <c r="C37" s="11"/>
      <c r="D37" s="11"/>
      <c r="E37" s="11"/>
      <c r="F37" s="11"/>
      <c r="G37" s="11"/>
      <c r="H37" s="11" t="s">
        <v>18</v>
      </c>
      <c r="I37" s="11">
        <v>-353.6</v>
      </c>
      <c r="J37" s="11">
        <v>-353.6</v>
      </c>
      <c r="K37" s="11"/>
      <c r="L37" s="11"/>
      <c r="M37" s="11"/>
      <c r="N37" s="11"/>
      <c r="O37" s="18"/>
    </row>
    <row r="38" spans="1:15" ht="17.4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20"/>
    </row>
    <row r="39" spans="1:15" ht="17.45" customHeight="1" x14ac:dyDescent="0.25">
      <c r="A39" s="9" t="s">
        <v>19</v>
      </c>
      <c r="B39" s="9" t="s">
        <v>9</v>
      </c>
      <c r="C39" s="9" t="s">
        <v>20</v>
      </c>
      <c r="D39" s="9" t="s">
        <v>21</v>
      </c>
      <c r="E39" s="9" t="s">
        <v>4</v>
      </c>
      <c r="F39" s="9" t="s">
        <v>5</v>
      </c>
      <c r="G39" s="9" t="s">
        <v>8</v>
      </c>
      <c r="H39" s="9" t="s">
        <v>10</v>
      </c>
      <c r="I39" s="9" t="s">
        <v>13</v>
      </c>
      <c r="J39" s="9" t="s">
        <v>14</v>
      </c>
      <c r="K39" s="9" t="s">
        <v>15</v>
      </c>
      <c r="L39" s="9" t="s">
        <v>16</v>
      </c>
      <c r="M39" s="9" t="s">
        <v>22</v>
      </c>
      <c r="N39" s="9" t="s">
        <v>12</v>
      </c>
      <c r="O39" s="16" t="s">
        <v>32</v>
      </c>
    </row>
    <row r="40" spans="1:15" x14ac:dyDescent="0.25">
      <c r="A40" s="10">
        <v>183013</v>
      </c>
      <c r="B40" s="10"/>
      <c r="C40" s="10"/>
      <c r="D40" s="10"/>
      <c r="E40" s="10" t="s">
        <v>64</v>
      </c>
      <c r="F40" s="10" t="s">
        <v>6</v>
      </c>
      <c r="G40" s="10" t="s">
        <v>65</v>
      </c>
      <c r="H40" s="10" t="s">
        <v>17</v>
      </c>
      <c r="I40" s="10">
        <v>504</v>
      </c>
      <c r="J40" s="10">
        <v>360</v>
      </c>
      <c r="K40" s="10">
        <v>360</v>
      </c>
      <c r="L40" s="10">
        <v>504</v>
      </c>
      <c r="M40" s="10">
        <v>1728</v>
      </c>
      <c r="N40" s="10" t="s">
        <v>35</v>
      </c>
      <c r="O40" s="17"/>
    </row>
    <row r="41" spans="1:15" x14ac:dyDescent="0.25">
      <c r="A41" s="11"/>
      <c r="B41" s="11"/>
      <c r="C41" s="11"/>
      <c r="D41" s="11"/>
      <c r="E41" s="11"/>
      <c r="F41" s="11"/>
      <c r="G41" s="11"/>
      <c r="H41" s="11" t="s">
        <v>7</v>
      </c>
      <c r="I41" s="11">
        <v>504</v>
      </c>
      <c r="J41" s="11">
        <v>360</v>
      </c>
      <c r="K41" s="11">
        <v>360</v>
      </c>
      <c r="L41" s="11">
        <v>504</v>
      </c>
      <c r="M41" s="11">
        <v>1728</v>
      </c>
      <c r="N41" s="11"/>
      <c r="O41" s="18"/>
    </row>
    <row r="42" spans="1:15" x14ac:dyDescent="0.25">
      <c r="A42" s="10"/>
      <c r="B42" s="10">
        <v>3</v>
      </c>
      <c r="C42" s="10" t="s">
        <v>66</v>
      </c>
      <c r="D42" s="10" t="s">
        <v>42</v>
      </c>
      <c r="E42" s="10"/>
      <c r="F42" s="10"/>
      <c r="G42" s="10"/>
      <c r="H42" s="10"/>
      <c r="I42" s="10">
        <v>42</v>
      </c>
      <c r="J42" s="10">
        <v>0</v>
      </c>
      <c r="K42" s="10">
        <v>0</v>
      </c>
      <c r="L42" s="10">
        <v>42</v>
      </c>
      <c r="M42" s="10">
        <v>84</v>
      </c>
      <c r="N42" s="10"/>
      <c r="O42" s="17">
        <v>42</v>
      </c>
    </row>
    <row r="43" spans="1:15" x14ac:dyDescent="0.25">
      <c r="A43" s="11"/>
      <c r="B43" s="11"/>
      <c r="C43" s="11"/>
      <c r="D43" s="11"/>
      <c r="E43" s="11"/>
      <c r="F43" s="11"/>
      <c r="G43" s="11"/>
      <c r="H43" s="11" t="s">
        <v>11</v>
      </c>
      <c r="I43" s="11">
        <v>42</v>
      </c>
      <c r="J43" s="11">
        <v>0</v>
      </c>
      <c r="K43" s="11">
        <v>0</v>
      </c>
      <c r="L43" s="11">
        <v>42</v>
      </c>
      <c r="M43" s="11">
        <v>84</v>
      </c>
      <c r="N43" s="11"/>
      <c r="O43" s="18"/>
    </row>
    <row r="44" spans="1:15" ht="17.45" customHeight="1" x14ac:dyDescent="0.25">
      <c r="A44" s="12"/>
      <c r="B44" s="12"/>
      <c r="C44" s="12"/>
      <c r="D44" s="12"/>
      <c r="E44" s="12"/>
      <c r="F44" s="12"/>
      <c r="G44" s="12"/>
      <c r="H44" s="12" t="s">
        <v>33</v>
      </c>
      <c r="I44" s="23">
        <f t="shared" ref="I44:M44" si="5">IFERROR((I43/I40)-1,"Qty Order 0")</f>
        <v>-0.91666666666666663</v>
      </c>
      <c r="J44" s="23">
        <f t="shared" si="5"/>
        <v>-1</v>
      </c>
      <c r="K44" s="23">
        <f t="shared" si="5"/>
        <v>-1</v>
      </c>
      <c r="L44" s="23">
        <f t="shared" si="5"/>
        <v>-0.91666666666666663</v>
      </c>
      <c r="M44" s="23">
        <f t="shared" si="5"/>
        <v>-0.95138888888888884</v>
      </c>
      <c r="N44" s="12"/>
      <c r="O44" s="19"/>
    </row>
    <row r="45" spans="1:15" x14ac:dyDescent="0.25">
      <c r="A45" s="11"/>
      <c r="B45" s="11"/>
      <c r="C45" s="11"/>
      <c r="D45" s="11"/>
      <c r="E45" s="11"/>
      <c r="F45" s="11"/>
      <c r="G45" s="11"/>
      <c r="H45" s="11" t="s">
        <v>18</v>
      </c>
      <c r="I45" s="11">
        <v>-462</v>
      </c>
      <c r="J45" s="11">
        <v>-360</v>
      </c>
      <c r="K45" s="11">
        <v>-360</v>
      </c>
      <c r="L45" s="11">
        <v>-462</v>
      </c>
      <c r="M45" s="11">
        <v>-1644</v>
      </c>
      <c r="N45" s="11"/>
      <c r="O45" s="18"/>
    </row>
    <row r="46" spans="1:15" ht="17.45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20"/>
    </row>
    <row r="47" spans="1:15" ht="17.45" customHeight="1" x14ac:dyDescent="0.25">
      <c r="A47" s="9" t="s">
        <v>19</v>
      </c>
      <c r="B47" s="9" t="s">
        <v>9</v>
      </c>
      <c r="C47" s="9" t="s">
        <v>20</v>
      </c>
      <c r="D47" s="9" t="s">
        <v>21</v>
      </c>
      <c r="E47" s="9" t="s">
        <v>4</v>
      </c>
      <c r="F47" s="9" t="s">
        <v>5</v>
      </c>
      <c r="G47" s="9" t="s">
        <v>8</v>
      </c>
      <c r="H47" s="9" t="s">
        <v>10</v>
      </c>
      <c r="I47" s="9" t="s">
        <v>13</v>
      </c>
      <c r="J47" s="9" t="s">
        <v>14</v>
      </c>
      <c r="K47" s="9" t="s">
        <v>15</v>
      </c>
      <c r="L47" s="9" t="s">
        <v>16</v>
      </c>
      <c r="M47" s="9" t="s">
        <v>22</v>
      </c>
      <c r="N47" s="9" t="s">
        <v>12</v>
      </c>
      <c r="O47" s="16" t="s">
        <v>32</v>
      </c>
    </row>
    <row r="48" spans="1:15" x14ac:dyDescent="0.25">
      <c r="A48" s="10">
        <v>182981</v>
      </c>
      <c r="B48" s="10"/>
      <c r="C48" s="10"/>
      <c r="D48" s="10"/>
      <c r="E48" s="10" t="s">
        <v>67</v>
      </c>
      <c r="F48" s="10" t="s">
        <v>34</v>
      </c>
      <c r="G48" s="10" t="s">
        <v>25</v>
      </c>
      <c r="H48" s="10" t="s">
        <v>17</v>
      </c>
      <c r="I48" s="10">
        <v>864</v>
      </c>
      <c r="J48" s="10">
        <v>2196</v>
      </c>
      <c r="K48" s="10">
        <v>2304</v>
      </c>
      <c r="L48" s="10">
        <v>828</v>
      </c>
      <c r="M48" s="10">
        <v>6192</v>
      </c>
      <c r="N48" s="10" t="s">
        <v>35</v>
      </c>
      <c r="O48" s="17"/>
    </row>
    <row r="49" spans="1:15" x14ac:dyDescent="0.25">
      <c r="A49" s="11"/>
      <c r="B49" s="11"/>
      <c r="C49" s="11"/>
      <c r="D49" s="11"/>
      <c r="E49" s="11"/>
      <c r="F49" s="11"/>
      <c r="G49" s="11"/>
      <c r="H49" s="11" t="s">
        <v>7</v>
      </c>
      <c r="I49" s="11">
        <v>872.64</v>
      </c>
      <c r="J49" s="11">
        <v>2217.96</v>
      </c>
      <c r="K49" s="11">
        <v>2327.04</v>
      </c>
      <c r="L49" s="11">
        <v>836.28</v>
      </c>
      <c r="M49" s="11">
        <v>6253.92</v>
      </c>
      <c r="N49" s="11"/>
      <c r="O49" s="18"/>
    </row>
    <row r="50" spans="1:15" x14ac:dyDescent="0.25">
      <c r="A50" s="10"/>
      <c r="B50" s="10">
        <v>3</v>
      </c>
      <c r="C50" s="10" t="s">
        <v>68</v>
      </c>
      <c r="D50" s="10" t="s">
        <v>69</v>
      </c>
      <c r="E50" s="10"/>
      <c r="F50" s="10"/>
      <c r="G50" s="10"/>
      <c r="H50" s="10"/>
      <c r="I50" s="10">
        <v>40</v>
      </c>
      <c r="J50" s="10">
        <v>360</v>
      </c>
      <c r="K50" s="10">
        <v>480</v>
      </c>
      <c r="L50" s="10">
        <v>0</v>
      </c>
      <c r="M50" s="10">
        <v>880</v>
      </c>
      <c r="N50" s="10"/>
      <c r="O50" s="17">
        <v>40</v>
      </c>
    </row>
    <row r="51" spans="1:15" x14ac:dyDescent="0.25">
      <c r="A51" s="11"/>
      <c r="B51" s="11">
        <v>4</v>
      </c>
      <c r="C51" s="11" t="s">
        <v>70</v>
      </c>
      <c r="D51" s="11" t="s">
        <v>38</v>
      </c>
      <c r="E51" s="11"/>
      <c r="F51" s="11"/>
      <c r="G51" s="11"/>
      <c r="H51" s="11"/>
      <c r="I51" s="11">
        <v>0</v>
      </c>
      <c r="J51" s="11">
        <v>1</v>
      </c>
      <c r="K51" s="11">
        <v>0</v>
      </c>
      <c r="L51" s="11">
        <v>0</v>
      </c>
      <c r="M51" s="11">
        <v>1</v>
      </c>
      <c r="N51" s="11"/>
      <c r="O51" s="18">
        <v>1</v>
      </c>
    </row>
    <row r="52" spans="1:15" x14ac:dyDescent="0.25">
      <c r="A52" s="10"/>
      <c r="B52" s="10">
        <v>4</v>
      </c>
      <c r="C52" s="10" t="s">
        <v>71</v>
      </c>
      <c r="D52" s="10" t="s">
        <v>72</v>
      </c>
      <c r="E52" s="10"/>
      <c r="F52" s="10"/>
      <c r="G52" s="10"/>
      <c r="H52" s="10"/>
      <c r="I52" s="10">
        <v>9</v>
      </c>
      <c r="J52" s="10">
        <v>0</v>
      </c>
      <c r="K52" s="10">
        <v>0</v>
      </c>
      <c r="L52" s="10">
        <v>0</v>
      </c>
      <c r="M52" s="10">
        <v>9</v>
      </c>
      <c r="N52" s="10"/>
      <c r="O52" s="17">
        <v>9</v>
      </c>
    </row>
    <row r="53" spans="1:15" x14ac:dyDescent="0.25">
      <c r="A53" s="11"/>
      <c r="B53" s="11">
        <v>5</v>
      </c>
      <c r="C53" s="11" t="s">
        <v>73</v>
      </c>
      <c r="D53" s="11" t="s">
        <v>74</v>
      </c>
      <c r="E53" s="11"/>
      <c r="F53" s="11"/>
      <c r="G53" s="11"/>
      <c r="H53" s="11"/>
      <c r="I53" s="11">
        <v>0</v>
      </c>
      <c r="J53" s="11">
        <v>0</v>
      </c>
      <c r="K53" s="11">
        <v>0</v>
      </c>
      <c r="L53" s="11">
        <v>12</v>
      </c>
      <c r="M53" s="11">
        <v>12</v>
      </c>
      <c r="N53" s="11"/>
      <c r="O53" s="18">
        <v>12</v>
      </c>
    </row>
    <row r="54" spans="1:15" x14ac:dyDescent="0.25">
      <c r="A54" s="10"/>
      <c r="B54" s="10"/>
      <c r="C54" s="10"/>
      <c r="D54" s="10"/>
      <c r="E54" s="10"/>
      <c r="F54" s="10"/>
      <c r="G54" s="10"/>
      <c r="H54" s="10" t="s">
        <v>11</v>
      </c>
      <c r="I54" s="10">
        <v>49</v>
      </c>
      <c r="J54" s="10">
        <v>361</v>
      </c>
      <c r="K54" s="10">
        <v>480</v>
      </c>
      <c r="L54" s="10">
        <v>12</v>
      </c>
      <c r="M54" s="10">
        <v>902</v>
      </c>
      <c r="N54" s="10"/>
      <c r="O54" s="17"/>
    </row>
    <row r="55" spans="1:15" ht="17.45" customHeight="1" x14ac:dyDescent="0.25">
      <c r="A55" s="12"/>
      <c r="B55" s="12"/>
      <c r="C55" s="12"/>
      <c r="D55" s="12"/>
      <c r="E55" s="12"/>
      <c r="F55" s="12"/>
      <c r="G55" s="12"/>
      <c r="H55" s="12" t="s">
        <v>33</v>
      </c>
      <c r="I55" s="23">
        <f t="shared" ref="I55:M55" si="6">IFERROR((I54/I48)-1,"Qty Order 0")</f>
        <v>-0.94328703703703698</v>
      </c>
      <c r="J55" s="23">
        <f t="shared" si="6"/>
        <v>-0.83561020036429867</v>
      </c>
      <c r="K55" s="23">
        <f t="shared" si="6"/>
        <v>-0.79166666666666663</v>
      </c>
      <c r="L55" s="23">
        <f t="shared" si="6"/>
        <v>-0.98550724637681164</v>
      </c>
      <c r="M55" s="23">
        <f t="shared" si="6"/>
        <v>-0.85432816537467704</v>
      </c>
      <c r="N55" s="12"/>
      <c r="O55" s="19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18</v>
      </c>
      <c r="I56" s="10">
        <v>-823.64</v>
      </c>
      <c r="J56" s="10">
        <v>-1856.96</v>
      </c>
      <c r="K56" s="10">
        <v>-1847.04</v>
      </c>
      <c r="L56" s="10">
        <v>-824.28</v>
      </c>
      <c r="M56" s="10">
        <v>-5351.92</v>
      </c>
      <c r="N56" s="10"/>
      <c r="O56" s="17"/>
    </row>
    <row r="57" spans="1:15" x14ac:dyDescent="0.25">
      <c r="A57" s="11"/>
      <c r="B57" s="11"/>
      <c r="C57" s="11"/>
      <c r="D57" s="11"/>
      <c r="E57" s="11" t="s">
        <v>67</v>
      </c>
      <c r="F57" s="11" t="s">
        <v>34</v>
      </c>
      <c r="G57" s="11" t="s">
        <v>75</v>
      </c>
      <c r="H57" s="11" t="s">
        <v>17</v>
      </c>
      <c r="I57" s="11">
        <v>864</v>
      </c>
      <c r="J57" s="11">
        <v>2196</v>
      </c>
      <c r="K57" s="11">
        <v>2304</v>
      </c>
      <c r="L57" s="11">
        <v>828</v>
      </c>
      <c r="M57" s="11">
        <v>6192</v>
      </c>
      <c r="N57" s="11" t="s">
        <v>35</v>
      </c>
      <c r="O57" s="18"/>
    </row>
    <row r="58" spans="1:15" x14ac:dyDescent="0.25">
      <c r="A58" s="10"/>
      <c r="B58" s="10"/>
      <c r="C58" s="10"/>
      <c r="D58" s="10"/>
      <c r="E58" s="10"/>
      <c r="F58" s="10"/>
      <c r="G58" s="10"/>
      <c r="H58" s="10" t="s">
        <v>7</v>
      </c>
      <c r="I58" s="10">
        <v>872.64</v>
      </c>
      <c r="J58" s="10">
        <v>2217.96</v>
      </c>
      <c r="K58" s="10">
        <v>2327.04</v>
      </c>
      <c r="L58" s="10">
        <v>836.28</v>
      </c>
      <c r="M58" s="10">
        <v>6253.92</v>
      </c>
      <c r="N58" s="10"/>
      <c r="O58" s="17"/>
    </row>
    <row r="59" spans="1:15" x14ac:dyDescent="0.25">
      <c r="A59" s="11"/>
      <c r="B59" s="11">
        <v>3</v>
      </c>
      <c r="C59" s="11" t="s">
        <v>76</v>
      </c>
      <c r="D59" s="11" t="s">
        <v>69</v>
      </c>
      <c r="E59" s="11"/>
      <c r="F59" s="11"/>
      <c r="G59" s="11"/>
      <c r="H59" s="11"/>
      <c r="I59" s="11">
        <v>9</v>
      </c>
      <c r="J59" s="11">
        <v>81</v>
      </c>
      <c r="K59" s="11">
        <v>108</v>
      </c>
      <c r="L59" s="11">
        <v>0</v>
      </c>
      <c r="M59" s="11">
        <v>198</v>
      </c>
      <c r="N59" s="11"/>
      <c r="O59" s="18">
        <v>9</v>
      </c>
    </row>
    <row r="60" spans="1:15" x14ac:dyDescent="0.25">
      <c r="A60" s="10"/>
      <c r="B60" s="10">
        <v>4</v>
      </c>
      <c r="C60" s="10" t="s">
        <v>77</v>
      </c>
      <c r="D60" s="10" t="s">
        <v>78</v>
      </c>
      <c r="E60" s="10"/>
      <c r="F60" s="10"/>
      <c r="G60" s="10"/>
      <c r="H60" s="10"/>
      <c r="I60" s="10">
        <v>28</v>
      </c>
      <c r="J60" s="10">
        <v>0</v>
      </c>
      <c r="K60" s="10">
        <v>0</v>
      </c>
      <c r="L60" s="10">
        <v>0</v>
      </c>
      <c r="M60" s="10">
        <v>28</v>
      </c>
      <c r="N60" s="10"/>
      <c r="O60" s="17">
        <v>14</v>
      </c>
    </row>
    <row r="61" spans="1:15" x14ac:dyDescent="0.25">
      <c r="A61" s="11"/>
      <c r="B61" s="11">
        <v>4</v>
      </c>
      <c r="C61" s="11" t="s">
        <v>79</v>
      </c>
      <c r="D61" s="11" t="s">
        <v>80</v>
      </c>
      <c r="E61" s="11"/>
      <c r="F61" s="11"/>
      <c r="G61" s="11"/>
      <c r="H61" s="11"/>
      <c r="I61" s="11">
        <v>0</v>
      </c>
      <c r="J61" s="11">
        <v>48</v>
      </c>
      <c r="K61" s="11">
        <v>120</v>
      </c>
      <c r="L61" s="11">
        <v>0</v>
      </c>
      <c r="M61" s="11">
        <v>168</v>
      </c>
      <c r="N61" s="11"/>
      <c r="O61" s="18">
        <v>24</v>
      </c>
    </row>
    <row r="62" spans="1:15" x14ac:dyDescent="0.25">
      <c r="A62" s="10"/>
      <c r="B62" s="10">
        <v>5</v>
      </c>
      <c r="C62" s="10" t="s">
        <v>81</v>
      </c>
      <c r="D62" s="10" t="s">
        <v>82</v>
      </c>
      <c r="E62" s="10"/>
      <c r="F62" s="10"/>
      <c r="G62" s="10"/>
      <c r="H62" s="10"/>
      <c r="I62" s="10">
        <v>0</v>
      </c>
      <c r="J62" s="10">
        <v>33</v>
      </c>
      <c r="K62" s="10">
        <v>66</v>
      </c>
      <c r="L62" s="10">
        <v>0</v>
      </c>
      <c r="M62" s="10">
        <v>99</v>
      </c>
      <c r="N62" s="10"/>
      <c r="O62" s="17">
        <v>33</v>
      </c>
    </row>
    <row r="63" spans="1:15" x14ac:dyDescent="0.25">
      <c r="A63" s="11"/>
      <c r="B63" s="11">
        <v>6</v>
      </c>
      <c r="C63" s="11" t="s">
        <v>83</v>
      </c>
      <c r="D63" s="11" t="s">
        <v>84</v>
      </c>
      <c r="E63" s="11"/>
      <c r="F63" s="11"/>
      <c r="G63" s="11"/>
      <c r="H63" s="11"/>
      <c r="I63" s="11">
        <v>0</v>
      </c>
      <c r="J63" s="11">
        <v>0</v>
      </c>
      <c r="K63" s="11">
        <v>4</v>
      </c>
      <c r="L63" s="11">
        <v>0</v>
      </c>
      <c r="M63" s="11">
        <v>4</v>
      </c>
      <c r="N63" s="11"/>
      <c r="O63" s="18">
        <v>4</v>
      </c>
    </row>
    <row r="64" spans="1:15" x14ac:dyDescent="0.25">
      <c r="A64" s="10"/>
      <c r="B64" s="10">
        <v>6</v>
      </c>
      <c r="C64" s="10" t="s">
        <v>85</v>
      </c>
      <c r="D64" s="10" t="s">
        <v>38</v>
      </c>
      <c r="E64" s="10"/>
      <c r="F64" s="10"/>
      <c r="G64" s="10"/>
      <c r="H64" s="10"/>
      <c r="I64" s="10">
        <v>0</v>
      </c>
      <c r="J64" s="10">
        <v>12</v>
      </c>
      <c r="K64" s="10">
        <v>0</v>
      </c>
      <c r="L64" s="10">
        <v>0</v>
      </c>
      <c r="M64" s="10">
        <v>12</v>
      </c>
      <c r="N64" s="10"/>
      <c r="O64" s="17">
        <v>12</v>
      </c>
    </row>
    <row r="65" spans="1:15" x14ac:dyDescent="0.25">
      <c r="A65" s="11"/>
      <c r="B65" s="11"/>
      <c r="C65" s="11"/>
      <c r="D65" s="11"/>
      <c r="E65" s="11"/>
      <c r="F65" s="11"/>
      <c r="G65" s="11"/>
      <c r="H65" s="11" t="s">
        <v>11</v>
      </c>
      <c r="I65" s="11">
        <v>37</v>
      </c>
      <c r="J65" s="11">
        <v>174</v>
      </c>
      <c r="K65" s="11">
        <v>298</v>
      </c>
      <c r="L65" s="11">
        <v>0</v>
      </c>
      <c r="M65" s="11">
        <v>509</v>
      </c>
      <c r="N65" s="11"/>
      <c r="O65" s="18"/>
    </row>
    <row r="66" spans="1:15" ht="17.45" customHeight="1" x14ac:dyDescent="0.25">
      <c r="A66" s="12"/>
      <c r="B66" s="12"/>
      <c r="C66" s="12"/>
      <c r="D66" s="12"/>
      <c r="E66" s="12"/>
      <c r="F66" s="12"/>
      <c r="G66" s="12"/>
      <c r="H66" s="12" t="s">
        <v>33</v>
      </c>
      <c r="I66" s="23">
        <f t="shared" ref="I66:M66" si="7">IFERROR((I65/I57)-1,"Qty Order 0")</f>
        <v>-0.95717592592592593</v>
      </c>
      <c r="J66" s="23">
        <f t="shared" si="7"/>
        <v>-0.92076502732240439</v>
      </c>
      <c r="K66" s="23">
        <f t="shared" si="7"/>
        <v>-0.87065972222222221</v>
      </c>
      <c r="L66" s="23">
        <f t="shared" si="7"/>
        <v>-1</v>
      </c>
      <c r="M66" s="23">
        <f t="shared" si="7"/>
        <v>-0.91779715762273906</v>
      </c>
      <c r="N66" s="12"/>
      <c r="O66" s="19"/>
    </row>
    <row r="67" spans="1:15" x14ac:dyDescent="0.25">
      <c r="A67" s="11"/>
      <c r="B67" s="11"/>
      <c r="C67" s="11"/>
      <c r="D67" s="11"/>
      <c r="E67" s="11"/>
      <c r="F67" s="11"/>
      <c r="G67" s="11"/>
      <c r="H67" s="11" t="s">
        <v>18</v>
      </c>
      <c r="I67" s="11">
        <v>-835.64</v>
      </c>
      <c r="J67" s="11">
        <v>-2043.96</v>
      </c>
      <c r="K67" s="11">
        <v>-2029.04</v>
      </c>
      <c r="L67" s="11">
        <v>-836.28</v>
      </c>
      <c r="M67" s="11">
        <v>-5744.92</v>
      </c>
      <c r="N67" s="11"/>
      <c r="O67" s="18"/>
    </row>
    <row r="68" spans="1:15" x14ac:dyDescent="0.25">
      <c r="A68" s="10"/>
      <c r="B68" s="10"/>
      <c r="C68" s="10"/>
      <c r="D68" s="10"/>
      <c r="E68" s="10" t="s">
        <v>67</v>
      </c>
      <c r="F68" s="10" t="s">
        <v>34</v>
      </c>
      <c r="G68" s="10" t="s">
        <v>86</v>
      </c>
      <c r="H68" s="10" t="s">
        <v>17</v>
      </c>
      <c r="I68" s="10">
        <v>864</v>
      </c>
      <c r="J68" s="10">
        <v>2196</v>
      </c>
      <c r="K68" s="10">
        <v>2304</v>
      </c>
      <c r="L68" s="10">
        <v>828</v>
      </c>
      <c r="M68" s="10">
        <v>6192</v>
      </c>
      <c r="N68" s="10" t="s">
        <v>35</v>
      </c>
      <c r="O68" s="17"/>
    </row>
    <row r="69" spans="1:15" x14ac:dyDescent="0.25">
      <c r="A69" s="11"/>
      <c r="B69" s="11"/>
      <c r="C69" s="11"/>
      <c r="D69" s="11"/>
      <c r="E69" s="11"/>
      <c r="F69" s="11"/>
      <c r="G69" s="11"/>
      <c r="H69" s="11" t="s">
        <v>7</v>
      </c>
      <c r="I69" s="11">
        <v>872.64</v>
      </c>
      <c r="J69" s="11">
        <v>2217.96</v>
      </c>
      <c r="K69" s="11">
        <v>2327.04</v>
      </c>
      <c r="L69" s="11">
        <v>836.28</v>
      </c>
      <c r="M69" s="11">
        <v>6253.92</v>
      </c>
      <c r="N69" s="11"/>
      <c r="O69" s="18"/>
    </row>
    <row r="70" spans="1:15" x14ac:dyDescent="0.25">
      <c r="A70" s="10"/>
      <c r="B70" s="10">
        <v>3</v>
      </c>
      <c r="C70" s="10" t="s">
        <v>87</v>
      </c>
      <c r="D70" s="10" t="s">
        <v>69</v>
      </c>
      <c r="E70" s="10"/>
      <c r="F70" s="10"/>
      <c r="G70" s="10"/>
      <c r="H70" s="10"/>
      <c r="I70" s="10">
        <v>19</v>
      </c>
      <c r="J70" s="10">
        <v>171</v>
      </c>
      <c r="K70" s="10">
        <v>228</v>
      </c>
      <c r="L70" s="10">
        <v>0</v>
      </c>
      <c r="M70" s="10">
        <v>418</v>
      </c>
      <c r="N70" s="10"/>
      <c r="O70" s="17">
        <v>19</v>
      </c>
    </row>
    <row r="71" spans="1:15" x14ac:dyDescent="0.25">
      <c r="A71" s="11"/>
      <c r="B71" s="11">
        <v>5</v>
      </c>
      <c r="C71" s="11" t="s">
        <v>88</v>
      </c>
      <c r="D71" s="11" t="s">
        <v>82</v>
      </c>
      <c r="E71" s="11"/>
      <c r="F71" s="11"/>
      <c r="G71" s="11"/>
      <c r="H71" s="11"/>
      <c r="I71" s="11">
        <v>0</v>
      </c>
      <c r="J71" s="11">
        <v>2</v>
      </c>
      <c r="K71" s="11">
        <v>4</v>
      </c>
      <c r="L71" s="11">
        <v>0</v>
      </c>
      <c r="M71" s="11">
        <v>6</v>
      </c>
      <c r="N71" s="11"/>
      <c r="O71" s="18">
        <v>2</v>
      </c>
    </row>
    <row r="72" spans="1:15" x14ac:dyDescent="0.25">
      <c r="A72" s="10"/>
      <c r="B72" s="10">
        <v>6</v>
      </c>
      <c r="C72" s="10" t="s">
        <v>89</v>
      </c>
      <c r="D72" s="10" t="s">
        <v>84</v>
      </c>
      <c r="E72" s="10"/>
      <c r="F72" s="10"/>
      <c r="G72" s="10"/>
      <c r="H72" s="10"/>
      <c r="I72" s="10">
        <v>0</v>
      </c>
      <c r="J72" s="10">
        <v>0</v>
      </c>
      <c r="K72" s="10">
        <v>7</v>
      </c>
      <c r="L72" s="10">
        <v>0</v>
      </c>
      <c r="M72" s="10">
        <v>7</v>
      </c>
      <c r="N72" s="10"/>
      <c r="O72" s="17">
        <v>7</v>
      </c>
    </row>
    <row r="73" spans="1:15" x14ac:dyDescent="0.25">
      <c r="A73" s="11"/>
      <c r="B73" s="11">
        <v>6</v>
      </c>
      <c r="C73" s="11" t="s">
        <v>90</v>
      </c>
      <c r="D73" s="11" t="s">
        <v>38</v>
      </c>
      <c r="E73" s="11"/>
      <c r="F73" s="11"/>
      <c r="G73" s="11"/>
      <c r="H73" s="11"/>
      <c r="I73" s="11">
        <v>0</v>
      </c>
      <c r="J73" s="11">
        <v>8</v>
      </c>
      <c r="K73" s="11">
        <v>0</v>
      </c>
      <c r="L73" s="11">
        <v>0</v>
      </c>
      <c r="M73" s="11">
        <v>8</v>
      </c>
      <c r="N73" s="11"/>
      <c r="O73" s="18">
        <v>8</v>
      </c>
    </row>
    <row r="74" spans="1:15" x14ac:dyDescent="0.25">
      <c r="A74" s="10"/>
      <c r="B74" s="10"/>
      <c r="C74" s="10"/>
      <c r="D74" s="10"/>
      <c r="E74" s="10"/>
      <c r="F74" s="10"/>
      <c r="G74" s="10"/>
      <c r="H74" s="10" t="s">
        <v>11</v>
      </c>
      <c r="I74" s="10">
        <v>19</v>
      </c>
      <c r="J74" s="10">
        <v>181</v>
      </c>
      <c r="K74" s="10">
        <v>239</v>
      </c>
      <c r="L74" s="10">
        <v>0</v>
      </c>
      <c r="M74" s="10">
        <v>439</v>
      </c>
      <c r="N74" s="10"/>
      <c r="O74" s="17"/>
    </row>
    <row r="75" spans="1:15" ht="17.45" customHeight="1" x14ac:dyDescent="0.25">
      <c r="A75" s="12"/>
      <c r="B75" s="12"/>
      <c r="C75" s="12"/>
      <c r="D75" s="12"/>
      <c r="E75" s="12"/>
      <c r="F75" s="12"/>
      <c r="G75" s="12"/>
      <c r="H75" s="12" t="s">
        <v>33</v>
      </c>
      <c r="I75" s="23">
        <f t="shared" ref="I75:M75" si="8">IFERROR((I74/I68)-1,"Qty Order 0")</f>
        <v>-0.9780092592592593</v>
      </c>
      <c r="J75" s="23">
        <f t="shared" si="8"/>
        <v>-0.91757741347905286</v>
      </c>
      <c r="K75" s="23">
        <f t="shared" si="8"/>
        <v>-0.89626736111111116</v>
      </c>
      <c r="L75" s="23">
        <f t="shared" si="8"/>
        <v>-1</v>
      </c>
      <c r="M75" s="23">
        <f t="shared" si="8"/>
        <v>-0.92910206718346255</v>
      </c>
      <c r="N75" s="12"/>
      <c r="O75" s="19"/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18</v>
      </c>
      <c r="I76" s="10">
        <v>-853.64</v>
      </c>
      <c r="J76" s="10">
        <v>-2036.96</v>
      </c>
      <c r="K76" s="10">
        <v>-2088.04</v>
      </c>
      <c r="L76" s="10">
        <v>-836.28</v>
      </c>
      <c r="M76" s="10">
        <v>-5814.92</v>
      </c>
      <c r="N76" s="10"/>
      <c r="O76" s="17"/>
    </row>
    <row r="77" spans="1:15" ht="17.4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20"/>
    </row>
    <row r="78" spans="1:15" ht="17.45" customHeight="1" x14ac:dyDescent="0.25">
      <c r="A78" s="9" t="s">
        <v>19</v>
      </c>
      <c r="B78" s="9" t="s">
        <v>9</v>
      </c>
      <c r="C78" s="9" t="s">
        <v>20</v>
      </c>
      <c r="D78" s="9" t="s">
        <v>21</v>
      </c>
      <c r="E78" s="9" t="s">
        <v>4</v>
      </c>
      <c r="F78" s="9" t="s">
        <v>5</v>
      </c>
      <c r="G78" s="9" t="s">
        <v>8</v>
      </c>
      <c r="H78" s="9" t="s">
        <v>10</v>
      </c>
      <c r="I78" s="9" t="s">
        <v>13</v>
      </c>
      <c r="J78" s="9" t="s">
        <v>14</v>
      </c>
      <c r="K78" s="9" t="s">
        <v>15</v>
      </c>
      <c r="L78" s="9" t="s">
        <v>16</v>
      </c>
      <c r="M78" s="9" t="s">
        <v>22</v>
      </c>
      <c r="N78" s="9" t="s">
        <v>12</v>
      </c>
      <c r="O78" s="16" t="s">
        <v>32</v>
      </c>
    </row>
    <row r="79" spans="1:15" x14ac:dyDescent="0.25">
      <c r="A79" s="11">
        <v>183022</v>
      </c>
      <c r="B79" s="11"/>
      <c r="C79" s="11"/>
      <c r="D79" s="11"/>
      <c r="E79" s="11" t="s">
        <v>91</v>
      </c>
      <c r="F79" s="11" t="s">
        <v>6</v>
      </c>
      <c r="G79" s="11" t="s">
        <v>92</v>
      </c>
      <c r="H79" s="11" t="s">
        <v>17</v>
      </c>
      <c r="I79" s="11">
        <v>360</v>
      </c>
      <c r="J79" s="11">
        <v>720</v>
      </c>
      <c r="K79" s="11">
        <v>720</v>
      </c>
      <c r="L79" s="11">
        <v>360</v>
      </c>
      <c r="M79" s="11">
        <v>2160</v>
      </c>
      <c r="N79" s="11" t="s">
        <v>23</v>
      </c>
      <c r="O79" s="18"/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7</v>
      </c>
      <c r="I80" s="10">
        <v>360</v>
      </c>
      <c r="J80" s="10">
        <v>720</v>
      </c>
      <c r="K80" s="10">
        <v>720</v>
      </c>
      <c r="L80" s="10">
        <v>360</v>
      </c>
      <c r="M80" s="10">
        <v>2160</v>
      </c>
      <c r="N80" s="10"/>
      <c r="O80" s="17"/>
    </row>
    <row r="81" spans="1:15" x14ac:dyDescent="0.25">
      <c r="A81" s="11"/>
      <c r="B81" s="11">
        <v>3</v>
      </c>
      <c r="C81" s="11" t="s">
        <v>93</v>
      </c>
      <c r="D81" s="11" t="s">
        <v>40</v>
      </c>
      <c r="E81" s="11"/>
      <c r="F81" s="11"/>
      <c r="G81" s="11"/>
      <c r="H81" s="11"/>
      <c r="I81" s="11">
        <v>6</v>
      </c>
      <c r="J81" s="11">
        <v>12</v>
      </c>
      <c r="K81" s="11">
        <v>12</v>
      </c>
      <c r="L81" s="11">
        <v>6</v>
      </c>
      <c r="M81" s="11">
        <v>36</v>
      </c>
      <c r="N81" s="11"/>
      <c r="O81" s="18">
        <v>6</v>
      </c>
    </row>
    <row r="82" spans="1:15" x14ac:dyDescent="0.25">
      <c r="A82" s="10"/>
      <c r="B82" s="10"/>
      <c r="C82" s="10"/>
      <c r="D82" s="10"/>
      <c r="E82" s="10"/>
      <c r="F82" s="10"/>
      <c r="G82" s="10"/>
      <c r="H82" s="10" t="s">
        <v>11</v>
      </c>
      <c r="I82" s="10">
        <v>6</v>
      </c>
      <c r="J82" s="10">
        <v>12</v>
      </c>
      <c r="K82" s="10">
        <v>12</v>
      </c>
      <c r="L82" s="10">
        <v>6</v>
      </c>
      <c r="M82" s="10">
        <v>36</v>
      </c>
      <c r="N82" s="10"/>
      <c r="O82" s="17"/>
    </row>
    <row r="83" spans="1:15" ht="17.45" customHeight="1" x14ac:dyDescent="0.25">
      <c r="A83" s="12"/>
      <c r="B83" s="12"/>
      <c r="C83" s="12"/>
      <c r="D83" s="12"/>
      <c r="E83" s="12"/>
      <c r="F83" s="12"/>
      <c r="G83" s="12"/>
      <c r="H83" s="12" t="s">
        <v>33</v>
      </c>
      <c r="I83" s="23">
        <f t="shared" ref="I83:M83" si="9">IFERROR((I82/I79)-1,"Qty Order 0")</f>
        <v>-0.98333333333333328</v>
      </c>
      <c r="J83" s="23">
        <f t="shared" si="9"/>
        <v>-0.98333333333333328</v>
      </c>
      <c r="K83" s="23">
        <f t="shared" si="9"/>
        <v>-0.98333333333333328</v>
      </c>
      <c r="L83" s="23">
        <f t="shared" si="9"/>
        <v>-0.98333333333333328</v>
      </c>
      <c r="M83" s="23">
        <f t="shared" si="9"/>
        <v>-0.98333333333333328</v>
      </c>
      <c r="N83" s="12"/>
      <c r="O83" s="19"/>
    </row>
    <row r="84" spans="1:15" x14ac:dyDescent="0.25">
      <c r="A84" s="10"/>
      <c r="B84" s="10"/>
      <c r="C84" s="10"/>
      <c r="D84" s="10"/>
      <c r="E84" s="10"/>
      <c r="F84" s="10"/>
      <c r="G84" s="10"/>
      <c r="H84" s="10" t="s">
        <v>18</v>
      </c>
      <c r="I84" s="10">
        <v>-354</v>
      </c>
      <c r="J84" s="10">
        <v>-708</v>
      </c>
      <c r="K84" s="10">
        <v>-708</v>
      </c>
      <c r="L84" s="10">
        <v>-354</v>
      </c>
      <c r="M84" s="10">
        <v>-2124</v>
      </c>
      <c r="N84" s="10"/>
      <c r="O84" s="17"/>
    </row>
    <row r="85" spans="1:15" ht="17.4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20"/>
    </row>
    <row r="86" spans="1:15" ht="17.45" customHeight="1" x14ac:dyDescent="0.25">
      <c r="A86" s="9" t="s">
        <v>19</v>
      </c>
      <c r="B86" s="9" t="s">
        <v>9</v>
      </c>
      <c r="C86" s="9" t="s">
        <v>20</v>
      </c>
      <c r="D86" s="9" t="s">
        <v>21</v>
      </c>
      <c r="E86" s="9" t="s">
        <v>4</v>
      </c>
      <c r="F86" s="9" t="s">
        <v>5</v>
      </c>
      <c r="G86" s="9" t="s">
        <v>8</v>
      </c>
      <c r="H86" s="9" t="s">
        <v>10</v>
      </c>
      <c r="I86" s="9" t="s">
        <v>13</v>
      </c>
      <c r="J86" s="9" t="s">
        <v>14</v>
      </c>
      <c r="K86" s="9" t="s">
        <v>15</v>
      </c>
      <c r="L86" s="9" t="s">
        <v>16</v>
      </c>
      <c r="M86" s="9" t="s">
        <v>22</v>
      </c>
      <c r="N86" s="9" t="s">
        <v>12</v>
      </c>
      <c r="O86" s="16" t="s">
        <v>32</v>
      </c>
    </row>
    <row r="87" spans="1:15" x14ac:dyDescent="0.25">
      <c r="A87" s="11">
        <v>183014</v>
      </c>
      <c r="B87" s="11"/>
      <c r="C87" s="11"/>
      <c r="D87" s="11"/>
      <c r="E87" s="11" t="s">
        <v>36</v>
      </c>
      <c r="F87" s="11" t="s">
        <v>6</v>
      </c>
      <c r="G87" s="11" t="s">
        <v>25</v>
      </c>
      <c r="H87" s="11" t="s">
        <v>17</v>
      </c>
      <c r="I87" s="11">
        <v>648</v>
      </c>
      <c r="J87" s="11">
        <v>1548</v>
      </c>
      <c r="K87" s="11">
        <v>1440</v>
      </c>
      <c r="L87" s="11">
        <v>612</v>
      </c>
      <c r="M87" s="11">
        <v>4248</v>
      </c>
      <c r="N87" s="11" t="s">
        <v>35</v>
      </c>
      <c r="O87" s="18"/>
    </row>
    <row r="88" spans="1:15" x14ac:dyDescent="0.25">
      <c r="A88" s="10"/>
      <c r="B88" s="10"/>
      <c r="C88" s="10"/>
      <c r="D88" s="10"/>
      <c r="E88" s="10"/>
      <c r="F88" s="10"/>
      <c r="G88" s="10"/>
      <c r="H88" s="10" t="s">
        <v>7</v>
      </c>
      <c r="I88" s="10">
        <v>648</v>
      </c>
      <c r="J88" s="10">
        <v>1548</v>
      </c>
      <c r="K88" s="10">
        <v>1440</v>
      </c>
      <c r="L88" s="10">
        <v>612</v>
      </c>
      <c r="M88" s="10">
        <v>4248</v>
      </c>
      <c r="N88" s="10"/>
      <c r="O88" s="17"/>
    </row>
    <row r="89" spans="1:15" x14ac:dyDescent="0.25">
      <c r="A89" s="11"/>
      <c r="B89" s="11">
        <v>4</v>
      </c>
      <c r="C89" s="11" t="s">
        <v>43</v>
      </c>
      <c r="D89" s="11" t="s">
        <v>39</v>
      </c>
      <c r="E89" s="11"/>
      <c r="F89" s="11"/>
      <c r="G89" s="11"/>
      <c r="H89" s="11"/>
      <c r="I89" s="11">
        <v>36</v>
      </c>
      <c r="J89" s="11">
        <v>324</v>
      </c>
      <c r="K89" s="11">
        <v>216</v>
      </c>
      <c r="L89" s="11">
        <v>0</v>
      </c>
      <c r="M89" s="11">
        <v>576</v>
      </c>
      <c r="N89" s="11"/>
      <c r="O89" s="18">
        <v>36</v>
      </c>
    </row>
    <row r="90" spans="1:15" x14ac:dyDescent="0.25">
      <c r="A90" s="10"/>
      <c r="B90" s="10"/>
      <c r="C90" s="10"/>
      <c r="D90" s="10"/>
      <c r="E90" s="10"/>
      <c r="F90" s="10"/>
      <c r="G90" s="10"/>
      <c r="H90" s="10" t="s">
        <v>11</v>
      </c>
      <c r="I90" s="10">
        <v>36</v>
      </c>
      <c r="J90" s="10">
        <v>324</v>
      </c>
      <c r="K90" s="10">
        <v>216</v>
      </c>
      <c r="L90" s="10">
        <v>0</v>
      </c>
      <c r="M90" s="10">
        <v>576</v>
      </c>
      <c r="N90" s="10"/>
      <c r="O90" s="17"/>
    </row>
    <row r="91" spans="1:15" ht="17.45" customHeight="1" x14ac:dyDescent="0.25">
      <c r="A91" s="12"/>
      <c r="B91" s="12"/>
      <c r="C91" s="12"/>
      <c r="D91" s="12"/>
      <c r="E91" s="12"/>
      <c r="F91" s="12"/>
      <c r="G91" s="12"/>
      <c r="H91" s="12" t="s">
        <v>33</v>
      </c>
      <c r="I91" s="23">
        <f t="shared" ref="I91:M91" si="10">IFERROR((I90/I87)-1,"Qty Order 0")</f>
        <v>-0.94444444444444442</v>
      </c>
      <c r="J91" s="23">
        <f t="shared" si="10"/>
        <v>-0.79069767441860461</v>
      </c>
      <c r="K91" s="23">
        <f t="shared" si="10"/>
        <v>-0.85</v>
      </c>
      <c r="L91" s="23">
        <f t="shared" si="10"/>
        <v>-1</v>
      </c>
      <c r="M91" s="23">
        <f t="shared" si="10"/>
        <v>-0.86440677966101698</v>
      </c>
      <c r="N91" s="12"/>
      <c r="O91" s="19"/>
    </row>
    <row r="92" spans="1:15" x14ac:dyDescent="0.25">
      <c r="A92" s="10"/>
      <c r="B92" s="10"/>
      <c r="C92" s="10"/>
      <c r="D92" s="10"/>
      <c r="E92" s="10"/>
      <c r="F92" s="10"/>
      <c r="G92" s="10"/>
      <c r="H92" s="10" t="s">
        <v>18</v>
      </c>
      <c r="I92" s="10">
        <v>-612</v>
      </c>
      <c r="J92" s="10">
        <v>-1224</v>
      </c>
      <c r="K92" s="10">
        <v>-1224</v>
      </c>
      <c r="L92" s="10">
        <v>-612</v>
      </c>
      <c r="M92" s="10">
        <v>-3672</v>
      </c>
      <c r="N92" s="10"/>
      <c r="O92" s="17"/>
    </row>
    <row r="93" spans="1:15" x14ac:dyDescent="0.25">
      <c r="A93" s="11"/>
      <c r="B93" s="11"/>
      <c r="C93" s="11"/>
      <c r="D93" s="11"/>
      <c r="E93" s="11" t="s">
        <v>36</v>
      </c>
      <c r="F93" s="11" t="s">
        <v>6</v>
      </c>
      <c r="G93" s="11" t="s">
        <v>37</v>
      </c>
      <c r="H93" s="11" t="s">
        <v>17</v>
      </c>
      <c r="I93" s="11">
        <v>648</v>
      </c>
      <c r="J93" s="11">
        <v>1548</v>
      </c>
      <c r="K93" s="11">
        <v>1440</v>
      </c>
      <c r="L93" s="11">
        <v>612</v>
      </c>
      <c r="M93" s="11">
        <v>4248</v>
      </c>
      <c r="N93" s="11" t="s">
        <v>35</v>
      </c>
      <c r="O93" s="18"/>
    </row>
    <row r="94" spans="1:15" x14ac:dyDescent="0.25">
      <c r="A94" s="10"/>
      <c r="B94" s="10"/>
      <c r="C94" s="10"/>
      <c r="D94" s="10"/>
      <c r="E94" s="10"/>
      <c r="F94" s="10"/>
      <c r="G94" s="10"/>
      <c r="H94" s="10" t="s">
        <v>7</v>
      </c>
      <c r="I94" s="10">
        <v>648</v>
      </c>
      <c r="J94" s="10">
        <v>1548</v>
      </c>
      <c r="K94" s="10">
        <v>1440</v>
      </c>
      <c r="L94" s="10">
        <v>612</v>
      </c>
      <c r="M94" s="10">
        <v>4248</v>
      </c>
      <c r="N94" s="10"/>
      <c r="O94" s="17"/>
    </row>
    <row r="95" spans="1:15" x14ac:dyDescent="0.25">
      <c r="A95" s="11"/>
      <c r="B95" s="11">
        <v>6</v>
      </c>
      <c r="C95" s="11" t="s">
        <v>44</v>
      </c>
      <c r="D95" s="11" t="s">
        <v>39</v>
      </c>
      <c r="E95" s="11"/>
      <c r="F95" s="11"/>
      <c r="G95" s="11"/>
      <c r="H95" s="11"/>
      <c r="I95" s="11">
        <v>26</v>
      </c>
      <c r="J95" s="11">
        <v>234</v>
      </c>
      <c r="K95" s="11">
        <v>156</v>
      </c>
      <c r="L95" s="11">
        <v>0</v>
      </c>
      <c r="M95" s="11">
        <v>416</v>
      </c>
      <c r="N95" s="11"/>
      <c r="O95" s="18">
        <v>26</v>
      </c>
    </row>
    <row r="96" spans="1:15" x14ac:dyDescent="0.25">
      <c r="A96" s="10"/>
      <c r="B96" s="10"/>
      <c r="C96" s="10"/>
      <c r="D96" s="10"/>
      <c r="E96" s="10"/>
      <c r="F96" s="10"/>
      <c r="G96" s="10"/>
      <c r="H96" s="10" t="s">
        <v>11</v>
      </c>
      <c r="I96" s="10">
        <v>26</v>
      </c>
      <c r="J96" s="10">
        <v>234</v>
      </c>
      <c r="K96" s="10">
        <v>156</v>
      </c>
      <c r="L96" s="10">
        <v>0</v>
      </c>
      <c r="M96" s="10">
        <v>416</v>
      </c>
      <c r="N96" s="10"/>
      <c r="O96" s="17"/>
    </row>
    <row r="97" spans="1:15" ht="17.45" customHeight="1" x14ac:dyDescent="0.25">
      <c r="A97" s="12"/>
      <c r="B97" s="12"/>
      <c r="C97" s="12"/>
      <c r="D97" s="12"/>
      <c r="E97" s="12"/>
      <c r="F97" s="12"/>
      <c r="G97" s="12"/>
      <c r="H97" s="12" t="s">
        <v>33</v>
      </c>
      <c r="I97" s="23">
        <f t="shared" ref="I97:M97" si="11">IFERROR((I96/I93)-1,"Qty Order 0")</f>
        <v>-0.95987654320987659</v>
      </c>
      <c r="J97" s="23">
        <f t="shared" si="11"/>
        <v>-0.84883720930232553</v>
      </c>
      <c r="K97" s="23">
        <f t="shared" si="11"/>
        <v>-0.89166666666666661</v>
      </c>
      <c r="L97" s="23">
        <f t="shared" si="11"/>
        <v>-1</v>
      </c>
      <c r="M97" s="23">
        <f t="shared" si="11"/>
        <v>-0.90207156308851222</v>
      </c>
      <c r="N97" s="12"/>
      <c r="O97" s="19"/>
    </row>
    <row r="98" spans="1:15" x14ac:dyDescent="0.25">
      <c r="A98" s="10"/>
      <c r="B98" s="10"/>
      <c r="C98" s="10"/>
      <c r="D98" s="10"/>
      <c r="E98" s="10"/>
      <c r="F98" s="10"/>
      <c r="G98" s="10"/>
      <c r="H98" s="10" t="s">
        <v>18</v>
      </c>
      <c r="I98" s="10">
        <v>-622</v>
      </c>
      <c r="J98" s="10">
        <v>-1314</v>
      </c>
      <c r="K98" s="10">
        <v>-1284</v>
      </c>
      <c r="L98" s="10">
        <v>-612</v>
      </c>
      <c r="M98" s="10">
        <v>-3832</v>
      </c>
      <c r="N98" s="10"/>
      <c r="O98" s="17"/>
    </row>
    <row r="99" spans="1:15" ht="17.45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20"/>
    </row>
    <row r="100" spans="1:15" ht="17.45" customHeight="1" x14ac:dyDescent="0.25">
      <c r="A100" s="9" t="s">
        <v>19</v>
      </c>
      <c r="B100" s="9" t="s">
        <v>9</v>
      </c>
      <c r="C100" s="9" t="s">
        <v>20</v>
      </c>
      <c r="D100" s="9" t="s">
        <v>21</v>
      </c>
      <c r="E100" s="9" t="s">
        <v>4</v>
      </c>
      <c r="F100" s="9" t="s">
        <v>5</v>
      </c>
      <c r="G100" s="9" t="s">
        <v>8</v>
      </c>
      <c r="H100" s="9" t="s">
        <v>10</v>
      </c>
      <c r="I100" s="9" t="s">
        <v>13</v>
      </c>
      <c r="J100" s="9" t="s">
        <v>14</v>
      </c>
      <c r="K100" s="9" t="s">
        <v>15</v>
      </c>
      <c r="L100" s="9" t="s">
        <v>16</v>
      </c>
      <c r="M100" s="9" t="s">
        <v>22</v>
      </c>
      <c r="N100" s="9" t="s">
        <v>12</v>
      </c>
      <c r="O100" s="16" t="s">
        <v>32</v>
      </c>
    </row>
    <row r="101" spans="1:15" x14ac:dyDescent="0.25">
      <c r="A101" s="11">
        <v>182974</v>
      </c>
      <c r="B101" s="11"/>
      <c r="C101" s="11"/>
      <c r="D101" s="11"/>
      <c r="E101" s="11" t="s">
        <v>94</v>
      </c>
      <c r="F101" s="11" t="s">
        <v>34</v>
      </c>
      <c r="G101" s="11" t="s">
        <v>95</v>
      </c>
      <c r="H101" s="11" t="s">
        <v>17</v>
      </c>
      <c r="I101" s="11">
        <v>1836</v>
      </c>
      <c r="J101" s="11">
        <v>4248</v>
      </c>
      <c r="K101" s="11">
        <v>4104</v>
      </c>
      <c r="L101" s="11">
        <v>1872</v>
      </c>
      <c r="M101" s="11">
        <v>12060</v>
      </c>
      <c r="N101" s="11" t="s">
        <v>35</v>
      </c>
      <c r="O101" s="18"/>
    </row>
    <row r="102" spans="1:15" x14ac:dyDescent="0.25">
      <c r="A102" s="10"/>
      <c r="B102" s="10"/>
      <c r="C102" s="10"/>
      <c r="D102" s="10"/>
      <c r="E102" s="10"/>
      <c r="F102" s="10"/>
      <c r="G102" s="10"/>
      <c r="H102" s="10" t="s">
        <v>7</v>
      </c>
      <c r="I102" s="10">
        <v>1854.36</v>
      </c>
      <c r="J102" s="10">
        <v>4290.4799999999996</v>
      </c>
      <c r="K102" s="10">
        <v>4145.04</v>
      </c>
      <c r="L102" s="10">
        <v>1890.72</v>
      </c>
      <c r="M102" s="10">
        <v>12180.6</v>
      </c>
      <c r="N102" s="10"/>
      <c r="O102" s="17"/>
    </row>
    <row r="103" spans="1:15" x14ac:dyDescent="0.25">
      <c r="A103" s="11"/>
      <c r="B103" s="11">
        <v>4</v>
      </c>
      <c r="C103" s="11" t="s">
        <v>96</v>
      </c>
      <c r="D103" s="11" t="s">
        <v>97</v>
      </c>
      <c r="E103" s="11"/>
      <c r="F103" s="11"/>
      <c r="G103" s="11"/>
      <c r="H103" s="11"/>
      <c r="I103" s="11">
        <v>357</v>
      </c>
      <c r="J103" s="11">
        <v>510</v>
      </c>
      <c r="K103" s="11">
        <v>459</v>
      </c>
      <c r="L103" s="11">
        <v>0</v>
      </c>
      <c r="M103" s="11">
        <v>1326</v>
      </c>
      <c r="N103" s="11"/>
      <c r="O103" s="18">
        <v>51</v>
      </c>
    </row>
    <row r="104" spans="1:15" x14ac:dyDescent="0.25">
      <c r="A104" s="10"/>
      <c r="B104" s="10"/>
      <c r="C104" s="10"/>
      <c r="D104" s="10"/>
      <c r="E104" s="10"/>
      <c r="F104" s="10"/>
      <c r="G104" s="10"/>
      <c r="H104" s="10" t="s">
        <v>11</v>
      </c>
      <c r="I104" s="10">
        <v>357</v>
      </c>
      <c r="J104" s="10">
        <v>510</v>
      </c>
      <c r="K104" s="10">
        <v>459</v>
      </c>
      <c r="L104" s="10">
        <v>0</v>
      </c>
      <c r="M104" s="10">
        <v>1326</v>
      </c>
      <c r="N104" s="10"/>
      <c r="O104" s="17"/>
    </row>
    <row r="105" spans="1:15" ht="17.45" customHeight="1" x14ac:dyDescent="0.25">
      <c r="A105" s="12"/>
      <c r="B105" s="12"/>
      <c r="C105" s="12"/>
      <c r="D105" s="12"/>
      <c r="E105" s="12"/>
      <c r="F105" s="12"/>
      <c r="G105" s="12"/>
      <c r="H105" s="12" t="s">
        <v>33</v>
      </c>
      <c r="I105" s="23">
        <f t="shared" ref="I105:M105" si="12">IFERROR((I104/I101)-1,"Qty Order 0")</f>
        <v>-0.80555555555555558</v>
      </c>
      <c r="J105" s="23">
        <f t="shared" si="12"/>
        <v>-0.87994350282485878</v>
      </c>
      <c r="K105" s="23">
        <f t="shared" si="12"/>
        <v>-0.88815789473684215</v>
      </c>
      <c r="L105" s="23">
        <f t="shared" si="12"/>
        <v>-1</v>
      </c>
      <c r="M105" s="23">
        <f t="shared" si="12"/>
        <v>-0.89004975124378105</v>
      </c>
      <c r="N105" s="12"/>
      <c r="O105" s="19"/>
    </row>
    <row r="106" spans="1:15" x14ac:dyDescent="0.25">
      <c r="A106" s="10"/>
      <c r="B106" s="10"/>
      <c r="C106" s="10"/>
      <c r="D106" s="10"/>
      <c r="E106" s="10"/>
      <c r="F106" s="10"/>
      <c r="G106" s="10"/>
      <c r="H106" s="10" t="s">
        <v>18</v>
      </c>
      <c r="I106" s="10">
        <v>-1497.36</v>
      </c>
      <c r="J106" s="10">
        <v>-3780.48</v>
      </c>
      <c r="K106" s="10">
        <v>-3686.04</v>
      </c>
      <c r="L106" s="10">
        <v>-1890.72</v>
      </c>
      <c r="M106" s="10">
        <v>-10854.6</v>
      </c>
      <c r="N106" s="10"/>
      <c r="O106" s="17"/>
    </row>
    <row r="107" spans="1:15" x14ac:dyDescent="0.25">
      <c r="A107" s="11"/>
      <c r="B107" s="11"/>
      <c r="C107" s="11"/>
      <c r="D107" s="11"/>
      <c r="E107" s="11" t="s">
        <v>94</v>
      </c>
      <c r="F107" s="11" t="s">
        <v>34</v>
      </c>
      <c r="G107" s="11" t="s">
        <v>25</v>
      </c>
      <c r="H107" s="11" t="s">
        <v>17</v>
      </c>
      <c r="I107" s="11">
        <v>1836</v>
      </c>
      <c r="J107" s="11">
        <v>4248</v>
      </c>
      <c r="K107" s="11">
        <v>4104</v>
      </c>
      <c r="L107" s="11">
        <v>1872</v>
      </c>
      <c r="M107" s="11">
        <v>12060</v>
      </c>
      <c r="N107" s="11" t="s">
        <v>35</v>
      </c>
      <c r="O107" s="18"/>
    </row>
    <row r="108" spans="1:15" x14ac:dyDescent="0.25">
      <c r="A108" s="10"/>
      <c r="B108" s="10"/>
      <c r="C108" s="10"/>
      <c r="D108" s="10"/>
      <c r="E108" s="10"/>
      <c r="F108" s="10"/>
      <c r="G108" s="10"/>
      <c r="H108" s="10" t="s">
        <v>7</v>
      </c>
      <c r="I108" s="10">
        <v>1854.36</v>
      </c>
      <c r="J108" s="10">
        <v>4290.4799999999996</v>
      </c>
      <c r="K108" s="10">
        <v>4145.04</v>
      </c>
      <c r="L108" s="10">
        <v>1890.72</v>
      </c>
      <c r="M108" s="10">
        <v>12180.6</v>
      </c>
      <c r="N108" s="10"/>
      <c r="O108" s="17"/>
    </row>
    <row r="109" spans="1:15" x14ac:dyDescent="0.25">
      <c r="A109" s="11"/>
      <c r="B109" s="11">
        <v>8</v>
      </c>
      <c r="C109" s="11" t="s">
        <v>98</v>
      </c>
      <c r="D109" s="11" t="s">
        <v>99</v>
      </c>
      <c r="E109" s="11"/>
      <c r="F109" s="11"/>
      <c r="G109" s="11"/>
      <c r="H109" s="11"/>
      <c r="I109" s="11">
        <v>0</v>
      </c>
      <c r="J109" s="11">
        <v>0</v>
      </c>
      <c r="K109" s="11">
        <v>0</v>
      </c>
      <c r="L109" s="11">
        <v>20</v>
      </c>
      <c r="M109" s="11">
        <v>20</v>
      </c>
      <c r="N109" s="11"/>
      <c r="O109" s="18">
        <v>10</v>
      </c>
    </row>
    <row r="110" spans="1:15" x14ac:dyDescent="0.25">
      <c r="A110" s="10"/>
      <c r="B110" s="10">
        <v>8</v>
      </c>
      <c r="C110" s="10" t="s">
        <v>100</v>
      </c>
      <c r="D110" s="10" t="s">
        <v>78</v>
      </c>
      <c r="E110" s="10"/>
      <c r="F110" s="10"/>
      <c r="G110" s="10"/>
      <c r="H110" s="10"/>
      <c r="I110" s="10">
        <v>70</v>
      </c>
      <c r="J110" s="10">
        <v>0</v>
      </c>
      <c r="K110" s="10">
        <v>0</v>
      </c>
      <c r="L110" s="10">
        <v>0</v>
      </c>
      <c r="M110" s="10">
        <v>70</v>
      </c>
      <c r="N110" s="10"/>
      <c r="O110" s="17">
        <v>35</v>
      </c>
    </row>
    <row r="111" spans="1:15" x14ac:dyDescent="0.25">
      <c r="A111" s="11"/>
      <c r="B111" s="11">
        <v>8</v>
      </c>
      <c r="C111" s="11" t="s">
        <v>101</v>
      </c>
      <c r="D111" s="11" t="s">
        <v>102</v>
      </c>
      <c r="E111" s="11"/>
      <c r="F111" s="11"/>
      <c r="G111" s="11"/>
      <c r="H111" s="11"/>
      <c r="I111" s="11">
        <v>0</v>
      </c>
      <c r="J111" s="11">
        <v>92</v>
      </c>
      <c r="K111" s="11">
        <v>0</v>
      </c>
      <c r="L111" s="11">
        <v>0</v>
      </c>
      <c r="M111" s="11">
        <v>92</v>
      </c>
      <c r="N111" s="11"/>
      <c r="O111" s="18">
        <v>46</v>
      </c>
    </row>
    <row r="112" spans="1:15" x14ac:dyDescent="0.25">
      <c r="A112" s="10"/>
      <c r="B112" s="10"/>
      <c r="C112" s="10"/>
      <c r="D112" s="10"/>
      <c r="E112" s="10"/>
      <c r="F112" s="10"/>
      <c r="G112" s="10"/>
      <c r="H112" s="10" t="s">
        <v>11</v>
      </c>
      <c r="I112" s="10">
        <v>70</v>
      </c>
      <c r="J112" s="10">
        <v>92</v>
      </c>
      <c r="K112" s="10">
        <v>0</v>
      </c>
      <c r="L112" s="10">
        <v>20</v>
      </c>
      <c r="M112" s="10">
        <v>182</v>
      </c>
      <c r="N112" s="10"/>
      <c r="O112" s="17"/>
    </row>
    <row r="113" spans="1:15" ht="17.45" customHeight="1" x14ac:dyDescent="0.25">
      <c r="A113" s="12"/>
      <c r="B113" s="12"/>
      <c r="C113" s="12"/>
      <c r="D113" s="12"/>
      <c r="E113" s="12"/>
      <c r="F113" s="12"/>
      <c r="G113" s="12"/>
      <c r="H113" s="12" t="s">
        <v>33</v>
      </c>
      <c r="I113" s="23">
        <f t="shared" ref="I113:M113" si="13">IFERROR((I112/I107)-1,"Qty Order 0")</f>
        <v>-0.96187363834422657</v>
      </c>
      <c r="J113" s="23">
        <f t="shared" si="13"/>
        <v>-0.9783427495291902</v>
      </c>
      <c r="K113" s="23">
        <f t="shared" si="13"/>
        <v>-1</v>
      </c>
      <c r="L113" s="23">
        <f t="shared" si="13"/>
        <v>-0.98931623931623935</v>
      </c>
      <c r="M113" s="23">
        <f t="shared" si="13"/>
        <v>-0.98490878938640136</v>
      </c>
      <c r="N113" s="12"/>
      <c r="O113" s="19"/>
    </row>
    <row r="114" spans="1:15" x14ac:dyDescent="0.25">
      <c r="A114" s="10"/>
      <c r="B114" s="10"/>
      <c r="C114" s="10"/>
      <c r="D114" s="10"/>
      <c r="E114" s="10"/>
      <c r="F114" s="10"/>
      <c r="G114" s="10"/>
      <c r="H114" s="10" t="s">
        <v>18</v>
      </c>
      <c r="I114" s="10">
        <v>-1784.36</v>
      </c>
      <c r="J114" s="10">
        <v>-4198.4799999999996</v>
      </c>
      <c r="K114" s="10">
        <v>-4145.04</v>
      </c>
      <c r="L114" s="10">
        <v>-1870.72</v>
      </c>
      <c r="M114" s="10">
        <v>-11998.6</v>
      </c>
      <c r="N114" s="10"/>
      <c r="O114" s="17"/>
    </row>
    <row r="115" spans="1:15" ht="17.4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20"/>
    </row>
    <row r="116" spans="1:15" ht="17.45" customHeight="1" x14ac:dyDescent="0.25">
      <c r="A116" s="9" t="s">
        <v>19</v>
      </c>
      <c r="B116" s="9" t="s">
        <v>9</v>
      </c>
      <c r="C116" s="9" t="s">
        <v>20</v>
      </c>
      <c r="D116" s="9" t="s">
        <v>21</v>
      </c>
      <c r="E116" s="9" t="s">
        <v>4</v>
      </c>
      <c r="F116" s="9" t="s">
        <v>5</v>
      </c>
      <c r="G116" s="9" t="s">
        <v>8</v>
      </c>
      <c r="H116" s="9" t="s">
        <v>10</v>
      </c>
      <c r="I116" s="9" t="s">
        <v>13</v>
      </c>
      <c r="J116" s="9" t="s">
        <v>14</v>
      </c>
      <c r="K116" s="9" t="s">
        <v>15</v>
      </c>
      <c r="L116" s="9" t="s">
        <v>16</v>
      </c>
      <c r="M116" s="9" t="s">
        <v>22</v>
      </c>
      <c r="N116" s="9" t="s">
        <v>12</v>
      </c>
      <c r="O116" s="16" t="s">
        <v>32</v>
      </c>
    </row>
    <row r="117" spans="1:15" x14ac:dyDescent="0.25">
      <c r="A117" s="11">
        <v>182976</v>
      </c>
      <c r="B117" s="11"/>
      <c r="C117" s="11"/>
      <c r="D117" s="11"/>
      <c r="E117" s="11" t="s">
        <v>103</v>
      </c>
      <c r="F117" s="11" t="s">
        <v>34</v>
      </c>
      <c r="G117" s="11" t="s">
        <v>24</v>
      </c>
      <c r="H117" s="11" t="s">
        <v>17</v>
      </c>
      <c r="I117" s="11">
        <v>792</v>
      </c>
      <c r="J117" s="11">
        <v>2412</v>
      </c>
      <c r="K117" s="11">
        <v>2052</v>
      </c>
      <c r="L117" s="11">
        <v>900</v>
      </c>
      <c r="M117" s="11">
        <v>6156</v>
      </c>
      <c r="N117" s="11" t="s">
        <v>35</v>
      </c>
      <c r="O117" s="18"/>
    </row>
    <row r="118" spans="1:15" x14ac:dyDescent="0.25">
      <c r="A118" s="10"/>
      <c r="B118" s="10"/>
      <c r="C118" s="10"/>
      <c r="D118" s="10"/>
      <c r="E118" s="10"/>
      <c r="F118" s="10"/>
      <c r="G118" s="10"/>
      <c r="H118" s="10" t="s">
        <v>7</v>
      </c>
      <c r="I118" s="10">
        <v>799.92</v>
      </c>
      <c r="J118" s="10">
        <v>2436.12</v>
      </c>
      <c r="K118" s="10">
        <v>2072.52</v>
      </c>
      <c r="L118" s="10">
        <v>909</v>
      </c>
      <c r="M118" s="10">
        <v>6217.56</v>
      </c>
      <c r="N118" s="10"/>
      <c r="O118" s="17"/>
    </row>
    <row r="119" spans="1:15" x14ac:dyDescent="0.25">
      <c r="A119" s="11"/>
      <c r="B119" s="11">
        <v>4</v>
      </c>
      <c r="C119" s="11" t="s">
        <v>104</v>
      </c>
      <c r="D119" s="11" t="s">
        <v>105</v>
      </c>
      <c r="E119" s="11"/>
      <c r="F119" s="11"/>
      <c r="G119" s="11"/>
      <c r="H119" s="11"/>
      <c r="I119" s="11">
        <v>0</v>
      </c>
      <c r="J119" s="11">
        <v>204</v>
      </c>
      <c r="K119" s="11">
        <v>102</v>
      </c>
      <c r="L119" s="11">
        <v>0</v>
      </c>
      <c r="M119" s="11">
        <v>306</v>
      </c>
      <c r="N119" s="11"/>
      <c r="O119" s="18">
        <v>51</v>
      </c>
    </row>
    <row r="120" spans="1:15" x14ac:dyDescent="0.25">
      <c r="A120" s="10"/>
      <c r="B120" s="10">
        <v>4</v>
      </c>
      <c r="C120" s="10" t="s">
        <v>106</v>
      </c>
      <c r="D120" s="10" t="s">
        <v>78</v>
      </c>
      <c r="E120" s="10"/>
      <c r="F120" s="10"/>
      <c r="G120" s="10"/>
      <c r="H120" s="10"/>
      <c r="I120" s="10">
        <v>92</v>
      </c>
      <c r="J120" s="10">
        <v>0</v>
      </c>
      <c r="K120" s="10">
        <v>0</v>
      </c>
      <c r="L120" s="10">
        <v>0</v>
      </c>
      <c r="M120" s="10">
        <v>92</v>
      </c>
      <c r="N120" s="10"/>
      <c r="O120" s="17">
        <v>46</v>
      </c>
    </row>
    <row r="121" spans="1:15" x14ac:dyDescent="0.25">
      <c r="A121" s="11"/>
      <c r="B121" s="11">
        <v>5</v>
      </c>
      <c r="C121" s="11" t="s">
        <v>107</v>
      </c>
      <c r="D121" s="11" t="s">
        <v>84</v>
      </c>
      <c r="E121" s="11"/>
      <c r="F121" s="11"/>
      <c r="G121" s="11"/>
      <c r="H121" s="11"/>
      <c r="I121" s="11">
        <v>0</v>
      </c>
      <c r="J121" s="11">
        <v>0</v>
      </c>
      <c r="K121" s="11">
        <v>9</v>
      </c>
      <c r="L121" s="11">
        <v>0</v>
      </c>
      <c r="M121" s="11">
        <v>9</v>
      </c>
      <c r="N121" s="11"/>
      <c r="O121" s="18">
        <v>9</v>
      </c>
    </row>
    <row r="122" spans="1:15" x14ac:dyDescent="0.25">
      <c r="A122" s="10"/>
      <c r="B122" s="10"/>
      <c r="C122" s="10"/>
      <c r="D122" s="10"/>
      <c r="E122" s="10"/>
      <c r="F122" s="10"/>
      <c r="G122" s="10"/>
      <c r="H122" s="10" t="s">
        <v>11</v>
      </c>
      <c r="I122" s="10">
        <v>92</v>
      </c>
      <c r="J122" s="10">
        <v>204</v>
      </c>
      <c r="K122" s="10">
        <v>111</v>
      </c>
      <c r="L122" s="10">
        <v>0</v>
      </c>
      <c r="M122" s="10">
        <v>407</v>
      </c>
      <c r="N122" s="10"/>
      <c r="O122" s="17"/>
    </row>
    <row r="123" spans="1:15" ht="17.45" customHeight="1" x14ac:dyDescent="0.25">
      <c r="A123" s="12"/>
      <c r="B123" s="12"/>
      <c r="C123" s="12"/>
      <c r="D123" s="12"/>
      <c r="E123" s="12"/>
      <c r="F123" s="12"/>
      <c r="G123" s="12"/>
      <c r="H123" s="12" t="s">
        <v>33</v>
      </c>
      <c r="I123" s="23">
        <f t="shared" ref="I123:M123" si="14">IFERROR((I122/I117)-1,"Qty Order 0")</f>
        <v>-0.88383838383838387</v>
      </c>
      <c r="J123" s="23">
        <f t="shared" si="14"/>
        <v>-0.91542288557213936</v>
      </c>
      <c r="K123" s="23">
        <f t="shared" si="14"/>
        <v>-0.94590643274853803</v>
      </c>
      <c r="L123" s="23">
        <f t="shared" si="14"/>
        <v>-1</v>
      </c>
      <c r="M123" s="23">
        <f t="shared" si="14"/>
        <v>-0.93388564002599095</v>
      </c>
      <c r="N123" s="12"/>
      <c r="O123" s="19"/>
    </row>
    <row r="124" spans="1:15" x14ac:dyDescent="0.25">
      <c r="A124" s="10"/>
      <c r="B124" s="10"/>
      <c r="C124" s="10"/>
      <c r="D124" s="10"/>
      <c r="E124" s="10"/>
      <c r="F124" s="10"/>
      <c r="G124" s="10"/>
      <c r="H124" s="10" t="s">
        <v>18</v>
      </c>
      <c r="I124" s="10">
        <v>-707.92</v>
      </c>
      <c r="J124" s="10">
        <v>-2232.12</v>
      </c>
      <c r="K124" s="10">
        <v>-1961.52</v>
      </c>
      <c r="L124" s="10">
        <v>-909</v>
      </c>
      <c r="M124" s="10">
        <v>-5810.56</v>
      </c>
      <c r="N124" s="10"/>
      <c r="O124" s="17"/>
    </row>
    <row r="125" spans="1:15" x14ac:dyDescent="0.25">
      <c r="A125" s="11"/>
      <c r="B125" s="11"/>
      <c r="C125" s="11"/>
      <c r="D125" s="11"/>
      <c r="E125" s="11" t="s">
        <v>103</v>
      </c>
      <c r="F125" s="11" t="s">
        <v>34</v>
      </c>
      <c r="G125" s="11" t="s">
        <v>108</v>
      </c>
      <c r="H125" s="11" t="s">
        <v>17</v>
      </c>
      <c r="I125" s="11">
        <v>792</v>
      </c>
      <c r="J125" s="11">
        <v>2412</v>
      </c>
      <c r="K125" s="11">
        <v>2052</v>
      </c>
      <c r="L125" s="11">
        <v>900</v>
      </c>
      <c r="M125" s="11">
        <v>6156</v>
      </c>
      <c r="N125" s="11" t="s">
        <v>35</v>
      </c>
      <c r="O125" s="18"/>
    </row>
    <row r="126" spans="1:15" x14ac:dyDescent="0.25">
      <c r="A126" s="10"/>
      <c r="B126" s="10"/>
      <c r="C126" s="10"/>
      <c r="D126" s="10"/>
      <c r="E126" s="10"/>
      <c r="F126" s="10"/>
      <c r="G126" s="10"/>
      <c r="H126" s="10" t="s">
        <v>7</v>
      </c>
      <c r="I126" s="10">
        <v>799.92</v>
      </c>
      <c r="J126" s="10">
        <v>2436.12</v>
      </c>
      <c r="K126" s="10">
        <v>2072.52</v>
      </c>
      <c r="L126" s="10">
        <v>909</v>
      </c>
      <c r="M126" s="10">
        <v>6217.56</v>
      </c>
      <c r="N126" s="10"/>
      <c r="O126" s="17"/>
    </row>
    <row r="127" spans="1:15" x14ac:dyDescent="0.25">
      <c r="A127" s="11"/>
      <c r="B127" s="11">
        <v>6</v>
      </c>
      <c r="C127" s="11" t="s">
        <v>109</v>
      </c>
      <c r="D127" s="11" t="s">
        <v>84</v>
      </c>
      <c r="E127" s="11"/>
      <c r="F127" s="11"/>
      <c r="G127" s="11"/>
      <c r="H127" s="11"/>
      <c r="I127" s="11">
        <v>0</v>
      </c>
      <c r="J127" s="11">
        <v>0</v>
      </c>
      <c r="K127" s="11">
        <v>13</v>
      </c>
      <c r="L127" s="11">
        <v>0</v>
      </c>
      <c r="M127" s="11">
        <v>13</v>
      </c>
      <c r="N127" s="11"/>
      <c r="O127" s="18">
        <v>13</v>
      </c>
    </row>
    <row r="128" spans="1:15" x14ac:dyDescent="0.25">
      <c r="A128" s="10"/>
      <c r="B128" s="10"/>
      <c r="C128" s="10"/>
      <c r="D128" s="10"/>
      <c r="E128" s="10"/>
      <c r="F128" s="10"/>
      <c r="G128" s="10"/>
      <c r="H128" s="10" t="s">
        <v>11</v>
      </c>
      <c r="I128" s="10">
        <v>0</v>
      </c>
      <c r="J128" s="10">
        <v>0</v>
      </c>
      <c r="K128" s="10">
        <v>13</v>
      </c>
      <c r="L128" s="10">
        <v>0</v>
      </c>
      <c r="M128" s="10">
        <v>13</v>
      </c>
      <c r="N128" s="10"/>
      <c r="O128" s="17"/>
    </row>
    <row r="129" spans="1:15" ht="17.45" customHeight="1" x14ac:dyDescent="0.25">
      <c r="A129" s="12"/>
      <c r="B129" s="12"/>
      <c r="C129" s="12"/>
      <c r="D129" s="12"/>
      <c r="E129" s="12"/>
      <c r="F129" s="12"/>
      <c r="G129" s="12"/>
      <c r="H129" s="12" t="s">
        <v>33</v>
      </c>
      <c r="I129" s="23">
        <f t="shared" ref="I129:M129" si="15">IFERROR((I128/I125)-1,"Qty Order 0")</f>
        <v>-1</v>
      </c>
      <c r="J129" s="23">
        <f t="shared" si="15"/>
        <v>-1</v>
      </c>
      <c r="K129" s="23">
        <f t="shared" si="15"/>
        <v>-0.99366471734892792</v>
      </c>
      <c r="L129" s="23">
        <f t="shared" si="15"/>
        <v>-1</v>
      </c>
      <c r="M129" s="23">
        <f t="shared" si="15"/>
        <v>-0.99788823911630931</v>
      </c>
      <c r="N129" s="12"/>
      <c r="O129" s="19"/>
    </row>
    <row r="130" spans="1:15" x14ac:dyDescent="0.25">
      <c r="A130" s="10"/>
      <c r="B130" s="10"/>
      <c r="C130" s="10"/>
      <c r="D130" s="10"/>
      <c r="E130" s="10"/>
      <c r="F130" s="10"/>
      <c r="G130" s="10"/>
      <c r="H130" s="10" t="s">
        <v>18</v>
      </c>
      <c r="I130" s="10">
        <v>-799.92</v>
      </c>
      <c r="J130" s="10">
        <v>-2436.12</v>
      </c>
      <c r="K130" s="10">
        <v>-2059.52</v>
      </c>
      <c r="L130" s="10">
        <v>-909</v>
      </c>
      <c r="M130" s="10">
        <v>-6204.56</v>
      </c>
      <c r="N130" s="10"/>
      <c r="O130" s="17"/>
    </row>
    <row r="131" spans="1:15" ht="17.45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20"/>
    </row>
    <row r="132" spans="1:15" ht="17.45" customHeight="1" x14ac:dyDescent="0.25">
      <c r="A132" s="9" t="s">
        <v>19</v>
      </c>
      <c r="B132" s="9" t="s">
        <v>9</v>
      </c>
      <c r="C132" s="9" t="s">
        <v>20</v>
      </c>
      <c r="D132" s="9" t="s">
        <v>21</v>
      </c>
      <c r="E132" s="9" t="s">
        <v>4</v>
      </c>
      <c r="F132" s="9" t="s">
        <v>5</v>
      </c>
      <c r="G132" s="9" t="s">
        <v>8</v>
      </c>
      <c r="H132" s="9" t="s">
        <v>10</v>
      </c>
      <c r="I132" s="9" t="s">
        <v>13</v>
      </c>
      <c r="J132" s="9" t="s">
        <v>14</v>
      </c>
      <c r="K132" s="9" t="s">
        <v>15</v>
      </c>
      <c r="L132" s="9" t="s">
        <v>16</v>
      </c>
      <c r="M132" s="9" t="s">
        <v>22</v>
      </c>
      <c r="N132" s="9" t="s">
        <v>12</v>
      </c>
      <c r="O132" s="16" t="s">
        <v>32</v>
      </c>
    </row>
    <row r="133" spans="1:15" x14ac:dyDescent="0.25">
      <c r="A133" s="11">
        <v>182972</v>
      </c>
      <c r="B133" s="11"/>
      <c r="C133" s="11"/>
      <c r="D133" s="11"/>
      <c r="E133" s="11" t="s">
        <v>110</v>
      </c>
      <c r="F133" s="11" t="s">
        <v>34</v>
      </c>
      <c r="G133" s="11" t="s">
        <v>25</v>
      </c>
      <c r="H133" s="11" t="s">
        <v>17</v>
      </c>
      <c r="I133" s="11">
        <v>1080</v>
      </c>
      <c r="J133" s="11">
        <v>2700</v>
      </c>
      <c r="K133" s="11">
        <v>2808</v>
      </c>
      <c r="L133" s="11">
        <v>1224</v>
      </c>
      <c r="M133" s="11">
        <v>7812</v>
      </c>
      <c r="N133" s="11" t="s">
        <v>35</v>
      </c>
      <c r="O133" s="18"/>
    </row>
    <row r="134" spans="1:15" x14ac:dyDescent="0.25">
      <c r="A134" s="10"/>
      <c r="B134" s="10"/>
      <c r="C134" s="10"/>
      <c r="D134" s="10"/>
      <c r="E134" s="10"/>
      <c r="F134" s="10"/>
      <c r="G134" s="10"/>
      <c r="H134" s="10" t="s">
        <v>7</v>
      </c>
      <c r="I134" s="10">
        <v>1090.8</v>
      </c>
      <c r="J134" s="10">
        <v>2727</v>
      </c>
      <c r="K134" s="10">
        <v>2836.08</v>
      </c>
      <c r="L134" s="10">
        <v>1236.24</v>
      </c>
      <c r="M134" s="10">
        <v>7890.12</v>
      </c>
      <c r="N134" s="10"/>
      <c r="O134" s="17"/>
    </row>
    <row r="135" spans="1:15" x14ac:dyDescent="0.25">
      <c r="A135" s="11"/>
      <c r="B135" s="11">
        <v>7</v>
      </c>
      <c r="C135" s="11" t="s">
        <v>111</v>
      </c>
      <c r="D135" s="11" t="s">
        <v>112</v>
      </c>
      <c r="E135" s="11"/>
      <c r="F135" s="11"/>
      <c r="G135" s="11"/>
      <c r="H135" s="11"/>
      <c r="I135" s="11">
        <v>0</v>
      </c>
      <c r="J135" s="11">
        <v>118</v>
      </c>
      <c r="K135" s="11">
        <v>118</v>
      </c>
      <c r="L135" s="11">
        <v>0</v>
      </c>
      <c r="M135" s="11">
        <v>236</v>
      </c>
      <c r="N135" s="11"/>
      <c r="O135" s="18">
        <v>59</v>
      </c>
    </row>
    <row r="136" spans="1:15" x14ac:dyDescent="0.25">
      <c r="A136" s="10"/>
      <c r="B136" s="10">
        <v>7</v>
      </c>
      <c r="C136" s="10" t="s">
        <v>113</v>
      </c>
      <c r="D136" s="10" t="s">
        <v>114</v>
      </c>
      <c r="E136" s="10"/>
      <c r="F136" s="10"/>
      <c r="G136" s="10"/>
      <c r="H136" s="10"/>
      <c r="I136" s="10">
        <v>34</v>
      </c>
      <c r="J136" s="10">
        <v>0</v>
      </c>
      <c r="K136" s="10">
        <v>0</v>
      </c>
      <c r="L136" s="10">
        <v>102</v>
      </c>
      <c r="M136" s="10">
        <v>136</v>
      </c>
      <c r="N136" s="10"/>
      <c r="O136" s="17">
        <v>34</v>
      </c>
    </row>
    <row r="137" spans="1:15" x14ac:dyDescent="0.25">
      <c r="A137" s="11"/>
      <c r="B137" s="11">
        <v>8</v>
      </c>
      <c r="C137" s="11" t="s">
        <v>115</v>
      </c>
      <c r="D137" s="11" t="s">
        <v>41</v>
      </c>
      <c r="E137" s="11"/>
      <c r="F137" s="11"/>
      <c r="G137" s="11"/>
      <c r="H137" s="11"/>
      <c r="I137" s="11">
        <v>0</v>
      </c>
      <c r="J137" s="11">
        <v>35</v>
      </c>
      <c r="K137" s="11">
        <v>35</v>
      </c>
      <c r="L137" s="11">
        <v>0</v>
      </c>
      <c r="M137" s="11">
        <v>70</v>
      </c>
      <c r="N137" s="11"/>
      <c r="O137" s="18">
        <v>35</v>
      </c>
    </row>
    <row r="138" spans="1:15" x14ac:dyDescent="0.25">
      <c r="A138" s="10"/>
      <c r="B138" s="10"/>
      <c r="C138" s="10"/>
      <c r="D138" s="10"/>
      <c r="E138" s="10"/>
      <c r="F138" s="10"/>
      <c r="G138" s="10"/>
      <c r="H138" s="10" t="s">
        <v>11</v>
      </c>
      <c r="I138" s="10">
        <v>34</v>
      </c>
      <c r="J138" s="10">
        <v>153</v>
      </c>
      <c r="K138" s="10">
        <v>153</v>
      </c>
      <c r="L138" s="10">
        <v>102</v>
      </c>
      <c r="M138" s="10">
        <v>442</v>
      </c>
      <c r="N138" s="10"/>
      <c r="O138" s="17"/>
    </row>
    <row r="139" spans="1:15" ht="17.45" customHeight="1" x14ac:dyDescent="0.25">
      <c r="A139" s="12"/>
      <c r="B139" s="12"/>
      <c r="C139" s="12"/>
      <c r="D139" s="12"/>
      <c r="E139" s="12"/>
      <c r="F139" s="12"/>
      <c r="G139" s="12"/>
      <c r="H139" s="12" t="s">
        <v>33</v>
      </c>
      <c r="I139" s="23">
        <f t="shared" ref="I139:M139" si="16">IFERROR((I138/I133)-1,"Qty Order 0")</f>
        <v>-0.96851851851851856</v>
      </c>
      <c r="J139" s="23">
        <f t="shared" si="16"/>
        <v>-0.94333333333333336</v>
      </c>
      <c r="K139" s="23">
        <f t="shared" si="16"/>
        <v>-0.94551282051282048</v>
      </c>
      <c r="L139" s="23">
        <f t="shared" si="16"/>
        <v>-0.91666666666666663</v>
      </c>
      <c r="M139" s="23">
        <f t="shared" si="16"/>
        <v>-0.9434203789042499</v>
      </c>
      <c r="N139" s="12"/>
      <c r="O139" s="19"/>
    </row>
    <row r="140" spans="1:15" x14ac:dyDescent="0.25">
      <c r="A140" s="10"/>
      <c r="B140" s="10"/>
      <c r="C140" s="10"/>
      <c r="D140" s="10"/>
      <c r="E140" s="10"/>
      <c r="F140" s="10"/>
      <c r="G140" s="10"/>
      <c r="H140" s="10" t="s">
        <v>18</v>
      </c>
      <c r="I140" s="10">
        <v>-1056.8</v>
      </c>
      <c r="J140" s="10">
        <v>-2574</v>
      </c>
      <c r="K140" s="10">
        <v>-2683.08</v>
      </c>
      <c r="L140" s="10">
        <v>-1134.24</v>
      </c>
      <c r="M140" s="10">
        <v>-7448.12</v>
      </c>
      <c r="N140" s="10"/>
      <c r="O140" s="17"/>
    </row>
    <row r="141" spans="1:15" ht="17.4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20"/>
    </row>
    <row r="142" spans="1:15" ht="17.45" customHeight="1" x14ac:dyDescent="0.25">
      <c r="A142" s="9" t="s">
        <v>19</v>
      </c>
      <c r="B142" s="9" t="s">
        <v>9</v>
      </c>
      <c r="C142" s="9" t="s">
        <v>20</v>
      </c>
      <c r="D142" s="9" t="s">
        <v>21</v>
      </c>
      <c r="E142" s="9" t="s">
        <v>4</v>
      </c>
      <c r="F142" s="9" t="s">
        <v>5</v>
      </c>
      <c r="G142" s="9" t="s">
        <v>8</v>
      </c>
      <c r="H142" s="9" t="s">
        <v>10</v>
      </c>
      <c r="I142" s="9" t="s">
        <v>13</v>
      </c>
      <c r="J142" s="9" t="s">
        <v>14</v>
      </c>
      <c r="K142" s="9" t="s">
        <v>15</v>
      </c>
      <c r="L142" s="9" t="s">
        <v>16</v>
      </c>
      <c r="M142" s="9" t="s">
        <v>22</v>
      </c>
      <c r="N142" s="9" t="s">
        <v>12</v>
      </c>
      <c r="O142" s="16" t="s">
        <v>32</v>
      </c>
    </row>
    <row r="143" spans="1:15" x14ac:dyDescent="0.25">
      <c r="A143" s="11">
        <v>183001</v>
      </c>
      <c r="B143" s="11"/>
      <c r="C143" s="11"/>
      <c r="D143" s="11"/>
      <c r="E143" s="11" t="s">
        <v>116</v>
      </c>
      <c r="F143" s="11" t="s">
        <v>117</v>
      </c>
      <c r="G143" s="11" t="s">
        <v>24</v>
      </c>
      <c r="H143" s="11" t="s">
        <v>17</v>
      </c>
      <c r="I143" s="11">
        <v>612</v>
      </c>
      <c r="J143" s="11">
        <v>1836</v>
      </c>
      <c r="K143" s="11">
        <v>1440</v>
      </c>
      <c r="L143" s="11">
        <v>792</v>
      </c>
      <c r="M143" s="11">
        <v>4680</v>
      </c>
      <c r="N143" s="11" t="s">
        <v>23</v>
      </c>
      <c r="O143" s="18"/>
    </row>
    <row r="144" spans="1:15" x14ac:dyDescent="0.25">
      <c r="A144" s="10"/>
      <c r="B144" s="10"/>
      <c r="C144" s="10"/>
      <c r="D144" s="10"/>
      <c r="E144" s="10"/>
      <c r="F144" s="10"/>
      <c r="G144" s="10"/>
      <c r="H144" s="10" t="s">
        <v>7</v>
      </c>
      <c r="I144" s="10">
        <v>612</v>
      </c>
      <c r="J144" s="10">
        <v>1836</v>
      </c>
      <c r="K144" s="10">
        <v>1440</v>
      </c>
      <c r="L144" s="10">
        <v>792</v>
      </c>
      <c r="M144" s="10">
        <v>4680</v>
      </c>
      <c r="N144" s="10"/>
      <c r="O144" s="17"/>
    </row>
    <row r="145" spans="1:15" x14ac:dyDescent="0.25">
      <c r="A145" s="11"/>
      <c r="B145" s="11">
        <v>8</v>
      </c>
      <c r="C145" s="11" t="s">
        <v>118</v>
      </c>
      <c r="D145" s="11" t="s">
        <v>74</v>
      </c>
      <c r="E145" s="11"/>
      <c r="F145" s="11"/>
      <c r="G145" s="11"/>
      <c r="H145" s="11"/>
      <c r="I145" s="11">
        <v>0</v>
      </c>
      <c r="J145" s="11">
        <v>0</v>
      </c>
      <c r="K145" s="11">
        <v>0</v>
      </c>
      <c r="L145" s="11">
        <v>27</v>
      </c>
      <c r="M145" s="11">
        <v>27</v>
      </c>
      <c r="N145" s="11"/>
      <c r="O145" s="18">
        <v>27</v>
      </c>
    </row>
    <row r="146" spans="1:15" x14ac:dyDescent="0.25">
      <c r="A146" s="10"/>
      <c r="B146" s="10"/>
      <c r="C146" s="10"/>
      <c r="D146" s="10"/>
      <c r="E146" s="10"/>
      <c r="F146" s="10"/>
      <c r="G146" s="10"/>
      <c r="H146" s="10" t="s">
        <v>11</v>
      </c>
      <c r="I146" s="10">
        <v>0</v>
      </c>
      <c r="J146" s="10">
        <v>0</v>
      </c>
      <c r="K146" s="10">
        <v>0</v>
      </c>
      <c r="L146" s="10">
        <v>27</v>
      </c>
      <c r="M146" s="10">
        <v>27</v>
      </c>
      <c r="N146" s="10"/>
      <c r="O146" s="17"/>
    </row>
    <row r="147" spans="1:15" ht="17.45" customHeight="1" x14ac:dyDescent="0.25">
      <c r="A147" s="14"/>
      <c r="B147" s="14"/>
      <c r="C147" s="14"/>
      <c r="D147" s="14"/>
      <c r="E147" s="14"/>
      <c r="F147" s="14"/>
      <c r="G147" s="14"/>
      <c r="H147" s="14" t="s">
        <v>33</v>
      </c>
      <c r="I147" s="24">
        <f t="shared" ref="I147:M147" si="17">IFERROR((I146/I143)-1,"Qty Order 0")</f>
        <v>-1</v>
      </c>
      <c r="J147" s="24">
        <f t="shared" si="17"/>
        <v>-1</v>
      </c>
      <c r="K147" s="24">
        <f t="shared" si="17"/>
        <v>-1</v>
      </c>
      <c r="L147" s="24">
        <f t="shared" si="17"/>
        <v>-0.96590909090909094</v>
      </c>
      <c r="M147" s="24">
        <f t="shared" si="17"/>
        <v>-0.99423076923076925</v>
      </c>
      <c r="N147" s="14"/>
      <c r="O147" s="21"/>
    </row>
    <row r="148" spans="1:15" x14ac:dyDescent="0.25">
      <c r="A148" s="15"/>
      <c r="B148" s="15"/>
      <c r="C148" s="15"/>
      <c r="D148" s="15"/>
      <c r="E148" s="15"/>
      <c r="F148" s="15"/>
      <c r="G148" s="15"/>
      <c r="H148" s="15" t="s">
        <v>18</v>
      </c>
      <c r="I148" s="15">
        <v>-612</v>
      </c>
      <c r="J148" s="15">
        <v>-1836</v>
      </c>
      <c r="K148" s="15">
        <v>-1440</v>
      </c>
      <c r="L148" s="15">
        <v>-765</v>
      </c>
      <c r="M148" s="15">
        <v>-4653</v>
      </c>
      <c r="N148" s="15"/>
      <c r="O148" s="22"/>
    </row>
    <row r="149" spans="1:15" ht="17.45" customHeight="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E6F14-44F7-4244-80E6-6D80D535A576}">
  <sheetPr codeName="Sheet179">
    <tabColor rgb="FF64B0D7"/>
  </sheetPr>
  <dimension ref="A1:R61"/>
  <sheetViews>
    <sheetView workbookViewId="0"/>
  </sheetViews>
  <sheetFormatPr defaultRowHeight="15" x14ac:dyDescent="0.25"/>
  <cols>
    <col min="1" max="1" width="9.85546875" customWidth="1"/>
    <col min="2" max="2" width="21" customWidth="1"/>
    <col min="3" max="3" width="18.28515625" customWidth="1"/>
    <col min="4" max="7" width="8.42578125" customWidth="1"/>
    <col min="8" max="8" width="9.7109375" customWidth="1"/>
    <col min="9" max="9" width="8" customWidth="1"/>
    <col min="10" max="10" width="7.140625" customWidth="1"/>
    <col min="11" max="11" width="8.42578125" customWidth="1"/>
    <col min="12" max="12" width="7.140625" customWidth="1"/>
    <col min="13" max="13" width="8.42578125" customWidth="1"/>
    <col min="14" max="17" width="9.28515625" customWidth="1"/>
    <col min="18" max="18" width="10.5703125" customWidth="1"/>
  </cols>
  <sheetData>
    <row r="1" spans="1:18" ht="16.5" x14ac:dyDescent="0.25">
      <c r="A1" s="31"/>
      <c r="B1" s="31"/>
      <c r="C1" s="31"/>
      <c r="D1" s="33" t="s">
        <v>17</v>
      </c>
      <c r="E1" s="33"/>
      <c r="F1" s="33"/>
      <c r="G1" s="33"/>
      <c r="H1" s="33"/>
      <c r="I1" s="33" t="s">
        <v>45</v>
      </c>
      <c r="J1" s="33"/>
      <c r="K1" s="33"/>
      <c r="L1" s="33"/>
      <c r="M1" s="33"/>
      <c r="N1" s="33" t="s">
        <v>46</v>
      </c>
      <c r="O1" s="33"/>
      <c r="P1" s="33"/>
      <c r="Q1" s="33"/>
      <c r="R1" s="34"/>
    </row>
    <row r="2" spans="1:18" x14ac:dyDescent="0.25">
      <c r="A2" s="25" t="s">
        <v>19</v>
      </c>
      <c r="B2" s="25" t="s">
        <v>8</v>
      </c>
      <c r="C2" s="25" t="s">
        <v>12</v>
      </c>
      <c r="D2" s="25" t="s">
        <v>13</v>
      </c>
      <c r="E2" s="25" t="s">
        <v>14</v>
      </c>
      <c r="F2" s="25" t="s">
        <v>15</v>
      </c>
      <c r="G2" s="25" t="s">
        <v>16</v>
      </c>
      <c r="H2" s="25" t="s">
        <v>22</v>
      </c>
      <c r="I2" s="25" t="s">
        <v>13</v>
      </c>
      <c r="J2" s="25" t="s">
        <v>14</v>
      </c>
      <c r="K2" s="25" t="s">
        <v>15</v>
      </c>
      <c r="L2" s="25" t="s">
        <v>16</v>
      </c>
      <c r="M2" s="25" t="s">
        <v>22</v>
      </c>
      <c r="N2" s="25" t="s">
        <v>13</v>
      </c>
      <c r="O2" s="25" t="s">
        <v>14</v>
      </c>
      <c r="P2" s="25" t="s">
        <v>15</v>
      </c>
      <c r="Q2" s="25" t="s">
        <v>16</v>
      </c>
      <c r="R2" s="28" t="s">
        <v>22</v>
      </c>
    </row>
    <row r="3" spans="1:18" ht="16.5" x14ac:dyDescent="0.25">
      <c r="A3" s="26">
        <v>183015</v>
      </c>
      <c r="B3" s="26" t="s">
        <v>26</v>
      </c>
      <c r="C3" s="26" t="s">
        <v>35</v>
      </c>
      <c r="D3" s="26">
        <v>360</v>
      </c>
      <c r="E3" s="26">
        <v>864</v>
      </c>
      <c r="F3" s="26">
        <v>720</v>
      </c>
      <c r="G3" s="26">
        <v>396</v>
      </c>
      <c r="H3" s="26">
        <v>2340</v>
      </c>
      <c r="I3" s="26">
        <v>275</v>
      </c>
      <c r="J3" s="26">
        <v>666</v>
      </c>
      <c r="K3" s="26">
        <v>560</v>
      </c>
      <c r="L3" s="26">
        <v>285</v>
      </c>
      <c r="M3" s="26">
        <v>1786</v>
      </c>
      <c r="N3" s="26">
        <f t="shared" ref="N3:R5" si="0">I3-D3</f>
        <v>-85</v>
      </c>
      <c r="O3" s="26">
        <f t="shared" si="0"/>
        <v>-198</v>
      </c>
      <c r="P3" s="26">
        <f t="shared" si="0"/>
        <v>-160</v>
      </c>
      <c r="Q3" s="26">
        <f t="shared" si="0"/>
        <v>-111</v>
      </c>
      <c r="R3" s="29">
        <f t="shared" si="0"/>
        <v>-554</v>
      </c>
    </row>
    <row r="4" spans="1:18" ht="16.5" x14ac:dyDescent="0.25">
      <c r="A4" s="26"/>
      <c r="B4" s="26" t="s">
        <v>25</v>
      </c>
      <c r="C4" s="26"/>
      <c r="D4" s="26">
        <v>360</v>
      </c>
      <c r="E4" s="26">
        <v>864</v>
      </c>
      <c r="F4" s="26">
        <v>720</v>
      </c>
      <c r="G4" s="26">
        <v>396</v>
      </c>
      <c r="H4" s="26">
        <v>2340</v>
      </c>
      <c r="I4" s="26">
        <v>16</v>
      </c>
      <c r="J4" s="26">
        <v>32</v>
      </c>
      <c r="K4" s="26">
        <v>32</v>
      </c>
      <c r="L4" s="26">
        <v>32</v>
      </c>
      <c r="M4" s="26">
        <v>112</v>
      </c>
      <c r="N4" s="26">
        <f t="shared" si="0"/>
        <v>-344</v>
      </c>
      <c r="O4" s="26">
        <f t="shared" si="0"/>
        <v>-832</v>
      </c>
      <c r="P4" s="26">
        <f t="shared" si="0"/>
        <v>-688</v>
      </c>
      <c r="Q4" s="26">
        <f t="shared" si="0"/>
        <v>-364</v>
      </c>
      <c r="R4" s="29">
        <f t="shared" si="0"/>
        <v>-2228</v>
      </c>
    </row>
    <row r="5" spans="1:18" ht="16.5" x14ac:dyDescent="0.25">
      <c r="A5" s="26"/>
      <c r="B5" s="26" t="s">
        <v>24</v>
      </c>
      <c r="C5" s="26"/>
      <c r="D5" s="26">
        <v>360</v>
      </c>
      <c r="E5" s="26">
        <v>864</v>
      </c>
      <c r="F5" s="26">
        <v>720</v>
      </c>
      <c r="G5" s="26">
        <v>396</v>
      </c>
      <c r="H5" s="26">
        <v>2340</v>
      </c>
      <c r="I5" s="26">
        <v>16</v>
      </c>
      <c r="J5" s="26">
        <v>32</v>
      </c>
      <c r="K5" s="26">
        <v>32</v>
      </c>
      <c r="L5" s="26">
        <v>32</v>
      </c>
      <c r="M5" s="26">
        <v>112</v>
      </c>
      <c r="N5" s="26">
        <f t="shared" si="0"/>
        <v>-344</v>
      </c>
      <c r="O5" s="26">
        <f t="shared" si="0"/>
        <v>-832</v>
      </c>
      <c r="P5" s="26">
        <f t="shared" si="0"/>
        <v>-688</v>
      </c>
      <c r="Q5" s="26">
        <f t="shared" si="0"/>
        <v>-364</v>
      </c>
      <c r="R5" s="29">
        <f t="shared" si="0"/>
        <v>-2228</v>
      </c>
    </row>
    <row r="6" spans="1:18" ht="16.5" x14ac:dyDescent="0.25">
      <c r="A6" s="31"/>
      <c r="B6" s="31" t="s">
        <v>11</v>
      </c>
      <c r="C6" s="31"/>
      <c r="D6" s="31">
        <f t="shared" ref="D6:R6" si="1">SUM(D3:D5)</f>
        <v>1080</v>
      </c>
      <c r="E6" s="31">
        <f t="shared" si="1"/>
        <v>2592</v>
      </c>
      <c r="F6" s="31">
        <f t="shared" si="1"/>
        <v>2160</v>
      </c>
      <c r="G6" s="31">
        <f t="shared" si="1"/>
        <v>1188</v>
      </c>
      <c r="H6" s="31">
        <f t="shared" si="1"/>
        <v>7020</v>
      </c>
      <c r="I6" s="31">
        <f t="shared" si="1"/>
        <v>307</v>
      </c>
      <c r="J6" s="31">
        <f t="shared" si="1"/>
        <v>730</v>
      </c>
      <c r="K6" s="31">
        <f t="shared" si="1"/>
        <v>624</v>
      </c>
      <c r="L6" s="31">
        <f t="shared" si="1"/>
        <v>349</v>
      </c>
      <c r="M6" s="31">
        <f t="shared" si="1"/>
        <v>2010</v>
      </c>
      <c r="N6" s="31">
        <f t="shared" si="1"/>
        <v>-773</v>
      </c>
      <c r="O6" s="31">
        <f t="shared" si="1"/>
        <v>-1862</v>
      </c>
      <c r="P6" s="31">
        <f t="shared" si="1"/>
        <v>-1536</v>
      </c>
      <c r="Q6" s="31">
        <f t="shared" si="1"/>
        <v>-839</v>
      </c>
      <c r="R6" s="32">
        <f t="shared" si="1"/>
        <v>-5010</v>
      </c>
    </row>
    <row r="7" spans="1:18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30"/>
    </row>
    <row r="8" spans="1:18" ht="16.5" x14ac:dyDescent="0.25">
      <c r="A8" s="31"/>
      <c r="B8" s="31"/>
      <c r="C8" s="31"/>
      <c r="D8" s="33" t="s">
        <v>17</v>
      </c>
      <c r="E8" s="33"/>
      <c r="F8" s="33"/>
      <c r="G8" s="33"/>
      <c r="H8" s="33"/>
      <c r="I8" s="33" t="s">
        <v>45</v>
      </c>
      <c r="J8" s="33"/>
      <c r="K8" s="33"/>
      <c r="L8" s="33"/>
      <c r="M8" s="33"/>
      <c r="N8" s="33" t="s">
        <v>46</v>
      </c>
      <c r="O8" s="33"/>
      <c r="P8" s="33"/>
      <c r="Q8" s="33"/>
      <c r="R8" s="34"/>
    </row>
    <row r="9" spans="1:18" x14ac:dyDescent="0.25">
      <c r="A9" s="25" t="s">
        <v>19</v>
      </c>
      <c r="B9" s="25" t="s">
        <v>8</v>
      </c>
      <c r="C9" s="25" t="s">
        <v>12</v>
      </c>
      <c r="D9" s="25" t="s">
        <v>13</v>
      </c>
      <c r="E9" s="25" t="s">
        <v>14</v>
      </c>
      <c r="F9" s="25" t="s">
        <v>15</v>
      </c>
      <c r="G9" s="25" t="s">
        <v>16</v>
      </c>
      <c r="H9" s="25" t="s">
        <v>22</v>
      </c>
      <c r="I9" s="25" t="s">
        <v>13</v>
      </c>
      <c r="J9" s="25" t="s">
        <v>14</v>
      </c>
      <c r="K9" s="25" t="s">
        <v>15</v>
      </c>
      <c r="L9" s="25" t="s">
        <v>16</v>
      </c>
      <c r="M9" s="25" t="s">
        <v>22</v>
      </c>
      <c r="N9" s="25" t="s">
        <v>13</v>
      </c>
      <c r="O9" s="25" t="s">
        <v>14</v>
      </c>
      <c r="P9" s="25" t="s">
        <v>15</v>
      </c>
      <c r="Q9" s="25" t="s">
        <v>16</v>
      </c>
      <c r="R9" s="28" t="s">
        <v>22</v>
      </c>
    </row>
    <row r="10" spans="1:18" ht="16.5" x14ac:dyDescent="0.25">
      <c r="A10" s="26">
        <v>182984</v>
      </c>
      <c r="B10" s="26" t="s">
        <v>57</v>
      </c>
      <c r="C10" s="26" t="s">
        <v>35</v>
      </c>
      <c r="D10" s="26">
        <v>360</v>
      </c>
      <c r="E10" s="26">
        <v>576</v>
      </c>
      <c r="F10" s="26">
        <v>540</v>
      </c>
      <c r="G10" s="26">
        <v>360</v>
      </c>
      <c r="H10" s="26">
        <v>1836</v>
      </c>
      <c r="I10" s="26">
        <v>44</v>
      </c>
      <c r="J10" s="26">
        <v>0</v>
      </c>
      <c r="K10" s="26">
        <v>0</v>
      </c>
      <c r="L10" s="26">
        <v>44</v>
      </c>
      <c r="M10" s="26">
        <v>88</v>
      </c>
      <c r="N10" s="26">
        <f t="shared" ref="N10:R10" si="2">I10-D10</f>
        <v>-316</v>
      </c>
      <c r="O10" s="26">
        <f t="shared" si="2"/>
        <v>-576</v>
      </c>
      <c r="P10" s="26">
        <f t="shared" si="2"/>
        <v>-540</v>
      </c>
      <c r="Q10" s="26">
        <f t="shared" si="2"/>
        <v>-316</v>
      </c>
      <c r="R10" s="29">
        <f t="shared" si="2"/>
        <v>-1748</v>
      </c>
    </row>
    <row r="11" spans="1:18" ht="16.5" x14ac:dyDescent="0.25">
      <c r="A11" s="31"/>
      <c r="B11" s="31" t="s">
        <v>11</v>
      </c>
      <c r="C11" s="31"/>
      <c r="D11" s="31">
        <f t="shared" ref="D11:R11" si="3">SUM(D10:D10)</f>
        <v>360</v>
      </c>
      <c r="E11" s="31">
        <f t="shared" si="3"/>
        <v>576</v>
      </c>
      <c r="F11" s="31">
        <f t="shared" si="3"/>
        <v>540</v>
      </c>
      <c r="G11" s="31">
        <f t="shared" si="3"/>
        <v>360</v>
      </c>
      <c r="H11" s="31">
        <f t="shared" si="3"/>
        <v>1836</v>
      </c>
      <c r="I11" s="31">
        <f t="shared" si="3"/>
        <v>44</v>
      </c>
      <c r="J11" s="31">
        <f t="shared" si="3"/>
        <v>0</v>
      </c>
      <c r="K11" s="31">
        <f t="shared" si="3"/>
        <v>0</v>
      </c>
      <c r="L11" s="31">
        <f t="shared" si="3"/>
        <v>44</v>
      </c>
      <c r="M11" s="31">
        <f t="shared" si="3"/>
        <v>88</v>
      </c>
      <c r="N11" s="31">
        <f t="shared" si="3"/>
        <v>-316</v>
      </c>
      <c r="O11" s="31">
        <f t="shared" si="3"/>
        <v>-576</v>
      </c>
      <c r="P11" s="31">
        <f t="shared" si="3"/>
        <v>-540</v>
      </c>
      <c r="Q11" s="31">
        <f t="shared" si="3"/>
        <v>-316</v>
      </c>
      <c r="R11" s="32">
        <f t="shared" si="3"/>
        <v>-1748</v>
      </c>
    </row>
    <row r="12" spans="1:18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30"/>
    </row>
    <row r="13" spans="1:18" ht="16.5" x14ac:dyDescent="0.25">
      <c r="A13" s="31"/>
      <c r="B13" s="31"/>
      <c r="C13" s="31"/>
      <c r="D13" s="33" t="s">
        <v>17</v>
      </c>
      <c r="E13" s="33"/>
      <c r="F13" s="33" t="s">
        <v>45</v>
      </c>
      <c r="G13" s="33"/>
      <c r="H13" s="33" t="s">
        <v>46</v>
      </c>
      <c r="I13" s="33"/>
      <c r="J13" s="27"/>
      <c r="K13" s="27"/>
      <c r="L13" s="27"/>
      <c r="M13" s="27"/>
      <c r="N13" s="27"/>
      <c r="O13" s="27"/>
      <c r="P13" s="27"/>
      <c r="Q13" s="27"/>
      <c r="R13" s="30"/>
    </row>
    <row r="14" spans="1:18" x14ac:dyDescent="0.25">
      <c r="A14" s="25" t="s">
        <v>19</v>
      </c>
      <c r="B14" s="25" t="s">
        <v>8</v>
      </c>
      <c r="C14" s="25" t="s">
        <v>12</v>
      </c>
      <c r="D14" s="25" t="s">
        <v>62</v>
      </c>
      <c r="E14" s="25" t="s">
        <v>22</v>
      </c>
      <c r="F14" s="25" t="s">
        <v>62</v>
      </c>
      <c r="G14" s="25" t="s">
        <v>22</v>
      </c>
      <c r="H14" s="25" t="s">
        <v>62</v>
      </c>
      <c r="I14" s="25" t="s">
        <v>22</v>
      </c>
      <c r="J14" s="27"/>
      <c r="K14" s="27"/>
      <c r="L14" s="27"/>
      <c r="M14" s="27"/>
      <c r="N14" s="27"/>
      <c r="O14" s="27"/>
      <c r="P14" s="27"/>
      <c r="Q14" s="27"/>
      <c r="R14" s="30"/>
    </row>
    <row r="15" spans="1:18" ht="16.5" x14ac:dyDescent="0.25">
      <c r="A15" s="26">
        <v>182985</v>
      </c>
      <c r="B15" s="26" t="s">
        <v>61</v>
      </c>
      <c r="C15" s="26" t="s">
        <v>35</v>
      </c>
      <c r="D15" s="26">
        <v>360</v>
      </c>
      <c r="E15" s="26">
        <v>360</v>
      </c>
      <c r="F15" s="26">
        <v>10</v>
      </c>
      <c r="G15" s="26">
        <v>10</v>
      </c>
      <c r="H15" s="26">
        <f t="shared" ref="H15:I15" si="4">F15-D15</f>
        <v>-350</v>
      </c>
      <c r="I15" s="26">
        <f t="shared" si="4"/>
        <v>-350</v>
      </c>
      <c r="J15" s="27"/>
      <c r="K15" s="27"/>
      <c r="L15" s="27"/>
      <c r="M15" s="27"/>
      <c r="N15" s="27"/>
      <c r="O15" s="27"/>
      <c r="P15" s="27"/>
      <c r="Q15" s="27"/>
      <c r="R15" s="30"/>
    </row>
    <row r="16" spans="1:18" ht="16.5" x14ac:dyDescent="0.25">
      <c r="A16" s="31"/>
      <c r="B16" s="31" t="s">
        <v>11</v>
      </c>
      <c r="C16" s="31"/>
      <c r="D16" s="31">
        <f t="shared" ref="D16:I16" si="5">SUM(D15:D15)</f>
        <v>360</v>
      </c>
      <c r="E16" s="31">
        <f t="shared" si="5"/>
        <v>360</v>
      </c>
      <c r="F16" s="31">
        <f t="shared" si="5"/>
        <v>10</v>
      </c>
      <c r="G16" s="31">
        <f t="shared" si="5"/>
        <v>10</v>
      </c>
      <c r="H16" s="31">
        <f t="shared" si="5"/>
        <v>-350</v>
      </c>
      <c r="I16" s="31">
        <f t="shared" si="5"/>
        <v>-350</v>
      </c>
      <c r="J16" s="27"/>
      <c r="K16" s="27"/>
      <c r="L16" s="27"/>
      <c r="M16" s="27"/>
      <c r="N16" s="27"/>
      <c r="O16" s="27"/>
      <c r="P16" s="27"/>
      <c r="Q16" s="27"/>
      <c r="R16" s="30"/>
    </row>
    <row r="17" spans="1:18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30"/>
    </row>
    <row r="18" spans="1:18" ht="16.5" x14ac:dyDescent="0.25">
      <c r="A18" s="31"/>
      <c r="B18" s="31"/>
      <c r="C18" s="31"/>
      <c r="D18" s="33" t="s">
        <v>17</v>
      </c>
      <c r="E18" s="33"/>
      <c r="F18" s="33"/>
      <c r="G18" s="33"/>
      <c r="H18" s="33"/>
      <c r="I18" s="33" t="s">
        <v>45</v>
      </c>
      <c r="J18" s="33"/>
      <c r="K18" s="33"/>
      <c r="L18" s="33"/>
      <c r="M18" s="33"/>
      <c r="N18" s="33" t="s">
        <v>46</v>
      </c>
      <c r="O18" s="33"/>
      <c r="P18" s="33"/>
      <c r="Q18" s="33"/>
      <c r="R18" s="34"/>
    </row>
    <row r="19" spans="1:18" x14ac:dyDescent="0.25">
      <c r="A19" s="25" t="s">
        <v>19</v>
      </c>
      <c r="B19" s="25" t="s">
        <v>8</v>
      </c>
      <c r="C19" s="25" t="s">
        <v>12</v>
      </c>
      <c r="D19" s="25" t="s">
        <v>13</v>
      </c>
      <c r="E19" s="25" t="s">
        <v>14</v>
      </c>
      <c r="F19" s="25" t="s">
        <v>15</v>
      </c>
      <c r="G19" s="25" t="s">
        <v>16</v>
      </c>
      <c r="H19" s="25" t="s">
        <v>22</v>
      </c>
      <c r="I19" s="25" t="s">
        <v>13</v>
      </c>
      <c r="J19" s="25" t="s">
        <v>14</v>
      </c>
      <c r="K19" s="25" t="s">
        <v>15</v>
      </c>
      <c r="L19" s="25" t="s">
        <v>16</v>
      </c>
      <c r="M19" s="25" t="s">
        <v>22</v>
      </c>
      <c r="N19" s="25" t="s">
        <v>13</v>
      </c>
      <c r="O19" s="25" t="s">
        <v>14</v>
      </c>
      <c r="P19" s="25" t="s">
        <v>15</v>
      </c>
      <c r="Q19" s="25" t="s">
        <v>16</v>
      </c>
      <c r="R19" s="28" t="s">
        <v>22</v>
      </c>
    </row>
    <row r="20" spans="1:18" ht="16.5" x14ac:dyDescent="0.25">
      <c r="A20" s="26">
        <v>183013</v>
      </c>
      <c r="B20" s="26" t="s">
        <v>65</v>
      </c>
      <c r="C20" s="26" t="s">
        <v>35</v>
      </c>
      <c r="D20" s="26">
        <v>504</v>
      </c>
      <c r="E20" s="26">
        <v>360</v>
      </c>
      <c r="F20" s="26">
        <v>360</v>
      </c>
      <c r="G20" s="26">
        <v>504</v>
      </c>
      <c r="H20" s="26">
        <v>1728</v>
      </c>
      <c r="I20" s="26">
        <v>42</v>
      </c>
      <c r="J20" s="26">
        <v>0</v>
      </c>
      <c r="K20" s="26">
        <v>0</v>
      </c>
      <c r="L20" s="26">
        <v>42</v>
      </c>
      <c r="M20" s="26">
        <v>84</v>
      </c>
      <c r="N20" s="26">
        <f t="shared" ref="N20:R20" si="6">I20-D20</f>
        <v>-462</v>
      </c>
      <c r="O20" s="26">
        <f t="shared" si="6"/>
        <v>-360</v>
      </c>
      <c r="P20" s="26">
        <f t="shared" si="6"/>
        <v>-360</v>
      </c>
      <c r="Q20" s="26">
        <f t="shared" si="6"/>
        <v>-462</v>
      </c>
      <c r="R20" s="29">
        <f t="shared" si="6"/>
        <v>-1644</v>
      </c>
    </row>
    <row r="21" spans="1:18" ht="16.5" x14ac:dyDescent="0.25">
      <c r="A21" s="31"/>
      <c r="B21" s="31" t="s">
        <v>11</v>
      </c>
      <c r="C21" s="31"/>
      <c r="D21" s="31">
        <f t="shared" ref="D21:R21" si="7">SUM(D20:D20)</f>
        <v>504</v>
      </c>
      <c r="E21" s="31">
        <f t="shared" si="7"/>
        <v>360</v>
      </c>
      <c r="F21" s="31">
        <f t="shared" si="7"/>
        <v>360</v>
      </c>
      <c r="G21" s="31">
        <f t="shared" si="7"/>
        <v>504</v>
      </c>
      <c r="H21" s="31">
        <f t="shared" si="7"/>
        <v>1728</v>
      </c>
      <c r="I21" s="31">
        <f t="shared" si="7"/>
        <v>42</v>
      </c>
      <c r="J21" s="31">
        <f t="shared" si="7"/>
        <v>0</v>
      </c>
      <c r="K21" s="31">
        <f t="shared" si="7"/>
        <v>0</v>
      </c>
      <c r="L21" s="31">
        <f t="shared" si="7"/>
        <v>42</v>
      </c>
      <c r="M21" s="31">
        <f t="shared" si="7"/>
        <v>84</v>
      </c>
      <c r="N21" s="31">
        <f t="shared" si="7"/>
        <v>-462</v>
      </c>
      <c r="O21" s="31">
        <f t="shared" si="7"/>
        <v>-360</v>
      </c>
      <c r="P21" s="31">
        <f t="shared" si="7"/>
        <v>-360</v>
      </c>
      <c r="Q21" s="31">
        <f t="shared" si="7"/>
        <v>-462</v>
      </c>
      <c r="R21" s="32">
        <f t="shared" si="7"/>
        <v>-1644</v>
      </c>
    </row>
    <row r="22" spans="1:18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30"/>
    </row>
    <row r="23" spans="1:18" ht="16.5" x14ac:dyDescent="0.25">
      <c r="A23" s="31"/>
      <c r="B23" s="31"/>
      <c r="C23" s="31"/>
      <c r="D23" s="33" t="s">
        <v>17</v>
      </c>
      <c r="E23" s="33"/>
      <c r="F23" s="33"/>
      <c r="G23" s="33"/>
      <c r="H23" s="33"/>
      <c r="I23" s="33" t="s">
        <v>45</v>
      </c>
      <c r="J23" s="33"/>
      <c r="K23" s="33"/>
      <c r="L23" s="33"/>
      <c r="M23" s="33"/>
      <c r="N23" s="33" t="s">
        <v>46</v>
      </c>
      <c r="O23" s="33"/>
      <c r="P23" s="33"/>
      <c r="Q23" s="33"/>
      <c r="R23" s="34"/>
    </row>
    <row r="24" spans="1:18" x14ac:dyDescent="0.25">
      <c r="A24" s="25" t="s">
        <v>19</v>
      </c>
      <c r="B24" s="25" t="s">
        <v>8</v>
      </c>
      <c r="C24" s="25" t="s">
        <v>12</v>
      </c>
      <c r="D24" s="25" t="s">
        <v>13</v>
      </c>
      <c r="E24" s="25" t="s">
        <v>14</v>
      </c>
      <c r="F24" s="25" t="s">
        <v>15</v>
      </c>
      <c r="G24" s="25" t="s">
        <v>16</v>
      </c>
      <c r="H24" s="25" t="s">
        <v>22</v>
      </c>
      <c r="I24" s="25" t="s">
        <v>13</v>
      </c>
      <c r="J24" s="25" t="s">
        <v>14</v>
      </c>
      <c r="K24" s="25" t="s">
        <v>15</v>
      </c>
      <c r="L24" s="25" t="s">
        <v>16</v>
      </c>
      <c r="M24" s="25" t="s">
        <v>22</v>
      </c>
      <c r="N24" s="25" t="s">
        <v>13</v>
      </c>
      <c r="O24" s="25" t="s">
        <v>14</v>
      </c>
      <c r="P24" s="25" t="s">
        <v>15</v>
      </c>
      <c r="Q24" s="25" t="s">
        <v>16</v>
      </c>
      <c r="R24" s="28" t="s">
        <v>22</v>
      </c>
    </row>
    <row r="25" spans="1:18" ht="16.5" x14ac:dyDescent="0.25">
      <c r="A25" s="26">
        <v>182981</v>
      </c>
      <c r="B25" s="26" t="s">
        <v>25</v>
      </c>
      <c r="C25" s="26" t="s">
        <v>35</v>
      </c>
      <c r="D25" s="26">
        <v>864</v>
      </c>
      <c r="E25" s="26">
        <v>2196</v>
      </c>
      <c r="F25" s="26">
        <v>2304</v>
      </c>
      <c r="G25" s="26">
        <v>828</v>
      </c>
      <c r="H25" s="26">
        <v>6192</v>
      </c>
      <c r="I25" s="26">
        <v>49</v>
      </c>
      <c r="J25" s="26">
        <v>361</v>
      </c>
      <c r="K25" s="26">
        <v>480</v>
      </c>
      <c r="L25" s="26">
        <v>12</v>
      </c>
      <c r="M25" s="26">
        <v>902</v>
      </c>
      <c r="N25" s="26">
        <f t="shared" ref="N25:R27" si="8">I25-D25</f>
        <v>-815</v>
      </c>
      <c r="O25" s="26">
        <f t="shared" si="8"/>
        <v>-1835</v>
      </c>
      <c r="P25" s="26">
        <f t="shared" si="8"/>
        <v>-1824</v>
      </c>
      <c r="Q25" s="26">
        <f t="shared" si="8"/>
        <v>-816</v>
      </c>
      <c r="R25" s="29">
        <f t="shared" si="8"/>
        <v>-5290</v>
      </c>
    </row>
    <row r="26" spans="1:18" ht="16.5" x14ac:dyDescent="0.25">
      <c r="A26" s="26"/>
      <c r="B26" s="26" t="s">
        <v>75</v>
      </c>
      <c r="C26" s="26"/>
      <c r="D26" s="26">
        <v>864</v>
      </c>
      <c r="E26" s="26">
        <v>2196</v>
      </c>
      <c r="F26" s="26">
        <v>2304</v>
      </c>
      <c r="G26" s="26">
        <v>828</v>
      </c>
      <c r="H26" s="26">
        <v>6192</v>
      </c>
      <c r="I26" s="26">
        <v>37</v>
      </c>
      <c r="J26" s="26">
        <v>174</v>
      </c>
      <c r="K26" s="26">
        <v>298</v>
      </c>
      <c r="L26" s="26">
        <v>0</v>
      </c>
      <c r="M26" s="26">
        <v>509</v>
      </c>
      <c r="N26" s="26">
        <f t="shared" si="8"/>
        <v>-827</v>
      </c>
      <c r="O26" s="26">
        <f t="shared" si="8"/>
        <v>-2022</v>
      </c>
      <c r="P26" s="26">
        <f t="shared" si="8"/>
        <v>-2006</v>
      </c>
      <c r="Q26" s="26">
        <f t="shared" si="8"/>
        <v>-828</v>
      </c>
      <c r="R26" s="29">
        <f t="shared" si="8"/>
        <v>-5683</v>
      </c>
    </row>
    <row r="27" spans="1:18" ht="16.5" x14ac:dyDescent="0.25">
      <c r="A27" s="26"/>
      <c r="B27" s="26" t="s">
        <v>86</v>
      </c>
      <c r="C27" s="26"/>
      <c r="D27" s="26">
        <v>864</v>
      </c>
      <c r="E27" s="26">
        <v>2196</v>
      </c>
      <c r="F27" s="26">
        <v>2304</v>
      </c>
      <c r="G27" s="26">
        <v>828</v>
      </c>
      <c r="H27" s="26">
        <v>6192</v>
      </c>
      <c r="I27" s="26">
        <v>19</v>
      </c>
      <c r="J27" s="26">
        <v>181</v>
      </c>
      <c r="K27" s="26">
        <v>239</v>
      </c>
      <c r="L27" s="26">
        <v>0</v>
      </c>
      <c r="M27" s="26">
        <v>439</v>
      </c>
      <c r="N27" s="26">
        <f t="shared" si="8"/>
        <v>-845</v>
      </c>
      <c r="O27" s="26">
        <f t="shared" si="8"/>
        <v>-2015</v>
      </c>
      <c r="P27" s="26">
        <f t="shared" si="8"/>
        <v>-2065</v>
      </c>
      <c r="Q27" s="26">
        <f t="shared" si="8"/>
        <v>-828</v>
      </c>
      <c r="R27" s="29">
        <f t="shared" si="8"/>
        <v>-5753</v>
      </c>
    </row>
    <row r="28" spans="1:18" ht="16.5" x14ac:dyDescent="0.25">
      <c r="A28" s="31"/>
      <c r="B28" s="31" t="s">
        <v>11</v>
      </c>
      <c r="C28" s="31"/>
      <c r="D28" s="31">
        <f t="shared" ref="D28:R28" si="9">SUM(D25:D27)</f>
        <v>2592</v>
      </c>
      <c r="E28" s="31">
        <f t="shared" si="9"/>
        <v>6588</v>
      </c>
      <c r="F28" s="31">
        <f t="shared" si="9"/>
        <v>6912</v>
      </c>
      <c r="G28" s="31">
        <f t="shared" si="9"/>
        <v>2484</v>
      </c>
      <c r="H28" s="31">
        <f t="shared" si="9"/>
        <v>18576</v>
      </c>
      <c r="I28" s="31">
        <f t="shared" si="9"/>
        <v>105</v>
      </c>
      <c r="J28" s="31">
        <f t="shared" si="9"/>
        <v>716</v>
      </c>
      <c r="K28" s="31">
        <f t="shared" si="9"/>
        <v>1017</v>
      </c>
      <c r="L28" s="31">
        <f t="shared" si="9"/>
        <v>12</v>
      </c>
      <c r="M28" s="31">
        <f t="shared" si="9"/>
        <v>1850</v>
      </c>
      <c r="N28" s="31">
        <f t="shared" si="9"/>
        <v>-2487</v>
      </c>
      <c r="O28" s="31">
        <f t="shared" si="9"/>
        <v>-5872</v>
      </c>
      <c r="P28" s="31">
        <f t="shared" si="9"/>
        <v>-5895</v>
      </c>
      <c r="Q28" s="31">
        <f t="shared" si="9"/>
        <v>-2472</v>
      </c>
      <c r="R28" s="32">
        <f t="shared" si="9"/>
        <v>-16726</v>
      </c>
    </row>
    <row r="29" spans="1:18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30"/>
    </row>
    <row r="30" spans="1:18" ht="16.5" x14ac:dyDescent="0.25">
      <c r="A30" s="31"/>
      <c r="B30" s="31"/>
      <c r="C30" s="31"/>
      <c r="D30" s="33" t="s">
        <v>17</v>
      </c>
      <c r="E30" s="33"/>
      <c r="F30" s="33"/>
      <c r="G30" s="33"/>
      <c r="H30" s="33"/>
      <c r="I30" s="33" t="s">
        <v>45</v>
      </c>
      <c r="J30" s="33"/>
      <c r="K30" s="33"/>
      <c r="L30" s="33"/>
      <c r="M30" s="33"/>
      <c r="N30" s="33" t="s">
        <v>46</v>
      </c>
      <c r="O30" s="33"/>
      <c r="P30" s="33"/>
      <c r="Q30" s="33"/>
      <c r="R30" s="34"/>
    </row>
    <row r="31" spans="1:18" x14ac:dyDescent="0.25">
      <c r="A31" s="25" t="s">
        <v>19</v>
      </c>
      <c r="B31" s="25" t="s">
        <v>8</v>
      </c>
      <c r="C31" s="25" t="s">
        <v>12</v>
      </c>
      <c r="D31" s="25" t="s">
        <v>13</v>
      </c>
      <c r="E31" s="25" t="s">
        <v>14</v>
      </c>
      <c r="F31" s="25" t="s">
        <v>15</v>
      </c>
      <c r="G31" s="25" t="s">
        <v>16</v>
      </c>
      <c r="H31" s="25" t="s">
        <v>22</v>
      </c>
      <c r="I31" s="25" t="s">
        <v>13</v>
      </c>
      <c r="J31" s="25" t="s">
        <v>14</v>
      </c>
      <c r="K31" s="25" t="s">
        <v>15</v>
      </c>
      <c r="L31" s="25" t="s">
        <v>16</v>
      </c>
      <c r="M31" s="25" t="s">
        <v>22</v>
      </c>
      <c r="N31" s="25" t="s">
        <v>13</v>
      </c>
      <c r="O31" s="25" t="s">
        <v>14</v>
      </c>
      <c r="P31" s="25" t="s">
        <v>15</v>
      </c>
      <c r="Q31" s="25" t="s">
        <v>16</v>
      </c>
      <c r="R31" s="28" t="s">
        <v>22</v>
      </c>
    </row>
    <row r="32" spans="1:18" ht="16.5" x14ac:dyDescent="0.25">
      <c r="A32" s="26">
        <v>183022</v>
      </c>
      <c r="B32" s="26" t="s">
        <v>92</v>
      </c>
      <c r="C32" s="26" t="s">
        <v>23</v>
      </c>
      <c r="D32" s="26">
        <v>360</v>
      </c>
      <c r="E32" s="26">
        <v>720</v>
      </c>
      <c r="F32" s="26">
        <v>720</v>
      </c>
      <c r="G32" s="26">
        <v>360</v>
      </c>
      <c r="H32" s="26">
        <v>2160</v>
      </c>
      <c r="I32" s="26">
        <v>6</v>
      </c>
      <c r="J32" s="26">
        <v>12</v>
      </c>
      <c r="K32" s="26">
        <v>12</v>
      </c>
      <c r="L32" s="26">
        <v>6</v>
      </c>
      <c r="M32" s="26">
        <v>36</v>
      </c>
      <c r="N32" s="26">
        <f t="shared" ref="N32:R32" si="10">I32-D32</f>
        <v>-354</v>
      </c>
      <c r="O32" s="26">
        <f t="shared" si="10"/>
        <v>-708</v>
      </c>
      <c r="P32" s="26">
        <f t="shared" si="10"/>
        <v>-708</v>
      </c>
      <c r="Q32" s="26">
        <f t="shared" si="10"/>
        <v>-354</v>
      </c>
      <c r="R32" s="29">
        <f t="shared" si="10"/>
        <v>-2124</v>
      </c>
    </row>
    <row r="33" spans="1:18" ht="16.5" x14ac:dyDescent="0.25">
      <c r="A33" s="31"/>
      <c r="B33" s="31" t="s">
        <v>11</v>
      </c>
      <c r="C33" s="31"/>
      <c r="D33" s="31">
        <f t="shared" ref="D33:R33" si="11">SUM(D32:D32)</f>
        <v>360</v>
      </c>
      <c r="E33" s="31">
        <f t="shared" si="11"/>
        <v>720</v>
      </c>
      <c r="F33" s="31">
        <f t="shared" si="11"/>
        <v>720</v>
      </c>
      <c r="G33" s="31">
        <f t="shared" si="11"/>
        <v>360</v>
      </c>
      <c r="H33" s="31">
        <f t="shared" si="11"/>
        <v>2160</v>
      </c>
      <c r="I33" s="31">
        <f t="shared" si="11"/>
        <v>6</v>
      </c>
      <c r="J33" s="31">
        <f t="shared" si="11"/>
        <v>12</v>
      </c>
      <c r="K33" s="31">
        <f t="shared" si="11"/>
        <v>12</v>
      </c>
      <c r="L33" s="31">
        <f t="shared" si="11"/>
        <v>6</v>
      </c>
      <c r="M33" s="31">
        <f t="shared" si="11"/>
        <v>36</v>
      </c>
      <c r="N33" s="31">
        <f t="shared" si="11"/>
        <v>-354</v>
      </c>
      <c r="O33" s="31">
        <f t="shared" si="11"/>
        <v>-708</v>
      </c>
      <c r="P33" s="31">
        <f t="shared" si="11"/>
        <v>-708</v>
      </c>
      <c r="Q33" s="31">
        <f t="shared" si="11"/>
        <v>-354</v>
      </c>
      <c r="R33" s="32">
        <f t="shared" si="11"/>
        <v>-2124</v>
      </c>
    </row>
    <row r="34" spans="1:18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30"/>
    </row>
    <row r="35" spans="1:18" ht="16.5" x14ac:dyDescent="0.25">
      <c r="A35" s="31"/>
      <c r="B35" s="31"/>
      <c r="C35" s="31"/>
      <c r="D35" s="33" t="s">
        <v>17</v>
      </c>
      <c r="E35" s="33"/>
      <c r="F35" s="33"/>
      <c r="G35" s="33"/>
      <c r="H35" s="33"/>
      <c r="I35" s="33" t="s">
        <v>45</v>
      </c>
      <c r="J35" s="33"/>
      <c r="K35" s="33"/>
      <c r="L35" s="33"/>
      <c r="M35" s="33"/>
      <c r="N35" s="33" t="s">
        <v>46</v>
      </c>
      <c r="O35" s="33"/>
      <c r="P35" s="33"/>
      <c r="Q35" s="33"/>
      <c r="R35" s="34"/>
    </row>
    <row r="36" spans="1:18" x14ac:dyDescent="0.25">
      <c r="A36" s="25" t="s">
        <v>19</v>
      </c>
      <c r="B36" s="25" t="s">
        <v>8</v>
      </c>
      <c r="C36" s="25" t="s">
        <v>12</v>
      </c>
      <c r="D36" s="25" t="s">
        <v>13</v>
      </c>
      <c r="E36" s="25" t="s">
        <v>14</v>
      </c>
      <c r="F36" s="25" t="s">
        <v>15</v>
      </c>
      <c r="G36" s="25" t="s">
        <v>16</v>
      </c>
      <c r="H36" s="25" t="s">
        <v>22</v>
      </c>
      <c r="I36" s="25" t="s">
        <v>13</v>
      </c>
      <c r="J36" s="25" t="s">
        <v>14</v>
      </c>
      <c r="K36" s="25" t="s">
        <v>15</v>
      </c>
      <c r="L36" s="25" t="s">
        <v>16</v>
      </c>
      <c r="M36" s="25" t="s">
        <v>22</v>
      </c>
      <c r="N36" s="25" t="s">
        <v>13</v>
      </c>
      <c r="O36" s="25" t="s">
        <v>14</v>
      </c>
      <c r="P36" s="25" t="s">
        <v>15</v>
      </c>
      <c r="Q36" s="25" t="s">
        <v>16</v>
      </c>
      <c r="R36" s="28" t="s">
        <v>22</v>
      </c>
    </row>
    <row r="37" spans="1:18" ht="16.5" x14ac:dyDescent="0.25">
      <c r="A37" s="26">
        <v>183014</v>
      </c>
      <c r="B37" s="26" t="s">
        <v>25</v>
      </c>
      <c r="C37" s="26" t="s">
        <v>35</v>
      </c>
      <c r="D37" s="26">
        <v>648</v>
      </c>
      <c r="E37" s="26">
        <v>1548</v>
      </c>
      <c r="F37" s="26">
        <v>1440</v>
      </c>
      <c r="G37" s="26">
        <v>612</v>
      </c>
      <c r="H37" s="26">
        <v>4248</v>
      </c>
      <c r="I37" s="26">
        <v>36</v>
      </c>
      <c r="J37" s="26">
        <v>324</v>
      </c>
      <c r="K37" s="26">
        <v>216</v>
      </c>
      <c r="L37" s="26">
        <v>0</v>
      </c>
      <c r="M37" s="26">
        <v>576</v>
      </c>
      <c r="N37" s="26">
        <f t="shared" ref="N37:R38" si="12">I37-D37</f>
        <v>-612</v>
      </c>
      <c r="O37" s="26">
        <f t="shared" si="12"/>
        <v>-1224</v>
      </c>
      <c r="P37" s="26">
        <f t="shared" si="12"/>
        <v>-1224</v>
      </c>
      <c r="Q37" s="26">
        <f t="shared" si="12"/>
        <v>-612</v>
      </c>
      <c r="R37" s="29">
        <f t="shared" si="12"/>
        <v>-3672</v>
      </c>
    </row>
    <row r="38" spans="1:18" ht="16.5" x14ac:dyDescent="0.25">
      <c r="A38" s="26"/>
      <c r="B38" s="26" t="s">
        <v>37</v>
      </c>
      <c r="C38" s="26"/>
      <c r="D38" s="26">
        <v>648</v>
      </c>
      <c r="E38" s="26">
        <v>1548</v>
      </c>
      <c r="F38" s="26">
        <v>1440</v>
      </c>
      <c r="G38" s="26">
        <v>612</v>
      </c>
      <c r="H38" s="26">
        <v>4248</v>
      </c>
      <c r="I38" s="26">
        <v>26</v>
      </c>
      <c r="J38" s="26">
        <v>234</v>
      </c>
      <c r="K38" s="26">
        <v>156</v>
      </c>
      <c r="L38" s="26">
        <v>0</v>
      </c>
      <c r="M38" s="26">
        <v>416</v>
      </c>
      <c r="N38" s="26">
        <f t="shared" si="12"/>
        <v>-622</v>
      </c>
      <c r="O38" s="26">
        <f t="shared" si="12"/>
        <v>-1314</v>
      </c>
      <c r="P38" s="26">
        <f t="shared" si="12"/>
        <v>-1284</v>
      </c>
      <c r="Q38" s="26">
        <f t="shared" si="12"/>
        <v>-612</v>
      </c>
      <c r="R38" s="29">
        <f t="shared" si="12"/>
        <v>-3832</v>
      </c>
    </row>
    <row r="39" spans="1:18" ht="16.5" x14ac:dyDescent="0.25">
      <c r="A39" s="31"/>
      <c r="B39" s="31" t="s">
        <v>11</v>
      </c>
      <c r="C39" s="31"/>
      <c r="D39" s="31">
        <f t="shared" ref="D39:R39" si="13">SUM(D37:D38)</f>
        <v>1296</v>
      </c>
      <c r="E39" s="31">
        <f t="shared" si="13"/>
        <v>3096</v>
      </c>
      <c r="F39" s="31">
        <f t="shared" si="13"/>
        <v>2880</v>
      </c>
      <c r="G39" s="31">
        <f t="shared" si="13"/>
        <v>1224</v>
      </c>
      <c r="H39" s="31">
        <f t="shared" si="13"/>
        <v>8496</v>
      </c>
      <c r="I39" s="31">
        <f t="shared" si="13"/>
        <v>62</v>
      </c>
      <c r="J39" s="31">
        <f t="shared" si="13"/>
        <v>558</v>
      </c>
      <c r="K39" s="31">
        <f t="shared" si="13"/>
        <v>372</v>
      </c>
      <c r="L39" s="31">
        <f t="shared" si="13"/>
        <v>0</v>
      </c>
      <c r="M39" s="31">
        <f t="shared" si="13"/>
        <v>992</v>
      </c>
      <c r="N39" s="31">
        <f t="shared" si="13"/>
        <v>-1234</v>
      </c>
      <c r="O39" s="31">
        <f t="shared" si="13"/>
        <v>-2538</v>
      </c>
      <c r="P39" s="31">
        <f t="shared" si="13"/>
        <v>-2508</v>
      </c>
      <c r="Q39" s="31">
        <f t="shared" si="13"/>
        <v>-1224</v>
      </c>
      <c r="R39" s="32">
        <f t="shared" si="13"/>
        <v>-7504</v>
      </c>
    </row>
    <row r="40" spans="1:18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30"/>
    </row>
    <row r="41" spans="1:18" ht="16.5" x14ac:dyDescent="0.25">
      <c r="A41" s="31"/>
      <c r="B41" s="31"/>
      <c r="C41" s="31"/>
      <c r="D41" s="33" t="s">
        <v>17</v>
      </c>
      <c r="E41" s="33"/>
      <c r="F41" s="33"/>
      <c r="G41" s="33"/>
      <c r="H41" s="33"/>
      <c r="I41" s="33" t="s">
        <v>45</v>
      </c>
      <c r="J41" s="33"/>
      <c r="K41" s="33"/>
      <c r="L41" s="33"/>
      <c r="M41" s="33"/>
      <c r="N41" s="33" t="s">
        <v>46</v>
      </c>
      <c r="O41" s="33"/>
      <c r="P41" s="33"/>
      <c r="Q41" s="33"/>
      <c r="R41" s="34"/>
    </row>
    <row r="42" spans="1:18" x14ac:dyDescent="0.25">
      <c r="A42" s="25" t="s">
        <v>19</v>
      </c>
      <c r="B42" s="25" t="s">
        <v>8</v>
      </c>
      <c r="C42" s="25" t="s">
        <v>12</v>
      </c>
      <c r="D42" s="25" t="s">
        <v>13</v>
      </c>
      <c r="E42" s="25" t="s">
        <v>14</v>
      </c>
      <c r="F42" s="25" t="s">
        <v>15</v>
      </c>
      <c r="G42" s="25" t="s">
        <v>16</v>
      </c>
      <c r="H42" s="25" t="s">
        <v>22</v>
      </c>
      <c r="I42" s="25" t="s">
        <v>13</v>
      </c>
      <c r="J42" s="25" t="s">
        <v>14</v>
      </c>
      <c r="K42" s="25" t="s">
        <v>15</v>
      </c>
      <c r="L42" s="25" t="s">
        <v>16</v>
      </c>
      <c r="M42" s="25" t="s">
        <v>22</v>
      </c>
      <c r="N42" s="25" t="s">
        <v>13</v>
      </c>
      <c r="O42" s="25" t="s">
        <v>14</v>
      </c>
      <c r="P42" s="25" t="s">
        <v>15</v>
      </c>
      <c r="Q42" s="25" t="s">
        <v>16</v>
      </c>
      <c r="R42" s="28" t="s">
        <v>22</v>
      </c>
    </row>
    <row r="43" spans="1:18" ht="16.5" x14ac:dyDescent="0.25">
      <c r="A43" s="26">
        <v>182974</v>
      </c>
      <c r="B43" s="26" t="s">
        <v>95</v>
      </c>
      <c r="C43" s="26" t="s">
        <v>35</v>
      </c>
      <c r="D43" s="26">
        <v>1836</v>
      </c>
      <c r="E43" s="26">
        <v>4248</v>
      </c>
      <c r="F43" s="26">
        <v>4104</v>
      </c>
      <c r="G43" s="26">
        <v>1872</v>
      </c>
      <c r="H43" s="26">
        <v>12060</v>
      </c>
      <c r="I43" s="26">
        <v>357</v>
      </c>
      <c r="J43" s="26">
        <v>510</v>
      </c>
      <c r="K43" s="26">
        <v>459</v>
      </c>
      <c r="L43" s="26">
        <v>0</v>
      </c>
      <c r="M43" s="26">
        <v>1326</v>
      </c>
      <c r="N43" s="26">
        <f t="shared" ref="N43:R44" si="14">I43-D43</f>
        <v>-1479</v>
      </c>
      <c r="O43" s="26">
        <f t="shared" si="14"/>
        <v>-3738</v>
      </c>
      <c r="P43" s="26">
        <f t="shared" si="14"/>
        <v>-3645</v>
      </c>
      <c r="Q43" s="26">
        <f t="shared" si="14"/>
        <v>-1872</v>
      </c>
      <c r="R43" s="29">
        <f t="shared" si="14"/>
        <v>-10734</v>
      </c>
    </row>
    <row r="44" spans="1:18" ht="16.5" x14ac:dyDescent="0.25">
      <c r="A44" s="26"/>
      <c r="B44" s="26" t="s">
        <v>25</v>
      </c>
      <c r="C44" s="26"/>
      <c r="D44" s="26">
        <v>1836</v>
      </c>
      <c r="E44" s="26">
        <v>4248</v>
      </c>
      <c r="F44" s="26">
        <v>4104</v>
      </c>
      <c r="G44" s="26">
        <v>1872</v>
      </c>
      <c r="H44" s="26">
        <v>12060</v>
      </c>
      <c r="I44" s="26">
        <v>70</v>
      </c>
      <c r="J44" s="26">
        <v>92</v>
      </c>
      <c r="K44" s="26">
        <v>0</v>
      </c>
      <c r="L44" s="26">
        <v>20</v>
      </c>
      <c r="M44" s="26">
        <v>182</v>
      </c>
      <c r="N44" s="26">
        <f t="shared" si="14"/>
        <v>-1766</v>
      </c>
      <c r="O44" s="26">
        <f t="shared" si="14"/>
        <v>-4156</v>
      </c>
      <c r="P44" s="26">
        <f t="shared" si="14"/>
        <v>-4104</v>
      </c>
      <c r="Q44" s="26">
        <f t="shared" si="14"/>
        <v>-1852</v>
      </c>
      <c r="R44" s="29">
        <f t="shared" si="14"/>
        <v>-11878</v>
      </c>
    </row>
    <row r="45" spans="1:18" ht="16.5" x14ac:dyDescent="0.25">
      <c r="A45" s="31"/>
      <c r="B45" s="31" t="s">
        <v>11</v>
      </c>
      <c r="C45" s="31"/>
      <c r="D45" s="31">
        <f t="shared" ref="D45:R45" si="15">SUM(D43:D44)</f>
        <v>3672</v>
      </c>
      <c r="E45" s="31">
        <f t="shared" si="15"/>
        <v>8496</v>
      </c>
      <c r="F45" s="31">
        <f t="shared" si="15"/>
        <v>8208</v>
      </c>
      <c r="G45" s="31">
        <f t="shared" si="15"/>
        <v>3744</v>
      </c>
      <c r="H45" s="31">
        <f t="shared" si="15"/>
        <v>24120</v>
      </c>
      <c r="I45" s="31">
        <f t="shared" si="15"/>
        <v>427</v>
      </c>
      <c r="J45" s="31">
        <f t="shared" si="15"/>
        <v>602</v>
      </c>
      <c r="K45" s="31">
        <f t="shared" si="15"/>
        <v>459</v>
      </c>
      <c r="L45" s="31">
        <f t="shared" si="15"/>
        <v>20</v>
      </c>
      <c r="M45" s="31">
        <f t="shared" si="15"/>
        <v>1508</v>
      </c>
      <c r="N45" s="31">
        <f t="shared" si="15"/>
        <v>-3245</v>
      </c>
      <c r="O45" s="31">
        <f t="shared" si="15"/>
        <v>-7894</v>
      </c>
      <c r="P45" s="31">
        <f t="shared" si="15"/>
        <v>-7749</v>
      </c>
      <c r="Q45" s="31">
        <f t="shared" si="15"/>
        <v>-3724</v>
      </c>
      <c r="R45" s="32">
        <f t="shared" si="15"/>
        <v>-22612</v>
      </c>
    </row>
    <row r="46" spans="1:18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30"/>
    </row>
    <row r="47" spans="1:18" ht="16.5" x14ac:dyDescent="0.25">
      <c r="A47" s="31"/>
      <c r="B47" s="31"/>
      <c r="C47" s="31"/>
      <c r="D47" s="33" t="s">
        <v>17</v>
      </c>
      <c r="E47" s="33"/>
      <c r="F47" s="33"/>
      <c r="G47" s="33"/>
      <c r="H47" s="33"/>
      <c r="I47" s="33" t="s">
        <v>45</v>
      </c>
      <c r="J47" s="33"/>
      <c r="K47" s="33"/>
      <c r="L47" s="33"/>
      <c r="M47" s="33"/>
      <c r="N47" s="33" t="s">
        <v>46</v>
      </c>
      <c r="O47" s="33"/>
      <c r="P47" s="33"/>
      <c r="Q47" s="33"/>
      <c r="R47" s="34"/>
    </row>
    <row r="48" spans="1:18" x14ac:dyDescent="0.25">
      <c r="A48" s="25" t="s">
        <v>19</v>
      </c>
      <c r="B48" s="25" t="s">
        <v>8</v>
      </c>
      <c r="C48" s="25" t="s">
        <v>12</v>
      </c>
      <c r="D48" s="25" t="s">
        <v>13</v>
      </c>
      <c r="E48" s="25" t="s">
        <v>14</v>
      </c>
      <c r="F48" s="25" t="s">
        <v>15</v>
      </c>
      <c r="G48" s="25" t="s">
        <v>16</v>
      </c>
      <c r="H48" s="25" t="s">
        <v>22</v>
      </c>
      <c r="I48" s="25" t="s">
        <v>13</v>
      </c>
      <c r="J48" s="25" t="s">
        <v>14</v>
      </c>
      <c r="K48" s="25" t="s">
        <v>15</v>
      </c>
      <c r="L48" s="25" t="s">
        <v>16</v>
      </c>
      <c r="M48" s="25" t="s">
        <v>22</v>
      </c>
      <c r="N48" s="25" t="s">
        <v>13</v>
      </c>
      <c r="O48" s="25" t="s">
        <v>14</v>
      </c>
      <c r="P48" s="25" t="s">
        <v>15</v>
      </c>
      <c r="Q48" s="25" t="s">
        <v>16</v>
      </c>
      <c r="R48" s="28" t="s">
        <v>22</v>
      </c>
    </row>
    <row r="49" spans="1:18" ht="16.5" x14ac:dyDescent="0.25">
      <c r="A49" s="26">
        <v>182976</v>
      </c>
      <c r="B49" s="26" t="s">
        <v>24</v>
      </c>
      <c r="C49" s="26" t="s">
        <v>35</v>
      </c>
      <c r="D49" s="26">
        <v>792</v>
      </c>
      <c r="E49" s="26">
        <v>2412</v>
      </c>
      <c r="F49" s="26">
        <v>2052</v>
      </c>
      <c r="G49" s="26">
        <v>900</v>
      </c>
      <c r="H49" s="26">
        <v>6156</v>
      </c>
      <c r="I49" s="26">
        <v>92</v>
      </c>
      <c r="J49" s="26">
        <v>204</v>
      </c>
      <c r="K49" s="26">
        <v>111</v>
      </c>
      <c r="L49" s="26">
        <v>0</v>
      </c>
      <c r="M49" s="26">
        <v>407</v>
      </c>
      <c r="N49" s="26">
        <f t="shared" ref="N49:R50" si="16">I49-D49</f>
        <v>-700</v>
      </c>
      <c r="O49" s="26">
        <f t="shared" si="16"/>
        <v>-2208</v>
      </c>
      <c r="P49" s="26">
        <f t="shared" si="16"/>
        <v>-1941</v>
      </c>
      <c r="Q49" s="26">
        <f t="shared" si="16"/>
        <v>-900</v>
      </c>
      <c r="R49" s="29">
        <f t="shared" si="16"/>
        <v>-5749</v>
      </c>
    </row>
    <row r="50" spans="1:18" ht="16.5" x14ac:dyDescent="0.25">
      <c r="A50" s="26"/>
      <c r="B50" s="26" t="s">
        <v>108</v>
      </c>
      <c r="C50" s="26"/>
      <c r="D50" s="26">
        <v>792</v>
      </c>
      <c r="E50" s="26">
        <v>2412</v>
      </c>
      <c r="F50" s="26">
        <v>2052</v>
      </c>
      <c r="G50" s="26">
        <v>900</v>
      </c>
      <c r="H50" s="26">
        <v>6156</v>
      </c>
      <c r="I50" s="26">
        <v>0</v>
      </c>
      <c r="J50" s="26">
        <v>0</v>
      </c>
      <c r="K50" s="26">
        <v>13</v>
      </c>
      <c r="L50" s="26">
        <v>0</v>
      </c>
      <c r="M50" s="26">
        <v>13</v>
      </c>
      <c r="N50" s="26">
        <f t="shared" si="16"/>
        <v>-792</v>
      </c>
      <c r="O50" s="26">
        <f t="shared" si="16"/>
        <v>-2412</v>
      </c>
      <c r="P50" s="26">
        <f t="shared" si="16"/>
        <v>-2039</v>
      </c>
      <c r="Q50" s="26">
        <f t="shared" si="16"/>
        <v>-900</v>
      </c>
      <c r="R50" s="29">
        <f t="shared" si="16"/>
        <v>-6143</v>
      </c>
    </row>
    <row r="51" spans="1:18" ht="16.5" x14ac:dyDescent="0.25">
      <c r="A51" s="31"/>
      <c r="B51" s="31" t="s">
        <v>11</v>
      </c>
      <c r="C51" s="31"/>
      <c r="D51" s="31">
        <f t="shared" ref="D51:R51" si="17">SUM(D49:D50)</f>
        <v>1584</v>
      </c>
      <c r="E51" s="31">
        <f t="shared" si="17"/>
        <v>4824</v>
      </c>
      <c r="F51" s="31">
        <f t="shared" si="17"/>
        <v>4104</v>
      </c>
      <c r="G51" s="31">
        <f t="shared" si="17"/>
        <v>1800</v>
      </c>
      <c r="H51" s="31">
        <f t="shared" si="17"/>
        <v>12312</v>
      </c>
      <c r="I51" s="31">
        <f t="shared" si="17"/>
        <v>92</v>
      </c>
      <c r="J51" s="31">
        <f t="shared" si="17"/>
        <v>204</v>
      </c>
      <c r="K51" s="31">
        <f t="shared" si="17"/>
        <v>124</v>
      </c>
      <c r="L51" s="31">
        <f t="shared" si="17"/>
        <v>0</v>
      </c>
      <c r="M51" s="31">
        <f t="shared" si="17"/>
        <v>420</v>
      </c>
      <c r="N51" s="31">
        <f t="shared" si="17"/>
        <v>-1492</v>
      </c>
      <c r="O51" s="31">
        <f t="shared" si="17"/>
        <v>-4620</v>
      </c>
      <c r="P51" s="31">
        <f t="shared" si="17"/>
        <v>-3980</v>
      </c>
      <c r="Q51" s="31">
        <f t="shared" si="17"/>
        <v>-1800</v>
      </c>
      <c r="R51" s="32">
        <f t="shared" si="17"/>
        <v>-11892</v>
      </c>
    </row>
    <row r="52" spans="1:18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30"/>
    </row>
    <row r="53" spans="1:18" ht="16.5" x14ac:dyDescent="0.25">
      <c r="A53" s="31"/>
      <c r="B53" s="31"/>
      <c r="C53" s="31"/>
      <c r="D53" s="33" t="s">
        <v>17</v>
      </c>
      <c r="E53" s="33"/>
      <c r="F53" s="33"/>
      <c r="G53" s="33"/>
      <c r="H53" s="33"/>
      <c r="I53" s="33" t="s">
        <v>45</v>
      </c>
      <c r="J53" s="33"/>
      <c r="K53" s="33"/>
      <c r="L53" s="33"/>
      <c r="M53" s="33"/>
      <c r="N53" s="33" t="s">
        <v>46</v>
      </c>
      <c r="O53" s="33"/>
      <c r="P53" s="33"/>
      <c r="Q53" s="33"/>
      <c r="R53" s="34"/>
    </row>
    <row r="54" spans="1:18" x14ac:dyDescent="0.25">
      <c r="A54" s="25" t="s">
        <v>19</v>
      </c>
      <c r="B54" s="25" t="s">
        <v>8</v>
      </c>
      <c r="C54" s="25" t="s">
        <v>12</v>
      </c>
      <c r="D54" s="25" t="s">
        <v>13</v>
      </c>
      <c r="E54" s="25" t="s">
        <v>14</v>
      </c>
      <c r="F54" s="25" t="s">
        <v>15</v>
      </c>
      <c r="G54" s="25" t="s">
        <v>16</v>
      </c>
      <c r="H54" s="25" t="s">
        <v>22</v>
      </c>
      <c r="I54" s="25" t="s">
        <v>13</v>
      </c>
      <c r="J54" s="25" t="s">
        <v>14</v>
      </c>
      <c r="K54" s="25" t="s">
        <v>15</v>
      </c>
      <c r="L54" s="25" t="s">
        <v>16</v>
      </c>
      <c r="M54" s="25" t="s">
        <v>22</v>
      </c>
      <c r="N54" s="25" t="s">
        <v>13</v>
      </c>
      <c r="O54" s="25" t="s">
        <v>14</v>
      </c>
      <c r="P54" s="25" t="s">
        <v>15</v>
      </c>
      <c r="Q54" s="25" t="s">
        <v>16</v>
      </c>
      <c r="R54" s="28" t="s">
        <v>22</v>
      </c>
    </row>
    <row r="55" spans="1:18" ht="16.5" x14ac:dyDescent="0.25">
      <c r="A55" s="26">
        <v>182972</v>
      </c>
      <c r="B55" s="26" t="s">
        <v>25</v>
      </c>
      <c r="C55" s="26" t="s">
        <v>35</v>
      </c>
      <c r="D55" s="26">
        <v>1080</v>
      </c>
      <c r="E55" s="26">
        <v>2700</v>
      </c>
      <c r="F55" s="26">
        <v>2808</v>
      </c>
      <c r="G55" s="26">
        <v>1224</v>
      </c>
      <c r="H55" s="26">
        <v>7812</v>
      </c>
      <c r="I55" s="26">
        <v>34</v>
      </c>
      <c r="J55" s="26">
        <v>153</v>
      </c>
      <c r="K55" s="26">
        <v>153</v>
      </c>
      <c r="L55" s="26">
        <v>102</v>
      </c>
      <c r="M55" s="26">
        <v>442</v>
      </c>
      <c r="N55" s="26">
        <f t="shared" ref="N55:R55" si="18">I55-D55</f>
        <v>-1046</v>
      </c>
      <c r="O55" s="26">
        <f t="shared" si="18"/>
        <v>-2547</v>
      </c>
      <c r="P55" s="26">
        <f t="shared" si="18"/>
        <v>-2655</v>
      </c>
      <c r="Q55" s="26">
        <f t="shared" si="18"/>
        <v>-1122</v>
      </c>
      <c r="R55" s="29">
        <f t="shared" si="18"/>
        <v>-7370</v>
      </c>
    </row>
    <row r="56" spans="1:18" ht="16.5" x14ac:dyDescent="0.25">
      <c r="A56" s="31"/>
      <c r="B56" s="31" t="s">
        <v>11</v>
      </c>
      <c r="C56" s="31"/>
      <c r="D56" s="31">
        <f t="shared" ref="D56:R56" si="19">SUM(D55:D55)</f>
        <v>1080</v>
      </c>
      <c r="E56" s="31">
        <f t="shared" si="19"/>
        <v>2700</v>
      </c>
      <c r="F56" s="31">
        <f t="shared" si="19"/>
        <v>2808</v>
      </c>
      <c r="G56" s="31">
        <f t="shared" si="19"/>
        <v>1224</v>
      </c>
      <c r="H56" s="31">
        <f t="shared" si="19"/>
        <v>7812</v>
      </c>
      <c r="I56" s="31">
        <f t="shared" si="19"/>
        <v>34</v>
      </c>
      <c r="J56" s="31">
        <f t="shared" si="19"/>
        <v>153</v>
      </c>
      <c r="K56" s="31">
        <f t="shared" si="19"/>
        <v>153</v>
      </c>
      <c r="L56" s="31">
        <f t="shared" si="19"/>
        <v>102</v>
      </c>
      <c r="M56" s="31">
        <f t="shared" si="19"/>
        <v>442</v>
      </c>
      <c r="N56" s="31">
        <f t="shared" si="19"/>
        <v>-1046</v>
      </c>
      <c r="O56" s="31">
        <f t="shared" si="19"/>
        <v>-2547</v>
      </c>
      <c r="P56" s="31">
        <f t="shared" si="19"/>
        <v>-2655</v>
      </c>
      <c r="Q56" s="31">
        <f t="shared" si="19"/>
        <v>-1122</v>
      </c>
      <c r="R56" s="32">
        <f t="shared" si="19"/>
        <v>-7370</v>
      </c>
    </row>
    <row r="57" spans="1:18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30"/>
    </row>
    <row r="58" spans="1:18" ht="16.5" x14ac:dyDescent="0.25">
      <c r="A58" s="31"/>
      <c r="B58" s="31"/>
      <c r="C58" s="31"/>
      <c r="D58" s="33" t="s">
        <v>17</v>
      </c>
      <c r="E58" s="33"/>
      <c r="F58" s="33"/>
      <c r="G58" s="33"/>
      <c r="H58" s="33"/>
      <c r="I58" s="33" t="s">
        <v>45</v>
      </c>
      <c r="J58" s="33"/>
      <c r="K58" s="33"/>
      <c r="L58" s="33"/>
      <c r="M58" s="33"/>
      <c r="N58" s="33" t="s">
        <v>46</v>
      </c>
      <c r="O58" s="33"/>
      <c r="P58" s="33"/>
      <c r="Q58" s="33"/>
      <c r="R58" s="34"/>
    </row>
    <row r="59" spans="1:18" x14ac:dyDescent="0.25">
      <c r="A59" s="25" t="s">
        <v>19</v>
      </c>
      <c r="B59" s="25" t="s">
        <v>8</v>
      </c>
      <c r="C59" s="25" t="s">
        <v>12</v>
      </c>
      <c r="D59" s="25" t="s">
        <v>13</v>
      </c>
      <c r="E59" s="25" t="s">
        <v>14</v>
      </c>
      <c r="F59" s="25" t="s">
        <v>15</v>
      </c>
      <c r="G59" s="25" t="s">
        <v>16</v>
      </c>
      <c r="H59" s="25" t="s">
        <v>22</v>
      </c>
      <c r="I59" s="25" t="s">
        <v>13</v>
      </c>
      <c r="J59" s="25" t="s">
        <v>14</v>
      </c>
      <c r="K59" s="25" t="s">
        <v>15</v>
      </c>
      <c r="L59" s="25" t="s">
        <v>16</v>
      </c>
      <c r="M59" s="25" t="s">
        <v>22</v>
      </c>
      <c r="N59" s="25" t="s">
        <v>13</v>
      </c>
      <c r="O59" s="25" t="s">
        <v>14</v>
      </c>
      <c r="P59" s="25" t="s">
        <v>15</v>
      </c>
      <c r="Q59" s="25" t="s">
        <v>16</v>
      </c>
      <c r="R59" s="28" t="s">
        <v>22</v>
      </c>
    </row>
    <row r="60" spans="1:18" ht="16.5" x14ac:dyDescent="0.25">
      <c r="A60" s="26">
        <v>183001</v>
      </c>
      <c r="B60" s="26" t="s">
        <v>24</v>
      </c>
      <c r="C60" s="26" t="s">
        <v>23</v>
      </c>
      <c r="D60" s="26">
        <v>612</v>
      </c>
      <c r="E60" s="26">
        <v>1836</v>
      </c>
      <c r="F60" s="26">
        <v>1440</v>
      </c>
      <c r="G60" s="26">
        <v>792</v>
      </c>
      <c r="H60" s="26">
        <v>4680</v>
      </c>
      <c r="I60" s="26">
        <v>0</v>
      </c>
      <c r="J60" s="26">
        <v>0</v>
      </c>
      <c r="K60" s="26">
        <v>0</v>
      </c>
      <c r="L60" s="26">
        <v>27</v>
      </c>
      <c r="M60" s="26">
        <v>27</v>
      </c>
      <c r="N60" s="26">
        <f t="shared" ref="N60:R60" si="20">I60-D60</f>
        <v>-612</v>
      </c>
      <c r="O60" s="26">
        <f t="shared" si="20"/>
        <v>-1836</v>
      </c>
      <c r="P60" s="26">
        <f t="shared" si="20"/>
        <v>-1440</v>
      </c>
      <c r="Q60" s="26">
        <f t="shared" si="20"/>
        <v>-765</v>
      </c>
      <c r="R60" s="29">
        <f t="shared" si="20"/>
        <v>-4653</v>
      </c>
    </row>
    <row r="61" spans="1:18" ht="16.5" x14ac:dyDescent="0.25">
      <c r="A61" s="31"/>
      <c r="B61" s="31" t="s">
        <v>11</v>
      </c>
      <c r="C61" s="31"/>
      <c r="D61" s="31">
        <f t="shared" ref="D61:R61" si="21">SUM(D60:D60)</f>
        <v>612</v>
      </c>
      <c r="E61" s="31">
        <f t="shared" si="21"/>
        <v>1836</v>
      </c>
      <c r="F61" s="31">
        <f t="shared" si="21"/>
        <v>1440</v>
      </c>
      <c r="G61" s="31">
        <f t="shared" si="21"/>
        <v>792</v>
      </c>
      <c r="H61" s="31">
        <f t="shared" si="21"/>
        <v>4680</v>
      </c>
      <c r="I61" s="31">
        <f t="shared" si="21"/>
        <v>0</v>
      </c>
      <c r="J61" s="31">
        <f t="shared" si="21"/>
        <v>0</v>
      </c>
      <c r="K61" s="31">
        <f t="shared" si="21"/>
        <v>0</v>
      </c>
      <c r="L61" s="31">
        <f t="shared" si="21"/>
        <v>27</v>
      </c>
      <c r="M61" s="31">
        <f t="shared" si="21"/>
        <v>27</v>
      </c>
      <c r="N61" s="31">
        <f t="shared" si="21"/>
        <v>-612</v>
      </c>
      <c r="O61" s="31">
        <f t="shared" si="21"/>
        <v>-1836</v>
      </c>
      <c r="P61" s="31">
        <f t="shared" si="21"/>
        <v>-1440</v>
      </c>
      <c r="Q61" s="31">
        <f t="shared" si="21"/>
        <v>-765</v>
      </c>
      <c r="R61" s="32">
        <f t="shared" si="21"/>
        <v>-4653</v>
      </c>
    </row>
  </sheetData>
  <mergeCells count="33">
    <mergeCell ref="D58:H58"/>
    <mergeCell ref="I58:M58"/>
    <mergeCell ref="N58:R58"/>
    <mergeCell ref="D47:H47"/>
    <mergeCell ref="I47:M47"/>
    <mergeCell ref="N47:R47"/>
    <mergeCell ref="D53:H53"/>
    <mergeCell ref="I53:M53"/>
    <mergeCell ref="N53:R53"/>
    <mergeCell ref="D35:H35"/>
    <mergeCell ref="I35:M35"/>
    <mergeCell ref="N35:R35"/>
    <mergeCell ref="D41:H41"/>
    <mergeCell ref="I41:M41"/>
    <mergeCell ref="N41:R41"/>
    <mergeCell ref="D23:H23"/>
    <mergeCell ref="I23:M23"/>
    <mergeCell ref="N23:R23"/>
    <mergeCell ref="D30:H30"/>
    <mergeCell ref="I30:M30"/>
    <mergeCell ref="N30:R30"/>
    <mergeCell ref="D13:E13"/>
    <mergeCell ref="F13:G13"/>
    <mergeCell ref="H13:I13"/>
    <mergeCell ref="D18:H18"/>
    <mergeCell ref="I18:M18"/>
    <mergeCell ref="N18:R18"/>
    <mergeCell ref="D1:H1"/>
    <mergeCell ref="I1:M1"/>
    <mergeCell ref="N1:R1"/>
    <mergeCell ref="D8:H8"/>
    <mergeCell ref="I8:M8"/>
    <mergeCell ref="N8:R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2024-07-17T08:14:45Z</dcterms:modified>
</cp:coreProperties>
</file>