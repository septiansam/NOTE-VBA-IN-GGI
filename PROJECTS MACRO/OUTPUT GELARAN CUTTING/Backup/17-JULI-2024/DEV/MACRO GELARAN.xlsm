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1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0.8.0.35\Bersama\IT\RPA Produksi\OUTPUT GELARAN CUTTING\Backup\17-JULI-2024\DEV\"/>
    </mc:Choice>
  </mc:AlternateContent>
  <xr:revisionPtr revIDLastSave="0" documentId="13_ncr:1_{35C2B174-C15B-4E8F-87A0-449871E7D0AB}" xr6:coauthVersionLast="47" xr6:coauthVersionMax="47" xr10:uidLastSave="{00000000-0000-0000-0000-000000000000}"/>
  <bookViews>
    <workbookView xWindow="-120" yWindow="-120" windowWidth="20730" windowHeight="11160" tabRatio="785" xr2:uid="{C38BC23B-03ED-48B4-AB65-46AE9451C958}"/>
  </bookViews>
  <sheets>
    <sheet name="HOME" sheetId="1" r:id="rId1"/>
    <sheet name="GELARAN" sheetId="1046" r:id="rId2"/>
    <sheet name="RESUME" sheetId="1055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M13" i="1055" l="1"/>
  <c r="L13" i="1055"/>
  <c r="K13" i="1055"/>
  <c r="J13" i="1055"/>
  <c r="I13" i="1055"/>
  <c r="H13" i="1055"/>
  <c r="G13" i="1055"/>
  <c r="F13" i="1055"/>
  <c r="E13" i="1055"/>
  <c r="D13" i="1055"/>
  <c r="R12" i="1055"/>
  <c r="Q12" i="1055"/>
  <c r="P12" i="1055"/>
  <c r="O12" i="1055"/>
  <c r="N12" i="1055"/>
  <c r="R11" i="1055"/>
  <c r="Q11" i="1055"/>
  <c r="P11" i="1055"/>
  <c r="O11" i="1055"/>
  <c r="N11" i="1055"/>
  <c r="R10" i="1055"/>
  <c r="Q10" i="1055"/>
  <c r="P10" i="1055"/>
  <c r="O10" i="1055"/>
  <c r="N10" i="1055"/>
  <c r="M6" i="1055"/>
  <c r="L6" i="1055"/>
  <c r="K6" i="1055"/>
  <c r="J6" i="1055"/>
  <c r="I6" i="1055"/>
  <c r="H6" i="1055"/>
  <c r="G6" i="1055"/>
  <c r="F6" i="1055"/>
  <c r="E6" i="1055"/>
  <c r="D6" i="1055"/>
  <c r="R5" i="1055"/>
  <c r="Q5" i="1055"/>
  <c r="P5" i="1055"/>
  <c r="O5" i="1055"/>
  <c r="N5" i="1055"/>
  <c r="R4" i="1055"/>
  <c r="Q4" i="1055"/>
  <c r="P4" i="1055"/>
  <c r="O4" i="1055"/>
  <c r="N4" i="1055"/>
  <c r="R3" i="1055"/>
  <c r="Q3" i="1055"/>
  <c r="P3" i="1055"/>
  <c r="O3" i="1055"/>
  <c r="N3" i="1055"/>
  <c r="I9" i="1046"/>
  <c r="J9" i="1046"/>
  <c r="K9" i="1046"/>
  <c r="L9" i="1046"/>
  <c r="M9" i="1046"/>
  <c r="I18" i="1046"/>
  <c r="J18" i="1046"/>
  <c r="K18" i="1046"/>
  <c r="L18" i="1046"/>
  <c r="M18" i="1046"/>
  <c r="I29" i="1046"/>
  <c r="J29" i="1046"/>
  <c r="K29" i="1046"/>
  <c r="L29" i="1046"/>
  <c r="M29" i="1046"/>
  <c r="I41" i="1046"/>
  <c r="J41" i="1046"/>
  <c r="K41" i="1046"/>
  <c r="L41" i="1046"/>
  <c r="M41" i="1046"/>
  <c r="I53" i="1046"/>
  <c r="J53" i="1046"/>
  <c r="K53" i="1046"/>
  <c r="L53" i="1046"/>
  <c r="M53" i="1046"/>
  <c r="I63" i="1046"/>
  <c r="J63" i="1046"/>
  <c r="K63" i="1046"/>
  <c r="L63" i="1046"/>
  <c r="M63" i="1046"/>
  <c r="N13" i="1055" l="1"/>
  <c r="P13" i="1055"/>
  <c r="R13" i="1055"/>
  <c r="O13" i="1055"/>
  <c r="Q13" i="1055"/>
  <c r="O6" i="1055"/>
  <c r="P6" i="1055"/>
  <c r="Q6" i="1055"/>
  <c r="R6" i="1055"/>
  <c r="N6" i="1055"/>
</calcChain>
</file>

<file path=xl/sharedStrings.xml><?xml version="1.0" encoding="utf-8"?>
<sst xmlns="http://schemas.openxmlformats.org/spreadsheetml/2006/main" count="214" uniqueCount="82">
  <si>
    <t>PATH FILE</t>
  </si>
  <si>
    <t>NAMA FILE</t>
  </si>
  <si>
    <t>\\10.8.0.35\Bersama\IT\RPA Produksi\OUTPUT GELARAN CUTTING\1204</t>
  </si>
  <si>
    <t>.xlsx</t>
  </si>
  <si>
    <t>ITEM</t>
  </si>
  <si>
    <t>ARTICLE</t>
  </si>
  <si>
    <t>PO-0000249</t>
  </si>
  <si>
    <t>OVERCUT</t>
  </si>
  <si>
    <t>COLOR</t>
  </si>
  <si>
    <t>MEJA</t>
  </si>
  <si>
    <t>SIZE</t>
  </si>
  <si>
    <t>TOTAL</t>
  </si>
  <si>
    <t>TGL SHIPMENT</t>
  </si>
  <si>
    <t>S</t>
  </si>
  <si>
    <t>M</t>
  </si>
  <si>
    <t>L</t>
  </si>
  <si>
    <t>XL</t>
  </si>
  <si>
    <t>ORDER</t>
  </si>
  <si>
    <t>BALANCE</t>
  </si>
  <si>
    <t>WO</t>
  </si>
  <si>
    <t>TGL GELAR</t>
  </si>
  <si>
    <t>RASIO</t>
  </si>
  <si>
    <t>QTY</t>
  </si>
  <si>
    <t>2024-07-12</t>
  </si>
  <si>
    <t>BLACK</t>
  </si>
  <si>
    <t>ONIX</t>
  </si>
  <si>
    <t>GREY</t>
  </si>
  <si>
    <t>EXT</t>
  </si>
  <si>
    <t>▼Tombol 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</t>
  </si>
  <si>
    <t>\\10.8.0.35\Bersama\IT\RPA Produksi\OUTPUT GELARAN CUTTING\Results</t>
  </si>
  <si>
    <t>Tarikan Gelaran GCC</t>
  </si>
  <si>
    <t>Resume Output Gelaran Cutting</t>
  </si>
  <si>
    <t>QTY LEMBAR RASIO</t>
  </si>
  <si>
    <t>%actual</t>
  </si>
  <si>
    <t>PO-0000247</t>
  </si>
  <si>
    <t>2024-07-19</t>
  </si>
  <si>
    <t>ADIDAS BRF, 5158002</t>
  </si>
  <si>
    <t>SCARLET</t>
  </si>
  <si>
    <t>0,1,0,0</t>
  </si>
  <si>
    <t>1,9,6,0</t>
  </si>
  <si>
    <t>1,2,2,1</t>
  </si>
  <si>
    <t>0,1,1,0</t>
  </si>
  <si>
    <t>1,0,0,1</t>
  </si>
  <si>
    <t>2024-07-16 15:54:35</t>
  </si>
  <si>
    <t>2024-07-16 15:54:52</t>
  </si>
  <si>
    <t>ADIDAS BRF, 5158599</t>
  </si>
  <si>
    <t>BLUE</t>
  </si>
  <si>
    <t>01</t>
  </si>
  <si>
    <t>2024-07-15 11:03:23</t>
  </si>
  <si>
    <t>2024-07-04 18:56:19</t>
  </si>
  <si>
    <t>4,8,7,4</t>
  </si>
  <si>
    <t>2024-07-04 21:13:48</t>
  </si>
  <si>
    <t>2024-07-10 13:17:55</t>
  </si>
  <si>
    <t>2024-07-15 11:03:41</t>
  </si>
  <si>
    <t>2024-07-04 17:04:40</t>
  </si>
  <si>
    <t>2024-07-04 14:25:22</t>
  </si>
  <si>
    <t>2024-07-10 13:18:11</t>
  </si>
  <si>
    <t>NAVY</t>
  </si>
  <si>
    <t>2024-07-15 11:03:58</t>
  </si>
  <si>
    <t>2024-07-04 12:59:07</t>
  </si>
  <si>
    <t>2024-07-04 13:10:25</t>
  </si>
  <si>
    <t>2024-07-09 11:03:04</t>
  </si>
  <si>
    <t>2024-07-10 19:26:20</t>
  </si>
  <si>
    <t>2024-07-10 19:29:39</t>
  </si>
  <si>
    <t>2024-07-15 16:22:36</t>
  </si>
  <si>
    <t>2024-07-12 08:57:16</t>
  </si>
  <si>
    <t>3,6,6,3</t>
  </si>
  <si>
    <t>2024-07-12 12:35:44</t>
  </si>
  <si>
    <t>2024-07-12 12:36:34</t>
  </si>
  <si>
    <t>2024-07-15 17:57:57</t>
  </si>
  <si>
    <t>2024-07-15 16:22:52</t>
  </si>
  <si>
    <t>2024-07-11 19:29:46</t>
  </si>
  <si>
    <t>2024-07-11 20:26:31</t>
  </si>
  <si>
    <t>2024-07-12 08:29:04</t>
  </si>
  <si>
    <t>2024-07-12 19:35:39</t>
  </si>
  <si>
    <t>2024-07-15 07:54:11</t>
  </si>
  <si>
    <t>2024-07-15 16:23:08</t>
  </si>
  <si>
    <t>2024-07-12 16:31:38</t>
  </si>
  <si>
    <t>2024-07-12 17:57:03</t>
  </si>
  <si>
    <t>2024-07-15 17:50:17</t>
  </si>
  <si>
    <t>QTY GELAR</t>
  </si>
  <si>
    <t>BLC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</si>
</sst>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%;[Red]0%"/>
  </numFmts>
  <fonts count="8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0"/>
      <name val="Century Gothic"/>
      <family val="2"/>
    </font>
    <font>
      <b/>
      <i/>
      <sz val="10"/>
      <color rgb="FFC00000"/>
      <name val="Arial"/>
      <family val="2"/>
    </font>
    <font>
      <sz val="11"/>
      <color theme="1"/>
      <name val="Trebuchet MS"/>
      <family val="2"/>
    </font>
    <font>
      <b/>
      <sz val="12"/>
      <color rgb="FFFFFFFF"/>
      <name val="Century Gothic"/>
      <family val="2"/>
    </font>
    <font>
      <b/>
      <sz val="11"/>
      <color theme="1"/>
      <name val="Trebuchet MS"/>
      <family val="2"/>
    </font>
  </fonts>
  <fills count="9">
    <fill>
      <patternFill patternType="none"/>
    </fill>
    <fill>
      <patternFill patternType="gray125"/>
    </fill>
    <fill>
      <patternFill patternType="solid">
        <fgColor rgb="FF34A7B6"/>
        <bgColor indexed="64"/>
      </patternFill>
    </fill>
    <fill>
      <patternFill patternType="solid">
        <fgColor rgb="FF22463D"/>
        <bgColor indexed="64"/>
      </patternFill>
    </fill>
    <fill>
      <patternFill patternType="solid">
        <fgColor rgb="FF25433E"/>
        <bgColor rgb="FFF7EFFF"/>
      </patternFill>
    </fill>
    <fill>
      <patternFill patternType="solid">
        <fgColor rgb="FFE4F0F1"/>
        <bgColor rgb="FFF7EFFF"/>
      </patternFill>
    </fill>
    <fill>
      <patternFill patternType="solid">
        <fgColor rgb="FFFFFFFF"/>
        <bgColor rgb="FFF7EFFF"/>
      </patternFill>
    </fill>
    <fill>
      <patternFill patternType="solid">
        <fgColor rgb="FF94D050"/>
        <bgColor rgb="FFF7EFFF"/>
      </patternFill>
    </fill>
    <fill>
      <patternFill patternType="solid">
        <fgColor rgb="FFFFFF00"/>
        <bgColor rgb="FFF7EFFF"/>
      </patternFill>
    </fill>
  </fills>
  <borders count="14">
    <border>
      <left/>
      <right/>
      <top/>
      <bottom/>
      <diagonal/>
    </border>
    <border>
      <left/>
      <right/>
      <top style="thin">
        <color rgb="FF00CCFF"/>
      </top>
      <bottom style="thin">
        <color rgb="FF00CCFF"/>
      </bottom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rgb="FF346265"/>
      </bottom>
      <diagonal/>
    </border>
    <border>
      <left style="thin">
        <color theme="0"/>
      </left>
      <right/>
      <top style="thin">
        <color rgb="FF25433E"/>
      </top>
      <bottom/>
      <diagonal/>
    </border>
    <border>
      <left style="thin">
        <color theme="0"/>
      </left>
      <right/>
      <top style="thin">
        <color rgb="FF346265"/>
      </top>
      <bottom/>
      <diagonal/>
    </border>
    <border>
      <left style="thin">
        <color theme="0"/>
      </left>
      <right/>
      <top style="thin">
        <color rgb="FF25433E"/>
      </top>
      <bottom style="thin">
        <color rgb="FF346265"/>
      </bottom>
      <diagonal/>
    </border>
    <border>
      <left style="thin">
        <color theme="0"/>
      </left>
      <right/>
      <top/>
      <bottom style="thin">
        <color rgb="FF25433E"/>
      </bottom>
      <diagonal/>
    </border>
    <border>
      <left style="thin">
        <color theme="0"/>
      </left>
      <right style="thin">
        <color theme="0"/>
      </right>
      <top style="thin">
        <color rgb="FF25433E"/>
      </top>
      <bottom/>
      <diagonal/>
    </border>
    <border>
      <left style="thin">
        <color theme="0"/>
      </left>
      <right style="thin">
        <color theme="0"/>
      </right>
      <top style="thin">
        <color rgb="FF346265"/>
      </top>
      <bottom/>
      <diagonal/>
    </border>
    <border>
      <left style="thin">
        <color theme="0"/>
      </left>
      <right style="thin">
        <color theme="0"/>
      </right>
      <top style="thin">
        <color rgb="FF25433E"/>
      </top>
      <bottom style="thin">
        <color rgb="FF346265"/>
      </bottom>
      <diagonal/>
    </border>
    <border>
      <left style="thin">
        <color theme="0"/>
      </left>
      <right style="thin">
        <color theme="0"/>
      </right>
      <top/>
      <bottom style="thin">
        <color rgb="FF25433E"/>
      </bottom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 style="thin">
        <color theme="0"/>
      </right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5">
    <xf numFmtId="0" fontId="0" fillId="0" borderId="0" xfId="0"/>
    <xf numFmtId="0" fontId="3" fillId="3" borderId="1" xfId="0" applyFont="1" applyFill="1" applyBorder="1" applyAlignment="1">
      <alignment horizontal="center" vertical="center"/>
    </xf>
    <xf numFmtId="0" fontId="1" fillId="0" borderId="1" xfId="1" applyBorder="1"/>
    <xf numFmtId="0" fontId="0" fillId="0" borderId="1" xfId="0" applyBorder="1"/>
    <xf numFmtId="0" fontId="2" fillId="2" borderId="1" xfId="0" applyFont="1" applyFill="1" applyBorder="1"/>
    <xf numFmtId="0" fontId="4" fillId="0" borderId="0" xfId="0" applyFont="1"/>
    <xf numFmtId="0" fontId="0" fillId="0" borderId="2" xfId="0" applyBorder="1"/>
    <xf numFmtId="0" fontId="5" fillId="0" borderId="0" xfId="0" applyFont="1" applyAlignment="1">
      <alignment horizontal="center" vertical="center"/>
    </xf>
    <xf numFmtId="0" fontId="5" fillId="8" borderId="3" xfId="0" applyFont="1" applyFill="1" applyBorder="1" applyAlignment="1">
      <alignment horizontal="center" vertical="center"/>
    </xf>
    <xf numFmtId="0" fontId="6" fillId="4" borderId="4" xfId="0" applyFont="1" applyFill="1" applyBorder="1" applyAlignment="1">
      <alignment horizontal="center" vertical="center"/>
    </xf>
    <xf numFmtId="0" fontId="5" fillId="5" borderId="5" xfId="0" applyFont="1" applyFill="1" applyBorder="1" applyAlignment="1">
      <alignment horizontal="center" vertical="center"/>
    </xf>
    <xf numFmtId="0" fontId="5" fillId="6" borderId="5" xfId="0" applyFont="1" applyFill="1" applyBorder="1" applyAlignment="1">
      <alignment horizontal="center" vertical="center"/>
    </xf>
    <xf numFmtId="0" fontId="5" fillId="7" borderId="4" xfId="0" applyFont="1" applyFill="1" applyBorder="1" applyAlignment="1">
      <alignment horizontal="center" vertical="center"/>
    </xf>
    <xf numFmtId="0" fontId="5" fillId="8" borderId="4" xfId="0" applyFont="1" applyFill="1" applyBorder="1" applyAlignment="1">
      <alignment horizontal="center" vertical="center"/>
    </xf>
    <xf numFmtId="0" fontId="5" fillId="7" borderId="6" xfId="0" applyFont="1" applyFill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5" fillId="5" borderId="9" xfId="0" applyFont="1" applyFill="1" applyBorder="1" applyAlignment="1">
      <alignment horizontal="center" vertical="center"/>
    </xf>
    <xf numFmtId="0" fontId="5" fillId="6" borderId="9" xfId="0" applyFont="1" applyFill="1" applyBorder="1" applyAlignment="1">
      <alignment horizontal="center" vertical="center"/>
    </xf>
    <xf numFmtId="0" fontId="5" fillId="7" borderId="8" xfId="0" applyFont="1" applyFill="1" applyBorder="1" applyAlignment="1">
      <alignment horizontal="center" vertical="center"/>
    </xf>
    <xf numFmtId="0" fontId="5" fillId="8" borderId="8" xfId="0" applyFont="1" applyFill="1" applyBorder="1" applyAlignment="1">
      <alignment horizontal="center" vertical="center"/>
    </xf>
    <xf numFmtId="0" fontId="5" fillId="7" borderId="10" xfId="0" applyFont="1" applyFill="1" applyBorder="1" applyAlignment="1">
      <alignment horizontal="center" vertical="center"/>
    </xf>
    <xf numFmtId="0" fontId="5" fillId="0" borderId="11" xfId="0" applyFont="1" applyBorder="1" applyAlignment="1">
      <alignment horizontal="center" vertical="center"/>
    </xf>
    <xf numFmtId="164" fontId="5" fillId="7" borderId="4" xfId="0" applyNumberFormat="1" applyFont="1" applyFill="1" applyBorder="1" applyAlignment="1">
      <alignment horizontal="center" vertical="center"/>
    </xf>
    <xf numFmtId="164" fontId="5" fillId="7" borderId="6" xfId="0" applyNumberFormat="1" applyFont="1" applyFill="1" applyBorder="1" applyAlignment="1">
      <alignment horizontal="center" vertical="center"/>
    </xf>
    <xf numFmtId="0" fontId="7" fillId="0" borderId="12" xfId="0" applyFont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5" fillId="0" borderId="12" xfId="0" applyFont="1" applyBorder="1" applyAlignment="1">
      <alignment horizontal="center" vertical="center"/>
    </xf>
    <xf numFmtId="0" fontId="0" fillId="0" borderId="12" xfId="0" applyBorder="1"/>
    <xf numFmtId="0" fontId="7" fillId="0" borderId="13" xfId="0" applyFont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0" fillId="0" borderId="13" xfId="0" applyBorder="1"/>
    <xf numFmtId="0" fontId="7" fillId="0" borderId="12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00FF00"/>
      <color rgb="FF94D050"/>
      <color rgb="FF22463D"/>
      <color rgb="FF00CCFF"/>
      <color rgb="FFFF0066"/>
      <color rgb="FF34A7B6"/>
      <color rgb="FF25433E"/>
      <color rgb="FF234345"/>
      <color rgb="FF9BCED5"/>
      <color rgb="FFE4F0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133352</xdr:colOff>
      <xdr:row>4</xdr:row>
      <xdr:rowOff>57149</xdr:rowOff>
    </xdr:from>
    <xdr:to>
      <xdr:col>1</xdr:col>
      <xdr:colOff>838201</xdr:colOff>
      <xdr:row>6</xdr:row>
      <xdr:rowOff>171450</xdr:rowOff>
    </xdr:to>
    <xdr:sp macro="[0]!prosess1204" textlink="">
      <xdr:nvSpPr>
        <xdr:cNvPr id="2" name="Hexagon 1">
          <a:extLst>
            <a:ext uri="{FF2B5EF4-FFF2-40B4-BE49-F238E27FC236}">
              <a16:creationId xmlns:a16="http://schemas.microsoft.com/office/drawing/2014/main" id="{0D3E0220-A04A-9C26-A8D0-DB2F118D1457}"/>
            </a:ext>
          </a:extLst>
        </xdr:cNvPr>
        <xdr:cNvSpPr/>
      </xdr:nvSpPr>
      <xdr:spPr>
        <a:xfrm>
          <a:off x="133352" y="819149"/>
          <a:ext cx="1590674" cy="495301"/>
        </a:xfrm>
        <a:prstGeom prst="hexagon">
          <a:avLst/>
        </a:prstGeom>
        <a:solidFill>
          <a:srgbClr val="22463D"/>
        </a:solidFill>
        <a:ln>
          <a:solidFill>
            <a:sysClr val="windowText" lastClr="000000"/>
          </a:solidFill>
        </a:ln>
        <a:scene3d>
          <a:camera prst="perspectiveBelow"/>
          <a:lightRig rig="soft" dir="t"/>
        </a:scene3d>
        <a:sp3d prstMaterial="metal">
          <a:bevelT w="139700" prst="cross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chemeClr val="bg1"/>
              </a:solidFill>
              <a:latin typeface="Century Gothic" panose="020B0502020202020204" pitchFamily="34" charset="0"/>
            </a:rPr>
            <a:t>░ ► EXECUTE◄ ░</a:t>
          </a:r>
        </a:p>
      </xdr:txBody>
    </xdr:sp>
    <xdr:clientData/>
  </xdr:twoCellAnchor>
  <xdr:twoCellAnchor>
    <xdr:from>
      <xdr:col>0</xdr:col>
      <xdr:colOff>228600</xdr:colOff>
      <xdr:row>8</xdr:row>
      <xdr:rowOff>38099</xdr:rowOff>
    </xdr:from>
    <xdr:to>
      <xdr:col>1</xdr:col>
      <xdr:colOff>619125</xdr:colOff>
      <xdr:row>11</xdr:row>
      <xdr:rowOff>161924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6943560-E228-1EC8-53F3-A46895524B77}"/>
            </a:ext>
          </a:extLst>
        </xdr:cNvPr>
        <xdr:cNvGrpSpPr/>
      </xdr:nvGrpSpPr>
      <xdr:grpSpPr>
        <a:xfrm>
          <a:off x="228600" y="1562099"/>
          <a:ext cx="1276350" cy="714375"/>
          <a:chOff x="923925" y="2486025"/>
          <a:chExt cx="1714500" cy="914400"/>
        </a:xfrm>
      </xdr:grpSpPr>
      <xdr:sp macro="[0]!TanggalH1atauH3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3AB7A5D3-6DBA-F2C7-809D-4CBF11EC2294}"/>
              </a:ext>
            </a:extLst>
          </xdr:cNvPr>
          <xdr:cNvSpPr/>
        </xdr:nvSpPr>
        <xdr:spPr>
          <a:xfrm>
            <a:off x="923925" y="2486025"/>
            <a:ext cx="1714500" cy="914400"/>
          </a:xfrm>
          <a:prstGeom prst="roundRect">
            <a:avLst/>
          </a:prstGeom>
          <a:solidFill>
            <a:schemeClr val="accent6">
              <a:lumMod val="75000"/>
            </a:schemeClr>
          </a:solidFill>
          <a:ln>
            <a:solidFill>
              <a:srgbClr val="00B050"/>
            </a:solidFill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threePt" dir="t"/>
          </a:scene3d>
          <a:sp3d prstMaterial="metal">
            <a:bevelT w="171450" prst="coolSlant"/>
            <a:bevelB prst="relaxedInset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US" sz="900" b="1">
                <a:solidFill>
                  <a:sysClr val="windowText" lastClr="000000"/>
                </a:solidFill>
                <a:latin typeface="Century Gothic" panose="020B0502020202020204" pitchFamily="34" charset="0"/>
              </a:rPr>
              <a:t>CREATE</a:t>
            </a:r>
            <a:r>
              <a:rPr lang="en-US" sz="900" b="1" baseline="0">
                <a:solidFill>
                  <a:sysClr val="windowText" lastClr="000000"/>
                </a:solidFill>
                <a:latin typeface="Century Gothic" panose="020B0502020202020204" pitchFamily="34" charset="0"/>
              </a:rPr>
              <a:t> PERIODE</a:t>
            </a:r>
            <a:endParaRPr lang="en-US" sz="900" b="1">
              <a:solidFill>
                <a:sysClr val="windowText" lastClr="000000"/>
              </a:solidFill>
              <a:latin typeface="Century Gothic" panose="020B0502020202020204" pitchFamily="34" charset="0"/>
            </a:endParaRPr>
          </a:p>
        </xdr:txBody>
      </xdr:sp>
      <xdr:pic macro="[0]!TanggalH1atauH3">
        <xdr:nvPicPr>
          <xdr:cNvPr id="5" name="Picture 4">
            <a:extLst>
              <a:ext uri="{FF2B5EF4-FFF2-40B4-BE49-F238E27FC236}">
                <a16:creationId xmlns:a16="http://schemas.microsoft.com/office/drawing/2014/main" id="{660B4B74-B15F-8003-2E27-10CE8990F3E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76376" y="2771774"/>
            <a:ext cx="609599" cy="609599"/>
          </a:xfrm>
          <a:prstGeom prst="rect">
            <a:avLst/>
          </a:prstGeom>
        </xdr:spPr>
      </xdr:pic>
    </xdr:grpSp>
    <xdr:clientData/>
  </xdr:twoCellAnchor>
</xdr:wsDr>
</file>

<file path=xl/theme/theme1.xml><?xml version="1.0" encoding="utf-8"?>
<a:theme xmlns:a="http://schemas.openxmlformats.org/drawingml/2006/main" name="Office Theme 2013 - 2022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hyperlink" Target="../../../Results" TargetMode="External"/><Relationship Id="rId1" Type="http://schemas.openxmlformats.org/officeDocument/2006/relationships/hyperlink" Target="../../../1204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813D87-0F87-4E93-AFCA-9410BF78D9A3}">
  <sheetPr codeName="Sheet1">
    <tabColor rgb="FFECB77F"/>
  </sheetPr>
  <dimension ref="A2:G10"/>
  <sheetViews>
    <sheetView showGridLines="0" tabSelected="1" workbookViewId="0"/>
  </sheetViews>
  <sheetFormatPr defaultRowHeight="15" x14ac:dyDescent="0.25"/>
  <cols>
    <col min="1" max="1" width="13.28515625" customWidth="1"/>
    <col min="2" max="2" width="16.5703125" customWidth="1"/>
    <col min="3" max="3" width="3.7109375" customWidth="1"/>
    <col min="4" max="4" width="84.5703125" bestFit="1" customWidth="1"/>
    <col min="5" max="5" width="29.7109375" bestFit="1" customWidth="1"/>
    <col min="6" max="6" width="5" bestFit="1" customWidth="1"/>
    <col min="7" max="7" width="3.28515625" customWidth="1"/>
  </cols>
  <sheetData>
    <row r="2" spans="1:7" x14ac:dyDescent="0.25">
      <c r="A2" s="5" t="s">
        <v>28</v>
      </c>
    </row>
    <row r="5" spans="1:7" x14ac:dyDescent="0.25">
      <c r="D5" s="1" t="s">
        <v>0</v>
      </c>
      <c r="E5" s="1" t="s">
        <v>1</v>
      </c>
      <c r="F5" s="1" t="s">
        <v>27</v>
      </c>
    </row>
    <row r="6" spans="1:7" x14ac:dyDescent="0.25">
      <c r="D6" s="2" t="s">
        <v>2</v>
      </c>
      <c r="E6" s="3" t="s">
        <v>30</v>
      </c>
      <c r="F6" s="4" t="s">
        <v>3</v>
      </c>
    </row>
    <row r="7" spans="1:7" x14ac:dyDescent="0.25">
      <c r="D7" s="2" t="s">
        <v>29</v>
      </c>
      <c r="E7" s="3" t="s">
        <v>31</v>
      </c>
      <c r="F7" s="4" t="s">
        <v>3</v>
      </c>
    </row>
    <row r="9" spans="1:7" ht="15.75" thickBot="1" x14ac:dyDescent="0.3">
      <c r="C9" s="6"/>
      <c r="D9" s="6"/>
      <c r="E9" s="6"/>
      <c r="F9" s="6"/>
      <c r="G9" s="6"/>
    </row>
    <row r="10" spans="1:7" ht="15.75" thickTop="1" x14ac:dyDescent="0.25"/>
  </sheetData>
  <hyperlinks>
    <hyperlink ref="D6" r:id="rId1" xr:uid="{50087FA7-5311-4811-A424-18D253C37BF3}"/>
    <hyperlink ref="D7" r:id="rId2" xr:uid="{A974C9D4-75EC-43FE-8543-D0DF95A229DC}"/>
  </hyperlinks>
  <pageMargins left="0.7" right="0.7" top="0.75" bottom="0.75" header="0.3" footer="0.3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2FD494-CB59-4119-A5A0-904A7AC5CAC8}">
  <sheetPr codeName="Sheet112">
    <tabColor rgb="FF48E257"/>
  </sheetPr>
  <dimension ref="A1:O65"/>
  <sheetViews>
    <sheetView zoomScale="90" zoomScaleNormal="90" workbookViewId="0"/>
  </sheetViews>
  <sheetFormatPr defaultRowHeight="16.5" x14ac:dyDescent="0.25"/>
  <cols>
    <col min="1" max="1" width="9.85546875" style="7" customWidth="1"/>
    <col min="2" max="2" width="9.28515625" style="7" customWidth="1"/>
    <col min="3" max="3" width="23.5703125" style="7" customWidth="1"/>
    <col min="4" max="4" width="10.140625" style="7" customWidth="1"/>
    <col min="5" max="5" width="24" style="7" customWidth="1"/>
    <col min="6" max="6" width="14.42578125" style="7" customWidth="1"/>
    <col min="7" max="7" width="11.42578125" style="7" customWidth="1"/>
    <col min="8" max="8" width="12.140625" style="7" customWidth="1"/>
    <col min="9" max="9" width="8.7109375" style="7" customWidth="1"/>
    <col min="10" max="11" width="9.85546875" style="7" customWidth="1"/>
    <col min="12" max="12" width="8.7109375" style="7" customWidth="1"/>
    <col min="13" max="13" width="9.85546875" style="7" customWidth="1"/>
    <col min="14" max="14" width="18.28515625" style="7" customWidth="1"/>
    <col min="15" max="15" width="24.140625" style="7" customWidth="1"/>
    <col min="16" max="16384" width="9.140625" style="7"/>
  </cols>
  <sheetData>
    <row r="1" spans="1:15" ht="17.45" customHeight="1" x14ac:dyDescent="0.25">
      <c r="A1" s="9" t="s">
        <v>19</v>
      </c>
      <c r="B1" s="9" t="s">
        <v>9</v>
      </c>
      <c r="C1" s="9" t="s">
        <v>20</v>
      </c>
      <c r="D1" s="9" t="s">
        <v>21</v>
      </c>
      <c r="E1" s="9" t="s">
        <v>4</v>
      </c>
      <c r="F1" s="9" t="s">
        <v>5</v>
      </c>
      <c r="G1" s="9" t="s">
        <v>8</v>
      </c>
      <c r="H1" s="9" t="s">
        <v>10</v>
      </c>
      <c r="I1" s="9" t="s">
        <v>13</v>
      </c>
      <c r="J1" s="9" t="s">
        <v>14</v>
      </c>
      <c r="K1" s="9" t="s">
        <v>15</v>
      </c>
      <c r="L1" s="9" t="s">
        <v>16</v>
      </c>
      <c r="M1" s="9" t="s">
        <v>22</v>
      </c>
      <c r="N1" s="9" t="s">
        <v>12</v>
      </c>
      <c r="O1" s="16" t="s">
        <v>32</v>
      </c>
    </row>
    <row r="2" spans="1:15" x14ac:dyDescent="0.25">
      <c r="A2" s="10">
        <v>182979</v>
      </c>
      <c r="B2" s="10"/>
      <c r="C2" s="10"/>
      <c r="D2" s="10"/>
      <c r="E2" s="10" t="s">
        <v>45</v>
      </c>
      <c r="F2" s="10" t="s">
        <v>34</v>
      </c>
      <c r="G2" s="10" t="s">
        <v>46</v>
      </c>
      <c r="H2" s="10" t="s">
        <v>17</v>
      </c>
      <c r="I2" s="10">
        <v>720</v>
      </c>
      <c r="J2" s="10">
        <v>1440</v>
      </c>
      <c r="K2" s="10">
        <v>1260</v>
      </c>
      <c r="L2" s="10">
        <v>720</v>
      </c>
      <c r="M2" s="10">
        <v>4140</v>
      </c>
      <c r="N2" s="10" t="s">
        <v>23</v>
      </c>
      <c r="O2" s="17"/>
    </row>
    <row r="3" spans="1:15" x14ac:dyDescent="0.25">
      <c r="A3" s="11"/>
      <c r="B3" s="11"/>
      <c r="C3" s="11"/>
      <c r="D3" s="11"/>
      <c r="E3" s="11"/>
      <c r="F3" s="11"/>
      <c r="G3" s="11"/>
      <c r="H3" s="11" t="s">
        <v>7</v>
      </c>
      <c r="I3" s="11">
        <v>727.2</v>
      </c>
      <c r="J3" s="11">
        <v>1454.4</v>
      </c>
      <c r="K3" s="11">
        <v>1272.5999999999999</v>
      </c>
      <c r="L3" s="11">
        <v>727.2</v>
      </c>
      <c r="M3" s="11">
        <v>4181.3999999999996</v>
      </c>
      <c r="N3" s="11"/>
      <c r="O3" s="18"/>
    </row>
    <row r="4" spans="1:15" x14ac:dyDescent="0.25">
      <c r="A4" s="10"/>
      <c r="B4" s="10" t="s">
        <v>47</v>
      </c>
      <c r="C4" s="10" t="s">
        <v>48</v>
      </c>
      <c r="D4" s="10" t="s">
        <v>38</v>
      </c>
      <c r="E4" s="10"/>
      <c r="F4" s="10"/>
      <c r="G4" s="10"/>
      <c r="H4" s="10"/>
      <c r="I4" s="10">
        <v>0</v>
      </c>
      <c r="J4" s="10">
        <v>3</v>
      </c>
      <c r="K4" s="10">
        <v>0</v>
      </c>
      <c r="L4" s="10">
        <v>0</v>
      </c>
      <c r="M4" s="10">
        <v>3</v>
      </c>
      <c r="N4" s="10"/>
      <c r="O4" s="17">
        <v>3</v>
      </c>
    </row>
    <row r="5" spans="1:15" x14ac:dyDescent="0.25">
      <c r="A5" s="11"/>
      <c r="B5" s="11">
        <v>1</v>
      </c>
      <c r="C5" s="11" t="s">
        <v>49</v>
      </c>
      <c r="D5" s="11" t="s">
        <v>50</v>
      </c>
      <c r="E5" s="11"/>
      <c r="F5" s="11"/>
      <c r="G5" s="11"/>
      <c r="H5" s="11"/>
      <c r="I5" s="11">
        <v>399</v>
      </c>
      <c r="J5" s="11">
        <v>798</v>
      </c>
      <c r="K5" s="11">
        <v>699</v>
      </c>
      <c r="L5" s="11">
        <v>400</v>
      </c>
      <c r="M5" s="11">
        <v>2296</v>
      </c>
      <c r="N5" s="11"/>
      <c r="O5" s="18">
        <v>100</v>
      </c>
    </row>
    <row r="6" spans="1:15" x14ac:dyDescent="0.25">
      <c r="A6" s="10"/>
      <c r="B6" s="10">
        <v>2</v>
      </c>
      <c r="C6" s="10" t="s">
        <v>51</v>
      </c>
      <c r="D6" s="10" t="s">
        <v>50</v>
      </c>
      <c r="E6" s="10"/>
      <c r="F6" s="10"/>
      <c r="G6" s="10"/>
      <c r="H6" s="10"/>
      <c r="I6" s="10">
        <v>300</v>
      </c>
      <c r="J6" s="10">
        <v>597</v>
      </c>
      <c r="K6" s="10">
        <v>525</v>
      </c>
      <c r="L6" s="10">
        <v>299</v>
      </c>
      <c r="M6" s="10">
        <v>1721</v>
      </c>
      <c r="N6" s="10"/>
      <c r="O6" s="17">
        <v>75</v>
      </c>
    </row>
    <row r="7" spans="1:15" x14ac:dyDescent="0.25">
      <c r="A7" s="11"/>
      <c r="B7" s="11">
        <v>3</v>
      </c>
      <c r="C7" s="11" t="s">
        <v>52</v>
      </c>
      <c r="D7" s="11" t="s">
        <v>40</v>
      </c>
      <c r="E7" s="11"/>
      <c r="F7" s="11"/>
      <c r="G7" s="11"/>
      <c r="H7" s="11"/>
      <c r="I7" s="11">
        <v>27</v>
      </c>
      <c r="J7" s="11">
        <v>54</v>
      </c>
      <c r="K7" s="11">
        <v>54</v>
      </c>
      <c r="L7" s="11">
        <v>27</v>
      </c>
      <c r="M7" s="11">
        <v>162</v>
      </c>
      <c r="N7" s="11"/>
      <c r="O7" s="18">
        <v>27</v>
      </c>
    </row>
    <row r="8" spans="1:15" x14ac:dyDescent="0.25">
      <c r="A8" s="10"/>
      <c r="B8" s="10"/>
      <c r="C8" s="10"/>
      <c r="D8" s="10"/>
      <c r="E8" s="10"/>
      <c r="F8" s="10"/>
      <c r="G8" s="10"/>
      <c r="H8" s="10" t="s">
        <v>11</v>
      </c>
      <c r="I8" s="10">
        <v>726</v>
      </c>
      <c r="J8" s="10">
        <v>1452</v>
      </c>
      <c r="K8" s="10">
        <v>1278</v>
      </c>
      <c r="L8" s="10">
        <v>726</v>
      </c>
      <c r="M8" s="10">
        <v>4182</v>
      </c>
      <c r="N8" s="10"/>
      <c r="O8" s="17"/>
    </row>
    <row r="9" spans="1:15" ht="17.45" customHeight="1" x14ac:dyDescent="0.25">
      <c r="A9" s="12"/>
      <c r="B9" s="12"/>
      <c r="C9" s="12"/>
      <c r="D9" s="12"/>
      <c r="E9" s="12"/>
      <c r="F9" s="12"/>
      <c r="G9" s="12"/>
      <c r="H9" s="12" t="s">
        <v>33</v>
      </c>
      <c r="I9" s="23">
        <f t="shared" ref="I9:M9" si="0">IFERROR((I8/I2)-1,"Qty Order 0")</f>
        <v>8.3333333333333037E-3</v>
      </c>
      <c r="J9" s="23">
        <f t="shared" si="0"/>
        <v>8.3333333333333037E-3</v>
      </c>
      <c r="K9" s="23">
        <f t="shared" si="0"/>
        <v>1.4285714285714235E-2</v>
      </c>
      <c r="L9" s="23">
        <f t="shared" si="0"/>
        <v>8.3333333333333037E-3</v>
      </c>
      <c r="M9" s="23">
        <f t="shared" si="0"/>
        <v>1.0144927536231974E-2</v>
      </c>
      <c r="N9" s="12"/>
      <c r="O9" s="19"/>
    </row>
    <row r="10" spans="1:15" x14ac:dyDescent="0.25">
      <c r="A10" s="10"/>
      <c r="B10" s="10"/>
      <c r="C10" s="10"/>
      <c r="D10" s="10"/>
      <c r="E10" s="10"/>
      <c r="F10" s="10"/>
      <c r="G10" s="10"/>
      <c r="H10" s="10" t="s">
        <v>18</v>
      </c>
      <c r="I10" s="10">
        <v>-1.2</v>
      </c>
      <c r="J10" s="10">
        <v>-2.4000000000000998</v>
      </c>
      <c r="K10" s="10">
        <v>5.4000000000000998</v>
      </c>
      <c r="L10" s="10">
        <v>-1.2</v>
      </c>
      <c r="M10" s="10">
        <v>0.59999999999944997</v>
      </c>
      <c r="N10" s="10"/>
      <c r="O10" s="17"/>
    </row>
    <row r="11" spans="1:15" x14ac:dyDescent="0.25">
      <c r="A11" s="11"/>
      <c r="B11" s="11"/>
      <c r="C11" s="11"/>
      <c r="D11" s="11"/>
      <c r="E11" s="11" t="s">
        <v>45</v>
      </c>
      <c r="F11" s="11" t="s">
        <v>34</v>
      </c>
      <c r="G11" s="11" t="s">
        <v>26</v>
      </c>
      <c r="H11" s="11" t="s">
        <v>17</v>
      </c>
      <c r="I11" s="11">
        <v>720</v>
      </c>
      <c r="J11" s="11">
        <v>1440</v>
      </c>
      <c r="K11" s="11">
        <v>1260</v>
      </c>
      <c r="L11" s="11">
        <v>720</v>
      </c>
      <c r="M11" s="11">
        <v>4140</v>
      </c>
      <c r="N11" s="11" t="s">
        <v>23</v>
      </c>
      <c r="O11" s="18"/>
    </row>
    <row r="12" spans="1:15" x14ac:dyDescent="0.25">
      <c r="A12" s="10"/>
      <c r="B12" s="10"/>
      <c r="C12" s="10"/>
      <c r="D12" s="10"/>
      <c r="E12" s="10"/>
      <c r="F12" s="10"/>
      <c r="G12" s="10"/>
      <c r="H12" s="10" t="s">
        <v>7</v>
      </c>
      <c r="I12" s="10">
        <v>727.2</v>
      </c>
      <c r="J12" s="10">
        <v>1454.4</v>
      </c>
      <c r="K12" s="10">
        <v>1272.5999999999999</v>
      </c>
      <c r="L12" s="10">
        <v>727.2</v>
      </c>
      <c r="M12" s="10">
        <v>4181.3999999999996</v>
      </c>
      <c r="N12" s="10"/>
      <c r="O12" s="17"/>
    </row>
    <row r="13" spans="1:15" x14ac:dyDescent="0.25">
      <c r="A13" s="11"/>
      <c r="B13" s="11" t="s">
        <v>47</v>
      </c>
      <c r="C13" s="11" t="s">
        <v>53</v>
      </c>
      <c r="D13" s="11" t="s">
        <v>38</v>
      </c>
      <c r="E13" s="11"/>
      <c r="F13" s="11"/>
      <c r="G13" s="11"/>
      <c r="H13" s="11"/>
      <c r="I13" s="11">
        <v>0</v>
      </c>
      <c r="J13" s="11">
        <v>3</v>
      </c>
      <c r="K13" s="11">
        <v>0</v>
      </c>
      <c r="L13" s="11">
        <v>0</v>
      </c>
      <c r="M13" s="11">
        <v>3</v>
      </c>
      <c r="N13" s="11"/>
      <c r="O13" s="18">
        <v>3</v>
      </c>
    </row>
    <row r="14" spans="1:15" x14ac:dyDescent="0.25">
      <c r="A14" s="10"/>
      <c r="B14" s="10">
        <v>1</v>
      </c>
      <c r="C14" s="10" t="s">
        <v>54</v>
      </c>
      <c r="D14" s="10" t="s">
        <v>50</v>
      </c>
      <c r="E14" s="10"/>
      <c r="F14" s="10"/>
      <c r="G14" s="10"/>
      <c r="H14" s="10"/>
      <c r="I14" s="10">
        <v>400</v>
      </c>
      <c r="J14" s="10">
        <v>800</v>
      </c>
      <c r="K14" s="10">
        <v>700</v>
      </c>
      <c r="L14" s="10">
        <v>400</v>
      </c>
      <c r="M14" s="10">
        <v>2300</v>
      </c>
      <c r="N14" s="10"/>
      <c r="O14" s="17">
        <v>100</v>
      </c>
    </row>
    <row r="15" spans="1:15" x14ac:dyDescent="0.25">
      <c r="A15" s="11"/>
      <c r="B15" s="11">
        <v>2</v>
      </c>
      <c r="C15" s="11" t="s">
        <v>55</v>
      </c>
      <c r="D15" s="11" t="s">
        <v>50</v>
      </c>
      <c r="E15" s="11"/>
      <c r="F15" s="11"/>
      <c r="G15" s="11"/>
      <c r="H15" s="11"/>
      <c r="I15" s="11">
        <v>300</v>
      </c>
      <c r="J15" s="11">
        <v>600</v>
      </c>
      <c r="K15" s="11">
        <v>525</v>
      </c>
      <c r="L15" s="11">
        <v>300</v>
      </c>
      <c r="M15" s="11">
        <v>1725</v>
      </c>
      <c r="N15" s="11"/>
      <c r="O15" s="18">
        <v>75</v>
      </c>
    </row>
    <row r="16" spans="1:15" x14ac:dyDescent="0.25">
      <c r="A16" s="10"/>
      <c r="B16" s="10">
        <v>3</v>
      </c>
      <c r="C16" s="10" t="s">
        <v>56</v>
      </c>
      <c r="D16" s="10" t="s">
        <v>40</v>
      </c>
      <c r="E16" s="10"/>
      <c r="F16" s="10"/>
      <c r="G16" s="10"/>
      <c r="H16" s="10"/>
      <c r="I16" s="10">
        <v>27</v>
      </c>
      <c r="J16" s="10">
        <v>54</v>
      </c>
      <c r="K16" s="10">
        <v>54</v>
      </c>
      <c r="L16" s="10">
        <v>27</v>
      </c>
      <c r="M16" s="10">
        <v>162</v>
      </c>
      <c r="N16" s="10"/>
      <c r="O16" s="17">
        <v>27</v>
      </c>
    </row>
    <row r="17" spans="1:15" x14ac:dyDescent="0.25">
      <c r="A17" s="11"/>
      <c r="B17" s="11"/>
      <c r="C17" s="11"/>
      <c r="D17" s="11"/>
      <c r="E17" s="11"/>
      <c r="F17" s="11"/>
      <c r="G17" s="11"/>
      <c r="H17" s="11" t="s">
        <v>11</v>
      </c>
      <c r="I17" s="11">
        <v>727</v>
      </c>
      <c r="J17" s="11">
        <v>1457</v>
      </c>
      <c r="K17" s="11">
        <v>1279</v>
      </c>
      <c r="L17" s="11">
        <v>727</v>
      </c>
      <c r="M17" s="11">
        <v>4190</v>
      </c>
      <c r="N17" s="11"/>
      <c r="O17" s="18"/>
    </row>
    <row r="18" spans="1:15" ht="17.45" customHeight="1" x14ac:dyDescent="0.25">
      <c r="A18" s="12"/>
      <c r="B18" s="12"/>
      <c r="C18" s="12"/>
      <c r="D18" s="12"/>
      <c r="E18" s="12"/>
      <c r="F18" s="12"/>
      <c r="G18" s="12"/>
      <c r="H18" s="12" t="s">
        <v>33</v>
      </c>
      <c r="I18" s="23">
        <f t="shared" ref="I18:M18" si="1">IFERROR((I17/I11)-1,"Qty Order 0")</f>
        <v>9.7222222222221877E-3</v>
      </c>
      <c r="J18" s="23">
        <f t="shared" si="1"/>
        <v>1.1805555555555625E-2</v>
      </c>
      <c r="K18" s="23">
        <f t="shared" si="1"/>
        <v>1.5079365079365026E-2</v>
      </c>
      <c r="L18" s="23">
        <f t="shared" si="1"/>
        <v>9.7222222222221877E-3</v>
      </c>
      <c r="M18" s="23">
        <f t="shared" si="1"/>
        <v>1.2077294685990392E-2</v>
      </c>
      <c r="N18" s="12"/>
      <c r="O18" s="19"/>
    </row>
    <row r="19" spans="1:15" x14ac:dyDescent="0.25">
      <c r="A19" s="11"/>
      <c r="B19" s="11"/>
      <c r="C19" s="11"/>
      <c r="D19" s="11"/>
      <c r="E19" s="11"/>
      <c r="F19" s="11"/>
      <c r="G19" s="11"/>
      <c r="H19" s="11" t="s">
        <v>18</v>
      </c>
      <c r="I19" s="11">
        <v>-0.20000000000005</v>
      </c>
      <c r="J19" s="11">
        <v>2.5999999999999002</v>
      </c>
      <c r="K19" s="11">
        <v>6.4000000000000998</v>
      </c>
      <c r="L19" s="11">
        <v>-0.20000000000005</v>
      </c>
      <c r="M19" s="11">
        <v>8.5999999999995005</v>
      </c>
      <c r="N19" s="11"/>
      <c r="O19" s="18"/>
    </row>
    <row r="20" spans="1:15" x14ac:dyDescent="0.25">
      <c r="A20" s="10"/>
      <c r="B20" s="10"/>
      <c r="C20" s="10"/>
      <c r="D20" s="10"/>
      <c r="E20" s="10" t="s">
        <v>45</v>
      </c>
      <c r="F20" s="10" t="s">
        <v>34</v>
      </c>
      <c r="G20" s="10" t="s">
        <v>57</v>
      </c>
      <c r="H20" s="10" t="s">
        <v>17</v>
      </c>
      <c r="I20" s="10">
        <v>720</v>
      </c>
      <c r="J20" s="10">
        <v>1440</v>
      </c>
      <c r="K20" s="10">
        <v>1260</v>
      </c>
      <c r="L20" s="10">
        <v>720</v>
      </c>
      <c r="M20" s="10">
        <v>4140</v>
      </c>
      <c r="N20" s="10" t="s">
        <v>23</v>
      </c>
      <c r="O20" s="17"/>
    </row>
    <row r="21" spans="1:15" x14ac:dyDescent="0.25">
      <c r="A21" s="11"/>
      <c r="B21" s="11"/>
      <c r="C21" s="11"/>
      <c r="D21" s="11"/>
      <c r="E21" s="11"/>
      <c r="F21" s="11"/>
      <c r="G21" s="11"/>
      <c r="H21" s="11" t="s">
        <v>7</v>
      </c>
      <c r="I21" s="11">
        <v>727.2</v>
      </c>
      <c r="J21" s="11">
        <v>1454.4</v>
      </c>
      <c r="K21" s="11">
        <v>1272.5999999999999</v>
      </c>
      <c r="L21" s="11">
        <v>727.2</v>
      </c>
      <c r="M21" s="11">
        <v>4181.3999999999996</v>
      </c>
      <c r="N21" s="11"/>
      <c r="O21" s="18"/>
    </row>
    <row r="22" spans="1:15" x14ac:dyDescent="0.25">
      <c r="A22" s="10"/>
      <c r="B22" s="10" t="s">
        <v>47</v>
      </c>
      <c r="C22" s="10" t="s">
        <v>58</v>
      </c>
      <c r="D22" s="10" t="s">
        <v>38</v>
      </c>
      <c r="E22" s="10"/>
      <c r="F22" s="10"/>
      <c r="G22" s="10"/>
      <c r="H22" s="10"/>
      <c r="I22" s="10">
        <v>0</v>
      </c>
      <c r="J22" s="10">
        <v>3</v>
      </c>
      <c r="K22" s="10">
        <v>0</v>
      </c>
      <c r="L22" s="10">
        <v>0</v>
      </c>
      <c r="M22" s="10">
        <v>3</v>
      </c>
      <c r="N22" s="10"/>
      <c r="O22" s="17">
        <v>3</v>
      </c>
    </row>
    <row r="23" spans="1:15" x14ac:dyDescent="0.25">
      <c r="A23" s="11"/>
      <c r="B23" s="11">
        <v>1</v>
      </c>
      <c r="C23" s="11" t="s">
        <v>59</v>
      </c>
      <c r="D23" s="11" t="s">
        <v>50</v>
      </c>
      <c r="E23" s="11"/>
      <c r="F23" s="11"/>
      <c r="G23" s="11"/>
      <c r="H23" s="11"/>
      <c r="I23" s="11">
        <v>400</v>
      </c>
      <c r="J23" s="11">
        <v>800</v>
      </c>
      <c r="K23" s="11">
        <v>700</v>
      </c>
      <c r="L23" s="11">
        <v>400</v>
      </c>
      <c r="M23" s="11">
        <v>2300</v>
      </c>
      <c r="N23" s="11"/>
      <c r="O23" s="18">
        <v>100</v>
      </c>
    </row>
    <row r="24" spans="1:15" x14ac:dyDescent="0.25">
      <c r="A24" s="10"/>
      <c r="B24" s="10">
        <v>2</v>
      </c>
      <c r="C24" s="10" t="s">
        <v>60</v>
      </c>
      <c r="D24" s="10" t="s">
        <v>50</v>
      </c>
      <c r="E24" s="10"/>
      <c r="F24" s="10"/>
      <c r="G24" s="10"/>
      <c r="H24" s="10"/>
      <c r="I24" s="10">
        <v>304</v>
      </c>
      <c r="J24" s="10">
        <v>605</v>
      </c>
      <c r="K24" s="10">
        <v>528</v>
      </c>
      <c r="L24" s="10">
        <v>303</v>
      </c>
      <c r="M24" s="10">
        <v>1740</v>
      </c>
      <c r="N24" s="10"/>
      <c r="O24" s="17">
        <v>76</v>
      </c>
    </row>
    <row r="25" spans="1:15" x14ac:dyDescent="0.25">
      <c r="A25" s="11"/>
      <c r="B25" s="11">
        <v>3</v>
      </c>
      <c r="C25" s="11" t="s">
        <v>61</v>
      </c>
      <c r="D25" s="11" t="s">
        <v>40</v>
      </c>
      <c r="E25" s="11"/>
      <c r="F25" s="11"/>
      <c r="G25" s="11"/>
      <c r="H25" s="11"/>
      <c r="I25" s="11">
        <v>14</v>
      </c>
      <c r="J25" s="11">
        <v>28</v>
      </c>
      <c r="K25" s="11">
        <v>28</v>
      </c>
      <c r="L25" s="11">
        <v>14</v>
      </c>
      <c r="M25" s="11">
        <v>84</v>
      </c>
      <c r="N25" s="11"/>
      <c r="O25" s="18">
        <v>14</v>
      </c>
    </row>
    <row r="26" spans="1:15" x14ac:dyDescent="0.25">
      <c r="A26" s="10"/>
      <c r="B26" s="10">
        <v>4</v>
      </c>
      <c r="C26" s="10" t="s">
        <v>62</v>
      </c>
      <c r="D26" s="10" t="s">
        <v>42</v>
      </c>
      <c r="E26" s="10"/>
      <c r="F26" s="10"/>
      <c r="G26" s="10"/>
      <c r="H26" s="10"/>
      <c r="I26" s="10">
        <v>9</v>
      </c>
      <c r="J26" s="10">
        <v>0</v>
      </c>
      <c r="K26" s="10">
        <v>0</v>
      </c>
      <c r="L26" s="10">
        <v>9</v>
      </c>
      <c r="M26" s="10">
        <v>18</v>
      </c>
      <c r="N26" s="10"/>
      <c r="O26" s="17">
        <v>9</v>
      </c>
    </row>
    <row r="27" spans="1:15" x14ac:dyDescent="0.25">
      <c r="A27" s="11"/>
      <c r="B27" s="11">
        <v>4</v>
      </c>
      <c r="C27" s="11" t="s">
        <v>63</v>
      </c>
      <c r="D27" s="11" t="s">
        <v>41</v>
      </c>
      <c r="E27" s="11"/>
      <c r="F27" s="11"/>
      <c r="G27" s="11"/>
      <c r="H27" s="11"/>
      <c r="I27" s="11">
        <v>0</v>
      </c>
      <c r="J27" s="11">
        <v>15</v>
      </c>
      <c r="K27" s="11">
        <v>15</v>
      </c>
      <c r="L27" s="11">
        <v>0</v>
      </c>
      <c r="M27" s="11">
        <v>30</v>
      </c>
      <c r="N27" s="11"/>
      <c r="O27" s="18">
        <v>15</v>
      </c>
    </row>
    <row r="28" spans="1:15" x14ac:dyDescent="0.25">
      <c r="A28" s="10"/>
      <c r="B28" s="10"/>
      <c r="C28" s="10"/>
      <c r="D28" s="10"/>
      <c r="E28" s="10"/>
      <c r="F28" s="10"/>
      <c r="G28" s="10"/>
      <c r="H28" s="10" t="s">
        <v>11</v>
      </c>
      <c r="I28" s="10">
        <v>727</v>
      </c>
      <c r="J28" s="10">
        <v>1451</v>
      </c>
      <c r="K28" s="10">
        <v>1271</v>
      </c>
      <c r="L28" s="10">
        <v>726</v>
      </c>
      <c r="M28" s="10">
        <v>4175</v>
      </c>
      <c r="N28" s="10"/>
      <c r="O28" s="17"/>
    </row>
    <row r="29" spans="1:15" ht="17.45" customHeight="1" x14ac:dyDescent="0.25">
      <c r="A29" s="12"/>
      <c r="B29" s="12"/>
      <c r="C29" s="12"/>
      <c r="D29" s="12"/>
      <c r="E29" s="12"/>
      <c r="F29" s="12"/>
      <c r="G29" s="12"/>
      <c r="H29" s="12" t="s">
        <v>33</v>
      </c>
      <c r="I29" s="23">
        <f t="shared" ref="I29:M29" si="2">IFERROR((I28/I20)-1,"Qty Order 0")</f>
        <v>9.7222222222221877E-3</v>
      </c>
      <c r="J29" s="23">
        <f t="shared" si="2"/>
        <v>7.6388888888889728E-3</v>
      </c>
      <c r="K29" s="23">
        <f t="shared" si="2"/>
        <v>8.7301587301586991E-3</v>
      </c>
      <c r="L29" s="23">
        <f t="shared" si="2"/>
        <v>8.3333333333333037E-3</v>
      </c>
      <c r="M29" s="23">
        <f t="shared" si="2"/>
        <v>8.4541062801932743E-3</v>
      </c>
      <c r="N29" s="12"/>
      <c r="O29" s="19"/>
    </row>
    <row r="30" spans="1:15" x14ac:dyDescent="0.25">
      <c r="A30" s="10"/>
      <c r="B30" s="10"/>
      <c r="C30" s="10"/>
      <c r="D30" s="10"/>
      <c r="E30" s="10"/>
      <c r="F30" s="10"/>
      <c r="G30" s="10"/>
      <c r="H30" s="10" t="s">
        <v>18</v>
      </c>
      <c r="I30" s="10">
        <v>-0.20000000000005</v>
      </c>
      <c r="J30" s="10">
        <v>-3.4000000000000998</v>
      </c>
      <c r="K30" s="10">
        <v>-1.5999999999998999</v>
      </c>
      <c r="L30" s="10">
        <v>-1.2</v>
      </c>
      <c r="M30" s="10">
        <v>-6.4000000000005004</v>
      </c>
      <c r="N30" s="10"/>
      <c r="O30" s="17"/>
    </row>
    <row r="31" spans="1:15" ht="17.45" customHeight="1" x14ac:dyDescent="0.25">
      <c r="A31" s="13"/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20"/>
    </row>
    <row r="32" spans="1:15" ht="17.45" customHeight="1" x14ac:dyDescent="0.25">
      <c r="A32" s="9" t="s">
        <v>19</v>
      </c>
      <c r="B32" s="9" t="s">
        <v>9</v>
      </c>
      <c r="C32" s="9" t="s">
        <v>20</v>
      </c>
      <c r="D32" s="9" t="s">
        <v>21</v>
      </c>
      <c r="E32" s="9" t="s">
        <v>4</v>
      </c>
      <c r="F32" s="9" t="s">
        <v>5</v>
      </c>
      <c r="G32" s="9" t="s">
        <v>8</v>
      </c>
      <c r="H32" s="9" t="s">
        <v>10</v>
      </c>
      <c r="I32" s="9" t="s">
        <v>13</v>
      </c>
      <c r="J32" s="9" t="s">
        <v>14</v>
      </c>
      <c r="K32" s="9" t="s">
        <v>15</v>
      </c>
      <c r="L32" s="9" t="s">
        <v>16</v>
      </c>
      <c r="M32" s="9" t="s">
        <v>22</v>
      </c>
      <c r="N32" s="9" t="s">
        <v>12</v>
      </c>
      <c r="O32" s="16" t="s">
        <v>32</v>
      </c>
    </row>
    <row r="33" spans="1:15" x14ac:dyDescent="0.25">
      <c r="A33" s="11">
        <v>183014</v>
      </c>
      <c r="B33" s="11"/>
      <c r="C33" s="11"/>
      <c r="D33" s="11"/>
      <c r="E33" s="11" t="s">
        <v>36</v>
      </c>
      <c r="F33" s="11" t="s">
        <v>6</v>
      </c>
      <c r="G33" s="11" t="s">
        <v>24</v>
      </c>
      <c r="H33" s="11" t="s">
        <v>17</v>
      </c>
      <c r="I33" s="11">
        <v>648</v>
      </c>
      <c r="J33" s="11">
        <v>1548</v>
      </c>
      <c r="K33" s="11">
        <v>1440</v>
      </c>
      <c r="L33" s="11">
        <v>612</v>
      </c>
      <c r="M33" s="11">
        <v>4248</v>
      </c>
      <c r="N33" s="11" t="s">
        <v>35</v>
      </c>
      <c r="O33" s="18"/>
    </row>
    <row r="34" spans="1:15" x14ac:dyDescent="0.25">
      <c r="A34" s="10"/>
      <c r="B34" s="10"/>
      <c r="C34" s="10"/>
      <c r="D34" s="10"/>
      <c r="E34" s="10"/>
      <c r="F34" s="10"/>
      <c r="G34" s="10"/>
      <c r="H34" s="10" t="s">
        <v>7</v>
      </c>
      <c r="I34" s="10">
        <v>648</v>
      </c>
      <c r="J34" s="10">
        <v>1548</v>
      </c>
      <c r="K34" s="10">
        <v>1440</v>
      </c>
      <c r="L34" s="10">
        <v>612</v>
      </c>
      <c r="M34" s="10">
        <v>4248</v>
      </c>
      <c r="N34" s="10"/>
      <c r="O34" s="17"/>
    </row>
    <row r="35" spans="1:15" x14ac:dyDescent="0.25">
      <c r="A35" s="11"/>
      <c r="B35" s="11" t="s">
        <v>47</v>
      </c>
      <c r="C35" s="11" t="s">
        <v>64</v>
      </c>
      <c r="D35" s="11" t="s">
        <v>38</v>
      </c>
      <c r="E35" s="11"/>
      <c r="F35" s="11"/>
      <c r="G35" s="11"/>
      <c r="H35" s="11"/>
      <c r="I35" s="11">
        <v>0</v>
      </c>
      <c r="J35" s="11">
        <v>3</v>
      </c>
      <c r="K35" s="11">
        <v>0</v>
      </c>
      <c r="L35" s="11">
        <v>0</v>
      </c>
      <c r="M35" s="11">
        <v>3</v>
      </c>
      <c r="N35" s="11"/>
      <c r="O35" s="18">
        <v>3</v>
      </c>
    </row>
    <row r="36" spans="1:15" x14ac:dyDescent="0.25">
      <c r="A36" s="10"/>
      <c r="B36" s="10">
        <v>1</v>
      </c>
      <c r="C36" s="10" t="s">
        <v>65</v>
      </c>
      <c r="D36" s="10" t="s">
        <v>66</v>
      </c>
      <c r="E36" s="10"/>
      <c r="F36" s="10"/>
      <c r="G36" s="10"/>
      <c r="H36" s="10"/>
      <c r="I36" s="10">
        <v>210</v>
      </c>
      <c r="J36" s="10">
        <v>420</v>
      </c>
      <c r="K36" s="10">
        <v>420</v>
      </c>
      <c r="L36" s="10">
        <v>210</v>
      </c>
      <c r="M36" s="10">
        <v>1260</v>
      </c>
      <c r="N36" s="10"/>
      <c r="O36" s="17">
        <v>70</v>
      </c>
    </row>
    <row r="37" spans="1:15" x14ac:dyDescent="0.25">
      <c r="A37" s="11"/>
      <c r="B37" s="11">
        <v>2</v>
      </c>
      <c r="C37" s="11" t="s">
        <v>67</v>
      </c>
      <c r="D37" s="11" t="s">
        <v>66</v>
      </c>
      <c r="E37" s="11"/>
      <c r="F37" s="11"/>
      <c r="G37" s="11"/>
      <c r="H37" s="11"/>
      <c r="I37" s="11">
        <v>210</v>
      </c>
      <c r="J37" s="11">
        <v>420</v>
      </c>
      <c r="K37" s="11">
        <v>420</v>
      </c>
      <c r="L37" s="11">
        <v>210</v>
      </c>
      <c r="M37" s="11">
        <v>1260</v>
      </c>
      <c r="N37" s="11"/>
      <c r="O37" s="18">
        <v>70</v>
      </c>
    </row>
    <row r="38" spans="1:15" x14ac:dyDescent="0.25">
      <c r="A38" s="10"/>
      <c r="B38" s="10">
        <v>3</v>
      </c>
      <c r="C38" s="10" t="s">
        <v>68</v>
      </c>
      <c r="D38" s="10" t="s">
        <v>66</v>
      </c>
      <c r="E38" s="10"/>
      <c r="F38" s="10"/>
      <c r="G38" s="10"/>
      <c r="H38" s="10"/>
      <c r="I38" s="10">
        <v>192</v>
      </c>
      <c r="J38" s="10">
        <v>384</v>
      </c>
      <c r="K38" s="10">
        <v>384</v>
      </c>
      <c r="L38" s="10">
        <v>192</v>
      </c>
      <c r="M38" s="10">
        <v>1152</v>
      </c>
      <c r="N38" s="10"/>
      <c r="O38" s="17">
        <v>64</v>
      </c>
    </row>
    <row r="39" spans="1:15" x14ac:dyDescent="0.25">
      <c r="A39" s="11"/>
      <c r="B39" s="11">
        <v>4</v>
      </c>
      <c r="C39" s="11" t="s">
        <v>69</v>
      </c>
      <c r="D39" s="11" t="s">
        <v>39</v>
      </c>
      <c r="E39" s="11"/>
      <c r="F39" s="11"/>
      <c r="G39" s="11"/>
      <c r="H39" s="11"/>
      <c r="I39" s="11">
        <v>36</v>
      </c>
      <c r="J39" s="11">
        <v>324</v>
      </c>
      <c r="K39" s="11">
        <v>216</v>
      </c>
      <c r="L39" s="11">
        <v>0</v>
      </c>
      <c r="M39" s="11">
        <v>576</v>
      </c>
      <c r="N39" s="11"/>
      <c r="O39" s="18">
        <v>36</v>
      </c>
    </row>
    <row r="40" spans="1:15" x14ac:dyDescent="0.25">
      <c r="A40" s="10"/>
      <c r="B40" s="10"/>
      <c r="C40" s="10"/>
      <c r="D40" s="10"/>
      <c r="E40" s="10"/>
      <c r="F40" s="10"/>
      <c r="G40" s="10"/>
      <c r="H40" s="10" t="s">
        <v>11</v>
      </c>
      <c r="I40" s="10">
        <v>648</v>
      </c>
      <c r="J40" s="10">
        <v>1551</v>
      </c>
      <c r="K40" s="10">
        <v>1440</v>
      </c>
      <c r="L40" s="10">
        <v>612</v>
      </c>
      <c r="M40" s="10">
        <v>4251</v>
      </c>
      <c r="N40" s="10"/>
      <c r="O40" s="17"/>
    </row>
    <row r="41" spans="1:15" ht="17.45" customHeight="1" x14ac:dyDescent="0.25">
      <c r="A41" s="12"/>
      <c r="B41" s="12"/>
      <c r="C41" s="12"/>
      <c r="D41" s="12"/>
      <c r="E41" s="12"/>
      <c r="F41" s="12"/>
      <c r="G41" s="12"/>
      <c r="H41" s="12" t="s">
        <v>33</v>
      </c>
      <c r="I41" s="23">
        <f t="shared" ref="I41:M41" si="3">IFERROR((I40/I33)-1,"Qty Order 0")</f>
        <v>0</v>
      </c>
      <c r="J41" s="23">
        <f t="shared" si="3"/>
        <v>1.9379844961240345E-3</v>
      </c>
      <c r="K41" s="23">
        <f t="shared" si="3"/>
        <v>0</v>
      </c>
      <c r="L41" s="23">
        <f t="shared" si="3"/>
        <v>0</v>
      </c>
      <c r="M41" s="23">
        <f t="shared" si="3"/>
        <v>7.0621468926557185E-4</v>
      </c>
      <c r="N41" s="12"/>
      <c r="O41" s="19"/>
    </row>
    <row r="42" spans="1:15" x14ac:dyDescent="0.25">
      <c r="A42" s="10"/>
      <c r="B42" s="10"/>
      <c r="C42" s="10"/>
      <c r="D42" s="10"/>
      <c r="E42" s="10"/>
      <c r="F42" s="10"/>
      <c r="G42" s="10"/>
      <c r="H42" s="10" t="s">
        <v>18</v>
      </c>
      <c r="I42" s="10">
        <v>0</v>
      </c>
      <c r="J42" s="10">
        <v>3</v>
      </c>
      <c r="K42" s="10">
        <v>0</v>
      </c>
      <c r="L42" s="10">
        <v>0</v>
      </c>
      <c r="M42" s="10">
        <v>3</v>
      </c>
      <c r="N42" s="10"/>
      <c r="O42" s="17"/>
    </row>
    <row r="43" spans="1:15" x14ac:dyDescent="0.25">
      <c r="A43" s="11"/>
      <c r="B43" s="11"/>
      <c r="C43" s="11"/>
      <c r="D43" s="11"/>
      <c r="E43" s="11" t="s">
        <v>36</v>
      </c>
      <c r="F43" s="11" t="s">
        <v>6</v>
      </c>
      <c r="G43" s="11" t="s">
        <v>37</v>
      </c>
      <c r="H43" s="11" t="s">
        <v>17</v>
      </c>
      <c r="I43" s="11">
        <v>648</v>
      </c>
      <c r="J43" s="11">
        <v>1548</v>
      </c>
      <c r="K43" s="11">
        <v>1440</v>
      </c>
      <c r="L43" s="11">
        <v>612</v>
      </c>
      <c r="M43" s="11">
        <v>4248</v>
      </c>
      <c r="N43" s="11" t="s">
        <v>35</v>
      </c>
      <c r="O43" s="18"/>
    </row>
    <row r="44" spans="1:15" x14ac:dyDescent="0.25">
      <c r="A44" s="10"/>
      <c r="B44" s="10"/>
      <c r="C44" s="10"/>
      <c r="D44" s="10"/>
      <c r="E44" s="10"/>
      <c r="F44" s="10"/>
      <c r="G44" s="10"/>
      <c r="H44" s="10" t="s">
        <v>7</v>
      </c>
      <c r="I44" s="10">
        <v>648</v>
      </c>
      <c r="J44" s="10">
        <v>1548</v>
      </c>
      <c r="K44" s="10">
        <v>1440</v>
      </c>
      <c r="L44" s="10">
        <v>612</v>
      </c>
      <c r="M44" s="10">
        <v>4248</v>
      </c>
      <c r="N44" s="10"/>
      <c r="O44" s="17"/>
    </row>
    <row r="45" spans="1:15" x14ac:dyDescent="0.25">
      <c r="A45" s="11"/>
      <c r="B45" s="11" t="s">
        <v>47</v>
      </c>
      <c r="C45" s="11" t="s">
        <v>70</v>
      </c>
      <c r="D45" s="11" t="s">
        <v>38</v>
      </c>
      <c r="E45" s="11"/>
      <c r="F45" s="11"/>
      <c r="G45" s="11"/>
      <c r="H45" s="11"/>
      <c r="I45" s="11">
        <v>0</v>
      </c>
      <c r="J45" s="11">
        <v>3</v>
      </c>
      <c r="K45" s="11">
        <v>0</v>
      </c>
      <c r="L45" s="11">
        <v>0</v>
      </c>
      <c r="M45" s="11">
        <v>3</v>
      </c>
      <c r="N45" s="11"/>
      <c r="O45" s="18">
        <v>3</v>
      </c>
    </row>
    <row r="46" spans="1:15" x14ac:dyDescent="0.25">
      <c r="A46" s="10"/>
      <c r="B46" s="10">
        <v>1</v>
      </c>
      <c r="C46" s="10" t="s">
        <v>71</v>
      </c>
      <c r="D46" s="10" t="s">
        <v>66</v>
      </c>
      <c r="E46" s="10"/>
      <c r="F46" s="10"/>
      <c r="G46" s="10"/>
      <c r="H46" s="10"/>
      <c r="I46" s="10">
        <v>210</v>
      </c>
      <c r="J46" s="10">
        <v>420</v>
      </c>
      <c r="K46" s="10">
        <v>420</v>
      </c>
      <c r="L46" s="10">
        <v>209</v>
      </c>
      <c r="M46" s="10">
        <v>1259</v>
      </c>
      <c r="N46" s="10"/>
      <c r="O46" s="17">
        <v>70</v>
      </c>
    </row>
    <row r="47" spans="1:15" x14ac:dyDescent="0.25">
      <c r="A47" s="11"/>
      <c r="B47" s="11">
        <v>2</v>
      </c>
      <c r="C47" s="11" t="s">
        <v>72</v>
      </c>
      <c r="D47" s="11" t="s">
        <v>66</v>
      </c>
      <c r="E47" s="11"/>
      <c r="F47" s="11"/>
      <c r="G47" s="11"/>
      <c r="H47" s="11"/>
      <c r="I47" s="11">
        <v>165</v>
      </c>
      <c r="J47" s="11">
        <v>330</v>
      </c>
      <c r="K47" s="11">
        <v>330</v>
      </c>
      <c r="L47" s="11">
        <v>165</v>
      </c>
      <c r="M47" s="11">
        <v>990</v>
      </c>
      <c r="N47" s="11"/>
      <c r="O47" s="18">
        <v>55</v>
      </c>
    </row>
    <row r="48" spans="1:15" x14ac:dyDescent="0.25">
      <c r="A48" s="10"/>
      <c r="B48" s="10">
        <v>3</v>
      </c>
      <c r="C48" s="10" t="s">
        <v>73</v>
      </c>
      <c r="D48" s="10" t="s">
        <v>66</v>
      </c>
      <c r="E48" s="10"/>
      <c r="F48" s="10"/>
      <c r="G48" s="10"/>
      <c r="H48" s="10"/>
      <c r="I48" s="10">
        <v>39</v>
      </c>
      <c r="J48" s="10">
        <v>77</v>
      </c>
      <c r="K48" s="10">
        <v>78</v>
      </c>
      <c r="L48" s="10">
        <v>39</v>
      </c>
      <c r="M48" s="10">
        <v>233</v>
      </c>
      <c r="N48" s="10"/>
      <c r="O48" s="17">
        <v>13</v>
      </c>
    </row>
    <row r="49" spans="1:15" x14ac:dyDescent="0.25">
      <c r="A49" s="11"/>
      <c r="B49" s="11">
        <v>4</v>
      </c>
      <c r="C49" s="11" t="s">
        <v>74</v>
      </c>
      <c r="D49" s="11" t="s">
        <v>66</v>
      </c>
      <c r="E49" s="11"/>
      <c r="F49" s="11"/>
      <c r="G49" s="11"/>
      <c r="H49" s="11"/>
      <c r="I49" s="11">
        <v>117</v>
      </c>
      <c r="J49" s="11">
        <v>234</v>
      </c>
      <c r="K49" s="11">
        <v>234</v>
      </c>
      <c r="L49" s="11">
        <v>117</v>
      </c>
      <c r="M49" s="11">
        <v>702</v>
      </c>
      <c r="N49" s="11"/>
      <c r="O49" s="18">
        <v>39</v>
      </c>
    </row>
    <row r="50" spans="1:15" x14ac:dyDescent="0.25">
      <c r="A50" s="10"/>
      <c r="B50" s="10">
        <v>5</v>
      </c>
      <c r="C50" s="10" t="s">
        <v>75</v>
      </c>
      <c r="D50" s="10" t="s">
        <v>66</v>
      </c>
      <c r="E50" s="10"/>
      <c r="F50" s="10"/>
      <c r="G50" s="10"/>
      <c r="H50" s="10"/>
      <c r="I50" s="10">
        <v>87</v>
      </c>
      <c r="J50" s="10">
        <v>174</v>
      </c>
      <c r="K50" s="10">
        <v>173</v>
      </c>
      <c r="L50" s="10">
        <v>87</v>
      </c>
      <c r="M50" s="10">
        <v>521</v>
      </c>
      <c r="N50" s="10"/>
      <c r="O50" s="17">
        <v>29</v>
      </c>
    </row>
    <row r="51" spans="1:15" x14ac:dyDescent="0.25">
      <c r="A51" s="11"/>
      <c r="B51" s="11">
        <v>6</v>
      </c>
      <c r="C51" s="11" t="s">
        <v>44</v>
      </c>
      <c r="D51" s="11" t="s">
        <v>39</v>
      </c>
      <c r="E51" s="11"/>
      <c r="F51" s="11"/>
      <c r="G51" s="11"/>
      <c r="H51" s="11"/>
      <c r="I51" s="11">
        <v>26</v>
      </c>
      <c r="J51" s="11">
        <v>234</v>
      </c>
      <c r="K51" s="11">
        <v>156</v>
      </c>
      <c r="L51" s="11">
        <v>0</v>
      </c>
      <c r="M51" s="11">
        <v>416</v>
      </c>
      <c r="N51" s="11"/>
      <c r="O51" s="18">
        <v>26</v>
      </c>
    </row>
    <row r="52" spans="1:15" x14ac:dyDescent="0.25">
      <c r="A52" s="10"/>
      <c r="B52" s="10"/>
      <c r="C52" s="10"/>
      <c r="D52" s="10"/>
      <c r="E52" s="10"/>
      <c r="F52" s="10"/>
      <c r="G52" s="10"/>
      <c r="H52" s="10" t="s">
        <v>11</v>
      </c>
      <c r="I52" s="10">
        <v>644</v>
      </c>
      <c r="J52" s="10">
        <v>1472</v>
      </c>
      <c r="K52" s="10">
        <v>1391</v>
      </c>
      <c r="L52" s="10">
        <v>617</v>
      </c>
      <c r="M52" s="10">
        <v>4124</v>
      </c>
      <c r="N52" s="10"/>
      <c r="O52" s="17"/>
    </row>
    <row r="53" spans="1:15" ht="17.45" customHeight="1" x14ac:dyDescent="0.25">
      <c r="A53" s="12"/>
      <c r="B53" s="12"/>
      <c r="C53" s="12"/>
      <c r="D53" s="12"/>
      <c r="E53" s="12"/>
      <c r="F53" s="12"/>
      <c r="G53" s="12"/>
      <c r="H53" s="12" t="s">
        <v>33</v>
      </c>
      <c r="I53" s="23">
        <f t="shared" ref="I53:M53" si="4">IFERROR((I52/I43)-1,"Qty Order 0")</f>
        <v>-6.1728395061728669E-3</v>
      </c>
      <c r="J53" s="23">
        <f t="shared" si="4"/>
        <v>-4.9095607235142169E-2</v>
      </c>
      <c r="K53" s="23">
        <f t="shared" si="4"/>
        <v>-3.4027777777777768E-2</v>
      </c>
      <c r="L53" s="23">
        <f t="shared" si="4"/>
        <v>8.1699346405228468E-3</v>
      </c>
      <c r="M53" s="23">
        <f t="shared" si="4"/>
        <v>-2.9190207156308823E-2</v>
      </c>
      <c r="N53" s="12"/>
      <c r="O53" s="19"/>
    </row>
    <row r="54" spans="1:15" x14ac:dyDescent="0.25">
      <c r="A54" s="10"/>
      <c r="B54" s="10"/>
      <c r="C54" s="10"/>
      <c r="D54" s="10"/>
      <c r="E54" s="10"/>
      <c r="F54" s="10"/>
      <c r="G54" s="10"/>
      <c r="H54" s="10" t="s">
        <v>18</v>
      </c>
      <c r="I54" s="10">
        <v>-4</v>
      </c>
      <c r="J54" s="10">
        <v>-76</v>
      </c>
      <c r="K54" s="10">
        <v>-49</v>
      </c>
      <c r="L54" s="10">
        <v>5</v>
      </c>
      <c r="M54" s="10">
        <v>-124</v>
      </c>
      <c r="N54" s="10"/>
      <c r="O54" s="17"/>
    </row>
    <row r="55" spans="1:15" x14ac:dyDescent="0.25">
      <c r="A55" s="11"/>
      <c r="B55" s="11"/>
      <c r="C55" s="11"/>
      <c r="D55" s="11"/>
      <c r="E55" s="11" t="s">
        <v>36</v>
      </c>
      <c r="F55" s="11" t="s">
        <v>6</v>
      </c>
      <c r="G55" s="11" t="s">
        <v>25</v>
      </c>
      <c r="H55" s="11" t="s">
        <v>17</v>
      </c>
      <c r="I55" s="11">
        <v>648</v>
      </c>
      <c r="J55" s="11">
        <v>1548</v>
      </c>
      <c r="K55" s="11">
        <v>1440</v>
      </c>
      <c r="L55" s="11">
        <v>612</v>
      </c>
      <c r="M55" s="11">
        <v>4248</v>
      </c>
      <c r="N55" s="11" t="s">
        <v>35</v>
      </c>
      <c r="O55" s="18"/>
    </row>
    <row r="56" spans="1:15" x14ac:dyDescent="0.25">
      <c r="A56" s="10"/>
      <c r="B56" s="10"/>
      <c r="C56" s="10"/>
      <c r="D56" s="10"/>
      <c r="E56" s="10"/>
      <c r="F56" s="10"/>
      <c r="G56" s="10"/>
      <c r="H56" s="10" t="s">
        <v>7</v>
      </c>
      <c r="I56" s="10">
        <v>648</v>
      </c>
      <c r="J56" s="10">
        <v>1548</v>
      </c>
      <c r="K56" s="10">
        <v>1440</v>
      </c>
      <c r="L56" s="10">
        <v>612</v>
      </c>
      <c r="M56" s="10">
        <v>4248</v>
      </c>
      <c r="N56" s="10"/>
      <c r="O56" s="17"/>
    </row>
    <row r="57" spans="1:15" x14ac:dyDescent="0.25">
      <c r="A57" s="11"/>
      <c r="B57" s="11" t="s">
        <v>47</v>
      </c>
      <c r="C57" s="11" t="s">
        <v>76</v>
      </c>
      <c r="D57" s="11" t="s">
        <v>38</v>
      </c>
      <c r="E57" s="11"/>
      <c r="F57" s="11"/>
      <c r="G57" s="11"/>
      <c r="H57" s="11"/>
      <c r="I57" s="11">
        <v>0</v>
      </c>
      <c r="J57" s="11">
        <v>3</v>
      </c>
      <c r="K57" s="11">
        <v>0</v>
      </c>
      <c r="L57" s="11">
        <v>0</v>
      </c>
      <c r="M57" s="11">
        <v>3</v>
      </c>
      <c r="N57" s="11"/>
      <c r="O57" s="18">
        <v>3</v>
      </c>
    </row>
    <row r="58" spans="1:15" x14ac:dyDescent="0.25">
      <c r="A58" s="10"/>
      <c r="B58" s="10">
        <v>1</v>
      </c>
      <c r="C58" s="10" t="s">
        <v>77</v>
      </c>
      <c r="D58" s="10" t="s">
        <v>66</v>
      </c>
      <c r="E58" s="10"/>
      <c r="F58" s="10"/>
      <c r="G58" s="10"/>
      <c r="H58" s="10"/>
      <c r="I58" s="10">
        <v>210</v>
      </c>
      <c r="J58" s="10">
        <v>420</v>
      </c>
      <c r="K58" s="10">
        <v>420</v>
      </c>
      <c r="L58" s="10">
        <v>210</v>
      </c>
      <c r="M58" s="10">
        <v>1260</v>
      </c>
      <c r="N58" s="10"/>
      <c r="O58" s="17">
        <v>70</v>
      </c>
    </row>
    <row r="59" spans="1:15" x14ac:dyDescent="0.25">
      <c r="A59" s="11"/>
      <c r="B59" s="11">
        <v>2</v>
      </c>
      <c r="C59" s="11" t="s">
        <v>78</v>
      </c>
      <c r="D59" s="11" t="s">
        <v>66</v>
      </c>
      <c r="E59" s="11"/>
      <c r="F59" s="11"/>
      <c r="G59" s="11"/>
      <c r="H59" s="11"/>
      <c r="I59" s="11">
        <v>210</v>
      </c>
      <c r="J59" s="11">
        <v>420</v>
      </c>
      <c r="K59" s="11">
        <v>420</v>
      </c>
      <c r="L59" s="11">
        <v>210</v>
      </c>
      <c r="M59" s="11">
        <v>1260</v>
      </c>
      <c r="N59" s="11"/>
      <c r="O59" s="18">
        <v>70</v>
      </c>
    </row>
    <row r="60" spans="1:15" x14ac:dyDescent="0.25">
      <c r="A60" s="10"/>
      <c r="B60" s="10">
        <v>3</v>
      </c>
      <c r="C60" s="10" t="s">
        <v>79</v>
      </c>
      <c r="D60" s="10" t="s">
        <v>66</v>
      </c>
      <c r="E60" s="10"/>
      <c r="F60" s="10"/>
      <c r="G60" s="10"/>
      <c r="H60" s="10"/>
      <c r="I60" s="10">
        <v>192</v>
      </c>
      <c r="J60" s="10">
        <v>383</v>
      </c>
      <c r="K60" s="10">
        <v>384</v>
      </c>
      <c r="L60" s="10">
        <v>192</v>
      </c>
      <c r="M60" s="10">
        <v>1151</v>
      </c>
      <c r="N60" s="10"/>
      <c r="O60" s="17">
        <v>64</v>
      </c>
    </row>
    <row r="61" spans="1:15" x14ac:dyDescent="0.25">
      <c r="A61" s="11"/>
      <c r="B61" s="11">
        <v>4</v>
      </c>
      <c r="C61" s="11" t="s">
        <v>43</v>
      </c>
      <c r="D61" s="11" t="s">
        <v>39</v>
      </c>
      <c r="E61" s="11"/>
      <c r="F61" s="11"/>
      <c r="G61" s="11"/>
      <c r="H61" s="11"/>
      <c r="I61" s="11">
        <v>36</v>
      </c>
      <c r="J61" s="11">
        <v>324</v>
      </c>
      <c r="K61" s="11">
        <v>216</v>
      </c>
      <c r="L61" s="11">
        <v>0</v>
      </c>
      <c r="M61" s="11">
        <v>576</v>
      </c>
      <c r="N61" s="11"/>
      <c r="O61" s="18">
        <v>36</v>
      </c>
    </row>
    <row r="62" spans="1:15" x14ac:dyDescent="0.25">
      <c r="A62" s="10"/>
      <c r="B62" s="10"/>
      <c r="C62" s="10"/>
      <c r="D62" s="10"/>
      <c r="E62" s="10"/>
      <c r="F62" s="10"/>
      <c r="G62" s="10"/>
      <c r="H62" s="10" t="s">
        <v>11</v>
      </c>
      <c r="I62" s="10">
        <v>648</v>
      </c>
      <c r="J62" s="10">
        <v>1550</v>
      </c>
      <c r="K62" s="10">
        <v>1440</v>
      </c>
      <c r="L62" s="10">
        <v>612</v>
      </c>
      <c r="M62" s="10">
        <v>4250</v>
      </c>
      <c r="N62" s="10"/>
      <c r="O62" s="17"/>
    </row>
    <row r="63" spans="1:15" ht="17.45" customHeight="1" x14ac:dyDescent="0.25">
      <c r="A63" s="14"/>
      <c r="B63" s="14"/>
      <c r="C63" s="14"/>
      <c r="D63" s="14"/>
      <c r="E63" s="14"/>
      <c r="F63" s="14"/>
      <c r="G63" s="14"/>
      <c r="H63" s="14" t="s">
        <v>33</v>
      </c>
      <c r="I63" s="24">
        <f t="shared" ref="I63:M63" si="5">IFERROR((I62/I55)-1,"Qty Order 0")</f>
        <v>0</v>
      </c>
      <c r="J63" s="24">
        <f t="shared" si="5"/>
        <v>1.2919896640826156E-3</v>
      </c>
      <c r="K63" s="24">
        <f t="shared" si="5"/>
        <v>0</v>
      </c>
      <c r="L63" s="24">
        <f t="shared" si="5"/>
        <v>0</v>
      </c>
      <c r="M63" s="24">
        <f t="shared" si="5"/>
        <v>4.7080979284364055E-4</v>
      </c>
      <c r="N63" s="14"/>
      <c r="O63" s="21"/>
    </row>
    <row r="64" spans="1:15" x14ac:dyDescent="0.25">
      <c r="A64" s="15"/>
      <c r="B64" s="15"/>
      <c r="C64" s="15"/>
      <c r="D64" s="15"/>
      <c r="E64" s="15"/>
      <c r="F64" s="15"/>
      <c r="G64" s="15"/>
      <c r="H64" s="15" t="s">
        <v>18</v>
      </c>
      <c r="I64" s="15">
        <v>0</v>
      </c>
      <c r="J64" s="15">
        <v>2</v>
      </c>
      <c r="K64" s="15">
        <v>0</v>
      </c>
      <c r="L64" s="15">
        <v>0</v>
      </c>
      <c r="M64" s="15">
        <v>2</v>
      </c>
      <c r="N64" s="15"/>
      <c r="O64" s="22"/>
    </row>
    <row r="65" spans="1:15" ht="17.45" customHeight="1" x14ac:dyDescent="0.25">
      <c r="A65" s="8"/>
      <c r="B65" s="8"/>
      <c r="C65" s="8"/>
      <c r="D65" s="8"/>
      <c r="E65" s="8"/>
      <c r="F65" s="8"/>
      <c r="G65" s="8"/>
      <c r="H65" s="8"/>
      <c r="I65" s="8"/>
      <c r="J65" s="8"/>
      <c r="K65" s="8"/>
      <c r="L65" s="8"/>
      <c r="M65" s="8"/>
      <c r="N65" s="8"/>
      <c r="O65" s="8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DCF267-31B7-40FE-80CB-B2EF83E2042E}">
  <sheetPr codeName="Sheet121">
    <tabColor rgb="FF2F05AF"/>
  </sheetPr>
  <dimension ref="A1:R13"/>
  <sheetViews>
    <sheetView workbookViewId="0"/>
  </sheetViews>
  <sheetFormatPr defaultRowHeight="15" x14ac:dyDescent="0.25"/>
  <cols>
    <col min="1" max="1" width="9.85546875" customWidth="1"/>
    <col min="2" max="2" width="11.42578125" customWidth="1"/>
    <col min="3" max="3" width="18.28515625" customWidth="1"/>
    <col min="4" max="7" width="8.42578125" customWidth="1"/>
    <col min="8" max="8" width="9.7109375" customWidth="1"/>
    <col min="9" max="12" width="8.42578125" customWidth="1"/>
    <col min="13" max="13" width="9.7109375" customWidth="1"/>
    <col min="14" max="14" width="5.85546875" customWidth="1"/>
    <col min="15" max="16" width="6.7109375" customWidth="1"/>
    <col min="17" max="17" width="5.85546875" customWidth="1"/>
    <col min="18" max="18" width="8" customWidth="1"/>
  </cols>
  <sheetData>
    <row r="1" spans="1:18" ht="16.5" x14ac:dyDescent="0.25">
      <c r="A1" s="25"/>
      <c r="B1" s="25"/>
      <c r="C1" s="25"/>
      <c r="D1" s="33" t="s">
        <v>17</v>
      </c>
      <c r="E1" s="33"/>
      <c r="F1" s="33"/>
      <c r="G1" s="33"/>
      <c r="H1" s="33"/>
      <c r="I1" s="33" t="s">
        <v>80</v>
      </c>
      <c r="J1" s="33"/>
      <c r="K1" s="33"/>
      <c r="L1" s="33"/>
      <c r="M1" s="33"/>
      <c r="N1" s="33" t="s">
        <v>81</v>
      </c>
      <c r="O1" s="33"/>
      <c r="P1" s="33"/>
      <c r="Q1" s="33"/>
      <c r="R1" s="34"/>
    </row>
    <row r="2" spans="1:18" x14ac:dyDescent="0.25">
      <c r="A2" s="26" t="s">
        <v>19</v>
      </c>
      <c r="B2" s="26" t="s">
        <v>8</v>
      </c>
      <c r="C2" s="26" t="s">
        <v>12</v>
      </c>
      <c r="D2" s="26" t="s">
        <v>13</v>
      </c>
      <c r="E2" s="26" t="s">
        <v>14</v>
      </c>
      <c r="F2" s="26" t="s">
        <v>15</v>
      </c>
      <c r="G2" s="26" t="s">
        <v>16</v>
      </c>
      <c r="H2" s="26" t="s">
        <v>22</v>
      </c>
      <c r="I2" s="26" t="s">
        <v>13</v>
      </c>
      <c r="J2" s="26" t="s">
        <v>14</v>
      </c>
      <c r="K2" s="26" t="s">
        <v>15</v>
      </c>
      <c r="L2" s="26" t="s">
        <v>16</v>
      </c>
      <c r="M2" s="26" t="s">
        <v>22</v>
      </c>
      <c r="N2" s="26" t="s">
        <v>13</v>
      </c>
      <c r="O2" s="26" t="s">
        <v>14</v>
      </c>
      <c r="P2" s="26" t="s">
        <v>15</v>
      </c>
      <c r="Q2" s="26" t="s">
        <v>16</v>
      </c>
      <c r="R2" s="30" t="s">
        <v>22</v>
      </c>
    </row>
    <row r="3" spans="1:18" ht="16.5" x14ac:dyDescent="0.25">
      <c r="A3" s="27">
        <v>182979</v>
      </c>
      <c r="B3" s="27" t="s">
        <v>46</v>
      </c>
      <c r="C3" s="27" t="s">
        <v>23</v>
      </c>
      <c r="D3" s="27">
        <v>720</v>
      </c>
      <c r="E3" s="27">
        <v>1440</v>
      </c>
      <c r="F3" s="27">
        <v>1260</v>
      </c>
      <c r="G3" s="27">
        <v>720</v>
      </c>
      <c r="H3" s="27">
        <v>4140</v>
      </c>
      <c r="I3" s="27">
        <v>726</v>
      </c>
      <c r="J3" s="27">
        <v>1452</v>
      </c>
      <c r="K3" s="27">
        <v>1278</v>
      </c>
      <c r="L3" s="27">
        <v>726</v>
      </c>
      <c r="M3" s="27">
        <v>4182</v>
      </c>
      <c r="N3" s="27">
        <f t="shared" ref="N3:R5" si="0">I3-D3</f>
        <v>6</v>
      </c>
      <c r="O3" s="27">
        <f t="shared" si="0"/>
        <v>12</v>
      </c>
      <c r="P3" s="27">
        <f t="shared" si="0"/>
        <v>18</v>
      </c>
      <c r="Q3" s="27">
        <f t="shared" si="0"/>
        <v>6</v>
      </c>
      <c r="R3" s="31">
        <f t="shared" si="0"/>
        <v>42</v>
      </c>
    </row>
    <row r="4" spans="1:18" ht="16.5" x14ac:dyDescent="0.25">
      <c r="A4" s="27"/>
      <c r="B4" s="27" t="s">
        <v>26</v>
      </c>
      <c r="C4" s="27"/>
      <c r="D4" s="27">
        <v>720</v>
      </c>
      <c r="E4" s="27">
        <v>1440</v>
      </c>
      <c r="F4" s="27">
        <v>1260</v>
      </c>
      <c r="G4" s="27">
        <v>720</v>
      </c>
      <c r="H4" s="27">
        <v>4140</v>
      </c>
      <c r="I4" s="27">
        <v>727</v>
      </c>
      <c r="J4" s="27">
        <v>1457</v>
      </c>
      <c r="K4" s="27">
        <v>1279</v>
      </c>
      <c r="L4" s="27">
        <v>727</v>
      </c>
      <c r="M4" s="27">
        <v>4190</v>
      </c>
      <c r="N4" s="27">
        <f t="shared" si="0"/>
        <v>7</v>
      </c>
      <c r="O4" s="27">
        <f t="shared" si="0"/>
        <v>17</v>
      </c>
      <c r="P4" s="27">
        <f t="shared" si="0"/>
        <v>19</v>
      </c>
      <c r="Q4" s="27">
        <f t="shared" si="0"/>
        <v>7</v>
      </c>
      <c r="R4" s="31">
        <f t="shared" si="0"/>
        <v>50</v>
      </c>
    </row>
    <row r="5" spans="1:18" ht="16.5" x14ac:dyDescent="0.25">
      <c r="A5" s="27"/>
      <c r="B5" s="27" t="s">
        <v>57</v>
      </c>
      <c r="C5" s="27"/>
      <c r="D5" s="27">
        <v>720</v>
      </c>
      <c r="E5" s="27">
        <v>1440</v>
      </c>
      <c r="F5" s="27">
        <v>1260</v>
      </c>
      <c r="G5" s="27">
        <v>720</v>
      </c>
      <c r="H5" s="27">
        <v>4140</v>
      </c>
      <c r="I5" s="27">
        <v>727</v>
      </c>
      <c r="J5" s="27">
        <v>1451</v>
      </c>
      <c r="K5" s="27">
        <v>1271</v>
      </c>
      <c r="L5" s="27">
        <v>726</v>
      </c>
      <c r="M5" s="27">
        <v>4175</v>
      </c>
      <c r="N5" s="27">
        <f t="shared" si="0"/>
        <v>7</v>
      </c>
      <c r="O5" s="27">
        <f t="shared" si="0"/>
        <v>11</v>
      </c>
      <c r="P5" s="27">
        <f t="shared" si="0"/>
        <v>11</v>
      </c>
      <c r="Q5" s="27">
        <f t="shared" si="0"/>
        <v>6</v>
      </c>
      <c r="R5" s="31">
        <f t="shared" si="0"/>
        <v>35</v>
      </c>
    </row>
    <row r="6" spans="1:18" ht="16.5" x14ac:dyDescent="0.25">
      <c r="A6" s="25"/>
      <c r="B6" s="25" t="s">
        <v>11</v>
      </c>
      <c r="C6" s="25"/>
      <c r="D6" s="25">
        <f t="shared" ref="D6:R6" si="1">SUM(D3:D5)</f>
        <v>2160</v>
      </c>
      <c r="E6" s="25">
        <f t="shared" si="1"/>
        <v>4320</v>
      </c>
      <c r="F6" s="25">
        <f t="shared" si="1"/>
        <v>3780</v>
      </c>
      <c r="G6" s="25">
        <f t="shared" si="1"/>
        <v>2160</v>
      </c>
      <c r="H6" s="25">
        <f t="shared" si="1"/>
        <v>12420</v>
      </c>
      <c r="I6" s="25">
        <f t="shared" si="1"/>
        <v>2180</v>
      </c>
      <c r="J6" s="25">
        <f t="shared" si="1"/>
        <v>4360</v>
      </c>
      <c r="K6" s="25">
        <f t="shared" si="1"/>
        <v>3828</v>
      </c>
      <c r="L6" s="25">
        <f t="shared" si="1"/>
        <v>2179</v>
      </c>
      <c r="M6" s="25">
        <f t="shared" si="1"/>
        <v>12547</v>
      </c>
      <c r="N6" s="25">
        <f t="shared" si="1"/>
        <v>20</v>
      </c>
      <c r="O6" s="25">
        <f t="shared" si="1"/>
        <v>40</v>
      </c>
      <c r="P6" s="25">
        <f t="shared" si="1"/>
        <v>48</v>
      </c>
      <c r="Q6" s="25">
        <f t="shared" si="1"/>
        <v>19</v>
      </c>
      <c r="R6" s="29">
        <f t="shared" si="1"/>
        <v>127</v>
      </c>
    </row>
    <row r="7" spans="1:18" x14ac:dyDescent="0.25">
      <c r="A7" s="28"/>
      <c r="B7" s="28"/>
      <c r="C7" s="28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32"/>
    </row>
    <row r="8" spans="1:18" ht="16.5" x14ac:dyDescent="0.25">
      <c r="A8" s="25"/>
      <c r="B8" s="25"/>
      <c r="C8" s="25"/>
      <c r="D8" s="33" t="s">
        <v>17</v>
      </c>
      <c r="E8" s="33"/>
      <c r="F8" s="33"/>
      <c r="G8" s="33"/>
      <c r="H8" s="33"/>
      <c r="I8" s="33" t="s">
        <v>80</v>
      </c>
      <c r="J8" s="33"/>
      <c r="K8" s="33"/>
      <c r="L8" s="33"/>
      <c r="M8" s="33"/>
      <c r="N8" s="33" t="s">
        <v>81</v>
      </c>
      <c r="O8" s="33"/>
      <c r="P8" s="33"/>
      <c r="Q8" s="33"/>
      <c r="R8" s="34"/>
    </row>
    <row r="9" spans="1:18" x14ac:dyDescent="0.25">
      <c r="A9" s="26" t="s">
        <v>19</v>
      </c>
      <c r="B9" s="26" t="s">
        <v>8</v>
      </c>
      <c r="C9" s="26" t="s">
        <v>12</v>
      </c>
      <c r="D9" s="26" t="s">
        <v>13</v>
      </c>
      <c r="E9" s="26" t="s">
        <v>14</v>
      </c>
      <c r="F9" s="26" t="s">
        <v>15</v>
      </c>
      <c r="G9" s="26" t="s">
        <v>16</v>
      </c>
      <c r="H9" s="26" t="s">
        <v>22</v>
      </c>
      <c r="I9" s="26" t="s">
        <v>13</v>
      </c>
      <c r="J9" s="26" t="s">
        <v>14</v>
      </c>
      <c r="K9" s="26" t="s">
        <v>15</v>
      </c>
      <c r="L9" s="26" t="s">
        <v>16</v>
      </c>
      <c r="M9" s="26" t="s">
        <v>22</v>
      </c>
      <c r="N9" s="26" t="s">
        <v>13</v>
      </c>
      <c r="O9" s="26" t="s">
        <v>14</v>
      </c>
      <c r="P9" s="26" t="s">
        <v>15</v>
      </c>
      <c r="Q9" s="26" t="s">
        <v>16</v>
      </c>
      <c r="R9" s="30" t="s">
        <v>22</v>
      </c>
    </row>
    <row r="10" spans="1:18" ht="16.5" x14ac:dyDescent="0.25">
      <c r="A10" s="27">
        <v>183014</v>
      </c>
      <c r="B10" s="27" t="s">
        <v>24</v>
      </c>
      <c r="C10" s="27" t="s">
        <v>35</v>
      </c>
      <c r="D10" s="27">
        <v>648</v>
      </c>
      <c r="E10" s="27">
        <v>1548</v>
      </c>
      <c r="F10" s="27">
        <v>1440</v>
      </c>
      <c r="G10" s="27">
        <v>612</v>
      </c>
      <c r="H10" s="27">
        <v>4248</v>
      </c>
      <c r="I10" s="27">
        <v>648</v>
      </c>
      <c r="J10" s="27">
        <v>1551</v>
      </c>
      <c r="K10" s="27">
        <v>1440</v>
      </c>
      <c r="L10" s="27">
        <v>612</v>
      </c>
      <c r="M10" s="27">
        <v>4251</v>
      </c>
      <c r="N10" s="27">
        <f t="shared" ref="N10:R12" si="2">I10-D10</f>
        <v>0</v>
      </c>
      <c r="O10" s="27">
        <f t="shared" si="2"/>
        <v>3</v>
      </c>
      <c r="P10" s="27">
        <f t="shared" si="2"/>
        <v>0</v>
      </c>
      <c r="Q10" s="27">
        <f t="shared" si="2"/>
        <v>0</v>
      </c>
      <c r="R10" s="31">
        <f t="shared" si="2"/>
        <v>3</v>
      </c>
    </row>
    <row r="11" spans="1:18" ht="16.5" x14ac:dyDescent="0.25">
      <c r="A11" s="27"/>
      <c r="B11" s="27" t="s">
        <v>37</v>
      </c>
      <c r="C11" s="27"/>
      <c r="D11" s="27">
        <v>648</v>
      </c>
      <c r="E11" s="27">
        <v>1548</v>
      </c>
      <c r="F11" s="27">
        <v>1440</v>
      </c>
      <c r="G11" s="27">
        <v>612</v>
      </c>
      <c r="H11" s="27">
        <v>4248</v>
      </c>
      <c r="I11" s="27">
        <v>644</v>
      </c>
      <c r="J11" s="27">
        <v>1472</v>
      </c>
      <c r="K11" s="27">
        <v>1391</v>
      </c>
      <c r="L11" s="27">
        <v>617</v>
      </c>
      <c r="M11" s="27">
        <v>4124</v>
      </c>
      <c r="N11" s="27">
        <f t="shared" si="2"/>
        <v>-4</v>
      </c>
      <c r="O11" s="27">
        <f t="shared" si="2"/>
        <v>-76</v>
      </c>
      <c r="P11" s="27">
        <f t="shared" si="2"/>
        <v>-49</v>
      </c>
      <c r="Q11" s="27">
        <f t="shared" si="2"/>
        <v>5</v>
      </c>
      <c r="R11" s="31">
        <f t="shared" si="2"/>
        <v>-124</v>
      </c>
    </row>
    <row r="12" spans="1:18" ht="16.5" x14ac:dyDescent="0.25">
      <c r="A12" s="27"/>
      <c r="B12" s="27" t="s">
        <v>25</v>
      </c>
      <c r="C12" s="27"/>
      <c r="D12" s="27">
        <v>648</v>
      </c>
      <c r="E12" s="27">
        <v>1548</v>
      </c>
      <c r="F12" s="27">
        <v>1440</v>
      </c>
      <c r="G12" s="27">
        <v>612</v>
      </c>
      <c r="H12" s="27">
        <v>4248</v>
      </c>
      <c r="I12" s="27">
        <v>648</v>
      </c>
      <c r="J12" s="27">
        <v>1550</v>
      </c>
      <c r="K12" s="27">
        <v>1440</v>
      </c>
      <c r="L12" s="27">
        <v>612</v>
      </c>
      <c r="M12" s="27">
        <v>4250</v>
      </c>
      <c r="N12" s="27">
        <f t="shared" si="2"/>
        <v>0</v>
      </c>
      <c r="O12" s="27">
        <f t="shared" si="2"/>
        <v>2</v>
      </c>
      <c r="P12" s="27">
        <f t="shared" si="2"/>
        <v>0</v>
      </c>
      <c r="Q12" s="27">
        <f t="shared" si="2"/>
        <v>0</v>
      </c>
      <c r="R12" s="31">
        <f t="shared" si="2"/>
        <v>2</v>
      </c>
    </row>
    <row r="13" spans="1:18" ht="16.5" x14ac:dyDescent="0.25">
      <c r="A13" s="25"/>
      <c r="B13" s="25" t="s">
        <v>11</v>
      </c>
      <c r="C13" s="25"/>
      <c r="D13" s="25">
        <f t="shared" ref="D13:R13" si="3">SUM(D10:D12)</f>
        <v>1944</v>
      </c>
      <c r="E13" s="25">
        <f t="shared" si="3"/>
        <v>4644</v>
      </c>
      <c r="F13" s="25">
        <f t="shared" si="3"/>
        <v>4320</v>
      </c>
      <c r="G13" s="25">
        <f t="shared" si="3"/>
        <v>1836</v>
      </c>
      <c r="H13" s="25">
        <f t="shared" si="3"/>
        <v>12744</v>
      </c>
      <c r="I13" s="25">
        <f t="shared" si="3"/>
        <v>1940</v>
      </c>
      <c r="J13" s="25">
        <f t="shared" si="3"/>
        <v>4573</v>
      </c>
      <c r="K13" s="25">
        <f t="shared" si="3"/>
        <v>4271</v>
      </c>
      <c r="L13" s="25">
        <f t="shared" si="3"/>
        <v>1841</v>
      </c>
      <c r="M13" s="25">
        <f t="shared" si="3"/>
        <v>12625</v>
      </c>
      <c r="N13" s="25">
        <f t="shared" si="3"/>
        <v>-4</v>
      </c>
      <c r="O13" s="25">
        <f t="shared" si="3"/>
        <v>-71</v>
      </c>
      <c r="P13" s="25">
        <f t="shared" si="3"/>
        <v>-49</v>
      </c>
      <c r="Q13" s="25">
        <f t="shared" si="3"/>
        <v>5</v>
      </c>
      <c r="R13" s="29">
        <f t="shared" si="3"/>
        <v>-119</v>
      </c>
    </row>
  </sheetData>
  <mergeCells count="6">
    <mergeCell ref="D1:H1"/>
    <mergeCell ref="I1:M1"/>
    <mergeCell ref="N1:R1"/>
    <mergeCell ref="D8:H8"/>
    <mergeCell ref="I8:M8"/>
    <mergeCell ref="N8:R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HOME</vt:lpstr>
      <vt:lpstr>GELARAN</vt:lpstr>
      <vt:lpstr>RESUME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2024-06-28T02:11:31Z</dcterms:created>
  <dcterms:modified xsi:type="dcterms:W3CDTF">2024-07-17T07:07:53Z</dcterms:modified>
</cp:coreProperties>
</file>