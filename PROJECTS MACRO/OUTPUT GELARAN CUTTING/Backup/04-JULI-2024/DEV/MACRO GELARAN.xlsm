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OUTPUT GELARAN CUTTING\Backup\04-JULI-2024\DEV\"/>
    </mc:Choice>
  </mc:AlternateContent>
  <xr:revisionPtr revIDLastSave="0" documentId="13_ncr:1_{09D75412-7164-4FC2-9A05-D2091D8E902E}" xr6:coauthVersionLast="47" xr6:coauthVersionMax="47" xr10:uidLastSave="{00000000-0000-0000-0000-000000000000}"/>
  <bookViews>
    <workbookView xWindow="-120" yWindow="-120" windowWidth="20730" windowHeight="11160" xr2:uid="{C38BC23B-03ED-48B4-AB65-46AE9451C958}"/>
  </bookViews>
  <sheets>
    <sheet name="HOME" sheetId="1" r:id="rId1"/>
    <sheet name="GELARAN" sheetId="68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7" i="682" l="1"/>
  <c r="J7" i="682"/>
  <c r="K7" i="682"/>
  <c r="L7" i="682"/>
  <c r="M7" i="682"/>
  <c r="I14" i="682"/>
  <c r="J14" i="682"/>
  <c r="K14" i="682"/>
  <c r="L14" i="682"/>
  <c r="M14" i="682"/>
  <c r="I20" i="682"/>
  <c r="J20" i="682"/>
  <c r="K20" i="682"/>
  <c r="L20" i="682"/>
  <c r="M20" i="682"/>
  <c r="I28" i="682"/>
  <c r="J28" i="682"/>
  <c r="K28" i="682"/>
  <c r="L28" i="682"/>
  <c r="M28" i="682"/>
  <c r="I36" i="682"/>
  <c r="J36" i="682"/>
  <c r="I42" i="682"/>
  <c r="J42" i="682"/>
  <c r="I48" i="682"/>
  <c r="J48" i="682"/>
  <c r="I56" i="682"/>
  <c r="J56" i="682"/>
  <c r="K56" i="682"/>
  <c r="L56" i="682"/>
  <c r="M56" i="682"/>
  <c r="I65" i="682"/>
  <c r="J65" i="682"/>
  <c r="K65" i="682"/>
  <c r="L65" i="682"/>
  <c r="M65" i="682"/>
  <c r="I74" i="682"/>
  <c r="J74" i="682"/>
  <c r="K74" i="682"/>
  <c r="L74" i="682"/>
  <c r="M74" i="682"/>
  <c r="I82" i="682"/>
  <c r="J82" i="682"/>
  <c r="K82" i="682"/>
  <c r="L82" i="682"/>
  <c r="M82" i="682"/>
  <c r="I88" i="682"/>
  <c r="J88" i="682"/>
  <c r="K88" i="682"/>
  <c r="L88" i="682"/>
  <c r="M88" i="682"/>
  <c r="I96" i="682"/>
  <c r="J96" i="682"/>
  <c r="K96" i="682"/>
  <c r="L96" i="682"/>
  <c r="M96" i="682"/>
</calcChain>
</file>

<file path=xl/sharedStrings.xml><?xml version="1.0" encoding="utf-8"?>
<sst xmlns="http://schemas.openxmlformats.org/spreadsheetml/2006/main" count="275" uniqueCount="81">
  <si>
    <t>PATH FILE</t>
  </si>
  <si>
    <t>NAMA FILE</t>
  </si>
  <si>
    <t>\\10.8.0.35\Bersama\IT\RPA Produksi\OUTPUT GELARAN CUTTING\1204</t>
  </si>
  <si>
    <t>.xlsx</t>
  </si>
  <si>
    <t>ITEM</t>
  </si>
  <si>
    <t>ARTICLE</t>
  </si>
  <si>
    <t>PO-0000249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</si>
  <si>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</si>
  <si>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</si>
  <si>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</si>
  <si>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</si>
  <si>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</si>
  <si>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</si>
  <si>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</si>
  <si>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</si>
  <si>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</si>
  <si>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</si>
  <si>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</si>
  <si>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2024-07-19</t>
  </si>
  <si>
    <t>BALANCE</t>
  </si>
  <si>
    <t>WO</t>
  </si>
  <si>
    <t>TGL GELAR</t>
  </si>
  <si>
    <t>RASIO</t>
  </si>
  <si>
    <t>QTY</t>
  </si>
  <si>
    <t>PO-0000248</t>
  </si>
  <si>
    <t>2024-07-12</t>
  </si>
  <si>
    <t>ADIDAS BRF, 5158619</t>
  </si>
  <si>
    <t>PO-0000247</t>
  </si>
  <si>
    <t>BETTER SCARLET</t>
  </si>
  <si>
    <t>2,9,9,6</t>
  </si>
  <si>
    <t>BLACK</t>
  </si>
  <si>
    <t>ONIX</t>
  </si>
  <si>
    <t>XXL</t>
  </si>
  <si>
    <t>GREY</t>
  </si>
  <si>
    <t>LEGEND INK</t>
  </si>
  <si>
    <t>2024-07-05</t>
  </si>
  <si>
    <t>ADIDAS BRF, 5157977</t>
  </si>
  <si>
    <t>PO-0000189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</si>
  <si>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</si>
  <si>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</si>
  <si>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\\10.8.0.35\Bersama\IT\RPA Produksi\OUTPUT GELARAN CUTTING\Results</t>
  </si>
  <si>
    <t>Tarikan Gelaran GCC</t>
  </si>
  <si>
    <t>Resume Output Gelaran Cutting</t>
  </si>
  <si>
    <t>BLUE</t>
  </si>
  <si>
    <t>ADIDAS BRF, 5158613</t>
  </si>
  <si>
    <t>2024-07-02 09:10:37</t>
  </si>
  <si>
    <t>4,14,16,8</t>
  </si>
  <si>
    <t>2024-07-02 16:14:32</t>
  </si>
  <si>
    <t>8,9,0,0</t>
  </si>
  <si>
    <t>2024-07-02 07:38:08</t>
  </si>
  <si>
    <t>2024-07-02 16:04:25</t>
  </si>
  <si>
    <t>2024-07-02 16:04:43</t>
  </si>
  <si>
    <t>2024-07-02 07:24:04</t>
  </si>
  <si>
    <t>4,8,7,5</t>
  </si>
  <si>
    <t>ADIDAS BRF, 5158599XXL</t>
  </si>
  <si>
    <t>2024-07-02 13:30:50</t>
  </si>
  <si>
    <t>2024-07-02 13:31:20</t>
  </si>
  <si>
    <t>NAVY</t>
  </si>
  <si>
    <t>2024-07-02 13:31:43</t>
  </si>
  <si>
    <t>ADIDAS BRF, 5158584</t>
  </si>
  <si>
    <t>BEIGE</t>
  </si>
  <si>
    <t>2024-07-02 17:13:28</t>
  </si>
  <si>
    <t>4,9,9,4</t>
  </si>
  <si>
    <t>ADIDAS BRF, 5158614</t>
  </si>
  <si>
    <t>2024-07-02 13:29:18</t>
  </si>
  <si>
    <t>0,1,1,0</t>
  </si>
  <si>
    <t>2024-07-02 13:29:40</t>
  </si>
  <si>
    <t>0,2,0,1</t>
  </si>
  <si>
    <t>ADIDAS BRF, 5158596</t>
  </si>
  <si>
    <t>2024-07-02 10:24:38</t>
  </si>
  <si>
    <t>0,2,2,0</t>
  </si>
  <si>
    <t>2024-07-02 10:24:57</t>
  </si>
  <si>
    <t>1,0,0,2</t>
  </si>
  <si>
    <t>2024-07-02 07:59:02</t>
  </si>
  <si>
    <t>2024-07-02 20:00:51</t>
  </si>
  <si>
    <t>PO-0000191</t>
  </si>
  <si>
    <t>LUCID BLUE-LEGEND IN</t>
  </si>
  <si>
    <t>2024-07-02 14:26:13</t>
  </si>
  <si>
    <t>1,1,2,1</t>
  </si>
  <si>
    <t>%actual</t>
  </si>
  <si>
    <t>QTY LEMBAR RASIO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</si>
</sst>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%;[Red]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25433E"/>
        <bgColor rgb="FFF7EFFF"/>
      </patternFill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1" fillId="0" borderId="5" xfId="1" applyBorder="1"/>
    <xf numFmtId="0" fontId="0" fillId="0" borderId="5" xfId="0" applyBorder="1"/>
    <xf numFmtId="0" fontId="2" fillId="5" borderId="5" xfId="0" applyFont="1" applyFill="1" applyBorder="1"/>
    <xf numFmtId="0" fontId="6" fillId="0" borderId="0" xfId="0" applyFont="1"/>
    <xf numFmtId="0" fontId="0" fillId="0" borderId="6" xfId="0" applyBorder="1"/>
    <xf numFmtId="0" fontId="3" fillId="7" borderId="3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165" fontId="3" fillId="7" borderId="3" xfId="0" applyNumberFormat="1" applyFont="1" applyFill="1" applyBorder="1" applyAlignment="1">
      <alignment horizontal="center" vertical="center"/>
    </xf>
    <xf numFmtId="165" fontId="3" fillId="7" borderId="7" xfId="0" applyNumberFormat="1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CCFF"/>
      <color rgb="FFFF0066"/>
      <color rgb="FF22463D"/>
      <color rgb="FF34A7B6"/>
      <color rgb="FF25433E"/>
      <color rgb="FF234345"/>
      <color rgb="FF9BCED5"/>
      <color rgb="FFE4F0F1"/>
      <color rgb="FF93C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152401</xdr:colOff>
      <xdr:row>4</xdr:row>
      <xdr:rowOff>76199</xdr:rowOff>
    </xdr:from>
    <xdr:to>
      <xdr:col>1</xdr:col>
      <xdr:colOff>981075</xdr:colOff>
      <xdr:row>6</xdr:row>
      <xdr:rowOff>76200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52401" y="838199"/>
          <a:ext cx="1714499" cy="381001"/>
        </a:xfrm>
        <a:prstGeom prst="hexagon">
          <a:avLst/>
        </a:prstGeom>
        <a:solidFill>
          <a:schemeClr val="tx2">
            <a:lumMod val="75000"/>
          </a:schemeClr>
        </a:solidFill>
        <a:ln>
          <a:solidFill>
            <a:srgbClr val="00CCFF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" TargetMode="External"/><Relationship Id="rId1" Type="http://schemas.openxmlformats.org/officeDocument/2006/relationships/hyperlink" Target="..\120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8EEC99"/>
  </sheetPr>
  <dimension ref="A2:G10"/>
  <sheetViews>
    <sheetView showGridLines="0" tabSelected="1" workbookViewId="0"/>
  </sheetViews>
  <sheetFormatPr defaultRowHeight="15" x14ac:dyDescent="0.25"/>
  <cols>
    <col min="1" max="1" width="13.28515625" customWidth="1"/>
    <col min="2" max="2" width="16.5703125" customWidth="1"/>
    <col min="3" max="3" width="3.7109375" customWidth="1"/>
    <col min="4" max="4" width="68" bestFit="1" customWidth="1"/>
    <col min="5" max="5" width="29.7109375" bestFit="1" customWidth="1"/>
    <col min="6" max="6" width="5" bestFit="1" customWidth="1"/>
    <col min="7" max="7" width="3.28515625" customWidth="1"/>
  </cols>
  <sheetData>
    <row r="2" spans="1:7" x14ac:dyDescent="0.25">
      <c r="A2" s="12" t="s">
        <v>39</v>
      </c>
    </row>
    <row r="5" spans="1:7" x14ac:dyDescent="0.25">
      <c r="D5" s="8" t="s">
        <v>0</v>
      </c>
      <c r="E5" s="8" t="s">
        <v>1</v>
      </c>
      <c r="F5" s="8" t="s">
        <v>38</v>
      </c>
    </row>
    <row r="6" spans="1:7" x14ac:dyDescent="0.25">
      <c r="D6" s="9" t="s">
        <v>2</v>
      </c>
      <c r="E6" s="10" t="s">
        <v>41</v>
      </c>
      <c r="F6" s="11" t="s">
        <v>3</v>
      </c>
    </row>
    <row r="7" spans="1:7" x14ac:dyDescent="0.25">
      <c r="D7" s="9" t="s">
        <v>40</v>
      </c>
      <c r="E7" s="10" t="s">
        <v>42</v>
      </c>
      <c r="F7" s="11" t="s">
        <v>3</v>
      </c>
    </row>
    <row r="9" spans="1:7" ht="15.75" thickBot="1" x14ac:dyDescent="0.3">
      <c r="C9" s="13"/>
      <c r="D9" s="13"/>
      <c r="E9" s="13"/>
      <c r="F9" s="13"/>
      <c r="G9" s="13"/>
    </row>
    <row r="10" spans="1:7" ht="15.75" thickTop="1" x14ac:dyDescent="0.25"/>
  </sheetData>
  <hyperlinks>
    <hyperlink ref="D6" r:id="rId1" xr:uid="{50087FA7-5311-4811-A424-18D253C37BF3}"/>
    <hyperlink ref="D7" r:id="rId2" xr:uid="{7318E73E-61C9-49FC-98F6-B13435BA0533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A017B-74B7-4D06-B873-E6BCD3323B73}">
  <sheetPr codeName="Sheet143">
    <tabColor rgb="FFA5AE46"/>
  </sheetPr>
  <dimension ref="A1:O98"/>
  <sheetViews>
    <sheetView zoomScale="90" zoomScaleNormal="90" workbookViewId="0"/>
  </sheetViews>
  <sheetFormatPr defaultRowHeight="16.5" x14ac:dyDescent="0.25"/>
  <cols>
    <col min="1" max="1" width="9.85546875" style="1" customWidth="1"/>
    <col min="2" max="2" width="9.28515625" style="1" customWidth="1"/>
    <col min="3" max="3" width="23.5703125" style="1" customWidth="1"/>
    <col min="4" max="4" width="12.42578125" style="1" customWidth="1"/>
    <col min="5" max="5" width="27.5703125" style="1" customWidth="1"/>
    <col min="6" max="6" width="14.42578125" style="1" customWidth="1"/>
    <col min="7" max="7" width="25.85546875" style="1" customWidth="1"/>
    <col min="8" max="8" width="12.140625" style="1" customWidth="1"/>
    <col min="9" max="10" width="14.28515625" style="1" customWidth="1"/>
    <col min="11" max="11" width="18.28515625" style="1" customWidth="1"/>
    <col min="12" max="12" width="24.140625" style="1" customWidth="1"/>
    <col min="13" max="13" width="14.28515625" style="1" customWidth="1"/>
    <col min="14" max="14" width="18.28515625" style="1" customWidth="1"/>
    <col min="15" max="15" width="24.140625" style="1" customWidth="1"/>
    <col min="16" max="16384" width="9.140625" style="1"/>
  </cols>
  <sheetData>
    <row r="1" spans="1:15" ht="17.45" customHeight="1" x14ac:dyDescent="0.25">
      <c r="A1" s="5" t="s">
        <v>20</v>
      </c>
      <c r="B1" s="5" t="s">
        <v>9</v>
      </c>
      <c r="C1" s="5" t="s">
        <v>21</v>
      </c>
      <c r="D1" s="5" t="s">
        <v>22</v>
      </c>
      <c r="E1" s="5" t="s">
        <v>4</v>
      </c>
      <c r="F1" s="5" t="s">
        <v>5</v>
      </c>
      <c r="G1" s="5" t="s">
        <v>8</v>
      </c>
      <c r="H1" s="5" t="s">
        <v>10</v>
      </c>
      <c r="I1" s="5" t="s">
        <v>13</v>
      </c>
      <c r="J1" s="5" t="s">
        <v>14</v>
      </c>
      <c r="K1" s="5" t="s">
        <v>15</v>
      </c>
      <c r="L1" s="5" t="s">
        <v>16</v>
      </c>
      <c r="M1" s="5" t="s">
        <v>23</v>
      </c>
      <c r="N1" s="5" t="s">
        <v>12</v>
      </c>
      <c r="O1" s="2" t="s">
        <v>80</v>
      </c>
    </row>
    <row r="2" spans="1:15" x14ac:dyDescent="0.25">
      <c r="A2" s="6">
        <v>183021</v>
      </c>
      <c r="B2" s="6"/>
      <c r="C2" s="6"/>
      <c r="D2" s="6"/>
      <c r="E2" s="6" t="s">
        <v>44</v>
      </c>
      <c r="F2" s="6" t="s">
        <v>6</v>
      </c>
      <c r="G2" s="6" t="s">
        <v>33</v>
      </c>
      <c r="H2" s="6" t="s">
        <v>17</v>
      </c>
      <c r="I2" s="6">
        <v>540</v>
      </c>
      <c r="J2" s="6">
        <v>1548</v>
      </c>
      <c r="K2" s="6">
        <v>1584</v>
      </c>
      <c r="L2" s="6">
        <v>792</v>
      </c>
      <c r="M2" s="6">
        <v>4464</v>
      </c>
      <c r="N2" s="6" t="s">
        <v>25</v>
      </c>
      <c r="O2" s="3"/>
    </row>
    <row r="3" spans="1:15" x14ac:dyDescent="0.25">
      <c r="A3" s="7"/>
      <c r="B3" s="7"/>
      <c r="C3" s="7"/>
      <c r="D3" s="7"/>
      <c r="E3" s="7"/>
      <c r="F3" s="7"/>
      <c r="G3" s="7"/>
      <c r="H3" s="7" t="s">
        <v>7</v>
      </c>
      <c r="I3" s="7">
        <v>540</v>
      </c>
      <c r="J3" s="7">
        <v>1548</v>
      </c>
      <c r="K3" s="7">
        <v>1584</v>
      </c>
      <c r="L3" s="7">
        <v>792</v>
      </c>
      <c r="M3" s="7">
        <v>4464</v>
      </c>
      <c r="N3" s="7"/>
      <c r="O3" s="4"/>
    </row>
    <row r="4" spans="1:15" x14ac:dyDescent="0.25">
      <c r="A4" s="6"/>
      <c r="B4" s="6">
        <v>1</v>
      </c>
      <c r="C4" s="6" t="s">
        <v>45</v>
      </c>
      <c r="D4" s="6" t="s">
        <v>46</v>
      </c>
      <c r="E4" s="6"/>
      <c r="F4" s="6"/>
      <c r="G4" s="6"/>
      <c r="H4" s="6"/>
      <c r="I4" s="6">
        <v>328</v>
      </c>
      <c r="J4" s="6">
        <v>1148</v>
      </c>
      <c r="K4" s="6">
        <v>1312</v>
      </c>
      <c r="L4" s="6">
        <v>656</v>
      </c>
      <c r="M4" s="6">
        <v>3444</v>
      </c>
      <c r="N4" s="6"/>
      <c r="O4" s="3">
        <v>82</v>
      </c>
    </row>
    <row r="5" spans="1:15" x14ac:dyDescent="0.25">
      <c r="A5" s="7"/>
      <c r="B5" s="7">
        <v>3</v>
      </c>
      <c r="C5" s="7" t="s">
        <v>47</v>
      </c>
      <c r="D5" s="7" t="s">
        <v>48</v>
      </c>
      <c r="E5" s="7"/>
      <c r="F5" s="7"/>
      <c r="G5" s="7"/>
      <c r="H5" s="7"/>
      <c r="I5" s="7">
        <v>144</v>
      </c>
      <c r="J5" s="7">
        <v>162</v>
      </c>
      <c r="K5" s="7">
        <v>0</v>
      </c>
      <c r="L5" s="7">
        <v>0</v>
      </c>
      <c r="M5" s="7">
        <v>306</v>
      </c>
      <c r="N5" s="7"/>
      <c r="O5" s="4">
        <v>18</v>
      </c>
    </row>
    <row r="6" spans="1:15" x14ac:dyDescent="0.25">
      <c r="A6" s="6"/>
      <c r="B6" s="6"/>
      <c r="C6" s="6"/>
      <c r="D6" s="6"/>
      <c r="E6" s="6"/>
      <c r="F6" s="6"/>
      <c r="G6" s="6"/>
      <c r="H6" s="6" t="s">
        <v>11</v>
      </c>
      <c r="I6" s="6">
        <v>472</v>
      </c>
      <c r="J6" s="6">
        <v>1310</v>
      </c>
      <c r="K6" s="6">
        <v>1312</v>
      </c>
      <c r="L6" s="6">
        <v>656</v>
      </c>
      <c r="M6" s="6">
        <v>3750</v>
      </c>
      <c r="N6" s="6"/>
      <c r="O6" s="3"/>
    </row>
    <row r="7" spans="1:15" ht="17.45" customHeight="1" x14ac:dyDescent="0.25">
      <c r="A7" s="14"/>
      <c r="B7" s="14"/>
      <c r="C7" s="14"/>
      <c r="D7" s="14"/>
      <c r="E7" s="14"/>
      <c r="F7" s="14"/>
      <c r="G7" s="14"/>
      <c r="H7" s="14" t="s">
        <v>79</v>
      </c>
      <c r="I7" s="20">
        <f t="shared" ref="I7:M7" si="0">IFERROR((I6/I2)-1,"Qty Order 0")</f>
        <v>-0.12592592592592589</v>
      </c>
      <c r="J7" s="20">
        <f t="shared" si="0"/>
        <v>-0.15374677002583981</v>
      </c>
      <c r="K7" s="20">
        <f t="shared" si="0"/>
        <v>-0.17171717171717171</v>
      </c>
      <c r="L7" s="20">
        <f t="shared" si="0"/>
        <v>-0.17171717171717171</v>
      </c>
      <c r="M7" s="20">
        <f t="shared" si="0"/>
        <v>-0.15994623655913975</v>
      </c>
      <c r="N7" s="14"/>
      <c r="O7" s="17"/>
    </row>
    <row r="8" spans="1:15" x14ac:dyDescent="0.25">
      <c r="A8" s="6"/>
      <c r="B8" s="6"/>
      <c r="C8" s="6"/>
      <c r="D8" s="6"/>
      <c r="E8" s="6"/>
      <c r="F8" s="6"/>
      <c r="G8" s="6"/>
      <c r="H8" s="6" t="s">
        <v>19</v>
      </c>
      <c r="I8" s="6">
        <v>-68</v>
      </c>
      <c r="J8" s="6">
        <v>-238</v>
      </c>
      <c r="K8" s="6">
        <v>-272</v>
      </c>
      <c r="L8" s="6">
        <v>-136</v>
      </c>
      <c r="M8" s="6">
        <v>-714</v>
      </c>
      <c r="N8" s="6"/>
      <c r="O8" s="3"/>
    </row>
    <row r="9" spans="1:15" x14ac:dyDescent="0.25">
      <c r="A9" s="7"/>
      <c r="B9" s="7"/>
      <c r="C9" s="7"/>
      <c r="D9" s="7"/>
      <c r="E9" s="7" t="s">
        <v>44</v>
      </c>
      <c r="F9" s="7" t="s">
        <v>6</v>
      </c>
      <c r="G9" s="7" t="s">
        <v>43</v>
      </c>
      <c r="H9" s="7" t="s">
        <v>17</v>
      </c>
      <c r="I9" s="7">
        <v>540</v>
      </c>
      <c r="J9" s="7">
        <v>1548</v>
      </c>
      <c r="K9" s="7">
        <v>1584</v>
      </c>
      <c r="L9" s="7">
        <v>792</v>
      </c>
      <c r="M9" s="7">
        <v>4464</v>
      </c>
      <c r="N9" s="7" t="s">
        <v>25</v>
      </c>
      <c r="O9" s="4"/>
    </row>
    <row r="10" spans="1:15" x14ac:dyDescent="0.25">
      <c r="A10" s="6"/>
      <c r="B10" s="6"/>
      <c r="C10" s="6"/>
      <c r="D10" s="6"/>
      <c r="E10" s="6"/>
      <c r="F10" s="6"/>
      <c r="G10" s="6"/>
      <c r="H10" s="6" t="s">
        <v>7</v>
      </c>
      <c r="I10" s="6">
        <v>540</v>
      </c>
      <c r="J10" s="6">
        <v>1548</v>
      </c>
      <c r="K10" s="6">
        <v>1584</v>
      </c>
      <c r="L10" s="6">
        <v>792</v>
      </c>
      <c r="M10" s="6">
        <v>4464</v>
      </c>
      <c r="N10" s="6"/>
      <c r="O10" s="3"/>
    </row>
    <row r="11" spans="1:15" x14ac:dyDescent="0.25">
      <c r="A11" s="7"/>
      <c r="B11" s="7">
        <v>1</v>
      </c>
      <c r="C11" s="7" t="s">
        <v>49</v>
      </c>
      <c r="D11" s="7" t="s">
        <v>46</v>
      </c>
      <c r="E11" s="7"/>
      <c r="F11" s="7"/>
      <c r="G11" s="7"/>
      <c r="H11" s="7"/>
      <c r="I11" s="7">
        <v>332</v>
      </c>
      <c r="J11" s="7">
        <v>1160</v>
      </c>
      <c r="K11" s="7">
        <v>1326</v>
      </c>
      <c r="L11" s="7">
        <v>662</v>
      </c>
      <c r="M11" s="7">
        <v>3480</v>
      </c>
      <c r="N11" s="7"/>
      <c r="O11" s="4">
        <v>83</v>
      </c>
    </row>
    <row r="12" spans="1:15" x14ac:dyDescent="0.25">
      <c r="A12" s="6"/>
      <c r="B12" s="6">
        <v>3</v>
      </c>
      <c r="C12" s="6" t="s">
        <v>50</v>
      </c>
      <c r="D12" s="6" t="s">
        <v>48</v>
      </c>
      <c r="E12" s="6"/>
      <c r="F12" s="6"/>
      <c r="G12" s="6"/>
      <c r="H12" s="6"/>
      <c r="I12" s="6">
        <v>32</v>
      </c>
      <c r="J12" s="6">
        <v>36</v>
      </c>
      <c r="K12" s="6">
        <v>0</v>
      </c>
      <c r="L12" s="6">
        <v>0</v>
      </c>
      <c r="M12" s="6">
        <v>68</v>
      </c>
      <c r="N12" s="6"/>
      <c r="O12" s="3">
        <v>4</v>
      </c>
    </row>
    <row r="13" spans="1:15" x14ac:dyDescent="0.25">
      <c r="A13" s="7"/>
      <c r="B13" s="7"/>
      <c r="C13" s="7"/>
      <c r="D13" s="7"/>
      <c r="E13" s="7"/>
      <c r="F13" s="7"/>
      <c r="G13" s="7"/>
      <c r="H13" s="7" t="s">
        <v>11</v>
      </c>
      <c r="I13" s="7">
        <v>364</v>
      </c>
      <c r="J13" s="7">
        <v>1196</v>
      </c>
      <c r="K13" s="7">
        <v>1326</v>
      </c>
      <c r="L13" s="7">
        <v>662</v>
      </c>
      <c r="M13" s="7">
        <v>3548</v>
      </c>
      <c r="N13" s="7"/>
      <c r="O13" s="4"/>
    </row>
    <row r="14" spans="1:15" ht="17.45" customHeight="1" x14ac:dyDescent="0.25">
      <c r="A14" s="14"/>
      <c r="B14" s="14"/>
      <c r="C14" s="14"/>
      <c r="D14" s="14"/>
      <c r="E14" s="14"/>
      <c r="F14" s="14"/>
      <c r="G14" s="14"/>
      <c r="H14" s="14" t="s">
        <v>79</v>
      </c>
      <c r="I14" s="20">
        <f t="shared" ref="I14:M14" si="1">IFERROR((I13/I9)-1,"Qty Order 0")</f>
        <v>-0.32592592592592595</v>
      </c>
      <c r="J14" s="20">
        <f t="shared" si="1"/>
        <v>-0.22739018087855301</v>
      </c>
      <c r="K14" s="20">
        <f t="shared" si="1"/>
        <v>-0.16287878787878785</v>
      </c>
      <c r="L14" s="20">
        <f t="shared" si="1"/>
        <v>-0.16414141414141414</v>
      </c>
      <c r="M14" s="20">
        <f t="shared" si="1"/>
        <v>-0.20519713261648742</v>
      </c>
      <c r="N14" s="14"/>
      <c r="O14" s="17"/>
    </row>
    <row r="15" spans="1:15" x14ac:dyDescent="0.25">
      <c r="A15" s="7"/>
      <c r="B15" s="7"/>
      <c r="C15" s="7"/>
      <c r="D15" s="7"/>
      <c r="E15" s="7"/>
      <c r="F15" s="7"/>
      <c r="G15" s="7"/>
      <c r="H15" s="7" t="s">
        <v>19</v>
      </c>
      <c r="I15" s="7">
        <v>-176</v>
      </c>
      <c r="J15" s="7">
        <v>-352</v>
      </c>
      <c r="K15" s="7">
        <v>-258</v>
      </c>
      <c r="L15" s="7">
        <v>-130</v>
      </c>
      <c r="M15" s="7">
        <v>-916</v>
      </c>
      <c r="N15" s="7"/>
      <c r="O15" s="4"/>
    </row>
    <row r="16" spans="1:15" x14ac:dyDescent="0.25">
      <c r="A16" s="6"/>
      <c r="B16" s="6"/>
      <c r="C16" s="6"/>
      <c r="D16" s="6"/>
      <c r="E16" s="6" t="s">
        <v>44</v>
      </c>
      <c r="F16" s="6" t="s">
        <v>6</v>
      </c>
      <c r="G16" s="6" t="s">
        <v>34</v>
      </c>
      <c r="H16" s="6" t="s">
        <v>17</v>
      </c>
      <c r="I16" s="6">
        <v>540</v>
      </c>
      <c r="J16" s="6">
        <v>1548</v>
      </c>
      <c r="K16" s="6">
        <v>1584</v>
      </c>
      <c r="L16" s="6">
        <v>792</v>
      </c>
      <c r="M16" s="6">
        <v>4464</v>
      </c>
      <c r="N16" s="6" t="s">
        <v>25</v>
      </c>
      <c r="O16" s="3"/>
    </row>
    <row r="17" spans="1:15" x14ac:dyDescent="0.25">
      <c r="A17" s="7"/>
      <c r="B17" s="7"/>
      <c r="C17" s="7"/>
      <c r="D17" s="7"/>
      <c r="E17" s="7"/>
      <c r="F17" s="7"/>
      <c r="G17" s="7"/>
      <c r="H17" s="7" t="s">
        <v>7</v>
      </c>
      <c r="I17" s="7">
        <v>540</v>
      </c>
      <c r="J17" s="7">
        <v>1548</v>
      </c>
      <c r="K17" s="7">
        <v>1584</v>
      </c>
      <c r="L17" s="7">
        <v>792</v>
      </c>
      <c r="M17" s="7">
        <v>4464</v>
      </c>
      <c r="N17" s="7"/>
      <c r="O17" s="4"/>
    </row>
    <row r="18" spans="1:15" x14ac:dyDescent="0.25">
      <c r="A18" s="6"/>
      <c r="B18" s="6">
        <v>3</v>
      </c>
      <c r="C18" s="6" t="s">
        <v>51</v>
      </c>
      <c r="D18" s="6" t="s">
        <v>48</v>
      </c>
      <c r="E18" s="6"/>
      <c r="F18" s="6"/>
      <c r="G18" s="6"/>
      <c r="H18" s="6"/>
      <c r="I18" s="6">
        <v>144</v>
      </c>
      <c r="J18" s="6">
        <v>162</v>
      </c>
      <c r="K18" s="6">
        <v>0</v>
      </c>
      <c r="L18" s="6">
        <v>0</v>
      </c>
      <c r="M18" s="6">
        <v>306</v>
      </c>
      <c r="N18" s="6"/>
      <c r="O18" s="3">
        <v>18</v>
      </c>
    </row>
    <row r="19" spans="1:15" x14ac:dyDescent="0.25">
      <c r="A19" s="7"/>
      <c r="B19" s="7"/>
      <c r="C19" s="7"/>
      <c r="D19" s="7"/>
      <c r="E19" s="7"/>
      <c r="F19" s="7"/>
      <c r="G19" s="7"/>
      <c r="H19" s="7" t="s">
        <v>11</v>
      </c>
      <c r="I19" s="7">
        <v>144</v>
      </c>
      <c r="J19" s="7">
        <v>162</v>
      </c>
      <c r="K19" s="7">
        <v>0</v>
      </c>
      <c r="L19" s="7">
        <v>0</v>
      </c>
      <c r="M19" s="7">
        <v>306</v>
      </c>
      <c r="N19" s="7"/>
      <c r="O19" s="4"/>
    </row>
    <row r="20" spans="1:15" ht="17.45" customHeight="1" x14ac:dyDescent="0.25">
      <c r="A20" s="14"/>
      <c r="B20" s="14"/>
      <c r="C20" s="14"/>
      <c r="D20" s="14"/>
      <c r="E20" s="14"/>
      <c r="F20" s="14"/>
      <c r="G20" s="14"/>
      <c r="H20" s="14" t="s">
        <v>79</v>
      </c>
      <c r="I20" s="20">
        <f t="shared" ref="I20:M20" si="2">IFERROR((I19/I16)-1,"Qty Order 0")</f>
        <v>-0.73333333333333339</v>
      </c>
      <c r="J20" s="20">
        <f t="shared" si="2"/>
        <v>-0.89534883720930236</v>
      </c>
      <c r="K20" s="20">
        <f t="shared" si="2"/>
        <v>-1</v>
      </c>
      <c r="L20" s="20">
        <f t="shared" si="2"/>
        <v>-1</v>
      </c>
      <c r="M20" s="20">
        <f t="shared" si="2"/>
        <v>-0.93145161290322576</v>
      </c>
      <c r="N20" s="14"/>
      <c r="O20" s="17"/>
    </row>
    <row r="21" spans="1:15" x14ac:dyDescent="0.25">
      <c r="A21" s="7"/>
      <c r="B21" s="7"/>
      <c r="C21" s="7"/>
      <c r="D21" s="7"/>
      <c r="E21" s="7"/>
      <c r="F21" s="7"/>
      <c r="G21" s="7"/>
      <c r="H21" s="7" t="s">
        <v>19</v>
      </c>
      <c r="I21" s="7">
        <v>-396</v>
      </c>
      <c r="J21" s="7">
        <v>-1386</v>
      </c>
      <c r="K21" s="7">
        <v>-1584</v>
      </c>
      <c r="L21" s="7">
        <v>-792</v>
      </c>
      <c r="M21" s="7">
        <v>-4158</v>
      </c>
      <c r="N21" s="7"/>
      <c r="O21" s="4"/>
    </row>
    <row r="22" spans="1:15" ht="17.45" customHeight="1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8"/>
    </row>
    <row r="23" spans="1:15" ht="17.45" customHeight="1" x14ac:dyDescent="0.25">
      <c r="A23" s="5" t="s">
        <v>20</v>
      </c>
      <c r="B23" s="5" t="s">
        <v>9</v>
      </c>
      <c r="C23" s="5" t="s">
        <v>21</v>
      </c>
      <c r="D23" s="5" t="s">
        <v>22</v>
      </c>
      <c r="E23" s="5" t="s">
        <v>4</v>
      </c>
      <c r="F23" s="5" t="s">
        <v>5</v>
      </c>
      <c r="G23" s="5" t="s">
        <v>8</v>
      </c>
      <c r="H23" s="5" t="s">
        <v>10</v>
      </c>
      <c r="I23" s="5" t="s">
        <v>13</v>
      </c>
      <c r="J23" s="5" t="s">
        <v>14</v>
      </c>
      <c r="K23" s="5" t="s">
        <v>15</v>
      </c>
      <c r="L23" s="5" t="s">
        <v>16</v>
      </c>
      <c r="M23" s="5" t="s">
        <v>23</v>
      </c>
      <c r="N23" s="5" t="s">
        <v>12</v>
      </c>
      <c r="O23" s="2" t="s">
        <v>80</v>
      </c>
    </row>
    <row r="24" spans="1:15" x14ac:dyDescent="0.25">
      <c r="A24" s="6">
        <v>182993</v>
      </c>
      <c r="B24" s="6"/>
      <c r="C24" s="6"/>
      <c r="D24" s="6"/>
      <c r="E24" s="6" t="s">
        <v>36</v>
      </c>
      <c r="F24" s="6" t="s">
        <v>24</v>
      </c>
      <c r="G24" s="6" t="s">
        <v>31</v>
      </c>
      <c r="H24" s="6" t="s">
        <v>17</v>
      </c>
      <c r="I24" s="6">
        <v>504</v>
      </c>
      <c r="J24" s="6">
        <v>1368</v>
      </c>
      <c r="K24" s="6">
        <v>1332</v>
      </c>
      <c r="L24" s="6">
        <v>540</v>
      </c>
      <c r="M24" s="6">
        <v>3744</v>
      </c>
      <c r="N24" s="6" t="s">
        <v>25</v>
      </c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 t="s">
        <v>7</v>
      </c>
      <c r="I25" s="7">
        <v>504</v>
      </c>
      <c r="J25" s="7">
        <v>1368</v>
      </c>
      <c r="K25" s="7">
        <v>1332</v>
      </c>
      <c r="L25" s="7">
        <v>540</v>
      </c>
      <c r="M25" s="7">
        <v>3744</v>
      </c>
      <c r="N25" s="7"/>
      <c r="O25" s="4"/>
    </row>
    <row r="26" spans="1:15" x14ac:dyDescent="0.25">
      <c r="A26" s="6"/>
      <c r="B26" s="6">
        <v>1</v>
      </c>
      <c r="C26" s="6" t="s">
        <v>52</v>
      </c>
      <c r="D26" s="6" t="s">
        <v>53</v>
      </c>
      <c r="E26" s="6"/>
      <c r="F26" s="6"/>
      <c r="G26" s="6"/>
      <c r="H26" s="6"/>
      <c r="I26" s="6">
        <v>280</v>
      </c>
      <c r="J26" s="6">
        <v>560</v>
      </c>
      <c r="K26" s="6">
        <v>490</v>
      </c>
      <c r="L26" s="6">
        <v>350</v>
      </c>
      <c r="M26" s="6">
        <v>1680</v>
      </c>
      <c r="N26" s="6"/>
      <c r="O26" s="3">
        <v>70</v>
      </c>
    </row>
    <row r="27" spans="1:15" x14ac:dyDescent="0.25">
      <c r="A27" s="7"/>
      <c r="B27" s="7"/>
      <c r="C27" s="7"/>
      <c r="D27" s="7"/>
      <c r="E27" s="7"/>
      <c r="F27" s="7"/>
      <c r="G27" s="7"/>
      <c r="H27" s="7" t="s">
        <v>11</v>
      </c>
      <c r="I27" s="7">
        <v>280</v>
      </c>
      <c r="J27" s="7">
        <v>560</v>
      </c>
      <c r="K27" s="7">
        <v>490</v>
      </c>
      <c r="L27" s="7">
        <v>350</v>
      </c>
      <c r="M27" s="7">
        <v>1680</v>
      </c>
      <c r="N27" s="7"/>
      <c r="O27" s="4"/>
    </row>
    <row r="28" spans="1:15" ht="17.45" customHeight="1" x14ac:dyDescent="0.25">
      <c r="A28" s="14"/>
      <c r="B28" s="14"/>
      <c r="C28" s="14"/>
      <c r="D28" s="14"/>
      <c r="E28" s="14"/>
      <c r="F28" s="14"/>
      <c r="G28" s="14"/>
      <c r="H28" s="14" t="s">
        <v>79</v>
      </c>
      <c r="I28" s="20">
        <f t="shared" ref="I28:M28" si="3">IFERROR((I27/I24)-1,"Qty Order 0")</f>
        <v>-0.44444444444444442</v>
      </c>
      <c r="J28" s="20">
        <f t="shared" si="3"/>
        <v>-0.59064327485380119</v>
      </c>
      <c r="K28" s="20">
        <f t="shared" si="3"/>
        <v>-0.63213213213213215</v>
      </c>
      <c r="L28" s="20">
        <f t="shared" si="3"/>
        <v>-0.35185185185185186</v>
      </c>
      <c r="M28" s="20">
        <f t="shared" si="3"/>
        <v>-0.55128205128205132</v>
      </c>
      <c r="N28" s="14"/>
      <c r="O28" s="17"/>
    </row>
    <row r="29" spans="1:15" x14ac:dyDescent="0.25">
      <c r="A29" s="7"/>
      <c r="B29" s="7"/>
      <c r="C29" s="7"/>
      <c r="D29" s="7"/>
      <c r="E29" s="7"/>
      <c r="F29" s="7"/>
      <c r="G29" s="7"/>
      <c r="H29" s="7" t="s">
        <v>19</v>
      </c>
      <c r="I29" s="7">
        <v>-224</v>
      </c>
      <c r="J29" s="7">
        <v>-808</v>
      </c>
      <c r="K29" s="7">
        <v>-842</v>
      </c>
      <c r="L29" s="7">
        <v>-190</v>
      </c>
      <c r="M29" s="7">
        <v>-2064</v>
      </c>
      <c r="N29" s="7"/>
      <c r="O29" s="4"/>
    </row>
    <row r="30" spans="1:15" ht="17.45" customHeight="1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8"/>
    </row>
    <row r="31" spans="1:15" ht="17.45" customHeight="1" x14ac:dyDescent="0.25">
      <c r="A31" s="5" t="s">
        <v>20</v>
      </c>
      <c r="B31" s="5" t="s">
        <v>9</v>
      </c>
      <c r="C31" s="5" t="s">
        <v>21</v>
      </c>
      <c r="D31" s="5" t="s">
        <v>22</v>
      </c>
      <c r="E31" s="5" t="s">
        <v>4</v>
      </c>
      <c r="F31" s="5" t="s">
        <v>5</v>
      </c>
      <c r="G31" s="5" t="s">
        <v>8</v>
      </c>
      <c r="H31" s="5" t="s">
        <v>10</v>
      </c>
      <c r="I31" s="5" t="s">
        <v>32</v>
      </c>
      <c r="J31" s="5" t="s">
        <v>23</v>
      </c>
      <c r="K31" s="5" t="s">
        <v>12</v>
      </c>
      <c r="L31" s="5" t="s">
        <v>80</v>
      </c>
      <c r="M31" s="5"/>
      <c r="N31" s="5"/>
      <c r="O31" s="2"/>
    </row>
    <row r="32" spans="1:15" x14ac:dyDescent="0.25">
      <c r="A32" s="6">
        <v>182980</v>
      </c>
      <c r="B32" s="6"/>
      <c r="C32" s="6"/>
      <c r="D32" s="6"/>
      <c r="E32" s="6" t="s">
        <v>54</v>
      </c>
      <c r="F32" s="6" t="s">
        <v>27</v>
      </c>
      <c r="G32" s="6" t="s">
        <v>43</v>
      </c>
      <c r="H32" s="6" t="s">
        <v>17</v>
      </c>
      <c r="I32" s="6">
        <v>360</v>
      </c>
      <c r="J32" s="6">
        <v>360</v>
      </c>
      <c r="K32" s="6" t="s">
        <v>25</v>
      </c>
      <c r="L32" s="6"/>
      <c r="M32" s="6"/>
      <c r="N32" s="6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 t="s">
        <v>7</v>
      </c>
      <c r="I33" s="7">
        <v>363.6</v>
      </c>
      <c r="J33" s="7">
        <v>363.6</v>
      </c>
      <c r="K33" s="7"/>
      <c r="L33" s="7"/>
      <c r="M33" s="7"/>
      <c r="N33" s="7"/>
      <c r="O33" s="4"/>
    </row>
    <row r="34" spans="1:15" x14ac:dyDescent="0.25">
      <c r="A34" s="6"/>
      <c r="B34" s="6">
        <v>1</v>
      </c>
      <c r="C34" s="6" t="s">
        <v>55</v>
      </c>
      <c r="D34" s="6">
        <v>12</v>
      </c>
      <c r="E34" s="6"/>
      <c r="F34" s="6"/>
      <c r="G34" s="6"/>
      <c r="H34" s="6"/>
      <c r="I34" s="6">
        <v>360</v>
      </c>
      <c r="J34" s="6">
        <v>360</v>
      </c>
      <c r="K34" s="6"/>
      <c r="L34" s="6">
        <v>30</v>
      </c>
      <c r="M34" s="6"/>
      <c r="N34" s="6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 t="s">
        <v>11</v>
      </c>
      <c r="I35" s="7">
        <v>360</v>
      </c>
      <c r="J35" s="7">
        <v>360</v>
      </c>
      <c r="K35" s="7"/>
      <c r="L35" s="7"/>
      <c r="M35" s="7"/>
      <c r="N35" s="7"/>
      <c r="O35" s="4"/>
    </row>
    <row r="36" spans="1:15" ht="17.45" customHeight="1" x14ac:dyDescent="0.25">
      <c r="A36" s="14"/>
      <c r="B36" s="14"/>
      <c r="C36" s="14"/>
      <c r="D36" s="14"/>
      <c r="E36" s="14"/>
      <c r="F36" s="14"/>
      <c r="G36" s="14"/>
      <c r="H36" s="14" t="s">
        <v>79</v>
      </c>
      <c r="I36" s="20">
        <f t="shared" ref="I36:J36" si="4">IFERROR((I35/I32)-1,"Qty Order 0")</f>
        <v>0</v>
      </c>
      <c r="J36" s="20">
        <f t="shared" si="4"/>
        <v>0</v>
      </c>
      <c r="K36" s="14"/>
      <c r="L36" s="14"/>
      <c r="M36" s="14"/>
      <c r="N36" s="14"/>
      <c r="O36" s="17"/>
    </row>
    <row r="37" spans="1:15" x14ac:dyDescent="0.25">
      <c r="A37" s="7"/>
      <c r="B37" s="7"/>
      <c r="C37" s="7"/>
      <c r="D37" s="7"/>
      <c r="E37" s="7"/>
      <c r="F37" s="7"/>
      <c r="G37" s="7"/>
      <c r="H37" s="7" t="s">
        <v>19</v>
      </c>
      <c r="I37" s="7">
        <v>-3.6</v>
      </c>
      <c r="J37" s="7">
        <v>-3.6</v>
      </c>
      <c r="K37" s="7"/>
      <c r="L37" s="7"/>
      <c r="M37" s="7"/>
      <c r="N37" s="7"/>
      <c r="O37" s="4"/>
    </row>
    <row r="38" spans="1:15" x14ac:dyDescent="0.25">
      <c r="A38" s="6"/>
      <c r="B38" s="6"/>
      <c r="C38" s="6"/>
      <c r="D38" s="6"/>
      <c r="E38" s="6" t="s">
        <v>54</v>
      </c>
      <c r="F38" s="6" t="s">
        <v>27</v>
      </c>
      <c r="G38" s="6" t="s">
        <v>33</v>
      </c>
      <c r="H38" s="6" t="s">
        <v>17</v>
      </c>
      <c r="I38" s="6">
        <v>360</v>
      </c>
      <c r="J38" s="6">
        <v>360</v>
      </c>
      <c r="K38" s="6" t="s">
        <v>25</v>
      </c>
      <c r="L38" s="6"/>
      <c r="M38" s="6"/>
      <c r="N38" s="6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 t="s">
        <v>7</v>
      </c>
      <c r="I39" s="7">
        <v>363.6</v>
      </c>
      <c r="J39" s="7">
        <v>363.6</v>
      </c>
      <c r="K39" s="7"/>
      <c r="L39" s="7"/>
      <c r="M39" s="7"/>
      <c r="N39" s="7"/>
      <c r="O39" s="4"/>
    </row>
    <row r="40" spans="1:15" x14ac:dyDescent="0.25">
      <c r="A40" s="6"/>
      <c r="B40" s="6">
        <v>1</v>
      </c>
      <c r="C40" s="6" t="s">
        <v>56</v>
      </c>
      <c r="D40" s="6">
        <v>12</v>
      </c>
      <c r="E40" s="6"/>
      <c r="F40" s="6"/>
      <c r="G40" s="6"/>
      <c r="H40" s="6"/>
      <c r="I40" s="6">
        <v>360</v>
      </c>
      <c r="J40" s="6">
        <v>360</v>
      </c>
      <c r="K40" s="6"/>
      <c r="L40" s="6">
        <v>30</v>
      </c>
      <c r="M40" s="6"/>
      <c r="N40" s="6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 t="s">
        <v>11</v>
      </c>
      <c r="I41" s="7">
        <v>360</v>
      </c>
      <c r="J41" s="7">
        <v>360</v>
      </c>
      <c r="K41" s="7"/>
      <c r="L41" s="7"/>
      <c r="M41" s="7"/>
      <c r="N41" s="7"/>
      <c r="O41" s="4"/>
    </row>
    <row r="42" spans="1:15" ht="17.45" customHeight="1" x14ac:dyDescent="0.25">
      <c r="A42" s="14"/>
      <c r="B42" s="14"/>
      <c r="C42" s="14"/>
      <c r="D42" s="14"/>
      <c r="E42" s="14"/>
      <c r="F42" s="14"/>
      <c r="G42" s="14"/>
      <c r="H42" s="14" t="s">
        <v>79</v>
      </c>
      <c r="I42" s="20">
        <f t="shared" ref="I42:J42" si="5">IFERROR((I41/I38)-1,"Qty Order 0")</f>
        <v>0</v>
      </c>
      <c r="J42" s="20">
        <f t="shared" si="5"/>
        <v>0</v>
      </c>
      <c r="K42" s="14"/>
      <c r="L42" s="14"/>
      <c r="M42" s="14"/>
      <c r="N42" s="14"/>
      <c r="O42" s="17"/>
    </row>
    <row r="43" spans="1:15" x14ac:dyDescent="0.25">
      <c r="A43" s="7"/>
      <c r="B43" s="7"/>
      <c r="C43" s="7"/>
      <c r="D43" s="7"/>
      <c r="E43" s="7"/>
      <c r="F43" s="7"/>
      <c r="G43" s="7"/>
      <c r="H43" s="7" t="s">
        <v>19</v>
      </c>
      <c r="I43" s="7">
        <v>-3.6</v>
      </c>
      <c r="J43" s="7">
        <v>-3.6</v>
      </c>
      <c r="K43" s="7"/>
      <c r="L43" s="7"/>
      <c r="M43" s="7"/>
      <c r="N43" s="7"/>
      <c r="O43" s="4"/>
    </row>
    <row r="44" spans="1:15" x14ac:dyDescent="0.25">
      <c r="A44" s="6"/>
      <c r="B44" s="6"/>
      <c r="C44" s="6"/>
      <c r="D44" s="6"/>
      <c r="E44" s="6" t="s">
        <v>54</v>
      </c>
      <c r="F44" s="6" t="s">
        <v>27</v>
      </c>
      <c r="G44" s="6" t="s">
        <v>57</v>
      </c>
      <c r="H44" s="6" t="s">
        <v>17</v>
      </c>
      <c r="I44" s="6">
        <v>360</v>
      </c>
      <c r="J44" s="6">
        <v>360</v>
      </c>
      <c r="K44" s="6" t="s">
        <v>25</v>
      </c>
      <c r="L44" s="6"/>
      <c r="M44" s="6"/>
      <c r="N44" s="6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 t="s">
        <v>7</v>
      </c>
      <c r="I45" s="7">
        <v>363.6</v>
      </c>
      <c r="J45" s="7">
        <v>363.6</v>
      </c>
      <c r="K45" s="7"/>
      <c r="L45" s="7"/>
      <c r="M45" s="7"/>
      <c r="N45" s="7"/>
      <c r="O45" s="4"/>
    </row>
    <row r="46" spans="1:15" x14ac:dyDescent="0.25">
      <c r="A46" s="6"/>
      <c r="B46" s="6">
        <v>1</v>
      </c>
      <c r="C46" s="6" t="s">
        <v>58</v>
      </c>
      <c r="D46" s="6">
        <v>12</v>
      </c>
      <c r="E46" s="6"/>
      <c r="F46" s="6"/>
      <c r="G46" s="6"/>
      <c r="H46" s="6"/>
      <c r="I46" s="6">
        <v>324</v>
      </c>
      <c r="J46" s="6">
        <v>324</v>
      </c>
      <c r="K46" s="6"/>
      <c r="L46" s="6">
        <v>27</v>
      </c>
      <c r="M46" s="6"/>
      <c r="N46" s="6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 t="s">
        <v>11</v>
      </c>
      <c r="I47" s="7">
        <v>324</v>
      </c>
      <c r="J47" s="7">
        <v>324</v>
      </c>
      <c r="K47" s="7"/>
      <c r="L47" s="7"/>
      <c r="M47" s="7"/>
      <c r="N47" s="7"/>
      <c r="O47" s="4"/>
    </row>
    <row r="48" spans="1:15" ht="17.45" customHeight="1" x14ac:dyDescent="0.25">
      <c r="A48" s="14"/>
      <c r="B48" s="14"/>
      <c r="C48" s="14"/>
      <c r="D48" s="14"/>
      <c r="E48" s="14"/>
      <c r="F48" s="14"/>
      <c r="G48" s="14"/>
      <c r="H48" s="14" t="s">
        <v>79</v>
      </c>
      <c r="I48" s="20">
        <f t="shared" ref="I48:J48" si="6">IFERROR((I47/I44)-1,"Qty Order 0")</f>
        <v>-9.9999999999999978E-2</v>
      </c>
      <c r="J48" s="20">
        <f t="shared" si="6"/>
        <v>-9.9999999999999978E-2</v>
      </c>
      <c r="K48" s="14"/>
      <c r="L48" s="14"/>
      <c r="M48" s="14"/>
      <c r="N48" s="14"/>
      <c r="O48" s="17"/>
    </row>
    <row r="49" spans="1:15" x14ac:dyDescent="0.25">
      <c r="A49" s="7"/>
      <c r="B49" s="7"/>
      <c r="C49" s="7"/>
      <c r="D49" s="7"/>
      <c r="E49" s="7"/>
      <c r="F49" s="7"/>
      <c r="G49" s="7"/>
      <c r="H49" s="7" t="s">
        <v>19</v>
      </c>
      <c r="I49" s="7">
        <v>-39.6</v>
      </c>
      <c r="J49" s="7">
        <v>-39.6</v>
      </c>
      <c r="K49" s="7"/>
      <c r="L49" s="7"/>
      <c r="M49" s="7"/>
      <c r="N49" s="7"/>
      <c r="O49" s="4"/>
    </row>
    <row r="50" spans="1:15" ht="17.45" customHeight="1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8"/>
    </row>
    <row r="51" spans="1:15" ht="17.45" customHeight="1" x14ac:dyDescent="0.25">
      <c r="A51" s="5" t="s">
        <v>20</v>
      </c>
      <c r="B51" s="5" t="s">
        <v>9</v>
      </c>
      <c r="C51" s="5" t="s">
        <v>21</v>
      </c>
      <c r="D51" s="5" t="s">
        <v>22</v>
      </c>
      <c r="E51" s="5" t="s">
        <v>4</v>
      </c>
      <c r="F51" s="5" t="s">
        <v>5</v>
      </c>
      <c r="G51" s="5" t="s">
        <v>8</v>
      </c>
      <c r="H51" s="5" t="s">
        <v>10</v>
      </c>
      <c r="I51" s="5" t="s">
        <v>13</v>
      </c>
      <c r="J51" s="5" t="s">
        <v>14</v>
      </c>
      <c r="K51" s="5" t="s">
        <v>15</v>
      </c>
      <c r="L51" s="5" t="s">
        <v>16</v>
      </c>
      <c r="M51" s="5" t="s">
        <v>23</v>
      </c>
      <c r="N51" s="5" t="s">
        <v>12</v>
      </c>
      <c r="O51" s="2" t="s">
        <v>80</v>
      </c>
    </row>
    <row r="52" spans="1:15" x14ac:dyDescent="0.25">
      <c r="A52" s="6">
        <v>182981</v>
      </c>
      <c r="B52" s="6"/>
      <c r="C52" s="6"/>
      <c r="D52" s="6"/>
      <c r="E52" s="6" t="s">
        <v>59</v>
      </c>
      <c r="F52" s="6" t="s">
        <v>27</v>
      </c>
      <c r="G52" s="6" t="s">
        <v>60</v>
      </c>
      <c r="H52" s="6" t="s">
        <v>17</v>
      </c>
      <c r="I52" s="6">
        <v>864</v>
      </c>
      <c r="J52" s="6">
        <v>2196</v>
      </c>
      <c r="K52" s="6">
        <v>2304</v>
      </c>
      <c r="L52" s="6">
        <v>828</v>
      </c>
      <c r="M52" s="6">
        <v>6192</v>
      </c>
      <c r="N52" s="6" t="s">
        <v>18</v>
      </c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 t="s">
        <v>7</v>
      </c>
      <c r="I53" s="7">
        <v>872.64</v>
      </c>
      <c r="J53" s="7">
        <v>2217.96</v>
      </c>
      <c r="K53" s="7">
        <v>2327.04</v>
      </c>
      <c r="L53" s="7">
        <v>836.28</v>
      </c>
      <c r="M53" s="7">
        <v>6253.92</v>
      </c>
      <c r="N53" s="7"/>
      <c r="O53" s="4"/>
    </row>
    <row r="54" spans="1:15" x14ac:dyDescent="0.25">
      <c r="A54" s="6"/>
      <c r="B54" s="6">
        <v>1</v>
      </c>
      <c r="C54" s="6" t="s">
        <v>61</v>
      </c>
      <c r="D54" s="6" t="s">
        <v>62</v>
      </c>
      <c r="E54" s="6"/>
      <c r="F54" s="6"/>
      <c r="G54" s="6"/>
      <c r="H54" s="6"/>
      <c r="I54" s="6">
        <v>400</v>
      </c>
      <c r="J54" s="6">
        <v>900</v>
      </c>
      <c r="K54" s="6">
        <v>900</v>
      </c>
      <c r="L54" s="6">
        <v>400</v>
      </c>
      <c r="M54" s="6">
        <v>2600</v>
      </c>
      <c r="N54" s="6"/>
      <c r="O54" s="3">
        <v>100</v>
      </c>
    </row>
    <row r="55" spans="1:15" x14ac:dyDescent="0.25">
      <c r="A55" s="7"/>
      <c r="B55" s="7"/>
      <c r="C55" s="7"/>
      <c r="D55" s="7"/>
      <c r="E55" s="7"/>
      <c r="F55" s="7"/>
      <c r="G55" s="7"/>
      <c r="H55" s="7" t="s">
        <v>11</v>
      </c>
      <c r="I55" s="7">
        <v>400</v>
      </c>
      <c r="J55" s="7">
        <v>900</v>
      </c>
      <c r="K55" s="7">
        <v>900</v>
      </c>
      <c r="L55" s="7">
        <v>400</v>
      </c>
      <c r="M55" s="7">
        <v>2600</v>
      </c>
      <c r="N55" s="7"/>
      <c r="O55" s="4"/>
    </row>
    <row r="56" spans="1:15" ht="17.45" customHeight="1" x14ac:dyDescent="0.25">
      <c r="A56" s="14"/>
      <c r="B56" s="14"/>
      <c r="C56" s="14"/>
      <c r="D56" s="14"/>
      <c r="E56" s="14"/>
      <c r="F56" s="14"/>
      <c r="G56" s="14"/>
      <c r="H56" s="14" t="s">
        <v>79</v>
      </c>
      <c r="I56" s="20">
        <f t="shared" ref="I56:M56" si="7">IFERROR((I55/I52)-1,"Qty Order 0")</f>
        <v>-0.53703703703703698</v>
      </c>
      <c r="J56" s="20">
        <f t="shared" si="7"/>
        <v>-0.5901639344262295</v>
      </c>
      <c r="K56" s="20">
        <f t="shared" si="7"/>
        <v>-0.609375</v>
      </c>
      <c r="L56" s="20">
        <f t="shared" si="7"/>
        <v>-0.51690821256038655</v>
      </c>
      <c r="M56" s="20">
        <f t="shared" si="7"/>
        <v>-0.58010335917312661</v>
      </c>
      <c r="N56" s="14"/>
      <c r="O56" s="17"/>
    </row>
    <row r="57" spans="1:15" x14ac:dyDescent="0.25">
      <c r="A57" s="7"/>
      <c r="B57" s="7"/>
      <c r="C57" s="7"/>
      <c r="D57" s="7"/>
      <c r="E57" s="7"/>
      <c r="F57" s="7"/>
      <c r="G57" s="7"/>
      <c r="H57" s="7" t="s">
        <v>19</v>
      </c>
      <c r="I57" s="7">
        <v>-472.64</v>
      </c>
      <c r="J57" s="7">
        <v>-1317.96</v>
      </c>
      <c r="K57" s="7">
        <v>-1427.04</v>
      </c>
      <c r="L57" s="7">
        <v>-436.28</v>
      </c>
      <c r="M57" s="7">
        <v>-3653.92</v>
      </c>
      <c r="N57" s="7"/>
      <c r="O57" s="4"/>
    </row>
    <row r="58" spans="1:15" ht="17.45" customHeight="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8"/>
    </row>
    <row r="59" spans="1:15" ht="17.45" customHeight="1" x14ac:dyDescent="0.25">
      <c r="A59" s="5" t="s">
        <v>20</v>
      </c>
      <c r="B59" s="5" t="s">
        <v>9</v>
      </c>
      <c r="C59" s="5" t="s">
        <v>21</v>
      </c>
      <c r="D59" s="5" t="s">
        <v>22</v>
      </c>
      <c r="E59" s="5" t="s">
        <v>4</v>
      </c>
      <c r="F59" s="5" t="s">
        <v>5</v>
      </c>
      <c r="G59" s="5" t="s">
        <v>8</v>
      </c>
      <c r="H59" s="5" t="s">
        <v>10</v>
      </c>
      <c r="I59" s="5" t="s">
        <v>13</v>
      </c>
      <c r="J59" s="5" t="s">
        <v>14</v>
      </c>
      <c r="K59" s="5" t="s">
        <v>15</v>
      </c>
      <c r="L59" s="5" t="s">
        <v>16</v>
      </c>
      <c r="M59" s="5" t="s">
        <v>23</v>
      </c>
      <c r="N59" s="5" t="s">
        <v>12</v>
      </c>
      <c r="O59" s="2" t="s">
        <v>80</v>
      </c>
    </row>
    <row r="60" spans="1:15" x14ac:dyDescent="0.25">
      <c r="A60" s="6">
        <v>182777</v>
      </c>
      <c r="B60" s="6"/>
      <c r="C60" s="6"/>
      <c r="D60" s="6"/>
      <c r="E60" s="6" t="s">
        <v>63</v>
      </c>
      <c r="F60" s="6" t="s">
        <v>37</v>
      </c>
      <c r="G60" s="6" t="s">
        <v>30</v>
      </c>
      <c r="H60" s="6" t="s">
        <v>17</v>
      </c>
      <c r="I60" s="6">
        <v>2916</v>
      </c>
      <c r="J60" s="6">
        <v>8316</v>
      </c>
      <c r="K60" s="6">
        <v>7128</v>
      </c>
      <c r="L60" s="6">
        <v>3456</v>
      </c>
      <c r="M60" s="6">
        <v>21816</v>
      </c>
      <c r="N60" s="6" t="s">
        <v>35</v>
      </c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 t="s">
        <v>7</v>
      </c>
      <c r="I61" s="7">
        <v>2974.32</v>
      </c>
      <c r="J61" s="7">
        <v>8482.32</v>
      </c>
      <c r="K61" s="7">
        <v>7270.56</v>
      </c>
      <c r="L61" s="7">
        <v>3525.12</v>
      </c>
      <c r="M61" s="7">
        <v>22252.32</v>
      </c>
      <c r="N61" s="7"/>
      <c r="O61" s="4"/>
    </row>
    <row r="62" spans="1:15" x14ac:dyDescent="0.25">
      <c r="A62" s="6"/>
      <c r="B62" s="6">
        <v>16</v>
      </c>
      <c r="C62" s="6" t="s">
        <v>64</v>
      </c>
      <c r="D62" s="6" t="s">
        <v>65</v>
      </c>
      <c r="E62" s="6"/>
      <c r="F62" s="6"/>
      <c r="G62" s="6"/>
      <c r="H62" s="6"/>
      <c r="I62" s="6">
        <v>0</v>
      </c>
      <c r="J62" s="6">
        <v>29</v>
      </c>
      <c r="K62" s="6">
        <v>29</v>
      </c>
      <c r="L62" s="6">
        <v>0</v>
      </c>
      <c r="M62" s="6">
        <v>58</v>
      </c>
      <c r="N62" s="6"/>
      <c r="O62" s="3">
        <v>29</v>
      </c>
    </row>
    <row r="63" spans="1:15" x14ac:dyDescent="0.25">
      <c r="A63" s="7"/>
      <c r="B63" s="7">
        <v>16</v>
      </c>
      <c r="C63" s="7" t="s">
        <v>66</v>
      </c>
      <c r="D63" s="7" t="s">
        <v>67</v>
      </c>
      <c r="E63" s="7"/>
      <c r="F63" s="7"/>
      <c r="G63" s="7"/>
      <c r="H63" s="7"/>
      <c r="I63" s="7">
        <v>0</v>
      </c>
      <c r="J63" s="7">
        <v>24</v>
      </c>
      <c r="K63" s="7">
        <v>0</v>
      </c>
      <c r="L63" s="7">
        <v>12</v>
      </c>
      <c r="M63" s="7">
        <v>36</v>
      </c>
      <c r="N63" s="7"/>
      <c r="O63" s="4">
        <v>12</v>
      </c>
    </row>
    <row r="64" spans="1:15" x14ac:dyDescent="0.25">
      <c r="A64" s="6"/>
      <c r="B64" s="6"/>
      <c r="C64" s="6"/>
      <c r="D64" s="6"/>
      <c r="E64" s="6"/>
      <c r="F64" s="6"/>
      <c r="G64" s="6"/>
      <c r="H64" s="6" t="s">
        <v>11</v>
      </c>
      <c r="I64" s="6">
        <v>0</v>
      </c>
      <c r="J64" s="6">
        <v>53</v>
      </c>
      <c r="K64" s="6">
        <v>29</v>
      </c>
      <c r="L64" s="6">
        <v>12</v>
      </c>
      <c r="M64" s="6">
        <v>94</v>
      </c>
      <c r="N64" s="6"/>
      <c r="O64" s="3"/>
    </row>
    <row r="65" spans="1:15" ht="17.45" customHeight="1" x14ac:dyDescent="0.25">
      <c r="A65" s="14"/>
      <c r="B65" s="14"/>
      <c r="C65" s="14"/>
      <c r="D65" s="14"/>
      <c r="E65" s="14"/>
      <c r="F65" s="14"/>
      <c r="G65" s="14"/>
      <c r="H65" s="14" t="s">
        <v>79</v>
      </c>
      <c r="I65" s="20">
        <f t="shared" ref="I65:M65" si="8">IFERROR((I64/I60)-1,"Qty Order 0")</f>
        <v>-1</v>
      </c>
      <c r="J65" s="20">
        <f t="shared" si="8"/>
        <v>-0.99362674362674364</v>
      </c>
      <c r="K65" s="20">
        <f t="shared" si="8"/>
        <v>-0.9959315375982043</v>
      </c>
      <c r="L65" s="20">
        <f t="shared" si="8"/>
        <v>-0.99652777777777779</v>
      </c>
      <c r="M65" s="20">
        <f t="shared" si="8"/>
        <v>-0.99569123579024565</v>
      </c>
      <c r="N65" s="14"/>
      <c r="O65" s="17"/>
    </row>
    <row r="66" spans="1:15" x14ac:dyDescent="0.25">
      <c r="A66" s="6"/>
      <c r="B66" s="6"/>
      <c r="C66" s="6"/>
      <c r="D66" s="6"/>
      <c r="E66" s="6"/>
      <c r="F66" s="6"/>
      <c r="G66" s="6"/>
      <c r="H66" s="6" t="s">
        <v>19</v>
      </c>
      <c r="I66" s="6">
        <v>-2974.32</v>
      </c>
      <c r="J66" s="6">
        <v>-8429.32</v>
      </c>
      <c r="K66" s="6">
        <v>-7241.56</v>
      </c>
      <c r="L66" s="6">
        <v>-3513.12</v>
      </c>
      <c r="M66" s="6">
        <v>-22158.32</v>
      </c>
      <c r="N66" s="6"/>
      <c r="O66" s="3"/>
    </row>
    <row r="67" spans="1:15" ht="17.45" customHeight="1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8"/>
    </row>
    <row r="68" spans="1:15" ht="17.45" customHeight="1" x14ac:dyDescent="0.25">
      <c r="A68" s="5" t="s">
        <v>20</v>
      </c>
      <c r="B68" s="5" t="s">
        <v>9</v>
      </c>
      <c r="C68" s="5" t="s">
        <v>21</v>
      </c>
      <c r="D68" s="5" t="s">
        <v>22</v>
      </c>
      <c r="E68" s="5" t="s">
        <v>4</v>
      </c>
      <c r="F68" s="5" t="s">
        <v>5</v>
      </c>
      <c r="G68" s="5" t="s">
        <v>8</v>
      </c>
      <c r="H68" s="5" t="s">
        <v>10</v>
      </c>
      <c r="I68" s="5" t="s">
        <v>13</v>
      </c>
      <c r="J68" s="5" t="s">
        <v>14</v>
      </c>
      <c r="K68" s="5" t="s">
        <v>15</v>
      </c>
      <c r="L68" s="5" t="s">
        <v>16</v>
      </c>
      <c r="M68" s="5" t="s">
        <v>23</v>
      </c>
      <c r="N68" s="5" t="s">
        <v>12</v>
      </c>
      <c r="O68" s="2" t="s">
        <v>80</v>
      </c>
    </row>
    <row r="69" spans="1:15" x14ac:dyDescent="0.25">
      <c r="A69" s="7">
        <v>182988</v>
      </c>
      <c r="B69" s="7"/>
      <c r="C69" s="7"/>
      <c r="D69" s="7"/>
      <c r="E69" s="7" t="s">
        <v>68</v>
      </c>
      <c r="F69" s="7" t="s">
        <v>24</v>
      </c>
      <c r="G69" s="7" t="s">
        <v>30</v>
      </c>
      <c r="H69" s="7" t="s">
        <v>17</v>
      </c>
      <c r="I69" s="7">
        <v>2484</v>
      </c>
      <c r="J69" s="7">
        <v>11232</v>
      </c>
      <c r="K69" s="7">
        <v>11340</v>
      </c>
      <c r="L69" s="7">
        <v>5184</v>
      </c>
      <c r="M69" s="7">
        <v>30240</v>
      </c>
      <c r="N69" s="7" t="s">
        <v>35</v>
      </c>
      <c r="O69" s="4"/>
    </row>
    <row r="70" spans="1:15" x14ac:dyDescent="0.25">
      <c r="A70" s="6"/>
      <c r="B70" s="6"/>
      <c r="C70" s="6"/>
      <c r="D70" s="6"/>
      <c r="E70" s="6"/>
      <c r="F70" s="6"/>
      <c r="G70" s="6"/>
      <c r="H70" s="6" t="s">
        <v>7</v>
      </c>
      <c r="I70" s="6">
        <v>2508.84</v>
      </c>
      <c r="J70" s="6">
        <v>11344.32</v>
      </c>
      <c r="K70" s="6">
        <v>11453.4</v>
      </c>
      <c r="L70" s="6">
        <v>5235.84</v>
      </c>
      <c r="M70" s="6">
        <v>30542.400000000001</v>
      </c>
      <c r="N70" s="6"/>
      <c r="O70" s="3"/>
    </row>
    <row r="71" spans="1:15" x14ac:dyDescent="0.25">
      <c r="A71" s="7"/>
      <c r="B71" s="7">
        <v>18</v>
      </c>
      <c r="C71" s="7" t="s">
        <v>69</v>
      </c>
      <c r="D71" s="7" t="s">
        <v>70</v>
      </c>
      <c r="E71" s="7"/>
      <c r="F71" s="7"/>
      <c r="G71" s="7"/>
      <c r="H71" s="7"/>
      <c r="I71" s="7">
        <v>0</v>
      </c>
      <c r="J71" s="7">
        <v>64</v>
      </c>
      <c r="K71" s="7">
        <v>64</v>
      </c>
      <c r="L71" s="7">
        <v>0</v>
      </c>
      <c r="M71" s="7">
        <v>128</v>
      </c>
      <c r="N71" s="7"/>
      <c r="O71" s="4">
        <v>32</v>
      </c>
    </row>
    <row r="72" spans="1:15" x14ac:dyDescent="0.25">
      <c r="A72" s="6"/>
      <c r="B72" s="6">
        <v>18</v>
      </c>
      <c r="C72" s="6" t="s">
        <v>71</v>
      </c>
      <c r="D72" s="6" t="s">
        <v>72</v>
      </c>
      <c r="E72" s="6"/>
      <c r="F72" s="6"/>
      <c r="G72" s="6"/>
      <c r="H72" s="6"/>
      <c r="I72" s="6">
        <v>26</v>
      </c>
      <c r="J72" s="6">
        <v>0</v>
      </c>
      <c r="K72" s="6">
        <v>0</v>
      </c>
      <c r="L72" s="6">
        <v>52</v>
      </c>
      <c r="M72" s="6">
        <v>78</v>
      </c>
      <c r="N72" s="6"/>
      <c r="O72" s="3">
        <v>26</v>
      </c>
    </row>
    <row r="73" spans="1:15" x14ac:dyDescent="0.25">
      <c r="A73" s="7"/>
      <c r="B73" s="7"/>
      <c r="C73" s="7"/>
      <c r="D73" s="7"/>
      <c r="E73" s="7"/>
      <c r="F73" s="7"/>
      <c r="G73" s="7"/>
      <c r="H73" s="7" t="s">
        <v>11</v>
      </c>
      <c r="I73" s="7">
        <v>26</v>
      </c>
      <c r="J73" s="7">
        <v>64</v>
      </c>
      <c r="K73" s="7">
        <v>64</v>
      </c>
      <c r="L73" s="7">
        <v>52</v>
      </c>
      <c r="M73" s="7">
        <v>206</v>
      </c>
      <c r="N73" s="7"/>
      <c r="O73" s="4"/>
    </row>
    <row r="74" spans="1:15" ht="17.45" customHeight="1" x14ac:dyDescent="0.25">
      <c r="A74" s="14"/>
      <c r="B74" s="14"/>
      <c r="C74" s="14"/>
      <c r="D74" s="14"/>
      <c r="E74" s="14"/>
      <c r="F74" s="14"/>
      <c r="G74" s="14"/>
      <c r="H74" s="14" t="s">
        <v>79</v>
      </c>
      <c r="I74" s="20">
        <f t="shared" ref="I74:M74" si="9">IFERROR((I73/I69)-1,"Qty Order 0")</f>
        <v>-0.98953301127214166</v>
      </c>
      <c r="J74" s="20">
        <f t="shared" si="9"/>
        <v>-0.99430199430199429</v>
      </c>
      <c r="K74" s="20">
        <f t="shared" si="9"/>
        <v>-0.99435626102292773</v>
      </c>
      <c r="L74" s="20">
        <f t="shared" si="9"/>
        <v>-0.98996913580246915</v>
      </c>
      <c r="M74" s="20">
        <f t="shared" si="9"/>
        <v>-0.99318783068783068</v>
      </c>
      <c r="N74" s="14"/>
      <c r="O74" s="17"/>
    </row>
    <row r="75" spans="1:15" x14ac:dyDescent="0.25">
      <c r="A75" s="7"/>
      <c r="B75" s="7"/>
      <c r="C75" s="7"/>
      <c r="D75" s="7"/>
      <c r="E75" s="7"/>
      <c r="F75" s="7"/>
      <c r="G75" s="7"/>
      <c r="H75" s="7" t="s">
        <v>19</v>
      </c>
      <c r="I75" s="7">
        <v>-2482.84</v>
      </c>
      <c r="J75" s="7">
        <v>-11280.32</v>
      </c>
      <c r="K75" s="7">
        <v>-11389.4</v>
      </c>
      <c r="L75" s="7">
        <v>-5183.84</v>
      </c>
      <c r="M75" s="7">
        <v>-30336.400000000001</v>
      </c>
      <c r="N75" s="7"/>
      <c r="O75" s="4"/>
    </row>
    <row r="76" spans="1:15" ht="17.45" customHeight="1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8"/>
    </row>
    <row r="77" spans="1:15" ht="17.45" customHeight="1" x14ac:dyDescent="0.25">
      <c r="A77" s="5" t="s">
        <v>20</v>
      </c>
      <c r="B77" s="5" t="s">
        <v>9</v>
      </c>
      <c r="C77" s="5" t="s">
        <v>21</v>
      </c>
      <c r="D77" s="5" t="s">
        <v>22</v>
      </c>
      <c r="E77" s="5" t="s">
        <v>4</v>
      </c>
      <c r="F77" s="5" t="s">
        <v>5</v>
      </c>
      <c r="G77" s="5" t="s">
        <v>8</v>
      </c>
      <c r="H77" s="5" t="s">
        <v>10</v>
      </c>
      <c r="I77" s="5" t="s">
        <v>13</v>
      </c>
      <c r="J77" s="5" t="s">
        <v>14</v>
      </c>
      <c r="K77" s="5" t="s">
        <v>15</v>
      </c>
      <c r="L77" s="5" t="s">
        <v>16</v>
      </c>
      <c r="M77" s="5" t="s">
        <v>23</v>
      </c>
      <c r="N77" s="5" t="s">
        <v>12</v>
      </c>
      <c r="O77" s="2" t="s">
        <v>80</v>
      </c>
    </row>
    <row r="78" spans="1:15" x14ac:dyDescent="0.25">
      <c r="A78" s="6">
        <v>182974</v>
      </c>
      <c r="B78" s="6"/>
      <c r="C78" s="6"/>
      <c r="D78" s="6"/>
      <c r="E78" s="6" t="s">
        <v>26</v>
      </c>
      <c r="F78" s="6" t="s">
        <v>27</v>
      </c>
      <c r="G78" s="6" t="s">
        <v>30</v>
      </c>
      <c r="H78" s="6" t="s">
        <v>17</v>
      </c>
      <c r="I78" s="6">
        <v>1836</v>
      </c>
      <c r="J78" s="6">
        <v>4248</v>
      </c>
      <c r="K78" s="6">
        <v>4104</v>
      </c>
      <c r="L78" s="6">
        <v>1872</v>
      </c>
      <c r="M78" s="6">
        <v>12060</v>
      </c>
      <c r="N78" s="6" t="s">
        <v>18</v>
      </c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 t="s">
        <v>7</v>
      </c>
      <c r="I79" s="7">
        <v>1854.36</v>
      </c>
      <c r="J79" s="7">
        <v>4290.4799999999996</v>
      </c>
      <c r="K79" s="7">
        <v>4145.04</v>
      </c>
      <c r="L79" s="7">
        <v>1890.72</v>
      </c>
      <c r="M79" s="7">
        <v>12180.6</v>
      </c>
      <c r="N79" s="7"/>
      <c r="O79" s="4"/>
    </row>
    <row r="80" spans="1:15" x14ac:dyDescent="0.25">
      <c r="A80" s="6"/>
      <c r="B80" s="6">
        <v>2</v>
      </c>
      <c r="C80" s="6" t="s">
        <v>73</v>
      </c>
      <c r="D80" s="6" t="s">
        <v>29</v>
      </c>
      <c r="E80" s="6"/>
      <c r="F80" s="6"/>
      <c r="G80" s="6"/>
      <c r="H80" s="6"/>
      <c r="I80" s="6">
        <v>210</v>
      </c>
      <c r="J80" s="6">
        <v>945</v>
      </c>
      <c r="K80" s="6">
        <v>945</v>
      </c>
      <c r="L80" s="6">
        <v>630</v>
      </c>
      <c r="M80" s="6">
        <v>2730</v>
      </c>
      <c r="N80" s="6"/>
      <c r="O80" s="3">
        <v>105</v>
      </c>
    </row>
    <row r="81" spans="1:15" x14ac:dyDescent="0.25">
      <c r="A81" s="7"/>
      <c r="B81" s="7"/>
      <c r="C81" s="7"/>
      <c r="D81" s="7"/>
      <c r="E81" s="7"/>
      <c r="F81" s="7"/>
      <c r="G81" s="7"/>
      <c r="H81" s="7" t="s">
        <v>11</v>
      </c>
      <c r="I81" s="7">
        <v>210</v>
      </c>
      <c r="J81" s="7">
        <v>945</v>
      </c>
      <c r="K81" s="7">
        <v>945</v>
      </c>
      <c r="L81" s="7">
        <v>630</v>
      </c>
      <c r="M81" s="7">
        <v>2730</v>
      </c>
      <c r="N81" s="7"/>
      <c r="O81" s="4"/>
    </row>
    <row r="82" spans="1:15" ht="17.45" customHeight="1" x14ac:dyDescent="0.25">
      <c r="A82" s="14"/>
      <c r="B82" s="14"/>
      <c r="C82" s="14"/>
      <c r="D82" s="14"/>
      <c r="E82" s="14"/>
      <c r="F82" s="14"/>
      <c r="G82" s="14"/>
      <c r="H82" s="14" t="s">
        <v>79</v>
      </c>
      <c r="I82" s="20">
        <f t="shared" ref="I82:M82" si="10">IFERROR((I81/I78)-1,"Qty Order 0")</f>
        <v>-0.8856209150326797</v>
      </c>
      <c r="J82" s="20">
        <f t="shared" si="10"/>
        <v>-0.77754237288135597</v>
      </c>
      <c r="K82" s="20">
        <f t="shared" si="10"/>
        <v>-0.76973684210526316</v>
      </c>
      <c r="L82" s="20">
        <f t="shared" si="10"/>
        <v>-0.66346153846153844</v>
      </c>
      <c r="M82" s="20">
        <f t="shared" si="10"/>
        <v>-0.77363184079601988</v>
      </c>
      <c r="N82" s="14"/>
      <c r="O82" s="17"/>
    </row>
    <row r="83" spans="1:15" x14ac:dyDescent="0.25">
      <c r="A83" s="7"/>
      <c r="B83" s="7"/>
      <c r="C83" s="7"/>
      <c r="D83" s="7"/>
      <c r="E83" s="7"/>
      <c r="F83" s="7"/>
      <c r="G83" s="7"/>
      <c r="H83" s="7" t="s">
        <v>19</v>
      </c>
      <c r="I83" s="7">
        <v>-1644.36</v>
      </c>
      <c r="J83" s="7">
        <v>-3345.48</v>
      </c>
      <c r="K83" s="7">
        <v>-3200.04</v>
      </c>
      <c r="L83" s="7">
        <v>-1260.72</v>
      </c>
      <c r="M83" s="7">
        <v>-9450.6</v>
      </c>
      <c r="N83" s="7"/>
      <c r="O83" s="4"/>
    </row>
    <row r="84" spans="1:15" x14ac:dyDescent="0.25">
      <c r="A84" s="6"/>
      <c r="B84" s="6"/>
      <c r="C84" s="6"/>
      <c r="D84" s="6"/>
      <c r="E84" s="6" t="s">
        <v>26</v>
      </c>
      <c r="F84" s="6" t="s">
        <v>27</v>
      </c>
      <c r="G84" s="6" t="s">
        <v>28</v>
      </c>
      <c r="H84" s="6" t="s">
        <v>17</v>
      </c>
      <c r="I84" s="6">
        <v>1836</v>
      </c>
      <c r="J84" s="6">
        <v>4248</v>
      </c>
      <c r="K84" s="6">
        <v>4104</v>
      </c>
      <c r="L84" s="6">
        <v>1872</v>
      </c>
      <c r="M84" s="6">
        <v>12060</v>
      </c>
      <c r="N84" s="6" t="s">
        <v>18</v>
      </c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 t="s">
        <v>7</v>
      </c>
      <c r="I85" s="7">
        <v>1854.36</v>
      </c>
      <c r="J85" s="7">
        <v>4290.4799999999996</v>
      </c>
      <c r="K85" s="7">
        <v>4145.04</v>
      </c>
      <c r="L85" s="7">
        <v>1890.72</v>
      </c>
      <c r="M85" s="7">
        <v>12180.6</v>
      </c>
      <c r="N85" s="7"/>
      <c r="O85" s="4"/>
    </row>
    <row r="86" spans="1:15" x14ac:dyDescent="0.25">
      <c r="A86" s="6"/>
      <c r="B86" s="6">
        <v>2</v>
      </c>
      <c r="C86" s="6" t="s">
        <v>74</v>
      </c>
      <c r="D86" s="6" t="s">
        <v>29</v>
      </c>
      <c r="E86" s="6"/>
      <c r="F86" s="6"/>
      <c r="G86" s="6"/>
      <c r="H86" s="6"/>
      <c r="I86" s="6">
        <v>210</v>
      </c>
      <c r="J86" s="6">
        <v>944</v>
      </c>
      <c r="K86" s="6">
        <v>944</v>
      </c>
      <c r="L86" s="6">
        <v>630</v>
      </c>
      <c r="M86" s="6">
        <v>2728</v>
      </c>
      <c r="N86" s="6"/>
      <c r="O86" s="3">
        <v>105</v>
      </c>
    </row>
    <row r="87" spans="1:15" x14ac:dyDescent="0.25">
      <c r="A87" s="7"/>
      <c r="B87" s="7"/>
      <c r="C87" s="7"/>
      <c r="D87" s="7"/>
      <c r="E87" s="7"/>
      <c r="F87" s="7"/>
      <c r="G87" s="7"/>
      <c r="H87" s="7" t="s">
        <v>11</v>
      </c>
      <c r="I87" s="7">
        <v>210</v>
      </c>
      <c r="J87" s="7">
        <v>944</v>
      </c>
      <c r="K87" s="7">
        <v>944</v>
      </c>
      <c r="L87" s="7">
        <v>630</v>
      </c>
      <c r="M87" s="7">
        <v>2728</v>
      </c>
      <c r="N87" s="7"/>
      <c r="O87" s="4"/>
    </row>
    <row r="88" spans="1:15" ht="17.45" customHeight="1" x14ac:dyDescent="0.25">
      <c r="A88" s="14"/>
      <c r="B88" s="14"/>
      <c r="C88" s="14"/>
      <c r="D88" s="14"/>
      <c r="E88" s="14"/>
      <c r="F88" s="14"/>
      <c r="G88" s="14"/>
      <c r="H88" s="14" t="s">
        <v>79</v>
      </c>
      <c r="I88" s="20">
        <f t="shared" ref="I88:M88" si="11">IFERROR((I87/I84)-1,"Qty Order 0")</f>
        <v>-0.8856209150326797</v>
      </c>
      <c r="J88" s="20">
        <f t="shared" si="11"/>
        <v>-0.77777777777777779</v>
      </c>
      <c r="K88" s="20">
        <f t="shared" si="11"/>
        <v>-0.7699805068226121</v>
      </c>
      <c r="L88" s="20">
        <f t="shared" si="11"/>
        <v>-0.66346153846153844</v>
      </c>
      <c r="M88" s="20">
        <f t="shared" si="11"/>
        <v>-0.77379767827529022</v>
      </c>
      <c r="N88" s="14"/>
      <c r="O88" s="17"/>
    </row>
    <row r="89" spans="1:15" x14ac:dyDescent="0.25">
      <c r="A89" s="7"/>
      <c r="B89" s="7"/>
      <c r="C89" s="7"/>
      <c r="D89" s="7"/>
      <c r="E89" s="7"/>
      <c r="F89" s="7"/>
      <c r="G89" s="7"/>
      <c r="H89" s="7" t="s">
        <v>19</v>
      </c>
      <c r="I89" s="7">
        <v>-1644.36</v>
      </c>
      <c r="J89" s="7">
        <v>-3346.48</v>
      </c>
      <c r="K89" s="7">
        <v>-3201.04</v>
      </c>
      <c r="L89" s="7">
        <v>-1260.72</v>
      </c>
      <c r="M89" s="7">
        <v>-9452.6</v>
      </c>
      <c r="N89" s="7"/>
      <c r="O89" s="4"/>
    </row>
    <row r="90" spans="1:15" ht="17.45" customHeight="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8"/>
    </row>
    <row r="91" spans="1:15" ht="17.45" customHeight="1" x14ac:dyDescent="0.25">
      <c r="A91" s="5" t="s">
        <v>20</v>
      </c>
      <c r="B91" s="5" t="s">
        <v>9</v>
      </c>
      <c r="C91" s="5" t="s">
        <v>21</v>
      </c>
      <c r="D91" s="5" t="s">
        <v>22</v>
      </c>
      <c r="E91" s="5" t="s">
        <v>4</v>
      </c>
      <c r="F91" s="5" t="s">
        <v>5</v>
      </c>
      <c r="G91" s="5" t="s">
        <v>8</v>
      </c>
      <c r="H91" s="5" t="s">
        <v>10</v>
      </c>
      <c r="I91" s="5" t="s">
        <v>13</v>
      </c>
      <c r="J91" s="5" t="s">
        <v>14</v>
      </c>
      <c r="K91" s="5" t="s">
        <v>15</v>
      </c>
      <c r="L91" s="5" t="s">
        <v>16</v>
      </c>
      <c r="M91" s="5" t="s">
        <v>23</v>
      </c>
      <c r="N91" s="5" t="s">
        <v>12</v>
      </c>
      <c r="O91" s="2" t="s">
        <v>80</v>
      </c>
    </row>
    <row r="92" spans="1:15" x14ac:dyDescent="0.25">
      <c r="A92" s="6">
        <v>182806</v>
      </c>
      <c r="B92" s="6"/>
      <c r="C92" s="6"/>
      <c r="D92" s="6"/>
      <c r="E92" s="6" t="s">
        <v>44</v>
      </c>
      <c r="F92" s="6" t="s">
        <v>75</v>
      </c>
      <c r="G92" s="6" t="s">
        <v>76</v>
      </c>
      <c r="H92" s="6" t="s">
        <v>17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 t="s">
        <v>35</v>
      </c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 t="s">
        <v>7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/>
      <c r="O93" s="4"/>
    </row>
    <row r="94" spans="1:15" x14ac:dyDescent="0.25">
      <c r="A94" s="6"/>
      <c r="B94" s="6">
        <v>2</v>
      </c>
      <c r="C94" s="6" t="s">
        <v>77</v>
      </c>
      <c r="D94" s="6" t="s">
        <v>78</v>
      </c>
      <c r="E94" s="6"/>
      <c r="F94" s="6"/>
      <c r="G94" s="6"/>
      <c r="H94" s="6"/>
      <c r="I94" s="6">
        <v>4</v>
      </c>
      <c r="J94" s="6">
        <v>4</v>
      </c>
      <c r="K94" s="6">
        <v>8</v>
      </c>
      <c r="L94" s="6">
        <v>4</v>
      </c>
      <c r="M94" s="6">
        <v>20</v>
      </c>
      <c r="N94" s="6"/>
      <c r="O94" s="3">
        <v>4</v>
      </c>
    </row>
    <row r="95" spans="1:15" x14ac:dyDescent="0.25">
      <c r="A95" s="7"/>
      <c r="B95" s="7"/>
      <c r="C95" s="7"/>
      <c r="D95" s="7"/>
      <c r="E95" s="7"/>
      <c r="F95" s="7"/>
      <c r="G95" s="7"/>
      <c r="H95" s="7" t="s">
        <v>11</v>
      </c>
      <c r="I95" s="7">
        <v>4</v>
      </c>
      <c r="J95" s="7">
        <v>4</v>
      </c>
      <c r="K95" s="7">
        <v>8</v>
      </c>
      <c r="L95" s="7">
        <v>4</v>
      </c>
      <c r="M95" s="7">
        <v>20</v>
      </c>
      <c r="N95" s="7"/>
      <c r="O95" s="4"/>
    </row>
    <row r="96" spans="1:15" ht="17.45" customHeight="1" x14ac:dyDescent="0.25">
      <c r="A96" s="16"/>
      <c r="B96" s="16"/>
      <c r="C96" s="16"/>
      <c r="D96" s="16"/>
      <c r="E96" s="16"/>
      <c r="F96" s="16"/>
      <c r="G96" s="16"/>
      <c r="H96" s="16" t="s">
        <v>79</v>
      </c>
      <c r="I96" s="21" t="str">
        <f t="shared" ref="I96:M96" si="12">IFERROR((I95/I92)-1,"Qty Order 0")</f>
        <v>Qty Order 0</v>
      </c>
      <c r="J96" s="21" t="str">
        <f t="shared" si="12"/>
        <v>Qty Order 0</v>
      </c>
      <c r="K96" s="21" t="str">
        <f t="shared" si="12"/>
        <v>Qty Order 0</v>
      </c>
      <c r="L96" s="21" t="str">
        <f t="shared" si="12"/>
        <v>Qty Order 0</v>
      </c>
      <c r="M96" s="21" t="str">
        <f t="shared" si="12"/>
        <v>Qty Order 0</v>
      </c>
      <c r="N96" s="16"/>
      <c r="O96" s="19"/>
    </row>
    <row r="97" spans="1:15" x14ac:dyDescent="0.25">
      <c r="A97" s="23"/>
      <c r="B97" s="23"/>
      <c r="C97" s="23"/>
      <c r="D97" s="23"/>
      <c r="E97" s="23"/>
      <c r="F97" s="23"/>
      <c r="G97" s="23"/>
      <c r="H97" s="23" t="s">
        <v>19</v>
      </c>
      <c r="I97" s="23">
        <v>4</v>
      </c>
      <c r="J97" s="23">
        <v>4</v>
      </c>
      <c r="K97" s="23">
        <v>8</v>
      </c>
      <c r="L97" s="23">
        <v>4</v>
      </c>
      <c r="M97" s="23">
        <v>20</v>
      </c>
      <c r="N97" s="23"/>
      <c r="O97" s="24"/>
    </row>
    <row r="98" spans="1:15" ht="17.45" customHeight="1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GELARAN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2024-06-28T02:11:31Z</dcterms:created>
  <dcterms:modified xsi:type="dcterms:W3CDTF">2024-07-04T08:03:30Z</dcterms:modified>
</cp:coreProperties>
</file>