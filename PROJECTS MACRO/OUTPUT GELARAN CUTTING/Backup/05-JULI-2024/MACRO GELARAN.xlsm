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IT\RPA Produksi\OUTPUT GELARAN CUTTING\"/>
    </mc:Choice>
  </mc:AlternateContent>
  <xr:revisionPtr revIDLastSave="0" documentId="13_ncr:1_{C751E112-0D72-4F04-B69B-C49BE11B4D3C}" xr6:coauthVersionLast="47" xr6:coauthVersionMax="47" xr10:uidLastSave="{00000000-0000-0000-0000-000000000000}"/>
  <bookViews>
    <workbookView xWindow="-110" yWindow="-110" windowWidth="19420" windowHeight="10300" activeTab="2" xr2:uid="{C38BC23B-03ED-48B4-AB65-46AE9451C958}"/>
  </bookViews>
  <sheets>
    <sheet name="HOME" sheetId="1" r:id="rId1"/>
    <sheet name="GELARAN" sheetId="767" r:id="rId2"/>
    <sheet name="RESUME" sheetId="77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772" l="1"/>
  <c r="E7" i="772"/>
  <c r="E6" i="772"/>
  <c r="E5" i="772"/>
  <c r="E4" i="772"/>
  <c r="E3" i="772"/>
  <c r="E2" i="772"/>
  <c r="I6" i="767"/>
  <c r="J6" i="767"/>
  <c r="K6" i="767"/>
  <c r="L6" i="767"/>
  <c r="M6" i="767"/>
  <c r="I12" i="767"/>
  <c r="J12" i="767"/>
  <c r="K12" i="767"/>
  <c r="L12" i="767"/>
  <c r="M12" i="767"/>
  <c r="I21" i="767"/>
  <c r="J21" i="767"/>
  <c r="K21" i="767"/>
  <c r="L21" i="767"/>
  <c r="M21" i="767"/>
  <c r="I29" i="767"/>
  <c r="J29" i="767"/>
  <c r="K29" i="767"/>
  <c r="L29" i="767"/>
  <c r="M29" i="767"/>
  <c r="I35" i="767"/>
  <c r="J35" i="767"/>
  <c r="K35" i="767"/>
  <c r="L35" i="767"/>
  <c r="M35" i="767"/>
  <c r="I41" i="767"/>
  <c r="J41" i="767"/>
  <c r="K41" i="767"/>
  <c r="L41" i="767"/>
  <c r="M41" i="767"/>
  <c r="I49" i="767"/>
  <c r="J49" i="767"/>
  <c r="K49" i="767"/>
  <c r="L49" i="767"/>
  <c r="M49" i="767"/>
  <c r="I58" i="767"/>
  <c r="J58" i="767"/>
  <c r="K58" i="767"/>
  <c r="I64" i="767"/>
  <c r="J64" i="767"/>
  <c r="K64" i="767"/>
  <c r="I70" i="767"/>
  <c r="J70" i="767"/>
  <c r="K70" i="767"/>
  <c r="I79" i="767"/>
  <c r="J79" i="767"/>
  <c r="K79" i="767"/>
  <c r="L79" i="767"/>
  <c r="M79" i="767"/>
  <c r="I88" i="767"/>
  <c r="J88" i="767"/>
  <c r="K88" i="767"/>
  <c r="L88" i="767"/>
  <c r="M88" i="767"/>
</calcChain>
</file>

<file path=xl/sharedStrings.xml><?xml version="1.0" encoding="utf-8"?>
<sst xmlns="http://schemas.openxmlformats.org/spreadsheetml/2006/main" count="266" uniqueCount="80">
  <si>
    <t>PATH FILE</t>
  </si>
  <si>
    <t>NAMA FILE</t>
  </si>
  <si>
    <t>\\10.8.0.35\Bersama\IT\RPA Produksi\OUTPUT GELARAN CUTTING\1204</t>
  </si>
  <si>
    <t>.xlsx</t>
  </si>
  <si>
    <t>ITEM</t>
  </si>
  <si>
    <t>ARTICLE</t>
  </si>
  <si>
    <t>PO-0000249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</si>
  <si>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</si>
  <si>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</si>
  <si>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</si>
  <si>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</si>
  <si>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</si>
  <si>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</si>
  <si>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</si>
  <si>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</si>
  <si>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</si>
  <si>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</si>
  <si>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</si>
  <si>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BALANCE</t>
  </si>
  <si>
    <t>WO</t>
  </si>
  <si>
    <t>TGL GELAR</t>
  </si>
  <si>
    <t>RASIO</t>
  </si>
  <si>
    <t>QTY</t>
  </si>
  <si>
    <t>PO-0000248</t>
  </si>
  <si>
    <t>2024-07-12</t>
  </si>
  <si>
    <t>BLACK</t>
  </si>
  <si>
    <t>ONIX</t>
  </si>
  <si>
    <t>GREY</t>
  </si>
  <si>
    <t>2024-07-05</t>
  </si>
  <si>
    <t>ADIDAS BRF, 5157977</t>
  </si>
  <si>
    <t>PO-0000189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</si>
  <si>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</si>
  <si>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</si>
  <si>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</si>
  <si>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</si>
  <si>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</si>
  <si>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BLUE</t>
  </si>
  <si>
    <t>0,2,2,0</t>
  </si>
  <si>
    <t>ADIDAS BRF, 5158609</t>
  </si>
  <si>
    <t>1,0,0,1</t>
  </si>
  <si>
    <t>1,1</t>
  </si>
  <si>
    <t>ADIDAS BRF, 5158610</t>
  </si>
  <si>
    <t>CARBON</t>
  </si>
  <si>
    <t>BLACK/ONIX</t>
  </si>
  <si>
    <t>BLACK 2</t>
  </si>
  <si>
    <t>ADIDAS BRF, 5158591</t>
  </si>
  <si>
    <t>ADIDAS BRF, 5158598</t>
  </si>
  <si>
    <t>SCARLET</t>
  </si>
  <si>
    <t>ADIDAS BRF, 5158582</t>
  </si>
  <si>
    <t>2024-07-05 06:46:27</t>
  </si>
  <si>
    <t>5,11,12,5</t>
  </si>
  <si>
    <t>2024-07-05 09:26:06</t>
  </si>
  <si>
    <t>2024-07-05 12:21:01</t>
  </si>
  <si>
    <t>7,16,14,5</t>
  </si>
  <si>
    <t>2024-07-05 16:54:07</t>
  </si>
  <si>
    <t>2024-07-05 20:27:17</t>
  </si>
  <si>
    <t>5,10,10,5</t>
  </si>
  <si>
    <t>2024-07-05 20:33:00</t>
  </si>
  <si>
    <t>2024-07-05 13:47:26</t>
  </si>
  <si>
    <t>ADIDAS BRF, 5157991</t>
  </si>
  <si>
    <t>2024-07-05 21:46:41</t>
  </si>
  <si>
    <t>5,6,5,5</t>
  </si>
  <si>
    <t>2024-07-05 15:30:16</t>
  </si>
  <si>
    <t>2,2</t>
  </si>
  <si>
    <t>2024-07-05 13:06:16</t>
  </si>
  <si>
    <t>2024-07-05 15:30:38</t>
  </si>
  <si>
    <t>2024-07-05 13:06:33</t>
  </si>
  <si>
    <t>2024-07-05 11:09:17</t>
  </si>
  <si>
    <t>0,2,0,1</t>
  </si>
  <si>
    <t>2024-07-05 11:09:52</t>
  </si>
  <si>
    <t>2,0,1,0</t>
  </si>
  <si>
    <t>PO-0000188</t>
  </si>
  <si>
    <t>2024-07-05 10:56:36</t>
  </si>
  <si>
    <t>2024-07-05 10:56:59</t>
  </si>
  <si>
    <t>QTY LEMBAR RASIO</t>
  </si>
  <si>
    <t>%actual</t>
  </si>
  <si>
    <t>QTY ORDER</t>
  </si>
  <si>
    <t>QTY OVER</t>
  </si>
  <si>
    <t>QTY GELAR</t>
  </si>
  <si>
    <t>BLC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</si>
</sst>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25433E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4">
    <border>
      <left/>
      <right/>
      <top/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  <border>
      <left style="thin">
        <color theme="0"/>
      </left>
      <right/>
      <top style="thin">
        <color rgb="FF346265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 style="thin">
        <color rgb="FF346265"/>
      </top>
      <bottom style="thin">
        <color rgb="FF346265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Border="1"/>
    <xf numFmtId="0" fontId="2" fillId="2" borderId="1" xfId="0" applyFont="1" applyFill="1" applyBorder="1"/>
    <xf numFmtId="0" fontId="4" fillId="0" borderId="0" xfId="0" applyFont="1"/>
    <xf numFmtId="0" fontId="0" fillId="0" borderId="2" xfId="0" applyBorder="1"/>
    <xf numFmtId="0" fontId="5" fillId="0" borderId="0" xfId="0" applyFont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4" fontId="5" fillId="7" borderId="4" xfId="0" applyNumberFormat="1" applyFont="1" applyFill="1" applyBorder="1" applyAlignment="1">
      <alignment horizontal="center" vertical="center"/>
    </xf>
    <xf numFmtId="164" fontId="5" fillId="7" borderId="6" xfId="0" applyNumberFormat="1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2463D"/>
      <color rgb="FF00CCFF"/>
      <color rgb="FFFF0066"/>
      <color rgb="FF34A7B6"/>
      <color rgb="FF25433E"/>
      <color rgb="FF234345"/>
      <color rgb="FF9BCED5"/>
      <color rgb="FFE4F0F1"/>
      <color rgb="FF93C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  <xdr:twoCellAnchor>
    <xdr:from>
      <xdr:col>0</xdr:col>
      <xdr:colOff>276225</xdr:colOff>
      <xdr:row>7</xdr:row>
      <xdr:rowOff>114299</xdr:rowOff>
    </xdr:from>
    <xdr:to>
      <xdr:col>1</xdr:col>
      <xdr:colOff>666750</xdr:colOff>
      <xdr:row>11</xdr:row>
      <xdr:rowOff>47624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6943560-E228-1EC8-53F3-A46895524B77}"/>
            </a:ext>
          </a:extLst>
        </xdr:cNvPr>
        <xdr:cNvGrpSpPr/>
      </xdr:nvGrpSpPr>
      <xdr:grpSpPr>
        <a:xfrm>
          <a:off x="276225" y="1403349"/>
          <a:ext cx="1317625" cy="682625"/>
          <a:chOff x="923925" y="2486025"/>
          <a:chExt cx="1714500" cy="914400"/>
        </a:xfrm>
      </xdr:grpSpPr>
      <xdr:sp macro="[0]!TanggalH1atauH3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AB7A5D3-6DBA-F2C7-809D-4CBF11EC2294}"/>
              </a:ext>
            </a:extLst>
          </xdr:cNvPr>
          <xdr:cNvSpPr/>
        </xdr:nvSpPr>
        <xdr:spPr>
          <a:xfrm>
            <a:off x="923925" y="2486025"/>
            <a:ext cx="1714500" cy="9144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metal">
            <a:bevelT w="171450" prst="coolSlant"/>
            <a:bevelB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</a:t>
            </a:r>
            <a:r>
              <a:rPr lang="en-US" sz="9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PERIODE</a:t>
            </a:r>
            <a:endParaRPr lang="en-US" sz="9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TanggalH1atauH3">
        <xdr:nvPicPr>
          <xdr:cNvPr id="5" name="Picture 4">
            <a:extLst>
              <a:ext uri="{FF2B5EF4-FFF2-40B4-BE49-F238E27FC236}">
                <a16:creationId xmlns:a16="http://schemas.microsoft.com/office/drawing/2014/main" id="{660B4B74-B15F-8003-2E27-10CE8990F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6376" y="2771774"/>
            <a:ext cx="609599" cy="60959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" TargetMode="External"/><Relationship Id="rId1" Type="http://schemas.openxmlformats.org/officeDocument/2006/relationships/hyperlink" Target="..\120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11D787"/>
  </sheetPr>
  <dimension ref="A2:G10"/>
  <sheetViews>
    <sheetView showGridLines="0" workbookViewId="0"/>
  </sheetViews>
  <sheetFormatPr defaultRowHeight="14.5" x14ac:dyDescent="0.35"/>
  <cols>
    <col min="1" max="1" width="13.26953125" customWidth="1"/>
    <col min="2" max="2" width="16.54296875" customWidth="1"/>
    <col min="3" max="3" width="3.7265625" customWidth="1"/>
    <col min="4" max="4" width="68" bestFit="1" customWidth="1"/>
    <col min="5" max="5" width="29.7265625" bestFit="1" customWidth="1"/>
    <col min="6" max="6" width="5" bestFit="1" customWidth="1"/>
    <col min="7" max="7" width="3.26953125" customWidth="1"/>
  </cols>
  <sheetData>
    <row r="2" spans="1:7" x14ac:dyDescent="0.35">
      <c r="A2" s="5" t="s">
        <v>32</v>
      </c>
    </row>
    <row r="5" spans="1:7" x14ac:dyDescent="0.35">
      <c r="D5" s="1" t="s">
        <v>0</v>
      </c>
      <c r="E5" s="1" t="s">
        <v>1</v>
      </c>
      <c r="F5" s="1" t="s">
        <v>31</v>
      </c>
    </row>
    <row r="6" spans="1:7" x14ac:dyDescent="0.35">
      <c r="D6" s="2" t="s">
        <v>2</v>
      </c>
      <c r="E6" s="3" t="s">
        <v>34</v>
      </c>
      <c r="F6" s="4" t="s">
        <v>3</v>
      </c>
    </row>
    <row r="7" spans="1:7" x14ac:dyDescent="0.35">
      <c r="D7" s="2" t="s">
        <v>33</v>
      </c>
      <c r="E7" s="3" t="s">
        <v>35</v>
      </c>
      <c r="F7" s="4" t="s">
        <v>3</v>
      </c>
    </row>
    <row r="9" spans="1:7" ht="15" thickBot="1" x14ac:dyDescent="0.4">
      <c r="C9" s="6"/>
      <c r="D9" s="6"/>
      <c r="E9" s="6"/>
      <c r="F9" s="6"/>
      <c r="G9" s="6"/>
    </row>
    <row r="10" spans="1:7" ht="15" thickTop="1" x14ac:dyDescent="0.35"/>
  </sheetData>
  <hyperlinks>
    <hyperlink ref="D6" r:id="rId1" xr:uid="{50087FA7-5311-4811-A424-18D253C37BF3}"/>
    <hyperlink ref="D7" r:id="rId2" xr:uid="{7318E73E-61C9-49FC-98F6-B13435BA0533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23C17-446C-4C74-846E-FD48B00C7CEB}">
  <sheetPr>
    <tabColor rgb="FF2CC35B"/>
  </sheetPr>
  <dimension ref="A1:O90"/>
  <sheetViews>
    <sheetView zoomScale="90" zoomScaleNormal="90" workbookViewId="0"/>
  </sheetViews>
  <sheetFormatPr defaultColWidth="9.1796875" defaultRowHeight="14.5" x14ac:dyDescent="0.35"/>
  <cols>
    <col min="1" max="1" width="9.81640625" style="7" customWidth="1"/>
    <col min="2" max="2" width="9.26953125" style="7" customWidth="1"/>
    <col min="3" max="3" width="23.54296875" style="7" customWidth="1"/>
    <col min="4" max="4" width="12.453125" style="7" customWidth="1"/>
    <col min="5" max="5" width="24" style="7" customWidth="1"/>
    <col min="6" max="6" width="14.453125" style="7" customWidth="1"/>
    <col min="7" max="7" width="14.81640625" style="7" customWidth="1"/>
    <col min="8" max="8" width="12.1796875" style="7" customWidth="1"/>
    <col min="9" max="9" width="7.26953125" style="7" customWidth="1"/>
    <col min="10" max="10" width="7.54296875" style="7" customWidth="1"/>
    <col min="11" max="11" width="8.453125" style="7" customWidth="1"/>
    <col min="12" max="12" width="18.26953125" style="7" customWidth="1"/>
    <col min="13" max="13" width="24.1796875" style="7" customWidth="1"/>
    <col min="14" max="14" width="18.26953125" style="7" customWidth="1"/>
    <col min="15" max="15" width="24.1796875" style="7" customWidth="1"/>
    <col min="16" max="16384" width="9.1796875" style="7"/>
  </cols>
  <sheetData>
    <row r="1" spans="1:15" ht="17.5" customHeight="1" x14ac:dyDescent="0.35">
      <c r="A1" s="9" t="s">
        <v>19</v>
      </c>
      <c r="B1" s="9" t="s">
        <v>9</v>
      </c>
      <c r="C1" s="9" t="s">
        <v>20</v>
      </c>
      <c r="D1" s="9" t="s">
        <v>21</v>
      </c>
      <c r="E1" s="9" t="s">
        <v>4</v>
      </c>
      <c r="F1" s="9" t="s">
        <v>5</v>
      </c>
      <c r="G1" s="9" t="s">
        <v>8</v>
      </c>
      <c r="H1" s="9" t="s">
        <v>10</v>
      </c>
      <c r="I1" s="9" t="s">
        <v>13</v>
      </c>
      <c r="J1" s="9" t="s">
        <v>14</v>
      </c>
      <c r="K1" s="9" t="s">
        <v>15</v>
      </c>
      <c r="L1" s="9" t="s">
        <v>16</v>
      </c>
      <c r="M1" s="9" t="s">
        <v>22</v>
      </c>
      <c r="N1" s="9" t="s">
        <v>12</v>
      </c>
      <c r="O1" s="16" t="s">
        <v>74</v>
      </c>
    </row>
    <row r="2" spans="1:15" x14ac:dyDescent="0.35">
      <c r="A2" s="10">
        <v>183020</v>
      </c>
      <c r="B2" s="10"/>
      <c r="C2" s="10"/>
      <c r="D2" s="10"/>
      <c r="E2" s="10" t="s">
        <v>48</v>
      </c>
      <c r="F2" s="10" t="s">
        <v>6</v>
      </c>
      <c r="G2" s="10" t="s">
        <v>25</v>
      </c>
      <c r="H2" s="10" t="s">
        <v>17</v>
      </c>
      <c r="I2" s="10">
        <v>360</v>
      </c>
      <c r="J2" s="10">
        <v>828</v>
      </c>
      <c r="K2" s="10">
        <v>864</v>
      </c>
      <c r="L2" s="10">
        <v>360</v>
      </c>
      <c r="M2" s="10">
        <v>2412</v>
      </c>
      <c r="N2" s="10" t="s">
        <v>24</v>
      </c>
      <c r="O2" s="17"/>
    </row>
    <row r="3" spans="1:15" x14ac:dyDescent="0.35">
      <c r="A3" s="11"/>
      <c r="B3" s="11"/>
      <c r="C3" s="11"/>
      <c r="D3" s="11"/>
      <c r="E3" s="11"/>
      <c r="F3" s="11"/>
      <c r="G3" s="11"/>
      <c r="H3" s="11" t="s">
        <v>7</v>
      </c>
      <c r="I3" s="11">
        <v>360</v>
      </c>
      <c r="J3" s="11">
        <v>828</v>
      </c>
      <c r="K3" s="11">
        <v>864</v>
      </c>
      <c r="L3" s="11">
        <v>360</v>
      </c>
      <c r="M3" s="11">
        <v>2412</v>
      </c>
      <c r="N3" s="11"/>
      <c r="O3" s="18"/>
    </row>
    <row r="4" spans="1:15" x14ac:dyDescent="0.35">
      <c r="A4" s="10"/>
      <c r="B4" s="10">
        <v>1</v>
      </c>
      <c r="C4" s="10" t="s">
        <v>49</v>
      </c>
      <c r="D4" s="10" t="s">
        <v>50</v>
      </c>
      <c r="E4" s="10"/>
      <c r="F4" s="10"/>
      <c r="G4" s="10"/>
      <c r="H4" s="10"/>
      <c r="I4" s="10">
        <v>360</v>
      </c>
      <c r="J4" s="10">
        <v>792</v>
      </c>
      <c r="K4" s="10">
        <v>864</v>
      </c>
      <c r="L4" s="10">
        <v>360</v>
      </c>
      <c r="M4" s="10">
        <v>2376</v>
      </c>
      <c r="N4" s="10"/>
      <c r="O4" s="17">
        <v>72</v>
      </c>
    </row>
    <row r="5" spans="1:15" x14ac:dyDescent="0.35">
      <c r="A5" s="11"/>
      <c r="B5" s="11"/>
      <c r="C5" s="11"/>
      <c r="D5" s="11"/>
      <c r="E5" s="11"/>
      <c r="F5" s="11"/>
      <c r="G5" s="11"/>
      <c r="H5" s="11" t="s">
        <v>11</v>
      </c>
      <c r="I5" s="11">
        <v>360</v>
      </c>
      <c r="J5" s="11">
        <v>792</v>
      </c>
      <c r="K5" s="11">
        <v>864</v>
      </c>
      <c r="L5" s="11">
        <v>360</v>
      </c>
      <c r="M5" s="11">
        <v>2376</v>
      </c>
      <c r="N5" s="11"/>
      <c r="O5" s="18"/>
    </row>
    <row r="6" spans="1:15" ht="17.5" customHeight="1" x14ac:dyDescent="0.35">
      <c r="A6" s="12"/>
      <c r="B6" s="12"/>
      <c r="C6" s="12"/>
      <c r="D6" s="12"/>
      <c r="E6" s="12"/>
      <c r="F6" s="12"/>
      <c r="G6" s="12"/>
      <c r="H6" s="12" t="s">
        <v>75</v>
      </c>
      <c r="I6" s="23">
        <f t="shared" ref="I6:M6" si="0">IFERROR((I5/I2)-1,"Qty Order 0")</f>
        <v>0</v>
      </c>
      <c r="J6" s="23">
        <f t="shared" si="0"/>
        <v>-4.3478260869565188E-2</v>
      </c>
      <c r="K6" s="23">
        <f t="shared" si="0"/>
        <v>0</v>
      </c>
      <c r="L6" s="23">
        <f t="shared" si="0"/>
        <v>0</v>
      </c>
      <c r="M6" s="23">
        <f t="shared" si="0"/>
        <v>-1.4925373134328401E-2</v>
      </c>
      <c r="N6" s="12"/>
      <c r="O6" s="19"/>
    </row>
    <row r="7" spans="1:15" x14ac:dyDescent="0.35">
      <c r="A7" s="11"/>
      <c r="B7" s="11"/>
      <c r="C7" s="11"/>
      <c r="D7" s="11"/>
      <c r="E7" s="11"/>
      <c r="F7" s="11"/>
      <c r="G7" s="11"/>
      <c r="H7" s="11" t="s">
        <v>18</v>
      </c>
      <c r="I7" s="11">
        <v>0</v>
      </c>
      <c r="J7" s="11">
        <v>-36</v>
      </c>
      <c r="K7" s="11">
        <v>0</v>
      </c>
      <c r="L7" s="11">
        <v>0</v>
      </c>
      <c r="M7" s="11">
        <v>-36</v>
      </c>
      <c r="N7" s="11"/>
      <c r="O7" s="18"/>
    </row>
    <row r="8" spans="1:15" x14ac:dyDescent="0.35">
      <c r="A8" s="10"/>
      <c r="B8" s="10"/>
      <c r="C8" s="10"/>
      <c r="D8" s="10"/>
      <c r="E8" s="10" t="s">
        <v>48</v>
      </c>
      <c r="F8" s="10" t="s">
        <v>6</v>
      </c>
      <c r="G8" s="10" t="s">
        <v>27</v>
      </c>
      <c r="H8" s="10" t="s">
        <v>17</v>
      </c>
      <c r="I8" s="10">
        <v>360</v>
      </c>
      <c r="J8" s="10">
        <v>828</v>
      </c>
      <c r="K8" s="10">
        <v>864</v>
      </c>
      <c r="L8" s="10">
        <v>360</v>
      </c>
      <c r="M8" s="10">
        <v>2412</v>
      </c>
      <c r="N8" s="10" t="s">
        <v>24</v>
      </c>
      <c r="O8" s="17"/>
    </row>
    <row r="9" spans="1:15" x14ac:dyDescent="0.35">
      <c r="A9" s="11"/>
      <c r="B9" s="11"/>
      <c r="C9" s="11"/>
      <c r="D9" s="11"/>
      <c r="E9" s="11"/>
      <c r="F9" s="11"/>
      <c r="G9" s="11"/>
      <c r="H9" s="11" t="s">
        <v>7</v>
      </c>
      <c r="I9" s="11">
        <v>360</v>
      </c>
      <c r="J9" s="11">
        <v>828</v>
      </c>
      <c r="K9" s="11">
        <v>864</v>
      </c>
      <c r="L9" s="11">
        <v>360</v>
      </c>
      <c r="M9" s="11">
        <v>2412</v>
      </c>
      <c r="N9" s="11"/>
      <c r="O9" s="18"/>
    </row>
    <row r="10" spans="1:15" x14ac:dyDescent="0.35">
      <c r="A10" s="10"/>
      <c r="B10" s="10">
        <v>1</v>
      </c>
      <c r="C10" s="10" t="s">
        <v>51</v>
      </c>
      <c r="D10" s="10" t="s">
        <v>50</v>
      </c>
      <c r="E10" s="10"/>
      <c r="F10" s="10"/>
      <c r="G10" s="10"/>
      <c r="H10" s="10"/>
      <c r="I10" s="10">
        <v>340</v>
      </c>
      <c r="J10" s="10">
        <v>748</v>
      </c>
      <c r="K10" s="10">
        <v>816</v>
      </c>
      <c r="L10" s="10">
        <v>340</v>
      </c>
      <c r="M10" s="10">
        <v>2244</v>
      </c>
      <c r="N10" s="10"/>
      <c r="O10" s="17">
        <v>68</v>
      </c>
    </row>
    <row r="11" spans="1:15" x14ac:dyDescent="0.35">
      <c r="A11" s="11"/>
      <c r="B11" s="11"/>
      <c r="C11" s="11"/>
      <c r="D11" s="11"/>
      <c r="E11" s="11"/>
      <c r="F11" s="11"/>
      <c r="G11" s="11"/>
      <c r="H11" s="11" t="s">
        <v>11</v>
      </c>
      <c r="I11" s="11">
        <v>340</v>
      </c>
      <c r="J11" s="11">
        <v>748</v>
      </c>
      <c r="K11" s="11">
        <v>816</v>
      </c>
      <c r="L11" s="11">
        <v>340</v>
      </c>
      <c r="M11" s="11">
        <v>2244</v>
      </c>
      <c r="N11" s="11"/>
      <c r="O11" s="18"/>
    </row>
    <row r="12" spans="1:15" ht="17.5" customHeight="1" x14ac:dyDescent="0.35">
      <c r="A12" s="12"/>
      <c r="B12" s="12"/>
      <c r="C12" s="12"/>
      <c r="D12" s="12"/>
      <c r="E12" s="12"/>
      <c r="F12" s="12"/>
      <c r="G12" s="12"/>
      <c r="H12" s="12" t="s">
        <v>75</v>
      </c>
      <c r="I12" s="23">
        <f t="shared" ref="I12:M12" si="1">IFERROR((I11/I8)-1,"Qty Order 0")</f>
        <v>-5.555555555555558E-2</v>
      </c>
      <c r="J12" s="23">
        <f t="shared" si="1"/>
        <v>-9.661835748792269E-2</v>
      </c>
      <c r="K12" s="23">
        <f t="shared" si="1"/>
        <v>-5.555555555555558E-2</v>
      </c>
      <c r="L12" s="23">
        <f t="shared" si="1"/>
        <v>-5.555555555555558E-2</v>
      </c>
      <c r="M12" s="23">
        <f t="shared" si="1"/>
        <v>-6.9651741293532354E-2</v>
      </c>
      <c r="N12" s="12"/>
      <c r="O12" s="19"/>
    </row>
    <row r="13" spans="1:15" x14ac:dyDescent="0.35">
      <c r="A13" s="11"/>
      <c r="B13" s="11"/>
      <c r="C13" s="11"/>
      <c r="D13" s="11"/>
      <c r="E13" s="11"/>
      <c r="F13" s="11"/>
      <c r="G13" s="11"/>
      <c r="H13" s="11" t="s">
        <v>18</v>
      </c>
      <c r="I13" s="11">
        <v>-20</v>
      </c>
      <c r="J13" s="11">
        <v>-80</v>
      </c>
      <c r="K13" s="11">
        <v>-48</v>
      </c>
      <c r="L13" s="11">
        <v>-20</v>
      </c>
      <c r="M13" s="11">
        <v>-168</v>
      </c>
      <c r="N13" s="11"/>
      <c r="O13" s="18"/>
    </row>
    <row r="14" spans="1:15" ht="17.5" customHeight="1" x14ac:dyDescent="0.3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20"/>
    </row>
    <row r="15" spans="1:15" ht="17.5" customHeight="1" x14ac:dyDescent="0.35">
      <c r="A15" s="9" t="s">
        <v>19</v>
      </c>
      <c r="B15" s="9" t="s">
        <v>9</v>
      </c>
      <c r="C15" s="9" t="s">
        <v>20</v>
      </c>
      <c r="D15" s="9" t="s">
        <v>21</v>
      </c>
      <c r="E15" s="9" t="s">
        <v>4</v>
      </c>
      <c r="F15" s="9" t="s">
        <v>5</v>
      </c>
      <c r="G15" s="9" t="s">
        <v>8</v>
      </c>
      <c r="H15" s="9" t="s">
        <v>10</v>
      </c>
      <c r="I15" s="9" t="s">
        <v>13</v>
      </c>
      <c r="J15" s="9" t="s">
        <v>14</v>
      </c>
      <c r="K15" s="9" t="s">
        <v>15</v>
      </c>
      <c r="L15" s="9" t="s">
        <v>16</v>
      </c>
      <c r="M15" s="9" t="s">
        <v>22</v>
      </c>
      <c r="N15" s="9" t="s">
        <v>12</v>
      </c>
      <c r="O15" s="16" t="s">
        <v>74</v>
      </c>
    </row>
    <row r="16" spans="1:15" x14ac:dyDescent="0.35">
      <c r="A16" s="10">
        <v>183018</v>
      </c>
      <c r="B16" s="10"/>
      <c r="C16" s="10"/>
      <c r="D16" s="10"/>
      <c r="E16" s="10" t="s">
        <v>46</v>
      </c>
      <c r="F16" s="10" t="s">
        <v>6</v>
      </c>
      <c r="G16" s="10" t="s">
        <v>47</v>
      </c>
      <c r="H16" s="10" t="s">
        <v>17</v>
      </c>
      <c r="I16" s="10">
        <v>504</v>
      </c>
      <c r="J16" s="10">
        <v>1152</v>
      </c>
      <c r="K16" s="10">
        <v>1116</v>
      </c>
      <c r="L16" s="10">
        <v>360</v>
      </c>
      <c r="M16" s="10">
        <v>3132</v>
      </c>
      <c r="N16" s="10" t="s">
        <v>24</v>
      </c>
      <c r="O16" s="17"/>
    </row>
    <row r="17" spans="1:15" x14ac:dyDescent="0.35">
      <c r="A17" s="11"/>
      <c r="B17" s="11"/>
      <c r="C17" s="11"/>
      <c r="D17" s="11"/>
      <c r="E17" s="11"/>
      <c r="F17" s="11"/>
      <c r="G17" s="11"/>
      <c r="H17" s="11" t="s">
        <v>7</v>
      </c>
      <c r="I17" s="11">
        <v>504</v>
      </c>
      <c r="J17" s="11">
        <v>1152</v>
      </c>
      <c r="K17" s="11">
        <v>1116</v>
      </c>
      <c r="L17" s="11">
        <v>360</v>
      </c>
      <c r="M17" s="11">
        <v>3132</v>
      </c>
      <c r="N17" s="11"/>
      <c r="O17" s="18"/>
    </row>
    <row r="18" spans="1:15" x14ac:dyDescent="0.35">
      <c r="A18" s="10"/>
      <c r="B18" s="10">
        <v>1</v>
      </c>
      <c r="C18" s="10" t="s">
        <v>52</v>
      </c>
      <c r="D18" s="10" t="s">
        <v>53</v>
      </c>
      <c r="E18" s="10"/>
      <c r="F18" s="10"/>
      <c r="G18" s="10"/>
      <c r="H18" s="10"/>
      <c r="I18" s="10">
        <v>301</v>
      </c>
      <c r="J18" s="10">
        <v>688</v>
      </c>
      <c r="K18" s="10">
        <v>602</v>
      </c>
      <c r="L18" s="10">
        <v>215</v>
      </c>
      <c r="M18" s="10">
        <v>1806</v>
      </c>
      <c r="N18" s="10"/>
      <c r="O18" s="17">
        <v>43</v>
      </c>
    </row>
    <row r="19" spans="1:15" x14ac:dyDescent="0.35">
      <c r="A19" s="11"/>
      <c r="B19" s="11">
        <v>2</v>
      </c>
      <c r="C19" s="11" t="s">
        <v>54</v>
      </c>
      <c r="D19" s="11" t="s">
        <v>53</v>
      </c>
      <c r="E19" s="11"/>
      <c r="F19" s="11"/>
      <c r="G19" s="11"/>
      <c r="H19" s="11"/>
      <c r="I19" s="11">
        <v>203</v>
      </c>
      <c r="J19" s="11">
        <v>463</v>
      </c>
      <c r="K19" s="11">
        <v>406</v>
      </c>
      <c r="L19" s="11">
        <v>145</v>
      </c>
      <c r="M19" s="11">
        <v>1217</v>
      </c>
      <c r="N19" s="11"/>
      <c r="O19" s="18">
        <v>29</v>
      </c>
    </row>
    <row r="20" spans="1:15" x14ac:dyDescent="0.35">
      <c r="A20" s="10"/>
      <c r="B20" s="10"/>
      <c r="C20" s="10"/>
      <c r="D20" s="10"/>
      <c r="E20" s="10"/>
      <c r="F20" s="10"/>
      <c r="G20" s="10"/>
      <c r="H20" s="10" t="s">
        <v>11</v>
      </c>
      <c r="I20" s="10">
        <v>504</v>
      </c>
      <c r="J20" s="10">
        <v>1151</v>
      </c>
      <c r="K20" s="10">
        <v>1008</v>
      </c>
      <c r="L20" s="10">
        <v>360</v>
      </c>
      <c r="M20" s="10">
        <v>3023</v>
      </c>
      <c r="N20" s="10"/>
      <c r="O20" s="17"/>
    </row>
    <row r="21" spans="1:15" ht="17.5" customHeight="1" x14ac:dyDescent="0.35">
      <c r="A21" s="12"/>
      <c r="B21" s="12"/>
      <c r="C21" s="12"/>
      <c r="D21" s="12"/>
      <c r="E21" s="12"/>
      <c r="F21" s="12"/>
      <c r="G21" s="12"/>
      <c r="H21" s="12" t="s">
        <v>75</v>
      </c>
      <c r="I21" s="23">
        <f t="shared" ref="I21:M21" si="2">IFERROR((I20/I16)-1,"Qty Order 0")</f>
        <v>0</v>
      </c>
      <c r="J21" s="23">
        <f t="shared" si="2"/>
        <v>-8.6805555555558023E-4</v>
      </c>
      <c r="K21" s="23">
        <f t="shared" si="2"/>
        <v>-9.6774193548387122E-2</v>
      </c>
      <c r="L21" s="23">
        <f t="shared" si="2"/>
        <v>0</v>
      </c>
      <c r="M21" s="23">
        <f t="shared" si="2"/>
        <v>-3.4802043422733075E-2</v>
      </c>
      <c r="N21" s="12"/>
      <c r="O21" s="19"/>
    </row>
    <row r="22" spans="1:15" x14ac:dyDescent="0.35">
      <c r="A22" s="10"/>
      <c r="B22" s="10"/>
      <c r="C22" s="10"/>
      <c r="D22" s="10"/>
      <c r="E22" s="10"/>
      <c r="F22" s="10"/>
      <c r="G22" s="10"/>
      <c r="H22" s="10" t="s">
        <v>18</v>
      </c>
      <c r="I22" s="10">
        <v>0</v>
      </c>
      <c r="J22" s="10">
        <v>-1</v>
      </c>
      <c r="K22" s="10">
        <v>-108</v>
      </c>
      <c r="L22" s="10">
        <v>0</v>
      </c>
      <c r="M22" s="10">
        <v>-109</v>
      </c>
      <c r="N22" s="10"/>
      <c r="O22" s="17"/>
    </row>
    <row r="23" spans="1:15" ht="17.5" customHeight="1" x14ac:dyDescent="0.3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20"/>
    </row>
    <row r="24" spans="1:15" ht="17.5" customHeight="1" x14ac:dyDescent="0.35">
      <c r="A24" s="9" t="s">
        <v>19</v>
      </c>
      <c r="B24" s="9" t="s">
        <v>9</v>
      </c>
      <c r="C24" s="9" t="s">
        <v>20</v>
      </c>
      <c r="D24" s="9" t="s">
        <v>21</v>
      </c>
      <c r="E24" s="9" t="s">
        <v>4</v>
      </c>
      <c r="F24" s="9" t="s">
        <v>5</v>
      </c>
      <c r="G24" s="9" t="s">
        <v>8</v>
      </c>
      <c r="H24" s="9" t="s">
        <v>10</v>
      </c>
      <c r="I24" s="9" t="s">
        <v>13</v>
      </c>
      <c r="J24" s="9" t="s">
        <v>14</v>
      </c>
      <c r="K24" s="9" t="s">
        <v>15</v>
      </c>
      <c r="L24" s="9" t="s">
        <v>16</v>
      </c>
      <c r="M24" s="9" t="s">
        <v>22</v>
      </c>
      <c r="N24" s="9" t="s">
        <v>12</v>
      </c>
      <c r="O24" s="16" t="s">
        <v>74</v>
      </c>
    </row>
    <row r="25" spans="1:15" x14ac:dyDescent="0.35">
      <c r="A25" s="11">
        <v>183022</v>
      </c>
      <c r="B25" s="11"/>
      <c r="C25" s="11"/>
      <c r="D25" s="11"/>
      <c r="E25" s="11" t="s">
        <v>45</v>
      </c>
      <c r="F25" s="11" t="s">
        <v>6</v>
      </c>
      <c r="G25" s="11" t="s">
        <v>27</v>
      </c>
      <c r="H25" s="11" t="s">
        <v>17</v>
      </c>
      <c r="I25" s="11">
        <v>360</v>
      </c>
      <c r="J25" s="11">
        <v>720</v>
      </c>
      <c r="K25" s="11">
        <v>720</v>
      </c>
      <c r="L25" s="11">
        <v>360</v>
      </c>
      <c r="M25" s="11">
        <v>2160</v>
      </c>
      <c r="N25" s="11" t="s">
        <v>24</v>
      </c>
      <c r="O25" s="18"/>
    </row>
    <row r="26" spans="1:15" x14ac:dyDescent="0.35">
      <c r="A26" s="10"/>
      <c r="B26" s="10"/>
      <c r="C26" s="10"/>
      <c r="D26" s="10"/>
      <c r="E26" s="10"/>
      <c r="F26" s="10"/>
      <c r="G26" s="10"/>
      <c r="H26" s="10" t="s">
        <v>7</v>
      </c>
      <c r="I26" s="10">
        <v>360</v>
      </c>
      <c r="J26" s="10">
        <v>720</v>
      </c>
      <c r="K26" s="10">
        <v>720</v>
      </c>
      <c r="L26" s="10">
        <v>360</v>
      </c>
      <c r="M26" s="10">
        <v>2160</v>
      </c>
      <c r="N26" s="10"/>
      <c r="O26" s="17"/>
    </row>
    <row r="27" spans="1:15" x14ac:dyDescent="0.35">
      <c r="A27" s="11"/>
      <c r="B27" s="11">
        <v>1</v>
      </c>
      <c r="C27" s="11" t="s">
        <v>55</v>
      </c>
      <c r="D27" s="11" t="s">
        <v>56</v>
      </c>
      <c r="E27" s="11"/>
      <c r="F27" s="11"/>
      <c r="G27" s="11"/>
      <c r="H27" s="11"/>
      <c r="I27" s="11">
        <v>345</v>
      </c>
      <c r="J27" s="11">
        <v>690</v>
      </c>
      <c r="K27" s="11">
        <v>690</v>
      </c>
      <c r="L27" s="11">
        <v>345</v>
      </c>
      <c r="M27" s="11">
        <v>2070</v>
      </c>
      <c r="N27" s="11"/>
      <c r="O27" s="18">
        <v>69</v>
      </c>
    </row>
    <row r="28" spans="1:15" x14ac:dyDescent="0.35">
      <c r="A28" s="10"/>
      <c r="B28" s="10"/>
      <c r="C28" s="10"/>
      <c r="D28" s="10"/>
      <c r="E28" s="10"/>
      <c r="F28" s="10"/>
      <c r="G28" s="10"/>
      <c r="H28" s="10" t="s">
        <v>11</v>
      </c>
      <c r="I28" s="10">
        <v>345</v>
      </c>
      <c r="J28" s="10">
        <v>690</v>
      </c>
      <c r="K28" s="10">
        <v>690</v>
      </c>
      <c r="L28" s="10">
        <v>345</v>
      </c>
      <c r="M28" s="10">
        <v>2070</v>
      </c>
      <c r="N28" s="10"/>
      <c r="O28" s="17"/>
    </row>
    <row r="29" spans="1:15" ht="17.5" customHeight="1" x14ac:dyDescent="0.35">
      <c r="A29" s="12"/>
      <c r="B29" s="12"/>
      <c r="C29" s="12"/>
      <c r="D29" s="12"/>
      <c r="E29" s="12"/>
      <c r="F29" s="12"/>
      <c r="G29" s="12"/>
      <c r="H29" s="12" t="s">
        <v>75</v>
      </c>
      <c r="I29" s="23">
        <f t="shared" ref="I29:M29" si="3">IFERROR((I28/I25)-1,"Qty Order 0")</f>
        <v>-4.166666666666663E-2</v>
      </c>
      <c r="J29" s="23">
        <f t="shared" si="3"/>
        <v>-4.166666666666663E-2</v>
      </c>
      <c r="K29" s="23">
        <f t="shared" si="3"/>
        <v>-4.166666666666663E-2</v>
      </c>
      <c r="L29" s="23">
        <f t="shared" si="3"/>
        <v>-4.166666666666663E-2</v>
      </c>
      <c r="M29" s="23">
        <f t="shared" si="3"/>
        <v>-4.166666666666663E-2</v>
      </c>
      <c r="N29" s="12"/>
      <c r="O29" s="19"/>
    </row>
    <row r="30" spans="1:15" x14ac:dyDescent="0.35">
      <c r="A30" s="10"/>
      <c r="B30" s="10"/>
      <c r="C30" s="10"/>
      <c r="D30" s="10"/>
      <c r="E30" s="10"/>
      <c r="F30" s="10"/>
      <c r="G30" s="10"/>
      <c r="H30" s="10" t="s">
        <v>18</v>
      </c>
      <c r="I30" s="10">
        <v>-15</v>
      </c>
      <c r="J30" s="10">
        <v>-30</v>
      </c>
      <c r="K30" s="10">
        <v>-30</v>
      </c>
      <c r="L30" s="10">
        <v>-15</v>
      </c>
      <c r="M30" s="10">
        <v>-90</v>
      </c>
      <c r="N30" s="10"/>
      <c r="O30" s="17"/>
    </row>
    <row r="31" spans="1:15" x14ac:dyDescent="0.35">
      <c r="A31" s="11"/>
      <c r="B31" s="11"/>
      <c r="C31" s="11"/>
      <c r="D31" s="11"/>
      <c r="E31" s="11" t="s">
        <v>45</v>
      </c>
      <c r="F31" s="11" t="s">
        <v>6</v>
      </c>
      <c r="G31" s="11" t="s">
        <v>42</v>
      </c>
      <c r="H31" s="11" t="s">
        <v>17</v>
      </c>
      <c r="I31" s="11">
        <v>360</v>
      </c>
      <c r="J31" s="11">
        <v>720</v>
      </c>
      <c r="K31" s="11">
        <v>720</v>
      </c>
      <c r="L31" s="11">
        <v>360</v>
      </c>
      <c r="M31" s="11">
        <v>2160</v>
      </c>
      <c r="N31" s="11" t="s">
        <v>24</v>
      </c>
      <c r="O31" s="18"/>
    </row>
    <row r="32" spans="1:15" x14ac:dyDescent="0.35">
      <c r="A32" s="10"/>
      <c r="B32" s="10"/>
      <c r="C32" s="10"/>
      <c r="D32" s="10"/>
      <c r="E32" s="10"/>
      <c r="F32" s="10"/>
      <c r="G32" s="10"/>
      <c r="H32" s="10" t="s">
        <v>7</v>
      </c>
      <c r="I32" s="10">
        <v>360</v>
      </c>
      <c r="J32" s="10">
        <v>720</v>
      </c>
      <c r="K32" s="10">
        <v>720</v>
      </c>
      <c r="L32" s="10">
        <v>360</v>
      </c>
      <c r="M32" s="10">
        <v>2160</v>
      </c>
      <c r="N32" s="10"/>
      <c r="O32" s="17"/>
    </row>
    <row r="33" spans="1:15" x14ac:dyDescent="0.35">
      <c r="A33" s="11"/>
      <c r="B33" s="11">
        <v>1</v>
      </c>
      <c r="C33" s="11" t="s">
        <v>57</v>
      </c>
      <c r="D33" s="11" t="s">
        <v>56</v>
      </c>
      <c r="E33" s="11"/>
      <c r="F33" s="11"/>
      <c r="G33" s="11"/>
      <c r="H33" s="11"/>
      <c r="I33" s="11">
        <v>360</v>
      </c>
      <c r="J33" s="11">
        <v>720</v>
      </c>
      <c r="K33" s="11">
        <v>720</v>
      </c>
      <c r="L33" s="11">
        <v>360</v>
      </c>
      <c r="M33" s="11">
        <v>2160</v>
      </c>
      <c r="N33" s="11"/>
      <c r="O33" s="18">
        <v>72</v>
      </c>
    </row>
    <row r="34" spans="1:15" x14ac:dyDescent="0.35">
      <c r="A34" s="10"/>
      <c r="B34" s="10"/>
      <c r="C34" s="10"/>
      <c r="D34" s="10"/>
      <c r="E34" s="10"/>
      <c r="F34" s="10"/>
      <c r="G34" s="10"/>
      <c r="H34" s="10" t="s">
        <v>11</v>
      </c>
      <c r="I34" s="10">
        <v>360</v>
      </c>
      <c r="J34" s="10">
        <v>720</v>
      </c>
      <c r="K34" s="10">
        <v>720</v>
      </c>
      <c r="L34" s="10">
        <v>360</v>
      </c>
      <c r="M34" s="10">
        <v>2160</v>
      </c>
      <c r="N34" s="10"/>
      <c r="O34" s="17"/>
    </row>
    <row r="35" spans="1:15" ht="17.5" customHeight="1" x14ac:dyDescent="0.35">
      <c r="A35" s="12"/>
      <c r="B35" s="12"/>
      <c r="C35" s="12"/>
      <c r="D35" s="12"/>
      <c r="E35" s="12"/>
      <c r="F35" s="12"/>
      <c r="G35" s="12"/>
      <c r="H35" s="12" t="s">
        <v>75</v>
      </c>
      <c r="I35" s="23">
        <f t="shared" ref="I35:M35" si="4">IFERROR((I34/I31)-1,"Qty Order 0")</f>
        <v>0</v>
      </c>
      <c r="J35" s="23">
        <f t="shared" si="4"/>
        <v>0</v>
      </c>
      <c r="K35" s="23">
        <f t="shared" si="4"/>
        <v>0</v>
      </c>
      <c r="L35" s="23">
        <f t="shared" si="4"/>
        <v>0</v>
      </c>
      <c r="M35" s="23">
        <f t="shared" si="4"/>
        <v>0</v>
      </c>
      <c r="N35" s="12"/>
      <c r="O35" s="19"/>
    </row>
    <row r="36" spans="1:15" x14ac:dyDescent="0.35">
      <c r="A36" s="10"/>
      <c r="B36" s="10"/>
      <c r="C36" s="10"/>
      <c r="D36" s="10"/>
      <c r="E36" s="10"/>
      <c r="F36" s="10"/>
      <c r="G36" s="10"/>
      <c r="H36" s="10" t="s">
        <v>18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/>
      <c r="O36" s="17"/>
    </row>
    <row r="37" spans="1:15" x14ac:dyDescent="0.35">
      <c r="A37" s="11"/>
      <c r="B37" s="11"/>
      <c r="C37" s="11"/>
      <c r="D37" s="11"/>
      <c r="E37" s="11" t="s">
        <v>45</v>
      </c>
      <c r="F37" s="11" t="s">
        <v>6</v>
      </c>
      <c r="G37" s="11" t="s">
        <v>25</v>
      </c>
      <c r="H37" s="11" t="s">
        <v>17</v>
      </c>
      <c r="I37" s="11">
        <v>360</v>
      </c>
      <c r="J37" s="11">
        <v>720</v>
      </c>
      <c r="K37" s="11">
        <v>720</v>
      </c>
      <c r="L37" s="11">
        <v>360</v>
      </c>
      <c r="M37" s="11">
        <v>2160</v>
      </c>
      <c r="N37" s="11" t="s">
        <v>24</v>
      </c>
      <c r="O37" s="18"/>
    </row>
    <row r="38" spans="1:15" x14ac:dyDescent="0.35">
      <c r="A38" s="10"/>
      <c r="B38" s="10"/>
      <c r="C38" s="10"/>
      <c r="D38" s="10"/>
      <c r="E38" s="10"/>
      <c r="F38" s="10"/>
      <c r="G38" s="10"/>
      <c r="H38" s="10" t="s">
        <v>7</v>
      </c>
      <c r="I38" s="10">
        <v>360</v>
      </c>
      <c r="J38" s="10">
        <v>720</v>
      </c>
      <c r="K38" s="10">
        <v>720</v>
      </c>
      <c r="L38" s="10">
        <v>360</v>
      </c>
      <c r="M38" s="10">
        <v>2160</v>
      </c>
      <c r="N38" s="10"/>
      <c r="O38" s="17"/>
    </row>
    <row r="39" spans="1:15" x14ac:dyDescent="0.35">
      <c r="A39" s="11"/>
      <c r="B39" s="11">
        <v>1</v>
      </c>
      <c r="C39" s="11" t="s">
        <v>58</v>
      </c>
      <c r="D39" s="11" t="s">
        <v>56</v>
      </c>
      <c r="E39" s="11"/>
      <c r="F39" s="11"/>
      <c r="G39" s="11"/>
      <c r="H39" s="11"/>
      <c r="I39" s="11">
        <v>340</v>
      </c>
      <c r="J39" s="11">
        <v>680</v>
      </c>
      <c r="K39" s="11">
        <v>680</v>
      </c>
      <c r="L39" s="11">
        <v>340</v>
      </c>
      <c r="M39" s="11">
        <v>2040</v>
      </c>
      <c r="N39" s="11"/>
      <c r="O39" s="18">
        <v>68</v>
      </c>
    </row>
    <row r="40" spans="1:15" x14ac:dyDescent="0.35">
      <c r="A40" s="10"/>
      <c r="B40" s="10"/>
      <c r="C40" s="10"/>
      <c r="D40" s="10"/>
      <c r="E40" s="10"/>
      <c r="F40" s="10"/>
      <c r="G40" s="10"/>
      <c r="H40" s="10" t="s">
        <v>11</v>
      </c>
      <c r="I40" s="10">
        <v>340</v>
      </c>
      <c r="J40" s="10">
        <v>680</v>
      </c>
      <c r="K40" s="10">
        <v>680</v>
      </c>
      <c r="L40" s="10">
        <v>340</v>
      </c>
      <c r="M40" s="10">
        <v>2040</v>
      </c>
      <c r="N40" s="10"/>
      <c r="O40" s="17"/>
    </row>
    <row r="41" spans="1:15" ht="17.5" customHeight="1" x14ac:dyDescent="0.35">
      <c r="A41" s="12"/>
      <c r="B41" s="12"/>
      <c r="C41" s="12"/>
      <c r="D41" s="12"/>
      <c r="E41" s="12"/>
      <c r="F41" s="12"/>
      <c r="G41" s="12"/>
      <c r="H41" s="12" t="s">
        <v>75</v>
      </c>
      <c r="I41" s="23">
        <f t="shared" ref="I41:M41" si="5">IFERROR((I40/I37)-1,"Qty Order 0")</f>
        <v>-5.555555555555558E-2</v>
      </c>
      <c r="J41" s="23">
        <f t="shared" si="5"/>
        <v>-5.555555555555558E-2</v>
      </c>
      <c r="K41" s="23">
        <f t="shared" si="5"/>
        <v>-5.555555555555558E-2</v>
      </c>
      <c r="L41" s="23">
        <f t="shared" si="5"/>
        <v>-5.555555555555558E-2</v>
      </c>
      <c r="M41" s="23">
        <f t="shared" si="5"/>
        <v>-5.555555555555558E-2</v>
      </c>
      <c r="N41" s="12"/>
      <c r="O41" s="19"/>
    </row>
    <row r="42" spans="1:15" x14ac:dyDescent="0.35">
      <c r="A42" s="10"/>
      <c r="B42" s="10"/>
      <c r="C42" s="10"/>
      <c r="D42" s="10"/>
      <c r="E42" s="10"/>
      <c r="F42" s="10"/>
      <c r="G42" s="10"/>
      <c r="H42" s="10" t="s">
        <v>18</v>
      </c>
      <c r="I42" s="10">
        <v>-20</v>
      </c>
      <c r="J42" s="10">
        <v>-40</v>
      </c>
      <c r="K42" s="10">
        <v>-40</v>
      </c>
      <c r="L42" s="10">
        <v>-20</v>
      </c>
      <c r="M42" s="10">
        <v>-120</v>
      </c>
      <c r="N42" s="10"/>
      <c r="O42" s="17"/>
    </row>
    <row r="43" spans="1:15" ht="17.5" customHeight="1" x14ac:dyDescent="0.3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20"/>
    </row>
    <row r="44" spans="1:15" ht="17.5" customHeight="1" x14ac:dyDescent="0.35">
      <c r="A44" s="9" t="s">
        <v>19</v>
      </c>
      <c r="B44" s="9" t="s">
        <v>9</v>
      </c>
      <c r="C44" s="9" t="s">
        <v>20</v>
      </c>
      <c r="D44" s="9" t="s">
        <v>21</v>
      </c>
      <c r="E44" s="9" t="s">
        <v>4</v>
      </c>
      <c r="F44" s="9" t="s">
        <v>5</v>
      </c>
      <c r="G44" s="9" t="s">
        <v>8</v>
      </c>
      <c r="H44" s="9" t="s">
        <v>10</v>
      </c>
      <c r="I44" s="9" t="s">
        <v>13</v>
      </c>
      <c r="J44" s="9" t="s">
        <v>14</v>
      </c>
      <c r="K44" s="9" t="s">
        <v>15</v>
      </c>
      <c r="L44" s="9" t="s">
        <v>16</v>
      </c>
      <c r="M44" s="9" t="s">
        <v>22</v>
      </c>
      <c r="N44" s="9" t="s">
        <v>12</v>
      </c>
      <c r="O44" s="16" t="s">
        <v>74</v>
      </c>
    </row>
    <row r="45" spans="1:15" x14ac:dyDescent="0.35">
      <c r="A45" s="11">
        <v>182997</v>
      </c>
      <c r="B45" s="11"/>
      <c r="C45" s="11"/>
      <c r="D45" s="11"/>
      <c r="E45" s="11" t="s">
        <v>59</v>
      </c>
      <c r="F45" s="11" t="s">
        <v>23</v>
      </c>
      <c r="G45" s="11" t="s">
        <v>44</v>
      </c>
      <c r="H45" s="11" t="s">
        <v>17</v>
      </c>
      <c r="I45" s="11">
        <v>360</v>
      </c>
      <c r="J45" s="11">
        <v>432</v>
      </c>
      <c r="K45" s="11">
        <v>360</v>
      </c>
      <c r="L45" s="11">
        <v>360</v>
      </c>
      <c r="M45" s="11">
        <v>1512</v>
      </c>
      <c r="N45" s="11" t="s">
        <v>24</v>
      </c>
      <c r="O45" s="18"/>
    </row>
    <row r="46" spans="1:15" x14ac:dyDescent="0.35">
      <c r="A46" s="10"/>
      <c r="B46" s="10"/>
      <c r="C46" s="10"/>
      <c r="D46" s="10"/>
      <c r="E46" s="10"/>
      <c r="F46" s="10"/>
      <c r="G46" s="10"/>
      <c r="H46" s="10" t="s">
        <v>7</v>
      </c>
      <c r="I46" s="10">
        <v>360</v>
      </c>
      <c r="J46" s="10">
        <v>432</v>
      </c>
      <c r="K46" s="10">
        <v>360</v>
      </c>
      <c r="L46" s="10">
        <v>360</v>
      </c>
      <c r="M46" s="10">
        <v>1512</v>
      </c>
      <c r="N46" s="10"/>
      <c r="O46" s="17"/>
    </row>
    <row r="47" spans="1:15" x14ac:dyDescent="0.35">
      <c r="A47" s="11"/>
      <c r="B47" s="11">
        <v>1</v>
      </c>
      <c r="C47" s="11" t="s">
        <v>60</v>
      </c>
      <c r="D47" s="11" t="s">
        <v>61</v>
      </c>
      <c r="E47" s="11"/>
      <c r="F47" s="11"/>
      <c r="G47" s="11"/>
      <c r="H47" s="11"/>
      <c r="I47" s="11">
        <v>360</v>
      </c>
      <c r="J47" s="11">
        <v>432</v>
      </c>
      <c r="K47" s="11">
        <v>360</v>
      </c>
      <c r="L47" s="11">
        <v>360</v>
      </c>
      <c r="M47" s="11">
        <v>1512</v>
      </c>
      <c r="N47" s="11"/>
      <c r="O47" s="18">
        <v>72</v>
      </c>
    </row>
    <row r="48" spans="1:15" x14ac:dyDescent="0.35">
      <c r="A48" s="10"/>
      <c r="B48" s="10"/>
      <c r="C48" s="10"/>
      <c r="D48" s="10"/>
      <c r="E48" s="10"/>
      <c r="F48" s="10"/>
      <c r="G48" s="10"/>
      <c r="H48" s="10" t="s">
        <v>11</v>
      </c>
      <c r="I48" s="10">
        <v>360</v>
      </c>
      <c r="J48" s="10">
        <v>432</v>
      </c>
      <c r="K48" s="10">
        <v>360</v>
      </c>
      <c r="L48" s="10">
        <v>360</v>
      </c>
      <c r="M48" s="10">
        <v>1512</v>
      </c>
      <c r="N48" s="10"/>
      <c r="O48" s="17"/>
    </row>
    <row r="49" spans="1:15" ht="17.5" customHeight="1" x14ac:dyDescent="0.35">
      <c r="A49" s="12"/>
      <c r="B49" s="12"/>
      <c r="C49" s="12"/>
      <c r="D49" s="12"/>
      <c r="E49" s="12"/>
      <c r="F49" s="12"/>
      <c r="G49" s="12"/>
      <c r="H49" s="12" t="s">
        <v>75</v>
      </c>
      <c r="I49" s="23">
        <f t="shared" ref="I49:M49" si="6">IFERROR((I48/I45)-1,"Qty Order 0")</f>
        <v>0</v>
      </c>
      <c r="J49" s="23">
        <f t="shared" si="6"/>
        <v>0</v>
      </c>
      <c r="K49" s="23">
        <f t="shared" si="6"/>
        <v>0</v>
      </c>
      <c r="L49" s="23">
        <f t="shared" si="6"/>
        <v>0</v>
      </c>
      <c r="M49" s="23">
        <f t="shared" si="6"/>
        <v>0</v>
      </c>
      <c r="N49" s="12"/>
      <c r="O49" s="19"/>
    </row>
    <row r="50" spans="1:15" x14ac:dyDescent="0.35">
      <c r="A50" s="10"/>
      <c r="B50" s="10"/>
      <c r="C50" s="10"/>
      <c r="D50" s="10"/>
      <c r="E50" s="10"/>
      <c r="F50" s="10"/>
      <c r="G50" s="10"/>
      <c r="H50" s="10" t="s">
        <v>18</v>
      </c>
      <c r="I50" s="10">
        <v>0</v>
      </c>
      <c r="J50" s="10">
        <v>0</v>
      </c>
      <c r="K50" s="10">
        <v>0</v>
      </c>
      <c r="L50" s="10">
        <v>0</v>
      </c>
      <c r="M50" s="10">
        <v>0</v>
      </c>
      <c r="N50" s="10"/>
      <c r="O50" s="17"/>
    </row>
    <row r="51" spans="1:15" ht="17.5" customHeight="1" x14ac:dyDescent="0.3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20"/>
    </row>
    <row r="52" spans="1:15" ht="17.5" customHeight="1" x14ac:dyDescent="0.35">
      <c r="A52" s="9" t="s">
        <v>19</v>
      </c>
      <c r="B52" s="9" t="s">
        <v>9</v>
      </c>
      <c r="C52" s="9" t="s">
        <v>20</v>
      </c>
      <c r="D52" s="9" t="s">
        <v>21</v>
      </c>
      <c r="E52" s="9" t="s">
        <v>4</v>
      </c>
      <c r="F52" s="9" t="s">
        <v>5</v>
      </c>
      <c r="G52" s="9" t="s">
        <v>8</v>
      </c>
      <c r="H52" s="9" t="s">
        <v>10</v>
      </c>
      <c r="I52" s="9" t="s">
        <v>14</v>
      </c>
      <c r="J52" s="9" t="s">
        <v>15</v>
      </c>
      <c r="K52" s="9" t="s">
        <v>22</v>
      </c>
      <c r="L52" s="9" t="s">
        <v>12</v>
      </c>
      <c r="M52" s="9" t="s">
        <v>74</v>
      </c>
      <c r="N52" s="9"/>
      <c r="O52" s="16"/>
    </row>
    <row r="53" spans="1:15" x14ac:dyDescent="0.35">
      <c r="A53" s="11">
        <v>182786</v>
      </c>
      <c r="B53" s="11"/>
      <c r="C53" s="11"/>
      <c r="D53" s="11"/>
      <c r="E53" s="11" t="s">
        <v>41</v>
      </c>
      <c r="F53" s="11" t="s">
        <v>30</v>
      </c>
      <c r="G53" s="11" t="s">
        <v>43</v>
      </c>
      <c r="H53" s="11" t="s">
        <v>17</v>
      </c>
      <c r="I53" s="11">
        <v>180</v>
      </c>
      <c r="J53" s="11">
        <v>180</v>
      </c>
      <c r="K53" s="11">
        <v>360</v>
      </c>
      <c r="L53" s="11" t="s">
        <v>28</v>
      </c>
      <c r="M53" s="11"/>
      <c r="N53" s="11"/>
      <c r="O53" s="18"/>
    </row>
    <row r="54" spans="1:15" x14ac:dyDescent="0.35">
      <c r="A54" s="10"/>
      <c r="B54" s="10"/>
      <c r="C54" s="10"/>
      <c r="D54" s="10"/>
      <c r="E54" s="10"/>
      <c r="F54" s="10"/>
      <c r="G54" s="10"/>
      <c r="H54" s="10" t="s">
        <v>7</v>
      </c>
      <c r="I54" s="10">
        <v>180</v>
      </c>
      <c r="J54" s="10">
        <v>180</v>
      </c>
      <c r="K54" s="10">
        <v>360</v>
      </c>
      <c r="L54" s="10"/>
      <c r="M54" s="10"/>
      <c r="N54" s="10"/>
      <c r="O54" s="17"/>
    </row>
    <row r="55" spans="1:15" x14ac:dyDescent="0.35">
      <c r="A55" s="11"/>
      <c r="B55" s="11">
        <v>2</v>
      </c>
      <c r="C55" s="11" t="s">
        <v>62</v>
      </c>
      <c r="D55" s="11" t="s">
        <v>63</v>
      </c>
      <c r="E55" s="11"/>
      <c r="F55" s="11"/>
      <c r="G55" s="11"/>
      <c r="H55" s="11"/>
      <c r="I55" s="11">
        <v>38</v>
      </c>
      <c r="J55" s="11">
        <v>38</v>
      </c>
      <c r="K55" s="11">
        <v>76</v>
      </c>
      <c r="L55" s="11"/>
      <c r="M55" s="11">
        <v>19</v>
      </c>
      <c r="N55" s="11"/>
      <c r="O55" s="18"/>
    </row>
    <row r="56" spans="1:15" x14ac:dyDescent="0.35">
      <c r="A56" s="10"/>
      <c r="B56" s="10">
        <v>3</v>
      </c>
      <c r="C56" s="10" t="s">
        <v>64</v>
      </c>
      <c r="D56" s="10" t="s">
        <v>40</v>
      </c>
      <c r="E56" s="10"/>
      <c r="F56" s="10"/>
      <c r="G56" s="10"/>
      <c r="H56" s="10"/>
      <c r="I56" s="10">
        <v>24</v>
      </c>
      <c r="J56" s="10">
        <v>24</v>
      </c>
      <c r="K56" s="10">
        <v>48</v>
      </c>
      <c r="L56" s="10"/>
      <c r="M56" s="10">
        <v>24</v>
      </c>
      <c r="N56" s="10"/>
      <c r="O56" s="17"/>
    </row>
    <row r="57" spans="1:15" x14ac:dyDescent="0.35">
      <c r="A57" s="11"/>
      <c r="B57" s="11"/>
      <c r="C57" s="11"/>
      <c r="D57" s="11"/>
      <c r="E57" s="11"/>
      <c r="F57" s="11"/>
      <c r="G57" s="11"/>
      <c r="H57" s="11" t="s">
        <v>11</v>
      </c>
      <c r="I57" s="11">
        <v>62</v>
      </c>
      <c r="J57" s="11">
        <v>62</v>
      </c>
      <c r="K57" s="11">
        <v>124</v>
      </c>
      <c r="L57" s="11"/>
      <c r="M57" s="11"/>
      <c r="N57" s="11"/>
      <c r="O57" s="18"/>
    </row>
    <row r="58" spans="1:15" ht="17.5" customHeight="1" x14ac:dyDescent="0.35">
      <c r="A58" s="12"/>
      <c r="B58" s="12"/>
      <c r="C58" s="12"/>
      <c r="D58" s="12"/>
      <c r="E58" s="12"/>
      <c r="F58" s="12"/>
      <c r="G58" s="12"/>
      <c r="H58" s="12" t="s">
        <v>75</v>
      </c>
      <c r="I58" s="23">
        <f t="shared" ref="I58:K58" si="7">IFERROR((I57/I53)-1,"Qty Order 0")</f>
        <v>-0.65555555555555556</v>
      </c>
      <c r="J58" s="23">
        <f t="shared" si="7"/>
        <v>-0.65555555555555556</v>
      </c>
      <c r="K58" s="23">
        <f t="shared" si="7"/>
        <v>-0.65555555555555556</v>
      </c>
      <c r="L58" s="12"/>
      <c r="M58" s="12"/>
      <c r="N58" s="12"/>
      <c r="O58" s="19"/>
    </row>
    <row r="59" spans="1:15" x14ac:dyDescent="0.35">
      <c r="A59" s="11"/>
      <c r="B59" s="11"/>
      <c r="C59" s="11"/>
      <c r="D59" s="11"/>
      <c r="E59" s="11"/>
      <c r="F59" s="11"/>
      <c r="G59" s="11"/>
      <c r="H59" s="11" t="s">
        <v>18</v>
      </c>
      <c r="I59" s="11">
        <v>-118</v>
      </c>
      <c r="J59" s="11">
        <v>-118</v>
      </c>
      <c r="K59" s="11">
        <v>-236</v>
      </c>
      <c r="L59" s="11"/>
      <c r="M59" s="11"/>
      <c r="N59" s="11"/>
      <c r="O59" s="18"/>
    </row>
    <row r="60" spans="1:15" x14ac:dyDescent="0.35">
      <c r="A60" s="10"/>
      <c r="B60" s="10"/>
      <c r="C60" s="10"/>
      <c r="D60" s="10"/>
      <c r="E60" s="10" t="s">
        <v>41</v>
      </c>
      <c r="F60" s="10" t="s">
        <v>30</v>
      </c>
      <c r="G60" s="10" t="s">
        <v>26</v>
      </c>
      <c r="H60" s="10" t="s">
        <v>17</v>
      </c>
      <c r="I60" s="10">
        <v>180</v>
      </c>
      <c r="J60" s="10">
        <v>180</v>
      </c>
      <c r="K60" s="10">
        <v>360</v>
      </c>
      <c r="L60" s="10" t="s">
        <v>28</v>
      </c>
      <c r="M60" s="10"/>
      <c r="N60" s="10"/>
      <c r="O60" s="17"/>
    </row>
    <row r="61" spans="1:15" x14ac:dyDescent="0.35">
      <c r="A61" s="11"/>
      <c r="B61" s="11"/>
      <c r="C61" s="11"/>
      <c r="D61" s="11"/>
      <c r="E61" s="11"/>
      <c r="F61" s="11"/>
      <c r="G61" s="11"/>
      <c r="H61" s="11" t="s">
        <v>7</v>
      </c>
      <c r="I61" s="11">
        <v>180</v>
      </c>
      <c r="J61" s="11">
        <v>180</v>
      </c>
      <c r="K61" s="11">
        <v>360</v>
      </c>
      <c r="L61" s="11"/>
      <c r="M61" s="11"/>
      <c r="N61" s="11"/>
      <c r="O61" s="18"/>
    </row>
    <row r="62" spans="1:15" x14ac:dyDescent="0.35">
      <c r="A62" s="10"/>
      <c r="B62" s="10">
        <v>2</v>
      </c>
      <c r="C62" s="10" t="s">
        <v>65</v>
      </c>
      <c r="D62" s="10" t="s">
        <v>63</v>
      </c>
      <c r="E62" s="10"/>
      <c r="F62" s="10"/>
      <c r="G62" s="10"/>
      <c r="H62" s="10"/>
      <c r="I62" s="10">
        <v>120</v>
      </c>
      <c r="J62" s="10">
        <v>120</v>
      </c>
      <c r="K62" s="10">
        <v>240</v>
      </c>
      <c r="L62" s="10"/>
      <c r="M62" s="10">
        <v>60</v>
      </c>
      <c r="N62" s="10"/>
      <c r="O62" s="17"/>
    </row>
    <row r="63" spans="1:15" x14ac:dyDescent="0.35">
      <c r="A63" s="11"/>
      <c r="B63" s="11"/>
      <c r="C63" s="11"/>
      <c r="D63" s="11"/>
      <c r="E63" s="11"/>
      <c r="F63" s="11"/>
      <c r="G63" s="11"/>
      <c r="H63" s="11" t="s">
        <v>11</v>
      </c>
      <c r="I63" s="11">
        <v>120</v>
      </c>
      <c r="J63" s="11">
        <v>120</v>
      </c>
      <c r="K63" s="11">
        <v>240</v>
      </c>
      <c r="L63" s="11"/>
      <c r="M63" s="11"/>
      <c r="N63" s="11"/>
      <c r="O63" s="18"/>
    </row>
    <row r="64" spans="1:15" ht="17.5" customHeight="1" x14ac:dyDescent="0.35">
      <c r="A64" s="12"/>
      <c r="B64" s="12"/>
      <c r="C64" s="12"/>
      <c r="D64" s="12"/>
      <c r="E64" s="12"/>
      <c r="F64" s="12"/>
      <c r="G64" s="12"/>
      <c r="H64" s="12" t="s">
        <v>75</v>
      </c>
      <c r="I64" s="23">
        <f t="shared" ref="I64:K64" si="8">IFERROR((I63/I60)-1,"Qty Order 0")</f>
        <v>-0.33333333333333337</v>
      </c>
      <c r="J64" s="23">
        <f t="shared" si="8"/>
        <v>-0.33333333333333337</v>
      </c>
      <c r="K64" s="23">
        <f t="shared" si="8"/>
        <v>-0.33333333333333337</v>
      </c>
      <c r="L64" s="12"/>
      <c r="M64" s="12"/>
      <c r="N64" s="12"/>
      <c r="O64" s="19"/>
    </row>
    <row r="65" spans="1:15" x14ac:dyDescent="0.35">
      <c r="A65" s="11"/>
      <c r="B65" s="11"/>
      <c r="C65" s="11"/>
      <c r="D65" s="11"/>
      <c r="E65" s="11"/>
      <c r="F65" s="11"/>
      <c r="G65" s="11"/>
      <c r="H65" s="11" t="s">
        <v>18</v>
      </c>
      <c r="I65" s="11">
        <v>-60</v>
      </c>
      <c r="J65" s="11">
        <v>-60</v>
      </c>
      <c r="K65" s="11">
        <v>-120</v>
      </c>
      <c r="L65" s="11"/>
      <c r="M65" s="11"/>
      <c r="N65" s="11"/>
      <c r="O65" s="18"/>
    </row>
    <row r="66" spans="1:15" x14ac:dyDescent="0.35">
      <c r="A66" s="10"/>
      <c r="B66" s="10"/>
      <c r="C66" s="10"/>
      <c r="D66" s="10"/>
      <c r="E66" s="10" t="s">
        <v>41</v>
      </c>
      <c r="F66" s="10" t="s">
        <v>30</v>
      </c>
      <c r="G66" s="10" t="s">
        <v>36</v>
      </c>
      <c r="H66" s="10" t="s">
        <v>17</v>
      </c>
      <c r="I66" s="10">
        <v>180</v>
      </c>
      <c r="J66" s="10">
        <v>180</v>
      </c>
      <c r="K66" s="10">
        <v>360</v>
      </c>
      <c r="L66" s="10" t="s">
        <v>28</v>
      </c>
      <c r="M66" s="10"/>
      <c r="N66" s="10"/>
      <c r="O66" s="17"/>
    </row>
    <row r="67" spans="1:15" x14ac:dyDescent="0.35">
      <c r="A67" s="11"/>
      <c r="B67" s="11"/>
      <c r="C67" s="11"/>
      <c r="D67" s="11"/>
      <c r="E67" s="11"/>
      <c r="F67" s="11"/>
      <c r="G67" s="11"/>
      <c r="H67" s="11" t="s">
        <v>7</v>
      </c>
      <c r="I67" s="11">
        <v>180</v>
      </c>
      <c r="J67" s="11">
        <v>180</v>
      </c>
      <c r="K67" s="11">
        <v>360</v>
      </c>
      <c r="L67" s="11"/>
      <c r="M67" s="11"/>
      <c r="N67" s="11"/>
      <c r="O67" s="18"/>
    </row>
    <row r="68" spans="1:15" x14ac:dyDescent="0.35">
      <c r="A68" s="10"/>
      <c r="B68" s="10">
        <v>3</v>
      </c>
      <c r="C68" s="10" t="s">
        <v>66</v>
      </c>
      <c r="D68" s="10" t="s">
        <v>40</v>
      </c>
      <c r="E68" s="10"/>
      <c r="F68" s="10"/>
      <c r="G68" s="10"/>
      <c r="H68" s="10"/>
      <c r="I68" s="10">
        <v>16</v>
      </c>
      <c r="J68" s="10">
        <v>16</v>
      </c>
      <c r="K68" s="10">
        <v>32</v>
      </c>
      <c r="L68" s="10"/>
      <c r="M68" s="10">
        <v>16</v>
      </c>
      <c r="N68" s="10"/>
      <c r="O68" s="17"/>
    </row>
    <row r="69" spans="1:15" x14ac:dyDescent="0.35">
      <c r="A69" s="11"/>
      <c r="B69" s="11"/>
      <c r="C69" s="11"/>
      <c r="D69" s="11"/>
      <c r="E69" s="11"/>
      <c r="F69" s="11"/>
      <c r="G69" s="11"/>
      <c r="H69" s="11" t="s">
        <v>11</v>
      </c>
      <c r="I69" s="11">
        <v>16</v>
      </c>
      <c r="J69" s="11">
        <v>16</v>
      </c>
      <c r="K69" s="11">
        <v>32</v>
      </c>
      <c r="L69" s="11"/>
      <c r="M69" s="11"/>
      <c r="N69" s="11"/>
      <c r="O69" s="18"/>
    </row>
    <row r="70" spans="1:15" ht="17.5" customHeight="1" x14ac:dyDescent="0.35">
      <c r="A70" s="12"/>
      <c r="B70" s="12"/>
      <c r="C70" s="12"/>
      <c r="D70" s="12"/>
      <c r="E70" s="12"/>
      <c r="F70" s="12"/>
      <c r="G70" s="12"/>
      <c r="H70" s="12" t="s">
        <v>75</v>
      </c>
      <c r="I70" s="23">
        <f t="shared" ref="I70:K70" si="9">IFERROR((I69/I66)-1,"Qty Order 0")</f>
        <v>-0.91111111111111109</v>
      </c>
      <c r="J70" s="23">
        <f t="shared" si="9"/>
        <v>-0.91111111111111109</v>
      </c>
      <c r="K70" s="23">
        <f t="shared" si="9"/>
        <v>-0.91111111111111109</v>
      </c>
      <c r="L70" s="12"/>
      <c r="M70" s="12"/>
      <c r="N70" s="12"/>
      <c r="O70" s="19"/>
    </row>
    <row r="71" spans="1:15" x14ac:dyDescent="0.35">
      <c r="A71" s="11"/>
      <c r="B71" s="11"/>
      <c r="C71" s="11"/>
      <c r="D71" s="11"/>
      <c r="E71" s="11"/>
      <c r="F71" s="11"/>
      <c r="G71" s="11"/>
      <c r="H71" s="11" t="s">
        <v>18</v>
      </c>
      <c r="I71" s="11">
        <v>-164</v>
      </c>
      <c r="J71" s="11">
        <v>-164</v>
      </c>
      <c r="K71" s="11">
        <v>-328</v>
      </c>
      <c r="L71" s="11"/>
      <c r="M71" s="11"/>
      <c r="N71" s="11"/>
      <c r="O71" s="18"/>
    </row>
    <row r="72" spans="1:15" ht="17.5" customHeight="1" x14ac:dyDescent="0.3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20"/>
    </row>
    <row r="73" spans="1:15" ht="17.5" customHeight="1" x14ac:dyDescent="0.35">
      <c r="A73" s="9" t="s">
        <v>19</v>
      </c>
      <c r="B73" s="9" t="s">
        <v>9</v>
      </c>
      <c r="C73" s="9" t="s">
        <v>20</v>
      </c>
      <c r="D73" s="9" t="s">
        <v>21</v>
      </c>
      <c r="E73" s="9" t="s">
        <v>4</v>
      </c>
      <c r="F73" s="9" t="s">
        <v>5</v>
      </c>
      <c r="G73" s="9" t="s">
        <v>8</v>
      </c>
      <c r="H73" s="9" t="s">
        <v>10</v>
      </c>
      <c r="I73" s="9" t="s">
        <v>13</v>
      </c>
      <c r="J73" s="9" t="s">
        <v>14</v>
      </c>
      <c r="K73" s="9" t="s">
        <v>15</v>
      </c>
      <c r="L73" s="9" t="s">
        <v>16</v>
      </c>
      <c r="M73" s="9" t="s">
        <v>22</v>
      </c>
      <c r="N73" s="9" t="s">
        <v>12</v>
      </c>
      <c r="O73" s="16" t="s">
        <v>74</v>
      </c>
    </row>
    <row r="74" spans="1:15" x14ac:dyDescent="0.35">
      <c r="A74" s="10">
        <v>183019</v>
      </c>
      <c r="B74" s="10"/>
      <c r="C74" s="10"/>
      <c r="D74" s="10"/>
      <c r="E74" s="10" t="s">
        <v>38</v>
      </c>
      <c r="F74" s="10" t="s">
        <v>6</v>
      </c>
      <c r="G74" s="10" t="s">
        <v>26</v>
      </c>
      <c r="H74" s="10" t="s">
        <v>17</v>
      </c>
      <c r="I74" s="10">
        <v>468</v>
      </c>
      <c r="J74" s="10">
        <v>1008</v>
      </c>
      <c r="K74" s="10">
        <v>1080</v>
      </c>
      <c r="L74" s="10">
        <v>504</v>
      </c>
      <c r="M74" s="10">
        <v>3060</v>
      </c>
      <c r="N74" s="10" t="s">
        <v>24</v>
      </c>
      <c r="O74" s="17"/>
    </row>
    <row r="75" spans="1:15" x14ac:dyDescent="0.35">
      <c r="A75" s="11"/>
      <c r="B75" s="11"/>
      <c r="C75" s="11"/>
      <c r="D75" s="11"/>
      <c r="E75" s="11"/>
      <c r="F75" s="11"/>
      <c r="G75" s="11"/>
      <c r="H75" s="11" t="s">
        <v>7</v>
      </c>
      <c r="I75" s="11">
        <v>468</v>
      </c>
      <c r="J75" s="11">
        <v>1008</v>
      </c>
      <c r="K75" s="11">
        <v>1080</v>
      </c>
      <c r="L75" s="11">
        <v>504</v>
      </c>
      <c r="M75" s="11">
        <v>3060</v>
      </c>
      <c r="N75" s="11"/>
      <c r="O75" s="18"/>
    </row>
    <row r="76" spans="1:15" x14ac:dyDescent="0.35">
      <c r="A76" s="10"/>
      <c r="B76" s="10">
        <v>2</v>
      </c>
      <c r="C76" s="10" t="s">
        <v>67</v>
      </c>
      <c r="D76" s="10" t="s">
        <v>68</v>
      </c>
      <c r="E76" s="10"/>
      <c r="F76" s="10"/>
      <c r="G76" s="10"/>
      <c r="H76" s="10"/>
      <c r="I76" s="10">
        <v>0</v>
      </c>
      <c r="J76" s="10">
        <v>14</v>
      </c>
      <c r="K76" s="10">
        <v>0</v>
      </c>
      <c r="L76" s="10">
        <v>7</v>
      </c>
      <c r="M76" s="10">
        <v>21</v>
      </c>
      <c r="N76" s="10"/>
      <c r="O76" s="17">
        <v>7</v>
      </c>
    </row>
    <row r="77" spans="1:15" x14ac:dyDescent="0.35">
      <c r="A77" s="11"/>
      <c r="B77" s="11">
        <v>2</v>
      </c>
      <c r="C77" s="11" t="s">
        <v>69</v>
      </c>
      <c r="D77" s="11" t="s">
        <v>70</v>
      </c>
      <c r="E77" s="11"/>
      <c r="F77" s="11"/>
      <c r="G77" s="11"/>
      <c r="H77" s="11"/>
      <c r="I77" s="11">
        <v>30</v>
      </c>
      <c r="J77" s="11">
        <v>0</v>
      </c>
      <c r="K77" s="11">
        <v>15</v>
      </c>
      <c r="L77" s="11">
        <v>0</v>
      </c>
      <c r="M77" s="11">
        <v>45</v>
      </c>
      <c r="N77" s="11"/>
      <c r="O77" s="18">
        <v>15</v>
      </c>
    </row>
    <row r="78" spans="1:15" x14ac:dyDescent="0.35">
      <c r="A78" s="10"/>
      <c r="B78" s="10"/>
      <c r="C78" s="10"/>
      <c r="D78" s="10"/>
      <c r="E78" s="10"/>
      <c r="F78" s="10"/>
      <c r="G78" s="10"/>
      <c r="H78" s="10" t="s">
        <v>11</v>
      </c>
      <c r="I78" s="10">
        <v>30</v>
      </c>
      <c r="J78" s="10">
        <v>14</v>
      </c>
      <c r="K78" s="10">
        <v>15</v>
      </c>
      <c r="L78" s="10">
        <v>7</v>
      </c>
      <c r="M78" s="10">
        <v>66</v>
      </c>
      <c r="N78" s="10"/>
      <c r="O78" s="17"/>
    </row>
    <row r="79" spans="1:15" ht="17.5" customHeight="1" x14ac:dyDescent="0.35">
      <c r="A79" s="12"/>
      <c r="B79" s="12"/>
      <c r="C79" s="12"/>
      <c r="D79" s="12"/>
      <c r="E79" s="12"/>
      <c r="F79" s="12"/>
      <c r="G79" s="12"/>
      <c r="H79" s="12" t="s">
        <v>75</v>
      </c>
      <c r="I79" s="23">
        <f t="shared" ref="I79:M79" si="10">IFERROR((I78/I74)-1,"Qty Order 0")</f>
        <v>-0.9358974358974359</v>
      </c>
      <c r="J79" s="23">
        <f t="shared" si="10"/>
        <v>-0.98611111111111116</v>
      </c>
      <c r="K79" s="23">
        <f t="shared" si="10"/>
        <v>-0.98611111111111116</v>
      </c>
      <c r="L79" s="23">
        <f t="shared" si="10"/>
        <v>-0.98611111111111116</v>
      </c>
      <c r="M79" s="23">
        <f t="shared" si="10"/>
        <v>-0.97843137254901957</v>
      </c>
      <c r="N79" s="12"/>
      <c r="O79" s="19"/>
    </row>
    <row r="80" spans="1:15" x14ac:dyDescent="0.35">
      <c r="A80" s="10"/>
      <c r="B80" s="10"/>
      <c r="C80" s="10"/>
      <c r="D80" s="10"/>
      <c r="E80" s="10"/>
      <c r="F80" s="10"/>
      <c r="G80" s="10"/>
      <c r="H80" s="10" t="s">
        <v>18</v>
      </c>
      <c r="I80" s="10">
        <v>-438</v>
      </c>
      <c r="J80" s="10">
        <v>-994</v>
      </c>
      <c r="K80" s="10">
        <v>-1065</v>
      </c>
      <c r="L80" s="10">
        <v>-497</v>
      </c>
      <c r="M80" s="10">
        <v>-2994</v>
      </c>
      <c r="N80" s="10"/>
      <c r="O80" s="17"/>
    </row>
    <row r="81" spans="1:15" ht="17.5" customHeight="1" x14ac:dyDescent="0.3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20"/>
    </row>
    <row r="82" spans="1:15" ht="17.5" customHeight="1" x14ac:dyDescent="0.35">
      <c r="A82" s="9" t="s">
        <v>19</v>
      </c>
      <c r="B82" s="9" t="s">
        <v>9</v>
      </c>
      <c r="C82" s="9" t="s">
        <v>20</v>
      </c>
      <c r="D82" s="9" t="s">
        <v>21</v>
      </c>
      <c r="E82" s="9" t="s">
        <v>4</v>
      </c>
      <c r="F82" s="9" t="s">
        <v>5</v>
      </c>
      <c r="G82" s="9" t="s">
        <v>8</v>
      </c>
      <c r="H82" s="9" t="s">
        <v>10</v>
      </c>
      <c r="I82" s="9" t="s">
        <v>13</v>
      </c>
      <c r="J82" s="9" t="s">
        <v>14</v>
      </c>
      <c r="K82" s="9" t="s">
        <v>15</v>
      </c>
      <c r="L82" s="9" t="s">
        <v>16</v>
      </c>
      <c r="M82" s="9" t="s">
        <v>22</v>
      </c>
      <c r="N82" s="9" t="s">
        <v>12</v>
      </c>
      <c r="O82" s="16" t="s">
        <v>74</v>
      </c>
    </row>
    <row r="83" spans="1:15" x14ac:dyDescent="0.35">
      <c r="A83" s="11">
        <v>182770</v>
      </c>
      <c r="B83" s="11"/>
      <c r="C83" s="11"/>
      <c r="D83" s="11"/>
      <c r="E83" s="11" t="s">
        <v>29</v>
      </c>
      <c r="F83" s="11" t="s">
        <v>71</v>
      </c>
      <c r="G83" s="11" t="s">
        <v>26</v>
      </c>
      <c r="H83" s="11" t="s">
        <v>17</v>
      </c>
      <c r="I83" s="11">
        <v>252</v>
      </c>
      <c r="J83" s="11">
        <v>612</v>
      </c>
      <c r="K83" s="11">
        <v>540</v>
      </c>
      <c r="L83" s="11">
        <v>288</v>
      </c>
      <c r="M83" s="11">
        <v>1692</v>
      </c>
      <c r="N83" s="11" t="s">
        <v>28</v>
      </c>
      <c r="O83" s="18"/>
    </row>
    <row r="84" spans="1:15" x14ac:dyDescent="0.35">
      <c r="A84" s="10"/>
      <c r="B84" s="10"/>
      <c r="C84" s="10"/>
      <c r="D84" s="10"/>
      <c r="E84" s="10"/>
      <c r="F84" s="10"/>
      <c r="G84" s="10"/>
      <c r="H84" s="10" t="s">
        <v>7</v>
      </c>
      <c r="I84" s="10">
        <v>252</v>
      </c>
      <c r="J84" s="10">
        <v>612</v>
      </c>
      <c r="K84" s="10">
        <v>540</v>
      </c>
      <c r="L84" s="10">
        <v>288</v>
      </c>
      <c r="M84" s="10">
        <v>1692</v>
      </c>
      <c r="N84" s="10"/>
      <c r="O84" s="17"/>
    </row>
    <row r="85" spans="1:15" x14ac:dyDescent="0.35">
      <c r="A85" s="11"/>
      <c r="B85" s="11">
        <v>3</v>
      </c>
      <c r="C85" s="11" t="s">
        <v>72</v>
      </c>
      <c r="D85" s="11" t="s">
        <v>37</v>
      </c>
      <c r="E85" s="11"/>
      <c r="F85" s="11"/>
      <c r="G85" s="11"/>
      <c r="H85" s="11"/>
      <c r="I85" s="11">
        <v>0</v>
      </c>
      <c r="J85" s="11">
        <v>74</v>
      </c>
      <c r="K85" s="11">
        <v>74</v>
      </c>
      <c r="L85" s="11">
        <v>0</v>
      </c>
      <c r="M85" s="11">
        <v>148</v>
      </c>
      <c r="N85" s="11"/>
      <c r="O85" s="18">
        <v>37</v>
      </c>
    </row>
    <row r="86" spans="1:15" x14ac:dyDescent="0.35">
      <c r="A86" s="10"/>
      <c r="B86" s="10">
        <v>3</v>
      </c>
      <c r="C86" s="10" t="s">
        <v>73</v>
      </c>
      <c r="D86" s="10" t="s">
        <v>39</v>
      </c>
      <c r="E86" s="10"/>
      <c r="F86" s="10"/>
      <c r="G86" s="10"/>
      <c r="H86" s="10"/>
      <c r="I86" s="10">
        <v>32</v>
      </c>
      <c r="J86" s="10">
        <v>0</v>
      </c>
      <c r="K86" s="10">
        <v>0</v>
      </c>
      <c r="L86" s="10">
        <v>32</v>
      </c>
      <c r="M86" s="10">
        <v>64</v>
      </c>
      <c r="N86" s="10"/>
      <c r="O86" s="17">
        <v>32</v>
      </c>
    </row>
    <row r="87" spans="1:15" x14ac:dyDescent="0.35">
      <c r="A87" s="11"/>
      <c r="B87" s="11"/>
      <c r="C87" s="11"/>
      <c r="D87" s="11"/>
      <c r="E87" s="11"/>
      <c r="F87" s="11"/>
      <c r="G87" s="11"/>
      <c r="H87" s="11" t="s">
        <v>11</v>
      </c>
      <c r="I87" s="11">
        <v>32</v>
      </c>
      <c r="J87" s="11">
        <v>74</v>
      </c>
      <c r="K87" s="11">
        <v>74</v>
      </c>
      <c r="L87" s="11">
        <v>32</v>
      </c>
      <c r="M87" s="11">
        <v>212</v>
      </c>
      <c r="N87" s="11"/>
      <c r="O87" s="18"/>
    </row>
    <row r="88" spans="1:15" ht="17.5" customHeight="1" x14ac:dyDescent="0.35">
      <c r="A88" s="14"/>
      <c r="B88" s="14"/>
      <c r="C88" s="14"/>
      <c r="D88" s="14"/>
      <c r="E88" s="14"/>
      <c r="F88" s="14"/>
      <c r="G88" s="14"/>
      <c r="H88" s="14" t="s">
        <v>75</v>
      </c>
      <c r="I88" s="24">
        <f t="shared" ref="I88:M88" si="11">IFERROR((I87/I83)-1,"Qty Order 0")</f>
        <v>-0.87301587301587302</v>
      </c>
      <c r="J88" s="24">
        <f t="shared" si="11"/>
        <v>-0.87908496732026142</v>
      </c>
      <c r="K88" s="24">
        <f t="shared" si="11"/>
        <v>-0.86296296296296293</v>
      </c>
      <c r="L88" s="24">
        <f t="shared" si="11"/>
        <v>-0.88888888888888884</v>
      </c>
      <c r="M88" s="24">
        <f t="shared" si="11"/>
        <v>-0.87470449172576836</v>
      </c>
      <c r="N88" s="14"/>
      <c r="O88" s="21"/>
    </row>
    <row r="89" spans="1:15" x14ac:dyDescent="0.35">
      <c r="A89" s="15"/>
      <c r="B89" s="15"/>
      <c r="C89" s="15"/>
      <c r="D89" s="15"/>
      <c r="E89" s="15"/>
      <c r="F89" s="15"/>
      <c r="G89" s="15"/>
      <c r="H89" s="15" t="s">
        <v>18</v>
      </c>
      <c r="I89" s="15">
        <v>-220</v>
      </c>
      <c r="J89" s="15">
        <v>-538</v>
      </c>
      <c r="K89" s="15">
        <v>-466</v>
      </c>
      <c r="L89" s="15">
        <v>-256</v>
      </c>
      <c r="M89" s="15">
        <v>-1480</v>
      </c>
      <c r="N89" s="15"/>
      <c r="O89" s="22"/>
    </row>
    <row r="90" spans="1:15" ht="17.5" customHeight="1" x14ac:dyDescent="0.3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5F0DA-CA07-43EA-A718-6D414CB2896C}">
  <sheetPr>
    <tabColor rgb="FF09684B"/>
  </sheetPr>
  <dimension ref="A1:F8"/>
  <sheetViews>
    <sheetView tabSelected="1" workbookViewId="0">
      <selection activeCell="E13" sqref="E13"/>
    </sheetView>
  </sheetViews>
  <sheetFormatPr defaultColWidth="9.1796875" defaultRowHeight="14.5" x14ac:dyDescent="0.35"/>
  <cols>
    <col min="1" max="1" width="9.81640625" style="7" customWidth="1"/>
    <col min="2" max="2" width="15.453125" style="7" customWidth="1"/>
    <col min="3" max="3" width="14" style="7" customWidth="1"/>
    <col min="4" max="5" width="15.1796875" style="7" customWidth="1"/>
    <col min="6" max="6" width="18.26953125" style="7" customWidth="1"/>
    <col min="7" max="16384" width="9.1796875" style="7"/>
  </cols>
  <sheetData>
    <row r="1" spans="1:6" ht="17.5" customHeight="1" x14ac:dyDescent="0.35">
      <c r="A1" s="9" t="s">
        <v>19</v>
      </c>
      <c r="B1" s="9" t="s">
        <v>76</v>
      </c>
      <c r="C1" s="9" t="s">
        <v>77</v>
      </c>
      <c r="D1" s="9" t="s">
        <v>78</v>
      </c>
      <c r="E1" s="9" t="s">
        <v>79</v>
      </c>
      <c r="F1" s="16" t="s">
        <v>12</v>
      </c>
    </row>
    <row r="2" spans="1:6" x14ac:dyDescent="0.35">
      <c r="A2" s="10">
        <v>183020</v>
      </c>
      <c r="B2" s="10">
        <v>4824</v>
      </c>
      <c r="C2" s="10">
        <v>4824</v>
      </c>
      <c r="D2" s="10">
        <v>4620</v>
      </c>
      <c r="E2" s="10">
        <f>D2-B2</f>
        <v>-204</v>
      </c>
      <c r="F2" s="17" t="s">
        <v>24</v>
      </c>
    </row>
    <row r="3" spans="1:6" x14ac:dyDescent="0.35">
      <c r="A3" s="11">
        <v>183018</v>
      </c>
      <c r="B3" s="11">
        <v>3132</v>
      </c>
      <c r="C3" s="11">
        <v>3132</v>
      </c>
      <c r="D3" s="11">
        <v>3023</v>
      </c>
      <c r="E3" s="10">
        <f t="shared" ref="E3:E8" si="0">D3-B3</f>
        <v>-109</v>
      </c>
      <c r="F3" s="18" t="s">
        <v>24</v>
      </c>
    </row>
    <row r="4" spans="1:6" x14ac:dyDescent="0.35">
      <c r="A4" s="10">
        <v>183022</v>
      </c>
      <c r="B4" s="10">
        <v>6480</v>
      </c>
      <c r="C4" s="10">
        <v>6480</v>
      </c>
      <c r="D4" s="10">
        <v>6270</v>
      </c>
      <c r="E4" s="10">
        <f t="shared" si="0"/>
        <v>-210</v>
      </c>
      <c r="F4" s="17" t="s">
        <v>24</v>
      </c>
    </row>
    <row r="5" spans="1:6" x14ac:dyDescent="0.35">
      <c r="A5" s="11">
        <v>182997</v>
      </c>
      <c r="B5" s="11">
        <v>1512</v>
      </c>
      <c r="C5" s="11">
        <v>1512</v>
      </c>
      <c r="D5" s="11">
        <v>1512</v>
      </c>
      <c r="E5" s="10">
        <f t="shared" si="0"/>
        <v>0</v>
      </c>
      <c r="F5" s="18" t="s">
        <v>24</v>
      </c>
    </row>
    <row r="6" spans="1:6" x14ac:dyDescent="0.35">
      <c r="A6" s="10">
        <v>182786</v>
      </c>
      <c r="B6" s="10">
        <v>1080</v>
      </c>
      <c r="C6" s="10">
        <v>1080</v>
      </c>
      <c r="D6" s="10">
        <v>396</v>
      </c>
      <c r="E6" s="10">
        <f t="shared" si="0"/>
        <v>-684</v>
      </c>
      <c r="F6" s="17" t="s">
        <v>28</v>
      </c>
    </row>
    <row r="7" spans="1:6" x14ac:dyDescent="0.35">
      <c r="A7" s="11">
        <v>183019</v>
      </c>
      <c r="B7" s="11">
        <v>3060</v>
      </c>
      <c r="C7" s="11">
        <v>3060</v>
      </c>
      <c r="D7" s="11">
        <v>66</v>
      </c>
      <c r="E7" s="10">
        <f t="shared" si="0"/>
        <v>-2994</v>
      </c>
      <c r="F7" s="18" t="s">
        <v>24</v>
      </c>
    </row>
    <row r="8" spans="1:6" x14ac:dyDescent="0.35">
      <c r="A8" s="25">
        <v>182770</v>
      </c>
      <c r="B8" s="25">
        <v>1692</v>
      </c>
      <c r="C8" s="25">
        <v>1692</v>
      </c>
      <c r="D8" s="25">
        <v>212</v>
      </c>
      <c r="E8" s="10">
        <f t="shared" si="0"/>
        <v>-1480</v>
      </c>
      <c r="F8" s="26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GELARAN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ASUS Vivobook</cp:lastModifiedBy>
  <dcterms:created xsi:type="dcterms:W3CDTF">2024-06-28T02:11:31Z</dcterms:created>
  <dcterms:modified xsi:type="dcterms:W3CDTF">2024-07-08T02:33:06Z</dcterms:modified>
</cp:coreProperties>
</file>