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RPA HRD\Create OW\Makro\"/>
    </mc:Choice>
  </mc:AlternateContent>
  <xr:revisionPtr revIDLastSave="0" documentId="13_ncr:1_{DAA96D88-013F-4B2C-BD6B-7E3EA422A054}" xr6:coauthVersionLast="47" xr6:coauthVersionMax="47" xr10:uidLastSave="{00000000-0000-0000-0000-000000000000}"/>
  <bookViews>
    <workbookView xWindow="-120" yWindow="-120" windowWidth="20730" windowHeight="11160" tabRatio="698" activeTab="2" xr2:uid="{00000000-000D-0000-FFFF-FFFF00000000}"/>
  </bookViews>
  <sheets>
    <sheet name="Database Supplier" sheetId="2" r:id="rId1"/>
    <sheet name="Input User" sheetId="5917" r:id="rId2"/>
    <sheet name="Input RPA" sheetId="5919" r:id="rId3"/>
    <sheet name="Bantuan" sheetId="5921" r:id="rId4"/>
    <sheet name="SheetRun1" sheetId="5920" r:id="rId5"/>
    <sheet name="Status" sheetId="592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Z1" i="2" l="1"/>
  <c r="GA2" i="2" s="1"/>
  <c r="GA4" i="2" l="1"/>
  <c r="FZ3" i="2"/>
  <c r="GA3" i="2" s="1"/>
  <c r="GA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Darry Faliha Yudha</author>
  </authors>
  <commentList>
    <comment ref="E1" authorId="0" shapeId="0" xr:uid="{8FCE100A-13C2-40D3-A9CB-C25537EF7623}">
      <text>
        <r>
          <rPr>
            <b/>
            <sz val="9"/>
            <color indexed="81"/>
            <rFont val="Tahoma"/>
            <family val="2"/>
          </rPr>
          <t xml:space="preserve">Pastikan format MM/DD/YYYY
</t>
        </r>
        <r>
          <rPr>
            <sz val="9"/>
            <color indexed="81"/>
            <rFont val="Tahoma"/>
            <family val="2"/>
          </rPr>
          <t xml:space="preserve">
PpASDFpASPastikan format MM/DD/YYYY</t>
        </r>
      </text>
    </comment>
    <comment ref="F1" authorId="0" shapeId="0" xr:uid="{6799AF67-A619-4F6B-B700-B4934B386AEA}">
      <text>
        <r>
          <rPr>
            <b/>
            <sz val="9"/>
            <color indexed="81"/>
            <rFont val="Tahoma"/>
            <family val="2"/>
          </rPr>
          <t>Pastikan format MM/DD/YYYY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<sst xmlns="http://schemas.openxmlformats.org/spreadsheetml/2006/main" count="115" uniqueCount="55">
  <si>
    <t>Nama File :</t>
  </si>
  <si>
    <t>Nama Sheet :</t>
  </si>
  <si>
    <t>Input User Create OW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</si>
  <si>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</si>
  <si>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</si>
  <si>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</si>
  <si>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</si>
  <si>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</si>
  <si>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</si>
  <si>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</si>
  <si>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</si>
  <si>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</si>
  <si>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</si>
  <si>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</si>
  <si>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</si>
  <si>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</si>
  <si>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16-02-24</t>
  </si>
  <si>
    <t>\\10.8.0.35\Bersama\IT\RPA HRD\Create OW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</si>
  <si>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</si>
  <si>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</si>
  <si>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</si>
  <si>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</si>
  <si>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</si>
  <si>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</si>
  <si>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</si>
  <si>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</si>
  <si>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</si>
  <si>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</si>
  <si>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</si>
  <si>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</si>
  <si>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</si>
  <si>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</si>
  <si>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</si>
  <si>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</si>
  <si>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Tax Rate/Area</t>
  </si>
  <si>
    <t>FCR</t>
  </si>
  <si>
    <t>PT KINTETSU WORLD EXPRESS INDONESIA</t>
  </si>
  <si>
    <t>IDR</t>
  </si>
  <si>
    <t>SHINATOMO INV 0034</t>
  </si>
  <si>
    <t>INV02/20240212/0002</t>
  </si>
  <si>
    <t>EA</t>
  </si>
  <si>
    <t>JE</t>
  </si>
  <si>
    <t>1201.720400</t>
  </si>
  <si>
    <t>Y</t>
  </si>
  <si>
    <t>V</t>
  </si>
  <si>
    <t>PPNM11%</t>
  </si>
  <si>
    <t>J0M4-MJPNGO0017</t>
  </si>
  <si>
    <t>011.002-24.43105289</t>
  </si>
  <si>
    <t>3042 PCS</t>
  </si>
  <si>
    <t>No Faktur Pajak</t>
  </si>
  <si>
    <t>RPA Code</t>
  </si>
  <si>
    <t>OW</t>
  </si>
  <si>
    <t>NO</t>
  </si>
  <si>
    <t>Nama Sheet</t>
  </si>
  <si>
    <t>SheetRun1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</si>
</sst>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13809]dd/mm/yyyy;@"/>
    <numFmt numFmtId="165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3" xfId="0" quotePrefix="1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4" fillId="0" borderId="6" xfId="2" applyBorder="1"/>
    <xf numFmtId="0" fontId="0" fillId="0" borderId="0" xfId="3" applyFont="1"/>
    <xf numFmtId="49" fontId="5" fillId="0" borderId="0" xfId="0" applyNumberFormat="1" applyFont="1"/>
    <xf numFmtId="49" fontId="5" fillId="0" borderId="0" xfId="0" applyNumberFormat="1" applyFont="1" applyAlignment="1">
      <alignment horizontal="left"/>
    </xf>
    <xf numFmtId="164" fontId="5" fillId="0" borderId="0" xfId="0" applyNumberFormat="1" applyFont="1"/>
    <xf numFmtId="165" fontId="5" fillId="0" borderId="0" xfId="1" applyNumberFormat="1" applyFont="1" applyFill="1" applyAlignment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/>
    </xf>
    <xf numFmtId="0" fontId="2" fillId="2" borderId="0" xfId="0" applyFont="1" applyFill="1"/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COPYINPU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HASILINPU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../../Create%20OW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3</v>
      </c>
      <c r="L1" s="9" t="s">
        <v>17</v>
      </c>
      <c r="FZ1">
        <f ca="1">TODAY()</f>
        <v>45338</v>
      </c>
      <c r="GA1" s="7" t="str">
        <f ca="1">$GA$2&amp;$GA$3&amp;RIGHT($GA$4,2)</f>
        <v>16Feb24</v>
      </c>
      <c r="GB1">
        <v>1</v>
      </c>
      <c r="GC1" t="s">
        <v>4</v>
      </c>
    </row>
    <row r="2" spans="1:185" x14ac:dyDescent="0.25">
      <c r="A2" s="1"/>
      <c r="K2" s="4" t="s">
        <v>0</v>
      </c>
      <c r="L2" s="5" t="s">
        <v>2</v>
      </c>
      <c r="GA2">
        <f ca="1">DAY($FZ$1)</f>
        <v>16</v>
      </c>
      <c r="GB2">
        <v>2</v>
      </c>
      <c r="GC2" t="s">
        <v>5</v>
      </c>
    </row>
    <row r="3" spans="1:185" ht="15.75" thickBot="1" x14ac:dyDescent="0.3">
      <c r="A3" s="1"/>
      <c r="K3" s="3" t="s">
        <v>1</v>
      </c>
      <c r="L3" s="6" t="s">
        <v>16</v>
      </c>
      <c r="FZ3">
        <f ca="1">MONTH($FZ$1)</f>
        <v>2</v>
      </c>
      <c r="GA3" t="str">
        <f ca="1">VLOOKUP($FZ$3,$GB$1:$GC$12,2,0)</f>
        <v>Feb</v>
      </c>
      <c r="GB3">
        <v>3</v>
      </c>
      <c r="GC3" t="s">
        <v>6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7</v>
      </c>
    </row>
    <row r="5" spans="1:185" x14ac:dyDescent="0.25">
      <c r="A5" s="1"/>
      <c r="B5" s="1"/>
      <c r="GB5">
        <v>5</v>
      </c>
      <c r="GC5" t="s">
        <v>8</v>
      </c>
    </row>
    <row r="6" spans="1:185" x14ac:dyDescent="0.25">
      <c r="A6" s="1"/>
      <c r="B6" s="1"/>
      <c r="GB6">
        <v>6</v>
      </c>
      <c r="GC6" t="s">
        <v>9</v>
      </c>
    </row>
    <row r="7" spans="1:185" ht="14.45" customHeight="1" x14ac:dyDescent="0.25">
      <c r="A7" s="1"/>
      <c r="B7" s="1"/>
      <c r="GB7">
        <v>7</v>
      </c>
      <c r="GC7" t="s">
        <v>10</v>
      </c>
    </row>
    <row r="8" spans="1:185" x14ac:dyDescent="0.25">
      <c r="A8" s="1"/>
      <c r="B8" s="1"/>
      <c r="GB8">
        <v>8</v>
      </c>
      <c r="GC8" t="s">
        <v>11</v>
      </c>
    </row>
    <row r="9" spans="1:185" x14ac:dyDescent="0.25">
      <c r="A9" s="1"/>
      <c r="B9" s="1"/>
      <c r="GB9">
        <v>9</v>
      </c>
      <c r="GC9" t="s">
        <v>12</v>
      </c>
    </row>
    <row r="10" spans="1:185" x14ac:dyDescent="0.25">
      <c r="A10" s="1"/>
      <c r="B10" s="1"/>
      <c r="GB10">
        <v>10</v>
      </c>
      <c r="GC10" t="s">
        <v>13</v>
      </c>
    </row>
    <row r="11" spans="1:185" x14ac:dyDescent="0.25">
      <c r="A11" s="1"/>
      <c r="B11" s="1"/>
      <c r="GB11">
        <v>11</v>
      </c>
      <c r="GC11" t="s">
        <v>14</v>
      </c>
    </row>
    <row r="12" spans="1:185" x14ac:dyDescent="0.25">
      <c r="A12" s="1"/>
      <c r="B12" s="1"/>
      <c r="GB12">
        <v>12</v>
      </c>
      <c r="GC12" t="s">
        <v>15</v>
      </c>
    </row>
    <row r="13" spans="1:185" x14ac:dyDescent="0.25">
      <c r="A13" s="1"/>
      <c r="B13" s="1"/>
      <c r="D13" s="10"/>
      <c r="E13" s="10"/>
      <c r="F13" s="10"/>
    </row>
    <row r="14" spans="1:185" x14ac:dyDescent="0.25">
      <c r="A14" s="1"/>
      <c r="B14" s="1"/>
    </row>
    <row r="15" spans="1:185" x14ac:dyDescent="0.25">
      <c r="A15" s="1"/>
      <c r="B15" s="1"/>
      <c r="L15" s="8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00000000-0004-0000-0000-000001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9CF17-0FCF-4806-AE9E-BE24D9F1CF31}">
  <sheetPr codeName="Sheet7"/>
  <dimension ref="A1:U2"/>
  <sheetViews>
    <sheetView workbookViewId="0">
      <selection activeCell="R1" sqref="R1"/>
    </sheetView>
  </sheetViews>
  <sheetFormatPr defaultRowHeight="15" x14ac:dyDescent="0.25"/>
  <sheetData>
    <row r="1" spans="1:21" x14ac:dyDescent="0.25">
      <c r="A1" s="11" t="s">
        <v>18</v>
      </c>
      <c r="B1" s="12" t="s">
        <v>19</v>
      </c>
      <c r="C1" s="11" t="s">
        <v>20</v>
      </c>
      <c r="D1" s="11" t="s">
        <v>21</v>
      </c>
      <c r="E1" s="13" t="s">
        <v>22</v>
      </c>
      <c r="F1" s="13" t="s">
        <v>23</v>
      </c>
      <c r="G1" s="11" t="s">
        <v>24</v>
      </c>
      <c r="H1" s="11" t="s">
        <v>25</v>
      </c>
      <c r="I1" s="14" t="s">
        <v>26</v>
      </c>
      <c r="J1" s="14" t="s">
        <v>27</v>
      </c>
      <c r="K1" s="14" t="s">
        <v>28</v>
      </c>
      <c r="L1" s="11" t="s">
        <v>29</v>
      </c>
      <c r="M1" s="11" t="s">
        <v>30</v>
      </c>
      <c r="N1" s="11" t="s">
        <v>31</v>
      </c>
      <c r="O1" s="11" t="s">
        <v>32</v>
      </c>
      <c r="P1" s="11" t="s">
        <v>33</v>
      </c>
      <c r="Q1" s="11" t="s">
        <v>34</v>
      </c>
      <c r="S1" t="s">
        <v>35</v>
      </c>
      <c r="T1" t="s">
        <v>49</v>
      </c>
    </row>
    <row r="2" spans="1:21" ht="45" x14ac:dyDescent="0.25">
      <c r="A2" t="s">
        <v>36</v>
      </c>
      <c r="B2" s="1">
        <v>57337860</v>
      </c>
      <c r="C2">
        <v>1201</v>
      </c>
      <c r="D2" t="s">
        <v>37</v>
      </c>
      <c r="E2" s="15">
        <v>45338</v>
      </c>
      <c r="F2" s="15">
        <v>45338</v>
      </c>
      <c r="G2" s="16" t="s">
        <v>38</v>
      </c>
      <c r="H2" s="17" t="s">
        <v>39</v>
      </c>
      <c r="I2" s="16">
        <v>1</v>
      </c>
      <c r="J2" s="16">
        <v>2827750</v>
      </c>
      <c r="K2" s="16" t="s">
        <v>40</v>
      </c>
      <c r="L2" s="16" t="s">
        <v>40</v>
      </c>
      <c r="M2" s="16" t="s">
        <v>41</v>
      </c>
      <c r="N2" s="18" t="s">
        <v>42</v>
      </c>
      <c r="O2" s="16" t="s">
        <v>43</v>
      </c>
      <c r="P2" s="16" t="s">
        <v>44</v>
      </c>
      <c r="Q2" s="16" t="s">
        <v>45</v>
      </c>
      <c r="R2" s="16"/>
      <c r="S2" s="16" t="s">
        <v>46</v>
      </c>
      <c r="T2" s="17" t="s">
        <v>47</v>
      </c>
      <c r="U2" s="16" t="s">
        <v>48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1D149-36FF-4D3A-B5E9-49289028A926}">
  <sheetPr codeName="Sheet1"/>
  <dimension ref="A1:AF2"/>
  <sheetViews>
    <sheetView tabSelected="1" workbookViewId="0">
      <selection activeCell="A2" sqref="A2"/>
    </sheetView>
  </sheetViews>
  <sheetFormatPr defaultRowHeight="15" x14ac:dyDescent="0.25"/>
  <cols>
    <col min="1" max="1" width="4.42578125" bestFit="1" customWidth="1"/>
    <col min="2" max="2" width="16" bestFit="1" customWidth="1"/>
    <col min="3" max="3" width="7.42578125" bestFit="1" customWidth="1"/>
    <col min="4" max="4" width="8.85546875" bestFit="1" customWidth="1"/>
    <col min="5" max="5" width="10.5703125" bestFit="1" customWidth="1"/>
    <col min="6" max="6" width="17.5703125" bestFit="1" customWidth="1"/>
    <col min="7" max="7" width="20.5703125" bestFit="1" customWidth="1"/>
    <col min="8" max="8" width="20.28515625" bestFit="1" customWidth="1"/>
    <col min="9" max="9" width="14.42578125" bestFit="1" customWidth="1"/>
    <col min="10" max="10" width="13.85546875" bestFit="1" customWidth="1"/>
    <col min="11" max="11" width="8.140625" bestFit="1" customWidth="1"/>
    <col min="12" max="12" width="8.7109375" bestFit="1" customWidth="1"/>
    <col min="13" max="13" width="5.42578125" bestFit="1" customWidth="1"/>
    <col min="14" max="14" width="16" bestFit="1" customWidth="1"/>
    <col min="15" max="15" width="7.85546875" bestFit="1" customWidth="1"/>
    <col min="16" max="16" width="9.7109375" bestFit="1" customWidth="1"/>
    <col min="17" max="17" width="13.5703125" bestFit="1" customWidth="1"/>
    <col min="19" max="19" width="18.140625" bestFit="1" customWidth="1"/>
    <col min="20" max="20" width="14.85546875" bestFit="1" customWidth="1"/>
  </cols>
  <sheetData>
    <row r="1" spans="1:32" s="7" customFormat="1" x14ac:dyDescent="0.25">
      <c r="A1" s="19" t="s">
        <v>51</v>
      </c>
      <c r="B1" s="7" t="s">
        <v>19</v>
      </c>
      <c r="C1" s="7" t="s">
        <v>20</v>
      </c>
      <c r="D1" s="7" t="s">
        <v>21</v>
      </c>
      <c r="E1" s="7" t="s">
        <v>22</v>
      </c>
      <c r="F1" s="7" t="s">
        <v>23</v>
      </c>
      <c r="G1" s="7" t="s">
        <v>24</v>
      </c>
      <c r="H1" s="7" t="s">
        <v>25</v>
      </c>
      <c r="I1" s="7" t="s">
        <v>26</v>
      </c>
      <c r="J1" s="7" t="s">
        <v>27</v>
      </c>
      <c r="K1" s="7" t="s">
        <v>28</v>
      </c>
      <c r="L1" s="7" t="s">
        <v>29</v>
      </c>
      <c r="M1" s="7" t="s">
        <v>30</v>
      </c>
      <c r="N1" s="7" t="s">
        <v>31</v>
      </c>
      <c r="O1" s="7" t="s">
        <v>32</v>
      </c>
      <c r="P1" s="7" t="s">
        <v>33</v>
      </c>
      <c r="Q1" s="7" t="s">
        <v>34</v>
      </c>
      <c r="S1" s="7" t="s">
        <v>35</v>
      </c>
      <c r="T1" s="7" t="s">
        <v>49</v>
      </c>
      <c r="AA1"/>
      <c r="AB1"/>
      <c r="AC1"/>
      <c r="AD1" s="15"/>
      <c r="AE1" s="15"/>
      <c r="AF1"/>
    </row>
    <row r="2" spans="1:32" ht="45" x14ac:dyDescent="0.25">
      <c r="B2">
        <v>57337860</v>
      </c>
      <c r="C2">
        <v>1201</v>
      </c>
      <c r="D2" t="s">
        <v>37</v>
      </c>
      <c r="E2" s="15">
        <v>45338</v>
      </c>
      <c r="F2" s="15">
        <v>45338</v>
      </c>
      <c r="G2" t="s">
        <v>38</v>
      </c>
      <c r="H2" t="s">
        <v>39</v>
      </c>
      <c r="I2">
        <v>1</v>
      </c>
      <c r="J2">
        <v>2827750</v>
      </c>
      <c r="K2" t="s">
        <v>40</v>
      </c>
      <c r="L2" t="s">
        <v>40</v>
      </c>
      <c r="M2" t="s">
        <v>41</v>
      </c>
      <c r="N2" t="s">
        <v>42</v>
      </c>
      <c r="O2" t="s">
        <v>43</v>
      </c>
      <c r="P2" t="s">
        <v>44</v>
      </c>
      <c r="Q2" t="s">
        <v>45</v>
      </c>
      <c r="R2">
        <v>1</v>
      </c>
      <c r="S2" s="16" t="s">
        <v>46</v>
      </c>
      <c r="T2" s="17" t="s">
        <v>47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39C6C-2A40-44A1-BA4A-09B3A94C69B2}">
  <sheetPr codeName="Sheet4"/>
  <dimension ref="A1:H2"/>
  <sheetViews>
    <sheetView workbookViewId="0"/>
  </sheetViews>
  <sheetFormatPr defaultRowHeight="15" x14ac:dyDescent="0.25"/>
  <cols>
    <col min="1" max="1" width="3.85546875" bestFit="1" customWidth="1"/>
    <col min="2" max="2" width="11.7109375" bestFit="1" customWidth="1"/>
    <col min="3" max="3" width="4.28515625" bestFit="1" customWidth="1"/>
    <col min="4" max="4" width="16" bestFit="1" customWidth="1"/>
    <col min="5" max="5" width="7.42578125" bestFit="1" customWidth="1"/>
    <col min="6" max="6" width="8.85546875" bestFit="1" customWidth="1"/>
    <col min="7" max="7" width="10.5703125" bestFit="1" customWidth="1"/>
    <col min="8" max="8" width="17.5703125" bestFit="1" customWidth="1"/>
  </cols>
  <sheetData>
    <row r="1" spans="1:8" x14ac:dyDescent="0.25">
      <c r="A1" t="s">
        <v>52</v>
      </c>
      <c r="B1" t="s">
        <v>53</v>
      </c>
      <c r="C1" t="s">
        <v>51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</row>
    <row r="2" spans="1:8" x14ac:dyDescent="0.25">
      <c r="A2">
        <v>1</v>
      </c>
      <c r="B2" t="s">
        <v>54</v>
      </c>
      <c r="D2">
        <v>57337860</v>
      </c>
      <c r="E2">
        <v>1201</v>
      </c>
      <c r="F2" t="s">
        <v>37</v>
      </c>
      <c r="G2" s="15">
        <v>45338</v>
      </c>
      <c r="H2" s="15">
        <v>45338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18-3BEB-49DC-888D-5F01B4AA85FF}">
  <sheetPr codeName="Sheet3"/>
  <dimension ref="A1:M2"/>
  <sheetViews>
    <sheetView workbookViewId="0">
      <selection activeCell="B2" sqref="B2:T2"/>
    </sheetView>
  </sheetViews>
  <sheetFormatPr defaultRowHeight="15" x14ac:dyDescent="0.25"/>
  <sheetData>
    <row r="1" spans="1:13" x14ac:dyDescent="0.25">
      <c r="A1" s="7" t="s">
        <v>24</v>
      </c>
      <c r="B1" s="7" t="s">
        <v>25</v>
      </c>
      <c r="C1" s="7" t="s">
        <v>26</v>
      </c>
      <c r="D1" s="7" t="s">
        <v>27</v>
      </c>
      <c r="E1" s="7" t="s">
        <v>28</v>
      </c>
      <c r="F1" s="7" t="s">
        <v>29</v>
      </c>
      <c r="G1" s="7" t="s">
        <v>30</v>
      </c>
      <c r="H1" s="7" t="s">
        <v>31</v>
      </c>
      <c r="I1" s="7" t="s">
        <v>32</v>
      </c>
      <c r="J1" s="7" t="s">
        <v>33</v>
      </c>
      <c r="K1" s="7" t="s">
        <v>34</v>
      </c>
    </row>
    <row r="2" spans="1:13" ht="45" x14ac:dyDescent="0.25">
      <c r="A2" t="s">
        <v>38</v>
      </c>
      <c r="B2" t="s">
        <v>39</v>
      </c>
      <c r="C2">
        <v>1</v>
      </c>
      <c r="D2">
        <v>2827750</v>
      </c>
      <c r="E2" t="s">
        <v>40</v>
      </c>
      <c r="F2" t="s">
        <v>40</v>
      </c>
      <c r="G2" t="s">
        <v>41</v>
      </c>
      <c r="H2" t="s">
        <v>42</v>
      </c>
      <c r="I2" t="s">
        <v>43</v>
      </c>
      <c r="J2" t="s">
        <v>44</v>
      </c>
      <c r="K2" t="s">
        <v>45</v>
      </c>
      <c r="L2" s="16" t="s">
        <v>46</v>
      </c>
      <c r="M2" s="17" t="s">
        <v>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30BA5-7148-4ADD-A104-7E4F8A0729C6}">
  <sheetPr codeName="Sheet5"/>
  <dimension ref="A1:A2"/>
  <sheetViews>
    <sheetView workbookViewId="0"/>
  </sheetViews>
  <sheetFormatPr defaultRowHeight="15" x14ac:dyDescent="0.25"/>
  <sheetData>
    <row r="1" spans="1:1" x14ac:dyDescent="0.25">
      <c r="A1" t="s">
        <v>50</v>
      </c>
    </row>
    <row r="2" spans="1:1" x14ac:dyDescent="0.25">
      <c r="A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Database Supplier</vt:lpstr>
      <vt:lpstr>Input User</vt:lpstr>
      <vt:lpstr>Input RPA</vt:lpstr>
      <vt:lpstr>Bantuan</vt:lpstr>
      <vt:lpstr>SheetRun1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2024-02-16T03:04:03Z</dcterms:modified>
</cp:coreProperties>
</file>