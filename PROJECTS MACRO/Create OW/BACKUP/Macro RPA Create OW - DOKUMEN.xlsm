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Dokumen\RPA\"/>
    </mc:Choice>
  </mc:AlternateContent>
  <xr:revisionPtr revIDLastSave="0" documentId="13_ncr:1_{5F4425F9-4273-464C-9ACA-91606DA4BF24}" xr6:coauthVersionLast="46" xr6:coauthVersionMax="47" xr10:uidLastSave="{00000000-0000-0000-0000-000000000000}"/>
  <bookViews>
    <workbookView xWindow="-120" yWindow="-120" windowWidth="20730" windowHeight="11160" tabRatio="698" firstSheet="3" activeTab="4" xr2:uid="{00000000-000D-0000-FFFF-FFFF00000000}"/>
  </bookViews>
  <sheets>
    <sheet name="Database Supplier" sheetId="2" r:id="rId1"/>
    <sheet name="Input User" sheetId="5902" state="hidden" r:id="rId2"/>
    <sheet name="Input RPA" sheetId="5904" r:id="rId3"/>
    <sheet name="Hasil" sheetId="5917" r:id="rId4"/>
    <sheet name="Bantuan" sheetId="5915" r:id="rId5"/>
    <sheet name="SheetRun1" sheetId="5905" state="hidden" r:id="rId6"/>
    <sheet name="SheetRun2" sheetId="5906" state="hidden" r:id="rId7"/>
    <sheet name="SheetRun3" sheetId="5907" state="hidden" r:id="rId8"/>
    <sheet name="SheetRun4" sheetId="5908" state="hidden" r:id="rId9"/>
    <sheet name="SheetRun5" sheetId="5909" state="hidden" r:id="rId10"/>
    <sheet name="SheetRun6" sheetId="5910" state="hidden" r:id="rId11"/>
    <sheet name="SheetRun7" sheetId="5911" state="hidden" r:id="rId12"/>
    <sheet name="SheetRun8" sheetId="5912" state="hidden" r:id="rId13"/>
    <sheet name="SheetRun9" sheetId="5913" state="hidden" r:id="rId14"/>
    <sheet name="SheetRun10" sheetId="5914" state="hidden" r:id="rId15"/>
    <sheet name="Status" sheetId="5920" r:id="rId16"/>
  </sheets>
  <functionGroups builtInGroupCount="19"/>
  <externalReferences>
    <externalReference r:id="rId17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4" i="5917" l="1"/>
  <c r="K51" i="5917"/>
  <c r="K46" i="5917"/>
  <c r="K41" i="5917"/>
  <c r="K36" i="5917"/>
  <c r="K33" i="5917"/>
  <c r="K30" i="5917"/>
  <c r="K21" i="5917"/>
  <c r="K18" i="5917"/>
  <c r="K15" i="5917"/>
  <c r="B19" i="5902"/>
  <c r="B17" i="5902"/>
  <c r="B15" i="5902"/>
  <c r="B14" i="5902"/>
  <c r="B13" i="5902"/>
  <c r="B9" i="5902"/>
  <c r="B8" i="5902"/>
  <c r="B7" i="5902"/>
  <c r="J4" i="5902"/>
  <c r="B4" i="5902"/>
  <c r="B3" i="5902"/>
  <c r="J2" i="5902"/>
  <c r="B2" i="5902"/>
  <c r="FZ1" i="2" l="1"/>
  <c r="GA2" i="2" s="1"/>
  <c r="GA4" i="2" l="1"/>
  <c r="FZ3" i="2"/>
  <c r="GA3" i="2" s="1"/>
  <c r="GA1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Darry Faliha Yudha</author>
  </authors>
  <commentList>
    <comment ref="E1" authorId="0" shapeId="0" xr:uid="{B00A85B4-C3B8-4EC0-A6A6-9F25092DB4D5}">
      <text>
        <r>
          <rPr>
            <b/>
            <sz val="9"/>
            <color indexed="81"/>
            <rFont val="Tahoma"/>
            <family val="2"/>
          </rPr>
          <t xml:space="preserve">Pastikan format MM/DD/YYYY
</t>
        </r>
        <r>
          <rPr>
            <sz val="9"/>
            <color indexed="81"/>
            <rFont val="Tahoma"/>
            <family val="2"/>
          </rPr>
          <t xml:space="preserve">
PpASDFpASPastikan format MM/DD/YYYY</t>
        </r>
      </text>
    </comment>
    <comment ref="F1" authorId="0" shapeId="0" xr:uid="{B80F311F-7748-48C7-88B8-AEE6E9625D58}">
      <text>
        <r>
          <rPr>
            <b/>
            <sz val="9"/>
            <color indexed="81"/>
            <rFont val="Tahoma"/>
            <family val="2"/>
          </rPr>
          <t>Pastikan format MM/DD/YYYY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<sst xmlns="http://schemas.openxmlformats.org/spreadsheetml/2006/main" count="953" uniqueCount="135">
  <si>
    <t>Nama File :</t>
  </si>
  <si>
    <t>Nama Sheet :</t>
  </si>
  <si>
    <t>Input User Create OW</t>
  </si>
  <si>
    <t>Lokasi File 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</si>
  <si>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</si>
  <si>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</si>
  <si>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</si>
  <si>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</si>
  <si>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</si>
  <si>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</si>
  <si>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</si>
  <si>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</si>
  <si>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</si>
  <si>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</si>
  <si>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</si>
  <si>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</si>
  <si>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FILE BACKUP</t>
  </si>
  <si>
    <t>BackUp Macro RPA Create OW</t>
  </si>
  <si>
    <t>BACKUP</t>
  </si>
  <si>
    <t>\\10.8.0.35\Bersama\IT\RPA Dokumen</t>
  </si>
  <si>
    <t>\\10.8.0.35\Bersama\IT &amp; DT\1. File RPA\1. Create OW FARIDA\RPA</t>
  </si>
  <si>
    <t>RPA Code</t>
  </si>
  <si>
    <t>cost 2023.xlsx</t>
  </si>
  <si>
    <t>\\10.8.0.35\Bersama\BEACUKAI\NUNUNG\cost 2023.xlsm</t>
  </si>
  <si>
    <t>IDR</t>
  </si>
  <si>
    <t>EA</t>
  </si>
  <si>
    <t>JE</t>
  </si>
  <si>
    <t>PT MULTISARANA</t>
  </si>
  <si>
    <t>Address Number</t>
  </si>
  <si>
    <t>Ship To</t>
  </si>
  <si>
    <t>Currency</t>
  </si>
  <si>
    <t>Requested</t>
  </si>
  <si>
    <t>Promised Delivery</t>
  </si>
  <si>
    <t>Description 1</t>
  </si>
  <si>
    <t>Description 2</t>
  </si>
  <si>
    <t>Quantity Order</t>
  </si>
  <si>
    <t>Extended Cost</t>
  </si>
  <si>
    <t>Tr. UoM</t>
  </si>
  <si>
    <t>Pu. UoM</t>
  </si>
  <si>
    <t>Ln Ty</t>
  </si>
  <si>
    <t>Account Number</t>
  </si>
  <si>
    <t>Tax Y/N</t>
  </si>
  <si>
    <t>Expl Code</t>
  </si>
  <si>
    <t>Tax Rate/Area</t>
  </si>
  <si>
    <t>FCR</t>
  </si>
  <si>
    <t>No Faktur Pajak</t>
  </si>
  <si>
    <t>PATH RESUME :</t>
  </si>
  <si>
    <t>NAMA FILE :</t>
  </si>
  <si>
    <t>Resume OW &amp; PO 1201</t>
  </si>
  <si>
    <t>\\10.8.0.35\bersama\IT\RPA Dokumen\RPA</t>
  </si>
  <si>
    <t>N</t>
  </si>
  <si>
    <t>21-02-24</t>
  </si>
  <si>
    <t>PT.MULTISARANA BAHTERAMANDIRI</t>
  </si>
  <si>
    <t>NISHIMATSUYA INV 0050</t>
  </si>
  <si>
    <t>1IN240101122</t>
  </si>
  <si>
    <t>1201.720400</t>
  </si>
  <si>
    <t>Y</t>
  </si>
  <si>
    <t>V</t>
  </si>
  <si>
    <t>PPNM11%</t>
  </si>
  <si>
    <t>6436JAKAIT24</t>
  </si>
  <si>
    <t>010.004-24.61022031</t>
  </si>
  <si>
    <t>85888 PCS</t>
  </si>
  <si>
    <t>NISHIMATSUYA INV 0050 STAMP</t>
  </si>
  <si>
    <t>NISHIMATSUYA INV 0051</t>
  </si>
  <si>
    <t>1IN240101124</t>
  </si>
  <si>
    <t>6437JAKAIT24</t>
  </si>
  <si>
    <t>010.004-24.61022032</t>
  </si>
  <si>
    <t>62810 PCS</t>
  </si>
  <si>
    <t>NISHIMATSUYA INV 0051 STAMP</t>
  </si>
  <si>
    <t>NISHIMATSUYA INV 0052</t>
  </si>
  <si>
    <t>1IN240101167</t>
  </si>
  <si>
    <t>6445JAKAIT24</t>
  </si>
  <si>
    <t>010.004-24.61022168</t>
  </si>
  <si>
    <t>34023 PCS</t>
  </si>
  <si>
    <t>PT.KIDIA</t>
  </si>
  <si>
    <t>CONT INV 0034 SHINATOMO, INV 0049 BERGANS, INV 0038 KAZEN, INV 0052, 0051, 0052 NISHIMATSUYA, INV 0059 COCOS</t>
  </si>
  <si>
    <t>011/EXP/KIDIA/II/24</t>
  </si>
  <si>
    <t>010.005-24.46721398</t>
  </si>
  <si>
    <t>PT TIRTA MANDIRI JASATAMA</t>
  </si>
  <si>
    <t>LOLO FEE</t>
  </si>
  <si>
    <t>NR011/EXP/KIDIA/II/24</t>
  </si>
  <si>
    <t>011.002-24.78792338</t>
  </si>
  <si>
    <t>JAKARTA INTERNATIONAL CONTAINER TERMINAL</t>
  </si>
  <si>
    <t>1201.631100</t>
  </si>
  <si>
    <t>010.000-24.12299555</t>
  </si>
  <si>
    <t>010.000-24.12310188</t>
  </si>
  <si>
    <t>010.000-24.12320519</t>
  </si>
  <si>
    <t>010.000-24.12322832</t>
  </si>
  <si>
    <t>PT.PUNINAR YUSEN LOGISTICS INDONESIA</t>
  </si>
  <si>
    <t>010.002-24.49254918</t>
  </si>
  <si>
    <t>NPH MUSTIKA ALAM LESTARI</t>
  </si>
  <si>
    <t>010.002-24.36408666</t>
  </si>
  <si>
    <t>PT.BSA LOGISTICS INDONESIA</t>
  </si>
  <si>
    <t>010.004-24.35151364</t>
  </si>
  <si>
    <t>010.004-24.35155235</t>
  </si>
  <si>
    <t>PT.GFC INDONESIA TERMINAL</t>
  </si>
  <si>
    <t>010.000-24.07751275</t>
  </si>
  <si>
    <t>010.000-24.07751276</t>
  </si>
  <si>
    <t>TERMINAL PETIKEMAS KOJA TPK.</t>
  </si>
  <si>
    <t>010.000-24.00028841</t>
  </si>
  <si>
    <t>010.000-24.00028838</t>
  </si>
  <si>
    <t>PT. SINERGI BAHTERA MITRA</t>
  </si>
  <si>
    <t>010.005-24.75593069</t>
  </si>
  <si>
    <t>OW</t>
  </si>
  <si>
    <t>NO</t>
  </si>
  <si>
    <t>Nama Sheet</t>
  </si>
  <si>
    <t>PO Number</t>
  </si>
  <si>
    <t>Status</t>
  </si>
  <si>
    <t>SheetRun1</t>
  </si>
  <si>
    <t>SheetRun2</t>
  </si>
  <si>
    <t>SheetRun3</t>
  </si>
  <si>
    <t>SheetRun4</t>
  </si>
  <si>
    <t>SheetRun5</t>
  </si>
  <si>
    <t>SheetRun6</t>
  </si>
  <si>
    <t>SheetRun7</t>
  </si>
  <si>
    <t>SheetRun8</t>
  </si>
  <si>
    <t>SheetRun9</t>
  </si>
  <si>
    <t>SheetRun10</t>
  </si>
  <si>
    <t>PO Approved</t>
  </si>
  <si>
    <t>RECAP COST HANDLING COST 2023</t>
  </si>
  <si>
    <t>TGL</t>
  </si>
  <si>
    <t>INV GISTEX</t>
  </si>
  <si>
    <t>QTY</t>
  </si>
  <si>
    <t>PCS</t>
  </si>
  <si>
    <t>VOLUME</t>
  </si>
  <si>
    <t>CBM</t>
  </si>
  <si>
    <t>ORDER</t>
  </si>
  <si>
    <t>SUPPLIER</t>
  </si>
  <si>
    <t>AMOUNT</t>
  </si>
  <si>
    <t>PPH 23</t>
  </si>
  <si>
    <t>TOTAL IDR</t>
  </si>
  <si>
    <t>INV</t>
  </si>
  <si>
    <t>NO FP</t>
  </si>
  <si>
    <t/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</si>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</sst>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[$-13809]dd/mm/yyyy;@"/>
    <numFmt numFmtId="165" formatCode="_(* #,##0_);_(* \(#,##0\);_(* &quot;-&quot;??_);_(@_)"/>
    <numFmt numFmtId="166" formatCode="[$-409]d\-mmm;@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theme="1"/>
      <name val="Comic Sans MS"/>
      <family val="4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Font="0" applyFill="0" applyBorder="0" applyAlignment="0" applyProtection="0"/>
  </cellStyleXfs>
  <cellXfs count="42">
    <xf numFmtId="0" fontId="0" fillId="0" borderId="0" xfId="0"/>
    <xf numFmtId="0" fontId="0" fillId="0" borderId="0" xfId="0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2" fillId="0" borderId="4" xfId="0" applyFont="1" applyBorder="1" applyAlignment="1">
      <alignment horizontal="right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3" xfId="0" quotePrefix="1" applyFont="1" applyFill="1" applyBorder="1" applyAlignment="1">
      <alignment horizontal="center" vertical="center"/>
    </xf>
    <xf numFmtId="0" fontId="2" fillId="0" borderId="0" xfId="0" applyFont="1"/>
    <xf numFmtId="0" fontId="4" fillId="0" borderId="0" xfId="2"/>
    <xf numFmtId="0" fontId="4" fillId="0" borderId="8" xfId="2" applyBorder="1"/>
    <xf numFmtId="0" fontId="0" fillId="0" borderId="0" xfId="3" applyFont="1"/>
    <xf numFmtId="164" fontId="5" fillId="0" borderId="0" xfId="0" applyNumberFormat="1" applyFont="1"/>
    <xf numFmtId="165" fontId="5" fillId="0" borderId="0" xfId="1" applyNumberFormat="1" applyFont="1" applyFill="1" applyAlignment="1"/>
    <xf numFmtId="49" fontId="5" fillId="0" borderId="0" xfId="0" applyNumberFormat="1" applyFont="1"/>
    <xf numFmtId="49" fontId="5" fillId="0" borderId="0" xfId="0" applyNumberFormat="1" applyFont="1" applyAlignment="1">
      <alignment horizontal="left"/>
    </xf>
    <xf numFmtId="14" fontId="0" fillId="0" borderId="0" xfId="0" applyNumberFormat="1"/>
    <xf numFmtId="0" fontId="2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quotePrefix="1"/>
    <xf numFmtId="0" fontId="0" fillId="0" borderId="0" xfId="0" applyAlignment="1">
      <alignment vertical="center"/>
    </xf>
    <xf numFmtId="49" fontId="0" fillId="0" borderId="0" xfId="0" applyNumberFormat="1"/>
    <xf numFmtId="0" fontId="2" fillId="2" borderId="0" xfId="0" applyFont="1" applyFill="1"/>
    <xf numFmtId="0" fontId="8" fillId="0" borderId="0" xfId="0" applyFont="1"/>
    <xf numFmtId="165" fontId="8" fillId="0" borderId="0" xfId="0" applyNumberFormat="1" applyFont="1"/>
    <xf numFmtId="165" fontId="0" fillId="0" borderId="0" xfId="0" applyNumberFormat="1"/>
    <xf numFmtId="166" fontId="8" fillId="0" borderId="0" xfId="0" applyNumberFormat="1" applyFont="1"/>
    <xf numFmtId="166" fontId="0" fillId="0" borderId="0" xfId="0" applyNumberFormat="1"/>
    <xf numFmtId="0" fontId="8" fillId="0" borderId="9" xfId="0" applyFont="1" applyBorder="1" applyAlignment="1">
      <alignment horizontal="center" vertical="center"/>
    </xf>
    <xf numFmtId="165" fontId="8" fillId="0" borderId="9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6" fontId="9" fillId="0" borderId="9" xfId="0" applyNumberFormat="1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165" fontId="9" fillId="0" borderId="9" xfId="0" applyNumberFormat="1" applyFont="1" applyBorder="1" applyAlignment="1">
      <alignment horizontal="center" vertical="center"/>
    </xf>
    <xf numFmtId="165" fontId="9" fillId="3" borderId="9" xfId="0" applyNumberFormat="1" applyFont="1" applyFill="1" applyBorder="1" applyAlignment="1">
      <alignment horizontal="center" vertical="center"/>
    </xf>
    <xf numFmtId="164" fontId="2" fillId="0" borderId="0" xfId="0" applyNumberFormat="1" applyFont="1"/>
    <xf numFmtId="164" fontId="0" fillId="0" borderId="0" xfId="0" applyNumberFormat="1"/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8" fillId="0" borderId="9" xfId="0" applyFont="1" applyBorder="1" applyAlignment="1">
      <alignment horizontal="center" vertical="center"/>
    </xf>
    <xf numFmtId="165" fontId="8" fillId="0" borderId="9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66" fontId="8" fillId="0" borderId="9" xfId="0" applyNumberFormat="1" applyFont="1" applyBorder="1" applyAlignment="1">
      <alignment horizontal="center" vertical="center"/>
    </xf>
  </cellXfs>
  <cellStyles count="4">
    <cellStyle name="Comma 2" xfId="1" xr:uid="{00000000-0005-0000-0000-000000000000}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</xdr:row>
      <xdr:rowOff>38100</xdr:rowOff>
    </xdr:from>
    <xdr:to>
      <xdr:col>2</xdr:col>
      <xdr:colOff>590550</xdr:colOff>
      <xdr:row>3</xdr:row>
      <xdr:rowOff>171450</xdr:rowOff>
    </xdr:to>
    <xdr:sp macro="[0]!COPYINPU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1F4EA8C-E257-40C5-912A-E653BDBD4B4E}"/>
            </a:ext>
          </a:extLst>
        </xdr:cNvPr>
        <xdr:cNvSpPr/>
      </xdr:nvSpPr>
      <xdr:spPr>
        <a:xfrm>
          <a:off x="666750" y="228600"/>
          <a:ext cx="1162050" cy="5143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/>
            <a:t>PROCESS 1</a:t>
          </a:r>
        </a:p>
      </xdr:txBody>
    </xdr:sp>
    <xdr:clientData/>
  </xdr:twoCellAnchor>
  <xdr:twoCellAnchor>
    <xdr:from>
      <xdr:col>4</xdr:col>
      <xdr:colOff>28575</xdr:colOff>
      <xdr:row>1</xdr:row>
      <xdr:rowOff>38100</xdr:rowOff>
    </xdr:from>
    <xdr:to>
      <xdr:col>5</xdr:col>
      <xdr:colOff>581025</xdr:colOff>
      <xdr:row>3</xdr:row>
      <xdr:rowOff>171450</xdr:rowOff>
    </xdr:to>
    <xdr:sp macro="[0]!HASILINPU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990BC30-BC89-4895-B27A-D78E7E0F303E}"/>
            </a:ext>
          </a:extLst>
        </xdr:cNvPr>
        <xdr:cNvSpPr/>
      </xdr:nvSpPr>
      <xdr:spPr>
        <a:xfrm>
          <a:off x="2495550" y="228600"/>
          <a:ext cx="1162050" cy="51435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/>
            <a:t>PROCESS 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IT\RPA%20Dokumen\Input%20User%20Create%20O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base Supplier"/>
      <sheetName val="TOMBOL"/>
      <sheetName val="Input User"/>
      <sheetName val="13-05-22"/>
      <sheetName val="17-05-22"/>
      <sheetName val="18-05-22"/>
      <sheetName val="19-05-22"/>
      <sheetName val="20-05-22"/>
      <sheetName val="24-05-22"/>
      <sheetName val="25-05-22"/>
      <sheetName val="30-05-22"/>
      <sheetName val="31-05-22"/>
      <sheetName val="02-06-22"/>
      <sheetName val="06-06-22"/>
      <sheetName val="03-06-22"/>
      <sheetName val="07-06-22"/>
      <sheetName val="09-06-22"/>
      <sheetName val="10-06-22"/>
      <sheetName val="14-06-22"/>
      <sheetName val="15-06-22"/>
      <sheetName val="17-06-22"/>
      <sheetName val="20-06-22"/>
      <sheetName val="21-06-22"/>
      <sheetName val="23-06-22"/>
      <sheetName val="24-06-22"/>
      <sheetName val="27-06-22"/>
      <sheetName val="28-06-22"/>
      <sheetName val="30-06-22"/>
      <sheetName val="05-07-22"/>
      <sheetName val="06-07-22"/>
      <sheetName val="07-07-22"/>
      <sheetName val="08-07-22"/>
      <sheetName val="11-07-22"/>
      <sheetName val="12-07-22"/>
      <sheetName val="13-07-22"/>
      <sheetName val="14-07-22"/>
      <sheetName val="15-07-22"/>
      <sheetName val="18-07-22"/>
      <sheetName val="19-07-22"/>
      <sheetName val="20-07-22"/>
      <sheetName val="21-07-22"/>
      <sheetName val="22-07-22"/>
      <sheetName val="25-07-22"/>
      <sheetName val="26-07-22"/>
      <sheetName val="29-07-22"/>
      <sheetName val="01-08-22"/>
      <sheetName val="02-08-22"/>
      <sheetName val="03-08-22"/>
      <sheetName val="05-08-22"/>
      <sheetName val="08-08-22"/>
      <sheetName val="09-08-22"/>
      <sheetName val="11-08-22"/>
      <sheetName val="12-08-22"/>
      <sheetName val="15-08-22"/>
      <sheetName val="16-08-22"/>
      <sheetName val="18-08-22"/>
      <sheetName val="19-08-22"/>
      <sheetName val="22-08-22"/>
      <sheetName val="23-08-22"/>
      <sheetName val="24-08-22"/>
      <sheetName val="25-08-22"/>
      <sheetName val="29-08-22"/>
      <sheetName val="30-08-22"/>
      <sheetName val="31-08-22"/>
      <sheetName val="07-09-22"/>
      <sheetName val="08-09-22"/>
      <sheetName val="09-09-22"/>
      <sheetName val="12-09-22"/>
      <sheetName val="13-09-22"/>
      <sheetName val="14-09-22"/>
      <sheetName val="15-09-22"/>
      <sheetName val="16-09-22"/>
      <sheetName val="19-09-22"/>
      <sheetName val="20-09-22"/>
      <sheetName val="23-09-22"/>
      <sheetName val="27-09-22"/>
      <sheetName val="28-09-22"/>
      <sheetName val="03-10-22"/>
      <sheetName val="04-10-22"/>
      <sheetName val="07-10-22"/>
      <sheetName val="10-10-22"/>
      <sheetName val="11-10-22"/>
      <sheetName val="12-10-22"/>
      <sheetName val="14-10-22"/>
      <sheetName val="17-10-22"/>
      <sheetName val="18-10-22"/>
      <sheetName val="19-10-22"/>
      <sheetName val="20-10-22"/>
      <sheetName val="24-10-22"/>
      <sheetName val="25-10-22"/>
      <sheetName val="26-10-22"/>
      <sheetName val="27-10-22"/>
      <sheetName val="31-10-22"/>
      <sheetName val="01-11-22"/>
      <sheetName val="04-11-22"/>
      <sheetName val="07-11-22"/>
      <sheetName val="08-11-22"/>
      <sheetName val="09-11-22"/>
      <sheetName val="11-11-22"/>
      <sheetName val="14-11-22"/>
      <sheetName val="15-11-22"/>
      <sheetName val="16-11-22"/>
      <sheetName val="17-11-22"/>
      <sheetName val="18-11-22"/>
      <sheetName val="21-11-22"/>
      <sheetName val="22-11-22"/>
      <sheetName val="24-11-22"/>
      <sheetName val="25-11-22"/>
      <sheetName val="28-11-22"/>
      <sheetName val="01-12-22"/>
      <sheetName val="02-12-22"/>
      <sheetName val="05-12-22"/>
      <sheetName val="06-12-22"/>
      <sheetName val="12-12-22"/>
      <sheetName val="13-12-22"/>
      <sheetName val="19-12-22"/>
      <sheetName val="20-12-22"/>
      <sheetName val="23-12-22"/>
      <sheetName val="27-12-22"/>
      <sheetName val="28-12-22"/>
      <sheetName val="02-01-23"/>
      <sheetName val="04-01-23"/>
      <sheetName val="10-01-23"/>
      <sheetName val="11-01-23"/>
      <sheetName val="12-01-23"/>
      <sheetName val="13-01-23"/>
      <sheetName val="16-01-23"/>
      <sheetName val="17-01-23"/>
      <sheetName val="18-01-23"/>
      <sheetName val="23-01-23"/>
      <sheetName val="24-01-23"/>
      <sheetName val="27-01-23"/>
      <sheetName val="30-01-23"/>
      <sheetName val="31-01-23"/>
      <sheetName val="01-02-23"/>
      <sheetName val="02-02-23"/>
      <sheetName val="06-02-23"/>
      <sheetName val="07-02-23"/>
      <sheetName val="10-02-23"/>
      <sheetName val="13-02-23"/>
      <sheetName val="14-02-23"/>
      <sheetName val="15-02-23"/>
      <sheetName val="17-02-23"/>
      <sheetName val="21-02-23"/>
      <sheetName val="22-02-23"/>
      <sheetName val="23-02-23"/>
      <sheetName val="24-02-23"/>
      <sheetName val="27-02-23"/>
      <sheetName val="02-03-23"/>
      <sheetName val="03-03-23"/>
      <sheetName val="07-03-23"/>
      <sheetName val="08-03-23"/>
      <sheetName val="13-03-23"/>
      <sheetName val="14-03-23"/>
      <sheetName val="15-03-23"/>
      <sheetName val="23-03-23"/>
      <sheetName val="27-03-23"/>
      <sheetName val="29-03-23"/>
      <sheetName val="03-04-23"/>
      <sheetName val="10-04-231"/>
      <sheetName val="10-04-23"/>
      <sheetName val="11-04-23"/>
      <sheetName val="13-04-23"/>
      <sheetName val="19-04-23"/>
      <sheetName val="08-05-23"/>
      <sheetName val="10-05-23"/>
      <sheetName val="12-05-23"/>
      <sheetName val="22-05-23"/>
      <sheetName val="23-05-233"/>
      <sheetName val="23-05-23"/>
      <sheetName val="25-05-23"/>
      <sheetName val="29-05-23"/>
      <sheetName val="31-05-23"/>
      <sheetName val="02-06-23"/>
      <sheetName val="05-06-23"/>
      <sheetName val="14-06-23"/>
      <sheetName val="21-06-23"/>
      <sheetName val="23-06-23"/>
      <sheetName val="05-07-23"/>
      <sheetName val="06-07-23"/>
      <sheetName val="13-07-23"/>
      <sheetName val="14-07-23"/>
      <sheetName val="18-07-23"/>
      <sheetName val="20-07-23"/>
      <sheetName val="24-07-23"/>
      <sheetName val="01-08-23"/>
      <sheetName val="02-08-23"/>
      <sheetName val="03-08-23"/>
      <sheetName val="10-08-23"/>
      <sheetName val="11-08-23"/>
      <sheetName val="14-08-23"/>
      <sheetName val="15-08-23"/>
      <sheetName val="18-08-23"/>
      <sheetName val="25-08-23"/>
      <sheetName val="05-09-23"/>
      <sheetName val="06-09-23"/>
      <sheetName val="08-09-23"/>
      <sheetName val="12-09-23"/>
      <sheetName val="14-09-23"/>
      <sheetName val="18-09-23"/>
      <sheetName val="19-09-23"/>
      <sheetName val="20-09-23"/>
      <sheetName val="21-09-23"/>
      <sheetName val="22-09-23"/>
      <sheetName val="27-09-23"/>
      <sheetName val="06-10-23"/>
      <sheetName val="11-10-23"/>
      <sheetName val="13-10-23"/>
      <sheetName val="16-10-23"/>
      <sheetName val="18-10-23"/>
      <sheetName val="24-10-23"/>
      <sheetName val="26-10-23"/>
      <sheetName val="06-11-23a"/>
      <sheetName val="06-11-23"/>
      <sheetName val="10-11-23"/>
      <sheetName val="13-11-23"/>
      <sheetName val="Sheet1"/>
      <sheetName val="14-11-23"/>
      <sheetName val="22-11-23"/>
      <sheetName val="24-11-23"/>
      <sheetName val="27-11-23"/>
      <sheetName val="30-11-23"/>
      <sheetName val="04-12-23"/>
      <sheetName val="08-12-23"/>
      <sheetName val="11-12-231"/>
      <sheetName val="11-12-23"/>
      <sheetName val="12-12-23"/>
      <sheetName val="13-12-23"/>
      <sheetName val="14-12-23"/>
      <sheetName val="15-12-23"/>
      <sheetName val="18-12-23"/>
      <sheetName val="20-12-23"/>
      <sheetName val="21-12-23"/>
      <sheetName val="27-12-23"/>
      <sheetName val="02-01-24"/>
      <sheetName val="04-01-24"/>
      <sheetName val="05-01-24"/>
      <sheetName val="09-01-24"/>
      <sheetName val="10-01-24"/>
      <sheetName val="11-01-24"/>
      <sheetName val="17-01-24"/>
      <sheetName val="18-01-24"/>
      <sheetName val="19-01-24"/>
      <sheetName val="23-01-24"/>
      <sheetName val="24-01-24"/>
      <sheetName val="25-01-24"/>
      <sheetName val="31-01-24"/>
      <sheetName val="05-02-24"/>
      <sheetName val="06-02-24"/>
      <sheetName val="07-02-24"/>
      <sheetName val="13-02-24"/>
      <sheetName val="19-02-24"/>
      <sheetName val="21-02-24"/>
    </sheetNames>
    <sheetDataSet>
      <sheetData sheetId="0">
        <row r="1">
          <cell r="A1" t="str">
            <v>Nama Supplier</v>
          </cell>
          <cell r="B1" t="str">
            <v>Address Number</v>
          </cell>
        </row>
        <row r="2">
          <cell r="A2" t="str">
            <v>PT. Damco Indonesia</v>
          </cell>
          <cell r="B2">
            <v>55718247</v>
          </cell>
        </row>
        <row r="3">
          <cell r="A3" t="str">
            <v>PT Damco Warehousing Indonesia</v>
          </cell>
          <cell r="B3">
            <v>55718271</v>
          </cell>
        </row>
        <row r="4">
          <cell r="A4" t="str">
            <v>EXPEDITORS INDONESIA,PT.</v>
          </cell>
          <cell r="B4">
            <v>54000358</v>
          </cell>
        </row>
        <row r="5">
          <cell r="A5" t="str">
            <v>PT KINTETSU WORLD EXPRESS INDONESIA</v>
          </cell>
          <cell r="B5">
            <v>55737819</v>
          </cell>
        </row>
        <row r="6">
          <cell r="A6" t="str">
            <v>PT.DSV TRANSPORT INDONESIA</v>
          </cell>
          <cell r="B6">
            <v>56799616</v>
          </cell>
        </row>
        <row r="7">
          <cell r="A7" t="str">
            <v>PT.MULTISARANA BAHTERAMANDIRI</v>
          </cell>
          <cell r="B7">
            <v>56039684</v>
          </cell>
        </row>
        <row r="8">
          <cell r="A8" t="str">
            <v>PT.KIDIA</v>
          </cell>
          <cell r="B8">
            <v>55423490</v>
          </cell>
        </row>
        <row r="9">
          <cell r="A9" t="str">
            <v>PT.KONOIKE TRANSPORT INDONESIA</v>
          </cell>
          <cell r="B9">
            <v>55396735</v>
          </cell>
        </row>
        <row r="10">
          <cell r="A10" t="str">
            <v>JURI HANDOKO</v>
          </cell>
          <cell r="B10">
            <v>54000592</v>
          </cell>
        </row>
        <row r="11">
          <cell r="A11" t="str">
            <v>PT.HONOUR LANE SHIPPING</v>
          </cell>
          <cell r="B11">
            <v>56579074</v>
          </cell>
        </row>
        <row r="12">
          <cell r="A12" t="str">
            <v>PT.NAKU FREIGHT INDONESIA</v>
          </cell>
          <cell r="B12">
            <v>54000635</v>
          </cell>
        </row>
        <row r="13">
          <cell r="A13" t="str">
            <v>PT.HANKYU HANSHIN EXPRESS INDONESIA</v>
          </cell>
          <cell r="B13">
            <v>57272381</v>
          </cell>
        </row>
        <row r="14">
          <cell r="A14" t="str">
            <v>APKB(ASOSIASI PENGUSAHA KAWASAN BERIKAT)</v>
          </cell>
          <cell r="B14">
            <v>55317902</v>
          </cell>
        </row>
        <row r="15">
          <cell r="A15" t="str">
            <v>PT.ASURANSI SINAR MAS</v>
          </cell>
          <cell r="B15">
            <v>55326825</v>
          </cell>
        </row>
        <row r="16">
          <cell r="A16" t="str">
            <v>PT TIKI JALUR NUGRAHA EKAKURIR</v>
          </cell>
          <cell r="B16">
            <v>57312021</v>
          </cell>
        </row>
        <row r="17">
          <cell r="A17" t="str">
            <v>PT.PALAPA INFOKOM TEKNOLOGI SOLUSINDO</v>
          </cell>
          <cell r="B17">
            <v>57323628</v>
          </cell>
        </row>
        <row r="18">
          <cell r="A18" t="str">
            <v>PT KLINE LOGISTICS INDONESIA</v>
          </cell>
          <cell r="B18">
            <v>57142915</v>
          </cell>
        </row>
        <row r="19">
          <cell r="A19" t="str">
            <v>PT HELLMANN WORLDWIDE LOGISTICS</v>
          </cell>
          <cell r="B19">
            <v>57322289</v>
          </cell>
        </row>
        <row r="20">
          <cell r="A20" t="str">
            <v>PT.KORMAN INDO EXPRESS</v>
          </cell>
          <cell r="B20">
            <v>55967121</v>
          </cell>
        </row>
        <row r="21">
          <cell r="A21" t="str">
            <v>PT.TIGA SEKAWAN SUKSES EXPRESS</v>
          </cell>
          <cell r="B21">
            <v>57122092</v>
          </cell>
        </row>
        <row r="22">
          <cell r="A22" t="str">
            <v>PT.PUNINAR YUSEN LOGISTICS INDONESIA</v>
          </cell>
          <cell r="B22">
            <v>56286757</v>
          </cell>
        </row>
        <row r="23">
          <cell r="A23" t="str">
            <v>JAKARTA INTERNATIONAL CONTAINER TERMINAL</v>
          </cell>
          <cell r="B23">
            <v>55113299</v>
          </cell>
        </row>
        <row r="24">
          <cell r="A24" t="str">
            <v>PT.NEW PRIOK CONTAINER TERMINAL ONE</v>
          </cell>
          <cell r="B24">
            <v>55734167</v>
          </cell>
        </row>
        <row r="25">
          <cell r="A25" t="str">
            <v>INTI DUTA DWITAMA TRASINDO,PT</v>
          </cell>
          <cell r="B25">
            <v>55229662</v>
          </cell>
        </row>
        <row r="26">
          <cell r="A26" t="str">
            <v>PT.GLOBAL TERMINAL MARUNDA</v>
          </cell>
          <cell r="B26">
            <v>56013767</v>
          </cell>
        </row>
        <row r="27">
          <cell r="A27" t="str">
            <v>PT.GFC INDONESIA TERMINAL</v>
          </cell>
          <cell r="B27">
            <v>57054270</v>
          </cell>
        </row>
        <row r="28">
          <cell r="A28" t="str">
            <v>*IPC TERMINAL PETI KEMAS</v>
          </cell>
          <cell r="B28">
            <v>56825036</v>
          </cell>
        </row>
        <row r="29">
          <cell r="A29" t="str">
            <v>TERMINAL PETIKEMAS KOJA TPK.</v>
          </cell>
          <cell r="B29">
            <v>55101941</v>
          </cell>
        </row>
        <row r="30">
          <cell r="A30" t="str">
            <v>PT INDOMARSAN UTAMA INTERNATIONAL</v>
          </cell>
          <cell r="B30">
            <v>55527766</v>
          </cell>
        </row>
        <row r="31">
          <cell r="A31" t="str">
            <v>PT.CAKRAWALA PERSADA LOGISTICS</v>
          </cell>
          <cell r="B31">
            <v>55426480</v>
          </cell>
        </row>
        <row r="32">
          <cell r="A32" t="str">
            <v>PT MERATUS LINE</v>
          </cell>
          <cell r="B32">
            <v>57326968</v>
          </cell>
        </row>
        <row r="33">
          <cell r="A33" t="str">
            <v>PT.QUAD KONTEN ALOGISTICS</v>
          </cell>
          <cell r="B33">
            <v>56013652</v>
          </cell>
        </row>
        <row r="34">
          <cell r="A34" t="str">
            <v>PT.GARUDA INDONESIA(PERSERO) TBK.</v>
          </cell>
          <cell r="B34">
            <v>57304179</v>
          </cell>
        </row>
        <row r="35">
          <cell r="A35" t="str">
            <v>DEP.KEUANGAN R.I DIT.JEND.BEA DAN CUKAI</v>
          </cell>
          <cell r="B35">
            <v>55143121</v>
          </cell>
        </row>
        <row r="36">
          <cell r="A36" t="str">
            <v>PT JASA ANGKASA SEMESTA</v>
          </cell>
          <cell r="B36">
            <v>55322891</v>
          </cell>
        </row>
        <row r="37">
          <cell r="A37" t="str">
            <v>PT.AVATAR EXPRESS INDONESIA</v>
          </cell>
          <cell r="B37">
            <v>55806917</v>
          </cell>
        </row>
        <row r="38">
          <cell r="A38" t="str">
            <v>PT.UNEX RAJAWALI INDONESIA</v>
          </cell>
          <cell r="B38">
            <v>55750706</v>
          </cell>
        </row>
        <row r="39">
          <cell r="A39" t="str">
            <v xml:space="preserve">PT.CCIS </v>
          </cell>
          <cell r="B39">
            <v>57327418</v>
          </cell>
        </row>
        <row r="40">
          <cell r="A40" t="str">
            <v>MASAJI TATANAN CONTAINER,PT</v>
          </cell>
          <cell r="B40">
            <v>55294173</v>
          </cell>
        </row>
        <row r="41">
          <cell r="A41" t="str">
            <v>PT.SAMUDERA PACIFIC MAJU</v>
          </cell>
          <cell r="B41">
            <v>54000977</v>
          </cell>
        </row>
        <row r="42">
          <cell r="A42" t="str">
            <v>PT.KLINE MOBARU DIAMOND INDONESIA</v>
          </cell>
          <cell r="B42">
            <v>55732461</v>
          </cell>
        </row>
        <row r="43">
          <cell r="A43" t="str">
            <v>PT.MULTI BINA PURA INTERNATIONAL</v>
          </cell>
          <cell r="B43">
            <v>55102080</v>
          </cell>
        </row>
        <row r="44">
          <cell r="A44" t="str">
            <v>OKTO VIYANTO TAKESAN</v>
          </cell>
          <cell r="B44">
            <v>57316268</v>
          </cell>
        </row>
        <row r="45">
          <cell r="A45" t="str">
            <v>PT. GIHON INTERNATIONAL</v>
          </cell>
          <cell r="B45">
            <v>55777757</v>
          </cell>
        </row>
        <row r="46">
          <cell r="A46" t="str">
            <v>SEGARA PACIFIC MAJU,PT</v>
          </cell>
          <cell r="B46">
            <v>55315481</v>
          </cell>
        </row>
        <row r="47">
          <cell r="A47" t="str">
            <v>PT SANGGRAHA PINTAR LOGISTIK INDONESIA</v>
          </cell>
          <cell r="B47">
            <v>57303934</v>
          </cell>
        </row>
        <row r="48">
          <cell r="A48" t="str">
            <v>PT.KGL INDONESIA</v>
          </cell>
          <cell r="B48">
            <v>57329430</v>
          </cell>
        </row>
        <row r="49">
          <cell r="A49" t="str">
            <v>PT.APS INTERNASIONAL INDONESIA</v>
          </cell>
          <cell r="B49">
            <v>57330465</v>
          </cell>
        </row>
        <row r="50">
          <cell r="A50" t="str">
            <v>PT.BINTANG SAMUDERA ANGKASA</v>
          </cell>
          <cell r="B50">
            <v>57330457</v>
          </cell>
        </row>
        <row r="51">
          <cell r="A51" t="str">
            <v>PT. SENTRA SINAR BARU</v>
          </cell>
          <cell r="B51">
            <v>55683996</v>
          </cell>
        </row>
        <row r="52">
          <cell r="A52" t="str">
            <v>PT. DHARMA YUDHA PRATAMA</v>
          </cell>
          <cell r="B52">
            <v>56940472</v>
          </cell>
        </row>
        <row r="53">
          <cell r="A53" t="str">
            <v>CARDINDO CITRA BUANA, PT.</v>
          </cell>
          <cell r="B53">
            <v>52000130</v>
          </cell>
        </row>
        <row r="54">
          <cell r="A54" t="str">
            <v>KING FREIGHT INDONESIA, PT</v>
          </cell>
          <cell r="B54">
            <v>55314306</v>
          </cell>
        </row>
        <row r="55">
          <cell r="A55" t="str">
            <v>PT. SINAR JATIMITRA</v>
          </cell>
          <cell r="B55">
            <v>57327346</v>
          </cell>
        </row>
        <row r="56">
          <cell r="A56" t="str">
            <v>PT. SARANA PUBLIC LOGISTICS</v>
          </cell>
          <cell r="B56">
            <v>55751311</v>
          </cell>
        </row>
        <row r="57">
          <cell r="A57" t="str">
            <v>PT. PELOPOR PRATAMA LANCAR ABADI</v>
          </cell>
          <cell r="B57">
            <v>55696463</v>
          </cell>
        </row>
        <row r="58">
          <cell r="A58" t="str">
            <v>PT.BIMARUNA JAYA</v>
          </cell>
          <cell r="B58">
            <v>57178723</v>
          </cell>
        </row>
        <row r="59">
          <cell r="A59" t="str">
            <v>PT. SEACON TERMINAL</v>
          </cell>
          <cell r="B59">
            <v>57331249</v>
          </cell>
        </row>
        <row r="60">
          <cell r="A60" t="str">
            <v>PT TIRTA MANDIRI JASATAMA</v>
          </cell>
          <cell r="B60">
            <v>57330828</v>
          </cell>
        </row>
        <row r="61">
          <cell r="A61" t="str">
            <v>PT.BUNGA PLUM LOGISTIK</v>
          </cell>
          <cell r="B61">
            <v>57331345</v>
          </cell>
        </row>
        <row r="62">
          <cell r="A62" t="str">
            <v>PT.PERUSAHAAN PELAYARAN NUSANTARA PANURJWAN</v>
          </cell>
          <cell r="B62">
            <v>57334263</v>
          </cell>
        </row>
        <row r="63">
          <cell r="A63" t="str">
            <v>PT. NTL NAIGAI TRANS LINE INDONESIA</v>
          </cell>
          <cell r="B63">
            <v>55778291</v>
          </cell>
        </row>
        <row r="64">
          <cell r="A64" t="str">
            <v>PT. DAYA ANUGERAH SEMESTA</v>
          </cell>
          <cell r="B64">
            <v>57334714</v>
          </cell>
        </row>
        <row r="65">
          <cell r="A65" t="str">
            <v>PT NANKAI AGL</v>
          </cell>
          <cell r="B65">
            <v>57337860</v>
          </cell>
        </row>
        <row r="66">
          <cell r="A66" t="str">
            <v>PT. TRIJAYA CARGO TRANS</v>
          </cell>
          <cell r="B66">
            <v>57259427</v>
          </cell>
        </row>
        <row r="67">
          <cell r="A67" t="str">
            <v>PT LINTAS NIAGA JAYA</v>
          </cell>
          <cell r="B67">
            <v>57337886</v>
          </cell>
        </row>
        <row r="68">
          <cell r="A68" t="str">
            <v>PT.MCL TRANS INDONESIA</v>
          </cell>
          <cell r="B68">
            <v>57337878</v>
          </cell>
        </row>
        <row r="69">
          <cell r="A69" t="str">
            <v>PT. OOCL LOGISTICS INDONESIA</v>
          </cell>
          <cell r="B69">
            <v>57338379</v>
          </cell>
        </row>
        <row r="70">
          <cell r="A70" t="str">
            <v>PT.SEACON BINTANG SEJAHTERA</v>
          </cell>
          <cell r="B70">
            <v>57338387</v>
          </cell>
        </row>
        <row r="71">
          <cell r="A71" t="str">
            <v>JALAN BARU JALAN, PT</v>
          </cell>
          <cell r="B71">
            <v>57334992</v>
          </cell>
        </row>
        <row r="72">
          <cell r="A72" t="str">
            <v>PT. TOPASIA INTERNASIONAL LOGISTIK</v>
          </cell>
          <cell r="B72">
            <v>57338651</v>
          </cell>
        </row>
        <row r="73">
          <cell r="A73" t="str">
            <v>LOGISTIC SOLUTION INDONESIA, PT</v>
          </cell>
          <cell r="B73">
            <v>55291829</v>
          </cell>
        </row>
        <row r="74">
          <cell r="A74" t="str">
            <v>PT.DUTA ANGKASA PRIMA KARGO</v>
          </cell>
          <cell r="B74">
            <v>55339458</v>
          </cell>
        </row>
        <row r="75">
          <cell r="A75" t="str">
            <v>GAPURA ANGKASA, PT</v>
          </cell>
          <cell r="B75">
            <v>55307860</v>
          </cell>
        </row>
        <row r="76">
          <cell r="A76" t="str">
            <v>PT MEGA TOTAL TRANSPORTATION</v>
          </cell>
          <cell r="B76">
            <v>57341682</v>
          </cell>
        </row>
        <row r="77">
          <cell r="A77" t="str">
            <v>PT DEPO LAUTAN NUSANTARA</v>
          </cell>
          <cell r="B77">
            <v>57314060</v>
          </cell>
        </row>
        <row r="78">
          <cell r="A78" t="str">
            <v>UPS CARDIG INTERNATIONAL,PT.</v>
          </cell>
          <cell r="B78">
            <v>54001252</v>
          </cell>
        </row>
        <row r="79">
          <cell r="A79" t="str">
            <v>PT PELANGI BARU ANTARBENUA</v>
          </cell>
          <cell r="B79">
            <v>57200901</v>
          </cell>
        </row>
        <row r="80">
          <cell r="A80" t="str">
            <v>PT. GLORIOUS INTERBUANA FREIGHT FORWADER</v>
          </cell>
          <cell r="B80">
            <v>56166747</v>
          </cell>
        </row>
        <row r="81">
          <cell r="A81" t="str">
            <v>PT. PELANGI BAHARI ANUGERAHTAMA</v>
          </cell>
          <cell r="B81">
            <v>57342255</v>
          </cell>
        </row>
        <row r="82">
          <cell r="A82" t="str">
            <v>DELTA KONTAINER DEPOT</v>
          </cell>
          <cell r="B82">
            <v>55364717</v>
          </cell>
        </row>
        <row r="83">
          <cell r="A83" t="str">
            <v>PT.EFL GLOBAL INDONESIA</v>
          </cell>
          <cell r="B83">
            <v>57327274</v>
          </cell>
        </row>
        <row r="84">
          <cell r="A84" t="str">
            <v>PT. WAHANA DIRGANTARA</v>
          </cell>
          <cell r="B84">
            <v>55322912</v>
          </cell>
        </row>
        <row r="85">
          <cell r="A85" t="str">
            <v>PT. INTEGRA LINE INDONESIA JAKARTA</v>
          </cell>
          <cell r="B85">
            <v>57309658</v>
          </cell>
        </row>
        <row r="86">
          <cell r="A86" t="str">
            <v>TNR Ekspres Indonesia</v>
          </cell>
          <cell r="B86">
            <v>57349473</v>
          </cell>
        </row>
        <row r="87">
          <cell r="A87" t="str">
            <v>APL LOGISTICS, PT</v>
          </cell>
          <cell r="B87">
            <v>54000073</v>
          </cell>
        </row>
        <row r="88">
          <cell r="A88" t="str">
            <v>PT. CAHAYA MAS UTAMA</v>
          </cell>
          <cell r="B88">
            <v>57349844</v>
          </cell>
        </row>
        <row r="89">
          <cell r="A89" t="str">
            <v>PT. DUNIA EXPRESS TRANSINDO</v>
          </cell>
          <cell r="B89">
            <v>56301013</v>
          </cell>
        </row>
        <row r="90">
          <cell r="A90" t="str">
            <v>PT. TIGA SEKAWAN SUKSES EXPRESS</v>
          </cell>
          <cell r="B90">
            <v>57122092</v>
          </cell>
        </row>
        <row r="91">
          <cell r="A91" t="str">
            <v>PT.CEVA FREIGHT INDONESIA</v>
          </cell>
          <cell r="B91">
            <v>57257691</v>
          </cell>
        </row>
        <row r="92">
          <cell r="A92" t="str">
            <v>PT. ITOCHU LOGISTICS INDONESIA</v>
          </cell>
          <cell r="B92">
            <v>56923808</v>
          </cell>
        </row>
        <row r="93">
          <cell r="A93" t="str">
            <v>PT.BERDIRI MATAHARI LOGISTIK</v>
          </cell>
          <cell r="B93">
            <v>55732364</v>
          </cell>
        </row>
        <row r="94">
          <cell r="A94" t="str">
            <v>PT.JAMESON FREIGHT SEMESTA</v>
          </cell>
          <cell r="B94">
            <v>57350482</v>
          </cell>
        </row>
        <row r="95">
          <cell r="A95" t="str">
            <v>PT.AWARDS SHIPPING AGENCY INDONESIA</v>
          </cell>
          <cell r="B95">
            <v>57350511</v>
          </cell>
        </row>
        <row r="96">
          <cell r="A96" t="str">
            <v>GATEWAY CONTAINER LINE, PT</v>
          </cell>
          <cell r="B96">
            <v>55328978</v>
          </cell>
        </row>
        <row r="97">
          <cell r="A97" t="str">
            <v>PT. NCS LINE WORLD WIDE</v>
          </cell>
          <cell r="B97">
            <v>57353149</v>
          </cell>
        </row>
        <row r="98">
          <cell r="A98" t="str">
            <v>PT KURHANZ TRANS</v>
          </cell>
          <cell r="B98">
            <v>57353317</v>
          </cell>
        </row>
        <row r="99">
          <cell r="A99" t="str">
            <v>PT HANDAL JAYA SERVICE</v>
          </cell>
          <cell r="B99">
            <v>57309391</v>
          </cell>
        </row>
        <row r="100">
          <cell r="A100" t="str">
            <v>PT DUNIA LOGISTIK</v>
          </cell>
          <cell r="B100">
            <v>57349553</v>
          </cell>
        </row>
        <row r="101">
          <cell r="A101" t="str">
            <v>PT.WIDI MEGA LOGISTIK INDONESIA</v>
          </cell>
          <cell r="B101">
            <v>57357545</v>
          </cell>
        </row>
        <row r="102">
          <cell r="A102" t="str">
            <v>AIRIN, PT</v>
          </cell>
          <cell r="B102">
            <v>55314293</v>
          </cell>
        </row>
        <row r="103">
          <cell r="A103" t="str">
            <v>PT.EVERGREEN SHIPPING AGENCY INDONESIA</v>
          </cell>
          <cell r="B103">
            <v>57314086</v>
          </cell>
        </row>
        <row r="104">
          <cell r="A104" t="str">
            <v>BINTANG LOGISTIK INDONUSA. PT</v>
          </cell>
          <cell r="B104">
            <v>57358222</v>
          </cell>
        </row>
        <row r="105">
          <cell r="A105" t="str">
            <v>PT PAM TRANSPOR INDONESIA</v>
          </cell>
          <cell r="B105">
            <v>57358214</v>
          </cell>
        </row>
        <row r="106">
          <cell r="A106" t="str">
            <v>OCEAN NETWORK EXPRESS Pte.Ltd</v>
          </cell>
          <cell r="B106">
            <v>57179646</v>
          </cell>
        </row>
        <row r="107">
          <cell r="A107" t="str">
            <v>PT.FAJAR BUANA INTERNUSA TRANS</v>
          </cell>
          <cell r="B107">
            <v>57358231</v>
          </cell>
        </row>
        <row r="108">
          <cell r="A108" t="str">
            <v>GPI LOGISTICS,PT</v>
          </cell>
          <cell r="B108">
            <v>54000435</v>
          </cell>
        </row>
        <row r="109">
          <cell r="A109" t="str">
            <v>PT.BSA LOGISTICS INDONESIA</v>
          </cell>
          <cell r="B109">
            <v>57361165</v>
          </cell>
        </row>
        <row r="110">
          <cell r="A110" t="str">
            <v>PT.YASUDA LOGISTICS INDONESIA</v>
          </cell>
          <cell r="B110">
            <v>57362088</v>
          </cell>
        </row>
        <row r="111">
          <cell r="A111" t="str">
            <v>PT.DHL GLOBAL FORWARDING INDONESIA</v>
          </cell>
          <cell r="B111">
            <v>55401143</v>
          </cell>
        </row>
        <row r="112">
          <cell r="A112" t="str">
            <v>NPH MUSTIKA ALAM LESTARI</v>
          </cell>
          <cell r="B112">
            <v>57369301</v>
          </cell>
        </row>
        <row r="113">
          <cell r="A113" t="str">
            <v>PT. YAMATO INDONESIA FORWARDING</v>
          </cell>
          <cell r="B113">
            <v>57369327</v>
          </cell>
        </row>
        <row r="114">
          <cell r="A114" t="str">
            <v>PT.FIRSTINDO EXPRESS</v>
          </cell>
          <cell r="B114">
            <v>57369458</v>
          </cell>
        </row>
        <row r="115">
          <cell r="A115" t="str">
            <v>PT.FREIGHT CARGO LOGISTICS</v>
          </cell>
          <cell r="B115">
            <v>57370096</v>
          </cell>
        </row>
        <row r="116">
          <cell r="A116" t="str">
            <v>PT.WELGROW INDOPERSADA</v>
          </cell>
          <cell r="B116">
            <v>57372358</v>
          </cell>
        </row>
        <row r="117">
          <cell r="A117" t="str">
            <v>PT. WINGS LOGISTICS</v>
          </cell>
          <cell r="B117">
            <v>57376068</v>
          </cell>
        </row>
        <row r="118">
          <cell r="A118" t="str">
            <v>PT. DGL EXPEDISI INDONESIA</v>
          </cell>
          <cell r="B118">
            <v>57388798</v>
          </cell>
        </row>
        <row r="119">
          <cell r="A119" t="str">
            <v>PT.NITTSU LEMO INDONESIA LOGISTIK</v>
          </cell>
          <cell r="B119">
            <v>54000816</v>
          </cell>
        </row>
        <row r="120">
          <cell r="A120" t="str">
            <v>PT. MAJU DEPO LOGISTIK</v>
          </cell>
          <cell r="B120">
            <v>57388966</v>
          </cell>
        </row>
        <row r="121">
          <cell r="A121" t="str">
            <v>PT. YUSEN LOGISTIC INDONESIA</v>
          </cell>
          <cell r="B121">
            <v>57350440</v>
          </cell>
        </row>
        <row r="122">
          <cell r="A122" t="str">
            <v>PT. TISCO SINDO LOGISTICS</v>
          </cell>
          <cell r="B122">
            <v>57403020</v>
          </cell>
        </row>
        <row r="123">
          <cell r="A123" t="str">
            <v>PT. TANJUNG PERAK SWADAYA</v>
          </cell>
          <cell r="B123">
            <v>57403185</v>
          </cell>
        </row>
        <row r="124">
          <cell r="A124" t="str">
            <v>PT. LOGISTIK KARYA BERMITRA</v>
          </cell>
          <cell r="B124">
            <v>57404874</v>
          </cell>
        </row>
        <row r="125">
          <cell r="A125" t="str">
            <v>PT. SOLID LOGISTICS</v>
          </cell>
          <cell r="B125">
            <v>57405551</v>
          </cell>
        </row>
        <row r="126">
          <cell r="A126" t="str">
            <v>PT.KMDI CONTAINER DEPOT</v>
          </cell>
          <cell r="B126">
            <v>57408832</v>
          </cell>
        </row>
        <row r="127">
          <cell r="A127" t="str">
            <v>PT. DWIPA KHARISMA MITRA</v>
          </cell>
          <cell r="B127">
            <v>55379020</v>
          </cell>
        </row>
        <row r="128">
          <cell r="A128" t="str">
            <v>PT. SINERGI BAHTERA MITRA</v>
          </cell>
          <cell r="B128">
            <v>57423549</v>
          </cell>
        </row>
        <row r="129">
          <cell r="A129" t="str">
            <v>PT. SIMA BINTANG NIAGA</v>
          </cell>
          <cell r="B129">
            <v>57423733</v>
          </cell>
        </row>
        <row r="130">
          <cell r="A130" t="str">
            <v>PT. FORECASTLE INDONESIA</v>
          </cell>
          <cell r="B130">
            <v>57423741</v>
          </cell>
        </row>
        <row r="131">
          <cell r="A131" t="str">
            <v>KRISTYAN ANDI BAYU</v>
          </cell>
          <cell r="B131">
            <v>57430589</v>
          </cell>
        </row>
        <row r="132">
          <cell r="A132" t="str">
            <v>PT NIPPON EXPRESS INDONESIA</v>
          </cell>
          <cell r="B132">
            <v>57430722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\..\..\BEACUKAI\NUNUNG\cost%202023.xlsm" TargetMode="External"/><Relationship Id="rId2" Type="http://schemas.openxmlformats.org/officeDocument/2006/relationships/hyperlink" Target="..\..\..\RPA%20Dokumen" TargetMode="External"/><Relationship Id="rId1" Type="http://schemas.openxmlformats.org/officeDocument/2006/relationships/hyperlink" Target="../../../IT%20&amp;%20DT/1.%20File%20RPA/1.%20Create%20OW%20FARIDA/RPA" TargetMode="External"/><Relationship Id="rId5" Type="http://schemas.openxmlformats.org/officeDocument/2006/relationships/drawing" Target="../drawings/drawing1.xml"/><Relationship Id="rId4" Type="http://schemas.openxmlformats.org/officeDocument/2006/relationships/hyperlink" Target="../RPA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C43"/>
  <sheetViews>
    <sheetView workbookViewId="0"/>
  </sheetViews>
  <sheetFormatPr defaultRowHeight="15" x14ac:dyDescent="0.25"/>
  <cols>
    <col min="1" max="3" width="9.28515625" customWidth="1"/>
    <col min="7" max="8" width="10.7109375" bestFit="1" customWidth="1"/>
    <col min="11" max="11" width="14.7109375" bestFit="1" customWidth="1"/>
    <col min="12" max="12" width="61.5703125" bestFit="1" customWidth="1"/>
    <col min="182" max="182" width="10.7109375" hidden="1" customWidth="1"/>
    <col min="183" max="183" width="8.5703125" hidden="1" customWidth="1"/>
    <col min="184" max="184" width="3" hidden="1" customWidth="1"/>
    <col min="185" max="185" width="4.7109375" hidden="1" customWidth="1"/>
  </cols>
  <sheetData>
    <row r="1" spans="1:185" ht="14.45" customHeight="1" x14ac:dyDescent="0.25">
      <c r="K1" s="2" t="s">
        <v>3</v>
      </c>
      <c r="L1" s="9" t="s">
        <v>19</v>
      </c>
      <c r="FZ1">
        <f ca="1">TODAY()</f>
        <v>45343</v>
      </c>
      <c r="GA1" s="7" t="str">
        <f ca="1">$GA$2&amp;$GA$3&amp;RIGHT($GA$4,2)</f>
        <v>21Feb24</v>
      </c>
      <c r="GB1">
        <v>1</v>
      </c>
      <c r="GC1" t="s">
        <v>4</v>
      </c>
    </row>
    <row r="2" spans="1:185" x14ac:dyDescent="0.25">
      <c r="A2" s="1"/>
      <c r="K2" s="4" t="s">
        <v>0</v>
      </c>
      <c r="L2" s="5" t="s">
        <v>2</v>
      </c>
      <c r="GA2">
        <f ca="1">DAY($FZ$1)</f>
        <v>21</v>
      </c>
      <c r="GB2">
        <v>2</v>
      </c>
      <c r="GC2" t="s">
        <v>5</v>
      </c>
    </row>
    <row r="3" spans="1:185" ht="15.75" thickBot="1" x14ac:dyDescent="0.3">
      <c r="A3" s="1"/>
      <c r="K3" s="3" t="s">
        <v>1</v>
      </c>
      <c r="L3" s="6" t="s">
        <v>51</v>
      </c>
      <c r="FZ3">
        <f ca="1">MONTH($FZ$1)</f>
        <v>2</v>
      </c>
      <c r="GA3" t="str">
        <f ca="1">VLOOKUP($FZ$3,$GB$1:$GC$12,2,0)</f>
        <v>Feb</v>
      </c>
      <c r="GB3">
        <v>3</v>
      </c>
      <c r="GC3" t="s">
        <v>6</v>
      </c>
    </row>
    <row r="4" spans="1:185" x14ac:dyDescent="0.25">
      <c r="A4" s="1"/>
      <c r="B4" s="1"/>
      <c r="GA4">
        <f ca="1">YEAR($FZ$1)</f>
        <v>2024</v>
      </c>
      <c r="GB4">
        <v>4</v>
      </c>
      <c r="GC4" t="s">
        <v>7</v>
      </c>
    </row>
    <row r="5" spans="1:185" ht="15.75" thickBot="1" x14ac:dyDescent="0.3">
      <c r="A5" s="1"/>
      <c r="B5" s="1"/>
      <c r="GB5">
        <v>5</v>
      </c>
      <c r="GC5" t="s">
        <v>8</v>
      </c>
    </row>
    <row r="6" spans="1:185" ht="15.75" thickBot="1" x14ac:dyDescent="0.3">
      <c r="A6" s="1"/>
      <c r="B6" s="1"/>
      <c r="K6" s="36" t="s">
        <v>16</v>
      </c>
      <c r="L6" s="37"/>
      <c r="GB6">
        <v>6</v>
      </c>
      <c r="GC6" t="s">
        <v>9</v>
      </c>
    </row>
    <row r="7" spans="1:185" ht="14.45" customHeight="1" x14ac:dyDescent="0.25">
      <c r="A7" s="1"/>
      <c r="B7" s="1"/>
      <c r="K7" s="2" t="s">
        <v>3</v>
      </c>
      <c r="L7" s="9" t="s">
        <v>20</v>
      </c>
      <c r="GB7">
        <v>7</v>
      </c>
      <c r="GC7" t="s">
        <v>10</v>
      </c>
    </row>
    <row r="8" spans="1:185" x14ac:dyDescent="0.25">
      <c r="A8" s="1"/>
      <c r="B8" s="1"/>
      <c r="K8" s="4" t="s">
        <v>0</v>
      </c>
      <c r="L8" s="5" t="s">
        <v>17</v>
      </c>
      <c r="GB8">
        <v>8</v>
      </c>
      <c r="GC8" t="s">
        <v>11</v>
      </c>
    </row>
    <row r="9" spans="1:185" ht="15.75" thickBot="1" x14ac:dyDescent="0.3">
      <c r="A9" s="1"/>
      <c r="B9" s="1"/>
      <c r="K9" s="3" t="s">
        <v>1</v>
      </c>
      <c r="L9" s="6" t="s">
        <v>18</v>
      </c>
      <c r="GB9">
        <v>9</v>
      </c>
      <c r="GC9" t="s">
        <v>12</v>
      </c>
    </row>
    <row r="10" spans="1:185" x14ac:dyDescent="0.25">
      <c r="A10" s="1"/>
      <c r="B10" s="1"/>
      <c r="GB10">
        <v>10</v>
      </c>
      <c r="GC10" t="s">
        <v>13</v>
      </c>
    </row>
    <row r="11" spans="1:185" x14ac:dyDescent="0.25">
      <c r="A11" s="1"/>
      <c r="B11" s="1"/>
      <c r="GB11">
        <v>11</v>
      </c>
      <c r="GC11" t="s">
        <v>14</v>
      </c>
    </row>
    <row r="12" spans="1:185" x14ac:dyDescent="0.25">
      <c r="A12" s="1"/>
      <c r="B12" s="1"/>
      <c r="L12" s="8" t="s">
        <v>23</v>
      </c>
      <c r="GB12">
        <v>12</v>
      </c>
      <c r="GC12" t="s">
        <v>15</v>
      </c>
    </row>
    <row r="13" spans="1:185" x14ac:dyDescent="0.25">
      <c r="A13" s="1"/>
      <c r="B13" s="1"/>
      <c r="D13" s="10"/>
      <c r="E13" s="10"/>
      <c r="F13" s="10"/>
      <c r="L13" t="s">
        <v>22</v>
      </c>
    </row>
    <row r="14" spans="1:185" x14ac:dyDescent="0.25">
      <c r="A14" s="1"/>
      <c r="B14" s="1"/>
    </row>
    <row r="15" spans="1:185" x14ac:dyDescent="0.25">
      <c r="A15" s="1"/>
      <c r="B15" s="1"/>
      <c r="K15" s="16" t="s">
        <v>46</v>
      </c>
      <c r="L15" s="8" t="s">
        <v>49</v>
      </c>
    </row>
    <row r="16" spans="1:185" x14ac:dyDescent="0.25">
      <c r="A16" s="1"/>
      <c r="B16" s="1"/>
      <c r="K16" s="16" t="s">
        <v>47</v>
      </c>
      <c r="L16" t="s">
        <v>48</v>
      </c>
    </row>
    <row r="28" spans="1:2" x14ac:dyDescent="0.25">
      <c r="A28" s="1"/>
      <c r="B28" s="1"/>
    </row>
    <row r="29" spans="1:2" x14ac:dyDescent="0.25">
      <c r="A29" s="1"/>
      <c r="B29" s="1"/>
    </row>
    <row r="30" spans="1:2" x14ac:dyDescent="0.25">
      <c r="A30" s="1"/>
      <c r="B30" s="1"/>
    </row>
    <row r="31" spans="1:2" x14ac:dyDescent="0.25">
      <c r="A31" s="1"/>
      <c r="B31" s="1"/>
    </row>
    <row r="32" spans="1:2" x14ac:dyDescent="0.25">
      <c r="A32" s="1"/>
      <c r="B32" s="1"/>
    </row>
    <row r="33" spans="1:2" x14ac:dyDescent="0.25">
      <c r="A33" s="1"/>
      <c r="B33" s="1"/>
    </row>
    <row r="34" spans="1:2" x14ac:dyDescent="0.25">
      <c r="A34" s="1"/>
      <c r="B34" s="1"/>
    </row>
    <row r="35" spans="1:2" x14ac:dyDescent="0.25">
      <c r="A35" s="1"/>
      <c r="B35" s="1"/>
    </row>
    <row r="36" spans="1:2" x14ac:dyDescent="0.25">
      <c r="A36" s="1"/>
      <c r="B36" s="1"/>
    </row>
    <row r="37" spans="1:2" x14ac:dyDescent="0.25">
      <c r="A37" s="1"/>
      <c r="B37" s="1"/>
    </row>
    <row r="38" spans="1:2" x14ac:dyDescent="0.25">
      <c r="A38" s="1"/>
      <c r="B38" s="1"/>
    </row>
    <row r="39" spans="1:2" x14ac:dyDescent="0.25">
      <c r="A39" s="1"/>
      <c r="B39" s="1"/>
    </row>
    <row r="40" spans="1:2" x14ac:dyDescent="0.25">
      <c r="A40" s="1"/>
      <c r="B40" s="1"/>
    </row>
    <row r="41" spans="1:2" x14ac:dyDescent="0.25">
      <c r="A41" s="1"/>
      <c r="B41" s="1"/>
    </row>
    <row r="42" spans="1:2" x14ac:dyDescent="0.25">
      <c r="A42" s="1"/>
      <c r="B42" s="1"/>
    </row>
    <row r="43" spans="1:2" x14ac:dyDescent="0.25">
      <c r="A43" s="1"/>
      <c r="B43" s="1"/>
    </row>
  </sheetData>
  <mergeCells count="1">
    <mergeCell ref="K6:L6"/>
  </mergeCells>
  <phoneticPr fontId="1" type="noConversion"/>
  <hyperlinks>
    <hyperlink ref="L7" r:id="rId1" xr:uid="{00000000-0004-0000-0000-000000000000}"/>
    <hyperlink ref="L1" r:id="rId2" xr:uid="{00000000-0004-0000-0000-000001000000}"/>
    <hyperlink ref="L12" r:id="rId3" xr:uid="{00000000-0004-0000-0000-000002000000}"/>
    <hyperlink ref="L15" r:id="rId4" xr:uid="{57606471-E754-42E4-BB30-7E4694783637}"/>
  </hyperlinks>
  <pageMargins left="0.7" right="0.7" top="0.75" bottom="0.75" header="0.3" footer="0.3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EBA63-9223-4F65-AF3C-049645D4B73F}">
  <dimension ref="A1:W21"/>
  <sheetViews>
    <sheetView workbookViewId="0"/>
  </sheetViews>
  <sheetFormatPr defaultRowHeight="15" x14ac:dyDescent="0.25"/>
  <sheetData>
    <row r="1" spans="1:23" x14ac:dyDescent="0.25">
      <c r="A1" s="13" t="s">
        <v>27</v>
      </c>
      <c r="B1" s="14" t="s">
        <v>28</v>
      </c>
      <c r="C1" s="13" t="s">
        <v>29</v>
      </c>
      <c r="D1" s="13" t="s">
        <v>30</v>
      </c>
      <c r="E1" s="11" t="s">
        <v>31</v>
      </c>
      <c r="F1" s="11" t="s">
        <v>32</v>
      </c>
      <c r="G1" s="13" t="s">
        <v>33</v>
      </c>
      <c r="H1" s="13" t="s">
        <v>34</v>
      </c>
      <c r="I1" s="12" t="s">
        <v>35</v>
      </c>
      <c r="J1" s="12" t="s">
        <v>36</v>
      </c>
      <c r="K1" s="12" t="s">
        <v>37</v>
      </c>
      <c r="L1" s="13" t="s">
        <v>38</v>
      </c>
      <c r="M1" s="13" t="s">
        <v>39</v>
      </c>
      <c r="N1" s="13" t="s">
        <v>40</v>
      </c>
      <c r="O1" s="13" t="s">
        <v>41</v>
      </c>
      <c r="P1" s="13" t="s">
        <v>42</v>
      </c>
      <c r="Q1" s="13" t="s">
        <v>43</v>
      </c>
      <c r="S1" t="s">
        <v>44</v>
      </c>
      <c r="T1" t="s">
        <v>45</v>
      </c>
    </row>
    <row r="2" spans="1:23" x14ac:dyDescent="0.25">
      <c r="A2" t="s">
        <v>52</v>
      </c>
      <c r="B2" s="17">
        <f>IF(A2&lt;&gt;"",VLOOKUP(A2,'[1]Database Supplier'!A:B,2,0),"")</f>
        <v>56039684</v>
      </c>
      <c r="C2">
        <v>1201</v>
      </c>
      <c r="D2" t="s">
        <v>24</v>
      </c>
      <c r="E2" s="15">
        <v>45343</v>
      </c>
      <c r="F2" s="15">
        <v>45345</v>
      </c>
      <c r="G2" t="s">
        <v>53</v>
      </c>
      <c r="H2" t="s">
        <v>54</v>
      </c>
      <c r="I2">
        <v>1</v>
      </c>
      <c r="J2">
        <f>6506425-10000</f>
        <v>6496425</v>
      </c>
      <c r="K2" t="s">
        <v>25</v>
      </c>
      <c r="L2" t="s">
        <v>25</v>
      </c>
      <c r="M2" t="s">
        <v>26</v>
      </c>
      <c r="N2" s="18" t="s">
        <v>55</v>
      </c>
      <c r="O2" s="19" t="s">
        <v>56</v>
      </c>
      <c r="P2" s="19" t="s">
        <v>57</v>
      </c>
      <c r="Q2" s="19" t="s">
        <v>58</v>
      </c>
      <c r="S2" s="19" t="s">
        <v>59</v>
      </c>
      <c r="T2" s="19" t="s">
        <v>60</v>
      </c>
      <c r="U2" t="s">
        <v>61</v>
      </c>
      <c r="W2" s="19"/>
    </row>
    <row r="3" spans="1:23" x14ac:dyDescent="0.25">
      <c r="B3" s="17" t="str">
        <f>IF(A3&lt;&gt;"",VLOOKUP(A3,'[1]Database Supplier'!A:B,2,0),"")</f>
        <v/>
      </c>
      <c r="G3" t="s">
        <v>62</v>
      </c>
      <c r="H3" t="s">
        <v>54</v>
      </c>
      <c r="I3">
        <v>1</v>
      </c>
      <c r="J3">
        <v>10000</v>
      </c>
      <c r="K3" t="s">
        <v>25</v>
      </c>
      <c r="L3" t="s">
        <v>25</v>
      </c>
      <c r="M3" t="s">
        <v>26</v>
      </c>
      <c r="N3" s="18" t="s">
        <v>55</v>
      </c>
      <c r="O3" s="19" t="s">
        <v>50</v>
      </c>
      <c r="P3" s="19"/>
      <c r="Q3" s="19"/>
      <c r="S3" s="19" t="s">
        <v>59</v>
      </c>
      <c r="W3" s="19"/>
    </row>
    <row r="4" spans="1:23" x14ac:dyDescent="0.25">
      <c r="B4" s="17" t="str">
        <f>IF(A4&lt;&gt;"",VLOOKUP(A4,'[1]Database Supplier'!A:B,2,0),"")</f>
        <v/>
      </c>
      <c r="G4" t="s">
        <v>63</v>
      </c>
      <c r="H4" t="s">
        <v>64</v>
      </c>
      <c r="I4">
        <v>1</v>
      </c>
      <c r="J4">
        <f>5721175-10000</f>
        <v>5711175</v>
      </c>
      <c r="K4" t="s">
        <v>25</v>
      </c>
      <c r="L4" t="s">
        <v>25</v>
      </c>
      <c r="M4" t="s">
        <v>26</v>
      </c>
      <c r="N4" s="18" t="s">
        <v>55</v>
      </c>
      <c r="O4" s="19" t="s">
        <v>56</v>
      </c>
      <c r="P4" s="19" t="s">
        <v>57</v>
      </c>
      <c r="Q4" s="19" t="s">
        <v>58</v>
      </c>
      <c r="S4" s="19" t="s">
        <v>65</v>
      </c>
      <c r="T4" s="19" t="s">
        <v>66</v>
      </c>
      <c r="U4" t="s">
        <v>67</v>
      </c>
      <c r="W4" s="19"/>
    </row>
    <row r="5" spans="1:23" x14ac:dyDescent="0.25">
      <c r="B5" s="17"/>
      <c r="G5" t="s">
        <v>68</v>
      </c>
      <c r="H5" t="s">
        <v>64</v>
      </c>
      <c r="I5">
        <v>1</v>
      </c>
      <c r="J5">
        <v>10000</v>
      </c>
      <c r="K5" t="s">
        <v>25</v>
      </c>
      <c r="L5" t="s">
        <v>25</v>
      </c>
      <c r="M5" t="s">
        <v>26</v>
      </c>
      <c r="N5" s="18" t="s">
        <v>55</v>
      </c>
      <c r="O5" s="19" t="s">
        <v>50</v>
      </c>
      <c r="P5" s="19"/>
      <c r="Q5" s="19"/>
      <c r="S5" s="19" t="s">
        <v>65</v>
      </c>
      <c r="W5" s="19"/>
    </row>
    <row r="6" spans="1:23" x14ac:dyDescent="0.25">
      <c r="B6" s="17"/>
      <c r="G6" t="s">
        <v>69</v>
      </c>
      <c r="H6" t="s">
        <v>70</v>
      </c>
      <c r="I6">
        <v>1</v>
      </c>
      <c r="J6">
        <v>3805000</v>
      </c>
      <c r="K6" t="s">
        <v>25</v>
      </c>
      <c r="L6" t="s">
        <v>25</v>
      </c>
      <c r="M6" t="s">
        <v>26</v>
      </c>
      <c r="N6" s="18" t="s">
        <v>55</v>
      </c>
      <c r="O6" s="19" t="s">
        <v>56</v>
      </c>
      <c r="P6" s="19" t="s">
        <v>57</v>
      </c>
      <c r="Q6" s="19" t="s">
        <v>58</v>
      </c>
      <c r="S6" s="19" t="s">
        <v>71</v>
      </c>
      <c r="T6" s="19" t="s">
        <v>72</v>
      </c>
      <c r="U6" t="s">
        <v>73</v>
      </c>
      <c r="W6" s="19"/>
    </row>
    <row r="7" spans="1:23" x14ac:dyDescent="0.25">
      <c r="A7" t="s">
        <v>74</v>
      </c>
      <c r="B7" s="17">
        <f>IF(A7&lt;&gt;"",VLOOKUP(A7,'[1]Database Supplier'!A:B,2,0),"")</f>
        <v>55423490</v>
      </c>
      <c r="C7">
        <v>1201</v>
      </c>
      <c r="D7" t="s">
        <v>24</v>
      </c>
      <c r="E7" s="15">
        <v>45343</v>
      </c>
      <c r="F7" s="15">
        <v>45345</v>
      </c>
      <c r="G7" t="s">
        <v>75</v>
      </c>
      <c r="H7" t="s">
        <v>76</v>
      </c>
      <c r="I7">
        <v>1</v>
      </c>
      <c r="J7">
        <v>48450000</v>
      </c>
      <c r="K7" s="19" t="s">
        <v>25</v>
      </c>
      <c r="L7" t="s">
        <v>25</v>
      </c>
      <c r="M7" t="s">
        <v>26</v>
      </c>
      <c r="N7" s="18" t="s">
        <v>55</v>
      </c>
      <c r="O7" t="s">
        <v>56</v>
      </c>
      <c r="P7" t="s">
        <v>57</v>
      </c>
      <c r="Q7" t="s">
        <v>58</v>
      </c>
      <c r="T7" t="s">
        <v>77</v>
      </c>
    </row>
    <row r="8" spans="1:23" x14ac:dyDescent="0.25">
      <c r="A8" t="s">
        <v>78</v>
      </c>
      <c r="B8" s="17">
        <f>IF(A8&lt;&gt;"",VLOOKUP(A8,'[1]Database Supplier'!A:B,2,0),"")</f>
        <v>57330828</v>
      </c>
      <c r="C8">
        <v>1201</v>
      </c>
      <c r="D8" t="s">
        <v>24</v>
      </c>
      <c r="E8" s="15">
        <v>45343</v>
      </c>
      <c r="F8" s="15">
        <v>45345</v>
      </c>
      <c r="G8" t="s">
        <v>79</v>
      </c>
      <c r="H8" t="s">
        <v>80</v>
      </c>
      <c r="I8">
        <v>1</v>
      </c>
      <c r="J8">
        <v>440000</v>
      </c>
      <c r="K8" t="s">
        <v>25</v>
      </c>
      <c r="L8" t="s">
        <v>25</v>
      </c>
      <c r="M8" t="s">
        <v>26</v>
      </c>
      <c r="N8" s="18" t="s">
        <v>55</v>
      </c>
      <c r="O8" t="s">
        <v>56</v>
      </c>
      <c r="P8" t="s">
        <v>57</v>
      </c>
      <c r="Q8" t="s">
        <v>58</v>
      </c>
      <c r="T8" s="19" t="s">
        <v>81</v>
      </c>
    </row>
    <row r="9" spans="1:23" x14ac:dyDescent="0.25">
      <c r="A9" t="s">
        <v>82</v>
      </c>
      <c r="B9" s="17">
        <f>IF(A9&lt;&gt;"",VLOOKUP(A9,'[1]Database Supplier'!A:B,2,0),"")</f>
        <v>55113299</v>
      </c>
      <c r="C9">
        <v>1201</v>
      </c>
      <c r="D9" t="s">
        <v>24</v>
      </c>
      <c r="E9" s="15">
        <v>45343</v>
      </c>
      <c r="F9" s="15">
        <v>45345</v>
      </c>
      <c r="G9" t="s">
        <v>79</v>
      </c>
      <c r="H9" t="s">
        <v>80</v>
      </c>
      <c r="I9">
        <v>1</v>
      </c>
      <c r="J9">
        <v>502091</v>
      </c>
      <c r="K9" t="s">
        <v>25</v>
      </c>
      <c r="L9" t="s">
        <v>25</v>
      </c>
      <c r="M9" t="s">
        <v>26</v>
      </c>
      <c r="N9" s="20" t="s">
        <v>83</v>
      </c>
      <c r="O9" t="s">
        <v>56</v>
      </c>
      <c r="P9" t="s">
        <v>57</v>
      </c>
      <c r="Q9" t="s">
        <v>58</v>
      </c>
      <c r="T9" t="s">
        <v>84</v>
      </c>
    </row>
    <row r="10" spans="1:23" x14ac:dyDescent="0.25">
      <c r="B10" s="17"/>
      <c r="E10" s="15"/>
      <c r="F10" s="15"/>
      <c r="G10" t="s">
        <v>79</v>
      </c>
      <c r="H10" t="s">
        <v>80</v>
      </c>
      <c r="I10">
        <v>1</v>
      </c>
      <c r="J10">
        <v>502091</v>
      </c>
      <c r="K10" t="s">
        <v>25</v>
      </c>
      <c r="L10" t="s">
        <v>25</v>
      </c>
      <c r="M10" t="s">
        <v>26</v>
      </c>
      <c r="N10" s="20" t="s">
        <v>83</v>
      </c>
      <c r="O10" t="s">
        <v>56</v>
      </c>
      <c r="P10" t="s">
        <v>57</v>
      </c>
      <c r="Q10" t="s">
        <v>58</v>
      </c>
      <c r="T10" t="s">
        <v>85</v>
      </c>
    </row>
    <row r="11" spans="1:23" x14ac:dyDescent="0.25">
      <c r="B11" s="17"/>
      <c r="E11" s="15"/>
      <c r="F11" s="15"/>
      <c r="G11" t="s">
        <v>79</v>
      </c>
      <c r="H11" t="s">
        <v>80</v>
      </c>
      <c r="I11">
        <v>1</v>
      </c>
      <c r="J11">
        <v>687341</v>
      </c>
      <c r="K11" t="s">
        <v>25</v>
      </c>
      <c r="L11" t="s">
        <v>25</v>
      </c>
      <c r="M11" t="s">
        <v>26</v>
      </c>
      <c r="N11" s="20" t="s">
        <v>83</v>
      </c>
      <c r="O11" t="s">
        <v>56</v>
      </c>
      <c r="P11" t="s">
        <v>57</v>
      </c>
      <c r="Q11" t="s">
        <v>58</v>
      </c>
      <c r="T11" t="s">
        <v>86</v>
      </c>
    </row>
    <row r="12" spans="1:23" x14ac:dyDescent="0.25">
      <c r="B12" s="17"/>
      <c r="E12" s="15"/>
      <c r="F12" s="15"/>
      <c r="G12" t="s">
        <v>79</v>
      </c>
      <c r="H12" t="s">
        <v>80</v>
      </c>
      <c r="I12">
        <v>1</v>
      </c>
      <c r="J12">
        <v>502091</v>
      </c>
      <c r="K12" t="s">
        <v>25</v>
      </c>
      <c r="L12" t="s">
        <v>25</v>
      </c>
      <c r="M12" t="s">
        <v>26</v>
      </c>
      <c r="N12" s="20" t="s">
        <v>83</v>
      </c>
      <c r="O12" t="s">
        <v>56</v>
      </c>
      <c r="P12" t="s">
        <v>57</v>
      </c>
      <c r="Q12" t="s">
        <v>58</v>
      </c>
      <c r="T12" t="s">
        <v>87</v>
      </c>
    </row>
    <row r="13" spans="1:23" x14ac:dyDescent="0.25">
      <c r="A13" t="s">
        <v>88</v>
      </c>
      <c r="B13" s="17">
        <f>IF(A13&lt;&gt;"",VLOOKUP(A13,'[1]Database Supplier'!A:B,2,0),"")</f>
        <v>56286757</v>
      </c>
      <c r="C13">
        <v>1201</v>
      </c>
      <c r="D13" t="s">
        <v>24</v>
      </c>
      <c r="E13" s="15">
        <v>45343</v>
      </c>
      <c r="F13" s="15">
        <v>45345</v>
      </c>
      <c r="G13" t="s">
        <v>79</v>
      </c>
      <c r="H13" t="s">
        <v>80</v>
      </c>
      <c r="I13" s="19">
        <v>1</v>
      </c>
      <c r="J13" s="19">
        <v>440000</v>
      </c>
      <c r="K13" s="19" t="s">
        <v>25</v>
      </c>
      <c r="L13" s="19" t="s">
        <v>25</v>
      </c>
      <c r="M13" s="19" t="s">
        <v>26</v>
      </c>
      <c r="N13" s="18" t="s">
        <v>55</v>
      </c>
      <c r="O13" s="20" t="s">
        <v>56</v>
      </c>
      <c r="P13" s="19" t="s">
        <v>57</v>
      </c>
      <c r="Q13" s="19" t="s">
        <v>58</v>
      </c>
      <c r="T13" s="19" t="s">
        <v>89</v>
      </c>
    </row>
    <row r="14" spans="1:23" x14ac:dyDescent="0.25">
      <c r="A14" t="s">
        <v>90</v>
      </c>
      <c r="B14" s="17">
        <f>IF(A14&lt;&gt;"",VLOOKUP(A14,'[1]Database Supplier'!A:B,2,0),"")</f>
        <v>57369301</v>
      </c>
      <c r="C14">
        <v>1201</v>
      </c>
      <c r="D14" t="s">
        <v>24</v>
      </c>
      <c r="E14" s="15">
        <v>45343</v>
      </c>
      <c r="F14" s="15">
        <v>45345</v>
      </c>
      <c r="G14" t="s">
        <v>79</v>
      </c>
      <c r="H14" t="s">
        <v>80</v>
      </c>
      <c r="I14" s="19">
        <v>1</v>
      </c>
      <c r="J14" s="19">
        <v>433000</v>
      </c>
      <c r="K14" s="19" t="s">
        <v>25</v>
      </c>
      <c r="L14" s="19" t="s">
        <v>25</v>
      </c>
      <c r="M14" s="19" t="s">
        <v>26</v>
      </c>
      <c r="N14" s="20" t="s">
        <v>55</v>
      </c>
      <c r="O14" s="20" t="s">
        <v>56</v>
      </c>
      <c r="P14" s="19" t="s">
        <v>57</v>
      </c>
      <c r="Q14" s="19" t="s">
        <v>58</v>
      </c>
      <c r="T14" t="s">
        <v>91</v>
      </c>
    </row>
    <row r="15" spans="1:23" x14ac:dyDescent="0.25">
      <c r="A15" t="s">
        <v>92</v>
      </c>
      <c r="B15" s="17">
        <f>IF(A15&lt;&gt;"",VLOOKUP(A15,'[1]Database Supplier'!A:B,2,0),"")</f>
        <v>57361165</v>
      </c>
      <c r="C15">
        <v>1201</v>
      </c>
      <c r="D15" t="s">
        <v>24</v>
      </c>
      <c r="E15" s="15">
        <v>45343</v>
      </c>
      <c r="F15" s="15">
        <v>45345</v>
      </c>
      <c r="G15" t="s">
        <v>79</v>
      </c>
      <c r="H15" t="s">
        <v>80</v>
      </c>
      <c r="I15">
        <v>1</v>
      </c>
      <c r="J15">
        <v>440000</v>
      </c>
      <c r="K15" t="s">
        <v>25</v>
      </c>
      <c r="L15" t="s">
        <v>25</v>
      </c>
      <c r="M15" t="s">
        <v>26</v>
      </c>
      <c r="N15" s="18" t="s">
        <v>55</v>
      </c>
      <c r="O15" t="s">
        <v>56</v>
      </c>
      <c r="P15" t="s">
        <v>57</v>
      </c>
      <c r="Q15" t="s">
        <v>58</v>
      </c>
      <c r="T15" t="s">
        <v>93</v>
      </c>
    </row>
    <row r="16" spans="1:23" x14ac:dyDescent="0.25">
      <c r="B16" s="17"/>
      <c r="E16" s="15"/>
      <c r="F16" s="15"/>
      <c r="G16" t="s">
        <v>79</v>
      </c>
      <c r="H16" t="s">
        <v>80</v>
      </c>
      <c r="I16">
        <v>1</v>
      </c>
      <c r="J16">
        <v>440000</v>
      </c>
      <c r="K16" t="s">
        <v>25</v>
      </c>
      <c r="L16" t="s">
        <v>25</v>
      </c>
      <c r="M16" t="s">
        <v>26</v>
      </c>
      <c r="N16" s="18" t="s">
        <v>55</v>
      </c>
      <c r="O16" t="s">
        <v>56</v>
      </c>
      <c r="P16" t="s">
        <v>57</v>
      </c>
      <c r="Q16" t="s">
        <v>58</v>
      </c>
      <c r="T16" t="s">
        <v>94</v>
      </c>
    </row>
    <row r="17" spans="1:20" x14ac:dyDescent="0.25">
      <c r="A17" t="s">
        <v>95</v>
      </c>
      <c r="B17" s="17">
        <f>IF(A17&lt;&gt;"",VLOOKUP(A17,'[1]Database Supplier'!A:B,2,0),"")</f>
        <v>57054270</v>
      </c>
      <c r="C17">
        <v>1201</v>
      </c>
      <c r="D17" t="s">
        <v>24</v>
      </c>
      <c r="E17" s="15">
        <v>45343</v>
      </c>
      <c r="F17" s="15">
        <v>45345</v>
      </c>
      <c r="G17" t="s">
        <v>79</v>
      </c>
      <c r="H17" t="s">
        <v>80</v>
      </c>
      <c r="I17">
        <v>1</v>
      </c>
      <c r="J17">
        <v>1330000</v>
      </c>
      <c r="K17" t="s">
        <v>25</v>
      </c>
      <c r="L17" t="s">
        <v>25</v>
      </c>
      <c r="M17" t="s">
        <v>26</v>
      </c>
      <c r="N17" s="18" t="s">
        <v>55</v>
      </c>
      <c r="O17" t="s">
        <v>56</v>
      </c>
      <c r="P17" t="s">
        <v>57</v>
      </c>
      <c r="Q17" t="s">
        <v>58</v>
      </c>
      <c r="T17" t="s">
        <v>96</v>
      </c>
    </row>
    <row r="18" spans="1:20" x14ac:dyDescent="0.25">
      <c r="B18" s="17"/>
      <c r="E18" s="15"/>
      <c r="F18" s="15"/>
      <c r="G18" t="s">
        <v>79</v>
      </c>
      <c r="H18" t="s">
        <v>80</v>
      </c>
      <c r="I18">
        <v>1</v>
      </c>
      <c r="J18">
        <v>1460000</v>
      </c>
      <c r="K18" t="s">
        <v>25</v>
      </c>
      <c r="L18" t="s">
        <v>25</v>
      </c>
      <c r="M18" t="s">
        <v>26</v>
      </c>
      <c r="N18" s="18" t="s">
        <v>55</v>
      </c>
      <c r="O18" t="s">
        <v>56</v>
      </c>
      <c r="P18" t="s">
        <v>57</v>
      </c>
      <c r="Q18" t="s">
        <v>58</v>
      </c>
      <c r="T18" t="s">
        <v>97</v>
      </c>
    </row>
    <row r="19" spans="1:20" x14ac:dyDescent="0.25">
      <c r="A19" t="s">
        <v>98</v>
      </c>
      <c r="B19" s="17">
        <f>IF(A19&lt;&gt;"",VLOOKUP(A19,'[1]Database Supplier'!A:B,2,0),"")</f>
        <v>55101941</v>
      </c>
      <c r="C19">
        <v>1201</v>
      </c>
      <c r="D19" t="s">
        <v>24</v>
      </c>
      <c r="E19" s="15">
        <v>45343</v>
      </c>
      <c r="F19" s="15">
        <v>45345</v>
      </c>
      <c r="G19" t="s">
        <v>79</v>
      </c>
      <c r="H19" t="s">
        <v>80</v>
      </c>
      <c r="I19">
        <v>1</v>
      </c>
      <c r="J19">
        <v>1169430</v>
      </c>
      <c r="K19" t="s">
        <v>25</v>
      </c>
      <c r="L19" t="s">
        <v>25</v>
      </c>
      <c r="M19" t="s">
        <v>26</v>
      </c>
      <c r="N19" s="18" t="s">
        <v>55</v>
      </c>
      <c r="O19" t="s">
        <v>56</v>
      </c>
      <c r="P19" t="s">
        <v>57</v>
      </c>
      <c r="Q19" t="s">
        <v>58</v>
      </c>
      <c r="T19" t="s">
        <v>99</v>
      </c>
    </row>
    <row r="20" spans="1:20" x14ac:dyDescent="0.25">
      <c r="B20" s="17"/>
      <c r="E20" s="15"/>
      <c r="F20" s="15"/>
      <c r="G20" t="s">
        <v>79</v>
      </c>
      <c r="H20" t="s">
        <v>80</v>
      </c>
      <c r="I20">
        <v>1</v>
      </c>
      <c r="J20">
        <v>1354680</v>
      </c>
      <c r="K20" t="s">
        <v>25</v>
      </c>
      <c r="L20" t="s">
        <v>25</v>
      </c>
      <c r="M20" t="s">
        <v>26</v>
      </c>
      <c r="N20" s="18" t="s">
        <v>55</v>
      </c>
      <c r="O20" t="s">
        <v>56</v>
      </c>
      <c r="P20" t="s">
        <v>57</v>
      </c>
      <c r="Q20" t="s">
        <v>58</v>
      </c>
      <c r="T20" t="s">
        <v>100</v>
      </c>
    </row>
    <row r="21" spans="1:20" x14ac:dyDescent="0.25">
      <c r="A21" s="1" t="s">
        <v>101</v>
      </c>
      <c r="B21" s="1">
        <v>57423549</v>
      </c>
      <c r="C21">
        <v>1201</v>
      </c>
      <c r="D21" t="s">
        <v>24</v>
      </c>
      <c r="E21" s="15">
        <v>45343</v>
      </c>
      <c r="F21" s="15">
        <v>45345</v>
      </c>
      <c r="G21" t="s">
        <v>79</v>
      </c>
      <c r="H21" t="s">
        <v>80</v>
      </c>
      <c r="I21">
        <v>1</v>
      </c>
      <c r="J21">
        <v>680000</v>
      </c>
      <c r="K21" t="s">
        <v>25</v>
      </c>
      <c r="L21" t="s">
        <v>25</v>
      </c>
      <c r="M21" t="s">
        <v>26</v>
      </c>
      <c r="N21" s="20" t="s">
        <v>55</v>
      </c>
      <c r="O21" s="19" t="s">
        <v>56</v>
      </c>
      <c r="P21" s="19" t="s">
        <v>57</v>
      </c>
      <c r="Q21" s="19" t="s">
        <v>58</v>
      </c>
      <c r="T21" s="19" t="s">
        <v>102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308E0C1-3277-404A-AB9C-F8A2C0407781}">
          <x14:formula1>
            <xm:f>'Z:\IT\RPA Dokumen\[Input User Create OW.xlsm]Database Supplier'!#REF!</xm:f>
          </x14:formula1>
          <xm:sqref>A2:A12 A14:A21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2CB95-BC59-4105-8225-4D6DA92A905D}">
  <dimension ref="A1:AF21"/>
  <sheetViews>
    <sheetView workbookViewId="0"/>
  </sheetViews>
  <sheetFormatPr defaultRowHeight="15" x14ac:dyDescent="0.25"/>
  <cols>
    <col min="1" max="1" width="9" bestFit="1" customWidth="1"/>
    <col min="2" max="2" width="16" bestFit="1" customWidth="1"/>
    <col min="3" max="3" width="7.42578125" bestFit="1" customWidth="1"/>
    <col min="4" max="4" width="8.85546875" bestFit="1" customWidth="1"/>
    <col min="5" max="5" width="10.5703125" style="35" bestFit="1" customWidth="1"/>
    <col min="6" max="6" width="17.5703125" style="35" bestFit="1" customWidth="1"/>
    <col min="7" max="7" width="109.42578125" bestFit="1" customWidth="1"/>
    <col min="8" max="8" width="21.7109375" bestFit="1" customWidth="1"/>
    <col min="9" max="9" width="14.42578125" bestFit="1" customWidth="1"/>
    <col min="10" max="10" width="13.85546875" bestFit="1" customWidth="1"/>
    <col min="11" max="11" width="8.140625" bestFit="1" customWidth="1"/>
    <col min="12" max="12" width="8.7109375" bestFit="1" customWidth="1"/>
    <col min="13" max="13" width="5.42578125" bestFit="1" customWidth="1"/>
    <col min="14" max="14" width="16" bestFit="1" customWidth="1"/>
    <col min="15" max="15" width="7.85546875" bestFit="1" customWidth="1"/>
    <col min="16" max="16" width="9.7109375" bestFit="1" customWidth="1"/>
    <col min="17" max="17" width="13.5703125" bestFit="1" customWidth="1"/>
    <col min="18" max="18" width="3" bestFit="1" customWidth="1"/>
    <col min="19" max="19" width="13.140625" bestFit="1" customWidth="1"/>
    <col min="20" max="20" width="19.140625" bestFit="1" customWidth="1"/>
    <col min="21" max="21" width="56.140625" bestFit="1" customWidth="1"/>
    <col min="22" max="22" width="19.140625" bestFit="1" customWidth="1"/>
    <col min="27" max="27" width="9" bestFit="1" customWidth="1"/>
  </cols>
  <sheetData>
    <row r="1" spans="1:32" s="7" customFormat="1" x14ac:dyDescent="0.25">
      <c r="A1" s="21" t="s">
        <v>103</v>
      </c>
      <c r="B1" s="7" t="s">
        <v>28</v>
      </c>
      <c r="C1" s="7" t="s">
        <v>29</v>
      </c>
      <c r="D1" s="7" t="s">
        <v>30</v>
      </c>
      <c r="E1" s="34" t="s">
        <v>31</v>
      </c>
      <c r="F1" s="34" t="s">
        <v>32</v>
      </c>
      <c r="G1" s="7" t="s">
        <v>33</v>
      </c>
      <c r="H1" s="7" t="s">
        <v>34</v>
      </c>
      <c r="I1" s="7" t="s">
        <v>35</v>
      </c>
      <c r="J1" s="7" t="s">
        <v>36</v>
      </c>
      <c r="K1" s="7" t="s">
        <v>37</v>
      </c>
      <c r="L1" s="7" t="s">
        <v>38</v>
      </c>
      <c r="M1" s="7" t="s">
        <v>39</v>
      </c>
      <c r="N1" s="7" t="s">
        <v>40</v>
      </c>
      <c r="O1" s="7" t="s">
        <v>41</v>
      </c>
      <c r="P1" s="7" t="s">
        <v>42</v>
      </c>
      <c r="Q1" s="7" t="s">
        <v>43</v>
      </c>
      <c r="S1" s="7" t="s">
        <v>44</v>
      </c>
      <c r="T1" s="7" t="s">
        <v>45</v>
      </c>
      <c r="AA1"/>
      <c r="AB1"/>
      <c r="AC1"/>
      <c r="AD1" s="15"/>
      <c r="AE1" s="15"/>
      <c r="AF1"/>
    </row>
    <row r="2" spans="1:32" x14ac:dyDescent="0.25">
      <c r="A2">
        <v>24001381</v>
      </c>
      <c r="B2">
        <v>56039684</v>
      </c>
      <c r="C2">
        <v>1201</v>
      </c>
      <c r="D2" t="s">
        <v>24</v>
      </c>
      <c r="E2" s="35">
        <v>45343</v>
      </c>
      <c r="F2" s="35">
        <v>45345</v>
      </c>
      <c r="G2" t="s">
        <v>53</v>
      </c>
      <c r="H2" t="s">
        <v>54</v>
      </c>
      <c r="I2">
        <v>1</v>
      </c>
      <c r="J2">
        <v>6496425</v>
      </c>
      <c r="K2" t="s">
        <v>25</v>
      </c>
      <c r="L2" t="s">
        <v>25</v>
      </c>
      <c r="M2" t="s">
        <v>26</v>
      </c>
      <c r="N2" t="s">
        <v>55</v>
      </c>
      <c r="O2" t="s">
        <v>56</v>
      </c>
      <c r="P2" t="s">
        <v>57</v>
      </c>
      <c r="Q2" t="s">
        <v>58</v>
      </c>
      <c r="S2" s="19" t="s">
        <v>59</v>
      </c>
      <c r="T2" s="19" t="s">
        <v>60</v>
      </c>
      <c r="V2" s="19"/>
      <c r="AD2" s="15"/>
      <c r="AE2" s="15"/>
    </row>
    <row r="3" spans="1:32" x14ac:dyDescent="0.25">
      <c r="G3" t="s">
        <v>62</v>
      </c>
      <c r="H3" t="s">
        <v>54</v>
      </c>
      <c r="I3">
        <v>1</v>
      </c>
      <c r="J3">
        <v>10000</v>
      </c>
      <c r="K3" t="s">
        <v>25</v>
      </c>
      <c r="L3" t="s">
        <v>25</v>
      </c>
      <c r="M3" t="s">
        <v>26</v>
      </c>
      <c r="N3" t="s">
        <v>55</v>
      </c>
      <c r="O3" t="s">
        <v>50</v>
      </c>
      <c r="S3" s="19" t="s">
        <v>59</v>
      </c>
      <c r="AD3" s="15"/>
      <c r="AE3" s="15"/>
    </row>
    <row r="4" spans="1:32" x14ac:dyDescent="0.25">
      <c r="G4" t="s">
        <v>63</v>
      </c>
      <c r="H4" t="s">
        <v>64</v>
      </c>
      <c r="I4">
        <v>1</v>
      </c>
      <c r="J4">
        <v>5711175</v>
      </c>
      <c r="K4" t="s">
        <v>25</v>
      </c>
      <c r="L4" t="s">
        <v>25</v>
      </c>
      <c r="M4" t="s">
        <v>26</v>
      </c>
      <c r="N4" t="s">
        <v>55</v>
      </c>
      <c r="O4" t="s">
        <v>56</v>
      </c>
      <c r="P4" t="s">
        <v>57</v>
      </c>
      <c r="Q4" t="s">
        <v>58</v>
      </c>
      <c r="S4" s="19" t="s">
        <v>65</v>
      </c>
      <c r="T4" s="19" t="s">
        <v>66</v>
      </c>
      <c r="V4" s="19"/>
      <c r="AD4" s="15"/>
      <c r="AE4" s="15"/>
    </row>
    <row r="5" spans="1:32" x14ac:dyDescent="0.25">
      <c r="G5" t="s">
        <v>68</v>
      </c>
      <c r="H5" t="s">
        <v>64</v>
      </c>
      <c r="I5">
        <v>1</v>
      </c>
      <c r="J5">
        <v>10000</v>
      </c>
      <c r="K5" t="s">
        <v>25</v>
      </c>
      <c r="L5" t="s">
        <v>25</v>
      </c>
      <c r="M5" t="s">
        <v>26</v>
      </c>
      <c r="N5" t="s">
        <v>55</v>
      </c>
      <c r="O5" t="s">
        <v>50</v>
      </c>
      <c r="S5" s="19" t="s">
        <v>65</v>
      </c>
      <c r="AD5" s="15"/>
      <c r="AE5" s="15"/>
    </row>
    <row r="6" spans="1:32" x14ac:dyDescent="0.25">
      <c r="G6" t="s">
        <v>69</v>
      </c>
      <c r="H6" t="s">
        <v>70</v>
      </c>
      <c r="I6">
        <v>1</v>
      </c>
      <c r="J6">
        <v>3805000</v>
      </c>
      <c r="K6" t="s">
        <v>25</v>
      </c>
      <c r="L6" t="s">
        <v>25</v>
      </c>
      <c r="M6" t="s">
        <v>26</v>
      </c>
      <c r="N6" t="s">
        <v>55</v>
      </c>
      <c r="O6" t="s">
        <v>56</v>
      </c>
      <c r="P6" t="s">
        <v>57</v>
      </c>
      <c r="Q6" t="s">
        <v>58</v>
      </c>
      <c r="S6" s="19" t="s">
        <v>71</v>
      </c>
      <c r="T6" s="19" t="s">
        <v>72</v>
      </c>
      <c r="V6" s="19"/>
      <c r="AD6" s="15"/>
      <c r="AE6" s="15"/>
    </row>
    <row r="7" spans="1:32" x14ac:dyDescent="0.25">
      <c r="A7">
        <v>24001382</v>
      </c>
      <c r="B7">
        <v>55423490</v>
      </c>
      <c r="C7">
        <v>1201</v>
      </c>
      <c r="D7" t="s">
        <v>24</v>
      </c>
      <c r="E7" s="35">
        <v>45343</v>
      </c>
      <c r="F7" s="35">
        <v>45345</v>
      </c>
      <c r="G7" t="s">
        <v>75</v>
      </c>
      <c r="H7" t="s">
        <v>76</v>
      </c>
      <c r="I7">
        <v>1</v>
      </c>
      <c r="J7">
        <v>48450000</v>
      </c>
      <c r="K7" t="s">
        <v>25</v>
      </c>
      <c r="L7" t="s">
        <v>25</v>
      </c>
      <c r="M7" t="s">
        <v>26</v>
      </c>
      <c r="N7" t="s">
        <v>55</v>
      </c>
      <c r="O7" t="s">
        <v>56</v>
      </c>
      <c r="P7" t="s">
        <v>57</v>
      </c>
      <c r="Q7" t="s">
        <v>58</v>
      </c>
      <c r="AD7" s="15"/>
      <c r="AE7" s="15"/>
    </row>
    <row r="8" spans="1:32" x14ac:dyDescent="0.25">
      <c r="A8">
        <v>24001383</v>
      </c>
      <c r="B8">
        <v>57330828</v>
      </c>
      <c r="C8">
        <v>1201</v>
      </c>
      <c r="D8" t="s">
        <v>24</v>
      </c>
      <c r="E8" s="35">
        <v>45343</v>
      </c>
      <c r="F8" s="35">
        <v>45345</v>
      </c>
      <c r="G8" t="s">
        <v>79</v>
      </c>
      <c r="H8" t="s">
        <v>80</v>
      </c>
      <c r="I8">
        <v>1</v>
      </c>
      <c r="J8">
        <v>440000</v>
      </c>
      <c r="K8" t="s">
        <v>25</v>
      </c>
      <c r="L8" t="s">
        <v>25</v>
      </c>
      <c r="M8" t="s">
        <v>26</v>
      </c>
      <c r="N8" t="s">
        <v>55</v>
      </c>
      <c r="O8" t="s">
        <v>56</v>
      </c>
      <c r="P8" t="s">
        <v>57</v>
      </c>
      <c r="Q8" t="s">
        <v>58</v>
      </c>
      <c r="AD8" s="15"/>
      <c r="AE8" s="15"/>
    </row>
    <row r="9" spans="1:32" x14ac:dyDescent="0.25">
      <c r="A9">
        <v>24001384</v>
      </c>
      <c r="B9">
        <v>55113299</v>
      </c>
      <c r="C9">
        <v>1201</v>
      </c>
      <c r="D9" t="s">
        <v>24</v>
      </c>
      <c r="E9" s="35">
        <v>45343</v>
      </c>
      <c r="F9" s="35">
        <v>45345</v>
      </c>
      <c r="G9" t="s">
        <v>79</v>
      </c>
      <c r="H9" t="s">
        <v>80</v>
      </c>
      <c r="I9">
        <v>1</v>
      </c>
      <c r="J9">
        <v>502091</v>
      </c>
      <c r="K9" t="s">
        <v>25</v>
      </c>
      <c r="L9" t="s">
        <v>25</v>
      </c>
      <c r="M9" t="s">
        <v>26</v>
      </c>
      <c r="N9" t="s">
        <v>83</v>
      </c>
      <c r="O9" t="s">
        <v>56</v>
      </c>
      <c r="P9" t="s">
        <v>57</v>
      </c>
      <c r="Q9" t="s">
        <v>58</v>
      </c>
      <c r="AD9" s="15"/>
      <c r="AE9" s="15"/>
    </row>
    <row r="10" spans="1:32" x14ac:dyDescent="0.25">
      <c r="G10" t="s">
        <v>79</v>
      </c>
      <c r="H10" t="s">
        <v>80</v>
      </c>
      <c r="I10">
        <v>1</v>
      </c>
      <c r="J10">
        <v>502091</v>
      </c>
      <c r="K10" t="s">
        <v>25</v>
      </c>
      <c r="L10" t="s">
        <v>25</v>
      </c>
      <c r="M10" t="s">
        <v>26</v>
      </c>
      <c r="N10" t="s">
        <v>83</v>
      </c>
      <c r="O10" t="s">
        <v>56</v>
      </c>
      <c r="P10" t="s">
        <v>57</v>
      </c>
      <c r="Q10" t="s">
        <v>58</v>
      </c>
      <c r="AD10" s="15"/>
      <c r="AE10" s="15"/>
    </row>
    <row r="11" spans="1:32" x14ac:dyDescent="0.25">
      <c r="G11" t="s">
        <v>79</v>
      </c>
      <c r="H11" t="s">
        <v>80</v>
      </c>
      <c r="I11">
        <v>1</v>
      </c>
      <c r="J11">
        <v>687341</v>
      </c>
      <c r="K11" t="s">
        <v>25</v>
      </c>
      <c r="L11" t="s">
        <v>25</v>
      </c>
      <c r="M11" t="s">
        <v>26</v>
      </c>
      <c r="N11" t="s">
        <v>83</v>
      </c>
      <c r="O11" t="s">
        <v>56</v>
      </c>
      <c r="P11" t="s">
        <v>57</v>
      </c>
      <c r="Q11" t="s">
        <v>58</v>
      </c>
    </row>
    <row r="12" spans="1:32" x14ac:dyDescent="0.25">
      <c r="G12" t="s">
        <v>79</v>
      </c>
      <c r="H12" t="s">
        <v>80</v>
      </c>
      <c r="I12">
        <v>1</v>
      </c>
      <c r="J12">
        <v>502091</v>
      </c>
      <c r="K12" t="s">
        <v>25</v>
      </c>
      <c r="L12" t="s">
        <v>25</v>
      </c>
      <c r="M12" t="s">
        <v>26</v>
      </c>
      <c r="N12" t="s">
        <v>83</v>
      </c>
      <c r="O12" t="s">
        <v>56</v>
      </c>
      <c r="P12" t="s">
        <v>57</v>
      </c>
      <c r="Q12" t="s">
        <v>58</v>
      </c>
    </row>
    <row r="13" spans="1:32" x14ac:dyDescent="0.25">
      <c r="A13">
        <v>24001385</v>
      </c>
      <c r="B13">
        <v>56286757</v>
      </c>
      <c r="C13">
        <v>1201</v>
      </c>
      <c r="D13" t="s">
        <v>24</v>
      </c>
      <c r="E13" s="35">
        <v>45343</v>
      </c>
      <c r="F13" s="35">
        <v>45345</v>
      </c>
      <c r="G13" t="s">
        <v>79</v>
      </c>
      <c r="H13" t="s">
        <v>80</v>
      </c>
      <c r="I13">
        <v>1</v>
      </c>
      <c r="J13">
        <v>440000</v>
      </c>
      <c r="K13" t="s">
        <v>25</v>
      </c>
      <c r="L13" t="s">
        <v>25</v>
      </c>
      <c r="M13" t="s">
        <v>26</v>
      </c>
      <c r="N13" t="s">
        <v>55</v>
      </c>
      <c r="O13" t="s">
        <v>56</v>
      </c>
      <c r="P13" t="s">
        <v>57</v>
      </c>
      <c r="Q13" t="s">
        <v>58</v>
      </c>
    </row>
    <row r="14" spans="1:32" x14ac:dyDescent="0.25">
      <c r="A14">
        <v>24001386</v>
      </c>
      <c r="B14">
        <v>57369301</v>
      </c>
      <c r="C14">
        <v>1201</v>
      </c>
      <c r="D14" t="s">
        <v>24</v>
      </c>
      <c r="E14" s="35">
        <v>45343</v>
      </c>
      <c r="F14" s="35">
        <v>45345</v>
      </c>
      <c r="G14" t="s">
        <v>79</v>
      </c>
      <c r="H14" t="s">
        <v>80</v>
      </c>
      <c r="I14">
        <v>1</v>
      </c>
      <c r="J14">
        <v>433000</v>
      </c>
      <c r="K14" t="s">
        <v>25</v>
      </c>
      <c r="L14" t="s">
        <v>25</v>
      </c>
      <c r="M14" t="s">
        <v>26</v>
      </c>
      <c r="N14" t="s">
        <v>55</v>
      </c>
      <c r="O14" t="s">
        <v>56</v>
      </c>
      <c r="P14" t="s">
        <v>57</v>
      </c>
      <c r="Q14" t="s">
        <v>58</v>
      </c>
    </row>
    <row r="15" spans="1:32" x14ac:dyDescent="0.25">
      <c r="A15">
        <v>24001387</v>
      </c>
      <c r="B15">
        <v>57361165</v>
      </c>
      <c r="C15">
        <v>1201</v>
      </c>
      <c r="D15" t="s">
        <v>24</v>
      </c>
      <c r="E15" s="35">
        <v>45343</v>
      </c>
      <c r="F15" s="35">
        <v>45345</v>
      </c>
      <c r="G15" t="s">
        <v>79</v>
      </c>
      <c r="H15" t="s">
        <v>80</v>
      </c>
      <c r="I15">
        <v>1</v>
      </c>
      <c r="J15">
        <v>440000</v>
      </c>
      <c r="K15" t="s">
        <v>25</v>
      </c>
      <c r="L15" t="s">
        <v>25</v>
      </c>
      <c r="M15" t="s">
        <v>26</v>
      </c>
      <c r="N15" t="s">
        <v>55</v>
      </c>
      <c r="O15" t="s">
        <v>56</v>
      </c>
      <c r="P15" t="s">
        <v>57</v>
      </c>
      <c r="Q15" t="s">
        <v>58</v>
      </c>
    </row>
    <row r="16" spans="1:32" x14ac:dyDescent="0.25">
      <c r="G16" t="s">
        <v>79</v>
      </c>
      <c r="H16" t="s">
        <v>80</v>
      </c>
      <c r="I16">
        <v>1</v>
      </c>
      <c r="J16">
        <v>440000</v>
      </c>
      <c r="K16" t="s">
        <v>25</v>
      </c>
      <c r="L16" t="s">
        <v>25</v>
      </c>
      <c r="M16" t="s">
        <v>26</v>
      </c>
      <c r="N16" t="s">
        <v>55</v>
      </c>
      <c r="O16" t="s">
        <v>56</v>
      </c>
      <c r="P16" t="s">
        <v>57</v>
      </c>
      <c r="Q16" t="s">
        <v>58</v>
      </c>
    </row>
    <row r="17" spans="1:17" x14ac:dyDescent="0.25">
      <c r="A17">
        <v>24001388</v>
      </c>
      <c r="B17">
        <v>57054270</v>
      </c>
      <c r="C17">
        <v>1201</v>
      </c>
      <c r="D17" t="s">
        <v>24</v>
      </c>
      <c r="E17" s="35">
        <v>45343</v>
      </c>
      <c r="F17" s="35">
        <v>45345</v>
      </c>
      <c r="G17" t="s">
        <v>79</v>
      </c>
      <c r="H17" t="s">
        <v>80</v>
      </c>
      <c r="I17">
        <v>1</v>
      </c>
      <c r="J17">
        <v>1330000</v>
      </c>
      <c r="K17" t="s">
        <v>25</v>
      </c>
      <c r="L17" t="s">
        <v>25</v>
      </c>
      <c r="M17" t="s">
        <v>26</v>
      </c>
      <c r="N17" t="s">
        <v>55</v>
      </c>
      <c r="O17" t="s">
        <v>56</v>
      </c>
      <c r="P17" t="s">
        <v>57</v>
      </c>
      <c r="Q17" t="s">
        <v>58</v>
      </c>
    </row>
    <row r="18" spans="1:17" x14ac:dyDescent="0.25">
      <c r="G18" t="s">
        <v>79</v>
      </c>
      <c r="H18" t="s">
        <v>80</v>
      </c>
      <c r="I18">
        <v>1</v>
      </c>
      <c r="J18">
        <v>1460000</v>
      </c>
      <c r="K18" t="s">
        <v>25</v>
      </c>
      <c r="L18" t="s">
        <v>25</v>
      </c>
      <c r="M18" t="s">
        <v>26</v>
      </c>
      <c r="N18" t="s">
        <v>55</v>
      </c>
      <c r="O18" t="s">
        <v>56</v>
      </c>
      <c r="P18" t="s">
        <v>57</v>
      </c>
      <c r="Q18" t="s">
        <v>58</v>
      </c>
    </row>
    <row r="19" spans="1:17" x14ac:dyDescent="0.25">
      <c r="A19">
        <v>24001392</v>
      </c>
      <c r="B19">
        <v>55101941</v>
      </c>
      <c r="C19">
        <v>1201</v>
      </c>
      <c r="D19" t="s">
        <v>24</v>
      </c>
      <c r="E19" s="35">
        <v>45343</v>
      </c>
      <c r="F19" s="35">
        <v>45345</v>
      </c>
      <c r="G19" t="s">
        <v>79</v>
      </c>
      <c r="H19" t="s">
        <v>80</v>
      </c>
      <c r="I19">
        <v>1</v>
      </c>
      <c r="J19">
        <v>1169430</v>
      </c>
      <c r="K19" t="s">
        <v>25</v>
      </c>
      <c r="L19" t="s">
        <v>25</v>
      </c>
      <c r="M19" t="s">
        <v>26</v>
      </c>
      <c r="N19" t="s">
        <v>55</v>
      </c>
      <c r="O19" t="s">
        <v>56</v>
      </c>
      <c r="P19" t="s">
        <v>57</v>
      </c>
      <c r="Q19" t="s">
        <v>58</v>
      </c>
    </row>
    <row r="20" spans="1:17" x14ac:dyDescent="0.25">
      <c r="G20" t="s">
        <v>79</v>
      </c>
      <c r="H20" t="s">
        <v>80</v>
      </c>
      <c r="I20">
        <v>1</v>
      </c>
      <c r="J20">
        <v>1354680</v>
      </c>
      <c r="K20" t="s">
        <v>25</v>
      </c>
      <c r="L20" t="s">
        <v>25</v>
      </c>
      <c r="M20" t="s">
        <v>26</v>
      </c>
      <c r="N20" t="s">
        <v>55</v>
      </c>
      <c r="O20" t="s">
        <v>56</v>
      </c>
      <c r="P20" t="s">
        <v>57</v>
      </c>
      <c r="Q20" t="s">
        <v>58</v>
      </c>
    </row>
    <row r="21" spans="1:17" x14ac:dyDescent="0.25">
      <c r="A21">
        <v>24001393</v>
      </c>
      <c r="B21">
        <v>57423549</v>
      </c>
      <c r="C21">
        <v>1201</v>
      </c>
      <c r="D21" t="s">
        <v>24</v>
      </c>
      <c r="E21" s="35">
        <v>45343</v>
      </c>
      <c r="F21" s="35">
        <v>45345</v>
      </c>
      <c r="G21" t="s">
        <v>79</v>
      </c>
      <c r="H21" t="s">
        <v>80</v>
      </c>
      <c r="I21">
        <v>1</v>
      </c>
      <c r="J21">
        <v>680000</v>
      </c>
      <c r="K21" t="s">
        <v>25</v>
      </c>
      <c r="L21" t="s">
        <v>25</v>
      </c>
      <c r="M21" t="s">
        <v>26</v>
      </c>
      <c r="N21" t="s">
        <v>55</v>
      </c>
      <c r="O21" t="s">
        <v>56</v>
      </c>
      <c r="P21" t="s">
        <v>57</v>
      </c>
      <c r="Q21" t="s">
        <v>58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8B48B-E76E-43E4-978B-F44E441DCCA5}">
  <dimension ref="A2:O54"/>
  <sheetViews>
    <sheetView topLeftCell="A4" workbookViewId="0"/>
  </sheetViews>
  <sheetFormatPr defaultRowHeight="15" x14ac:dyDescent="0.25"/>
  <cols>
    <col min="1" max="1" width="6.7109375" style="26" bestFit="1" customWidth="1"/>
    <col min="2" max="2" width="9" bestFit="1" customWidth="1"/>
    <col min="3" max="3" width="13.140625" bestFit="1" customWidth="1"/>
    <col min="4" max="4" width="10.42578125" bestFit="1" customWidth="1"/>
    <col min="5" max="5" width="8.85546875" bestFit="1" customWidth="1"/>
    <col min="6" max="6" width="112.28515625" bestFit="1" customWidth="1"/>
    <col min="7" max="7" width="46.28515625" bestFit="1" customWidth="1"/>
    <col min="9" max="9" width="9" style="24" bestFit="1" customWidth="1"/>
    <col min="10" max="10" width="11.28515625" style="24" bestFit="1" customWidth="1"/>
    <col min="11" max="11" width="13.28515625" style="24" bestFit="1" customWidth="1"/>
    <col min="12" max="12" width="20.28515625" bestFit="1" customWidth="1"/>
    <col min="13" max="13" width="13.28515625" bestFit="1" customWidth="1"/>
    <col min="14" max="14" width="19.140625" bestFit="1" customWidth="1"/>
  </cols>
  <sheetData>
    <row r="2" spans="1:15" ht="16.5" x14ac:dyDescent="0.35">
      <c r="A2" s="25"/>
      <c r="B2" s="22"/>
      <c r="C2" s="40" t="s">
        <v>119</v>
      </c>
      <c r="D2" s="40"/>
      <c r="E2" s="40"/>
      <c r="F2" s="40"/>
      <c r="G2" s="40"/>
      <c r="H2" s="40"/>
      <c r="I2" s="40"/>
      <c r="J2" s="40"/>
      <c r="K2" s="23"/>
      <c r="L2" s="22"/>
      <c r="M2" s="22"/>
      <c r="N2" s="22"/>
    </row>
    <row r="3" spans="1:15" ht="16.5" x14ac:dyDescent="0.35">
      <c r="A3" s="25" t="s">
        <v>134</v>
      </c>
      <c r="B3" s="22"/>
      <c r="C3" s="22"/>
      <c r="D3" s="22"/>
      <c r="E3" s="22"/>
      <c r="F3" s="22"/>
      <c r="G3" s="22"/>
      <c r="H3" s="22"/>
      <c r="I3" s="23"/>
      <c r="J3" s="23"/>
      <c r="K3" s="23"/>
      <c r="L3" s="22"/>
      <c r="M3" s="22"/>
      <c r="N3" s="22"/>
    </row>
    <row r="4" spans="1:15" ht="16.5" x14ac:dyDescent="0.35">
      <c r="A4" s="25"/>
      <c r="B4" s="22"/>
      <c r="C4" s="22"/>
      <c r="D4" s="22"/>
      <c r="E4" s="22"/>
      <c r="F4" s="22"/>
      <c r="G4" s="22"/>
      <c r="H4" s="22"/>
      <c r="I4" s="23"/>
      <c r="J4" s="23"/>
      <c r="K4" s="23"/>
      <c r="L4" s="22"/>
      <c r="M4" s="22"/>
      <c r="N4" s="22"/>
    </row>
    <row r="5" spans="1:15" ht="16.5" x14ac:dyDescent="0.25">
      <c r="A5" s="41" t="s">
        <v>120</v>
      </c>
      <c r="B5" s="38" t="s">
        <v>103</v>
      </c>
      <c r="C5" s="38" t="s">
        <v>121</v>
      </c>
      <c r="D5" s="27" t="s">
        <v>122</v>
      </c>
      <c r="E5" s="27" t="s">
        <v>124</v>
      </c>
      <c r="F5" s="38" t="s">
        <v>126</v>
      </c>
      <c r="G5" s="38" t="s">
        <v>127</v>
      </c>
      <c r="H5" s="27"/>
      <c r="I5" s="39" t="s">
        <v>128</v>
      </c>
      <c r="J5" s="39"/>
      <c r="K5" s="39" t="s">
        <v>130</v>
      </c>
      <c r="L5" s="38" t="s">
        <v>131</v>
      </c>
      <c r="M5" s="38" t="s">
        <v>44</v>
      </c>
      <c r="N5" s="38" t="s">
        <v>132</v>
      </c>
      <c r="O5" s="29"/>
    </row>
    <row r="6" spans="1:15" ht="16.5" x14ac:dyDescent="0.25">
      <c r="A6" s="41"/>
      <c r="B6" s="38"/>
      <c r="C6" s="38"/>
      <c r="D6" s="27" t="s">
        <v>123</v>
      </c>
      <c r="E6" s="27" t="s">
        <v>125</v>
      </c>
      <c r="F6" s="38"/>
      <c r="G6" s="38"/>
      <c r="H6" s="27"/>
      <c r="I6" s="28" t="s">
        <v>129</v>
      </c>
      <c r="J6" s="28" t="s">
        <v>24</v>
      </c>
      <c r="K6" s="39"/>
      <c r="L6" s="38"/>
      <c r="M6" s="38"/>
      <c r="N6" s="38"/>
      <c r="O6" s="29"/>
    </row>
    <row r="7" spans="1:15" x14ac:dyDescent="0.25">
      <c r="A7" s="30">
        <v>45343</v>
      </c>
      <c r="B7" s="31">
        <v>24001381</v>
      </c>
      <c r="C7" s="31"/>
      <c r="D7" s="31" t="s">
        <v>61</v>
      </c>
      <c r="E7" s="31"/>
      <c r="F7" s="31" t="s">
        <v>53</v>
      </c>
      <c r="G7" s="31" t="s">
        <v>52</v>
      </c>
      <c r="H7" s="31"/>
      <c r="I7" s="32">
        <v>129928.5</v>
      </c>
      <c r="J7" s="32">
        <v>6496425</v>
      </c>
      <c r="K7" s="32">
        <v>6366496.5</v>
      </c>
      <c r="L7" s="31" t="s">
        <v>54</v>
      </c>
      <c r="M7" s="31" t="s">
        <v>59</v>
      </c>
      <c r="N7" s="29" t="s">
        <v>60</v>
      </c>
      <c r="O7" s="29"/>
    </row>
    <row r="8" spans="1:15" x14ac:dyDescent="0.25">
      <c r="A8" s="30"/>
      <c r="B8" s="31"/>
      <c r="C8" s="31"/>
      <c r="D8" s="31"/>
      <c r="E8" s="31"/>
      <c r="F8" s="31"/>
      <c r="G8" s="31"/>
      <c r="H8" s="31"/>
      <c r="I8" s="32"/>
      <c r="J8" s="32"/>
      <c r="K8" s="32">
        <v>714607</v>
      </c>
      <c r="L8" s="31"/>
      <c r="M8" s="31" t="s">
        <v>133</v>
      </c>
      <c r="N8" s="29" t="s">
        <v>133</v>
      </c>
      <c r="O8" s="29"/>
    </row>
    <row r="9" spans="1:15" x14ac:dyDescent="0.25">
      <c r="A9" s="30"/>
      <c r="B9" s="31"/>
      <c r="C9" s="31"/>
      <c r="D9" s="31"/>
      <c r="E9" s="31"/>
      <c r="F9" s="31" t="s">
        <v>62</v>
      </c>
      <c r="G9" s="31" t="s">
        <v>52</v>
      </c>
      <c r="H9" s="31"/>
      <c r="I9" s="32"/>
      <c r="J9" s="32">
        <v>10000</v>
      </c>
      <c r="K9" s="32">
        <v>10000</v>
      </c>
      <c r="L9" s="31" t="s">
        <v>54</v>
      </c>
      <c r="M9" s="31" t="s">
        <v>59</v>
      </c>
      <c r="N9" s="29">
        <v>0</v>
      </c>
      <c r="O9" s="29"/>
    </row>
    <row r="10" spans="1:15" x14ac:dyDescent="0.25">
      <c r="A10" s="30"/>
      <c r="B10" s="31"/>
      <c r="C10" s="31"/>
      <c r="D10" s="31" t="s">
        <v>67</v>
      </c>
      <c r="E10" s="31"/>
      <c r="F10" s="31" t="s">
        <v>63</v>
      </c>
      <c r="G10" s="31" t="s">
        <v>52</v>
      </c>
      <c r="H10" s="31"/>
      <c r="I10" s="32">
        <v>114223.5</v>
      </c>
      <c r="J10" s="32">
        <v>5711175</v>
      </c>
      <c r="K10" s="32">
        <v>5596951.5</v>
      </c>
      <c r="L10" s="31" t="s">
        <v>64</v>
      </c>
      <c r="M10" s="31" t="s">
        <v>65</v>
      </c>
      <c r="N10" s="29" t="s">
        <v>66</v>
      </c>
      <c r="O10" s="29"/>
    </row>
    <row r="11" spans="1:15" x14ac:dyDescent="0.25">
      <c r="A11" s="30"/>
      <c r="B11" s="31"/>
      <c r="C11" s="31"/>
      <c r="D11" s="31"/>
      <c r="E11" s="31"/>
      <c r="F11" s="31"/>
      <c r="G11" s="31"/>
      <c r="H11" s="31"/>
      <c r="I11" s="32"/>
      <c r="J11" s="32"/>
      <c r="K11" s="32">
        <v>628229</v>
      </c>
      <c r="L11" s="31"/>
      <c r="M11" s="31" t="s">
        <v>133</v>
      </c>
      <c r="N11" s="29" t="s">
        <v>133</v>
      </c>
      <c r="O11" s="29"/>
    </row>
    <row r="12" spans="1:15" x14ac:dyDescent="0.25">
      <c r="A12" s="30"/>
      <c r="B12" s="31"/>
      <c r="C12" s="31"/>
      <c r="D12" s="31"/>
      <c r="E12" s="31"/>
      <c r="F12" s="31" t="s">
        <v>68</v>
      </c>
      <c r="G12" s="31" t="s">
        <v>52</v>
      </c>
      <c r="H12" s="31"/>
      <c r="I12" s="32"/>
      <c r="J12" s="32">
        <v>10000</v>
      </c>
      <c r="K12" s="32">
        <v>10000</v>
      </c>
      <c r="L12" s="31" t="s">
        <v>64</v>
      </c>
      <c r="M12" s="31" t="s">
        <v>65</v>
      </c>
      <c r="N12" s="29">
        <v>0</v>
      </c>
      <c r="O12" s="29"/>
    </row>
    <row r="13" spans="1:15" x14ac:dyDescent="0.25">
      <c r="A13" s="30"/>
      <c r="B13" s="31"/>
      <c r="C13" s="31"/>
      <c r="D13" s="31" t="s">
        <v>73</v>
      </c>
      <c r="E13" s="31"/>
      <c r="F13" s="31" t="s">
        <v>69</v>
      </c>
      <c r="G13" s="31" t="s">
        <v>52</v>
      </c>
      <c r="H13" s="31"/>
      <c r="I13" s="32">
        <v>76100</v>
      </c>
      <c r="J13" s="32">
        <v>3805000</v>
      </c>
      <c r="K13" s="32">
        <v>3728900</v>
      </c>
      <c r="L13" s="31" t="s">
        <v>70</v>
      </c>
      <c r="M13" s="31" t="s">
        <v>71</v>
      </c>
      <c r="N13" s="29" t="s">
        <v>72</v>
      </c>
      <c r="O13" s="29"/>
    </row>
    <row r="14" spans="1:15" x14ac:dyDescent="0.25">
      <c r="A14" s="30"/>
      <c r="B14" s="31"/>
      <c r="C14" s="31"/>
      <c r="D14" s="31"/>
      <c r="E14" s="31"/>
      <c r="F14" s="31"/>
      <c r="G14" s="31"/>
      <c r="H14" s="31"/>
      <c r="I14" s="32"/>
      <c r="J14" s="32"/>
      <c r="K14" s="32">
        <v>418550</v>
      </c>
      <c r="L14" s="31"/>
      <c r="M14" s="31"/>
      <c r="N14" s="29"/>
      <c r="O14" s="29"/>
    </row>
    <row r="15" spans="1:15" x14ac:dyDescent="0.25">
      <c r="A15" s="30"/>
      <c r="B15" s="31"/>
      <c r="C15" s="31"/>
      <c r="D15" s="31"/>
      <c r="E15" s="31"/>
      <c r="F15" s="31"/>
      <c r="G15" s="31"/>
      <c r="H15" s="31"/>
      <c r="I15" s="32"/>
      <c r="J15" s="32"/>
      <c r="K15" s="33">
        <f>SUM(K7:K14)</f>
        <v>17473734</v>
      </c>
      <c r="L15" s="31"/>
      <c r="M15" s="31"/>
      <c r="N15" s="29"/>
      <c r="O15" s="29"/>
    </row>
    <row r="16" spans="1:15" x14ac:dyDescent="0.25">
      <c r="A16" s="30">
        <v>45343</v>
      </c>
      <c r="B16" s="31">
        <v>24001382</v>
      </c>
      <c r="C16" s="31"/>
      <c r="D16" s="31"/>
      <c r="E16" s="31"/>
      <c r="F16" s="31" t="s">
        <v>75</v>
      </c>
      <c r="G16" s="31" t="s">
        <v>74</v>
      </c>
      <c r="H16" s="31"/>
      <c r="I16" s="32">
        <v>969000</v>
      </c>
      <c r="J16" s="32">
        <v>48450000</v>
      </c>
      <c r="K16" s="32">
        <v>47481000</v>
      </c>
      <c r="L16" s="31" t="s">
        <v>76</v>
      </c>
      <c r="M16" s="31" t="s">
        <v>133</v>
      </c>
      <c r="N16" s="29" t="s">
        <v>133</v>
      </c>
      <c r="O16" s="29"/>
    </row>
    <row r="17" spans="1:15" x14ac:dyDescent="0.25">
      <c r="A17" s="30"/>
      <c r="B17" s="31"/>
      <c r="C17" s="31"/>
      <c r="D17" s="31"/>
      <c r="E17" s="31"/>
      <c r="F17" s="31"/>
      <c r="G17" s="31"/>
      <c r="H17" s="31"/>
      <c r="I17" s="32"/>
      <c r="J17" s="32"/>
      <c r="K17" s="32">
        <v>5329500</v>
      </c>
      <c r="L17" s="31"/>
      <c r="M17" s="31"/>
      <c r="N17" s="29"/>
      <c r="O17" s="29"/>
    </row>
    <row r="18" spans="1:15" x14ac:dyDescent="0.25">
      <c r="A18" s="30"/>
      <c r="B18" s="31"/>
      <c r="C18" s="31"/>
      <c r="D18" s="31"/>
      <c r="E18" s="31"/>
      <c r="F18" s="31"/>
      <c r="G18" s="31"/>
      <c r="H18" s="31"/>
      <c r="I18" s="32"/>
      <c r="J18" s="32"/>
      <c r="K18" s="33">
        <f>SUM(K16:K17)</f>
        <v>52810500</v>
      </c>
      <c r="L18" s="31"/>
      <c r="M18" s="31"/>
      <c r="N18" s="29"/>
      <c r="O18" s="29"/>
    </row>
    <row r="19" spans="1:15" x14ac:dyDescent="0.25">
      <c r="A19" s="30">
        <v>45343</v>
      </c>
      <c r="B19" s="31">
        <v>24001383</v>
      </c>
      <c r="C19" s="31"/>
      <c r="D19" s="31"/>
      <c r="E19" s="31"/>
      <c r="F19" s="31" t="s">
        <v>79</v>
      </c>
      <c r="G19" s="31" t="s">
        <v>78</v>
      </c>
      <c r="H19" s="31"/>
      <c r="I19" s="32">
        <v>8800</v>
      </c>
      <c r="J19" s="32">
        <v>440000</v>
      </c>
      <c r="K19" s="32">
        <v>431200</v>
      </c>
      <c r="L19" s="31" t="s">
        <v>80</v>
      </c>
      <c r="M19" s="31" t="s">
        <v>133</v>
      </c>
      <c r="N19" s="29" t="s">
        <v>133</v>
      </c>
      <c r="O19" s="29"/>
    </row>
    <row r="20" spans="1:15" x14ac:dyDescent="0.25">
      <c r="A20" s="30"/>
      <c r="B20" s="31"/>
      <c r="C20" s="31"/>
      <c r="D20" s="31"/>
      <c r="E20" s="31"/>
      <c r="F20" s="31"/>
      <c r="G20" s="31"/>
      <c r="H20" s="31"/>
      <c r="I20" s="32"/>
      <c r="J20" s="32"/>
      <c r="K20" s="32">
        <v>48400</v>
      </c>
      <c r="L20" s="31"/>
      <c r="M20" s="31"/>
      <c r="N20" s="29"/>
      <c r="O20" s="29"/>
    </row>
    <row r="21" spans="1:15" x14ac:dyDescent="0.25">
      <c r="A21" s="30"/>
      <c r="B21" s="31"/>
      <c r="C21" s="31"/>
      <c r="D21" s="31"/>
      <c r="E21" s="31"/>
      <c r="F21" s="31"/>
      <c r="G21" s="31"/>
      <c r="H21" s="31"/>
      <c r="I21" s="32"/>
      <c r="J21" s="32"/>
      <c r="K21" s="33">
        <f>SUM(K19:K20)</f>
        <v>479600</v>
      </c>
      <c r="L21" s="31"/>
      <c r="M21" s="31"/>
      <c r="N21" s="29"/>
      <c r="O21" s="29"/>
    </row>
    <row r="22" spans="1:15" x14ac:dyDescent="0.25">
      <c r="A22" s="30">
        <v>45343</v>
      </c>
      <c r="B22" s="31">
        <v>24001384</v>
      </c>
      <c r="C22" s="31"/>
      <c r="D22" s="31"/>
      <c r="E22" s="31"/>
      <c r="F22" s="31" t="s">
        <v>79</v>
      </c>
      <c r="G22" s="31" t="s">
        <v>82</v>
      </c>
      <c r="H22" s="31"/>
      <c r="I22" s="32">
        <v>10041.82</v>
      </c>
      <c r="J22" s="32">
        <v>502091</v>
      </c>
      <c r="K22" s="32">
        <v>492049.18</v>
      </c>
      <c r="L22" s="31" t="s">
        <v>80</v>
      </c>
      <c r="M22" s="31" t="s">
        <v>133</v>
      </c>
      <c r="N22" s="29" t="s">
        <v>133</v>
      </c>
      <c r="O22" s="29"/>
    </row>
    <row r="23" spans="1:15" x14ac:dyDescent="0.25">
      <c r="A23" s="30"/>
      <c r="B23" s="31"/>
      <c r="C23" s="31"/>
      <c r="D23" s="31"/>
      <c r="E23" s="31"/>
      <c r="F23" s="31"/>
      <c r="G23" s="31"/>
      <c r="H23" s="31"/>
      <c r="I23" s="32"/>
      <c r="J23" s="32"/>
      <c r="K23" s="32">
        <v>55230</v>
      </c>
      <c r="L23" s="31"/>
      <c r="M23" s="31" t="s">
        <v>133</v>
      </c>
      <c r="N23" s="29" t="s">
        <v>133</v>
      </c>
      <c r="O23" s="29"/>
    </row>
    <row r="24" spans="1:15" x14ac:dyDescent="0.25">
      <c r="A24" s="30"/>
      <c r="B24" s="31"/>
      <c r="C24" s="31"/>
      <c r="D24" s="31"/>
      <c r="E24" s="31"/>
      <c r="F24" s="31"/>
      <c r="G24" s="31" t="s">
        <v>82</v>
      </c>
      <c r="H24" s="31"/>
      <c r="I24" s="32">
        <v>10041.82</v>
      </c>
      <c r="J24" s="32">
        <v>502091</v>
      </c>
      <c r="K24" s="32">
        <v>492049.18</v>
      </c>
      <c r="L24" s="31" t="s">
        <v>80</v>
      </c>
      <c r="M24" s="31" t="s">
        <v>133</v>
      </c>
      <c r="N24" s="29" t="s">
        <v>133</v>
      </c>
      <c r="O24" s="29"/>
    </row>
    <row r="25" spans="1:15" x14ac:dyDescent="0.25">
      <c r="A25" s="30"/>
      <c r="B25" s="31"/>
      <c r="C25" s="31"/>
      <c r="D25" s="31"/>
      <c r="E25" s="31"/>
      <c r="F25" s="31"/>
      <c r="G25" s="31"/>
      <c r="H25" s="31"/>
      <c r="I25" s="32"/>
      <c r="J25" s="32"/>
      <c r="K25" s="32">
        <v>55230</v>
      </c>
      <c r="L25" s="31"/>
      <c r="M25" s="31" t="s">
        <v>133</v>
      </c>
      <c r="N25" s="29" t="s">
        <v>133</v>
      </c>
      <c r="O25" s="29"/>
    </row>
    <row r="26" spans="1:15" x14ac:dyDescent="0.25">
      <c r="A26" s="30"/>
      <c r="B26" s="31"/>
      <c r="C26" s="31"/>
      <c r="D26" s="31"/>
      <c r="E26" s="31"/>
      <c r="F26" s="31"/>
      <c r="G26" s="31" t="s">
        <v>82</v>
      </c>
      <c r="H26" s="31"/>
      <c r="I26" s="32">
        <v>13746.82</v>
      </c>
      <c r="J26" s="32">
        <v>687341</v>
      </c>
      <c r="K26" s="32">
        <v>673594.18</v>
      </c>
      <c r="L26" s="31" t="s">
        <v>80</v>
      </c>
      <c r="M26" s="31" t="s">
        <v>133</v>
      </c>
      <c r="N26" s="29" t="s">
        <v>133</v>
      </c>
      <c r="O26" s="29"/>
    </row>
    <row r="27" spans="1:15" x14ac:dyDescent="0.25">
      <c r="A27" s="30"/>
      <c r="B27" s="31"/>
      <c r="C27" s="31"/>
      <c r="D27" s="31"/>
      <c r="E27" s="31"/>
      <c r="F27" s="31"/>
      <c r="G27" s="31"/>
      <c r="H27" s="31"/>
      <c r="I27" s="32"/>
      <c r="J27" s="32"/>
      <c r="K27" s="32">
        <v>75608</v>
      </c>
      <c r="L27" s="31"/>
      <c r="M27" s="31" t="s">
        <v>133</v>
      </c>
      <c r="N27" s="29" t="s">
        <v>133</v>
      </c>
      <c r="O27" s="29"/>
    </row>
    <row r="28" spans="1:15" x14ac:dyDescent="0.25">
      <c r="A28" s="30"/>
      <c r="B28" s="31"/>
      <c r="C28" s="31"/>
      <c r="D28" s="31"/>
      <c r="E28" s="31"/>
      <c r="F28" s="31"/>
      <c r="G28" s="31" t="s">
        <v>82</v>
      </c>
      <c r="H28" s="31"/>
      <c r="I28" s="32">
        <v>10041.82</v>
      </c>
      <c r="J28" s="32">
        <v>502091</v>
      </c>
      <c r="K28" s="32">
        <v>492049.18</v>
      </c>
      <c r="L28" s="31" t="s">
        <v>80</v>
      </c>
      <c r="M28" s="31" t="s">
        <v>133</v>
      </c>
      <c r="N28" s="29" t="s">
        <v>133</v>
      </c>
      <c r="O28" s="29"/>
    </row>
    <row r="29" spans="1:15" x14ac:dyDescent="0.25">
      <c r="A29" s="30"/>
      <c r="B29" s="31"/>
      <c r="C29" s="31"/>
      <c r="D29" s="31"/>
      <c r="E29" s="31"/>
      <c r="F29" s="31"/>
      <c r="G29" s="31"/>
      <c r="H29" s="31"/>
      <c r="I29" s="32"/>
      <c r="J29" s="32"/>
      <c r="K29" s="32">
        <v>55230</v>
      </c>
      <c r="L29" s="31"/>
      <c r="M29" s="31"/>
      <c r="N29" s="29"/>
      <c r="O29" s="29"/>
    </row>
    <row r="30" spans="1:15" x14ac:dyDescent="0.25">
      <c r="A30" s="30"/>
      <c r="B30" s="31"/>
      <c r="C30" s="31"/>
      <c r="D30" s="31"/>
      <c r="E30" s="31"/>
      <c r="F30" s="31"/>
      <c r="G30" s="31"/>
      <c r="H30" s="31"/>
      <c r="I30" s="32"/>
      <c r="J30" s="32"/>
      <c r="K30" s="33">
        <f>SUM(K22:K29)</f>
        <v>2391039.7200000002</v>
      </c>
      <c r="L30" s="31"/>
      <c r="M30" s="31"/>
      <c r="N30" s="29"/>
      <c r="O30" s="29"/>
    </row>
    <row r="31" spans="1:15" x14ac:dyDescent="0.25">
      <c r="A31" s="30">
        <v>45343</v>
      </c>
      <c r="B31" s="31">
        <v>24001385</v>
      </c>
      <c r="C31" s="31"/>
      <c r="D31" s="31"/>
      <c r="E31" s="31"/>
      <c r="F31" s="31" t="s">
        <v>79</v>
      </c>
      <c r="G31" s="31" t="s">
        <v>88</v>
      </c>
      <c r="H31" s="31"/>
      <c r="I31" s="32">
        <v>8800</v>
      </c>
      <c r="J31" s="32">
        <v>440000</v>
      </c>
      <c r="K31" s="32">
        <v>431200</v>
      </c>
      <c r="L31" s="31" t="s">
        <v>80</v>
      </c>
      <c r="M31" s="31" t="s">
        <v>133</v>
      </c>
      <c r="N31" s="29" t="s">
        <v>133</v>
      </c>
      <c r="O31" s="29"/>
    </row>
    <row r="32" spans="1:15" x14ac:dyDescent="0.25">
      <c r="A32" s="30"/>
      <c r="B32" s="31"/>
      <c r="C32" s="31"/>
      <c r="D32" s="31"/>
      <c r="E32" s="31"/>
      <c r="F32" s="31"/>
      <c r="G32" s="31"/>
      <c r="H32" s="31"/>
      <c r="I32" s="32"/>
      <c r="J32" s="32"/>
      <c r="K32" s="32">
        <v>48400</v>
      </c>
      <c r="L32" s="31"/>
      <c r="M32" s="31"/>
      <c r="N32" s="29"/>
      <c r="O32" s="29"/>
    </row>
    <row r="33" spans="1:15" x14ac:dyDescent="0.25">
      <c r="A33" s="30"/>
      <c r="B33" s="31"/>
      <c r="C33" s="31"/>
      <c r="D33" s="31"/>
      <c r="E33" s="31"/>
      <c r="F33" s="31"/>
      <c r="G33" s="31"/>
      <c r="H33" s="31"/>
      <c r="I33" s="32"/>
      <c r="J33" s="32"/>
      <c r="K33" s="33">
        <f>SUM(K31:K32)</f>
        <v>479600</v>
      </c>
      <c r="L33" s="31"/>
      <c r="M33" s="31"/>
      <c r="N33" s="29"/>
      <c r="O33" s="29"/>
    </row>
    <row r="34" spans="1:15" x14ac:dyDescent="0.25">
      <c r="A34" s="30">
        <v>45343</v>
      </c>
      <c r="B34" s="31">
        <v>24001386</v>
      </c>
      <c r="C34" s="31"/>
      <c r="D34" s="31"/>
      <c r="E34" s="31"/>
      <c r="F34" s="31" t="s">
        <v>79</v>
      </c>
      <c r="G34" s="31" t="s">
        <v>90</v>
      </c>
      <c r="H34" s="31"/>
      <c r="I34" s="32">
        <v>8660</v>
      </c>
      <c r="J34" s="32">
        <v>433000</v>
      </c>
      <c r="K34" s="32">
        <v>424340</v>
      </c>
      <c r="L34" s="31" t="s">
        <v>80</v>
      </c>
      <c r="M34" s="31" t="s">
        <v>133</v>
      </c>
      <c r="N34" s="29" t="s">
        <v>133</v>
      </c>
      <c r="O34" s="29"/>
    </row>
    <row r="35" spans="1:15" x14ac:dyDescent="0.25">
      <c r="A35" s="30"/>
      <c r="B35" s="31"/>
      <c r="C35" s="31"/>
      <c r="D35" s="31"/>
      <c r="E35" s="31"/>
      <c r="F35" s="31"/>
      <c r="G35" s="31"/>
      <c r="H35" s="31"/>
      <c r="I35" s="32"/>
      <c r="J35" s="32"/>
      <c r="K35" s="32">
        <v>47630</v>
      </c>
      <c r="L35" s="31"/>
      <c r="M35" s="31"/>
      <c r="N35" s="29"/>
      <c r="O35" s="29"/>
    </row>
    <row r="36" spans="1:15" x14ac:dyDescent="0.25">
      <c r="A36" s="30"/>
      <c r="B36" s="31"/>
      <c r="C36" s="31"/>
      <c r="D36" s="31"/>
      <c r="E36" s="31"/>
      <c r="F36" s="31"/>
      <c r="G36" s="31"/>
      <c r="H36" s="31"/>
      <c r="I36" s="32"/>
      <c r="J36" s="32"/>
      <c r="K36" s="33">
        <f>SUM(K34:K35)</f>
        <v>471970</v>
      </c>
      <c r="L36" s="31"/>
      <c r="M36" s="31"/>
      <c r="N36" s="29"/>
      <c r="O36" s="29"/>
    </row>
    <row r="37" spans="1:15" x14ac:dyDescent="0.25">
      <c r="A37" s="30">
        <v>45343</v>
      </c>
      <c r="B37" s="31">
        <v>24001387</v>
      </c>
      <c r="C37" s="31"/>
      <c r="D37" s="31"/>
      <c r="E37" s="31"/>
      <c r="F37" s="31" t="s">
        <v>79</v>
      </c>
      <c r="G37" s="31" t="s">
        <v>92</v>
      </c>
      <c r="H37" s="31"/>
      <c r="I37" s="32">
        <v>8800</v>
      </c>
      <c r="J37" s="32">
        <v>440000</v>
      </c>
      <c r="K37" s="32">
        <v>431200</v>
      </c>
      <c r="L37" s="31" t="s">
        <v>80</v>
      </c>
      <c r="M37" s="31" t="s">
        <v>133</v>
      </c>
      <c r="N37" s="29" t="s">
        <v>133</v>
      </c>
      <c r="O37" s="29"/>
    </row>
    <row r="38" spans="1:15" x14ac:dyDescent="0.25">
      <c r="A38" s="30"/>
      <c r="B38" s="31"/>
      <c r="C38" s="31"/>
      <c r="D38" s="31"/>
      <c r="E38" s="31"/>
      <c r="F38" s="31"/>
      <c r="G38" s="31"/>
      <c r="H38" s="31"/>
      <c r="I38" s="32"/>
      <c r="J38" s="32"/>
      <c r="K38" s="32">
        <v>48400</v>
      </c>
      <c r="L38" s="31"/>
      <c r="M38" s="31" t="s">
        <v>133</v>
      </c>
      <c r="N38" s="29" t="s">
        <v>133</v>
      </c>
      <c r="O38" s="29"/>
    </row>
    <row r="39" spans="1:15" x14ac:dyDescent="0.25">
      <c r="A39" s="30"/>
      <c r="B39" s="31"/>
      <c r="C39" s="31"/>
      <c r="D39" s="31"/>
      <c r="E39" s="31"/>
      <c r="F39" s="31"/>
      <c r="G39" s="31" t="s">
        <v>92</v>
      </c>
      <c r="H39" s="31"/>
      <c r="I39" s="32">
        <v>8800</v>
      </c>
      <c r="J39" s="32">
        <v>440000</v>
      </c>
      <c r="K39" s="32">
        <v>431200</v>
      </c>
      <c r="L39" s="31" t="s">
        <v>80</v>
      </c>
      <c r="M39" s="31" t="s">
        <v>133</v>
      </c>
      <c r="N39" s="29" t="s">
        <v>133</v>
      </c>
      <c r="O39" s="29"/>
    </row>
    <row r="40" spans="1:15" x14ac:dyDescent="0.25">
      <c r="A40" s="30"/>
      <c r="B40" s="31"/>
      <c r="C40" s="31"/>
      <c r="D40" s="31"/>
      <c r="E40" s="31"/>
      <c r="F40" s="31"/>
      <c r="G40" s="31"/>
      <c r="H40" s="31"/>
      <c r="I40" s="32"/>
      <c r="J40" s="32"/>
      <c r="K40" s="32">
        <v>48400</v>
      </c>
      <c r="L40" s="31"/>
      <c r="M40" s="31"/>
      <c r="N40" s="29"/>
      <c r="O40" s="29"/>
    </row>
    <row r="41" spans="1:15" x14ac:dyDescent="0.25">
      <c r="A41" s="30"/>
      <c r="B41" s="31"/>
      <c r="C41" s="31"/>
      <c r="D41" s="31"/>
      <c r="E41" s="31"/>
      <c r="F41" s="31"/>
      <c r="G41" s="31"/>
      <c r="H41" s="31"/>
      <c r="I41" s="32"/>
      <c r="J41" s="32"/>
      <c r="K41" s="33">
        <f>SUM(K37:K40)</f>
        <v>959200</v>
      </c>
      <c r="L41" s="31"/>
      <c r="M41" s="31"/>
      <c r="N41" s="29"/>
      <c r="O41" s="29"/>
    </row>
    <row r="42" spans="1:15" x14ac:dyDescent="0.25">
      <c r="A42" s="30">
        <v>45343</v>
      </c>
      <c r="B42" s="31">
        <v>24001388</v>
      </c>
      <c r="C42" s="31"/>
      <c r="D42" s="31"/>
      <c r="E42" s="31"/>
      <c r="F42" s="31" t="s">
        <v>79</v>
      </c>
      <c r="G42" s="31" t="s">
        <v>95</v>
      </c>
      <c r="H42" s="31"/>
      <c r="I42" s="32">
        <v>26600</v>
      </c>
      <c r="J42" s="32">
        <v>1330000</v>
      </c>
      <c r="K42" s="32">
        <v>1303400</v>
      </c>
      <c r="L42" s="31" t="s">
        <v>80</v>
      </c>
      <c r="M42" s="31" t="s">
        <v>133</v>
      </c>
      <c r="N42" s="29" t="s">
        <v>133</v>
      </c>
      <c r="O42" s="29"/>
    </row>
    <row r="43" spans="1:15" x14ac:dyDescent="0.25">
      <c r="A43" s="30"/>
      <c r="B43" s="31"/>
      <c r="C43" s="31"/>
      <c r="D43" s="31"/>
      <c r="E43" s="31"/>
      <c r="F43" s="31"/>
      <c r="G43" s="31"/>
      <c r="H43" s="31"/>
      <c r="I43" s="32"/>
      <c r="J43" s="32"/>
      <c r="K43" s="32">
        <v>146300</v>
      </c>
      <c r="L43" s="31"/>
      <c r="M43" s="31" t="s">
        <v>133</v>
      </c>
      <c r="N43" s="29" t="s">
        <v>133</v>
      </c>
      <c r="O43" s="29"/>
    </row>
    <row r="44" spans="1:15" x14ac:dyDescent="0.25">
      <c r="A44" s="30"/>
      <c r="B44" s="31"/>
      <c r="C44" s="31"/>
      <c r="D44" s="31"/>
      <c r="E44" s="31"/>
      <c r="F44" s="31"/>
      <c r="G44" s="31" t="s">
        <v>95</v>
      </c>
      <c r="H44" s="31"/>
      <c r="I44" s="32">
        <v>29200</v>
      </c>
      <c r="J44" s="32">
        <v>1460000</v>
      </c>
      <c r="K44" s="32">
        <v>1430800</v>
      </c>
      <c r="L44" s="31" t="s">
        <v>80</v>
      </c>
      <c r="M44" s="31" t="s">
        <v>133</v>
      </c>
      <c r="N44" s="29" t="s">
        <v>133</v>
      </c>
      <c r="O44" s="29"/>
    </row>
    <row r="45" spans="1:15" x14ac:dyDescent="0.25">
      <c r="A45" s="30"/>
      <c r="B45" s="31"/>
      <c r="C45" s="31"/>
      <c r="D45" s="31"/>
      <c r="E45" s="31"/>
      <c r="F45" s="31"/>
      <c r="G45" s="31"/>
      <c r="H45" s="31"/>
      <c r="I45" s="32"/>
      <c r="J45" s="32"/>
      <c r="K45" s="32">
        <v>160600</v>
      </c>
      <c r="L45" s="31"/>
      <c r="M45" s="31"/>
      <c r="N45" s="29"/>
      <c r="O45" s="29"/>
    </row>
    <row r="46" spans="1:15" x14ac:dyDescent="0.25">
      <c r="A46" s="30"/>
      <c r="B46" s="31"/>
      <c r="C46" s="31"/>
      <c r="D46" s="31"/>
      <c r="E46" s="31"/>
      <c r="F46" s="31"/>
      <c r="G46" s="31"/>
      <c r="H46" s="31"/>
      <c r="I46" s="32"/>
      <c r="J46" s="32"/>
      <c r="K46" s="33">
        <f>SUM(K42:K45)</f>
        <v>3041100</v>
      </c>
      <c r="L46" s="31"/>
      <c r="M46" s="31"/>
      <c r="N46" s="29"/>
      <c r="O46" s="29"/>
    </row>
    <row r="47" spans="1:15" x14ac:dyDescent="0.25">
      <c r="A47" s="30">
        <v>45343</v>
      </c>
      <c r="B47" s="31">
        <v>24001392</v>
      </c>
      <c r="C47" s="31"/>
      <c r="D47" s="31"/>
      <c r="E47" s="31"/>
      <c r="F47" s="31" t="s">
        <v>79</v>
      </c>
      <c r="G47" s="31" t="s">
        <v>98</v>
      </c>
      <c r="H47" s="31"/>
      <c r="I47" s="32">
        <v>23388.6</v>
      </c>
      <c r="J47" s="32">
        <v>1169430</v>
      </c>
      <c r="K47" s="32">
        <v>1146041.3999999999</v>
      </c>
      <c r="L47" s="31" t="s">
        <v>80</v>
      </c>
      <c r="M47" s="31" t="s">
        <v>133</v>
      </c>
      <c r="N47" s="29" t="s">
        <v>133</v>
      </c>
      <c r="O47" s="29"/>
    </row>
    <row r="48" spans="1:15" x14ac:dyDescent="0.25">
      <c r="A48" s="30"/>
      <c r="B48" s="31"/>
      <c r="C48" s="31"/>
      <c r="D48" s="31"/>
      <c r="E48" s="31"/>
      <c r="F48" s="31"/>
      <c r="G48" s="31"/>
      <c r="H48" s="31"/>
      <c r="I48" s="32"/>
      <c r="J48" s="32"/>
      <c r="K48" s="32">
        <v>128637</v>
      </c>
      <c r="L48" s="31"/>
      <c r="M48" s="31" t="s">
        <v>133</v>
      </c>
      <c r="N48" s="29" t="s">
        <v>133</v>
      </c>
      <c r="O48" s="29"/>
    </row>
    <row r="49" spans="1:15" x14ac:dyDescent="0.25">
      <c r="A49" s="30"/>
      <c r="B49" s="31"/>
      <c r="C49" s="31"/>
      <c r="D49" s="31"/>
      <c r="E49" s="31"/>
      <c r="F49" s="31"/>
      <c r="G49" s="31" t="s">
        <v>98</v>
      </c>
      <c r="H49" s="31"/>
      <c r="I49" s="32">
        <v>27093.599999999999</v>
      </c>
      <c r="J49" s="32">
        <v>1354680</v>
      </c>
      <c r="K49" s="32">
        <v>1327586.3999999999</v>
      </c>
      <c r="L49" s="31" t="s">
        <v>80</v>
      </c>
      <c r="M49" s="31" t="s">
        <v>133</v>
      </c>
      <c r="N49" s="29" t="s">
        <v>133</v>
      </c>
      <c r="O49" s="29"/>
    </row>
    <row r="50" spans="1:15" x14ac:dyDescent="0.25">
      <c r="A50" s="30"/>
      <c r="B50" s="31"/>
      <c r="C50" s="31"/>
      <c r="D50" s="31"/>
      <c r="E50" s="31"/>
      <c r="F50" s="31"/>
      <c r="G50" s="31"/>
      <c r="H50" s="31"/>
      <c r="I50" s="32"/>
      <c r="J50" s="32"/>
      <c r="K50" s="32">
        <v>149015</v>
      </c>
      <c r="L50" s="31"/>
      <c r="M50" s="31"/>
      <c r="N50" s="29"/>
      <c r="O50" s="29"/>
    </row>
    <row r="51" spans="1:15" x14ac:dyDescent="0.25">
      <c r="A51" s="30"/>
      <c r="B51" s="31"/>
      <c r="C51" s="31"/>
      <c r="D51" s="31"/>
      <c r="E51" s="31"/>
      <c r="F51" s="31"/>
      <c r="G51" s="31"/>
      <c r="H51" s="31"/>
      <c r="I51" s="32"/>
      <c r="J51" s="32"/>
      <c r="K51" s="33">
        <f>SUM(K47:K50)</f>
        <v>2751279.8</v>
      </c>
      <c r="L51" s="31"/>
      <c r="M51" s="31"/>
      <c r="N51" s="29"/>
      <c r="O51" s="29"/>
    </row>
    <row r="52" spans="1:15" x14ac:dyDescent="0.25">
      <c r="A52" s="30">
        <v>45343</v>
      </c>
      <c r="B52" s="31">
        <v>24001393</v>
      </c>
      <c r="C52" s="31"/>
      <c r="D52" s="31"/>
      <c r="E52" s="31"/>
      <c r="F52" s="31" t="s">
        <v>79</v>
      </c>
      <c r="G52" s="31" t="s">
        <v>101</v>
      </c>
      <c r="H52" s="31"/>
      <c r="I52" s="32">
        <v>13600</v>
      </c>
      <c r="J52" s="32">
        <v>680000</v>
      </c>
      <c r="K52" s="32">
        <v>666400</v>
      </c>
      <c r="L52" s="31" t="s">
        <v>80</v>
      </c>
      <c r="M52" s="31" t="s">
        <v>133</v>
      </c>
      <c r="N52" s="29" t="s">
        <v>133</v>
      </c>
      <c r="O52" s="29"/>
    </row>
    <row r="53" spans="1:15" x14ac:dyDescent="0.25">
      <c r="A53" s="30"/>
      <c r="B53" s="31"/>
      <c r="C53" s="31"/>
      <c r="D53" s="31"/>
      <c r="E53" s="31"/>
      <c r="F53" s="31"/>
      <c r="G53" s="31"/>
      <c r="H53" s="31"/>
      <c r="I53" s="32"/>
      <c r="J53" s="32"/>
      <c r="K53" s="32">
        <v>74800</v>
      </c>
      <c r="L53" s="31"/>
      <c r="M53" s="31"/>
      <c r="N53" s="29"/>
      <c r="O53" s="29"/>
    </row>
    <row r="54" spans="1:15" x14ac:dyDescent="0.25">
      <c r="A54" s="30"/>
      <c r="B54" s="31"/>
      <c r="C54" s="31"/>
      <c r="D54" s="31"/>
      <c r="E54" s="31"/>
      <c r="F54" s="31"/>
      <c r="G54" s="31"/>
      <c r="H54" s="31"/>
      <c r="I54" s="32"/>
      <c r="J54" s="32"/>
      <c r="K54" s="33">
        <f>SUM(K52:K53)</f>
        <v>741200</v>
      </c>
      <c r="L54" s="31"/>
      <c r="M54" s="31"/>
      <c r="N54" s="29"/>
      <c r="O54" s="29"/>
    </row>
  </sheetData>
  <mergeCells count="11">
    <mergeCell ref="A5:A6"/>
    <mergeCell ref="B5:B6"/>
    <mergeCell ref="C5:C6"/>
    <mergeCell ref="F5:F6"/>
    <mergeCell ref="G5:G6"/>
    <mergeCell ref="L5:L6"/>
    <mergeCell ref="I5:J5"/>
    <mergeCell ref="M5:M6"/>
    <mergeCell ref="N5:N6"/>
    <mergeCell ref="C2:J2"/>
    <mergeCell ref="K5:K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1E345-F10E-4959-8D80-C789BEA9F693}">
  <dimension ref="A1:J11"/>
  <sheetViews>
    <sheetView tabSelected="1" workbookViewId="0">
      <selection activeCell="I22" sqref="I22"/>
    </sheetView>
  </sheetViews>
  <sheetFormatPr defaultRowHeight="15" x14ac:dyDescent="0.25"/>
  <cols>
    <col min="1" max="1" width="3.85546875" bestFit="1" customWidth="1"/>
    <col min="2" max="2" width="11.7109375" bestFit="1" customWidth="1"/>
    <col min="3" max="3" width="9" bestFit="1" customWidth="1"/>
    <col min="4" max="4" width="16" bestFit="1" customWidth="1"/>
    <col min="5" max="5" width="7.42578125" bestFit="1" customWidth="1"/>
    <col min="6" max="6" width="8.85546875" bestFit="1" customWidth="1"/>
    <col min="7" max="7" width="10.7109375" bestFit="1" customWidth="1"/>
    <col min="8" max="8" width="17.5703125" bestFit="1" customWidth="1"/>
  </cols>
  <sheetData>
    <row r="1" spans="1:10" x14ac:dyDescent="0.25">
      <c r="A1" t="s">
        <v>104</v>
      </c>
      <c r="B1" t="s">
        <v>105</v>
      </c>
      <c r="C1" t="s">
        <v>103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106</v>
      </c>
      <c r="J1" t="s">
        <v>107</v>
      </c>
    </row>
    <row r="2" spans="1:10" x14ac:dyDescent="0.25">
      <c r="A2">
        <v>1</v>
      </c>
      <c r="B2" t="s">
        <v>108</v>
      </c>
      <c r="C2">
        <v>24001381</v>
      </c>
      <c r="D2">
        <v>56039684</v>
      </c>
      <c r="E2">
        <v>1201</v>
      </c>
      <c r="F2" t="s">
        <v>24</v>
      </c>
      <c r="G2" s="15">
        <v>45343</v>
      </c>
      <c r="H2" s="15">
        <v>45345</v>
      </c>
      <c r="I2">
        <v>24001229</v>
      </c>
      <c r="J2" t="s">
        <v>118</v>
      </c>
    </row>
    <row r="3" spans="1:10" x14ac:dyDescent="0.25">
      <c r="A3">
        <v>2</v>
      </c>
      <c r="B3" t="s">
        <v>109</v>
      </c>
      <c r="C3">
        <v>24001382</v>
      </c>
      <c r="D3">
        <v>55423490</v>
      </c>
      <c r="E3">
        <v>1201</v>
      </c>
      <c r="F3" t="s">
        <v>24</v>
      </c>
      <c r="G3" s="15">
        <v>45343</v>
      </c>
      <c r="H3" s="15">
        <v>45345</v>
      </c>
      <c r="I3">
        <v>24001230</v>
      </c>
      <c r="J3" t="s">
        <v>118</v>
      </c>
    </row>
    <row r="4" spans="1:10" x14ac:dyDescent="0.25">
      <c r="A4">
        <v>3</v>
      </c>
      <c r="B4" t="s">
        <v>110</v>
      </c>
      <c r="C4">
        <v>24001383</v>
      </c>
      <c r="D4">
        <v>57330828</v>
      </c>
      <c r="E4">
        <v>1201</v>
      </c>
      <c r="F4" t="s">
        <v>24</v>
      </c>
      <c r="G4" s="15">
        <v>45343</v>
      </c>
      <c r="H4" s="15">
        <v>45345</v>
      </c>
      <c r="I4">
        <v>24001231</v>
      </c>
      <c r="J4" t="s">
        <v>118</v>
      </c>
    </row>
    <row r="5" spans="1:10" x14ac:dyDescent="0.25">
      <c r="A5">
        <v>4</v>
      </c>
      <c r="B5" t="s">
        <v>111</v>
      </c>
      <c r="C5">
        <v>24001384</v>
      </c>
      <c r="D5">
        <v>55113299</v>
      </c>
      <c r="E5">
        <v>1201</v>
      </c>
      <c r="F5" t="s">
        <v>24</v>
      </c>
      <c r="G5" s="15">
        <v>45343</v>
      </c>
      <c r="H5" s="15">
        <v>45345</v>
      </c>
      <c r="I5">
        <v>24001232</v>
      </c>
      <c r="J5" t="s">
        <v>118</v>
      </c>
    </row>
    <row r="6" spans="1:10" x14ac:dyDescent="0.25">
      <c r="A6">
        <v>5</v>
      </c>
      <c r="B6" t="s">
        <v>112</v>
      </c>
      <c r="C6">
        <v>24001385</v>
      </c>
      <c r="D6">
        <v>56286757</v>
      </c>
      <c r="E6">
        <v>1201</v>
      </c>
      <c r="F6" t="s">
        <v>24</v>
      </c>
      <c r="G6" s="15">
        <v>45343</v>
      </c>
      <c r="H6" s="15">
        <v>45345</v>
      </c>
      <c r="I6">
        <v>24001233</v>
      </c>
      <c r="J6" t="s">
        <v>118</v>
      </c>
    </row>
    <row r="7" spans="1:10" x14ac:dyDescent="0.25">
      <c r="A7">
        <v>6</v>
      </c>
      <c r="B7" t="s">
        <v>113</v>
      </c>
      <c r="C7">
        <v>24001386</v>
      </c>
      <c r="D7">
        <v>57369301</v>
      </c>
      <c r="E7">
        <v>1201</v>
      </c>
      <c r="F7" t="s">
        <v>24</v>
      </c>
      <c r="G7" s="15">
        <v>45343</v>
      </c>
      <c r="H7" s="15">
        <v>45345</v>
      </c>
      <c r="I7">
        <v>24001234</v>
      </c>
      <c r="J7" t="s">
        <v>118</v>
      </c>
    </row>
    <row r="8" spans="1:10" x14ac:dyDescent="0.25">
      <c r="A8">
        <v>7</v>
      </c>
      <c r="B8" t="s">
        <v>114</v>
      </c>
      <c r="C8">
        <v>24001387</v>
      </c>
      <c r="D8">
        <v>57361165</v>
      </c>
      <c r="E8">
        <v>1201</v>
      </c>
      <c r="F8" t="s">
        <v>24</v>
      </c>
      <c r="G8" s="15">
        <v>45343</v>
      </c>
      <c r="H8" s="15">
        <v>45345</v>
      </c>
      <c r="I8">
        <v>24001235</v>
      </c>
      <c r="J8" t="s">
        <v>118</v>
      </c>
    </row>
    <row r="9" spans="1:10" x14ac:dyDescent="0.25">
      <c r="A9">
        <v>8</v>
      </c>
      <c r="B9" t="s">
        <v>115</v>
      </c>
      <c r="C9">
        <v>24001388</v>
      </c>
      <c r="D9">
        <v>57054270</v>
      </c>
      <c r="E9">
        <v>1201</v>
      </c>
      <c r="F9" t="s">
        <v>24</v>
      </c>
      <c r="G9" s="15">
        <v>45343</v>
      </c>
      <c r="H9" s="15">
        <v>45345</v>
      </c>
      <c r="I9">
        <v>24001236</v>
      </c>
      <c r="J9" t="s">
        <v>118</v>
      </c>
    </row>
    <row r="10" spans="1:10" x14ac:dyDescent="0.25">
      <c r="A10">
        <v>9</v>
      </c>
      <c r="B10" t="s">
        <v>116</v>
      </c>
      <c r="C10">
        <v>24001392</v>
      </c>
      <c r="D10">
        <v>55101941</v>
      </c>
      <c r="E10">
        <v>1201</v>
      </c>
      <c r="F10" t="s">
        <v>24</v>
      </c>
      <c r="G10" s="15">
        <v>45343</v>
      </c>
      <c r="H10" s="15">
        <v>45345</v>
      </c>
      <c r="I10">
        <v>24001237</v>
      </c>
      <c r="J10" t="s">
        <v>118</v>
      </c>
    </row>
    <row r="11" spans="1:10" x14ac:dyDescent="0.25">
      <c r="A11">
        <v>10</v>
      </c>
      <c r="B11" t="s">
        <v>117</v>
      </c>
      <c r="C11">
        <v>24001393</v>
      </c>
      <c r="D11">
        <v>57423549</v>
      </c>
      <c r="E11">
        <v>1201</v>
      </c>
      <c r="F11" t="s">
        <v>24</v>
      </c>
      <c r="G11" s="15">
        <v>45343</v>
      </c>
      <c r="H11" s="15">
        <v>45345</v>
      </c>
      <c r="I11">
        <v>24001238</v>
      </c>
      <c r="J11" t="s">
        <v>118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C3D74-E027-400E-81B7-E73CE1B3FD47}">
  <dimension ref="A1:S6"/>
  <sheetViews>
    <sheetView workbookViewId="0">
      <selection activeCell="A2" sqref="A2:F2"/>
    </sheetView>
  </sheetViews>
  <sheetFormatPr defaultRowHeight="15" x14ac:dyDescent="0.25"/>
  <sheetData>
    <row r="1" spans="1:19" x14ac:dyDescent="0.25">
      <c r="G1" s="7" t="s">
        <v>33</v>
      </c>
      <c r="H1" s="7" t="s">
        <v>34</v>
      </c>
      <c r="I1" s="7" t="s">
        <v>35</v>
      </c>
      <c r="J1" s="7" t="s">
        <v>36</v>
      </c>
      <c r="K1" s="7" t="s">
        <v>37</v>
      </c>
      <c r="L1" s="7" t="s">
        <v>38</v>
      </c>
      <c r="M1" s="7" t="s">
        <v>39</v>
      </c>
      <c r="N1" s="7" t="s">
        <v>40</v>
      </c>
      <c r="O1" s="7" t="s">
        <v>41</v>
      </c>
      <c r="P1" s="7" t="s">
        <v>42</v>
      </c>
      <c r="Q1" s="7" t="s">
        <v>43</v>
      </c>
    </row>
    <row r="2" spans="1:19" x14ac:dyDescent="0.25">
      <c r="A2">
        <v>24001381</v>
      </c>
      <c r="B2">
        <v>56039684</v>
      </c>
      <c r="C2">
        <v>1201</v>
      </c>
      <c r="D2" t="s">
        <v>24</v>
      </c>
      <c r="E2">
        <v>45343</v>
      </c>
      <c r="F2">
        <v>45345</v>
      </c>
      <c r="G2" t="s">
        <v>53</v>
      </c>
      <c r="H2" t="s">
        <v>54</v>
      </c>
      <c r="I2">
        <v>1</v>
      </c>
      <c r="J2">
        <v>6496425</v>
      </c>
      <c r="K2" t="s">
        <v>25</v>
      </c>
      <c r="L2" t="s">
        <v>25</v>
      </c>
      <c r="M2" t="s">
        <v>26</v>
      </c>
      <c r="N2" t="s">
        <v>55</v>
      </c>
      <c r="O2" t="s">
        <v>56</v>
      </c>
      <c r="P2" t="s">
        <v>57</v>
      </c>
      <c r="Q2" t="s">
        <v>58</v>
      </c>
    </row>
    <row r="3" spans="1:19" x14ac:dyDescent="0.25">
      <c r="G3" t="s">
        <v>62</v>
      </c>
      <c r="H3" t="s">
        <v>54</v>
      </c>
      <c r="I3">
        <v>1</v>
      </c>
      <c r="J3">
        <v>10000</v>
      </c>
      <c r="K3" t="s">
        <v>25</v>
      </c>
      <c r="L3" t="s">
        <v>25</v>
      </c>
      <c r="M3" t="s">
        <v>26</v>
      </c>
      <c r="N3" t="s">
        <v>55</v>
      </c>
      <c r="O3" t="s">
        <v>50</v>
      </c>
    </row>
    <row r="4" spans="1:19" x14ac:dyDescent="0.25">
      <c r="G4" t="s">
        <v>63</v>
      </c>
      <c r="H4" t="s">
        <v>64</v>
      </c>
      <c r="I4">
        <v>1</v>
      </c>
      <c r="J4">
        <v>5711175</v>
      </c>
      <c r="K4" t="s">
        <v>25</v>
      </c>
      <c r="L4" t="s">
        <v>25</v>
      </c>
      <c r="M4" t="s">
        <v>26</v>
      </c>
      <c r="N4" t="s">
        <v>55</v>
      </c>
      <c r="O4" t="s">
        <v>56</v>
      </c>
      <c r="P4" t="s">
        <v>57</v>
      </c>
      <c r="Q4" t="s">
        <v>58</v>
      </c>
    </row>
    <row r="5" spans="1:19" x14ac:dyDescent="0.25">
      <c r="G5" t="s">
        <v>68</v>
      </c>
      <c r="H5" t="s">
        <v>64</v>
      </c>
      <c r="I5">
        <v>1</v>
      </c>
      <c r="J5">
        <v>10000</v>
      </c>
      <c r="K5" t="s">
        <v>25</v>
      </c>
      <c r="L5" t="s">
        <v>25</v>
      </c>
      <c r="M5" t="s">
        <v>26</v>
      </c>
      <c r="N5" t="s">
        <v>55</v>
      </c>
      <c r="O5" t="s">
        <v>50</v>
      </c>
    </row>
    <row r="6" spans="1:19" x14ac:dyDescent="0.25">
      <c r="G6" t="s">
        <v>69</v>
      </c>
      <c r="H6" t="s">
        <v>70</v>
      </c>
      <c r="I6">
        <v>1</v>
      </c>
      <c r="J6">
        <v>3805000</v>
      </c>
      <c r="K6" t="s">
        <v>25</v>
      </c>
      <c r="L6" t="s">
        <v>25</v>
      </c>
      <c r="M6" t="s">
        <v>26</v>
      </c>
      <c r="N6" t="s">
        <v>55</v>
      </c>
      <c r="O6" t="s">
        <v>56</v>
      </c>
      <c r="P6" t="s">
        <v>57</v>
      </c>
      <c r="Q6" t="s">
        <v>58</v>
      </c>
      <c r="R6" s="19" t="s">
        <v>71</v>
      </c>
      <c r="S6" s="19" t="s">
        <v>72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33B12-560E-4FB9-B883-1E37EED72230}">
  <dimension ref="A1:Q2"/>
  <sheetViews>
    <sheetView workbookViewId="0">
      <selection activeCell="A2" sqref="A2:F2"/>
    </sheetView>
  </sheetViews>
  <sheetFormatPr defaultRowHeight="15" x14ac:dyDescent="0.25"/>
  <sheetData>
    <row r="1" spans="1:17" x14ac:dyDescent="0.25">
      <c r="G1" s="7" t="s">
        <v>33</v>
      </c>
      <c r="H1" s="7" t="s">
        <v>34</v>
      </c>
      <c r="I1" s="7" t="s">
        <v>35</v>
      </c>
      <c r="J1" s="7" t="s">
        <v>36</v>
      </c>
      <c r="K1" s="7" t="s">
        <v>37</v>
      </c>
      <c r="L1" s="7" t="s">
        <v>38</v>
      </c>
      <c r="M1" s="7" t="s">
        <v>39</v>
      </c>
      <c r="N1" s="7" t="s">
        <v>40</v>
      </c>
      <c r="O1" s="7" t="s">
        <v>41</v>
      </c>
      <c r="P1" s="7" t="s">
        <v>42</v>
      </c>
      <c r="Q1" s="7" t="s">
        <v>43</v>
      </c>
    </row>
    <row r="2" spans="1:17" x14ac:dyDescent="0.25">
      <c r="A2">
        <v>24001382</v>
      </c>
      <c r="B2">
        <v>55423490</v>
      </c>
      <c r="C2">
        <v>1201</v>
      </c>
      <c r="D2" t="s">
        <v>24</v>
      </c>
      <c r="E2">
        <v>45343</v>
      </c>
      <c r="F2">
        <v>45345</v>
      </c>
      <c r="G2" t="s">
        <v>75</v>
      </c>
      <c r="H2" t="s">
        <v>76</v>
      </c>
      <c r="I2">
        <v>1</v>
      </c>
      <c r="J2">
        <v>48450000</v>
      </c>
      <c r="K2" t="s">
        <v>25</v>
      </c>
      <c r="L2" t="s">
        <v>25</v>
      </c>
      <c r="M2" t="s">
        <v>26</v>
      </c>
      <c r="N2" t="s">
        <v>55</v>
      </c>
      <c r="O2" t="s">
        <v>56</v>
      </c>
      <c r="P2" t="s">
        <v>57</v>
      </c>
      <c r="Q2" t="s">
        <v>58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4E3D1-E1EA-4564-9005-625BAB620A2E}">
  <dimension ref="A1:Q2"/>
  <sheetViews>
    <sheetView workbookViewId="0">
      <selection activeCell="A2" sqref="A2:F2"/>
    </sheetView>
  </sheetViews>
  <sheetFormatPr defaultRowHeight="15" x14ac:dyDescent="0.25"/>
  <sheetData>
    <row r="1" spans="1:17" x14ac:dyDescent="0.25">
      <c r="G1" s="7" t="s">
        <v>33</v>
      </c>
      <c r="H1" s="7" t="s">
        <v>34</v>
      </c>
      <c r="I1" s="7" t="s">
        <v>35</v>
      </c>
      <c r="J1" s="7" t="s">
        <v>36</v>
      </c>
      <c r="K1" s="7" t="s">
        <v>37</v>
      </c>
      <c r="L1" s="7" t="s">
        <v>38</v>
      </c>
      <c r="M1" s="7" t="s">
        <v>39</v>
      </c>
      <c r="N1" s="7" t="s">
        <v>40</v>
      </c>
      <c r="O1" s="7" t="s">
        <v>41</v>
      </c>
      <c r="P1" s="7" t="s">
        <v>42</v>
      </c>
      <c r="Q1" s="7" t="s">
        <v>43</v>
      </c>
    </row>
    <row r="2" spans="1:17" x14ac:dyDescent="0.25">
      <c r="A2">
        <v>24001383</v>
      </c>
      <c r="B2">
        <v>57330828</v>
      </c>
      <c r="C2">
        <v>1201</v>
      </c>
      <c r="D2" t="s">
        <v>24</v>
      </c>
      <c r="E2">
        <v>45343</v>
      </c>
      <c r="F2">
        <v>45345</v>
      </c>
      <c r="G2" t="s">
        <v>79</v>
      </c>
      <c r="H2" t="s">
        <v>80</v>
      </c>
      <c r="I2">
        <v>1</v>
      </c>
      <c r="J2">
        <v>440000</v>
      </c>
      <c r="K2" t="s">
        <v>25</v>
      </c>
      <c r="L2" t="s">
        <v>25</v>
      </c>
      <c r="M2" t="s">
        <v>26</v>
      </c>
      <c r="N2" t="s">
        <v>55</v>
      </c>
      <c r="O2" t="s">
        <v>56</v>
      </c>
      <c r="P2" t="s">
        <v>57</v>
      </c>
      <c r="Q2" t="s">
        <v>58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1ADD1-C820-4FA4-A0C2-B776A536D71B}">
  <dimension ref="A1:Q5"/>
  <sheetViews>
    <sheetView workbookViewId="0">
      <selection activeCell="A2" sqref="A2:F2"/>
    </sheetView>
  </sheetViews>
  <sheetFormatPr defaultRowHeight="15" x14ac:dyDescent="0.25"/>
  <sheetData>
    <row r="1" spans="1:17" x14ac:dyDescent="0.25">
      <c r="G1" s="7" t="s">
        <v>33</v>
      </c>
      <c r="H1" s="7" t="s">
        <v>34</v>
      </c>
      <c r="I1" s="7" t="s">
        <v>35</v>
      </c>
      <c r="J1" s="7" t="s">
        <v>36</v>
      </c>
      <c r="K1" s="7" t="s">
        <v>37</v>
      </c>
      <c r="L1" s="7" t="s">
        <v>38</v>
      </c>
      <c r="M1" s="7" t="s">
        <v>39</v>
      </c>
      <c r="N1" s="7" t="s">
        <v>40</v>
      </c>
      <c r="O1" s="7" t="s">
        <v>41</v>
      </c>
      <c r="P1" s="7" t="s">
        <v>42</v>
      </c>
      <c r="Q1" s="7" t="s">
        <v>43</v>
      </c>
    </row>
    <row r="2" spans="1:17" x14ac:dyDescent="0.25">
      <c r="A2">
        <v>24001384</v>
      </c>
      <c r="B2">
        <v>55113299</v>
      </c>
      <c r="C2">
        <v>1201</v>
      </c>
      <c r="D2" t="s">
        <v>24</v>
      </c>
      <c r="E2">
        <v>45343</v>
      </c>
      <c r="F2">
        <v>45345</v>
      </c>
      <c r="G2" t="s">
        <v>79</v>
      </c>
      <c r="H2" t="s">
        <v>80</v>
      </c>
      <c r="I2">
        <v>1</v>
      </c>
      <c r="J2">
        <v>502091</v>
      </c>
      <c r="K2" t="s">
        <v>25</v>
      </c>
      <c r="L2" t="s">
        <v>25</v>
      </c>
      <c r="M2" t="s">
        <v>26</v>
      </c>
      <c r="N2" t="s">
        <v>83</v>
      </c>
      <c r="O2" t="s">
        <v>56</v>
      </c>
      <c r="P2" t="s">
        <v>57</v>
      </c>
      <c r="Q2" t="s">
        <v>58</v>
      </c>
    </row>
    <row r="3" spans="1:17" x14ac:dyDescent="0.25">
      <c r="G3" t="s">
        <v>79</v>
      </c>
      <c r="H3" t="s">
        <v>80</v>
      </c>
      <c r="I3">
        <v>1</v>
      </c>
      <c r="J3">
        <v>502091</v>
      </c>
      <c r="K3" t="s">
        <v>25</v>
      </c>
      <c r="L3" t="s">
        <v>25</v>
      </c>
      <c r="M3" t="s">
        <v>26</v>
      </c>
      <c r="N3" t="s">
        <v>83</v>
      </c>
      <c r="O3" t="s">
        <v>56</v>
      </c>
      <c r="P3" t="s">
        <v>57</v>
      </c>
      <c r="Q3" t="s">
        <v>58</v>
      </c>
    </row>
    <row r="4" spans="1:17" x14ac:dyDescent="0.25">
      <c r="G4" t="s">
        <v>79</v>
      </c>
      <c r="H4" t="s">
        <v>80</v>
      </c>
      <c r="I4">
        <v>1</v>
      </c>
      <c r="J4">
        <v>687341</v>
      </c>
      <c r="K4" t="s">
        <v>25</v>
      </c>
      <c r="L4" t="s">
        <v>25</v>
      </c>
      <c r="M4" t="s">
        <v>26</v>
      </c>
      <c r="N4" t="s">
        <v>83</v>
      </c>
      <c r="O4" t="s">
        <v>56</v>
      </c>
      <c r="P4" t="s">
        <v>57</v>
      </c>
      <c r="Q4" t="s">
        <v>58</v>
      </c>
    </row>
    <row r="5" spans="1:17" x14ac:dyDescent="0.25">
      <c r="G5" t="s">
        <v>79</v>
      </c>
      <c r="H5" t="s">
        <v>80</v>
      </c>
      <c r="I5">
        <v>1</v>
      </c>
      <c r="J5">
        <v>502091</v>
      </c>
      <c r="K5" t="s">
        <v>25</v>
      </c>
      <c r="L5" t="s">
        <v>25</v>
      </c>
      <c r="M5" t="s">
        <v>26</v>
      </c>
      <c r="N5" t="s">
        <v>83</v>
      </c>
      <c r="O5" t="s">
        <v>56</v>
      </c>
      <c r="P5" t="s">
        <v>57</v>
      </c>
      <c r="Q5" t="s">
        <v>58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810EF-3119-4F5F-A247-09B5371E0F7B}">
  <dimension ref="A1:Q2"/>
  <sheetViews>
    <sheetView workbookViewId="0">
      <selection activeCell="A2" sqref="A2:F2"/>
    </sheetView>
  </sheetViews>
  <sheetFormatPr defaultRowHeight="15" x14ac:dyDescent="0.25"/>
  <sheetData>
    <row r="1" spans="1:17" x14ac:dyDescent="0.25">
      <c r="G1" s="7" t="s">
        <v>33</v>
      </c>
      <c r="H1" s="7" t="s">
        <v>34</v>
      </c>
      <c r="I1" s="7" t="s">
        <v>35</v>
      </c>
      <c r="J1" s="7" t="s">
        <v>36</v>
      </c>
      <c r="K1" s="7" t="s">
        <v>37</v>
      </c>
      <c r="L1" s="7" t="s">
        <v>38</v>
      </c>
      <c r="M1" s="7" t="s">
        <v>39</v>
      </c>
      <c r="N1" s="7" t="s">
        <v>40</v>
      </c>
      <c r="O1" s="7" t="s">
        <v>41</v>
      </c>
      <c r="P1" s="7" t="s">
        <v>42</v>
      </c>
      <c r="Q1" s="7" t="s">
        <v>43</v>
      </c>
    </row>
    <row r="2" spans="1:17" x14ac:dyDescent="0.25">
      <c r="A2">
        <v>24001385</v>
      </c>
      <c r="B2">
        <v>56286757</v>
      </c>
      <c r="C2">
        <v>1201</v>
      </c>
      <c r="D2" t="s">
        <v>24</v>
      </c>
      <c r="E2">
        <v>45343</v>
      </c>
      <c r="F2">
        <v>45345</v>
      </c>
      <c r="G2" t="s">
        <v>79</v>
      </c>
      <c r="H2" t="s">
        <v>80</v>
      </c>
      <c r="I2">
        <v>1</v>
      </c>
      <c r="J2">
        <v>440000</v>
      </c>
      <c r="K2" t="s">
        <v>25</v>
      </c>
      <c r="L2" t="s">
        <v>25</v>
      </c>
      <c r="M2" t="s">
        <v>26</v>
      </c>
      <c r="N2" t="s">
        <v>55</v>
      </c>
      <c r="O2" t="s">
        <v>56</v>
      </c>
      <c r="P2" t="s">
        <v>57</v>
      </c>
      <c r="Q2" t="s">
        <v>58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6151A-1BA3-45B1-9337-EEEA99F9251D}">
  <dimension ref="A1:Q2"/>
  <sheetViews>
    <sheetView workbookViewId="0">
      <selection activeCell="A2" sqref="A2:F2"/>
    </sheetView>
  </sheetViews>
  <sheetFormatPr defaultRowHeight="15" x14ac:dyDescent="0.25"/>
  <sheetData>
    <row r="1" spans="1:17" x14ac:dyDescent="0.25">
      <c r="G1" s="7" t="s">
        <v>33</v>
      </c>
      <c r="H1" s="7" t="s">
        <v>34</v>
      </c>
      <c r="I1" s="7" t="s">
        <v>35</v>
      </c>
      <c r="J1" s="7" t="s">
        <v>36</v>
      </c>
      <c r="K1" s="7" t="s">
        <v>37</v>
      </c>
      <c r="L1" s="7" t="s">
        <v>38</v>
      </c>
      <c r="M1" s="7" t="s">
        <v>39</v>
      </c>
      <c r="N1" s="7" t="s">
        <v>40</v>
      </c>
      <c r="O1" s="7" t="s">
        <v>41</v>
      </c>
      <c r="P1" s="7" t="s">
        <v>42</v>
      </c>
      <c r="Q1" s="7" t="s">
        <v>43</v>
      </c>
    </row>
    <row r="2" spans="1:17" x14ac:dyDescent="0.25">
      <c r="A2">
        <v>24001386</v>
      </c>
      <c r="B2">
        <v>57369301</v>
      </c>
      <c r="C2">
        <v>1201</v>
      </c>
      <c r="D2" t="s">
        <v>24</v>
      </c>
      <c r="E2">
        <v>45343</v>
      </c>
      <c r="F2">
        <v>45345</v>
      </c>
      <c r="G2" t="s">
        <v>79</v>
      </c>
      <c r="H2" t="s">
        <v>80</v>
      </c>
      <c r="I2">
        <v>1</v>
      </c>
      <c r="J2">
        <v>433000</v>
      </c>
      <c r="K2" t="s">
        <v>25</v>
      </c>
      <c r="L2" t="s">
        <v>25</v>
      </c>
      <c r="M2" t="s">
        <v>26</v>
      </c>
      <c r="N2" t="s">
        <v>55</v>
      </c>
      <c r="O2" t="s">
        <v>56</v>
      </c>
      <c r="P2" t="s">
        <v>57</v>
      </c>
      <c r="Q2" t="s">
        <v>58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97BBA-1423-430E-9CD4-2F25DEB7C701}">
  <dimension ref="A1:Q3"/>
  <sheetViews>
    <sheetView workbookViewId="0">
      <selection activeCell="A2" sqref="A2:F2"/>
    </sheetView>
  </sheetViews>
  <sheetFormatPr defaultRowHeight="15" x14ac:dyDescent="0.25"/>
  <sheetData>
    <row r="1" spans="1:17" x14ac:dyDescent="0.25">
      <c r="G1" s="7" t="s">
        <v>33</v>
      </c>
      <c r="H1" s="7" t="s">
        <v>34</v>
      </c>
      <c r="I1" s="7" t="s">
        <v>35</v>
      </c>
      <c r="J1" s="7" t="s">
        <v>36</v>
      </c>
      <c r="K1" s="7" t="s">
        <v>37</v>
      </c>
      <c r="L1" s="7" t="s">
        <v>38</v>
      </c>
      <c r="M1" s="7" t="s">
        <v>39</v>
      </c>
      <c r="N1" s="7" t="s">
        <v>40</v>
      </c>
      <c r="O1" s="7" t="s">
        <v>41</v>
      </c>
      <c r="P1" s="7" t="s">
        <v>42</v>
      </c>
      <c r="Q1" s="7" t="s">
        <v>43</v>
      </c>
    </row>
    <row r="2" spans="1:17" x14ac:dyDescent="0.25">
      <c r="A2">
        <v>24001387</v>
      </c>
      <c r="B2">
        <v>57361165</v>
      </c>
      <c r="C2">
        <v>1201</v>
      </c>
      <c r="D2" t="s">
        <v>24</v>
      </c>
      <c r="E2">
        <v>45343</v>
      </c>
      <c r="F2">
        <v>45345</v>
      </c>
      <c r="G2" t="s">
        <v>79</v>
      </c>
      <c r="H2" t="s">
        <v>80</v>
      </c>
      <c r="I2">
        <v>1</v>
      </c>
      <c r="J2">
        <v>440000</v>
      </c>
      <c r="K2" t="s">
        <v>25</v>
      </c>
      <c r="L2" t="s">
        <v>25</v>
      </c>
      <c r="M2" t="s">
        <v>26</v>
      </c>
      <c r="N2" t="s">
        <v>55</v>
      </c>
      <c r="O2" t="s">
        <v>56</v>
      </c>
      <c r="P2" t="s">
        <v>57</v>
      </c>
      <c r="Q2" t="s">
        <v>58</v>
      </c>
    </row>
    <row r="3" spans="1:17" x14ac:dyDescent="0.25">
      <c r="G3" t="s">
        <v>79</v>
      </c>
      <c r="H3" t="s">
        <v>80</v>
      </c>
      <c r="I3">
        <v>1</v>
      </c>
      <c r="J3">
        <v>440000</v>
      </c>
      <c r="K3" t="s">
        <v>25</v>
      </c>
      <c r="L3" t="s">
        <v>25</v>
      </c>
      <c r="M3" t="s">
        <v>26</v>
      </c>
      <c r="N3" t="s">
        <v>55</v>
      </c>
      <c r="O3" t="s">
        <v>56</v>
      </c>
      <c r="P3" t="s">
        <v>57</v>
      </c>
      <c r="Q3" t="s">
        <v>58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A6B8-1157-4AD9-820A-8C6710005264}">
  <dimension ref="A1:Q3"/>
  <sheetViews>
    <sheetView workbookViewId="0">
      <selection activeCell="A2" sqref="A2:F2"/>
    </sheetView>
  </sheetViews>
  <sheetFormatPr defaultRowHeight="15" x14ac:dyDescent="0.25"/>
  <sheetData>
    <row r="1" spans="1:17" x14ac:dyDescent="0.25">
      <c r="G1" s="7" t="s">
        <v>33</v>
      </c>
      <c r="H1" s="7" t="s">
        <v>34</v>
      </c>
      <c r="I1" s="7" t="s">
        <v>35</v>
      </c>
      <c r="J1" s="7" t="s">
        <v>36</v>
      </c>
      <c r="K1" s="7" t="s">
        <v>37</v>
      </c>
      <c r="L1" s="7" t="s">
        <v>38</v>
      </c>
      <c r="M1" s="7" t="s">
        <v>39</v>
      </c>
      <c r="N1" s="7" t="s">
        <v>40</v>
      </c>
      <c r="O1" s="7" t="s">
        <v>41</v>
      </c>
      <c r="P1" s="7" t="s">
        <v>42</v>
      </c>
      <c r="Q1" s="7" t="s">
        <v>43</v>
      </c>
    </row>
    <row r="2" spans="1:17" x14ac:dyDescent="0.25">
      <c r="A2">
        <v>24001388</v>
      </c>
      <c r="B2">
        <v>57054270</v>
      </c>
      <c r="C2">
        <v>1201</v>
      </c>
      <c r="D2" t="s">
        <v>24</v>
      </c>
      <c r="E2">
        <v>45343</v>
      </c>
      <c r="F2">
        <v>45345</v>
      </c>
      <c r="G2" t="s">
        <v>79</v>
      </c>
      <c r="H2" t="s">
        <v>80</v>
      </c>
      <c r="I2">
        <v>1</v>
      </c>
      <c r="J2">
        <v>1330000</v>
      </c>
      <c r="K2" t="s">
        <v>25</v>
      </c>
      <c r="L2" t="s">
        <v>25</v>
      </c>
      <c r="M2" t="s">
        <v>26</v>
      </c>
      <c r="N2" t="s">
        <v>55</v>
      </c>
      <c r="O2" t="s">
        <v>56</v>
      </c>
      <c r="P2" t="s">
        <v>57</v>
      </c>
      <c r="Q2" t="s">
        <v>58</v>
      </c>
    </row>
    <row r="3" spans="1:17" x14ac:dyDescent="0.25">
      <c r="G3" t="s">
        <v>79</v>
      </c>
      <c r="H3" t="s">
        <v>80</v>
      </c>
      <c r="I3">
        <v>1</v>
      </c>
      <c r="J3">
        <v>1460000</v>
      </c>
      <c r="K3" t="s">
        <v>25</v>
      </c>
      <c r="L3" t="s">
        <v>25</v>
      </c>
      <c r="M3" t="s">
        <v>26</v>
      </c>
      <c r="N3" t="s">
        <v>55</v>
      </c>
      <c r="O3" t="s">
        <v>56</v>
      </c>
      <c r="P3" t="s">
        <v>57</v>
      </c>
      <c r="Q3" t="s">
        <v>58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B866D-A54A-4CD0-8C36-8FDCE43B4217}">
  <dimension ref="A1:Q3"/>
  <sheetViews>
    <sheetView workbookViewId="0">
      <selection activeCell="A2" sqref="A2:F2"/>
    </sheetView>
  </sheetViews>
  <sheetFormatPr defaultRowHeight="15" x14ac:dyDescent="0.25"/>
  <sheetData>
    <row r="1" spans="1:17" x14ac:dyDescent="0.25">
      <c r="G1" s="7" t="s">
        <v>33</v>
      </c>
      <c r="H1" s="7" t="s">
        <v>34</v>
      </c>
      <c r="I1" s="7" t="s">
        <v>35</v>
      </c>
      <c r="J1" s="7" t="s">
        <v>36</v>
      </c>
      <c r="K1" s="7" t="s">
        <v>37</v>
      </c>
      <c r="L1" s="7" t="s">
        <v>38</v>
      </c>
      <c r="M1" s="7" t="s">
        <v>39</v>
      </c>
      <c r="N1" s="7" t="s">
        <v>40</v>
      </c>
      <c r="O1" s="7" t="s">
        <v>41</v>
      </c>
      <c r="P1" s="7" t="s">
        <v>42</v>
      </c>
      <c r="Q1" s="7" t="s">
        <v>43</v>
      </c>
    </row>
    <row r="2" spans="1:17" x14ac:dyDescent="0.25">
      <c r="A2">
        <v>24001392</v>
      </c>
      <c r="B2">
        <v>55101941</v>
      </c>
      <c r="C2">
        <v>1201</v>
      </c>
      <c r="D2" t="s">
        <v>24</v>
      </c>
      <c r="E2">
        <v>45343</v>
      </c>
      <c r="F2">
        <v>45345</v>
      </c>
      <c r="G2" t="s">
        <v>79</v>
      </c>
      <c r="H2" t="s">
        <v>80</v>
      </c>
      <c r="I2">
        <v>1</v>
      </c>
      <c r="J2">
        <v>1169430</v>
      </c>
      <c r="K2" t="s">
        <v>25</v>
      </c>
      <c r="L2" t="s">
        <v>25</v>
      </c>
      <c r="M2" t="s">
        <v>26</v>
      </c>
      <c r="N2" t="s">
        <v>55</v>
      </c>
      <c r="O2" t="s">
        <v>56</v>
      </c>
      <c r="P2" t="s">
        <v>57</v>
      </c>
      <c r="Q2" t="s">
        <v>58</v>
      </c>
    </row>
    <row r="3" spans="1:17" x14ac:dyDescent="0.25">
      <c r="G3" t="s">
        <v>79</v>
      </c>
      <c r="H3" t="s">
        <v>80</v>
      </c>
      <c r="I3">
        <v>1</v>
      </c>
      <c r="J3">
        <v>1354680</v>
      </c>
      <c r="K3" t="s">
        <v>25</v>
      </c>
      <c r="L3" t="s">
        <v>25</v>
      </c>
      <c r="M3" t="s">
        <v>26</v>
      </c>
      <c r="N3" t="s">
        <v>55</v>
      </c>
      <c r="O3" t="s">
        <v>56</v>
      </c>
      <c r="P3" t="s">
        <v>57</v>
      </c>
      <c r="Q3" t="s">
        <v>58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78D63-6600-4550-A3F6-C88951FC18F3}">
  <dimension ref="A1:Q2"/>
  <sheetViews>
    <sheetView workbookViewId="0">
      <selection activeCell="A2" sqref="A2:F2"/>
    </sheetView>
  </sheetViews>
  <sheetFormatPr defaultRowHeight="15" x14ac:dyDescent="0.25"/>
  <sheetData>
    <row r="1" spans="1:17" x14ac:dyDescent="0.25">
      <c r="G1" s="7" t="s">
        <v>33</v>
      </c>
      <c r="H1" s="7" t="s">
        <v>34</v>
      </c>
      <c r="I1" s="7" t="s">
        <v>35</v>
      </c>
      <c r="J1" s="7" t="s">
        <v>36</v>
      </c>
      <c r="K1" s="7" t="s">
        <v>37</v>
      </c>
      <c r="L1" s="7" t="s">
        <v>38</v>
      </c>
      <c r="M1" s="7" t="s">
        <v>39</v>
      </c>
      <c r="N1" s="7" t="s">
        <v>40</v>
      </c>
      <c r="O1" s="7" t="s">
        <v>41</v>
      </c>
      <c r="P1" s="7" t="s">
        <v>42</v>
      </c>
      <c r="Q1" s="7" t="s">
        <v>43</v>
      </c>
    </row>
    <row r="2" spans="1:17" x14ac:dyDescent="0.25">
      <c r="A2">
        <v>24001393</v>
      </c>
      <c r="B2">
        <v>57423549</v>
      </c>
      <c r="C2">
        <v>1201</v>
      </c>
      <c r="D2" t="s">
        <v>24</v>
      </c>
      <c r="E2">
        <v>45343</v>
      </c>
      <c r="F2">
        <v>45345</v>
      </c>
      <c r="G2" t="s">
        <v>79</v>
      </c>
      <c r="H2" t="s">
        <v>80</v>
      </c>
      <c r="I2">
        <v>1</v>
      </c>
      <c r="J2">
        <v>680000</v>
      </c>
      <c r="K2" t="s">
        <v>25</v>
      </c>
      <c r="L2" t="s">
        <v>25</v>
      </c>
      <c r="M2" t="s">
        <v>26</v>
      </c>
      <c r="N2" t="s">
        <v>55</v>
      </c>
      <c r="O2" t="s">
        <v>56</v>
      </c>
      <c r="P2" t="s">
        <v>57</v>
      </c>
      <c r="Q2" t="s">
        <v>58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ED4FD-BD58-435E-A13C-A518CC0617B4}">
  <dimension ref="A1:A2"/>
  <sheetViews>
    <sheetView workbookViewId="0"/>
  </sheetViews>
  <sheetFormatPr defaultRowHeight="15" x14ac:dyDescent="0.25"/>
  <sheetData>
    <row r="1" spans="1:1" x14ac:dyDescent="0.25">
      <c r="A1" t="s">
        <v>21</v>
      </c>
    </row>
    <row r="2" spans="1:1" x14ac:dyDescent="0.25">
      <c r="A2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Database Supplier</vt:lpstr>
      <vt:lpstr>Input User</vt:lpstr>
      <vt:lpstr>Input RPA</vt:lpstr>
      <vt:lpstr>Hasil</vt:lpstr>
      <vt:lpstr>Bantuan</vt:lpstr>
      <vt:lpstr>SheetRun1</vt:lpstr>
      <vt:lpstr>SheetRun2</vt:lpstr>
      <vt:lpstr>SheetRun3</vt:lpstr>
      <vt:lpstr>SheetRun4</vt:lpstr>
      <vt:lpstr>SheetRun5</vt:lpstr>
      <vt:lpstr>SheetRun6</vt:lpstr>
      <vt:lpstr>SheetRun7</vt:lpstr>
      <vt:lpstr>SheetRun8</vt:lpstr>
      <vt:lpstr>SheetRun9</vt:lpstr>
      <vt:lpstr>SheetRun10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DESKTOP-PC</dc:creator>
  <cp:lastModifiedBy>user</cp:lastModifiedBy>
  <dcterms:created xsi:type="dcterms:W3CDTF">2021-09-13T02:18:06Z</dcterms:created>
  <dcterms:modified xsi:type="dcterms:W3CDTF">2024-02-21T04:16:30Z</dcterms:modified>
</cp:coreProperties>
</file>