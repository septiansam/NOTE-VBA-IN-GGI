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RPA IT\Create OW\"/>
    </mc:Choice>
  </mc:AlternateContent>
  <xr:revisionPtr revIDLastSave="0" documentId="13_ncr:1_{AF2E90E8-8CC5-4BD8-85D9-540048F18570}" xr6:coauthVersionLast="47" xr6:coauthVersionMax="47" xr10:uidLastSave="{00000000-0000-0000-0000-000000000000}"/>
  <bookViews>
    <workbookView xWindow="-120" yWindow="-120" windowWidth="20730" windowHeight="11160" tabRatio="698" xr2:uid="{00000000-000D-0000-FFFF-FFFF00000000}"/>
  </bookViews>
  <sheets>
    <sheet name="Database Supplier" sheetId="2" r:id="rId1"/>
    <sheet name="Input User" sheetId="5955" r:id="rId2"/>
    <sheet name="Input RPA" sheetId="5957" r:id="rId3"/>
    <sheet name="Hasil" sheetId="5961" r:id="rId4"/>
    <sheet name="Bantuan" sheetId="5959" r:id="rId5"/>
    <sheet name="SheetRun1" sheetId="5958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2" l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<sst xmlns="http://schemas.openxmlformats.org/spreadsheetml/2006/main" count="130" uniqueCount="70">
  <si>
    <t>Nama File :</t>
  </si>
  <si>
    <t>Nama Sheet :</t>
  </si>
  <si>
    <t>Input User Create OW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</si>
  <si>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</si>
  <si>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</si>
  <si>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</si>
  <si>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</si>
  <si>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</si>
  <si>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</si>
  <si>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</si>
  <si>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</si>
  <si>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</si>
  <si>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</si>
  <si>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</si>
  <si>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</si>
  <si>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</si>
  <si>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</si>
  <si>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</si>
  <si>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</si>
  <si>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</si>
  <si>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</si>
  <si>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</si>
  <si>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</si>
  <si>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</si>
  <si>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</si>
  <si>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</si>
  <si>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</si>
  <si>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</si>
  <si>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</si>
  <si>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</si>
  <si>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</si>
  <si>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</si>
  <si>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Tax Rate/Area</t>
  </si>
  <si>
    <t>FCR</t>
  </si>
  <si>
    <t>IDR</t>
  </si>
  <si>
    <t>EA</t>
  </si>
  <si>
    <t>JE</t>
  </si>
  <si>
    <t>Y</t>
  </si>
  <si>
    <t>No Faktur Pajak</t>
  </si>
  <si>
    <t>BERCA</t>
  </si>
  <si>
    <t>APPLICATION USER PERPETUAL JDE</t>
  </si>
  <si>
    <t>OK</t>
  </si>
  <si>
    <t>QTY</t>
  </si>
  <si>
    <t>V</t>
  </si>
  <si>
    <t>PPNM11%</t>
  </si>
  <si>
    <t>\\10.8.0.35\Bersama\IT\RPA IT\Create OW</t>
  </si>
  <si>
    <t>RESUME</t>
  </si>
  <si>
    <t>22-02-24</t>
  </si>
  <si>
    <t>1201.131830</t>
  </si>
  <si>
    <t>OW</t>
  </si>
  <si>
    <t>PO</t>
  </si>
  <si>
    <t>NO</t>
  </si>
  <si>
    <t>Nama Sheet</t>
  </si>
  <si>
    <t>SheetRun1</t>
  </si>
  <si>
    <t>RECAP COST HANDLING COST 2023</t>
  </si>
  <si>
    <t>TGL</t>
  </si>
  <si>
    <t>INV GISTEX</t>
  </si>
  <si>
    <t>PCS</t>
  </si>
  <si>
    <t>VOLUME</t>
  </si>
  <si>
    <t>CBM</t>
  </si>
  <si>
    <t>ORDER</t>
  </si>
  <si>
    <t>SUPPLIER</t>
  </si>
  <si>
    <t>AMOUNT</t>
  </si>
  <si>
    <t>PPH 23</t>
  </si>
  <si>
    <t>TOTAL IDR</t>
  </si>
  <si>
    <t>INV</t>
  </si>
  <si>
    <t>NO FP</t>
  </si>
  <si>
    <t>NOT OK, PLEASE CHECK AGAIN!</t>
  </si>
  <si>
    <t>OW NUMBER</t>
  </si>
  <si>
    <t>PO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</si>
</sst>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13809]dd/mm/yyyy;@"/>
    <numFmt numFmtId="165" formatCode="_(* #,##0_);_(* \(#,##0\);_(* &quot;-&quot;??_);_(@_)"/>
    <numFmt numFmtId="166" formatCode="[$-409]d\-mmm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9"/>
      <color theme="1"/>
      <name val="Arial"/>
      <family val="2"/>
    </font>
    <font>
      <b/>
      <sz val="11"/>
      <name val="Calibri"/>
      <family val="2"/>
    </font>
    <font>
      <b/>
      <sz val="10"/>
      <color theme="1"/>
      <name val="Comic Sans MS"/>
      <family val="4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4" fillId="0" borderId="6" xfId="2" applyBorder="1"/>
    <xf numFmtId="0" fontId="0" fillId="0" borderId="0" xfId="3" applyFont="1"/>
    <xf numFmtId="49" fontId="5" fillId="0" borderId="0" xfId="0" applyNumberFormat="1" applyFont="1"/>
    <xf numFmtId="0" fontId="0" fillId="0" borderId="0" xfId="0" applyAlignment="1">
      <alignment horizontal="left"/>
    </xf>
    <xf numFmtId="3" fontId="6" fillId="0" borderId="0" xfId="0" applyNumberFormat="1" applyFont="1"/>
    <xf numFmtId="49" fontId="5" fillId="2" borderId="0" xfId="0" applyNumberFormat="1" applyFont="1" applyFill="1"/>
    <xf numFmtId="49" fontId="5" fillId="2" borderId="0" xfId="0" applyNumberFormat="1" applyFont="1" applyFill="1" applyAlignment="1">
      <alignment horizontal="left"/>
    </xf>
    <xf numFmtId="164" fontId="5" fillId="2" borderId="0" xfId="0" applyNumberFormat="1" applyFont="1" applyFill="1"/>
    <xf numFmtId="165" fontId="5" fillId="2" borderId="0" xfId="1" applyNumberFormat="1" applyFont="1" applyFill="1" applyAlignment="1"/>
    <xf numFmtId="0" fontId="2" fillId="2" borderId="7" xfId="0" applyFont="1" applyFill="1" applyBorder="1"/>
    <xf numFmtId="49" fontId="7" fillId="2" borderId="7" xfId="0" applyNumberFormat="1" applyFont="1" applyFill="1" applyBorder="1" applyAlignment="1">
      <alignment horizontal="center"/>
    </xf>
    <xf numFmtId="14" fontId="2" fillId="2" borderId="3" xfId="0" quotePrefix="1" applyNumberFormat="1" applyFont="1" applyFill="1" applyBorder="1" applyAlignment="1">
      <alignment horizontal="center" vertical="center"/>
    </xf>
    <xf numFmtId="164" fontId="0" fillId="0" borderId="0" xfId="0" applyNumberFormat="1"/>
    <xf numFmtId="49" fontId="0" fillId="0" borderId="0" xfId="0" quotePrefix="1" applyNumberFormat="1"/>
    <xf numFmtId="0" fontId="2" fillId="2" borderId="0" xfId="0" applyFont="1" applyFill="1"/>
    <xf numFmtId="14" fontId="0" fillId="0" borderId="0" xfId="0" applyNumberFormat="1"/>
    <xf numFmtId="0" fontId="8" fillId="0" borderId="0" xfId="0" applyFont="1"/>
    <xf numFmtId="0" fontId="10" fillId="0" borderId="0" xfId="0" applyFont="1"/>
    <xf numFmtId="165" fontId="8" fillId="0" borderId="0" xfId="0" applyNumberFormat="1" applyFont="1"/>
    <xf numFmtId="165" fontId="10" fillId="0" borderId="0" xfId="0" applyNumberFormat="1" applyFont="1"/>
    <xf numFmtId="165" fontId="0" fillId="0" borderId="0" xfId="0" applyNumberFormat="1"/>
    <xf numFmtId="166" fontId="8" fillId="0" borderId="0" xfId="0" applyNumberFormat="1" applyFont="1"/>
    <xf numFmtId="166" fontId="10" fillId="0" borderId="0" xfId="0" applyNumberFormat="1" applyFont="1"/>
    <xf numFmtId="166" fontId="0" fillId="0" borderId="0" xfId="0" applyNumberFormat="1"/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9" fillId="0" borderId="8" xfId="0" applyNumberFormat="1" applyFont="1" applyBorder="1" applyAlignment="1">
      <alignment horizontal="center" vertical="center"/>
    </xf>
    <xf numFmtId="164" fontId="2" fillId="0" borderId="0" xfId="0" applyNumberFormat="1" applyFont="1"/>
    <xf numFmtId="0" fontId="9" fillId="0" borderId="8" xfId="0" applyFont="1" applyBorder="1" applyAlignment="1">
      <alignment horizontal="center" vertical="center"/>
    </xf>
    <xf numFmtId="165" fontId="9" fillId="0" borderId="8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9" fillId="0" borderId="8" xfId="0" applyNumberFormat="1" applyFont="1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COPY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HASILIN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Create%20OW" TargetMode="External"/><Relationship Id="rId1" Type="http://schemas.openxmlformats.org/officeDocument/2006/relationships/hyperlink" Target="../Create%20O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3</v>
      </c>
      <c r="L1" s="8" t="s">
        <v>45</v>
      </c>
      <c r="FZ1">
        <f ca="1">TODAY()</f>
        <v>45348</v>
      </c>
      <c r="GA1" s="6" t="str">
        <f ca="1">$GA$2&amp;$GA$3&amp;RIGHT($GA$4,2)</f>
        <v>26Feb24</v>
      </c>
      <c r="GB1">
        <v>1</v>
      </c>
      <c r="GC1" t="s">
        <v>4</v>
      </c>
    </row>
    <row r="2" spans="1:185" x14ac:dyDescent="0.25">
      <c r="A2" s="1"/>
      <c r="K2" s="4" t="s">
        <v>0</v>
      </c>
      <c r="L2" s="5" t="s">
        <v>2</v>
      </c>
      <c r="GA2">
        <f ca="1">DAY($FZ$1)</f>
        <v>26</v>
      </c>
      <c r="GB2">
        <v>2</v>
      </c>
      <c r="GC2" t="s">
        <v>5</v>
      </c>
    </row>
    <row r="3" spans="1:185" ht="15.75" thickBot="1" x14ac:dyDescent="0.3">
      <c r="A3" s="1"/>
      <c r="K3" s="3" t="s">
        <v>1</v>
      </c>
      <c r="L3" s="19" t="s">
        <v>47</v>
      </c>
      <c r="N3" t="str">
        <f ca="1">TEXT(TODAY(),"DD-MM-YY")</f>
        <v>26-02-24</v>
      </c>
      <c r="FZ3">
        <f ca="1">MONTH($FZ$1)</f>
        <v>2</v>
      </c>
      <c r="GA3" t="str">
        <f ca="1">VLOOKUP($FZ$3,$GB$1:$GC$12,2,0)</f>
        <v>Feb</v>
      </c>
      <c r="GB3">
        <v>3</v>
      </c>
      <c r="GC3" t="s">
        <v>6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7</v>
      </c>
    </row>
    <row r="5" spans="1:185" x14ac:dyDescent="0.25">
      <c r="A5" s="1"/>
      <c r="B5" s="1"/>
      <c r="GB5">
        <v>5</v>
      </c>
      <c r="GC5" t="s">
        <v>8</v>
      </c>
    </row>
    <row r="6" spans="1:185" x14ac:dyDescent="0.25">
      <c r="A6" s="1"/>
      <c r="B6" s="1"/>
      <c r="GB6">
        <v>6</v>
      </c>
      <c r="GC6" t="s">
        <v>9</v>
      </c>
    </row>
    <row r="7" spans="1:185" ht="14.45" customHeight="1" x14ac:dyDescent="0.25">
      <c r="A7" s="1"/>
      <c r="B7" s="1"/>
      <c r="GB7">
        <v>7</v>
      </c>
      <c r="GC7" t="s">
        <v>10</v>
      </c>
    </row>
    <row r="8" spans="1:185" x14ac:dyDescent="0.25">
      <c r="A8" s="1"/>
      <c r="B8" s="1"/>
      <c r="GB8">
        <v>8</v>
      </c>
      <c r="GC8" t="s">
        <v>11</v>
      </c>
    </row>
    <row r="9" spans="1:185" x14ac:dyDescent="0.25">
      <c r="A9" s="1"/>
      <c r="B9" s="1"/>
      <c r="L9" t="s">
        <v>46</v>
      </c>
      <c r="GB9">
        <v>9</v>
      </c>
      <c r="GC9" t="s">
        <v>12</v>
      </c>
    </row>
    <row r="10" spans="1:185" x14ac:dyDescent="0.25">
      <c r="A10" s="1"/>
      <c r="B10" s="1"/>
      <c r="L10" s="7" t="s">
        <v>45</v>
      </c>
      <c r="GB10">
        <v>10</v>
      </c>
      <c r="GC10" t="s">
        <v>13</v>
      </c>
    </row>
    <row r="11" spans="1:185" x14ac:dyDescent="0.25">
      <c r="A11" s="1"/>
      <c r="B11" s="1"/>
      <c r="GB11">
        <v>11</v>
      </c>
      <c r="GC11" t="s">
        <v>14</v>
      </c>
    </row>
    <row r="12" spans="1:185" x14ac:dyDescent="0.25">
      <c r="A12" s="1"/>
      <c r="B12" s="1"/>
      <c r="GB12">
        <v>12</v>
      </c>
      <c r="GC12" t="s">
        <v>15</v>
      </c>
    </row>
    <row r="13" spans="1:185" x14ac:dyDescent="0.25">
      <c r="A13" s="1"/>
      <c r="B13" s="1"/>
      <c r="D13" s="9"/>
      <c r="E13" s="9"/>
      <c r="F13" s="9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00000000-0004-0000-0000-000001000000}"/>
    <hyperlink ref="L10" r:id="rId2" xr:uid="{DE3C38B5-B5EA-468E-B110-35ECCC6D7F7D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26A8-B5FD-4B63-93F6-2AC5EEC67591}">
  <sheetPr codeName="Sheet1"/>
  <dimension ref="A1:W2"/>
  <sheetViews>
    <sheetView topLeftCell="J1" workbookViewId="0">
      <selection activeCell="N2" sqref="N2"/>
    </sheetView>
  </sheetViews>
  <sheetFormatPr defaultRowHeight="15" x14ac:dyDescent="0.25"/>
  <cols>
    <col min="1" max="1" width="14.7109375" bestFit="1" customWidth="1"/>
    <col min="2" max="2" width="16" bestFit="1" customWidth="1"/>
    <col min="3" max="3" width="8" bestFit="1" customWidth="1"/>
    <col min="5" max="5" width="10.7109375" bestFit="1" customWidth="1"/>
    <col min="6" max="6" width="17.85546875" bestFit="1" customWidth="1"/>
    <col min="7" max="7" width="32.140625" bestFit="1" customWidth="1"/>
    <col min="8" max="8" width="12.7109375" bestFit="1" customWidth="1"/>
    <col min="9" max="9" width="15.5703125" bestFit="1" customWidth="1"/>
    <col min="10" max="10" width="15.28515625" bestFit="1" customWidth="1"/>
    <col min="12" max="12" width="8.5703125" bestFit="1" customWidth="1"/>
    <col min="13" max="13" width="6" bestFit="1" customWidth="1"/>
    <col min="14" max="14" width="16.140625" bestFit="1" customWidth="1"/>
    <col min="15" max="15" width="8" bestFit="1" customWidth="1"/>
    <col min="16" max="16" width="10.28515625" bestFit="1" customWidth="1"/>
    <col min="17" max="17" width="14.140625" bestFit="1" customWidth="1"/>
    <col min="18" max="18" width="3.7109375" bestFit="1" customWidth="1"/>
    <col min="19" max="19" width="4.7109375" bestFit="1" customWidth="1"/>
    <col min="20" max="20" width="15.5703125" bestFit="1" customWidth="1"/>
    <col min="21" max="21" width="4.7109375" bestFit="1" customWidth="1"/>
    <col min="22" max="22" width="12.85546875" bestFit="1" customWidth="1"/>
    <col min="23" max="23" width="12" bestFit="1" customWidth="1"/>
  </cols>
  <sheetData>
    <row r="1" spans="1:23" x14ac:dyDescent="0.25">
      <c r="A1" s="13" t="s">
        <v>16</v>
      </c>
      <c r="B1" s="14" t="s">
        <v>17</v>
      </c>
      <c r="C1" s="13" t="s">
        <v>18</v>
      </c>
      <c r="D1" s="13" t="s">
        <v>19</v>
      </c>
      <c r="E1" s="15" t="s">
        <v>20</v>
      </c>
      <c r="F1" s="15" t="s">
        <v>21</v>
      </c>
      <c r="G1" s="13" t="s">
        <v>22</v>
      </c>
      <c r="H1" s="13" t="s">
        <v>23</v>
      </c>
      <c r="I1" s="16" t="s">
        <v>24</v>
      </c>
      <c r="J1" s="16" t="s">
        <v>25</v>
      </c>
      <c r="K1" s="16" t="s">
        <v>26</v>
      </c>
      <c r="L1" s="13" t="s">
        <v>27</v>
      </c>
      <c r="M1" s="13" t="s">
        <v>28</v>
      </c>
      <c r="N1" s="13" t="s">
        <v>29</v>
      </c>
      <c r="O1" s="13" t="s">
        <v>30</v>
      </c>
      <c r="P1" s="10" t="s">
        <v>31</v>
      </c>
      <c r="Q1" s="10" t="s">
        <v>32</v>
      </c>
      <c r="R1" s="10" t="s">
        <v>41</v>
      </c>
      <c r="S1" s="10" t="s">
        <v>33</v>
      </c>
      <c r="T1" s="10" t="s">
        <v>38</v>
      </c>
      <c r="U1" s="10" t="s">
        <v>42</v>
      </c>
      <c r="V1" s="17" t="s">
        <v>68</v>
      </c>
      <c r="W1" s="18" t="s">
        <v>69</v>
      </c>
    </row>
    <row r="2" spans="1:23" x14ac:dyDescent="0.25">
      <c r="A2" t="s">
        <v>39</v>
      </c>
      <c r="B2" s="11">
        <v>56146033</v>
      </c>
      <c r="C2">
        <v>1201</v>
      </c>
      <c r="D2" t="s">
        <v>34</v>
      </c>
      <c r="E2" s="20">
        <v>45344</v>
      </c>
      <c r="F2" s="20">
        <v>45344</v>
      </c>
      <c r="G2" t="s">
        <v>40</v>
      </c>
      <c r="I2">
        <v>1</v>
      </c>
      <c r="J2" s="12">
        <v>164203950</v>
      </c>
      <c r="K2" t="s">
        <v>35</v>
      </c>
      <c r="L2" t="s">
        <v>35</v>
      </c>
      <c r="M2" t="s">
        <v>36</v>
      </c>
      <c r="N2" s="21" t="s">
        <v>48</v>
      </c>
      <c r="O2" t="s">
        <v>37</v>
      </c>
      <c r="P2" t="s">
        <v>43</v>
      </c>
      <c r="Q2" t="s">
        <v>44</v>
      </c>
      <c r="V2">
        <v>24001412</v>
      </c>
      <c r="W2">
        <v>24001251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F4D32-3E5D-4CB5-9C48-5B2295B5F608}">
  <sheetPr codeName="Sheet3"/>
  <dimension ref="A1:AF2"/>
  <sheetViews>
    <sheetView workbookViewId="0"/>
  </sheetViews>
  <sheetFormatPr defaultRowHeight="15" x14ac:dyDescent="0.25"/>
  <cols>
    <col min="1" max="1" width="9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5703125" style="20" bestFit="1" customWidth="1"/>
    <col min="6" max="6" width="17.5703125" style="20" bestFit="1" customWidth="1"/>
    <col min="7" max="7" width="32.140625" bestFit="1" customWidth="1"/>
    <col min="8" max="8" width="12.5703125" bestFit="1" customWidth="1"/>
    <col min="9" max="9" width="14.42578125" bestFit="1" customWidth="1"/>
    <col min="10" max="10" width="13.85546875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16" bestFit="1" customWidth="1"/>
    <col min="15" max="15" width="7.85546875" bestFit="1" customWidth="1"/>
    <col min="16" max="16" width="9.7109375" bestFit="1" customWidth="1"/>
    <col min="17" max="17" width="13.5703125" bestFit="1" customWidth="1"/>
    <col min="18" max="18" width="2" bestFit="1" customWidth="1"/>
    <col min="19" max="19" width="4.7109375" bestFit="1" customWidth="1"/>
    <col min="20" max="20" width="15.5703125" bestFit="1" customWidth="1"/>
    <col min="21" max="21" width="29.42578125" bestFit="1" customWidth="1"/>
    <col min="22" max="22" width="15.5703125" bestFit="1" customWidth="1"/>
    <col min="27" max="27" width="9" bestFit="1" customWidth="1"/>
  </cols>
  <sheetData>
    <row r="1" spans="1:32" s="6" customFormat="1" x14ac:dyDescent="0.25">
      <c r="A1" s="22" t="s">
        <v>49</v>
      </c>
      <c r="B1" s="6" t="s">
        <v>17</v>
      </c>
      <c r="C1" s="6" t="s">
        <v>18</v>
      </c>
      <c r="D1" s="6" t="s">
        <v>19</v>
      </c>
      <c r="E1" s="35" t="s">
        <v>20</v>
      </c>
      <c r="F1" s="35" t="s">
        <v>21</v>
      </c>
      <c r="G1" s="6" t="s">
        <v>22</v>
      </c>
      <c r="H1" s="6" t="s">
        <v>23</v>
      </c>
      <c r="I1" s="6" t="s">
        <v>24</v>
      </c>
      <c r="J1" s="6" t="s">
        <v>25</v>
      </c>
      <c r="K1" s="6" t="s">
        <v>26</v>
      </c>
      <c r="L1" s="6" t="s">
        <v>27</v>
      </c>
      <c r="M1" s="6" t="s">
        <v>28</v>
      </c>
      <c r="N1" s="6" t="s">
        <v>29</v>
      </c>
      <c r="O1" s="6" t="s">
        <v>30</v>
      </c>
      <c r="P1" s="6" t="s">
        <v>31</v>
      </c>
      <c r="Q1" s="6" t="s">
        <v>32</v>
      </c>
      <c r="S1" s="10" t="s">
        <v>33</v>
      </c>
      <c r="T1" s="10" t="s">
        <v>38</v>
      </c>
      <c r="U1" s="22"/>
      <c r="V1" s="10"/>
      <c r="AA1"/>
      <c r="AB1"/>
      <c r="AC1"/>
      <c r="AD1" s="23"/>
      <c r="AE1" s="23"/>
      <c r="AF1"/>
    </row>
    <row r="2" spans="1:32" x14ac:dyDescent="0.25">
      <c r="A2">
        <v>24001412</v>
      </c>
      <c r="B2">
        <v>56146033</v>
      </c>
      <c r="C2">
        <v>1201</v>
      </c>
      <c r="D2" t="s">
        <v>34</v>
      </c>
      <c r="E2" s="20">
        <v>45344</v>
      </c>
      <c r="F2" s="20">
        <v>45344</v>
      </c>
      <c r="G2" t="s">
        <v>40</v>
      </c>
      <c r="I2">
        <v>1</v>
      </c>
      <c r="J2">
        <v>164203950</v>
      </c>
      <c r="K2" t="s">
        <v>35</v>
      </c>
      <c r="L2" t="s">
        <v>35</v>
      </c>
      <c r="M2" t="s">
        <v>36</v>
      </c>
      <c r="N2" t="s">
        <v>48</v>
      </c>
      <c r="O2" t="s">
        <v>37</v>
      </c>
      <c r="P2" t="s">
        <v>43</v>
      </c>
      <c r="Q2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3EDA0-6B2E-4D1E-8373-A0DCDE604137}">
  <sheetPr codeName="Sheet7"/>
  <dimension ref="A2:O7"/>
  <sheetViews>
    <sheetView topLeftCell="M1" workbookViewId="0">
      <selection activeCell="Q5" sqref="Q5"/>
    </sheetView>
  </sheetViews>
  <sheetFormatPr defaultRowHeight="15" x14ac:dyDescent="0.25"/>
  <cols>
    <col min="1" max="1" width="4.7109375" style="31" bestFit="1" customWidth="1"/>
    <col min="2" max="2" width="4.28515625" bestFit="1" customWidth="1"/>
    <col min="3" max="3" width="11.5703125" bestFit="1" customWidth="1"/>
    <col min="4" max="4" width="4.85546875" bestFit="1" customWidth="1"/>
    <col min="5" max="5" width="8.85546875" bestFit="1" customWidth="1"/>
    <col min="6" max="6" width="7.42578125" bestFit="1" customWidth="1"/>
    <col min="7" max="7" width="10.28515625" bestFit="1" customWidth="1"/>
    <col min="9" max="9" width="8.5703125" style="28" bestFit="1" customWidth="1"/>
    <col min="10" max="10" width="5.28515625" style="28" bestFit="1" customWidth="1"/>
    <col min="11" max="11" width="12" style="28" bestFit="1" customWidth="1"/>
    <col min="12" max="12" width="4.140625" bestFit="1" customWidth="1"/>
    <col min="13" max="13" width="4.7109375" bestFit="1" customWidth="1"/>
  </cols>
  <sheetData>
    <row r="2" spans="1:15" ht="16.5" x14ac:dyDescent="0.35">
      <c r="A2" s="29"/>
      <c r="B2" s="24"/>
      <c r="C2" s="39" t="s">
        <v>54</v>
      </c>
      <c r="D2" s="39"/>
      <c r="E2" s="39"/>
      <c r="F2" s="39"/>
      <c r="G2" s="39"/>
      <c r="H2" s="39"/>
      <c r="I2" s="39"/>
      <c r="J2" s="39"/>
      <c r="K2" s="26"/>
      <c r="L2" s="24"/>
      <c r="M2" s="24"/>
      <c r="N2" s="24"/>
    </row>
    <row r="3" spans="1:15" ht="16.5" x14ac:dyDescent="0.35">
      <c r="A3" s="29" t="s">
        <v>67</v>
      </c>
      <c r="B3" s="24"/>
      <c r="C3" s="24"/>
      <c r="D3" s="24"/>
      <c r="E3" s="24"/>
      <c r="F3" s="24"/>
      <c r="G3" s="24"/>
      <c r="H3" s="24"/>
      <c r="I3" s="26"/>
      <c r="J3" s="26"/>
      <c r="K3" s="26"/>
      <c r="L3" s="24"/>
      <c r="M3" s="24"/>
      <c r="N3" s="24"/>
    </row>
    <row r="4" spans="1:15" ht="16.5" x14ac:dyDescent="0.35">
      <c r="A4" s="29"/>
      <c r="B4" s="24"/>
      <c r="C4" s="24"/>
      <c r="D4" s="24"/>
      <c r="E4" s="24"/>
      <c r="F4" s="24"/>
      <c r="G4" s="24"/>
      <c r="H4" s="24"/>
      <c r="I4" s="26"/>
      <c r="J4" s="26"/>
      <c r="K4" s="26"/>
      <c r="L4" s="24"/>
      <c r="M4" s="24"/>
      <c r="N4" s="24"/>
    </row>
    <row r="5" spans="1:15" x14ac:dyDescent="0.25">
      <c r="A5" s="40" t="s">
        <v>55</v>
      </c>
      <c r="B5" s="36" t="s">
        <v>49</v>
      </c>
      <c r="C5" s="36" t="s">
        <v>56</v>
      </c>
      <c r="D5" s="32" t="s">
        <v>42</v>
      </c>
      <c r="E5" s="32" t="s">
        <v>58</v>
      </c>
      <c r="F5" s="36" t="s">
        <v>60</v>
      </c>
      <c r="G5" s="36" t="s">
        <v>61</v>
      </c>
      <c r="H5" s="32"/>
      <c r="I5" s="37" t="s">
        <v>62</v>
      </c>
      <c r="J5" s="37"/>
      <c r="K5" s="37" t="s">
        <v>64</v>
      </c>
      <c r="L5" s="36" t="s">
        <v>65</v>
      </c>
      <c r="M5" s="36" t="s">
        <v>33</v>
      </c>
      <c r="N5" s="38" t="s">
        <v>66</v>
      </c>
      <c r="O5" s="33"/>
    </row>
    <row r="6" spans="1:15" x14ac:dyDescent="0.25">
      <c r="A6" s="40"/>
      <c r="B6" s="36"/>
      <c r="C6" s="36"/>
      <c r="D6" s="32" t="s">
        <v>57</v>
      </c>
      <c r="E6" s="32" t="s">
        <v>59</v>
      </c>
      <c r="F6" s="36"/>
      <c r="G6" s="36"/>
      <c r="H6" s="32"/>
      <c r="I6" s="34" t="s">
        <v>63</v>
      </c>
      <c r="J6" s="34" t="s">
        <v>34</v>
      </c>
      <c r="K6" s="37"/>
      <c r="L6" s="36"/>
      <c r="M6" s="36"/>
      <c r="N6" s="38"/>
      <c r="O6" s="33"/>
    </row>
    <row r="7" spans="1:15" x14ac:dyDescent="0.25">
      <c r="A7" s="30"/>
      <c r="B7" s="25"/>
      <c r="C7" s="25"/>
      <c r="D7" s="25"/>
      <c r="E7" s="25"/>
      <c r="F7" s="25"/>
      <c r="G7" s="25"/>
      <c r="H7" s="25"/>
      <c r="I7" s="27"/>
      <c r="J7" s="27"/>
      <c r="K7" s="27"/>
      <c r="L7" s="25"/>
      <c r="M7" s="25"/>
    </row>
  </sheetData>
  <mergeCells count="11">
    <mergeCell ref="A5:A6"/>
    <mergeCell ref="B5:B6"/>
    <mergeCell ref="C5:C6"/>
    <mergeCell ref="F5:F6"/>
    <mergeCell ref="G5:G6"/>
    <mergeCell ref="L5:L6"/>
    <mergeCell ref="I5:J5"/>
    <mergeCell ref="M5:M6"/>
    <mergeCell ref="N5:N6"/>
    <mergeCell ref="C2:J2"/>
    <mergeCell ref="K5:K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BE8F-6638-430B-B414-BE4D92550432}">
  <sheetPr codeName="Sheet4"/>
  <dimension ref="A1:I2"/>
  <sheetViews>
    <sheetView workbookViewId="0">
      <selection activeCell="D23" sqref="D23"/>
    </sheetView>
  </sheetViews>
  <sheetFormatPr defaultRowHeight="15" x14ac:dyDescent="0.25"/>
  <cols>
    <col min="1" max="1" width="3.85546875" bestFit="1" customWidth="1"/>
    <col min="2" max="2" width="11.7109375" bestFit="1" customWidth="1"/>
    <col min="3" max="3" width="9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5703125" bestFit="1" customWidth="1"/>
    <col min="8" max="8" width="17.5703125" bestFit="1" customWidth="1"/>
  </cols>
  <sheetData>
    <row r="1" spans="1:9" x14ac:dyDescent="0.25">
      <c r="A1" t="s">
        <v>51</v>
      </c>
      <c r="B1" t="s">
        <v>52</v>
      </c>
      <c r="C1" t="s">
        <v>49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50</v>
      </c>
    </row>
    <row r="2" spans="1:9" x14ac:dyDescent="0.25">
      <c r="A2">
        <v>1</v>
      </c>
      <c r="B2" t="s">
        <v>53</v>
      </c>
      <c r="C2">
        <v>24001412</v>
      </c>
      <c r="D2">
        <v>56146033</v>
      </c>
      <c r="E2">
        <v>1201</v>
      </c>
      <c r="F2" t="s">
        <v>34</v>
      </c>
      <c r="G2" s="23">
        <v>45344</v>
      </c>
      <c r="H2" s="23">
        <v>45344</v>
      </c>
      <c r="I2">
        <v>24001251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E36B5-EFE3-4DB1-BD7F-E36D60D0061C}">
  <sheetPr codeName="Sheet5"/>
  <dimension ref="A1:Q2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6" t="s">
        <v>22</v>
      </c>
      <c r="H1" s="6" t="s">
        <v>23</v>
      </c>
      <c r="I1" s="6" t="s">
        <v>24</v>
      </c>
      <c r="J1" s="6" t="s">
        <v>25</v>
      </c>
      <c r="K1" s="6" t="s">
        <v>26</v>
      </c>
      <c r="L1" s="6" t="s">
        <v>27</v>
      </c>
      <c r="M1" s="6" t="s">
        <v>28</v>
      </c>
      <c r="N1" s="6" t="s">
        <v>29</v>
      </c>
      <c r="O1" s="6" t="s">
        <v>30</v>
      </c>
      <c r="P1" s="6" t="s">
        <v>31</v>
      </c>
      <c r="Q1" s="6" t="s">
        <v>32</v>
      </c>
    </row>
    <row r="2" spans="1:17" x14ac:dyDescent="0.25">
      <c r="A2">
        <v>24001412</v>
      </c>
      <c r="B2">
        <v>56146033</v>
      </c>
      <c r="C2">
        <v>1201</v>
      </c>
      <c r="D2" t="s">
        <v>34</v>
      </c>
      <c r="E2">
        <v>45344</v>
      </c>
      <c r="F2">
        <v>45344</v>
      </c>
      <c r="G2" t="s">
        <v>40</v>
      </c>
      <c r="I2">
        <v>1</v>
      </c>
      <c r="J2">
        <v>164203950</v>
      </c>
      <c r="K2" t="s">
        <v>35</v>
      </c>
      <c r="L2" t="s">
        <v>35</v>
      </c>
      <c r="M2" t="s">
        <v>36</v>
      </c>
      <c r="N2" t="s">
        <v>48</v>
      </c>
      <c r="O2" t="s">
        <v>37</v>
      </c>
      <c r="P2" t="s">
        <v>43</v>
      </c>
      <c r="Q2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Database Supplier</vt:lpstr>
      <vt:lpstr>Input User</vt:lpstr>
      <vt:lpstr>Input RPA</vt:lpstr>
      <vt:lpstr>Hasil</vt:lpstr>
      <vt:lpstr>Bantuan</vt:lpstr>
      <vt:lpstr>SheetRun1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2024-02-26T01:13:45Z</dcterms:modified>
</cp:coreProperties>
</file>