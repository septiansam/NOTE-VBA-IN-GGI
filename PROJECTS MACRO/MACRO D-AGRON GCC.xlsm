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Y:\BUYER EXPORT\MACRO EXIM\PAKE YG INI\UPDATE MACRO\"/>
    </mc:Choice>
  </mc:AlternateContent>
  <bookViews>
    <workbookView xWindow="0" yWindow="0" windowWidth="20490" windowHeight="7755" firstSheet="2" activeTab="5"/>
  </bookViews>
  <sheets>
    <sheet name="DB" sheetId="2" state="hidden" r:id="rId1"/>
    <sheet name="TEMPLATE" sheetId="146" state="hidden" r:id="rId2"/>
    <sheet name="HOME" sheetId="53" r:id="rId3"/>
    <sheet name="PACKING LIST" sheetId="463" r:id="rId4"/>
    <sheet name="LOAD" sheetId="465" r:id="rId5"/>
    <sheet name="INVOICE" sheetId="466" r:id="rId6"/>
  </sheets>
  <functionGroups builtInGroupCount="18"/>
  <calcPr calcId="15251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AC3" i="465" l="1"/>
  <c r="AC4" i="465"/>
  <c r="AC5" i="465"/>
  <c r="AC6" i="465"/>
  <c r="AC7" i="465"/>
  <c r="AC8" i="465"/>
  <c r="AC9" i="465"/>
  <c r="AC10" i="465"/>
  <c r="AC11" i="465"/>
  <c r="AC12" i="465"/>
  <c r="AC13" i="465"/>
  <c r="AC14" i="465"/>
  <c r="AC15" i="465"/>
  <c r="AC16" i="465"/>
  <c r="AC17" i="465"/>
  <c r="AC18" i="465"/>
  <c r="AC19" i="465"/>
  <c r="AC20" i="465"/>
  <c r="AC21" i="465"/>
  <c r="AC22" i="465"/>
  <c r="AC23" i="465"/>
  <c r="AC24" i="465"/>
  <c r="AC25" i="465"/>
  <c r="AC26" i="465"/>
  <c r="AC27" i="465"/>
  <c r="AC28" i="465"/>
  <c r="AC29" i="465"/>
  <c r="AC30" i="465"/>
  <c r="AC31" i="465"/>
  <c r="AC32" i="465"/>
  <c r="AC33" i="465"/>
  <c r="AC34" i="465"/>
  <c r="AC35" i="465"/>
  <c r="AC36" i="465"/>
  <c r="AC37" i="465"/>
  <c r="AC38" i="465"/>
  <c r="AC39" i="465"/>
  <c r="AC40" i="465"/>
  <c r="AC41" i="465"/>
  <c r="AC42" i="465"/>
  <c r="AC43" i="465"/>
  <c r="AC44" i="465"/>
  <c r="AC45" i="465"/>
  <c r="AC46" i="465"/>
  <c r="AC47" i="465"/>
  <c r="AC48" i="465"/>
  <c r="AC49" i="465"/>
  <c r="AC50" i="465"/>
  <c r="AC51" i="465"/>
  <c r="AC52" i="465"/>
  <c r="AC53" i="465"/>
  <c r="AC54" i="465"/>
  <c r="AC55" i="465"/>
  <c r="AC56" i="465"/>
  <c r="AC57" i="465"/>
  <c r="AC58" i="465"/>
  <c r="AC59" i="465"/>
  <c r="AC60" i="465"/>
  <c r="AC61" i="465"/>
  <c r="AC62" i="465"/>
  <c r="AC63" i="465"/>
  <c r="AC64" i="465"/>
  <c r="AC65" i="465"/>
  <c r="AC66" i="465"/>
  <c r="AC67" i="465"/>
  <c r="AC68" i="465"/>
  <c r="AC69" i="465"/>
  <c r="AC70" i="465"/>
  <c r="AC71" i="465"/>
  <c r="AC72" i="465"/>
  <c r="AC73" i="465"/>
  <c r="AC74" i="465"/>
  <c r="AC75" i="465"/>
  <c r="AC76" i="465"/>
  <c r="AC77" i="465"/>
  <c r="AC78" i="465"/>
  <c r="AC79" i="465"/>
  <c r="AC80" i="465"/>
  <c r="AC81" i="465"/>
  <c r="AC82" i="465"/>
  <c r="K28" i="466"/>
  <c r="K29" i="466"/>
  <c r="K30" i="466"/>
  <c r="K31" i="466"/>
  <c r="K32" i="466"/>
  <c r="K33" i="466"/>
  <c r="K34" i="466"/>
  <c r="K35" i="466"/>
  <c r="K36" i="466"/>
  <c r="K37" i="466"/>
  <c r="K38" i="466"/>
  <c r="K39" i="466"/>
  <c r="K40" i="466"/>
  <c r="K41" i="466"/>
  <c r="K42" i="466"/>
  <c r="K43" i="466"/>
  <c r="K44" i="466"/>
  <c r="K45" i="466"/>
  <c r="K46" i="466"/>
  <c r="K47" i="466"/>
  <c r="K48" i="466"/>
  <c r="K49" i="466"/>
  <c r="K50" i="466"/>
  <c r="K51" i="466"/>
  <c r="K52" i="466"/>
  <c r="K53" i="466"/>
  <c r="K54" i="466"/>
  <c r="K55" i="466"/>
  <c r="K56" i="466"/>
  <c r="K57" i="466"/>
  <c r="K58" i="466"/>
  <c r="K59" i="466"/>
  <c r="K60" i="466"/>
  <c r="K61" i="466"/>
  <c r="K62" i="466"/>
  <c r="K63" i="466"/>
  <c r="K64" i="466"/>
  <c r="K65" i="466"/>
  <c r="K66" i="466"/>
  <c r="K67" i="466"/>
  <c r="K68" i="466"/>
  <c r="K69" i="466"/>
  <c r="K70" i="466"/>
  <c r="K71" i="466"/>
  <c r="K72" i="466"/>
  <c r="K73" i="466"/>
  <c r="K74" i="466"/>
  <c r="K75" i="466"/>
  <c r="K76" i="466"/>
  <c r="K77" i="466"/>
  <c r="K78" i="466"/>
  <c r="K79" i="466"/>
  <c r="K80" i="466"/>
  <c r="K81" i="466"/>
  <c r="K82" i="466"/>
  <c r="K83" i="466"/>
  <c r="K84" i="466"/>
  <c r="K90" i="466"/>
  <c r="K89" i="466"/>
  <c r="I86" i="466"/>
  <c r="H86" i="466"/>
  <c r="R61" i="465"/>
  <c r="O61" i="465"/>
  <c r="N61" i="465"/>
  <c r="I61" i="465"/>
  <c r="F61" i="465"/>
  <c r="S59" i="465"/>
  <c r="K59" i="465"/>
  <c r="L59" i="465" s="1"/>
  <c r="H59" i="465"/>
  <c r="J59" i="465" s="1"/>
  <c r="S58" i="465"/>
  <c r="L58" i="465"/>
  <c r="M58" i="465" s="1"/>
  <c r="K58" i="465"/>
  <c r="J58" i="465"/>
  <c r="H58" i="465"/>
  <c r="T58" i="465" s="1"/>
  <c r="S57" i="465"/>
  <c r="K57" i="465"/>
  <c r="L57" i="465" s="1"/>
  <c r="H57" i="465"/>
  <c r="J57" i="465" s="1"/>
  <c r="S56" i="465"/>
  <c r="L56" i="465"/>
  <c r="M56" i="465" s="1"/>
  <c r="K56" i="465"/>
  <c r="J56" i="465"/>
  <c r="H56" i="465"/>
  <c r="T56" i="465" s="1"/>
  <c r="S55" i="465"/>
  <c r="K55" i="465"/>
  <c r="L55" i="465" s="1"/>
  <c r="H55" i="465"/>
  <c r="J55" i="465" s="1"/>
  <c r="S54" i="465"/>
  <c r="L54" i="465"/>
  <c r="M54" i="465" s="1"/>
  <c r="K54" i="465"/>
  <c r="J54" i="465"/>
  <c r="H54" i="465"/>
  <c r="T54" i="465" s="1"/>
  <c r="S53" i="465"/>
  <c r="K53" i="465"/>
  <c r="L53" i="465" s="1"/>
  <c r="H53" i="465"/>
  <c r="J53" i="465" s="1"/>
  <c r="S52" i="465"/>
  <c r="L52" i="465"/>
  <c r="M52" i="465" s="1"/>
  <c r="K52" i="465"/>
  <c r="J52" i="465"/>
  <c r="H52" i="465"/>
  <c r="T52" i="465" s="1"/>
  <c r="S51" i="465"/>
  <c r="K51" i="465"/>
  <c r="L51" i="465" s="1"/>
  <c r="H51" i="465"/>
  <c r="J51" i="465" s="1"/>
  <c r="S50" i="465"/>
  <c r="L50" i="465"/>
  <c r="M50" i="465" s="1"/>
  <c r="K50" i="465"/>
  <c r="J50" i="465"/>
  <c r="H50" i="465"/>
  <c r="T50" i="465" s="1"/>
  <c r="S49" i="465"/>
  <c r="K49" i="465"/>
  <c r="L49" i="465" s="1"/>
  <c r="H49" i="465"/>
  <c r="J49" i="465" s="1"/>
  <c r="S48" i="465"/>
  <c r="L48" i="465"/>
  <c r="M48" i="465" s="1"/>
  <c r="K48" i="465"/>
  <c r="J48" i="465"/>
  <c r="H48" i="465"/>
  <c r="T48" i="465" s="1"/>
  <c r="S47" i="465"/>
  <c r="K47" i="465"/>
  <c r="L47" i="465" s="1"/>
  <c r="H47" i="465"/>
  <c r="J47" i="465" s="1"/>
  <c r="S46" i="465"/>
  <c r="L46" i="465"/>
  <c r="M46" i="465" s="1"/>
  <c r="K46" i="465"/>
  <c r="J46" i="465"/>
  <c r="H46" i="465"/>
  <c r="T46" i="465" s="1"/>
  <c r="S45" i="465"/>
  <c r="K45" i="465"/>
  <c r="L45" i="465" s="1"/>
  <c r="H45" i="465"/>
  <c r="J45" i="465" s="1"/>
  <c r="S44" i="465"/>
  <c r="L44" i="465"/>
  <c r="M44" i="465" s="1"/>
  <c r="K44" i="465"/>
  <c r="J44" i="465"/>
  <c r="H44" i="465"/>
  <c r="T44" i="465" s="1"/>
  <c r="S43" i="465"/>
  <c r="K43" i="465"/>
  <c r="L43" i="465" s="1"/>
  <c r="H43" i="465"/>
  <c r="J43" i="465" s="1"/>
  <c r="S42" i="465"/>
  <c r="L42" i="465"/>
  <c r="M42" i="465" s="1"/>
  <c r="K42" i="465"/>
  <c r="J42" i="465"/>
  <c r="H42" i="465"/>
  <c r="T42" i="465" s="1"/>
  <c r="S41" i="465"/>
  <c r="K41" i="465"/>
  <c r="L41" i="465" s="1"/>
  <c r="H41" i="465"/>
  <c r="J41" i="465" s="1"/>
  <c r="S40" i="465"/>
  <c r="L40" i="465"/>
  <c r="M40" i="465" s="1"/>
  <c r="K40" i="465"/>
  <c r="J40" i="465"/>
  <c r="H40" i="465"/>
  <c r="T40" i="465" s="1"/>
  <c r="S39" i="465"/>
  <c r="K39" i="465"/>
  <c r="L39" i="465" s="1"/>
  <c r="H39" i="465"/>
  <c r="J39" i="465" s="1"/>
  <c r="S38" i="465"/>
  <c r="L38" i="465"/>
  <c r="M38" i="465" s="1"/>
  <c r="K38" i="465"/>
  <c r="J38" i="465"/>
  <c r="H38" i="465"/>
  <c r="T38" i="465" s="1"/>
  <c r="S37" i="465"/>
  <c r="K37" i="465"/>
  <c r="L37" i="465" s="1"/>
  <c r="H37" i="465"/>
  <c r="J37" i="465" s="1"/>
  <c r="S36" i="465"/>
  <c r="L36" i="465"/>
  <c r="M36" i="465" s="1"/>
  <c r="K36" i="465"/>
  <c r="J36" i="465"/>
  <c r="H36" i="465"/>
  <c r="T36" i="465" s="1"/>
  <c r="S35" i="465"/>
  <c r="K35" i="465"/>
  <c r="L35" i="465" s="1"/>
  <c r="H35" i="465"/>
  <c r="J35" i="465" s="1"/>
  <c r="S34" i="465"/>
  <c r="L34" i="465"/>
  <c r="M34" i="465" s="1"/>
  <c r="K34" i="465"/>
  <c r="J34" i="465"/>
  <c r="H34" i="465"/>
  <c r="T34" i="465" s="1"/>
  <c r="S33" i="465"/>
  <c r="K33" i="465"/>
  <c r="L33" i="465" s="1"/>
  <c r="H33" i="465"/>
  <c r="J33" i="465" s="1"/>
  <c r="S32" i="465"/>
  <c r="L32" i="465"/>
  <c r="M32" i="465" s="1"/>
  <c r="K32" i="465"/>
  <c r="J32" i="465"/>
  <c r="H32" i="465"/>
  <c r="T32" i="465" s="1"/>
  <c r="S31" i="465"/>
  <c r="K31" i="465"/>
  <c r="L31" i="465" s="1"/>
  <c r="H31" i="465"/>
  <c r="J31" i="465" s="1"/>
  <c r="S30" i="465"/>
  <c r="L30" i="465"/>
  <c r="M30" i="465" s="1"/>
  <c r="K30" i="465"/>
  <c r="J30" i="465"/>
  <c r="H30" i="465"/>
  <c r="T30" i="465" s="1"/>
  <c r="S29" i="465"/>
  <c r="K29" i="465"/>
  <c r="L29" i="465" s="1"/>
  <c r="H29" i="465"/>
  <c r="J29" i="465" s="1"/>
  <c r="S28" i="465"/>
  <c r="L28" i="465"/>
  <c r="M28" i="465" s="1"/>
  <c r="K28" i="465"/>
  <c r="J28" i="465"/>
  <c r="H28" i="465"/>
  <c r="T28" i="465" s="1"/>
  <c r="S27" i="465"/>
  <c r="K27" i="465"/>
  <c r="L27" i="465" s="1"/>
  <c r="H27" i="465"/>
  <c r="J27" i="465" s="1"/>
  <c r="S26" i="465"/>
  <c r="L26" i="465"/>
  <c r="M26" i="465" s="1"/>
  <c r="K26" i="465"/>
  <c r="J26" i="465"/>
  <c r="H26" i="465"/>
  <c r="T26" i="465" s="1"/>
  <c r="S25" i="465"/>
  <c r="K25" i="465"/>
  <c r="L25" i="465" s="1"/>
  <c r="H25" i="465"/>
  <c r="J25" i="465" s="1"/>
  <c r="S24" i="465"/>
  <c r="L24" i="465"/>
  <c r="M24" i="465" s="1"/>
  <c r="K24" i="465"/>
  <c r="J24" i="465"/>
  <c r="H24" i="465"/>
  <c r="T24" i="465" s="1"/>
  <c r="S23" i="465"/>
  <c r="K23" i="465"/>
  <c r="L23" i="465" s="1"/>
  <c r="H23" i="465"/>
  <c r="J23" i="465" s="1"/>
  <c r="S22" i="465"/>
  <c r="L22" i="465"/>
  <c r="M22" i="465" s="1"/>
  <c r="K22" i="465"/>
  <c r="J22" i="465"/>
  <c r="H22" i="465"/>
  <c r="T22" i="465" s="1"/>
  <c r="S21" i="465"/>
  <c r="K21" i="465"/>
  <c r="L21" i="465" s="1"/>
  <c r="H21" i="465"/>
  <c r="J21" i="465" s="1"/>
  <c r="S20" i="465"/>
  <c r="L20" i="465"/>
  <c r="M20" i="465" s="1"/>
  <c r="K20" i="465"/>
  <c r="J20" i="465"/>
  <c r="H20" i="465"/>
  <c r="T20" i="465" s="1"/>
  <c r="S19" i="465"/>
  <c r="K19" i="465"/>
  <c r="L19" i="465" s="1"/>
  <c r="H19" i="465"/>
  <c r="J19" i="465" s="1"/>
  <c r="S18" i="465"/>
  <c r="L18" i="465"/>
  <c r="M18" i="465" s="1"/>
  <c r="K18" i="465"/>
  <c r="J18" i="465"/>
  <c r="H18" i="465"/>
  <c r="T18" i="465" s="1"/>
  <c r="S17" i="465"/>
  <c r="K17" i="465"/>
  <c r="L17" i="465" s="1"/>
  <c r="M17" i="465" s="1"/>
  <c r="H17" i="465"/>
  <c r="J17" i="465" s="1"/>
  <c r="S16" i="465"/>
  <c r="L16" i="465"/>
  <c r="M16" i="465" s="1"/>
  <c r="K16" i="465"/>
  <c r="J16" i="465"/>
  <c r="H16" i="465"/>
  <c r="T16" i="465" s="1"/>
  <c r="S15" i="465"/>
  <c r="K15" i="465"/>
  <c r="L15" i="465" s="1"/>
  <c r="M15" i="465" s="1"/>
  <c r="H15" i="465"/>
  <c r="J15" i="465" s="1"/>
  <c r="S14" i="465"/>
  <c r="L14" i="465"/>
  <c r="M14" i="465" s="1"/>
  <c r="K14" i="465"/>
  <c r="J14" i="465"/>
  <c r="H14" i="465"/>
  <c r="T14" i="465" s="1"/>
  <c r="S13" i="465"/>
  <c r="K13" i="465"/>
  <c r="L13" i="465" s="1"/>
  <c r="M13" i="465" s="1"/>
  <c r="H13" i="465"/>
  <c r="J13" i="465" s="1"/>
  <c r="S12" i="465"/>
  <c r="L12" i="465"/>
  <c r="M12" i="465" s="1"/>
  <c r="K12" i="465"/>
  <c r="J12" i="465"/>
  <c r="H12" i="465"/>
  <c r="T12" i="465" s="1"/>
  <c r="S11" i="465"/>
  <c r="K11" i="465"/>
  <c r="L11" i="465" s="1"/>
  <c r="H11" i="465"/>
  <c r="S10" i="465"/>
  <c r="L10" i="465"/>
  <c r="M10" i="465" s="1"/>
  <c r="K10" i="465"/>
  <c r="J10" i="465"/>
  <c r="H10" i="465"/>
  <c r="T10" i="465" s="1"/>
  <c r="S9" i="465"/>
  <c r="K9" i="465"/>
  <c r="L9" i="465" s="1"/>
  <c r="H9" i="465"/>
  <c r="J9" i="465" s="1"/>
  <c r="S8" i="465"/>
  <c r="L8" i="465"/>
  <c r="M8" i="465" s="1"/>
  <c r="K8" i="465"/>
  <c r="J8" i="465"/>
  <c r="H8" i="465"/>
  <c r="T8" i="465" s="1"/>
  <c r="S7" i="465"/>
  <c r="K7" i="465"/>
  <c r="L7" i="465" s="1"/>
  <c r="H7" i="465"/>
  <c r="J7" i="465" s="1"/>
  <c r="S6" i="465"/>
  <c r="L6" i="465"/>
  <c r="M6" i="465" s="1"/>
  <c r="K6" i="465"/>
  <c r="J6" i="465"/>
  <c r="H6" i="465"/>
  <c r="T6" i="465" s="1"/>
  <c r="S5" i="465"/>
  <c r="K5" i="465"/>
  <c r="L5" i="465" s="1"/>
  <c r="H5" i="465"/>
  <c r="J5" i="465" s="1"/>
  <c r="S4" i="465"/>
  <c r="S61" i="465" s="1"/>
  <c r="L4" i="465"/>
  <c r="M4" i="465" s="1"/>
  <c r="K4" i="465"/>
  <c r="J4" i="465"/>
  <c r="H4" i="465"/>
  <c r="T4" i="465" s="1"/>
  <c r="S3" i="465"/>
  <c r="K3" i="465"/>
  <c r="H3" i="465"/>
  <c r="J3" i="465" s="1"/>
  <c r="K86" i="466" l="1"/>
  <c r="K92" i="466" s="1"/>
  <c r="T3" i="465"/>
  <c r="M5" i="465"/>
  <c r="T5" i="465"/>
  <c r="M7" i="465"/>
  <c r="T7" i="465"/>
  <c r="M9" i="465"/>
  <c r="T9" i="465"/>
  <c r="J11" i="465"/>
  <c r="J61" i="465" s="1"/>
  <c r="T11" i="465"/>
  <c r="K61" i="465"/>
  <c r="L3" i="465"/>
  <c r="M11" i="465"/>
  <c r="T13" i="465"/>
  <c r="T15" i="465"/>
  <c r="T17" i="465"/>
  <c r="M19" i="465"/>
  <c r="T19" i="465"/>
  <c r="M21" i="465"/>
  <c r="T21" i="465"/>
  <c r="M23" i="465"/>
  <c r="T23" i="465"/>
  <c r="M25" i="465"/>
  <c r="T25" i="465"/>
  <c r="M27" i="465"/>
  <c r="T27" i="465"/>
  <c r="M29" i="465"/>
  <c r="T29" i="465"/>
  <c r="M31" i="465"/>
  <c r="T31" i="465"/>
  <c r="M33" i="465"/>
  <c r="T33" i="465"/>
  <c r="M35" i="465"/>
  <c r="T35" i="465"/>
  <c r="M37" i="465"/>
  <c r="T37" i="465"/>
  <c r="M39" i="465"/>
  <c r="T39" i="465"/>
  <c r="M41" i="465"/>
  <c r="T41" i="465"/>
  <c r="M43" i="465"/>
  <c r="T43" i="465"/>
  <c r="M45" i="465"/>
  <c r="T45" i="465"/>
  <c r="M47" i="465"/>
  <c r="T47" i="465"/>
  <c r="M49" i="465"/>
  <c r="T49" i="465"/>
  <c r="M51" i="465"/>
  <c r="T51" i="465"/>
  <c r="M53" i="465"/>
  <c r="T53" i="465"/>
  <c r="M55" i="465"/>
  <c r="T55" i="465"/>
  <c r="M57" i="465"/>
  <c r="T57" i="465"/>
  <c r="M59" i="465"/>
  <c r="T59" i="465"/>
  <c r="L61" i="465" l="1"/>
  <c r="M3" i="465"/>
  <c r="M61" i="465" s="1"/>
  <c r="T61" i="465"/>
  <c r="J108" i="463" l="1"/>
  <c r="K108" i="463"/>
  <c r="L108" i="463"/>
  <c r="M108" i="463"/>
  <c r="N108" i="463"/>
  <c r="L3" i="463"/>
  <c r="L4" i="463"/>
  <c r="L5" i="463"/>
  <c r="L6" i="463"/>
  <c r="L7" i="463"/>
  <c r="L8" i="463"/>
  <c r="L9" i="463"/>
  <c r="L10" i="463"/>
  <c r="L11" i="463"/>
  <c r="L12" i="463"/>
  <c r="L13" i="463"/>
  <c r="L14" i="463"/>
  <c r="L15" i="463"/>
  <c r="L16" i="463"/>
  <c r="L17" i="463"/>
  <c r="L18" i="463"/>
  <c r="L19" i="463"/>
  <c r="L20" i="463"/>
  <c r="L21" i="463"/>
  <c r="L22" i="463"/>
  <c r="L23" i="463"/>
  <c r="L24" i="463"/>
  <c r="L25" i="463"/>
  <c r="L26" i="463"/>
  <c r="L27" i="463"/>
  <c r="L28" i="463"/>
  <c r="L29" i="463"/>
  <c r="L30" i="463"/>
  <c r="L31" i="463"/>
  <c r="L32" i="463"/>
  <c r="L33" i="463"/>
  <c r="L34" i="463"/>
  <c r="L35" i="463"/>
  <c r="L36" i="463"/>
  <c r="L37" i="463"/>
  <c r="L38" i="463"/>
  <c r="L39" i="463"/>
  <c r="L40" i="463"/>
  <c r="L41" i="463"/>
  <c r="L42" i="463"/>
  <c r="L43" i="463"/>
  <c r="L44" i="463"/>
  <c r="L45" i="463"/>
  <c r="L46" i="463"/>
  <c r="L47" i="463"/>
  <c r="L48" i="463"/>
  <c r="L49" i="463"/>
  <c r="L50" i="463"/>
  <c r="L51" i="463"/>
  <c r="L52" i="463"/>
  <c r="L53" i="463"/>
  <c r="L54" i="463"/>
  <c r="L55" i="463"/>
  <c r="L56" i="463"/>
  <c r="L57" i="463"/>
  <c r="L58" i="463"/>
  <c r="L59" i="463"/>
  <c r="L60" i="463"/>
  <c r="L61" i="463"/>
  <c r="L62" i="463"/>
  <c r="L63" i="463"/>
  <c r="L64" i="463"/>
  <c r="L65" i="463"/>
  <c r="L66" i="463"/>
  <c r="L67" i="463"/>
  <c r="L68" i="463"/>
  <c r="L69" i="463"/>
  <c r="L70" i="463"/>
  <c r="L71" i="463"/>
  <c r="L72" i="463"/>
  <c r="L73" i="463"/>
  <c r="L74" i="463"/>
  <c r="L75" i="463"/>
  <c r="L76" i="463"/>
  <c r="L77" i="463"/>
  <c r="L78" i="463"/>
  <c r="L79" i="463"/>
  <c r="L80" i="463"/>
  <c r="L81" i="463"/>
  <c r="L82" i="463"/>
  <c r="L83" i="463"/>
  <c r="L84" i="463"/>
  <c r="L85" i="463"/>
  <c r="L86" i="463"/>
  <c r="L87" i="463"/>
  <c r="L88" i="463"/>
  <c r="L89" i="463"/>
  <c r="L90" i="463"/>
  <c r="L91" i="463"/>
  <c r="L92" i="463"/>
  <c r="L93" i="463"/>
  <c r="L94" i="463"/>
  <c r="L95" i="463"/>
  <c r="L96" i="463"/>
  <c r="L97" i="463"/>
  <c r="L98" i="463"/>
  <c r="L99" i="463"/>
  <c r="L100" i="463"/>
  <c r="L101" i="463"/>
  <c r="L102" i="463"/>
  <c r="L103" i="463"/>
  <c r="L104" i="463"/>
  <c r="L105" i="463"/>
  <c r="L106" i="463"/>
  <c r="L107" i="463"/>
  <c r="V3" i="463"/>
  <c r="V4" i="463"/>
  <c r="V5" i="463"/>
  <c r="V6" i="463"/>
  <c r="V7" i="463"/>
  <c r="V8" i="463"/>
  <c r="V9" i="463"/>
  <c r="V10" i="463"/>
  <c r="V11" i="463"/>
  <c r="V12" i="463"/>
  <c r="V13" i="463"/>
  <c r="V14" i="463"/>
  <c r="V15" i="463"/>
  <c r="V16" i="463"/>
  <c r="V17" i="463"/>
  <c r="V18" i="463"/>
  <c r="V19" i="463"/>
  <c r="V20" i="463"/>
  <c r="V21" i="463"/>
  <c r="V22" i="463"/>
  <c r="V23" i="463"/>
  <c r="V24" i="463"/>
  <c r="V25" i="463"/>
  <c r="V26" i="463"/>
  <c r="V27" i="463"/>
  <c r="V28" i="463"/>
  <c r="V29" i="463"/>
  <c r="V30" i="463"/>
  <c r="V31" i="463"/>
  <c r="V32" i="463"/>
  <c r="V33" i="463"/>
  <c r="V34" i="463"/>
  <c r="V35" i="463"/>
  <c r="V36" i="463"/>
  <c r="V37" i="463"/>
  <c r="V38" i="463"/>
  <c r="V39" i="463"/>
  <c r="V40" i="463"/>
  <c r="V41" i="463"/>
  <c r="V42" i="463"/>
  <c r="V43" i="463"/>
  <c r="V44" i="463"/>
  <c r="V45" i="463"/>
  <c r="V46" i="463"/>
  <c r="V47" i="463"/>
  <c r="V48" i="463"/>
  <c r="V49" i="463"/>
  <c r="V50" i="463"/>
  <c r="V51" i="463"/>
  <c r="V52" i="463"/>
  <c r="V53" i="463"/>
  <c r="V54" i="463"/>
  <c r="V55" i="463"/>
  <c r="V56" i="463"/>
  <c r="V57" i="463"/>
  <c r="V58" i="463"/>
  <c r="V59" i="463"/>
  <c r="V60" i="463"/>
  <c r="V61" i="463"/>
  <c r="V62" i="463"/>
  <c r="V63" i="463"/>
  <c r="V64" i="463"/>
  <c r="V65" i="463"/>
  <c r="V66" i="463"/>
  <c r="V67" i="463"/>
  <c r="V68" i="463"/>
  <c r="V69" i="463"/>
  <c r="V70" i="463"/>
  <c r="V71" i="463"/>
  <c r="V72" i="463"/>
  <c r="V73" i="463"/>
  <c r="V74" i="463"/>
  <c r="V75" i="463"/>
  <c r="V76" i="463"/>
  <c r="V77" i="463"/>
  <c r="V78" i="463"/>
  <c r="V79" i="463"/>
  <c r="V80" i="463"/>
  <c r="V81" i="463"/>
  <c r="V82" i="463"/>
  <c r="V83" i="463"/>
  <c r="V84" i="463"/>
  <c r="V85" i="463"/>
  <c r="V86" i="463"/>
  <c r="V87" i="463"/>
  <c r="V88" i="463"/>
  <c r="V89" i="463"/>
  <c r="V90" i="463"/>
  <c r="V91" i="463"/>
  <c r="V92" i="463"/>
  <c r="V93" i="463"/>
  <c r="V94" i="463"/>
  <c r="V95" i="463"/>
  <c r="V96" i="463"/>
  <c r="V97" i="463"/>
  <c r="V98" i="463"/>
  <c r="V99" i="463"/>
  <c r="V100" i="463"/>
  <c r="V101" i="463"/>
  <c r="V102" i="463"/>
  <c r="V103" i="463"/>
  <c r="V104" i="463"/>
  <c r="V105" i="463"/>
  <c r="V106" i="463"/>
  <c r="V107" i="463"/>
  <c r="O6" i="463"/>
  <c r="O10" i="463"/>
  <c r="O14" i="463"/>
  <c r="O18" i="463"/>
  <c r="O22" i="463"/>
  <c r="O26" i="463"/>
  <c r="O30" i="463"/>
  <c r="O34" i="463"/>
  <c r="O38" i="463"/>
  <c r="O42" i="463"/>
  <c r="O46" i="463"/>
  <c r="O50" i="463"/>
  <c r="O54" i="463"/>
  <c r="O58" i="463"/>
  <c r="O62" i="463"/>
  <c r="O66" i="463"/>
  <c r="I4" i="463"/>
  <c r="I6" i="463"/>
  <c r="I8" i="463"/>
  <c r="I10" i="463"/>
  <c r="I12" i="463"/>
  <c r="I14" i="463"/>
  <c r="I16" i="463"/>
  <c r="I18" i="463"/>
  <c r="I20" i="463"/>
  <c r="I22" i="463"/>
  <c r="I24" i="463"/>
  <c r="I26" i="463"/>
  <c r="I28" i="463"/>
  <c r="I30" i="463"/>
  <c r="I32" i="463"/>
  <c r="I34" i="463"/>
  <c r="I36" i="463"/>
  <c r="I38" i="463"/>
  <c r="I40" i="463"/>
  <c r="I42" i="463"/>
  <c r="I44" i="463"/>
  <c r="I46" i="463"/>
  <c r="I48" i="463"/>
  <c r="I50" i="463"/>
  <c r="I52" i="463"/>
  <c r="I54" i="463"/>
  <c r="I56" i="463"/>
  <c r="I58" i="463"/>
  <c r="I60" i="463"/>
  <c r="I62" i="463"/>
  <c r="I64" i="463"/>
  <c r="I66" i="463"/>
  <c r="I68" i="463"/>
  <c r="I70" i="463"/>
  <c r="I72" i="463"/>
  <c r="I74" i="463"/>
  <c r="I76" i="463"/>
  <c r="I78" i="463"/>
  <c r="I80" i="463"/>
  <c r="I82" i="463"/>
  <c r="I84" i="463"/>
  <c r="I86" i="463"/>
  <c r="I88" i="463"/>
  <c r="I90" i="463"/>
  <c r="I92" i="463"/>
  <c r="I94" i="463"/>
  <c r="I96" i="463"/>
  <c r="I98" i="463"/>
  <c r="I100" i="463"/>
  <c r="I102" i="463"/>
  <c r="I104" i="463"/>
  <c r="I106" i="463"/>
  <c r="K3" i="463"/>
  <c r="O3" i="463" s="1"/>
  <c r="K4" i="463"/>
  <c r="P4" i="463" s="1"/>
  <c r="K5" i="463"/>
  <c r="O5" i="463" s="1"/>
  <c r="K6" i="463"/>
  <c r="P6" i="463" s="1"/>
  <c r="K7" i="463"/>
  <c r="O7" i="463" s="1"/>
  <c r="K8" i="463"/>
  <c r="P8" i="463" s="1"/>
  <c r="K9" i="463"/>
  <c r="O9" i="463" s="1"/>
  <c r="K10" i="463"/>
  <c r="P10" i="463" s="1"/>
  <c r="K11" i="463"/>
  <c r="O11" i="463" s="1"/>
  <c r="K12" i="463"/>
  <c r="P12" i="463" s="1"/>
  <c r="K13" i="463"/>
  <c r="O13" i="463" s="1"/>
  <c r="K14" i="463"/>
  <c r="P14" i="463" s="1"/>
  <c r="K15" i="463"/>
  <c r="O15" i="463" s="1"/>
  <c r="K16" i="463"/>
  <c r="P16" i="463" s="1"/>
  <c r="K17" i="463"/>
  <c r="O17" i="463" s="1"/>
  <c r="K18" i="463"/>
  <c r="P18" i="463" s="1"/>
  <c r="K19" i="463"/>
  <c r="O19" i="463" s="1"/>
  <c r="K20" i="463"/>
  <c r="P20" i="463" s="1"/>
  <c r="K21" i="463"/>
  <c r="O21" i="463" s="1"/>
  <c r="K22" i="463"/>
  <c r="P22" i="463" s="1"/>
  <c r="K23" i="463"/>
  <c r="O23" i="463" s="1"/>
  <c r="K24" i="463"/>
  <c r="P24" i="463" s="1"/>
  <c r="K25" i="463"/>
  <c r="O25" i="463" s="1"/>
  <c r="K26" i="463"/>
  <c r="P26" i="463" s="1"/>
  <c r="K27" i="463"/>
  <c r="O27" i="463" s="1"/>
  <c r="K28" i="463"/>
  <c r="P28" i="463" s="1"/>
  <c r="K29" i="463"/>
  <c r="O29" i="463" s="1"/>
  <c r="K30" i="463"/>
  <c r="P30" i="463" s="1"/>
  <c r="K31" i="463"/>
  <c r="O31" i="463" s="1"/>
  <c r="K32" i="463"/>
  <c r="P32" i="463" s="1"/>
  <c r="K33" i="463"/>
  <c r="O33" i="463" s="1"/>
  <c r="K34" i="463"/>
  <c r="P34" i="463" s="1"/>
  <c r="K35" i="463"/>
  <c r="O35" i="463" s="1"/>
  <c r="K36" i="463"/>
  <c r="P36" i="463" s="1"/>
  <c r="K37" i="463"/>
  <c r="O37" i="463" s="1"/>
  <c r="K38" i="463"/>
  <c r="P38" i="463" s="1"/>
  <c r="K39" i="463"/>
  <c r="O39" i="463" s="1"/>
  <c r="K40" i="463"/>
  <c r="P40" i="463" s="1"/>
  <c r="K41" i="463"/>
  <c r="O41" i="463" s="1"/>
  <c r="K42" i="463"/>
  <c r="P42" i="463" s="1"/>
  <c r="K43" i="463"/>
  <c r="O43" i="463" s="1"/>
  <c r="K44" i="463"/>
  <c r="P44" i="463" s="1"/>
  <c r="K45" i="463"/>
  <c r="O45" i="463" s="1"/>
  <c r="K46" i="463"/>
  <c r="P46" i="463" s="1"/>
  <c r="K47" i="463"/>
  <c r="O47" i="463" s="1"/>
  <c r="K48" i="463"/>
  <c r="P48" i="463" s="1"/>
  <c r="K49" i="463"/>
  <c r="O49" i="463" s="1"/>
  <c r="K50" i="463"/>
  <c r="P50" i="463" s="1"/>
  <c r="K51" i="463"/>
  <c r="O51" i="463" s="1"/>
  <c r="K52" i="463"/>
  <c r="P52" i="463" s="1"/>
  <c r="K53" i="463"/>
  <c r="O53" i="463" s="1"/>
  <c r="K54" i="463"/>
  <c r="P54" i="463" s="1"/>
  <c r="K55" i="463"/>
  <c r="O55" i="463" s="1"/>
  <c r="K56" i="463"/>
  <c r="P56" i="463" s="1"/>
  <c r="K57" i="463"/>
  <c r="O57" i="463" s="1"/>
  <c r="K58" i="463"/>
  <c r="P58" i="463" s="1"/>
  <c r="K59" i="463"/>
  <c r="O59" i="463" s="1"/>
  <c r="K60" i="463"/>
  <c r="P60" i="463" s="1"/>
  <c r="K61" i="463"/>
  <c r="O61" i="463" s="1"/>
  <c r="K62" i="463"/>
  <c r="P62" i="463" s="1"/>
  <c r="K63" i="463"/>
  <c r="O63" i="463" s="1"/>
  <c r="K64" i="463"/>
  <c r="P64" i="463" s="1"/>
  <c r="K65" i="463"/>
  <c r="O65" i="463" s="1"/>
  <c r="K66" i="463"/>
  <c r="P66" i="463" s="1"/>
  <c r="K67" i="463"/>
  <c r="O67" i="463" s="1"/>
  <c r="K68" i="463"/>
  <c r="P68" i="463" s="1"/>
  <c r="K69" i="463"/>
  <c r="P69" i="463" s="1"/>
  <c r="K70" i="463"/>
  <c r="P70" i="463" s="1"/>
  <c r="K71" i="463"/>
  <c r="I71" i="463" s="1"/>
  <c r="K72" i="463"/>
  <c r="P72" i="463" s="1"/>
  <c r="K73" i="463"/>
  <c r="P73" i="463" s="1"/>
  <c r="K74" i="463"/>
  <c r="P74" i="463" s="1"/>
  <c r="K75" i="463"/>
  <c r="I75" i="463" s="1"/>
  <c r="K76" i="463"/>
  <c r="P76" i="463" s="1"/>
  <c r="K77" i="463"/>
  <c r="P77" i="463" s="1"/>
  <c r="K78" i="463"/>
  <c r="P78" i="463" s="1"/>
  <c r="K79" i="463"/>
  <c r="I79" i="463" s="1"/>
  <c r="K80" i="463"/>
  <c r="P80" i="463" s="1"/>
  <c r="K81" i="463"/>
  <c r="P81" i="463" s="1"/>
  <c r="K82" i="463"/>
  <c r="P82" i="463" s="1"/>
  <c r="K83" i="463"/>
  <c r="I83" i="463" s="1"/>
  <c r="K84" i="463"/>
  <c r="P84" i="463" s="1"/>
  <c r="K85" i="463"/>
  <c r="P85" i="463" s="1"/>
  <c r="K86" i="463"/>
  <c r="P86" i="463" s="1"/>
  <c r="K87" i="463"/>
  <c r="I87" i="463" s="1"/>
  <c r="K88" i="463"/>
  <c r="P88" i="463" s="1"/>
  <c r="K89" i="463"/>
  <c r="P89" i="463" s="1"/>
  <c r="K90" i="463"/>
  <c r="P90" i="463" s="1"/>
  <c r="K91" i="463"/>
  <c r="I91" i="463" s="1"/>
  <c r="K92" i="463"/>
  <c r="P92" i="463" s="1"/>
  <c r="K93" i="463"/>
  <c r="P93" i="463" s="1"/>
  <c r="K94" i="463"/>
  <c r="P94" i="463" s="1"/>
  <c r="K95" i="463"/>
  <c r="I95" i="463" s="1"/>
  <c r="K96" i="463"/>
  <c r="P96" i="463" s="1"/>
  <c r="K97" i="463"/>
  <c r="P97" i="463" s="1"/>
  <c r="K98" i="463"/>
  <c r="P98" i="463" s="1"/>
  <c r="K99" i="463"/>
  <c r="I99" i="463" s="1"/>
  <c r="K100" i="463"/>
  <c r="P100" i="463" s="1"/>
  <c r="K101" i="463"/>
  <c r="P101" i="463" s="1"/>
  <c r="K102" i="463"/>
  <c r="P102" i="463" s="1"/>
  <c r="K103" i="463"/>
  <c r="I103" i="463" s="1"/>
  <c r="K104" i="463"/>
  <c r="P104" i="463" s="1"/>
  <c r="K105" i="463"/>
  <c r="P105" i="463" s="1"/>
  <c r="K106" i="463"/>
  <c r="P106" i="463" s="1"/>
  <c r="K107" i="463"/>
  <c r="I107" i="463" s="1"/>
  <c r="H3" i="463"/>
  <c r="H4" i="463"/>
  <c r="H5" i="463"/>
  <c r="H6" i="463"/>
  <c r="H7" i="463"/>
  <c r="H8" i="463"/>
  <c r="H9" i="463"/>
  <c r="H10" i="463"/>
  <c r="H11" i="463"/>
  <c r="H12" i="463"/>
  <c r="H13" i="463"/>
  <c r="H14" i="463"/>
  <c r="H15" i="463"/>
  <c r="H16" i="463"/>
  <c r="H17" i="463"/>
  <c r="H18" i="463"/>
  <c r="H19" i="463"/>
  <c r="H20" i="463"/>
  <c r="H21" i="463"/>
  <c r="H22" i="463"/>
  <c r="H23" i="463"/>
  <c r="H24" i="463"/>
  <c r="H25" i="463"/>
  <c r="H26" i="463"/>
  <c r="H27" i="463"/>
  <c r="H28" i="463"/>
  <c r="H29" i="463"/>
  <c r="H30" i="463"/>
  <c r="H31" i="463"/>
  <c r="H32" i="463"/>
  <c r="H33" i="463"/>
  <c r="H34" i="463"/>
  <c r="H35" i="463"/>
  <c r="H36" i="463"/>
  <c r="H37" i="463"/>
  <c r="H38" i="463"/>
  <c r="H39" i="463"/>
  <c r="H40" i="463"/>
  <c r="H41" i="463"/>
  <c r="H42" i="463"/>
  <c r="H43" i="463"/>
  <c r="H44" i="463"/>
  <c r="H45" i="463"/>
  <c r="H46" i="463"/>
  <c r="H47" i="463"/>
  <c r="H48" i="463"/>
  <c r="H49" i="463"/>
  <c r="H50" i="463"/>
  <c r="H51" i="463"/>
  <c r="H52" i="463"/>
  <c r="H53" i="463"/>
  <c r="H54" i="463"/>
  <c r="H55" i="463"/>
  <c r="H56" i="463"/>
  <c r="H57" i="463"/>
  <c r="H58" i="463"/>
  <c r="H59" i="463"/>
  <c r="H60" i="463"/>
  <c r="H61" i="463"/>
  <c r="H62" i="463"/>
  <c r="H63" i="463"/>
  <c r="H64" i="463"/>
  <c r="H65" i="463"/>
  <c r="H66" i="463"/>
  <c r="H67" i="463"/>
  <c r="H68" i="463"/>
  <c r="H69" i="463"/>
  <c r="H70" i="463"/>
  <c r="H71" i="463"/>
  <c r="H72" i="463"/>
  <c r="H73" i="463"/>
  <c r="H74" i="463"/>
  <c r="H75" i="463"/>
  <c r="H76" i="463"/>
  <c r="H77" i="463"/>
  <c r="H78" i="463"/>
  <c r="H79" i="463"/>
  <c r="H80" i="463"/>
  <c r="H81" i="463"/>
  <c r="H82" i="463"/>
  <c r="H83" i="463"/>
  <c r="H84" i="463"/>
  <c r="H85" i="463"/>
  <c r="H86" i="463"/>
  <c r="H87" i="463"/>
  <c r="H88" i="463"/>
  <c r="H89" i="463"/>
  <c r="H90" i="463"/>
  <c r="H91" i="463"/>
  <c r="H92" i="463"/>
  <c r="H93" i="463"/>
  <c r="H94" i="463"/>
  <c r="H95" i="463"/>
  <c r="H96" i="463"/>
  <c r="H97" i="463"/>
  <c r="H98" i="463"/>
  <c r="H99" i="463"/>
  <c r="H100" i="463"/>
  <c r="H101" i="463"/>
  <c r="H102" i="463"/>
  <c r="H103" i="463"/>
  <c r="H104" i="463"/>
  <c r="H105" i="463"/>
  <c r="H106" i="463"/>
  <c r="H107" i="463"/>
  <c r="O107" i="463" l="1"/>
  <c r="O105" i="463"/>
  <c r="O103" i="463"/>
  <c r="O101" i="463"/>
  <c r="O99" i="463"/>
  <c r="O97" i="463"/>
  <c r="O95" i="463"/>
  <c r="O93" i="463"/>
  <c r="O91" i="463"/>
  <c r="O89" i="463"/>
  <c r="O87" i="463"/>
  <c r="O85" i="463"/>
  <c r="O83" i="463"/>
  <c r="O81" i="463"/>
  <c r="O79" i="463"/>
  <c r="O77" i="463"/>
  <c r="O75" i="463"/>
  <c r="O73" i="463"/>
  <c r="O71" i="463"/>
  <c r="O69" i="463"/>
  <c r="P107" i="463"/>
  <c r="P103" i="463"/>
  <c r="P99" i="463"/>
  <c r="P95" i="463"/>
  <c r="P91" i="463"/>
  <c r="P87" i="463"/>
  <c r="P83" i="463"/>
  <c r="P79" i="463"/>
  <c r="P75" i="463"/>
  <c r="P71" i="463"/>
  <c r="P67" i="463"/>
  <c r="P63" i="463"/>
  <c r="P59" i="463"/>
  <c r="P55" i="463"/>
  <c r="P51" i="463"/>
  <c r="P47" i="463"/>
  <c r="P43" i="463"/>
  <c r="P39" i="463"/>
  <c r="P35" i="463"/>
  <c r="P31" i="463"/>
  <c r="P27" i="463"/>
  <c r="P23" i="463"/>
  <c r="P19" i="463"/>
  <c r="P15" i="463"/>
  <c r="P11" i="463"/>
  <c r="P7" i="463"/>
  <c r="P3" i="463"/>
  <c r="I105" i="463"/>
  <c r="I101" i="463"/>
  <c r="I97" i="463"/>
  <c r="I93" i="463"/>
  <c r="I89" i="463"/>
  <c r="I85" i="463"/>
  <c r="I81" i="463"/>
  <c r="I77" i="463"/>
  <c r="I73" i="463"/>
  <c r="I69" i="463"/>
  <c r="I67" i="463"/>
  <c r="I65" i="463"/>
  <c r="I63" i="463"/>
  <c r="I61" i="463"/>
  <c r="I59" i="463"/>
  <c r="I57" i="463"/>
  <c r="I55" i="463"/>
  <c r="I53" i="463"/>
  <c r="I51" i="463"/>
  <c r="I49" i="463"/>
  <c r="I47" i="463"/>
  <c r="I45" i="463"/>
  <c r="I43" i="463"/>
  <c r="I41" i="463"/>
  <c r="I39" i="463"/>
  <c r="I37" i="463"/>
  <c r="I35" i="463"/>
  <c r="I33" i="463"/>
  <c r="I31" i="463"/>
  <c r="I29" i="463"/>
  <c r="I27" i="463"/>
  <c r="I25" i="463"/>
  <c r="I23" i="463"/>
  <c r="I21" i="463"/>
  <c r="I19" i="463"/>
  <c r="I17" i="463"/>
  <c r="I15" i="463"/>
  <c r="I13" i="463"/>
  <c r="I11" i="463"/>
  <c r="I9" i="463"/>
  <c r="I7" i="463"/>
  <c r="I5" i="463"/>
  <c r="I3" i="463"/>
  <c r="O106" i="463"/>
  <c r="O104" i="463"/>
  <c r="O102" i="463"/>
  <c r="O100" i="463"/>
  <c r="O98" i="463"/>
  <c r="O96" i="463"/>
  <c r="O94" i="463"/>
  <c r="O92" i="463"/>
  <c r="O90" i="463"/>
  <c r="O88" i="463"/>
  <c r="O86" i="463"/>
  <c r="O84" i="463"/>
  <c r="O82" i="463"/>
  <c r="O80" i="463"/>
  <c r="O78" i="463"/>
  <c r="O76" i="463"/>
  <c r="O74" i="463"/>
  <c r="O72" i="463"/>
  <c r="O70" i="463"/>
  <c r="O68" i="463"/>
  <c r="O64" i="463"/>
  <c r="O60" i="463"/>
  <c r="O56" i="463"/>
  <c r="O52" i="463"/>
  <c r="O48" i="463"/>
  <c r="O44" i="463"/>
  <c r="O40" i="463"/>
  <c r="O36" i="463"/>
  <c r="O32" i="463"/>
  <c r="O28" i="463"/>
  <c r="O24" i="463"/>
  <c r="O20" i="463"/>
  <c r="O16" i="463"/>
  <c r="O12" i="463"/>
  <c r="O8" i="463"/>
  <c r="O4" i="463"/>
  <c r="P65" i="463"/>
  <c r="P61" i="463"/>
  <c r="P57" i="463"/>
  <c r="P53" i="463"/>
  <c r="P49" i="463"/>
  <c r="P45" i="463"/>
  <c r="P41" i="463"/>
  <c r="P37" i="463"/>
  <c r="P33" i="463"/>
  <c r="P29" i="463"/>
  <c r="P25" i="463"/>
  <c r="P21" i="463"/>
  <c r="P17" i="463"/>
  <c r="P13" i="463"/>
  <c r="P9" i="463"/>
  <c r="P5" i="463"/>
  <c r="K506" i="146" l="1"/>
  <c r="K505" i="146"/>
  <c r="K502" i="146"/>
  <c r="I502" i="146"/>
  <c r="H502" i="146"/>
  <c r="K508" i="146" l="1"/>
</calcChain>
</file>

<file path=xl/comments1.xml><?xml version="1.0" encoding="utf-8"?>
<comments xmlns="http://schemas.openxmlformats.org/spreadsheetml/2006/main">
  <authors>
    <author>user</author>
  </authors>
  <commentList>
    <comment ref="D6" authorId="0" shapeId="0">
      <text>
        <r>
          <rPr>
            <b/>
            <sz val="12"/>
            <color indexed="37"/>
            <rFont val="Century Gothic"/>
            <family val="2"/>
          </rPr>
          <t>Note:</t>
        </r>
        <r>
          <rPr>
            <b/>
            <sz val="10"/>
            <color indexed="37"/>
            <rFont val="Century Gothic"/>
            <family val="2"/>
          </rPr>
          <t xml:space="preserve">
</t>
        </r>
        <r>
          <rPr>
            <b/>
            <sz val="10"/>
            <color indexed="81"/>
            <rFont val="Century Gothic"/>
            <family val="2"/>
          </rPr>
          <t xml:space="preserve">
Pilih File yang akan di proses melalui
PACKING LIST dan INVOICE!</t>
        </r>
      </text>
    </comment>
    <comment ref="E7" authorId="0" shapeId="0">
      <text>
        <r>
          <rPr>
            <b/>
            <sz val="11"/>
            <color indexed="10"/>
            <rFont val="Trebuchet MS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Century Gothic"/>
            <family val="2"/>
          </rPr>
          <t>Tombol untuk memilih file Invoice</t>
        </r>
      </text>
    </comment>
    <comment ref="E8" authorId="0" shapeId="0">
      <text>
        <r>
          <rPr>
            <b/>
            <sz val="11"/>
            <color indexed="10"/>
            <rFont val="Trebuchet MS"/>
            <family val="2"/>
          </rPr>
          <t>Note:</t>
        </r>
        <r>
          <rPr>
            <b/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Century Gothic"/>
            <family val="2"/>
          </rPr>
          <t>Tombol untuk memilih file FINAL SI</t>
        </r>
      </text>
    </comment>
    <comment ref="E9" authorId="0" shapeId="0">
      <text>
        <r>
          <rPr>
            <b/>
            <sz val="11"/>
            <color indexed="10"/>
            <rFont val="Trebuchet MS"/>
            <family val="2"/>
          </rPr>
          <t>Note:</t>
        </r>
        <r>
          <rPr>
            <b/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Century Gothic"/>
            <family val="2"/>
          </rPr>
          <t>Tombol untuk memilih file LOADINGAN</t>
        </r>
      </text>
    </comment>
  </commentList>
</comments>
</file>

<file path=xl/sharedStrings.xml><?xml version="1.0" encoding="utf-8"?>
<sst xmlns="http://schemas.openxmlformats.org/spreadsheetml/2006/main" count="2170" uniqueCount="252">
  <si>
    <t>DIVISION</t>
  </si>
  <si>
    <t>CARTON RANGE</t>
  </si>
  <si>
    <t>ITEM #</t>
  </si>
  <si>
    <t>PO #</t>
  </si>
  <si>
    <t>DESCRIPTIONS</t>
  </si>
  <si>
    <t>COLOR</t>
  </si>
  <si>
    <t>SIZE</t>
  </si>
  <si>
    <t>#PACK/ CTN</t>
  </si>
  <si>
    <t>TTL BOOKED (PACK)</t>
  </si>
  <si>
    <t>TTL BOOKED (CTNS)</t>
  </si>
  <si>
    <t>TTL VOL (CBM)</t>
  </si>
  <si>
    <t>TTL  NETT WT (KGS)</t>
  </si>
  <si>
    <t>TTL GROSS WT (KGS)</t>
  </si>
  <si>
    <t>GROSS WT / CTN (KGS)</t>
  </si>
  <si>
    <t>NET WT / CTN (KGS)</t>
  </si>
  <si>
    <t>CTN DIMS (CM)</t>
  </si>
  <si>
    <t>CBM / CTN</t>
  </si>
  <si>
    <t>CONTAINER</t>
  </si>
  <si>
    <t>SEAL</t>
  </si>
  <si>
    <t xml:space="preserve">FABRIC CONTENT </t>
  </si>
  <si>
    <t>START CTN #</t>
  </si>
  <si>
    <t>END CTN #</t>
  </si>
  <si>
    <t>L</t>
  </si>
  <si>
    <t>x</t>
  </si>
  <si>
    <t>W</t>
  </si>
  <si>
    <t>H</t>
  </si>
  <si>
    <t>1X40'HC + 1 X 45'</t>
  </si>
  <si>
    <t>1X20'</t>
  </si>
  <si>
    <t>PATH FILE</t>
  </si>
  <si>
    <t>░</t>
  </si>
  <si>
    <t>▼Source</t>
  </si>
  <si>
    <t>JENIS FILE</t>
  </si>
  <si>
    <t>INVOICE</t>
  </si>
  <si>
    <t>FINAL SI</t>
  </si>
  <si>
    <t>LOADINGAN</t>
  </si>
  <si>
    <t>PILIH FILE</t>
  </si>
  <si>
    <t>—</t>
  </si>
  <si>
    <t>BRIEF</t>
  </si>
  <si>
    <t>DATA TIDAK DITEMUKAN</t>
  </si>
  <si>
    <t>Total</t>
  </si>
  <si>
    <t>INDONESIA</t>
  </si>
  <si>
    <t>QTY</t>
  </si>
  <si>
    <t>FOB</t>
  </si>
  <si>
    <t>`</t>
  </si>
  <si>
    <t>Commercial Invoice</t>
  </si>
  <si>
    <r>
      <t xml:space="preserve">1 </t>
    </r>
    <r>
      <rPr>
        <b/>
        <sz val="6"/>
        <rFont val="Tahoma"/>
        <family val="2"/>
      </rPr>
      <t xml:space="preserve">Seller:
</t>
    </r>
    <r>
      <rPr>
        <sz val="8"/>
        <rFont val="Tahoma"/>
        <family val="2"/>
      </rPr>
      <t xml:space="preserve">PT. GISTEX GARMEN INDONESIA  </t>
    </r>
  </si>
  <si>
    <r>
      <t xml:space="preserve">7 </t>
    </r>
    <r>
      <rPr>
        <b/>
        <sz val="6"/>
        <rFont val="Tahoma"/>
        <family val="2"/>
      </rPr>
      <t>No. &amp; Date of Invoice</t>
    </r>
  </si>
  <si>
    <r>
      <t xml:space="preserve">8 </t>
    </r>
    <r>
      <rPr>
        <b/>
        <sz val="6"/>
        <rFont val="Tahoma"/>
        <family val="2"/>
      </rPr>
      <t>No. &amp; Date of LC</t>
    </r>
  </si>
  <si>
    <t>PT GISTEX GARMEN INDONESIA</t>
  </si>
  <si>
    <t>0349EXPGGIII2023</t>
  </si>
  <si>
    <t>JLN. PANYAWUNGAN KM 19</t>
  </si>
  <si>
    <t>CILEUNYI BANDUNG 40622</t>
  </si>
  <si>
    <r>
      <t xml:space="preserve">9 </t>
    </r>
    <r>
      <rPr>
        <b/>
        <sz val="6"/>
        <rFont val="Tahoma"/>
        <family val="2"/>
      </rPr>
      <t>Terms of Sales</t>
    </r>
  </si>
  <si>
    <r>
      <t xml:space="preserve">10 </t>
    </r>
    <r>
      <rPr>
        <b/>
        <sz val="6"/>
        <rFont val="Tahoma"/>
        <family val="2"/>
      </rPr>
      <t>Transport Terms</t>
    </r>
  </si>
  <si>
    <t>WEST JAVA,  INDONESIA</t>
  </si>
  <si>
    <t xml:space="preserve">OCEAN </t>
  </si>
  <si>
    <r>
      <t xml:space="preserve">2 </t>
    </r>
    <r>
      <rPr>
        <b/>
        <sz val="6"/>
        <rFont val="Tahoma"/>
        <family val="2"/>
      </rPr>
      <t xml:space="preserve">For Account and Risk Of:
</t>
    </r>
    <r>
      <rPr>
        <sz val="8"/>
        <rFont val="Tahoma"/>
        <family val="2"/>
      </rPr>
      <t xml:space="preserve">AGRON INC
2440 S. SEPULVEDA BLVD SUITE 201
LOS ANGELES, CA 90064
</t>
    </r>
  </si>
  <si>
    <r>
      <t xml:space="preserve">11 </t>
    </r>
    <r>
      <rPr>
        <b/>
        <sz val="6"/>
        <rFont val="Tahoma"/>
        <family val="2"/>
      </rPr>
      <t xml:space="preserve">Shipper/Exporter: PT GISTEX GARMEN INDONESIA
JLN. PANYAWUNGAN KM 19
CILEUNYI BANDUNG 40622
WEST JAVA,  INDONESIA
</t>
    </r>
  </si>
  <si>
    <r>
      <t xml:space="preserve">3 </t>
    </r>
    <r>
      <rPr>
        <b/>
        <sz val="6"/>
        <rFont val="Tahoma"/>
        <family val="2"/>
      </rPr>
      <t xml:space="preserve">Manufacturer MID Number:
</t>
    </r>
    <r>
      <rPr>
        <sz val="8"/>
        <rFont val="Tahoma"/>
        <family val="2"/>
      </rPr>
      <t>PT GISTEX GARMEN INDONESIA
BLOK PAJAGAN RT. 001 RW. 001
DESA SINARJATI, DAWUAN MAJALENGKA,45453</t>
    </r>
  </si>
  <si>
    <t>Country of Origin</t>
  </si>
  <si>
    <t>Country of Destination</t>
  </si>
  <si>
    <t>UNITED OF STATES</t>
  </si>
  <si>
    <t xml:space="preserve">Visa #
</t>
  </si>
  <si>
    <r>
      <t xml:space="preserve">4 </t>
    </r>
    <r>
      <rPr>
        <b/>
        <sz val="6"/>
        <rFont val="Tahoma"/>
        <family val="2"/>
      </rPr>
      <t xml:space="preserve">Consignee:
AGRON INC, JAM 6
2101 E VIA ARADO 
COMPTON, CA 90220
</t>
    </r>
  </si>
  <si>
    <r>
      <t xml:space="preserve">12 </t>
    </r>
    <r>
      <rPr>
        <b/>
        <sz val="6"/>
        <rFont val="Tahoma"/>
        <family val="2"/>
      </rPr>
      <t xml:space="preserve">Remarks
</t>
    </r>
    <r>
      <rPr>
        <sz val="8"/>
        <rFont val="Tahoma"/>
        <family val="2"/>
      </rPr>
      <t>REFERENCE#:</t>
    </r>
  </si>
  <si>
    <r>
      <t xml:space="preserve">5 </t>
    </r>
    <r>
      <rPr>
        <b/>
        <sz val="6"/>
        <rFont val="Tahoma"/>
        <family val="2"/>
      </rPr>
      <t xml:space="preserve">Ship To:
</t>
    </r>
    <r>
      <rPr>
        <sz val="8"/>
        <rFont val="Tahoma"/>
        <family val="2"/>
      </rPr>
      <t xml:space="preserve">AGRON INC, JAM 6
2101 E VIA ARADO 
COMPTON, CA 90220
</t>
    </r>
  </si>
  <si>
    <r>
      <t xml:space="preserve">13 </t>
    </r>
    <r>
      <rPr>
        <b/>
        <sz val="6"/>
        <rFont val="Tahoma"/>
        <family val="2"/>
      </rPr>
      <t xml:space="preserve">LC Issuing Bank:
</t>
    </r>
  </si>
  <si>
    <r>
      <t xml:space="preserve">6 </t>
    </r>
    <r>
      <rPr>
        <b/>
        <sz val="6"/>
        <rFont val="Tahoma"/>
        <family val="2"/>
      </rPr>
      <t xml:space="preserve">Notify Party
1)
</t>
    </r>
    <r>
      <rPr>
        <sz val="8"/>
        <rFont val="Tahoma"/>
        <family val="2"/>
      </rPr>
      <t xml:space="preserve">2)
</t>
    </r>
  </si>
  <si>
    <r>
      <t xml:space="preserve">14 </t>
    </r>
    <r>
      <rPr>
        <b/>
        <sz val="6"/>
        <rFont val="Tahoma"/>
        <family val="2"/>
      </rPr>
      <t>Transport details</t>
    </r>
  </si>
  <si>
    <t>Vsl/Flgt: BAI CHAY BRIDGE</t>
  </si>
  <si>
    <t>Dest Dt: 2023/04/12</t>
  </si>
  <si>
    <t>Voy#/Trip: V.122N</t>
  </si>
  <si>
    <t>Carrier ID: MATS</t>
  </si>
  <si>
    <t>POL: JAKARTA INDONESIA</t>
  </si>
  <si>
    <t>Ship Mode: SEA</t>
  </si>
  <si>
    <t>Orig Dt: 2023/04/03</t>
  </si>
  <si>
    <t>GR WGT: 26623,30</t>
  </si>
  <si>
    <t>Final Dest: LOS ANGELES,USA</t>
  </si>
  <si>
    <t>NET WGT: 24227,75</t>
  </si>
  <si>
    <r>
      <t xml:space="preserve">15 </t>
    </r>
    <r>
      <rPr>
        <b/>
        <sz val="6"/>
        <rFont val="Tahoma"/>
        <family val="2"/>
      </rPr>
      <t>Marks and Nos. :</t>
    </r>
  </si>
  <si>
    <t>PO#</t>
  </si>
  <si>
    <t>ITEM#</t>
  </si>
  <si>
    <t>HTS DESC</t>
  </si>
  <si>
    <t>HTS#</t>
  </si>
  <si>
    <t>QTY (PACK)</t>
  </si>
  <si>
    <t>TTL (CTNS)</t>
  </si>
  <si>
    <t>Price (PCS)</t>
  </si>
  <si>
    <t>TTL AMOUNT</t>
  </si>
  <si>
    <t>ITEM DESC:  BRIEF</t>
  </si>
  <si>
    <t>TOTAL:</t>
  </si>
  <si>
    <t>ALLOWANCE:</t>
  </si>
  <si>
    <t>Rate</t>
  </si>
  <si>
    <t>Basic</t>
  </si>
  <si>
    <t>AMOUNT</t>
  </si>
  <si>
    <t>EA</t>
  </si>
  <si>
    <t>GRAND TOTAL:</t>
  </si>
  <si>
    <t>DOCUMENT CONDITIONS</t>
  </si>
  <si>
    <t>WE HEREBY CERTIFY THAT NO SOLID WOOD PACKING MATERIAL WAS USED IN THE PACKING OFTHE LISTED MERCHANDISE</t>
  </si>
  <si>
    <t>(Company Signature)</t>
  </si>
  <si>
    <t>(Company Stamp)</t>
  </si>
  <si>
    <t>LOG-NET RCP VER 8.000   MAT 2018-05-28 18:26:49 EDT tuyetq</t>
  </si>
  <si>
    <t>S</t>
  </si>
  <si>
    <t>M</t>
  </si>
  <si>
    <t>XL</t>
  </si>
  <si>
    <t xml:space="preserve"> </t>
  </si>
  <si>
    <t>PACK</t>
  </si>
  <si>
    <t>PO</t>
  </si>
  <si>
    <t>ARTICLE#</t>
  </si>
  <si>
    <t>WORK#</t>
  </si>
  <si>
    <t>TOTAL</t>
  </si>
  <si>
    <t>GMT</t>
  </si>
  <si>
    <t>NET</t>
  </si>
  <si>
    <t>CBM</t>
  </si>
  <si>
    <t>/SIZE</t>
  </si>
  <si>
    <t>WEIGHT</t>
  </si>
  <si>
    <t>SO#</t>
  </si>
  <si>
    <t>UNIT</t>
  </si>
  <si>
    <t>CBM/CTN</t>
  </si>
  <si>
    <t>GROS</t>
  </si>
  <si>
    <t>CONTAINER SIZE</t>
  </si>
  <si>
    <t>MATERIAL</t>
  </si>
  <si>
    <t>DESCRIPTION</t>
  </si>
  <si>
    <t>CTN</t>
  </si>
  <si>
    <t>X</t>
  </si>
  <si>
    <t>CM</t>
  </si>
  <si>
    <t>91% POLYESTER 9% SPANDEX</t>
  </si>
  <si>
    <t>MEN'S MICROFIBER 3-PACK BOXER BRIEF 91% POLYESTER 9% SPANDEX</t>
  </si>
  <si>
    <t>MEN'S MICROFIBER 3-PACK BOXER BRIEF</t>
  </si>
  <si>
    <t>PO-0000649</t>
  </si>
  <si>
    <t>PO-0000652</t>
  </si>
  <si>
    <t>YOUTH MICROFIBER GRAPHIC 4-PACK BOXER BRIEF 91% POLYESTER 9% SPANDEX</t>
  </si>
  <si>
    <t>HS CODE:</t>
  </si>
  <si>
    <t>YOUTH MICROFIBER GRAPHIC 4-PACK BOXER BRIEF</t>
  </si>
  <si>
    <t>Y:\BUYER EXPORT\2024\AGRON\20241011 INV 0320 AGRON BY SEA FM MAJALENGKA 2x40'HC ID2140\INV0320EXPGGX2024.xlsx</t>
  </si>
  <si>
    <t>Y:\BUYER EXPORT\2024\AGRON\20241011 INV 0320 AGRON BY SEA FM MAJALENGKA 2x40'HC ID2140\FINAL SI.xls</t>
  </si>
  <si>
    <t>Y:\BUYER EXPORT\2024\AGRON\20241011 INV 0320 AGRON BY SEA FM MAJALENGKA 2x40'HC ID2140\LOADINGAN 10 OKT ID2140.xlsx</t>
  </si>
  <si>
    <t>0320EXPGGX2024</t>
  </si>
  <si>
    <t>XXL</t>
  </si>
  <si>
    <t>982984 – A</t>
  </si>
  <si>
    <t>5157997A</t>
  </si>
  <si>
    <t>PO-0000651</t>
  </si>
  <si>
    <t>5157997B</t>
  </si>
  <si>
    <t>5157997C</t>
  </si>
  <si>
    <t>5157997D</t>
  </si>
  <si>
    <t>983118 – A</t>
  </si>
  <si>
    <t>5158005A</t>
  </si>
  <si>
    <t>5158005B</t>
  </si>
  <si>
    <t>5158005C</t>
  </si>
  <si>
    <t>5158005D</t>
  </si>
  <si>
    <t>983119 – A</t>
  </si>
  <si>
    <t>5158006B</t>
  </si>
  <si>
    <t>5158006C</t>
  </si>
  <si>
    <t>5158006D</t>
  </si>
  <si>
    <t>983466 – A</t>
  </si>
  <si>
    <t>5158582A</t>
  </si>
  <si>
    <t>5158582B</t>
  </si>
  <si>
    <t>5158582C</t>
  </si>
  <si>
    <t>5158582D</t>
  </si>
  <si>
    <t>982979 – D</t>
  </si>
  <si>
    <t>5159304A</t>
  </si>
  <si>
    <t>PO-0000650</t>
  </si>
  <si>
    <t>5159304B</t>
  </si>
  <si>
    <t>5159304C</t>
  </si>
  <si>
    <t>5159304D</t>
  </si>
  <si>
    <t>5159304E</t>
  </si>
  <si>
    <t>982979 – E</t>
  </si>
  <si>
    <t>5159299A</t>
  </si>
  <si>
    <t>5159299B</t>
  </si>
  <si>
    <t>5159299C</t>
  </si>
  <si>
    <t>5159299D</t>
  </si>
  <si>
    <t>5159299E</t>
  </si>
  <si>
    <t>983462 – G</t>
  </si>
  <si>
    <t>5158599A</t>
  </si>
  <si>
    <t>5158599B</t>
  </si>
  <si>
    <t>5158599C</t>
  </si>
  <si>
    <t>5158599D</t>
  </si>
  <si>
    <t>5158599E</t>
  </si>
  <si>
    <t>983462 – H</t>
  </si>
  <si>
    <t>5158584A</t>
  </si>
  <si>
    <t>5158584B</t>
  </si>
  <si>
    <t>5158584C</t>
  </si>
  <si>
    <t>5158584D</t>
  </si>
  <si>
    <t>983462 – I</t>
  </si>
  <si>
    <t>5158610A</t>
  </si>
  <si>
    <t>5158610B</t>
  </si>
  <si>
    <t>5158610C</t>
  </si>
  <si>
    <t>5158610D</t>
  </si>
  <si>
    <t>983462 – J</t>
  </si>
  <si>
    <t>5158615A</t>
  </si>
  <si>
    <t>5158615B</t>
  </si>
  <si>
    <t>5158615C</t>
  </si>
  <si>
    <t>5158615D</t>
  </si>
  <si>
    <t>984120 – A</t>
  </si>
  <si>
    <t>5159305A</t>
  </si>
  <si>
    <t>PO-0000648</t>
  </si>
  <si>
    <t>5159305B</t>
  </si>
  <si>
    <t>5159305C</t>
  </si>
  <si>
    <t>5159305D</t>
  </si>
  <si>
    <t>5159305E</t>
  </si>
  <si>
    <t>984120 – B</t>
  </si>
  <si>
    <t>5159296A</t>
  </si>
  <si>
    <t>5159296B</t>
  </si>
  <si>
    <t>5159296C</t>
  </si>
  <si>
    <t>5159296D</t>
  </si>
  <si>
    <t>5159296E</t>
  </si>
  <si>
    <t>984120 – C</t>
  </si>
  <si>
    <t>5159307A</t>
  </si>
  <si>
    <t>5159307B</t>
  </si>
  <si>
    <t>5159307C</t>
  </si>
  <si>
    <t>5159307D</t>
  </si>
  <si>
    <t>5159307E</t>
  </si>
  <si>
    <t>MEN'S STRETCH COTTON 3-PACK TRUNK 57% COTTON 38% POLYESTER 5% SPANDEX</t>
  </si>
  <si>
    <t xml:space="preserve">FOR WORK NO : 982984 – A                   </t>
  </si>
  <si>
    <t>MEN'S STRETCH COTTON 2-PACK CREW NECK 95%COTTON 5%SPANDEX</t>
  </si>
  <si>
    <t xml:space="preserve">FOR WORK NO : 983118 – A                   </t>
  </si>
  <si>
    <t>MEN'S STRETCH COTTON 2-PACK TANK TOP 95%COTTON 5%SPANDEX</t>
  </si>
  <si>
    <t xml:space="preserve">FOR WORK NO : 983119 – A                   </t>
  </si>
  <si>
    <t xml:space="preserve">FOR WORK NO : 983466 – A                   </t>
  </si>
  <si>
    <t>MEN'S PERFORMANCE MESH GRAPHIC 3-PACK BOXER BRIEF 91% POLYESTER 9% SPANDEX</t>
  </si>
  <si>
    <t xml:space="preserve">FOR WORK NO : 982979 – D, 982979 – E                  </t>
  </si>
  <si>
    <t xml:space="preserve">FOR WORK NO : 983462 – G, 983462 – H, 983462 – I, 983462 – J                </t>
  </si>
  <si>
    <t>MEN'S LUXE COMFORT 3-PACK BOXER BRIEF 60% POLYESTER 33% RAYON 7% SPANDEX</t>
  </si>
  <si>
    <t xml:space="preserve">FOR WORK NO : 984120 – A, 984120 – B, 984120 – C                 </t>
  </si>
  <si>
    <t xml:space="preserve"> + 3%</t>
  </si>
  <si>
    <t>ID2140</t>
  </si>
  <si>
    <t>QWERTY</t>
  </si>
  <si>
    <t>2x40'HC</t>
  </si>
  <si>
    <t xml:space="preserve">ONIX | BLACK | GREY               </t>
  </si>
  <si>
    <t>57% COTTON 38% POLYESTER 5% SPANDEX</t>
  </si>
  <si>
    <t>MEN'S STRETCH COTTON 3-PACK TRUNK</t>
  </si>
  <si>
    <t xml:space="preserve">BLACK | BLACK                 </t>
  </si>
  <si>
    <t>95%COTTON 5%SPANDEX</t>
  </si>
  <si>
    <t>MEN'S STRETCH COTTON 2-PACK CREW NECK</t>
  </si>
  <si>
    <t>MEN'S STRETCH COTTON 2-PACK TANK TOP</t>
  </si>
  <si>
    <t xml:space="preserve">SPRINT CARBON-BLACK | ONIX | BLACK | GREY             </t>
  </si>
  <si>
    <t xml:space="preserve">DRIFT ONIX-BLACK | BLACK | BLACK               </t>
  </si>
  <si>
    <t>MEN'S PERFORMANCE MESH GRAPHIC 3-PACK BOXER BRIEF</t>
  </si>
  <si>
    <t xml:space="preserve">DRIFT TRUE PINK-BLACK | TRUE PINK | BLACK               </t>
  </si>
  <si>
    <t xml:space="preserve">COLLEGIATE NAVY | GREY | CREW BLUE               </t>
  </si>
  <si>
    <t xml:space="preserve">WONDER BEIGE | CARBON | ONIX               </t>
  </si>
  <si>
    <t xml:space="preserve">GHOST BLACK-ONIX | ONIX | SEMI LUCID BLUE               </t>
  </si>
  <si>
    <t xml:space="preserve">GHOST LEGEND INK-TECH INDIGO | COLLEGIATE GREEN | GREY               </t>
  </si>
  <si>
    <t xml:space="preserve">BLACK | HEATHER BLACK | BLACK               </t>
  </si>
  <si>
    <t>60% POLYESTER 33% RAYON 7% SPANDEX</t>
  </si>
  <si>
    <t>MEN'S LUXE COMFORT 3-PACK BOXER BRIEF</t>
  </si>
  <si>
    <t xml:space="preserve">AURORA RUBY | HEATHER BLACK | BLACK               </t>
  </si>
  <si>
    <t xml:space="preserve">DARK BLUE | HEATHER TEAM ROYAL BLUE | GREY               </t>
  </si>
  <si>
    <t>Vsl/Flgt: DEBUSSY</t>
  </si>
  <si>
    <t>Voy#/Trip: V.1QYALN</t>
  </si>
  <si>
    <t>Orig Dt: 2024/10/13</t>
  </si>
  <si>
    <t>GR WGT: 25570.68</t>
  </si>
  <si>
    <t>NET WGT: 23187.17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</si>
</sst>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5">
    <numFmt numFmtId="44" formatCode="_(&quot;$&quot;* #,##0.00_);_(&quot;$&quot;* \(#,##0.00\);_(&quot;$&quot;* &quot;-&quot;??_);_(@_)"/>
    <numFmt numFmtId="164" formatCode="0.000000"/>
    <numFmt numFmtId="165" formatCode="0.0000"/>
    <numFmt numFmtId="166" formatCode="mm/dd/yy"/>
    <numFmt numFmtId="167" formatCode="_(\$* #,##0.000_);_(\$* \(#,##0.000\);_(\$* \-??_);_(@_)"/>
  </numFmts>
  <fonts count="40">
    <font>
      <sz val="11"/>
      <color theme="1"/>
      <name val="Calibri"/>
      <family val="2"/>
      <scheme val="minor"/>
    </font>
    <font>
      <b/>
      <sz val="10"/>
      <name val="Verdana"/>
      <family val="2"/>
    </font>
    <font>
      <b/>
      <sz val="10"/>
      <name val="Verdana"/>
      <family val="2"/>
      <charset val="1"/>
    </font>
    <font>
      <u/>
      <sz val="11"/>
      <color theme="10"/>
      <name val="Calibri"/>
      <family val="2"/>
      <scheme val="minor"/>
    </font>
    <font>
      <sz val="11"/>
      <color rgb="FFE1F7FF"/>
      <name val="Calibri"/>
      <family val="2"/>
      <scheme val="minor"/>
    </font>
    <font>
      <sz val="11"/>
      <color rgb="FF8497B0"/>
      <name val="Calibri"/>
      <family val="2"/>
      <scheme val="minor"/>
    </font>
    <font>
      <sz val="11"/>
      <color rgb="FFFFFF00"/>
      <name val="Calibri"/>
      <family val="2"/>
      <scheme val="minor"/>
    </font>
    <font>
      <sz val="150"/>
      <color rgb="FFCDF2FF"/>
      <name val="Calibri"/>
      <family val="2"/>
      <scheme val="minor"/>
    </font>
    <font>
      <b/>
      <i/>
      <sz val="11"/>
      <color rgb="FFFF0000"/>
      <name val="Arial"/>
      <family val="2"/>
    </font>
    <font>
      <b/>
      <sz val="11"/>
      <color theme="0"/>
      <name val="Century Gothic"/>
      <family val="2"/>
    </font>
    <font>
      <sz val="12"/>
      <color theme="1"/>
      <name val="Calibri"/>
      <family val="2"/>
      <scheme val="minor"/>
    </font>
    <font>
      <sz val="12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9"/>
      <color indexed="81"/>
      <name val="Century Gothic"/>
      <family val="2"/>
    </font>
    <font>
      <b/>
      <sz val="11"/>
      <color indexed="10"/>
      <name val="Trebuchet MS"/>
      <family val="2"/>
    </font>
    <font>
      <sz val="12"/>
      <name val="Calibri"/>
      <family val="2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0"/>
      <color indexed="81"/>
      <name val="Century Gothic"/>
      <family val="2"/>
    </font>
    <font>
      <b/>
      <sz val="10"/>
      <color indexed="37"/>
      <name val="Century Gothic"/>
      <family val="2"/>
    </font>
    <font>
      <b/>
      <sz val="12"/>
      <color indexed="37"/>
      <name val="Century Gothic"/>
      <family val="2"/>
    </font>
    <font>
      <sz val="8"/>
      <name val="Tahoma"/>
      <family val="2"/>
    </font>
    <font>
      <b/>
      <sz val="16"/>
      <color indexed="30"/>
      <name val="tahoma"/>
      <family val="2"/>
    </font>
    <font>
      <b/>
      <sz val="8"/>
      <name val="Tahoma"/>
      <family val="2"/>
    </font>
    <font>
      <b/>
      <sz val="6"/>
      <name val="Tahoma"/>
      <family val="2"/>
    </font>
    <font>
      <sz val="8"/>
      <color rgb="FFFF0000"/>
      <name val="Tahoma"/>
      <family val="2"/>
    </font>
    <font>
      <b/>
      <sz val="20"/>
      <name val="Tahoma"/>
      <family val="2"/>
    </font>
    <font>
      <sz val="8"/>
      <name val="Tahoma"/>
      <family val="2"/>
      <charset val="1"/>
    </font>
    <font>
      <i/>
      <sz val="8"/>
      <name val="Tahoma"/>
      <family val="2"/>
    </font>
    <font>
      <b/>
      <sz val="8"/>
      <color indexed="30"/>
      <name val="Tahoma"/>
      <family val="2"/>
    </font>
    <font>
      <sz val="8"/>
      <color indexed="30"/>
      <name val="Tahoma"/>
      <family val="2"/>
    </font>
    <font>
      <sz val="6"/>
      <name val="Arial"/>
      <family val="2"/>
    </font>
    <font>
      <sz val="12"/>
      <color indexed="8"/>
      <name val="Calibri"/>
      <family val="2"/>
      <charset val="1"/>
    </font>
    <font>
      <b/>
      <sz val="18"/>
      <color indexed="8"/>
      <name val="Calibri"/>
      <family val="2"/>
      <charset val="1"/>
    </font>
    <font>
      <b/>
      <sz val="12"/>
      <color indexed="8"/>
      <name val="Calibri"/>
      <family val="2"/>
      <charset val="1"/>
    </font>
    <font>
      <sz val="12"/>
      <color indexed="8"/>
      <name val="Calibri"/>
      <family val="2"/>
    </font>
    <font>
      <sz val="11"/>
      <color indexed="8"/>
      <name val="Calibri"/>
      <family val="2"/>
    </font>
    <font>
      <b/>
      <sz val="10"/>
      <name val="arial"/>
      <family val="2"/>
    </font>
    <font>
      <sz val="10"/>
      <name val="Arial"/>
      <family val="2"/>
      <charset val="1"/>
    </font>
  </fonts>
  <fills count="21">
    <fill>
      <patternFill patternType="none"/>
    </fill>
    <fill>
      <patternFill patternType="gray125"/>
    </fill>
    <fill>
      <patternFill patternType="solid">
        <fgColor indexed="22"/>
        <bgColor indexed="24"/>
      </patternFill>
    </fill>
    <fill>
      <patternFill patternType="solid">
        <fgColor indexed="13"/>
        <bgColor indexed="34"/>
      </patternFill>
    </fill>
    <fill>
      <patternFill patternType="solid">
        <fgColor rgb="FFFFFF00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3" tint="-0.249977111117893"/>
        <bgColor indexed="64"/>
      </patternFill>
    </fill>
    <fill>
      <patternFill patternType="solid">
        <fgColor theme="3" tint="-0.499984740745262"/>
        <bgColor indexed="64"/>
      </patternFill>
    </fill>
    <fill>
      <patternFill patternType="solid">
        <fgColor rgb="FF1B4145"/>
        <bgColor indexed="64"/>
      </patternFill>
    </fill>
    <fill>
      <patternFill patternType="solid">
        <fgColor rgb="FF222B35"/>
        <bgColor indexed="64"/>
      </patternFill>
    </fill>
    <fill>
      <patternFill patternType="solid">
        <fgColor rgb="FF333F4F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9"/>
        <bgColor indexed="26"/>
      </patternFill>
    </fill>
    <fill>
      <patternFill patternType="solid">
        <fgColor theme="0"/>
        <bgColor indexed="26"/>
      </patternFill>
    </fill>
    <fill>
      <patternFill patternType="solid">
        <fgColor indexed="26"/>
        <bgColor indexed="9"/>
      </patternFill>
    </fill>
    <fill>
      <patternFill patternType="solid">
        <fgColor indexed="24"/>
        <bgColor indexed="22"/>
      </patternFill>
    </fill>
    <fill>
      <patternFill patternType="solid">
        <fgColor indexed="22"/>
        <bgColor indexed="31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FFE699"/>
        <bgColor indexed="64"/>
      </patternFill>
    </fill>
    <fill>
      <patternFill patternType="solid">
        <fgColor rgb="FFC6E0B4"/>
        <bgColor indexed="64"/>
      </patternFill>
    </fill>
  </fills>
  <borders count="46">
    <border>
      <left/>
      <right/>
      <top/>
      <bottom/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theme="0"/>
      </left>
      <right style="thin">
        <color theme="0"/>
      </right>
      <top style="thin">
        <color rgb="FF00CCFF"/>
      </top>
      <bottom style="thin">
        <color rgb="FF00CCFF"/>
      </bottom>
      <diagonal/>
    </border>
    <border>
      <left style="thin">
        <color indexed="8"/>
      </left>
      <right/>
      <top style="thin">
        <color indexed="8"/>
      </top>
      <bottom/>
      <diagonal/>
    </border>
    <border>
      <left/>
      <right/>
      <top style="thin">
        <color indexed="8"/>
      </top>
      <bottom/>
      <diagonal/>
    </border>
    <border>
      <left/>
      <right style="thin">
        <color indexed="8"/>
      </right>
      <top style="thin">
        <color indexed="8"/>
      </top>
      <bottom/>
      <diagonal/>
    </border>
    <border>
      <left style="thin">
        <color indexed="8"/>
      </left>
      <right/>
      <top/>
      <bottom/>
      <diagonal/>
    </border>
    <border>
      <left/>
      <right style="thin">
        <color indexed="8"/>
      </right>
      <top/>
      <bottom/>
      <diagonal/>
    </border>
    <border>
      <left style="thin">
        <color indexed="8"/>
      </left>
      <right/>
      <top/>
      <bottom style="thin">
        <color indexed="8"/>
      </bottom>
      <diagonal/>
    </border>
    <border>
      <left/>
      <right/>
      <top/>
      <bottom style="thin">
        <color indexed="8"/>
      </bottom>
      <diagonal/>
    </border>
    <border>
      <left/>
      <right style="thin">
        <color indexed="8"/>
      </right>
      <top/>
      <bottom style="thin">
        <color indexed="8"/>
      </bottom>
      <diagonal/>
    </border>
    <border>
      <left/>
      <right/>
      <top style="thin">
        <color indexed="8"/>
      </top>
      <bottom style="thin">
        <color indexed="8"/>
      </bottom>
      <diagonal/>
    </border>
    <border>
      <left style="medium">
        <color indexed="8"/>
      </left>
      <right/>
      <top style="medium">
        <color indexed="8"/>
      </top>
      <bottom/>
      <diagonal/>
    </border>
    <border>
      <left/>
      <right/>
      <top style="medium">
        <color indexed="8"/>
      </top>
      <bottom/>
      <diagonal/>
    </border>
    <border>
      <left/>
      <right/>
      <top style="medium">
        <color indexed="8"/>
      </top>
      <bottom style="thin">
        <color indexed="8"/>
      </bottom>
      <diagonal/>
    </border>
    <border>
      <left/>
      <right style="medium">
        <color indexed="8"/>
      </right>
      <top style="medium">
        <color indexed="8"/>
      </top>
      <bottom/>
      <diagonal/>
    </border>
    <border>
      <left style="medium">
        <color indexed="8"/>
      </left>
      <right/>
      <top/>
      <bottom style="thin">
        <color indexed="8"/>
      </bottom>
      <diagonal/>
    </border>
    <border>
      <left/>
      <right style="medium">
        <color indexed="8"/>
      </right>
      <top/>
      <bottom style="thin">
        <color indexed="8"/>
      </bottom>
      <diagonal/>
    </border>
    <border>
      <left style="medium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/>
      <right style="medium">
        <color indexed="8"/>
      </right>
      <top style="thin">
        <color indexed="8"/>
      </top>
      <bottom/>
      <diagonal/>
    </border>
    <border>
      <left style="medium">
        <color indexed="8"/>
      </left>
      <right/>
      <top/>
      <bottom/>
      <diagonal/>
    </border>
    <border>
      <left/>
      <right style="medium">
        <color indexed="8"/>
      </right>
      <top/>
      <bottom/>
      <diagonal/>
    </border>
    <border>
      <left style="thin">
        <color indexed="8"/>
      </left>
      <right style="medium">
        <color indexed="8"/>
      </right>
      <top style="thin">
        <color indexed="8"/>
      </top>
      <bottom style="thin">
        <color indexed="8"/>
      </bottom>
      <diagonal/>
    </border>
    <border>
      <left style="medium">
        <color indexed="8"/>
      </left>
      <right style="medium">
        <color indexed="8"/>
      </right>
      <top/>
      <bottom/>
      <diagonal/>
    </border>
    <border>
      <left style="medium">
        <color indexed="8"/>
      </left>
      <right/>
      <top/>
      <bottom style="medium">
        <color indexed="8"/>
      </bottom>
      <diagonal/>
    </border>
    <border>
      <left/>
      <right/>
      <top/>
      <bottom style="medium">
        <color indexed="8"/>
      </bottom>
      <diagonal/>
    </border>
    <border>
      <left style="medium">
        <color indexed="8"/>
      </left>
      <right style="thin">
        <color indexed="8"/>
      </right>
      <top/>
      <bottom/>
      <diagonal/>
    </border>
    <border>
      <left style="medium">
        <color indexed="8"/>
      </left>
      <right/>
      <top style="thin">
        <color indexed="8"/>
      </top>
      <bottom style="double">
        <color indexed="8"/>
      </bottom>
      <diagonal/>
    </border>
    <border>
      <left/>
      <right/>
      <top style="thin">
        <color indexed="8"/>
      </top>
      <bottom style="double">
        <color indexed="8"/>
      </bottom>
      <diagonal/>
    </border>
    <border>
      <left/>
      <right/>
      <top/>
      <bottom style="double">
        <color indexed="8"/>
      </bottom>
      <diagonal/>
    </border>
    <border>
      <left style="medium">
        <color indexed="8"/>
      </left>
      <right/>
      <top style="thin">
        <color indexed="8"/>
      </top>
      <bottom style="medium">
        <color indexed="8"/>
      </bottom>
      <diagonal/>
    </border>
    <border>
      <left/>
      <right/>
      <top style="thin">
        <color indexed="8"/>
      </top>
      <bottom style="medium">
        <color indexed="8"/>
      </bottom>
      <diagonal/>
    </border>
    <border>
      <left style="medium">
        <color indexed="8"/>
      </left>
      <right style="medium">
        <color indexed="8"/>
      </right>
      <top style="medium">
        <color indexed="8"/>
      </top>
      <bottom style="medium">
        <color indexed="8"/>
      </bottom>
      <diagonal/>
    </border>
    <border>
      <left style="medium">
        <color indexed="8"/>
      </left>
      <right/>
      <top style="thin">
        <color indexed="8"/>
      </top>
      <bottom style="thin">
        <color indexed="8"/>
      </bottom>
      <diagonal/>
    </border>
    <border>
      <left/>
      <right style="medium">
        <color indexed="8"/>
      </right>
      <top style="thin">
        <color indexed="8"/>
      </top>
      <bottom style="thin">
        <color indexed="8"/>
      </bottom>
      <diagonal/>
    </border>
    <border>
      <left/>
      <right style="medium">
        <color indexed="8"/>
      </right>
      <top/>
      <bottom style="medium">
        <color indexed="8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8"/>
      </left>
      <right style="thin">
        <color indexed="8"/>
      </right>
      <top/>
      <bottom style="double">
        <color indexed="8"/>
      </bottom>
      <diagonal/>
    </border>
    <border>
      <left/>
      <right/>
      <top style="thin">
        <color indexed="8"/>
      </top>
      <bottom/>
      <diagonal/>
    </border>
    <border>
      <left style="thin">
        <color indexed="8"/>
      </left>
      <right style="thin">
        <color indexed="8"/>
      </right>
      <top style="thin">
        <color indexed="8"/>
      </top>
      <bottom/>
      <diagonal/>
    </border>
    <border>
      <left style="thin">
        <color indexed="8"/>
      </left>
      <right/>
      <top style="thin">
        <color indexed="8"/>
      </top>
      <bottom style="thin">
        <color indexed="8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double">
        <color indexed="8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8"/>
      </left>
      <right style="thin">
        <color indexed="8"/>
      </right>
      <top/>
      <bottom/>
      <diagonal/>
    </border>
  </borders>
  <cellStyleXfs count="4">
    <xf numFmtId="0" fontId="0" fillId="0" borderId="0"/>
    <xf numFmtId="0" fontId="3" fillId="0" borderId="0" applyNumberFormat="0" applyFill="0" applyBorder="0" applyAlignment="0" applyProtection="0"/>
    <xf numFmtId="44" fontId="18" fillId="0" borderId="0" applyFont="0" applyFill="0" applyBorder="0" applyAlignment="0" applyProtection="0"/>
    <xf numFmtId="0" fontId="39" fillId="0" borderId="0"/>
  </cellStyleXfs>
  <cellXfs count="189">
    <xf numFmtId="0" fontId="0" fillId="0" borderId="0" xfId="0"/>
    <xf numFmtId="0" fontId="0" fillId="5" borderId="0" xfId="0" applyFill="1" applyAlignment="1">
      <alignment horizontal="left"/>
    </xf>
    <xf numFmtId="0" fontId="0" fillId="5" borderId="0" xfId="0" applyFill="1"/>
    <xf numFmtId="0" fontId="5" fillId="6" borderId="0" xfId="0" applyFont="1" applyFill="1"/>
    <xf numFmtId="0" fontId="6" fillId="6" borderId="0" xfId="0" applyFont="1" applyFill="1"/>
    <xf numFmtId="0" fontId="5" fillId="6" borderId="0" xfId="0" applyFont="1" applyFill="1" applyAlignment="1">
      <alignment horizontal="right"/>
    </xf>
    <xf numFmtId="0" fontId="0" fillId="5" borderId="0" xfId="0" applyFill="1" applyAlignment="1">
      <alignment horizontal="right"/>
    </xf>
    <xf numFmtId="0" fontId="0" fillId="7" borderId="0" xfId="0" applyFill="1"/>
    <xf numFmtId="0" fontId="7" fillId="7" borderId="0" xfId="0" applyFont="1" applyFill="1" applyAlignment="1">
      <alignment vertical="center"/>
    </xf>
    <xf numFmtId="0" fontId="10" fillId="7" borderId="0" xfId="0" applyFont="1" applyFill="1" applyAlignment="1">
      <alignment horizontal="center" vertical="center"/>
    </xf>
    <xf numFmtId="0" fontId="10" fillId="0" borderId="0" xfId="0" applyFont="1" applyAlignment="1">
      <alignment horizontal="center" vertical="center"/>
    </xf>
    <xf numFmtId="0" fontId="9" fillId="8" borderId="4" xfId="0" applyFont="1" applyFill="1" applyBorder="1" applyAlignment="1">
      <alignment horizontal="center" vertical="center"/>
    </xf>
    <xf numFmtId="0" fontId="10" fillId="0" borderId="4" xfId="0" applyFont="1" applyBorder="1" applyAlignment="1">
      <alignment horizontal="left" vertical="center"/>
    </xf>
    <xf numFmtId="0" fontId="3" fillId="0" borderId="4" xfId="1" applyFill="1" applyBorder="1" applyAlignment="1">
      <alignment horizontal="left" vertical="center"/>
    </xf>
    <xf numFmtId="0" fontId="11" fillId="0" borderId="4" xfId="0" applyFont="1" applyBorder="1" applyAlignment="1">
      <alignment horizontal="center" vertical="center"/>
    </xf>
    <xf numFmtId="0" fontId="0" fillId="9" borderId="0" xfId="0" applyFill="1"/>
    <xf numFmtId="0" fontId="0" fillId="0" borderId="0" xfId="0" applyFill="1"/>
    <xf numFmtId="0" fontId="4" fillId="0" borderId="0" xfId="0" applyFont="1" applyFill="1"/>
    <xf numFmtId="0" fontId="5" fillId="10" borderId="0" xfId="0" applyFont="1" applyFill="1"/>
    <xf numFmtId="0" fontId="4" fillId="9" borderId="0" xfId="0" applyFont="1" applyFill="1"/>
    <xf numFmtId="0" fontId="6" fillId="10" borderId="0" xfId="0" applyFont="1" applyFill="1"/>
    <xf numFmtId="0" fontId="16" fillId="0" borderId="4" xfId="0" applyFont="1" applyBorder="1" applyAlignment="1">
      <alignment horizontal="center" vertical="center"/>
    </xf>
    <xf numFmtId="0" fontId="1" fillId="3" borderId="1" xfId="0" applyFont="1" applyFill="1" applyBorder="1" applyAlignment="1">
      <alignment horizontal="center" vertical="center" wrapText="1"/>
    </xf>
    <xf numFmtId="0" fontId="1" fillId="2" borderId="1" xfId="0" applyFont="1" applyFill="1" applyBorder="1" applyAlignment="1">
      <alignment horizontal="center" vertical="center" wrapText="1"/>
    </xf>
    <xf numFmtId="2" fontId="1" fillId="3" borderId="1" xfId="0" applyNumberFormat="1" applyFont="1" applyFill="1" applyBorder="1" applyAlignment="1">
      <alignment horizontal="center" vertical="center"/>
    </xf>
    <xf numFmtId="0" fontId="0" fillId="0" borderId="0" xfId="0" applyAlignment="1">
      <alignment vertical="center"/>
    </xf>
    <xf numFmtId="0" fontId="17" fillId="0" borderId="0" xfId="0" applyFont="1"/>
    <xf numFmtId="0" fontId="22" fillId="12" borderId="14" xfId="0" applyFont="1" applyFill="1" applyBorder="1" applyAlignment="1">
      <alignment horizontal="left" vertical="top"/>
    </xf>
    <xf numFmtId="0" fontId="22" fillId="12" borderId="15" xfId="0" applyFont="1" applyFill="1" applyBorder="1" applyAlignment="1">
      <alignment horizontal="left" vertical="top"/>
    </xf>
    <xf numFmtId="0" fontId="22" fillId="0" borderId="15" xfId="0" applyFont="1" applyBorder="1" applyAlignment="1">
      <alignment horizontal="left" vertical="top"/>
    </xf>
    <xf numFmtId="0" fontId="22" fillId="12" borderId="17" xfId="0" applyFont="1" applyFill="1" applyBorder="1" applyAlignment="1">
      <alignment horizontal="left" vertical="top"/>
    </xf>
    <xf numFmtId="0" fontId="22" fillId="12" borderId="18" xfId="0" applyFont="1" applyFill="1" applyBorder="1" applyAlignment="1">
      <alignment horizontal="left" vertical="top"/>
    </xf>
    <xf numFmtId="0" fontId="22" fillId="12" borderId="11" xfId="0" applyFont="1" applyFill="1" applyBorder="1" applyAlignment="1">
      <alignment horizontal="left" vertical="top"/>
    </xf>
    <xf numFmtId="0" fontId="22" fillId="0" borderId="11" xfId="0" applyFont="1" applyBorder="1" applyAlignment="1">
      <alignment horizontal="left" vertical="top"/>
    </xf>
    <xf numFmtId="0" fontId="22" fillId="12" borderId="19" xfId="0" applyFont="1" applyFill="1" applyBorder="1" applyAlignment="1">
      <alignment horizontal="left" vertical="top"/>
    </xf>
    <xf numFmtId="0" fontId="24" fillId="0" borderId="20" xfId="0" applyFont="1" applyBorder="1" applyAlignment="1">
      <alignment horizontal="left" vertical="top" wrapText="1"/>
    </xf>
    <xf numFmtId="0" fontId="24" fillId="0" borderId="6" xfId="0" applyFont="1" applyBorder="1" applyAlignment="1">
      <alignment horizontal="left" vertical="top" wrapText="1"/>
    </xf>
    <xf numFmtId="0" fontId="24" fillId="0" borderId="7" xfId="0" applyFont="1" applyBorder="1" applyAlignment="1">
      <alignment horizontal="left" vertical="top" wrapText="1"/>
    </xf>
    <xf numFmtId="0" fontId="24" fillId="0" borderId="5" xfId="0" applyFont="1" applyBorder="1" applyAlignment="1">
      <alignment horizontal="left" vertical="top"/>
    </xf>
    <xf numFmtId="0" fontId="22" fillId="0" borderId="6" xfId="0" applyFont="1" applyBorder="1" applyAlignment="1">
      <alignment horizontal="left" vertical="top"/>
    </xf>
    <xf numFmtId="0" fontId="22" fillId="12" borderId="6" xfId="0" applyFont="1" applyFill="1" applyBorder="1" applyAlignment="1">
      <alignment horizontal="left" vertical="top"/>
    </xf>
    <xf numFmtId="0" fontId="22" fillId="12" borderId="7" xfId="0" applyFont="1" applyFill="1" applyBorder="1" applyAlignment="1">
      <alignment horizontal="left" vertical="top"/>
    </xf>
    <xf numFmtId="0" fontId="24" fillId="12" borderId="6" xfId="0" applyFont="1" applyFill="1" applyBorder="1" applyAlignment="1">
      <alignment horizontal="left" vertical="top"/>
    </xf>
    <xf numFmtId="0" fontId="22" fillId="12" borderId="21" xfId="0" applyFont="1" applyFill="1" applyBorder="1" applyAlignment="1">
      <alignment horizontal="left" vertical="top"/>
    </xf>
    <xf numFmtId="0" fontId="24" fillId="0" borderId="22" xfId="0" applyFont="1" applyBorder="1" applyAlignment="1">
      <alignment horizontal="left" vertical="top"/>
    </xf>
    <xf numFmtId="0" fontId="24" fillId="0" borderId="0" xfId="0" applyFont="1" applyAlignment="1">
      <alignment horizontal="left" vertical="top" wrapText="1"/>
    </xf>
    <xf numFmtId="0" fontId="24" fillId="0" borderId="9" xfId="0" applyFont="1" applyBorder="1" applyAlignment="1">
      <alignment horizontal="left" vertical="top" wrapText="1"/>
    </xf>
    <xf numFmtId="0" fontId="22" fillId="0" borderId="8" xfId="0" applyFont="1" applyBorder="1" applyAlignment="1">
      <alignment horizontal="left" vertical="top"/>
    </xf>
    <xf numFmtId="0" fontId="26" fillId="0" borderId="0" xfId="0" applyFont="1" applyAlignment="1">
      <alignment horizontal="left" vertical="top"/>
    </xf>
    <xf numFmtId="0" fontId="22" fillId="12" borderId="0" xfId="0" applyFont="1" applyFill="1" applyAlignment="1">
      <alignment horizontal="left" vertical="top"/>
    </xf>
    <xf numFmtId="0" fontId="22" fillId="12" borderId="9" xfId="0" applyFont="1" applyFill="1" applyBorder="1" applyAlignment="1">
      <alignment horizontal="left" vertical="top"/>
    </xf>
    <xf numFmtId="0" fontId="22" fillId="12" borderId="23" xfId="0" applyFont="1" applyFill="1" applyBorder="1" applyAlignment="1">
      <alignment horizontal="left" vertical="top"/>
    </xf>
    <xf numFmtId="166" fontId="22" fillId="0" borderId="10" xfId="0" applyNumberFormat="1" applyFont="1" applyBorder="1" applyAlignment="1">
      <alignment horizontal="left" vertical="top"/>
    </xf>
    <xf numFmtId="0" fontId="26" fillId="0" borderId="11" xfId="0" applyFont="1" applyBorder="1" applyAlignment="1">
      <alignment horizontal="left" vertical="top"/>
    </xf>
    <xf numFmtId="0" fontId="22" fillId="12" borderId="12" xfId="0" applyFont="1" applyFill="1" applyBorder="1" applyAlignment="1">
      <alignment horizontal="left" vertical="top"/>
    </xf>
    <xf numFmtId="0" fontId="24" fillId="0" borderId="8" xfId="0" applyFont="1" applyBorder="1" applyAlignment="1">
      <alignment horizontal="left" vertical="top"/>
    </xf>
    <xf numFmtId="0" fontId="24" fillId="12" borderId="5" xfId="0" applyFont="1" applyFill="1" applyBorder="1" applyAlignment="1">
      <alignment horizontal="left" vertical="top"/>
    </xf>
    <xf numFmtId="0" fontId="22" fillId="0" borderId="0" xfId="0" applyFont="1" applyAlignment="1">
      <alignment horizontal="left" vertical="top"/>
    </xf>
    <xf numFmtId="0" fontId="24" fillId="0" borderId="18" xfId="0" applyFont="1" applyBorder="1" applyAlignment="1">
      <alignment horizontal="left" vertical="top" wrapText="1"/>
    </xf>
    <xf numFmtId="0" fontId="24" fillId="0" borderId="11" xfId="0" applyFont="1" applyBorder="1" applyAlignment="1">
      <alignment horizontal="left" vertical="top" wrapText="1"/>
    </xf>
    <xf numFmtId="0" fontId="24" fillId="0" borderId="12" xfId="0" applyFont="1" applyBorder="1" applyAlignment="1">
      <alignment horizontal="left" vertical="top" wrapText="1"/>
    </xf>
    <xf numFmtId="0" fontId="22" fillId="0" borderId="10" xfId="0" applyFont="1" applyBorder="1" applyAlignment="1">
      <alignment horizontal="left" vertical="top"/>
    </xf>
    <xf numFmtId="0" fontId="25" fillId="0" borderId="5" xfId="0" applyFont="1" applyBorder="1" applyAlignment="1">
      <alignment horizontal="left" vertical="top"/>
    </xf>
    <xf numFmtId="0" fontId="25" fillId="12" borderId="8" xfId="0" applyFont="1" applyFill="1" applyBorder="1" applyAlignment="1">
      <alignment horizontal="left" vertical="top"/>
    </xf>
    <xf numFmtId="0" fontId="22" fillId="12" borderId="10" xfId="0" applyFont="1" applyFill="1" applyBorder="1" applyAlignment="1">
      <alignment horizontal="left" vertical="top"/>
    </xf>
    <xf numFmtId="0" fontId="27" fillId="12" borderId="6" xfId="0" applyFont="1" applyFill="1" applyBorder="1" applyAlignment="1">
      <alignment horizontal="left" vertical="top"/>
    </xf>
    <xf numFmtId="0" fontId="28" fillId="0" borderId="8" xfId="0" applyFont="1" applyBorder="1" applyAlignment="1">
      <alignment horizontal="left" vertical="top"/>
    </xf>
    <xf numFmtId="0" fontId="22" fillId="13" borderId="0" xfId="0" applyFont="1" applyFill="1" applyAlignment="1">
      <alignment horizontal="left" vertical="top"/>
    </xf>
    <xf numFmtId="14" fontId="22" fillId="0" borderId="0" xfId="0" applyNumberFormat="1" applyFont="1" applyAlignment="1">
      <alignment horizontal="left" vertical="top"/>
    </xf>
    <xf numFmtId="0" fontId="22" fillId="11" borderId="0" xfId="0" applyFont="1" applyFill="1" applyAlignment="1">
      <alignment horizontal="left" vertical="top" wrapText="1"/>
    </xf>
    <xf numFmtId="0" fontId="22" fillId="11" borderId="11" xfId="0" applyFont="1" applyFill="1" applyBorder="1" applyAlignment="1">
      <alignment horizontal="left" vertical="top" wrapText="1"/>
    </xf>
    <xf numFmtId="0" fontId="24" fillId="12" borderId="22" xfId="0" applyFont="1" applyFill="1" applyBorder="1" applyAlignment="1">
      <alignment horizontal="left" vertical="top"/>
    </xf>
    <xf numFmtId="0" fontId="22" fillId="13" borderId="6" xfId="0" applyFont="1" applyFill="1" applyBorder="1" applyAlignment="1">
      <alignment horizontal="left" vertical="top"/>
    </xf>
    <xf numFmtId="0" fontId="22" fillId="12" borderId="22" xfId="0" applyFont="1" applyFill="1" applyBorder="1" applyAlignment="1">
      <alignment horizontal="left" vertical="top"/>
    </xf>
    <xf numFmtId="0" fontId="24" fillId="0" borderId="26" xfId="0" applyFont="1" applyBorder="1"/>
    <xf numFmtId="0" fontId="24" fillId="0" borderId="27" xfId="0" applyFont="1" applyBorder="1"/>
    <xf numFmtId="0" fontId="24" fillId="0" borderId="27" xfId="0" applyFont="1" applyBorder="1" applyAlignment="1">
      <alignment horizontal="right"/>
    </xf>
    <xf numFmtId="0" fontId="24" fillId="0" borderId="20" xfId="0" applyFont="1" applyBorder="1"/>
    <xf numFmtId="0" fontId="24" fillId="0" borderId="1" xfId="0" applyFont="1" applyBorder="1"/>
    <xf numFmtId="1" fontId="22" fillId="0" borderId="1" xfId="0" applyNumberFormat="1" applyFont="1" applyBorder="1" applyAlignment="1">
      <alignment horizontal="right"/>
    </xf>
    <xf numFmtId="1" fontId="22" fillId="0" borderId="1" xfId="0" applyNumberFormat="1" applyFont="1" applyBorder="1"/>
    <xf numFmtId="4" fontId="22" fillId="0" borderId="1" xfId="2" applyNumberFormat="1" applyFont="1" applyFill="1" applyBorder="1" applyAlignment="1" applyProtection="1"/>
    <xf numFmtId="167" fontId="22" fillId="0" borderId="1" xfId="2" applyNumberFormat="1" applyFont="1" applyFill="1" applyBorder="1" applyAlignment="1" applyProtection="1"/>
    <xf numFmtId="0" fontId="24" fillId="14" borderId="31" xfId="0" applyFont="1" applyFill="1" applyBorder="1" applyAlignment="1">
      <alignment horizontal="right"/>
    </xf>
    <xf numFmtId="1" fontId="24" fillId="14" borderId="31" xfId="0" applyNumberFormat="1" applyFont="1" applyFill="1" applyBorder="1" applyAlignment="1">
      <alignment horizontal="right"/>
    </xf>
    <xf numFmtId="167" fontId="24" fillId="14" borderId="31" xfId="2" applyNumberFormat="1" applyFont="1" applyFill="1" applyBorder="1" applyAlignment="1" applyProtection="1">
      <alignment horizontal="right"/>
    </xf>
    <xf numFmtId="0" fontId="22" fillId="14" borderId="0" xfId="0" applyFont="1" applyFill="1" applyAlignment="1">
      <alignment horizontal="left" vertical="top"/>
    </xf>
    <xf numFmtId="0" fontId="22" fillId="14" borderId="23" xfId="0" applyFont="1" applyFill="1" applyBorder="1" applyAlignment="1">
      <alignment horizontal="left" vertical="top"/>
    </xf>
    <xf numFmtId="0" fontId="24" fillId="12" borderId="22" xfId="0" applyFont="1" applyFill="1" applyBorder="1"/>
    <xf numFmtId="0" fontId="24" fillId="12" borderId="0" xfId="0" applyFont="1" applyFill="1"/>
    <xf numFmtId="0" fontId="24" fillId="12" borderId="0" xfId="0" applyFont="1" applyFill="1" applyAlignment="1">
      <alignment horizontal="right"/>
    </xf>
    <xf numFmtId="0" fontId="24" fillId="0" borderId="0" xfId="0" applyFont="1" applyAlignment="1">
      <alignment horizontal="right"/>
    </xf>
    <xf numFmtId="0" fontId="24" fillId="0" borderId="22" xfId="0" applyFont="1" applyBorder="1"/>
    <xf numFmtId="0" fontId="29" fillId="0" borderId="0" xfId="0" applyFont="1"/>
    <xf numFmtId="0" fontId="24" fillId="0" borderId="0" xfId="0" applyFont="1"/>
    <xf numFmtId="0" fontId="22" fillId="0" borderId="1" xfId="0" applyFont="1" applyBorder="1"/>
    <xf numFmtId="0" fontId="22" fillId="0" borderId="1" xfId="2" applyNumberFormat="1" applyFont="1" applyFill="1" applyBorder="1" applyAlignment="1" applyProtection="1">
      <alignment horizontal="right"/>
    </xf>
    <xf numFmtId="167" fontId="22" fillId="0" borderId="1" xfId="2" applyNumberFormat="1" applyFont="1" applyFill="1" applyBorder="1" applyAlignment="1" applyProtection="1">
      <alignment horizontal="right"/>
    </xf>
    <xf numFmtId="0" fontId="22" fillId="0" borderId="1" xfId="0" applyFont="1" applyBorder="1" applyAlignment="1">
      <alignment horizontal="right"/>
    </xf>
    <xf numFmtId="0" fontId="22" fillId="0" borderId="0" xfId="0" applyFont="1"/>
    <xf numFmtId="167" fontId="22" fillId="0" borderId="0" xfId="2" applyNumberFormat="1" applyFont="1" applyFill="1" applyBorder="1" applyAlignment="1" applyProtection="1"/>
    <xf numFmtId="1" fontId="22" fillId="0" borderId="0" xfId="0" applyNumberFormat="1" applyFont="1"/>
    <xf numFmtId="0" fontId="22" fillId="0" borderId="0" xfId="0" applyFont="1" applyAlignment="1">
      <alignment horizontal="right"/>
    </xf>
    <xf numFmtId="167" fontId="22" fillId="0" borderId="0" xfId="2" applyNumberFormat="1" applyFont="1" applyFill="1" applyBorder="1" applyAlignment="1" applyProtection="1">
      <alignment horizontal="right"/>
    </xf>
    <xf numFmtId="0" fontId="30" fillId="15" borderId="32" xfId="0" applyFont="1" applyFill="1" applyBorder="1"/>
    <xf numFmtId="0" fontId="30" fillId="15" borderId="33" xfId="0" applyFont="1" applyFill="1" applyBorder="1"/>
    <xf numFmtId="167" fontId="30" fillId="15" borderId="34" xfId="2" applyNumberFormat="1" applyFont="1" applyFill="1" applyBorder="1" applyAlignment="1" applyProtection="1">
      <alignment horizontal="right"/>
    </xf>
    <xf numFmtId="0" fontId="31" fillId="15" borderId="0" xfId="0" applyFont="1" applyFill="1" applyAlignment="1">
      <alignment horizontal="left" vertical="top"/>
    </xf>
    <xf numFmtId="0" fontId="31" fillId="15" borderId="23" xfId="0" applyFont="1" applyFill="1" applyBorder="1" applyAlignment="1">
      <alignment horizontal="left" vertical="top"/>
    </xf>
    <xf numFmtId="0" fontId="22" fillId="12" borderId="23" xfId="0" applyFont="1" applyFill="1" applyBorder="1" applyAlignment="1">
      <alignment horizontal="right"/>
    </xf>
    <xf numFmtId="0" fontId="22" fillId="12" borderId="26" xfId="0" applyFont="1" applyFill="1" applyBorder="1" applyAlignment="1">
      <alignment horizontal="left" vertical="top"/>
    </xf>
    <xf numFmtId="0" fontId="22" fillId="12" borderId="27" xfId="0" applyFont="1" applyFill="1" applyBorder="1" applyAlignment="1">
      <alignment horizontal="left" vertical="top"/>
    </xf>
    <xf numFmtId="0" fontId="22" fillId="0" borderId="27" xfId="0" applyFont="1" applyBorder="1" applyAlignment="1">
      <alignment horizontal="left" vertical="top"/>
    </xf>
    <xf numFmtId="0" fontId="32" fillId="0" borderId="27" xfId="0" applyFont="1" applyBorder="1"/>
    <xf numFmtId="0" fontId="22" fillId="12" borderId="37" xfId="0" applyFont="1" applyFill="1" applyBorder="1" applyAlignment="1">
      <alignment horizontal="left" vertical="top"/>
    </xf>
    <xf numFmtId="0" fontId="0" fillId="0" borderId="38" xfId="0" applyBorder="1" applyAlignment="1">
      <alignment horizontal="center" vertical="center"/>
    </xf>
    <xf numFmtId="2" fontId="0" fillId="0" borderId="38" xfId="0" applyNumberFormat="1" applyBorder="1" applyAlignment="1">
      <alignment horizontal="center" vertical="center"/>
    </xf>
    <xf numFmtId="165" fontId="0" fillId="0" borderId="38" xfId="0" applyNumberFormat="1" applyBorder="1" applyAlignment="1">
      <alignment horizontal="center" vertical="center"/>
    </xf>
    <xf numFmtId="0" fontId="17" fillId="0" borderId="38" xfId="0" applyFont="1" applyBorder="1" applyAlignment="1">
      <alignment horizontal="center" vertical="center"/>
    </xf>
    <xf numFmtId="0" fontId="0" fillId="0" borderId="0" xfId="0" applyAlignment="1">
      <alignment horizontal="center"/>
    </xf>
    <xf numFmtId="0" fontId="33" fillId="16" borderId="39" xfId="0" applyFont="1" applyFill="1" applyBorder="1" applyAlignment="1">
      <alignment horizontal="center" wrapText="1"/>
    </xf>
    <xf numFmtId="0" fontId="33" fillId="16" borderId="39" xfId="0" applyFont="1" applyFill="1" applyBorder="1" applyAlignment="1">
      <alignment horizontal="center" vertical="center" wrapText="1"/>
    </xf>
    <xf numFmtId="0" fontId="37" fillId="16" borderId="39" xfId="0" applyFont="1" applyFill="1" applyBorder="1" applyAlignment="1">
      <alignment horizontal="center" wrapText="1"/>
    </xf>
    <xf numFmtId="2" fontId="33" fillId="16" borderId="39" xfId="0" applyNumberFormat="1" applyFont="1" applyFill="1" applyBorder="1" applyAlignment="1">
      <alignment horizontal="center" wrapText="1"/>
    </xf>
    <xf numFmtId="0" fontId="38" fillId="0" borderId="0" xfId="0" applyFont="1"/>
    <xf numFmtId="0" fontId="33" fillId="16" borderId="41" xfId="0" applyFont="1" applyFill="1" applyBorder="1" applyAlignment="1">
      <alignment horizontal="center" wrapText="1"/>
    </xf>
    <xf numFmtId="0" fontId="33" fillId="16" borderId="41" xfId="0" applyFont="1" applyFill="1" applyBorder="1" applyAlignment="1">
      <alignment horizontal="center" vertical="center" wrapText="1"/>
    </xf>
    <xf numFmtId="0" fontId="36" fillId="16" borderId="41" xfId="0" applyFont="1" applyFill="1" applyBorder="1" applyAlignment="1">
      <alignment horizontal="center" wrapText="1"/>
    </xf>
    <xf numFmtId="0" fontId="33" fillId="16" borderId="40" xfId="0" applyFont="1" applyFill="1" applyBorder="1" applyAlignment="1">
      <alignment horizontal="center" wrapText="1"/>
    </xf>
    <xf numFmtId="2" fontId="33" fillId="16" borderId="41" xfId="0" applyNumberFormat="1" applyFont="1" applyFill="1" applyBorder="1" applyAlignment="1">
      <alignment horizontal="center" wrapText="1"/>
    </xf>
    <xf numFmtId="0" fontId="35" fillId="16" borderId="43" xfId="0" applyFont="1" applyFill="1" applyBorder="1" applyAlignment="1">
      <alignment horizontal="center"/>
    </xf>
    <xf numFmtId="9" fontId="35" fillId="16" borderId="43" xfId="0" applyNumberFormat="1" applyFont="1" applyFill="1" applyBorder="1" applyAlignment="1">
      <alignment horizontal="center"/>
    </xf>
    <xf numFmtId="0" fontId="0" fillId="0" borderId="44" xfId="0" applyBorder="1" applyAlignment="1">
      <alignment horizontal="center"/>
    </xf>
    <xf numFmtId="0" fontId="38" fillId="0" borderId="44" xfId="0" applyFont="1" applyBorder="1" applyAlignment="1">
      <alignment horizontal="center"/>
    </xf>
    <xf numFmtId="2" fontId="33" fillId="0" borderId="0" xfId="0" applyNumberFormat="1" applyFont="1" applyFill="1" applyBorder="1" applyAlignment="1">
      <alignment horizontal="center" wrapText="1"/>
    </xf>
    <xf numFmtId="0" fontId="0" fillId="17" borderId="44" xfId="0" applyFill="1" applyBorder="1" applyAlignment="1">
      <alignment horizontal="center"/>
    </xf>
    <xf numFmtId="0" fontId="0" fillId="0" borderId="0" xfId="0" applyAlignment="1">
      <alignment horizontal="left"/>
    </xf>
    <xf numFmtId="0" fontId="0" fillId="18" borderId="44" xfId="0" applyFill="1" applyBorder="1" applyAlignment="1">
      <alignment horizontal="center"/>
    </xf>
    <xf numFmtId="0" fontId="1" fillId="3" borderId="1" xfId="0" applyFont="1" applyFill="1" applyBorder="1" applyAlignment="1">
      <alignment horizontal="center" vertical="center" wrapText="1"/>
    </xf>
    <xf numFmtId="0" fontId="1" fillId="2" borderId="1" xfId="0" applyFont="1" applyFill="1" applyBorder="1" applyAlignment="1">
      <alignment horizontal="center" vertical="center" wrapText="1"/>
    </xf>
    <xf numFmtId="2" fontId="1" fillId="3" borderId="1" xfId="0" applyNumberFormat="1" applyFont="1" applyFill="1" applyBorder="1" applyAlignment="1">
      <alignment horizontal="center" vertical="center"/>
    </xf>
    <xf numFmtId="0" fontId="24" fillId="0" borderId="18" xfId="0" applyFont="1" applyBorder="1" applyAlignment="1">
      <alignment horizontal="left" vertical="top" wrapText="1"/>
    </xf>
    <xf numFmtId="0" fontId="24" fillId="0" borderId="11" xfId="0" applyFont="1" applyBorder="1" applyAlignment="1">
      <alignment horizontal="left" vertical="top" wrapText="1"/>
    </xf>
    <xf numFmtId="0" fontId="22" fillId="12" borderId="11" xfId="0" applyFont="1" applyFill="1" applyBorder="1" applyAlignment="1">
      <alignment horizontal="left" vertical="top"/>
    </xf>
    <xf numFmtId="0" fontId="22" fillId="12" borderId="19" xfId="0" applyFont="1" applyFill="1" applyBorder="1" applyAlignment="1">
      <alignment horizontal="left" vertical="top"/>
    </xf>
    <xf numFmtId="0" fontId="24" fillId="0" borderId="20" xfId="0" applyFont="1" applyBorder="1" applyAlignment="1">
      <alignment horizontal="left" vertical="top" wrapText="1"/>
    </xf>
    <xf numFmtId="0" fontId="0" fillId="18" borderId="0" xfId="0" applyFill="1" applyAlignment="1">
      <alignment horizontal="center"/>
    </xf>
    <xf numFmtId="44" fontId="0" fillId="18" borderId="0" xfId="2" applyFont="1" applyFill="1" applyAlignment="1">
      <alignment horizontal="center"/>
    </xf>
    <xf numFmtId="2" fontId="0" fillId="18" borderId="0" xfId="0" applyNumberFormat="1" applyFill="1" applyAlignment="1">
      <alignment horizontal="center"/>
    </xf>
    <xf numFmtId="0" fontId="0" fillId="18" borderId="0" xfId="0" applyFill="1"/>
    <xf numFmtId="0" fontId="0" fillId="17" borderId="0" xfId="0" applyFill="1"/>
    <xf numFmtId="0" fontId="0" fillId="17" borderId="0" xfId="0" applyFill="1" applyAlignment="1">
      <alignment horizontal="center"/>
    </xf>
    <xf numFmtId="44" fontId="0" fillId="17" borderId="0" xfId="2" applyFont="1" applyFill="1" applyAlignment="1">
      <alignment horizontal="center"/>
    </xf>
    <xf numFmtId="2" fontId="0" fillId="17" borderId="0" xfId="0" applyNumberFormat="1" applyFill="1" applyAlignment="1">
      <alignment horizontal="center"/>
    </xf>
    <xf numFmtId="0" fontId="0" fillId="19" borderId="38" xfId="0" applyFill="1" applyBorder="1" applyAlignment="1">
      <alignment horizontal="center" vertical="center"/>
    </xf>
    <xf numFmtId="0" fontId="0" fillId="20" borderId="38" xfId="0" applyFill="1" applyBorder="1" applyAlignment="1">
      <alignment horizontal="center" vertical="center"/>
    </xf>
    <xf numFmtId="165" fontId="0" fillId="18" borderId="44" xfId="0" applyNumberFormat="1" applyFill="1" applyBorder="1" applyAlignment="1">
      <alignment horizontal="center"/>
    </xf>
    <xf numFmtId="165" fontId="0" fillId="17" borderId="44" xfId="0" applyNumberFormat="1" applyFill="1" applyBorder="1" applyAlignment="1">
      <alignment horizontal="center"/>
    </xf>
    <xf numFmtId="0" fontId="1" fillId="3" borderId="1" xfId="0" applyFont="1" applyFill="1" applyBorder="1" applyAlignment="1">
      <alignment horizontal="center" vertical="center" wrapText="1"/>
    </xf>
    <xf numFmtId="0" fontId="1" fillId="2" borderId="1" xfId="0" applyFont="1" applyFill="1" applyBorder="1" applyAlignment="1">
      <alignment horizontal="center" vertical="center" wrapText="1"/>
    </xf>
    <xf numFmtId="0" fontId="1" fillId="3" borderId="1" xfId="0" applyFont="1" applyFill="1" applyBorder="1" applyAlignment="1">
      <alignment horizontal="center" vertical="center"/>
    </xf>
    <xf numFmtId="0" fontId="2" fillId="3" borderId="1" xfId="0" applyFont="1" applyFill="1" applyBorder="1" applyAlignment="1">
      <alignment horizontal="center" vertical="center" wrapText="1"/>
    </xf>
    <xf numFmtId="2" fontId="1" fillId="2" borderId="1" xfId="0" applyNumberFormat="1" applyFont="1" applyFill="1" applyBorder="1" applyAlignment="1">
      <alignment horizontal="center" vertical="center" wrapText="1"/>
    </xf>
    <xf numFmtId="0" fontId="1" fillId="4" borderId="2" xfId="0" applyFont="1" applyFill="1" applyBorder="1" applyAlignment="1">
      <alignment horizontal="center" vertical="center"/>
    </xf>
    <xf numFmtId="0" fontId="1" fillId="4" borderId="3" xfId="0" applyFont="1" applyFill="1" applyBorder="1" applyAlignment="1">
      <alignment horizontal="center" vertical="center"/>
    </xf>
    <xf numFmtId="164" fontId="1" fillId="2" borderId="1" xfId="0" applyNumberFormat="1" applyFont="1" applyFill="1" applyBorder="1" applyAlignment="1">
      <alignment horizontal="center" vertical="center" wrapText="1"/>
    </xf>
    <xf numFmtId="2" fontId="1" fillId="3" borderId="1" xfId="0" applyNumberFormat="1" applyFont="1" applyFill="1" applyBorder="1" applyAlignment="1">
      <alignment horizontal="center" vertical="center"/>
    </xf>
    <xf numFmtId="0" fontId="24" fillId="0" borderId="20" xfId="0" applyFont="1" applyBorder="1" applyAlignment="1">
      <alignment horizontal="left" vertical="top" wrapText="1"/>
    </xf>
    <xf numFmtId="0" fontId="24" fillId="0" borderId="24" xfId="0" applyFont="1" applyBorder="1" applyAlignment="1">
      <alignment horizontal="left" vertical="top" wrapText="1"/>
    </xf>
    <xf numFmtId="0" fontId="23" fillId="0" borderId="16" xfId="0" applyFont="1" applyBorder="1" applyAlignment="1">
      <alignment horizontal="center" vertical="center"/>
    </xf>
    <xf numFmtId="0" fontId="25" fillId="0" borderId="1" xfId="0" applyFont="1" applyBorder="1" applyAlignment="1">
      <alignment horizontal="left" vertical="top" wrapText="1"/>
    </xf>
    <xf numFmtId="0" fontId="24" fillId="0" borderId="18" xfId="0" applyFont="1" applyBorder="1" applyAlignment="1">
      <alignment horizontal="left" vertical="top" wrapText="1"/>
    </xf>
    <xf numFmtId="0" fontId="24" fillId="0" borderId="11" xfId="0" applyFont="1" applyBorder="1" applyAlignment="1">
      <alignment horizontal="left" vertical="top" wrapText="1"/>
    </xf>
    <xf numFmtId="0" fontId="24" fillId="0" borderId="19" xfId="0" applyFont="1" applyBorder="1" applyAlignment="1">
      <alignment horizontal="left" vertical="top" wrapText="1"/>
    </xf>
    <xf numFmtId="0" fontId="22" fillId="0" borderId="35" xfId="0" applyFont="1" applyBorder="1" applyAlignment="1">
      <alignment horizontal="left" vertical="top" wrapText="1"/>
    </xf>
    <xf numFmtId="0" fontId="22" fillId="0" borderId="13" xfId="0" applyFont="1" applyBorder="1" applyAlignment="1">
      <alignment horizontal="left" vertical="top" wrapText="1"/>
    </xf>
    <xf numFmtId="0" fontId="22" fillId="0" borderId="36" xfId="0" applyFont="1" applyBorder="1" applyAlignment="1">
      <alignment horizontal="left" vertical="top" wrapText="1"/>
    </xf>
    <xf numFmtId="0" fontId="22" fillId="12" borderId="11" xfId="0" applyFont="1" applyFill="1" applyBorder="1" applyAlignment="1">
      <alignment horizontal="left" vertical="top"/>
    </xf>
    <xf numFmtId="0" fontId="22" fillId="12" borderId="19" xfId="0" applyFont="1" applyFill="1" applyBorder="1" applyAlignment="1">
      <alignment horizontal="left" vertical="top"/>
    </xf>
    <xf numFmtId="0" fontId="22" fillId="12" borderId="25" xfId="0" applyFont="1" applyFill="1" applyBorder="1" applyAlignment="1">
      <alignment horizontal="left" vertical="top" wrapText="1"/>
    </xf>
    <xf numFmtId="0" fontId="22" fillId="0" borderId="28" xfId="0" applyFont="1" applyBorder="1" applyAlignment="1">
      <alignment vertical="top"/>
    </xf>
    <xf numFmtId="0" fontId="22" fillId="14" borderId="29" xfId="0" applyFont="1" applyFill="1" applyBorder="1"/>
    <xf numFmtId="0" fontId="22" fillId="14" borderId="30" xfId="0" applyFont="1" applyFill="1" applyBorder="1"/>
    <xf numFmtId="0" fontId="8" fillId="7" borderId="0" xfId="0" applyFont="1" applyFill="1" applyAlignment="1">
      <alignment horizontal="left" vertical="center"/>
    </xf>
    <xf numFmtId="49" fontId="34" fillId="16" borderId="42" xfId="0" quotePrefix="1" applyNumberFormat="1" applyFont="1" applyFill="1" applyBorder="1" applyAlignment="1">
      <alignment horizontal="center"/>
    </xf>
    <xf numFmtId="49" fontId="34" fillId="16" borderId="42" xfId="0" applyNumberFormat="1" applyFont="1" applyFill="1" applyBorder="1" applyAlignment="1">
      <alignment horizontal="center"/>
    </xf>
    <xf numFmtId="2" fontId="33" fillId="16" borderId="45" xfId="0" applyNumberFormat="1" applyFont="1" applyFill="1" applyBorder="1" applyAlignment="1">
      <alignment horizontal="center" wrapText="1"/>
    </xf>
    <xf numFmtId="44" fontId="0" fillId="0" borderId="0" xfId="0" applyNumberFormat="1"/>
    <xf numFmtId="2" fontId="0" fillId="0" borderId="0" xfId="0" applyNumberFormat="1"/>
  </cellXfs>
  <cellStyles count="4">
    <cellStyle name="Currency" xfId="2" builtinId="4"/>
    <cellStyle name="Excel Built-in Normal" xfId="3"/>
    <cellStyle name="Hyperlink" xfId="1" builtinId="8"/>
    <cellStyle name="Normal" xfId="0" builtinId="0"/>
  </cellStyles>
  <dxfs count="4">
    <dxf>
      <fill>
        <patternFill patternType="darkTrellis">
          <fgColor rgb="FF008080"/>
          <bgColor rgb="FF003231"/>
        </patternFill>
      </fill>
    </dxf>
    <dxf>
      <fill>
        <patternFill>
          <bgColor rgb="FF008080"/>
        </patternFill>
      </fill>
    </dxf>
    <dxf>
      <font>
        <b/>
        <i val="0"/>
        <strike val="0"/>
        <color theme="0"/>
      </font>
      <fill>
        <patternFill>
          <bgColor rgb="FF003B3A"/>
        </patternFill>
      </fill>
    </dxf>
    <dxf>
      <fill>
        <gradientFill degree="90">
          <stop position="0">
            <color theme="0"/>
          </stop>
          <stop position="1">
            <color rgb="FF008080"/>
          </stop>
        </gradient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</dxfs>
  <tableStyles count="1" defaultTableStyle="TableStyleMedium2" defaultPivotStyle="PivotStyleLight16">
    <tableStyle name="Table Style 1" pivot="0" count="4">
      <tableStyleElement type="wholeTable" dxfId="3"/>
      <tableStyleElement type="headerRow" dxfId="2"/>
      <tableStyleElement type="firstRowStripe" dxfId="1"/>
      <tableStyleElement type="firstColumnStripe" dxfId="0"/>
    </tableStyle>
  </tableStyles>
  <colors>
    <mruColors>
      <color rgb="FF1FA5B7"/>
      <color rgb="FF1B4549"/>
      <color rgb="FF00FFCC"/>
      <color rgb="FF00E2B7"/>
      <color rgb="FF33FFD8"/>
      <color rgb="FF0CB4D6"/>
      <color rgb="FF12CAF0"/>
      <color rgb="FF0DCAF0"/>
      <color rgb="FF0EC0E4"/>
      <color rgb="FF33818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4" Type="http://schemas.openxmlformats.org/officeDocument/2006/relationships/image" Target="../media/image4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323850</xdr:colOff>
      <xdr:row>6</xdr:row>
      <xdr:rowOff>38102</xdr:rowOff>
    </xdr:from>
    <xdr:to>
      <xdr:col>4</xdr:col>
      <xdr:colOff>628650</xdr:colOff>
      <xdr:row>6</xdr:row>
      <xdr:rowOff>161926</xdr:rowOff>
    </xdr:to>
    <mc:AlternateContent xmlns:mc="http://schemas.openxmlformats.org/markup-compatibility/2006" xmlns:a14="http://schemas.microsoft.com/office/drawing/2010/main">
      <mc:Choice Requires="a14">
        <xdr:sp macro="[0]!Btn_GetInv" textlink="">
          <xdr:nvSpPr>
            <xdr:cNvPr id="4" name="Rectangle: Rounded Corners 3">
              <a:extLst>
                <a:ext uri="{FF2B5EF4-FFF2-40B4-BE49-F238E27FC236}">
                  <a16:creationId xmlns:a16="http://schemas.microsoft.com/office/drawing/2014/main" xmlns="" id="{8C640577-B914-47DF-98FC-AF3115F26F91}"/>
                </a:ext>
              </a:extLst>
            </xdr:cNvPr>
            <xdr:cNvSpPr/>
          </xdr:nvSpPr>
          <xdr:spPr>
            <a:xfrm>
              <a:off x="9163050" y="1285877"/>
              <a:ext cx="304800" cy="123824"/>
            </a:xfrm>
            <a:prstGeom prst="roundRect">
              <a:avLst/>
            </a:prstGeom>
            <a:solidFill>
              <a:srgbClr val="003D5C"/>
            </a:solidFill>
            <a:effectLst>
              <a:outerShdw blurRad="57150" dist="19050" dir="5400000" algn="ctr" rotWithShape="0">
                <a:schemeClr val="tx1">
                  <a:alpha val="63000"/>
                </a:schemeClr>
              </a:outerShdw>
            </a:effectLst>
            <a:scene3d>
              <a:camera prst="orthographicFront"/>
              <a:lightRig rig="threePt" dir="t"/>
            </a:scene3d>
            <a:sp3d extrusionH="63500" contourW="12700">
              <a:bevelB w="101600" h="50800" prst="relaxedInset"/>
              <a:extrusionClr>
                <a:schemeClr val="bg1"/>
              </a:extrusionClr>
              <a:contourClr>
                <a:schemeClr val="tx1"/>
              </a:contourClr>
            </a:sp3d>
          </xdr:spPr>
          <xdr:style>
            <a:lnRef idx="0">
              <a:schemeClr val="dk1"/>
            </a:lnRef>
            <a:fillRef idx="3">
              <a:schemeClr val="dk1"/>
            </a:fillRef>
            <a:effectRef idx="3">
              <a:schemeClr val="dk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ID" sz="800" b="1" i="1">
                        <a:solidFill>
                          <a:schemeClr val="bg1"/>
                        </a:solidFill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⇋</m:t>
                    </m:r>
                  </m:oMath>
                </m:oMathPara>
              </a14:m>
              <a:endParaRPr lang="en-ID" sz="800" b="1">
                <a:solidFill>
                  <a:schemeClr val="bg1"/>
                </a:solidFill>
              </a:endParaRPr>
            </a:p>
          </xdr:txBody>
        </xdr:sp>
      </mc:Choice>
      <mc:Fallback xmlns="">
        <xdr:sp macro="[0]!Btn_GetInv" textlink="">
          <xdr:nvSpPr>
            <xdr:cNvPr id="4" name="Rectangle: Rounded Corners 3">
              <a:extLst>
                <a:ext uri="{FF2B5EF4-FFF2-40B4-BE49-F238E27FC236}">
                  <a16:creationId xmlns:a16="http://schemas.microsoft.com/office/drawing/2014/main" id="{8C640577-B914-47DF-98FC-AF3115F26F91}"/>
                </a:ext>
              </a:extLst>
            </xdr:cNvPr>
            <xdr:cNvSpPr/>
          </xdr:nvSpPr>
          <xdr:spPr>
            <a:xfrm>
              <a:off x="9163050" y="1285877"/>
              <a:ext cx="304800" cy="123824"/>
            </a:xfrm>
            <a:prstGeom prst="roundRect">
              <a:avLst/>
            </a:prstGeom>
            <a:solidFill>
              <a:srgbClr val="003D5C"/>
            </a:solidFill>
            <a:effectLst>
              <a:outerShdw blurRad="57150" dist="19050" dir="5400000" algn="ctr" rotWithShape="0">
                <a:schemeClr val="tx1">
                  <a:alpha val="63000"/>
                </a:schemeClr>
              </a:outerShdw>
            </a:effectLst>
            <a:scene3d>
              <a:camera prst="orthographicFront"/>
              <a:lightRig rig="threePt" dir="t"/>
            </a:scene3d>
            <a:sp3d extrusionH="63500" contourW="12700">
              <a:bevelB w="101600" h="50800" prst="relaxedInset"/>
              <a:extrusionClr>
                <a:schemeClr val="bg1"/>
              </a:extrusionClr>
              <a:contourClr>
                <a:schemeClr val="tx1"/>
              </a:contourClr>
            </a:sp3d>
          </xdr:spPr>
          <xdr:style>
            <a:lnRef idx="0">
              <a:schemeClr val="dk1"/>
            </a:lnRef>
            <a:fillRef idx="3">
              <a:schemeClr val="dk1"/>
            </a:fillRef>
            <a:effectRef idx="3">
              <a:schemeClr val="dk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n-ID" sz="800" b="1" i="0">
                  <a:solidFill>
                    <a:schemeClr val="bg1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  <a:t>⇋</a:t>
              </a:r>
              <a:endParaRPr lang="en-ID" sz="800" b="1">
                <a:solidFill>
                  <a:schemeClr val="bg1"/>
                </a:solidFill>
              </a:endParaRPr>
            </a:p>
          </xdr:txBody>
        </xdr:sp>
      </mc:Fallback>
    </mc:AlternateContent>
    <xdr:clientData/>
  </xdr:twoCellAnchor>
  <xdr:twoCellAnchor>
    <xdr:from>
      <xdr:col>4</xdr:col>
      <xdr:colOff>323850</xdr:colOff>
      <xdr:row>7</xdr:row>
      <xdr:rowOff>47627</xdr:rowOff>
    </xdr:from>
    <xdr:to>
      <xdr:col>4</xdr:col>
      <xdr:colOff>628650</xdr:colOff>
      <xdr:row>7</xdr:row>
      <xdr:rowOff>171451</xdr:rowOff>
    </xdr:to>
    <mc:AlternateContent xmlns:mc="http://schemas.openxmlformats.org/markup-compatibility/2006" xmlns:a14="http://schemas.microsoft.com/office/drawing/2010/main">
      <mc:Choice Requires="a14">
        <xdr:sp macro="[0]!Btn_GetFinalSI" textlink="">
          <xdr:nvSpPr>
            <xdr:cNvPr id="8" name="Rectangle: Rounded Corners 7">
              <a:extLst>
                <a:ext uri="{FF2B5EF4-FFF2-40B4-BE49-F238E27FC236}">
                  <a16:creationId xmlns:a16="http://schemas.microsoft.com/office/drawing/2014/main" xmlns="" id="{681BDCF4-C323-4CBE-B281-C37F0CCE379B}"/>
                </a:ext>
              </a:extLst>
            </xdr:cNvPr>
            <xdr:cNvSpPr/>
          </xdr:nvSpPr>
          <xdr:spPr>
            <a:xfrm>
              <a:off x="9163050" y="1504952"/>
              <a:ext cx="304800" cy="123824"/>
            </a:xfrm>
            <a:prstGeom prst="roundRect">
              <a:avLst/>
            </a:prstGeom>
            <a:solidFill>
              <a:srgbClr val="003D5C"/>
            </a:solidFill>
            <a:effectLst>
              <a:outerShdw blurRad="57150" dist="19050" dir="5400000" algn="ctr" rotWithShape="0">
                <a:schemeClr val="tx1">
                  <a:alpha val="63000"/>
                </a:schemeClr>
              </a:outerShdw>
            </a:effectLst>
            <a:scene3d>
              <a:camera prst="orthographicFront"/>
              <a:lightRig rig="threePt" dir="t"/>
            </a:scene3d>
            <a:sp3d extrusionH="63500" contourW="12700">
              <a:bevelB w="101600" h="50800" prst="relaxedInset"/>
              <a:extrusionClr>
                <a:schemeClr val="bg1"/>
              </a:extrusionClr>
              <a:contourClr>
                <a:schemeClr val="tx1"/>
              </a:contourClr>
            </a:sp3d>
          </xdr:spPr>
          <xdr:style>
            <a:lnRef idx="0">
              <a:schemeClr val="dk1"/>
            </a:lnRef>
            <a:fillRef idx="3">
              <a:schemeClr val="dk1"/>
            </a:fillRef>
            <a:effectRef idx="3">
              <a:schemeClr val="dk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ID" sz="800" b="1" i="1">
                        <a:solidFill>
                          <a:schemeClr val="bg1"/>
                        </a:solidFill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⇋</m:t>
                    </m:r>
                  </m:oMath>
                </m:oMathPara>
              </a14:m>
              <a:endParaRPr lang="en-ID" sz="800" b="1">
                <a:solidFill>
                  <a:schemeClr val="bg1"/>
                </a:solidFill>
              </a:endParaRPr>
            </a:p>
          </xdr:txBody>
        </xdr:sp>
      </mc:Choice>
      <mc:Fallback xmlns="">
        <xdr:sp macro="[0]!Btn_GetFinalSI" textlink="">
          <xdr:nvSpPr>
            <xdr:cNvPr id="8" name="Rectangle: Rounded Corners 7">
              <a:extLst>
                <a:ext uri="{FF2B5EF4-FFF2-40B4-BE49-F238E27FC236}">
                  <a16:creationId xmlns:a16="http://schemas.microsoft.com/office/drawing/2014/main" id="{681BDCF4-C323-4CBE-B281-C37F0CCE379B}"/>
                </a:ext>
              </a:extLst>
            </xdr:cNvPr>
            <xdr:cNvSpPr/>
          </xdr:nvSpPr>
          <xdr:spPr>
            <a:xfrm>
              <a:off x="9163050" y="1504952"/>
              <a:ext cx="304800" cy="123824"/>
            </a:xfrm>
            <a:prstGeom prst="roundRect">
              <a:avLst/>
            </a:prstGeom>
            <a:solidFill>
              <a:srgbClr val="003D5C"/>
            </a:solidFill>
            <a:effectLst>
              <a:outerShdw blurRad="57150" dist="19050" dir="5400000" algn="ctr" rotWithShape="0">
                <a:schemeClr val="tx1">
                  <a:alpha val="63000"/>
                </a:schemeClr>
              </a:outerShdw>
            </a:effectLst>
            <a:scene3d>
              <a:camera prst="orthographicFront"/>
              <a:lightRig rig="threePt" dir="t"/>
            </a:scene3d>
            <a:sp3d extrusionH="63500" contourW="12700">
              <a:bevelB w="101600" h="50800" prst="relaxedInset"/>
              <a:extrusionClr>
                <a:schemeClr val="bg1"/>
              </a:extrusionClr>
              <a:contourClr>
                <a:schemeClr val="tx1"/>
              </a:contourClr>
            </a:sp3d>
          </xdr:spPr>
          <xdr:style>
            <a:lnRef idx="0">
              <a:schemeClr val="dk1"/>
            </a:lnRef>
            <a:fillRef idx="3">
              <a:schemeClr val="dk1"/>
            </a:fillRef>
            <a:effectRef idx="3">
              <a:schemeClr val="dk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n-ID" sz="800" b="1" i="0">
                  <a:solidFill>
                    <a:schemeClr val="bg1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  <a:t>⇋</a:t>
              </a:r>
              <a:endParaRPr lang="en-ID" sz="800" b="1">
                <a:solidFill>
                  <a:schemeClr val="bg1"/>
                </a:solidFill>
              </a:endParaRPr>
            </a:p>
          </xdr:txBody>
        </xdr:sp>
      </mc:Fallback>
    </mc:AlternateContent>
    <xdr:clientData/>
  </xdr:twoCellAnchor>
  <xdr:twoCellAnchor>
    <xdr:from>
      <xdr:col>4</xdr:col>
      <xdr:colOff>323850</xdr:colOff>
      <xdr:row>8</xdr:row>
      <xdr:rowOff>57152</xdr:rowOff>
    </xdr:from>
    <xdr:to>
      <xdr:col>4</xdr:col>
      <xdr:colOff>628650</xdr:colOff>
      <xdr:row>8</xdr:row>
      <xdr:rowOff>180976</xdr:rowOff>
    </xdr:to>
    <mc:AlternateContent xmlns:mc="http://schemas.openxmlformats.org/markup-compatibility/2006" xmlns:a14="http://schemas.microsoft.com/office/drawing/2010/main">
      <mc:Choice Requires="a14">
        <xdr:sp macro="[0]!Btn_GetLoadingan" textlink="">
          <xdr:nvSpPr>
            <xdr:cNvPr id="9" name="Rectangle: Rounded Corners 8">
              <a:extLst>
                <a:ext uri="{FF2B5EF4-FFF2-40B4-BE49-F238E27FC236}">
                  <a16:creationId xmlns:a16="http://schemas.microsoft.com/office/drawing/2014/main" xmlns="" id="{D158F45C-66B0-4BB1-9B42-1103E8FF1A6B}"/>
                </a:ext>
              </a:extLst>
            </xdr:cNvPr>
            <xdr:cNvSpPr/>
          </xdr:nvSpPr>
          <xdr:spPr>
            <a:xfrm>
              <a:off x="9163050" y="1724027"/>
              <a:ext cx="304800" cy="123824"/>
            </a:xfrm>
            <a:prstGeom prst="roundRect">
              <a:avLst/>
            </a:prstGeom>
            <a:solidFill>
              <a:srgbClr val="003D5C"/>
            </a:solidFill>
            <a:effectLst>
              <a:outerShdw blurRad="57150" dist="19050" dir="5400000" algn="ctr" rotWithShape="0">
                <a:schemeClr val="tx1">
                  <a:alpha val="63000"/>
                </a:schemeClr>
              </a:outerShdw>
            </a:effectLst>
            <a:scene3d>
              <a:camera prst="orthographicFront"/>
              <a:lightRig rig="threePt" dir="t"/>
            </a:scene3d>
            <a:sp3d extrusionH="63500" contourW="12700">
              <a:bevelB w="101600" h="50800" prst="relaxedInset"/>
              <a:extrusionClr>
                <a:schemeClr val="bg1"/>
              </a:extrusionClr>
              <a:contourClr>
                <a:schemeClr val="tx1"/>
              </a:contourClr>
            </a:sp3d>
          </xdr:spPr>
          <xdr:style>
            <a:lnRef idx="0">
              <a:schemeClr val="dk1"/>
            </a:lnRef>
            <a:fillRef idx="3">
              <a:schemeClr val="dk1"/>
            </a:fillRef>
            <a:effectRef idx="3">
              <a:schemeClr val="dk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ID" sz="800" b="1" i="1">
                        <a:solidFill>
                          <a:schemeClr val="bg1"/>
                        </a:solidFill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⇋</m:t>
                    </m:r>
                  </m:oMath>
                </m:oMathPara>
              </a14:m>
              <a:endParaRPr lang="en-ID" sz="800" b="1">
                <a:solidFill>
                  <a:schemeClr val="bg1"/>
                </a:solidFill>
              </a:endParaRPr>
            </a:p>
          </xdr:txBody>
        </xdr:sp>
      </mc:Choice>
      <mc:Fallback xmlns="">
        <xdr:sp macro="[0]!Btn_GetLoadingan" textlink="">
          <xdr:nvSpPr>
            <xdr:cNvPr id="9" name="Rectangle: Rounded Corners 8">
              <a:extLst>
                <a:ext uri="{FF2B5EF4-FFF2-40B4-BE49-F238E27FC236}">
                  <a16:creationId xmlns:a16="http://schemas.microsoft.com/office/drawing/2014/main" id="{D158F45C-66B0-4BB1-9B42-1103E8FF1A6B}"/>
                </a:ext>
              </a:extLst>
            </xdr:cNvPr>
            <xdr:cNvSpPr/>
          </xdr:nvSpPr>
          <xdr:spPr>
            <a:xfrm>
              <a:off x="9163050" y="1724027"/>
              <a:ext cx="304800" cy="123824"/>
            </a:xfrm>
            <a:prstGeom prst="roundRect">
              <a:avLst/>
            </a:prstGeom>
            <a:solidFill>
              <a:srgbClr val="003D5C"/>
            </a:solidFill>
            <a:effectLst>
              <a:outerShdw blurRad="57150" dist="19050" dir="5400000" algn="ctr" rotWithShape="0">
                <a:schemeClr val="tx1">
                  <a:alpha val="63000"/>
                </a:schemeClr>
              </a:outerShdw>
            </a:effectLst>
            <a:scene3d>
              <a:camera prst="orthographicFront"/>
              <a:lightRig rig="threePt" dir="t"/>
            </a:scene3d>
            <a:sp3d extrusionH="63500" contourW="12700">
              <a:bevelB w="101600" h="50800" prst="relaxedInset"/>
              <a:extrusionClr>
                <a:schemeClr val="bg1"/>
              </a:extrusionClr>
              <a:contourClr>
                <a:schemeClr val="tx1"/>
              </a:contourClr>
            </a:sp3d>
          </xdr:spPr>
          <xdr:style>
            <a:lnRef idx="0">
              <a:schemeClr val="dk1"/>
            </a:lnRef>
            <a:fillRef idx="3">
              <a:schemeClr val="dk1"/>
            </a:fillRef>
            <a:effectRef idx="3">
              <a:schemeClr val="dk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n-ID" sz="800" b="1" i="0">
                  <a:solidFill>
                    <a:schemeClr val="bg1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  <a:t>⇋</a:t>
              </a:r>
              <a:endParaRPr lang="en-ID" sz="800" b="1">
                <a:solidFill>
                  <a:schemeClr val="bg1"/>
                </a:solidFill>
              </a:endParaRPr>
            </a:p>
          </xdr:txBody>
        </xdr:sp>
      </mc:Fallback>
    </mc:AlternateContent>
    <xdr:clientData/>
  </xdr:twoCellAnchor>
  <xdr:twoCellAnchor editAs="oneCell">
    <xdr:from>
      <xdr:col>0</xdr:col>
      <xdr:colOff>57151</xdr:colOff>
      <xdr:row>4</xdr:row>
      <xdr:rowOff>133350</xdr:rowOff>
    </xdr:from>
    <xdr:to>
      <xdr:col>1</xdr:col>
      <xdr:colOff>523877</xdr:colOff>
      <xdr:row>8</xdr:row>
      <xdr:rowOff>142876</xdr:rowOff>
    </xdr:to>
    <xdr:pic>
      <xdr:nvPicPr>
        <xdr:cNvPr id="12" name="Picture 11">
          <a:extLst>
            <a:ext uri="{FF2B5EF4-FFF2-40B4-BE49-F238E27FC236}">
              <a16:creationId xmlns:a16="http://schemas.microsoft.com/office/drawing/2014/main" xmlns="" id="{C17409C6-3C02-2F6B-0D96-583299F8A0C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7151" y="933450"/>
          <a:ext cx="923926" cy="923926"/>
        </a:xfrm>
        <a:prstGeom prst="rect">
          <a:avLst/>
        </a:prstGeom>
      </xdr:spPr>
    </xdr:pic>
    <xdr:clientData/>
  </xdr:twoCellAnchor>
  <xdr:twoCellAnchor>
    <xdr:from>
      <xdr:col>3</xdr:col>
      <xdr:colOff>1754188</xdr:colOff>
      <xdr:row>14</xdr:row>
      <xdr:rowOff>107498</xdr:rowOff>
    </xdr:from>
    <xdr:to>
      <xdr:col>3</xdr:col>
      <xdr:colOff>4680562</xdr:colOff>
      <xdr:row>16</xdr:row>
      <xdr:rowOff>142876</xdr:rowOff>
    </xdr:to>
    <xdr:grpSp>
      <xdr:nvGrpSpPr>
        <xdr:cNvPr id="28" name="Group 27">
          <a:extLst>
            <a:ext uri="{FF2B5EF4-FFF2-40B4-BE49-F238E27FC236}">
              <a16:creationId xmlns:a16="http://schemas.microsoft.com/office/drawing/2014/main" xmlns="" id="{D1D3FD83-9093-706A-F062-75C73C9DC241}"/>
            </a:ext>
          </a:extLst>
        </xdr:cNvPr>
        <xdr:cNvGrpSpPr/>
      </xdr:nvGrpSpPr>
      <xdr:grpSpPr>
        <a:xfrm>
          <a:off x="3811588" y="3012623"/>
          <a:ext cx="2926374" cy="435428"/>
          <a:chOff x="3920303" y="3012623"/>
          <a:chExt cx="2926374" cy="435428"/>
        </a:xfrm>
      </xdr:grpSpPr>
      <xdr:sp macro="[0]!Main_CreateInvoice" textlink="">
        <xdr:nvSpPr>
          <xdr:cNvPr id="7" name="Hexagon 6">
            <a:extLst>
              <a:ext uri="{FF2B5EF4-FFF2-40B4-BE49-F238E27FC236}">
                <a16:creationId xmlns:a16="http://schemas.microsoft.com/office/drawing/2014/main" xmlns="" id="{BE02058E-C6C8-862F-99E0-7154E1F9DE9B}"/>
              </a:ext>
            </a:extLst>
          </xdr:cNvPr>
          <xdr:cNvSpPr/>
        </xdr:nvSpPr>
        <xdr:spPr>
          <a:xfrm>
            <a:off x="3920303" y="3012623"/>
            <a:ext cx="2926374" cy="435428"/>
          </a:xfrm>
          <a:prstGeom prst="hexagon">
            <a:avLst/>
          </a:prstGeom>
          <a:solidFill>
            <a:srgbClr val="205156"/>
          </a:solidFill>
          <a:ln w="3175">
            <a:solidFill>
              <a:schemeClr val="tx1"/>
            </a:solidFill>
          </a:ln>
          <a:effectLst>
            <a:outerShdw blurRad="114300" dir="7200000" sx="96000" sy="96000" algn="ctr" rotWithShape="0">
              <a:srgbClr val="0DCAF0"/>
            </a:outerShdw>
          </a:effectLst>
          <a:scene3d>
            <a:camera prst="orthographicFront"/>
            <a:lightRig rig="threePt" dir="t"/>
          </a:scene3d>
          <a:sp3d extrusionH="19050" contourW="12700" prstMaterial="dkEdge">
            <a:bevelT w="139700" h="260350" prst="cross"/>
            <a:bevelB w="50800" prst="relaxedInset"/>
            <a:extrusionClr>
              <a:schemeClr val="tx1"/>
            </a:extrusionClr>
            <a:contourClr>
              <a:srgbClr val="0EC0E4"/>
            </a:contourClr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 b="1">
                <a:solidFill>
                  <a:sysClr val="windowText" lastClr="000000"/>
                </a:solidFill>
                <a:effectLst/>
                <a:latin typeface="Century Gothic" panose="020B0502020202020204" pitchFamily="34" charset="0"/>
                <a:ea typeface="+mn-ea"/>
                <a:cs typeface="+mn-cs"/>
              </a:rPr>
              <a:t>░ ►</a:t>
            </a:r>
            <a:r>
              <a:rPr lang="en-US" sz="1100" b="1">
                <a:solidFill>
                  <a:sysClr val="windowText" lastClr="000000"/>
                </a:solidFill>
                <a:latin typeface="Century Gothic" panose="020B0502020202020204" pitchFamily="34" charset="0"/>
              </a:rPr>
              <a:t>CREATE INVOICE</a:t>
            </a:r>
            <a:r>
              <a:rPr lang="en-US" sz="1100" b="1">
                <a:solidFill>
                  <a:sysClr val="windowText" lastClr="000000"/>
                </a:solidFill>
                <a:effectLst/>
                <a:latin typeface="Century Gothic" panose="020B0502020202020204" pitchFamily="34" charset="0"/>
                <a:ea typeface="+mn-ea"/>
                <a:cs typeface="+mn-cs"/>
              </a:rPr>
              <a:t>◄ ░</a:t>
            </a:r>
            <a:endParaRPr lang="en-US" sz="1100" b="1">
              <a:solidFill>
                <a:sysClr val="windowText" lastClr="000000"/>
              </a:solidFill>
              <a:latin typeface="Century Gothic" panose="020B0502020202020204" pitchFamily="34" charset="0"/>
            </a:endParaRPr>
          </a:p>
        </xdr:txBody>
      </xdr:sp>
      <xdr:pic>
        <xdr:nvPicPr>
          <xdr:cNvPr id="24" name="Picture 23">
            <a:extLst>
              <a:ext uri="{FF2B5EF4-FFF2-40B4-BE49-F238E27FC236}">
                <a16:creationId xmlns:a16="http://schemas.microsoft.com/office/drawing/2014/main" xmlns="" id="{E6D62C9E-2D60-B727-F5E9-BF440C3A8D17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247952" y="3094082"/>
            <a:ext cx="271532" cy="272511"/>
          </a:xfrm>
          <a:prstGeom prst="rect">
            <a:avLst/>
          </a:prstGeom>
        </xdr:spPr>
      </xdr:pic>
      <xdr:pic>
        <xdr:nvPicPr>
          <xdr:cNvPr id="26" name="Picture 25">
            <a:extLst>
              <a:ext uri="{FF2B5EF4-FFF2-40B4-BE49-F238E27FC236}">
                <a16:creationId xmlns:a16="http://schemas.microsoft.com/office/drawing/2014/main" xmlns="" id="{B0A421C7-8467-73DD-41DD-239A493FAB6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6247497" y="3096109"/>
            <a:ext cx="265385" cy="268457"/>
          </a:xfrm>
          <a:prstGeom prst="rect">
            <a:avLst/>
          </a:prstGeom>
        </xdr:spPr>
      </xdr:pic>
    </xdr:grpSp>
    <xdr:clientData/>
  </xdr:twoCellAnchor>
  <xdr:twoCellAnchor>
    <xdr:from>
      <xdr:col>3</xdr:col>
      <xdr:colOff>483700</xdr:colOff>
      <xdr:row>10</xdr:row>
      <xdr:rowOff>162584</xdr:rowOff>
    </xdr:from>
    <xdr:to>
      <xdr:col>4</xdr:col>
      <xdr:colOff>102700</xdr:colOff>
      <xdr:row>12</xdr:row>
      <xdr:rowOff>123323</xdr:rowOff>
    </xdr:to>
    <xdr:grpSp>
      <xdr:nvGrpSpPr>
        <xdr:cNvPr id="31" name="Group 30">
          <a:extLst>
            <a:ext uri="{FF2B5EF4-FFF2-40B4-BE49-F238E27FC236}">
              <a16:creationId xmlns:a16="http://schemas.microsoft.com/office/drawing/2014/main" xmlns="" id="{1BF4B71F-78B1-DD85-906A-19CF2E503AE2}"/>
            </a:ext>
          </a:extLst>
        </xdr:cNvPr>
        <xdr:cNvGrpSpPr/>
      </xdr:nvGrpSpPr>
      <xdr:grpSpPr>
        <a:xfrm>
          <a:off x="2541100" y="2277134"/>
          <a:ext cx="5467350" cy="351264"/>
          <a:chOff x="2536830" y="2134916"/>
          <a:chExt cx="5465379" cy="351264"/>
        </a:xfrm>
      </xdr:grpSpPr>
      <xdr:sp macro="[0]!Main_PackingList" textlink="">
        <xdr:nvSpPr>
          <xdr:cNvPr id="2" name="Rectangle: Rounded Corners 1">
            <a:extLst>
              <a:ext uri="{FF2B5EF4-FFF2-40B4-BE49-F238E27FC236}">
                <a16:creationId xmlns:a16="http://schemas.microsoft.com/office/drawing/2014/main" xmlns="" id="{E910F26D-67A8-F592-18AB-0270469C978B}"/>
              </a:ext>
            </a:extLst>
          </xdr:cNvPr>
          <xdr:cNvSpPr/>
        </xdr:nvSpPr>
        <xdr:spPr>
          <a:xfrm>
            <a:off x="2536830" y="2134916"/>
            <a:ext cx="5465379" cy="351264"/>
          </a:xfrm>
          <a:prstGeom prst="roundRect">
            <a:avLst/>
          </a:prstGeom>
          <a:solidFill>
            <a:srgbClr val="1FA5B7"/>
          </a:solidFill>
          <a:ln w="22225">
            <a:noFill/>
          </a:ln>
          <a:effectLst>
            <a:glow>
              <a:srgbClr val="0CB4D6"/>
            </a:glow>
            <a:outerShdw sx="1000" sy="1000" algn="ctr" rotWithShape="0">
              <a:srgbClr val="00FFCC"/>
            </a:outerShdw>
            <a:reflection stA="24000" endPos="8000" dist="63500" dir="5400000" sy="-100000" algn="bl" rotWithShape="0"/>
            <a:softEdge rad="0"/>
          </a:effectLst>
          <a:scene3d>
            <a:camera prst="orthographicFront"/>
            <a:lightRig rig="threePt" dir="t"/>
          </a:scene3d>
          <a:sp3d prstMaterial="dkEdge">
            <a:bevelT w="82550" h="101600" prst="convex"/>
            <a:bevelB w="6350" h="0" prst="relaxedInset"/>
            <a:extrusionClr>
              <a:srgbClr val="0F444F"/>
            </a:extrusionClr>
            <a:contourClr>
              <a:srgbClr val="0CB4D6"/>
            </a:contourClr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050" b="1">
                <a:solidFill>
                  <a:sysClr val="windowText" lastClr="000000"/>
                </a:solidFill>
                <a:latin typeface="Trebuchet MS" panose="020B0603020202020204" pitchFamily="34" charset="0"/>
              </a:rPr>
              <a:t>░ ► CREATE PACKING LIST</a:t>
            </a:r>
            <a:r>
              <a:rPr lang="en-US" sz="1050" b="1" baseline="0">
                <a:solidFill>
                  <a:sysClr val="windowText" lastClr="000000"/>
                </a:solidFill>
                <a:latin typeface="Trebuchet MS" panose="020B0603020202020204" pitchFamily="34" charset="0"/>
              </a:rPr>
              <a:t> </a:t>
            </a:r>
            <a:r>
              <a:rPr lang="en-US" sz="1050" b="1">
                <a:solidFill>
                  <a:sysClr val="windowText" lastClr="000000"/>
                </a:solidFill>
                <a:latin typeface="Trebuchet MS" panose="020B0603020202020204" pitchFamily="34" charset="0"/>
              </a:rPr>
              <a:t>◄ ░</a:t>
            </a:r>
          </a:p>
        </xdr:txBody>
      </xdr:sp>
      <xdr:pic>
        <xdr:nvPicPr>
          <xdr:cNvPr id="6" name="Picture 5">
            <a:extLst>
              <a:ext uri="{FF2B5EF4-FFF2-40B4-BE49-F238E27FC236}">
                <a16:creationId xmlns:a16="http://schemas.microsoft.com/office/drawing/2014/main" xmlns="" id="{B9BE3BE6-E4B6-4000-9BDC-6EF2E3D4DD6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 flipH="1">
            <a:off x="4037839" y="2198094"/>
            <a:ext cx="224908" cy="224908"/>
          </a:xfrm>
          <a:prstGeom prst="rect">
            <a:avLst/>
          </a:prstGeom>
          <a:ln>
            <a:noFill/>
          </a:ln>
          <a:scene3d>
            <a:camera prst="orthographicFront"/>
            <a:lightRig rig="threePt" dir="t"/>
          </a:scene3d>
          <a:sp3d prstMaterial="dkEdge">
            <a:bevelT w="82550" h="88900" prst="convex"/>
          </a:sp3d>
        </xdr:spPr>
      </xdr:pic>
      <xdr:pic>
        <xdr:nvPicPr>
          <xdr:cNvPr id="30" name="Picture 29">
            <a:extLst>
              <a:ext uri="{FF2B5EF4-FFF2-40B4-BE49-F238E27FC236}">
                <a16:creationId xmlns:a16="http://schemas.microsoft.com/office/drawing/2014/main" xmlns="" id="{C0F8E3B4-6F41-952D-1AF2-20DAA05A5F5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 flipH="1">
            <a:off x="6285739" y="2198094"/>
            <a:ext cx="224908" cy="224908"/>
          </a:xfrm>
          <a:prstGeom prst="rect">
            <a:avLst/>
          </a:prstGeom>
          <a:noFill/>
          <a:ln>
            <a:noFill/>
          </a:ln>
          <a:effectLst>
            <a:softEdge rad="0"/>
          </a:effectLst>
          <a:scene3d>
            <a:camera prst="orthographicFront"/>
            <a:lightRig rig="threePt" dir="t"/>
          </a:scene3d>
          <a:sp3d prstMaterial="dkEdge">
            <a:bevelT w="82550" h="88900" prst="convex"/>
          </a:sp3d>
        </xdr:spPr>
      </xdr:pic>
    </xdr:grpSp>
    <xdr:clientData/>
  </xdr:twoCellAnchor>
</xdr:wsDr>
</file>

<file path=xl/theme/theme1.xml><?xml version="1.0" encoding="utf-8"?>
<a:theme xmlns:a="http://schemas.openxmlformats.org/drawingml/2006/main" name="Office Theme 2013 - 2022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 2013 - 2022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hyperlink" Target="08%20AGT%202024/LOADINGAN%2006%20AGT%20ID2092.xlsx" TargetMode="External"/><Relationship Id="rId7" Type="http://schemas.openxmlformats.org/officeDocument/2006/relationships/comments" Target="../comments1.xml"/><Relationship Id="rId2" Type="http://schemas.openxmlformats.org/officeDocument/2006/relationships/hyperlink" Target="08%20AGT%202024/FINAL%20SI.xls" TargetMode="External"/><Relationship Id="rId1" Type="http://schemas.openxmlformats.org/officeDocument/2006/relationships/hyperlink" Target="08%20AGT%202024/INV0276EXPGGVIII2024.xlsx" TargetMode="External"/><Relationship Id="rId6" Type="http://schemas.openxmlformats.org/officeDocument/2006/relationships/vmlDrawing" Target="../drawings/vmlDrawing1.vml"/><Relationship Id="rId5" Type="http://schemas.openxmlformats.org/officeDocument/2006/relationships/drawing" Target="../drawings/drawing1.xml"/><Relationship Id="rId4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rgb="FF00B0F0"/>
  </sheetPr>
  <dimension ref="A1:Y2"/>
  <sheetViews>
    <sheetView topLeftCell="I1" workbookViewId="0">
      <selection activeCell="Q7" sqref="Q7"/>
    </sheetView>
  </sheetViews>
  <sheetFormatPr defaultRowHeight="15"/>
  <cols>
    <col min="6" max="6" width="8.85546875" bestFit="1" customWidth="1"/>
    <col min="25" max="25" width="23.85546875" customWidth="1"/>
  </cols>
  <sheetData>
    <row r="1" spans="1:25" s="25" customFormat="1" ht="25.5">
      <c r="A1" s="159" t="s">
        <v>0</v>
      </c>
      <c r="B1" s="160" t="s">
        <v>1</v>
      </c>
      <c r="C1" s="160"/>
      <c r="D1" s="161" t="s">
        <v>2</v>
      </c>
      <c r="E1" s="161" t="s">
        <v>3</v>
      </c>
      <c r="F1" s="158" t="s">
        <v>4</v>
      </c>
      <c r="G1" s="160" t="s">
        <v>5</v>
      </c>
      <c r="H1" s="160" t="s">
        <v>6</v>
      </c>
      <c r="I1" s="159" t="s">
        <v>7</v>
      </c>
      <c r="J1" s="158" t="s">
        <v>8</v>
      </c>
      <c r="K1" s="159" t="s">
        <v>9</v>
      </c>
      <c r="L1" s="162" t="s">
        <v>10</v>
      </c>
      <c r="M1" s="158" t="s">
        <v>11</v>
      </c>
      <c r="N1" s="158" t="s">
        <v>12</v>
      </c>
      <c r="O1" s="159" t="s">
        <v>13</v>
      </c>
      <c r="P1" s="165" t="s">
        <v>14</v>
      </c>
      <c r="Q1" s="166" t="s">
        <v>15</v>
      </c>
      <c r="R1" s="166"/>
      <c r="S1" s="166"/>
      <c r="T1" s="166"/>
      <c r="U1" s="166"/>
      <c r="V1" s="159" t="s">
        <v>16</v>
      </c>
      <c r="W1" s="23" t="s">
        <v>17</v>
      </c>
      <c r="X1" s="159" t="s">
        <v>18</v>
      </c>
      <c r="Y1" s="163" t="s">
        <v>19</v>
      </c>
    </row>
    <row r="2" spans="1:25" s="25" customFormat="1" ht="38.25">
      <c r="A2" s="159"/>
      <c r="B2" s="22" t="s">
        <v>20</v>
      </c>
      <c r="C2" s="22" t="s">
        <v>21</v>
      </c>
      <c r="D2" s="161"/>
      <c r="E2" s="161"/>
      <c r="F2" s="158"/>
      <c r="G2" s="160"/>
      <c r="H2" s="160"/>
      <c r="I2" s="159"/>
      <c r="J2" s="158"/>
      <c r="K2" s="159"/>
      <c r="L2" s="162"/>
      <c r="M2" s="158"/>
      <c r="N2" s="158"/>
      <c r="O2" s="159"/>
      <c r="P2" s="165"/>
      <c r="Q2" s="24" t="s">
        <v>22</v>
      </c>
      <c r="R2" s="24" t="s">
        <v>23</v>
      </c>
      <c r="S2" s="24" t="s">
        <v>24</v>
      </c>
      <c r="T2" s="24" t="s">
        <v>23</v>
      </c>
      <c r="U2" s="24" t="s">
        <v>25</v>
      </c>
      <c r="V2" s="159"/>
      <c r="W2" s="23" t="s">
        <v>26</v>
      </c>
      <c r="X2" s="159" t="s">
        <v>27</v>
      </c>
      <c r="Y2" s="164"/>
    </row>
  </sheetData>
  <mergeCells count="19">
    <mergeCell ref="Y1:Y2"/>
    <mergeCell ref="N1:N2"/>
    <mergeCell ref="O1:O2"/>
    <mergeCell ref="P1:P2"/>
    <mergeCell ref="Q1:U1"/>
    <mergeCell ref="V1:V2"/>
    <mergeCell ref="X1:X2"/>
    <mergeCell ref="M1:M2"/>
    <mergeCell ref="A1:A2"/>
    <mergeCell ref="B1:C1"/>
    <mergeCell ref="D1:D2"/>
    <mergeCell ref="E1:E2"/>
    <mergeCell ref="F1:F2"/>
    <mergeCell ref="G1:G2"/>
    <mergeCell ref="H1:H2"/>
    <mergeCell ref="I1:I2"/>
    <mergeCell ref="J1:J2"/>
    <mergeCell ref="K1:K2"/>
    <mergeCell ref="L1:L2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rgb="FF00FFCC"/>
  </sheetPr>
  <dimension ref="A1:N555"/>
  <sheetViews>
    <sheetView topLeftCell="E1" workbookViewId="0"/>
  </sheetViews>
  <sheetFormatPr defaultRowHeight="15"/>
  <cols>
    <col min="1" max="3" width="9.140625" style="25"/>
    <col min="4" max="4" width="72.5703125" style="25" bestFit="1" customWidth="1"/>
    <col min="5" max="5" width="9.140625" style="25"/>
    <col min="6" max="6" width="65.28515625" style="25" bestFit="1" customWidth="1"/>
    <col min="7" max="8" width="9.140625" style="25"/>
    <col min="9" max="10" width="11.7109375" style="25" bestFit="1" customWidth="1"/>
    <col min="11" max="11" width="15.28515625" style="25" bestFit="1" customWidth="1"/>
    <col min="12" max="16384" width="9.140625" style="25"/>
  </cols>
  <sheetData>
    <row r="1" spans="1:14" ht="15.75" thickBot="1">
      <c r="A1" s="27"/>
      <c r="B1" s="28"/>
      <c r="C1" s="28"/>
      <c r="D1" s="29"/>
      <c r="E1" s="29"/>
      <c r="F1" s="169" t="s">
        <v>44</v>
      </c>
      <c r="G1" s="169"/>
      <c r="H1" s="169"/>
      <c r="I1" s="169"/>
      <c r="J1" s="169"/>
      <c r="K1" s="28"/>
      <c r="L1" s="28"/>
      <c r="M1" s="28"/>
      <c r="N1" s="30"/>
    </row>
    <row r="2" spans="1:14">
      <c r="A2" s="31"/>
      <c r="B2" s="32"/>
      <c r="C2" s="32"/>
      <c r="D2" s="33"/>
      <c r="E2" s="33"/>
      <c r="F2" s="169"/>
      <c r="G2" s="169"/>
      <c r="H2" s="169"/>
      <c r="I2" s="169"/>
      <c r="J2" s="169"/>
      <c r="K2" s="32"/>
      <c r="L2" s="32"/>
      <c r="M2" s="32"/>
      <c r="N2" s="34"/>
    </row>
    <row r="3" spans="1:14" ht="50.25">
      <c r="A3" s="35" t="s">
        <v>45</v>
      </c>
      <c r="B3" s="36"/>
      <c r="C3" s="36"/>
      <c r="D3" s="36"/>
      <c r="E3" s="36"/>
      <c r="F3" s="36"/>
      <c r="G3" s="37"/>
      <c r="H3" s="38" t="s">
        <v>46</v>
      </c>
      <c r="I3" s="39"/>
      <c r="J3" s="40"/>
      <c r="K3" s="41"/>
      <c r="L3" s="42" t="s">
        <v>47</v>
      </c>
      <c r="M3" s="40"/>
      <c r="N3" s="43"/>
    </row>
    <row r="4" spans="1:14">
      <c r="A4" s="44" t="s">
        <v>48</v>
      </c>
      <c r="B4" s="45"/>
      <c r="C4" s="45"/>
      <c r="D4" s="45"/>
      <c r="E4" s="45"/>
      <c r="F4" s="45"/>
      <c r="G4" s="46"/>
      <c r="H4" s="47" t="s">
        <v>49</v>
      </c>
      <c r="I4" s="48"/>
      <c r="J4" s="49"/>
      <c r="K4" s="50"/>
      <c r="L4" s="49"/>
      <c r="M4" s="49"/>
      <c r="N4" s="51"/>
    </row>
    <row r="5" spans="1:14">
      <c r="A5" s="44" t="s">
        <v>50</v>
      </c>
      <c r="B5" s="45"/>
      <c r="C5" s="45"/>
      <c r="D5" s="45"/>
      <c r="E5" s="45"/>
      <c r="F5" s="45"/>
      <c r="G5" s="46"/>
      <c r="H5" s="52">
        <v>45016</v>
      </c>
      <c r="I5" s="53"/>
      <c r="J5" s="32"/>
      <c r="K5" s="54"/>
      <c r="L5" s="32"/>
      <c r="M5" s="32"/>
      <c r="N5" s="34"/>
    </row>
    <row r="6" spans="1:14">
      <c r="A6" s="44" t="s">
        <v>51</v>
      </c>
      <c r="B6" s="45"/>
      <c r="C6" s="45"/>
      <c r="D6" s="45"/>
      <c r="E6" s="45"/>
      <c r="F6" s="45"/>
      <c r="G6" s="46"/>
      <c r="H6" s="55" t="s">
        <v>52</v>
      </c>
      <c r="I6" s="39"/>
      <c r="J6" s="40"/>
      <c r="K6" s="41"/>
      <c r="L6" s="56" t="s">
        <v>53</v>
      </c>
      <c r="M6" s="40"/>
      <c r="N6" s="43"/>
    </row>
    <row r="7" spans="1:14">
      <c r="A7" s="44" t="s">
        <v>54</v>
      </c>
      <c r="B7" s="45"/>
      <c r="C7" s="45"/>
      <c r="D7" s="45"/>
      <c r="E7" s="45"/>
      <c r="F7" s="45"/>
      <c r="G7" s="46"/>
      <c r="H7" s="47" t="s">
        <v>42</v>
      </c>
      <c r="I7" s="57"/>
      <c r="J7" s="49"/>
      <c r="K7" s="50"/>
      <c r="L7" s="49" t="s">
        <v>55</v>
      </c>
      <c r="M7" s="49"/>
      <c r="N7" s="51"/>
    </row>
    <row r="8" spans="1:14">
      <c r="A8" s="58"/>
      <c r="B8" s="59"/>
      <c r="C8" s="59"/>
      <c r="D8" s="59"/>
      <c r="E8" s="59"/>
      <c r="F8" s="59"/>
      <c r="G8" s="60"/>
      <c r="H8" s="61"/>
      <c r="I8" s="57"/>
      <c r="J8" s="49"/>
      <c r="K8" s="50"/>
      <c r="L8" s="49"/>
      <c r="M8" s="49"/>
      <c r="N8" s="51"/>
    </row>
    <row r="9" spans="1:14">
      <c r="A9" s="167" t="s">
        <v>56</v>
      </c>
      <c r="B9" s="167"/>
      <c r="C9" s="167"/>
      <c r="D9" s="167"/>
      <c r="E9" s="167"/>
      <c r="F9" s="167"/>
      <c r="G9" s="167"/>
      <c r="H9" s="168" t="s">
        <v>57</v>
      </c>
      <c r="I9" s="168"/>
      <c r="J9" s="168"/>
      <c r="K9" s="168"/>
      <c r="L9" s="168"/>
      <c r="M9" s="168"/>
      <c r="N9" s="168"/>
    </row>
    <row r="10" spans="1:14">
      <c r="A10" s="167" t="s">
        <v>58</v>
      </c>
      <c r="B10" s="167"/>
      <c r="C10" s="167"/>
      <c r="D10" s="167"/>
      <c r="E10" s="167"/>
      <c r="F10" s="167"/>
      <c r="G10" s="167"/>
      <c r="H10" s="62" t="s">
        <v>59</v>
      </c>
      <c r="I10" s="39"/>
      <c r="J10" s="40"/>
      <c r="K10" s="49"/>
      <c r="L10" s="63" t="s">
        <v>60</v>
      </c>
      <c r="M10" s="49"/>
      <c r="N10" s="51"/>
    </row>
    <row r="11" spans="1:14">
      <c r="A11" s="167"/>
      <c r="B11" s="167"/>
      <c r="C11" s="167"/>
      <c r="D11" s="167"/>
      <c r="E11" s="167"/>
      <c r="F11" s="167"/>
      <c r="G11" s="167"/>
      <c r="H11" s="61" t="s">
        <v>40</v>
      </c>
      <c r="I11" s="33"/>
      <c r="J11" s="32"/>
      <c r="K11" s="49"/>
      <c r="L11" s="64" t="s">
        <v>61</v>
      </c>
      <c r="M11" s="32"/>
      <c r="N11" s="34"/>
    </row>
    <row r="12" spans="1:14" ht="25.5">
      <c r="A12" s="167"/>
      <c r="B12" s="167"/>
      <c r="C12" s="167"/>
      <c r="D12" s="167"/>
      <c r="E12" s="167"/>
      <c r="F12" s="167"/>
      <c r="G12" s="167"/>
      <c r="H12" s="170" t="s">
        <v>62</v>
      </c>
      <c r="I12" s="170"/>
      <c r="J12" s="170"/>
      <c r="K12" s="170"/>
      <c r="L12" s="65"/>
      <c r="M12" s="40"/>
      <c r="N12" s="43"/>
    </row>
    <row r="13" spans="1:14">
      <c r="A13" s="167"/>
      <c r="B13" s="167"/>
      <c r="C13" s="167"/>
      <c r="D13" s="167"/>
      <c r="E13" s="167"/>
      <c r="F13" s="167"/>
      <c r="G13" s="167"/>
      <c r="H13" s="170"/>
      <c r="I13" s="170"/>
      <c r="J13" s="170"/>
      <c r="K13" s="170"/>
      <c r="L13" s="49"/>
      <c r="M13" s="49"/>
      <c r="N13" s="51"/>
    </row>
    <row r="14" spans="1:14" ht="27.75" customHeight="1">
      <c r="A14" s="167" t="s">
        <v>63</v>
      </c>
      <c r="B14" s="167"/>
      <c r="C14" s="167"/>
      <c r="D14" s="167"/>
      <c r="E14" s="167"/>
      <c r="F14" s="167"/>
      <c r="G14" s="167"/>
      <c r="H14" s="168" t="s">
        <v>64</v>
      </c>
      <c r="I14" s="168"/>
      <c r="J14" s="168"/>
      <c r="K14" s="168"/>
      <c r="L14" s="168"/>
      <c r="M14" s="168"/>
      <c r="N14" s="168"/>
    </row>
    <row r="15" spans="1:14">
      <c r="A15" s="167" t="s">
        <v>65</v>
      </c>
      <c r="B15" s="167"/>
      <c r="C15" s="167"/>
      <c r="D15" s="167"/>
      <c r="E15" s="167"/>
      <c r="F15" s="167"/>
      <c r="G15" s="167"/>
      <c r="H15" s="168" t="s">
        <v>66</v>
      </c>
      <c r="I15" s="168"/>
      <c r="J15" s="168"/>
      <c r="K15" s="168"/>
      <c r="L15" s="168"/>
      <c r="M15" s="168"/>
      <c r="N15" s="168"/>
    </row>
    <row r="16" spans="1:14">
      <c r="A16" s="167" t="s">
        <v>67</v>
      </c>
      <c r="B16" s="167"/>
      <c r="C16" s="167"/>
      <c r="D16" s="167"/>
      <c r="E16" s="167"/>
      <c r="F16" s="167"/>
      <c r="G16" s="167"/>
      <c r="H16" s="38" t="s">
        <v>68</v>
      </c>
      <c r="I16" s="39"/>
      <c r="J16" s="40"/>
      <c r="K16" s="40"/>
      <c r="L16" s="40"/>
      <c r="M16" s="40"/>
      <c r="N16" s="43"/>
    </row>
    <row r="17" spans="1:14">
      <c r="A17" s="167"/>
      <c r="B17" s="167"/>
      <c r="C17" s="167"/>
      <c r="D17" s="167"/>
      <c r="E17" s="167"/>
      <c r="F17" s="167"/>
      <c r="G17" s="167"/>
      <c r="H17" s="47" t="s">
        <v>69</v>
      </c>
      <c r="I17" s="57"/>
      <c r="J17" s="49"/>
      <c r="K17" s="57" t="s">
        <v>70</v>
      </c>
      <c r="L17" s="49"/>
      <c r="M17" s="49"/>
      <c r="N17" s="51"/>
    </row>
    <row r="18" spans="1:14">
      <c r="A18" s="167"/>
      <c r="B18" s="167"/>
      <c r="C18" s="167"/>
      <c r="D18" s="167"/>
      <c r="E18" s="167"/>
      <c r="F18" s="167"/>
      <c r="G18" s="167"/>
      <c r="H18" s="66" t="s">
        <v>71</v>
      </c>
      <c r="I18" s="57"/>
      <c r="J18" s="49"/>
      <c r="K18" s="49" t="s">
        <v>72</v>
      </c>
      <c r="L18" s="49"/>
      <c r="M18" s="49"/>
      <c r="N18" s="51"/>
    </row>
    <row r="19" spans="1:14">
      <c r="A19" s="167"/>
      <c r="B19" s="167"/>
      <c r="C19" s="167"/>
      <c r="D19" s="167"/>
      <c r="E19" s="167"/>
      <c r="F19" s="167"/>
      <c r="G19" s="167"/>
      <c r="H19" s="47" t="s">
        <v>73</v>
      </c>
      <c r="I19" s="57"/>
      <c r="J19" s="49"/>
      <c r="K19" s="67" t="s">
        <v>74</v>
      </c>
      <c r="L19" s="49"/>
      <c r="M19" s="49"/>
      <c r="N19" s="51"/>
    </row>
    <row r="20" spans="1:14">
      <c r="A20" s="167"/>
      <c r="B20" s="167"/>
      <c r="C20" s="167"/>
      <c r="D20" s="167"/>
      <c r="E20" s="167"/>
      <c r="F20" s="167"/>
      <c r="G20" s="167"/>
      <c r="H20" s="47" t="s">
        <v>75</v>
      </c>
      <c r="I20" s="68"/>
      <c r="J20" s="49"/>
      <c r="K20" s="69" t="s">
        <v>76</v>
      </c>
      <c r="L20" s="49"/>
      <c r="M20" s="49"/>
      <c r="N20" s="51"/>
    </row>
    <row r="21" spans="1:14">
      <c r="A21" s="167"/>
      <c r="B21" s="167"/>
      <c r="C21" s="167"/>
      <c r="D21" s="167"/>
      <c r="E21" s="167"/>
      <c r="F21" s="167"/>
      <c r="G21" s="167"/>
      <c r="H21" s="61" t="s">
        <v>77</v>
      </c>
      <c r="I21" s="33"/>
      <c r="J21" s="32"/>
      <c r="K21" s="70" t="s">
        <v>78</v>
      </c>
      <c r="L21" s="32"/>
      <c r="M21" s="32"/>
      <c r="N21" s="34"/>
    </row>
    <row r="22" spans="1:14">
      <c r="A22" s="71" t="s">
        <v>79</v>
      </c>
      <c r="B22" s="40"/>
      <c r="C22" s="40"/>
      <c r="D22" s="39"/>
      <c r="E22" s="39"/>
      <c r="F22" s="39"/>
      <c r="G22" s="40"/>
      <c r="H22" s="39"/>
      <c r="I22" s="39"/>
      <c r="J22" s="40"/>
      <c r="K22" s="72"/>
      <c r="L22" s="40"/>
      <c r="M22" s="40"/>
      <c r="N22" s="43"/>
    </row>
    <row r="23" spans="1:14">
      <c r="A23" s="179"/>
      <c r="B23" s="179"/>
      <c r="C23" s="179"/>
      <c r="D23" s="179"/>
      <c r="E23" s="179"/>
      <c r="F23" s="179"/>
      <c r="G23" s="179"/>
      <c r="H23" s="179"/>
      <c r="I23" s="179"/>
      <c r="J23" s="179"/>
      <c r="K23" s="179"/>
      <c r="L23" s="179"/>
      <c r="M23" s="179"/>
      <c r="N23" s="179"/>
    </row>
    <row r="24" spans="1:14">
      <c r="A24" s="73"/>
      <c r="B24" s="49"/>
      <c r="C24" s="49"/>
      <c r="D24" s="57"/>
      <c r="E24" s="57"/>
      <c r="F24" s="57"/>
      <c r="G24" s="49"/>
      <c r="H24" s="57"/>
      <c r="I24" s="57"/>
      <c r="J24" s="49"/>
      <c r="K24" s="49"/>
      <c r="L24" s="49"/>
      <c r="M24" s="49"/>
      <c r="N24" s="51"/>
    </row>
    <row r="25" spans="1:14" ht="15.75" thickBot="1">
      <c r="A25" s="74"/>
      <c r="B25" s="75" t="s">
        <v>80</v>
      </c>
      <c r="C25" s="75" t="s">
        <v>81</v>
      </c>
      <c r="D25" s="75" t="s">
        <v>5</v>
      </c>
      <c r="E25" s="75" t="s">
        <v>6</v>
      </c>
      <c r="F25" s="75" t="s">
        <v>82</v>
      </c>
      <c r="G25" s="75" t="s">
        <v>83</v>
      </c>
      <c r="H25" s="76" t="s">
        <v>84</v>
      </c>
      <c r="I25" s="76" t="s">
        <v>85</v>
      </c>
      <c r="J25" s="76" t="s">
        <v>86</v>
      </c>
      <c r="K25" s="76" t="s">
        <v>87</v>
      </c>
      <c r="L25" s="49"/>
      <c r="M25" s="49"/>
      <c r="N25" s="51"/>
    </row>
    <row r="26" spans="1:14">
      <c r="A26" s="180" t="s">
        <v>88</v>
      </c>
      <c r="B26" s="180"/>
      <c r="C26" s="180"/>
      <c r="D26" s="180"/>
      <c r="E26" s="180"/>
      <c r="F26" s="180"/>
      <c r="G26" s="180"/>
      <c r="H26" s="180"/>
      <c r="I26" s="180"/>
      <c r="J26" s="180"/>
      <c r="K26" s="180"/>
      <c r="L26" s="49"/>
      <c r="M26" s="49"/>
      <c r="N26" s="51"/>
    </row>
    <row r="27" spans="1:14">
      <c r="A27" s="180"/>
      <c r="B27" s="180"/>
      <c r="C27" s="180"/>
      <c r="D27" s="180"/>
      <c r="E27" s="180"/>
      <c r="F27" s="180"/>
      <c r="G27" s="180"/>
      <c r="H27" s="180"/>
      <c r="I27" s="180"/>
      <c r="J27" s="180"/>
      <c r="K27" s="180"/>
      <c r="L27" s="49"/>
      <c r="M27" s="49"/>
      <c r="N27" s="51"/>
    </row>
    <row r="28" spans="1:14">
      <c r="A28" s="77"/>
      <c r="B28" s="78"/>
      <c r="C28" s="78"/>
      <c r="D28" s="78"/>
      <c r="E28" s="78"/>
      <c r="F28" s="78"/>
      <c r="G28" s="78"/>
      <c r="H28" s="79"/>
      <c r="I28" s="80"/>
      <c r="J28" s="81"/>
      <c r="K28" s="82"/>
      <c r="L28" s="49"/>
      <c r="M28" s="49"/>
      <c r="N28" s="51"/>
    </row>
    <row r="29" spans="1:14">
      <c r="A29" s="77"/>
      <c r="B29" s="78"/>
      <c r="C29" s="78"/>
      <c r="D29" s="78"/>
      <c r="E29" s="78"/>
      <c r="F29" s="78"/>
      <c r="G29" s="78"/>
      <c r="H29" s="79"/>
      <c r="I29" s="80"/>
      <c r="J29" s="81"/>
      <c r="K29" s="82"/>
      <c r="L29" s="49"/>
      <c r="M29" s="49"/>
      <c r="N29" s="51"/>
    </row>
    <row r="30" spans="1:14">
      <c r="A30" s="77"/>
      <c r="B30" s="78"/>
      <c r="C30" s="78"/>
      <c r="D30" s="78"/>
      <c r="E30" s="78"/>
      <c r="F30" s="78"/>
      <c r="G30" s="78"/>
      <c r="H30" s="79"/>
      <c r="I30" s="80"/>
      <c r="J30" s="81"/>
      <c r="K30" s="82"/>
      <c r="L30" s="49"/>
      <c r="M30" s="49"/>
      <c r="N30" s="51"/>
    </row>
    <row r="31" spans="1:14">
      <c r="A31" s="77"/>
      <c r="B31" s="78"/>
      <c r="C31" s="78"/>
      <c r="D31" s="78"/>
      <c r="E31" s="78"/>
      <c r="F31" s="78"/>
      <c r="G31" s="78"/>
      <c r="H31" s="79"/>
      <c r="I31" s="80"/>
      <c r="J31" s="81"/>
      <c r="K31" s="82"/>
      <c r="L31" s="49"/>
      <c r="M31" s="49"/>
      <c r="N31" s="51"/>
    </row>
    <row r="32" spans="1:14">
      <c r="A32" s="77"/>
      <c r="B32" s="78"/>
      <c r="C32" s="78"/>
      <c r="D32" s="78"/>
      <c r="E32" s="78"/>
      <c r="F32" s="78"/>
      <c r="G32" s="78"/>
      <c r="H32" s="79"/>
      <c r="I32" s="80"/>
      <c r="J32" s="81"/>
      <c r="K32" s="82"/>
      <c r="L32" s="49"/>
      <c r="M32" s="49"/>
      <c r="N32" s="51"/>
    </row>
    <row r="33" spans="1:14">
      <c r="A33" s="77"/>
      <c r="B33" s="78"/>
      <c r="C33" s="78"/>
      <c r="D33" s="78"/>
      <c r="E33" s="78"/>
      <c r="F33" s="78"/>
      <c r="G33" s="78"/>
      <c r="H33" s="79"/>
      <c r="I33" s="80"/>
      <c r="J33" s="81"/>
      <c r="K33" s="82"/>
      <c r="L33" s="49"/>
      <c r="M33" s="49"/>
      <c r="N33" s="51"/>
    </row>
    <row r="34" spans="1:14">
      <c r="A34" s="77"/>
      <c r="B34" s="78"/>
      <c r="C34" s="78"/>
      <c r="D34" s="78"/>
      <c r="E34" s="78"/>
      <c r="F34" s="78"/>
      <c r="G34" s="78"/>
      <c r="H34" s="79"/>
      <c r="I34" s="80"/>
      <c r="J34" s="81"/>
      <c r="K34" s="82"/>
      <c r="L34" s="49"/>
      <c r="M34" s="49"/>
      <c r="N34" s="51"/>
    </row>
    <row r="35" spans="1:14">
      <c r="A35" s="77"/>
      <c r="B35" s="78"/>
      <c r="C35" s="78"/>
      <c r="D35" s="78"/>
      <c r="E35" s="78"/>
      <c r="F35" s="78"/>
      <c r="G35" s="78"/>
      <c r="H35" s="79"/>
      <c r="I35" s="80"/>
      <c r="J35" s="81"/>
      <c r="K35" s="82"/>
      <c r="L35" s="49"/>
      <c r="M35" s="49"/>
      <c r="N35" s="51"/>
    </row>
    <row r="36" spans="1:14">
      <c r="A36" s="77"/>
      <c r="B36" s="78"/>
      <c r="C36" s="78"/>
      <c r="D36" s="78"/>
      <c r="E36" s="78"/>
      <c r="F36" s="78"/>
      <c r="G36" s="78"/>
      <c r="H36" s="79"/>
      <c r="I36" s="80"/>
      <c r="J36" s="81"/>
      <c r="K36" s="82"/>
      <c r="L36" s="49"/>
      <c r="M36" s="49"/>
      <c r="N36" s="51"/>
    </row>
    <row r="37" spans="1:14">
      <c r="A37" s="77"/>
      <c r="B37" s="78"/>
      <c r="C37" s="78"/>
      <c r="D37" s="78"/>
      <c r="E37" s="78"/>
      <c r="F37" s="78"/>
      <c r="G37" s="78"/>
      <c r="H37" s="79"/>
      <c r="I37" s="80"/>
      <c r="J37" s="81"/>
      <c r="K37" s="82"/>
      <c r="L37" s="49"/>
      <c r="M37" s="49"/>
      <c r="N37" s="51"/>
    </row>
    <row r="38" spans="1:14">
      <c r="A38" s="77"/>
      <c r="B38" s="78"/>
      <c r="C38" s="78"/>
      <c r="D38" s="78"/>
      <c r="E38" s="78"/>
      <c r="F38" s="78"/>
      <c r="G38" s="78"/>
      <c r="H38" s="79"/>
      <c r="I38" s="80"/>
      <c r="J38" s="81"/>
      <c r="K38" s="82"/>
      <c r="L38" s="49"/>
      <c r="M38" s="49"/>
      <c r="N38" s="51"/>
    </row>
    <row r="39" spans="1:14">
      <c r="A39" s="77"/>
      <c r="B39" s="78"/>
      <c r="C39" s="78"/>
      <c r="D39" s="78"/>
      <c r="E39" s="78"/>
      <c r="F39" s="78"/>
      <c r="G39" s="78"/>
      <c r="H39" s="79"/>
      <c r="I39" s="80"/>
      <c r="J39" s="81"/>
      <c r="K39" s="82"/>
      <c r="L39" s="49"/>
      <c r="M39" s="49"/>
      <c r="N39" s="51"/>
    </row>
    <row r="40" spans="1:14">
      <c r="A40" s="77"/>
      <c r="B40" s="78"/>
      <c r="C40" s="78"/>
      <c r="D40" s="78"/>
      <c r="E40" s="78"/>
      <c r="F40" s="78"/>
      <c r="G40" s="78"/>
      <c r="H40" s="79"/>
      <c r="I40" s="80"/>
      <c r="J40" s="81"/>
      <c r="K40" s="82"/>
      <c r="L40" s="49"/>
      <c r="M40" s="49"/>
      <c r="N40" s="51"/>
    </row>
    <row r="41" spans="1:14">
      <c r="A41" s="77"/>
      <c r="B41" s="78"/>
      <c r="C41" s="78"/>
      <c r="D41" s="78"/>
      <c r="E41" s="78"/>
      <c r="F41" s="78"/>
      <c r="G41" s="78"/>
      <c r="H41" s="79"/>
      <c r="I41" s="80"/>
      <c r="J41" s="81"/>
      <c r="K41" s="82"/>
      <c r="L41" s="49"/>
      <c r="M41" s="49"/>
      <c r="N41" s="51"/>
    </row>
    <row r="42" spans="1:14">
      <c r="A42" s="77"/>
      <c r="B42" s="78"/>
      <c r="C42" s="78"/>
      <c r="D42" s="78"/>
      <c r="E42" s="78"/>
      <c r="F42" s="78"/>
      <c r="G42" s="78"/>
      <c r="H42" s="79"/>
      <c r="I42" s="80"/>
      <c r="J42" s="81"/>
      <c r="K42" s="82"/>
      <c r="L42" s="49"/>
      <c r="M42" s="49"/>
      <c r="N42" s="51"/>
    </row>
    <row r="43" spans="1:14">
      <c r="A43" s="77"/>
      <c r="B43" s="78"/>
      <c r="C43" s="78"/>
      <c r="D43" s="78"/>
      <c r="E43" s="78"/>
      <c r="F43" s="78"/>
      <c r="G43" s="78"/>
      <c r="H43" s="79"/>
      <c r="I43" s="80"/>
      <c r="J43" s="81"/>
      <c r="K43" s="82"/>
      <c r="L43" s="49"/>
      <c r="M43" s="49"/>
      <c r="N43" s="51"/>
    </row>
    <row r="44" spans="1:14">
      <c r="A44" s="77"/>
      <c r="B44" s="78"/>
      <c r="C44" s="78"/>
      <c r="D44" s="78"/>
      <c r="E44" s="78"/>
      <c r="F44" s="78"/>
      <c r="G44" s="78"/>
      <c r="H44" s="79"/>
      <c r="I44" s="80"/>
      <c r="J44" s="81"/>
      <c r="K44" s="82"/>
      <c r="L44" s="49"/>
      <c r="M44" s="49"/>
      <c r="N44" s="51"/>
    </row>
    <row r="45" spans="1:14">
      <c r="A45" s="77"/>
      <c r="B45" s="78"/>
      <c r="C45" s="78"/>
      <c r="D45" s="78"/>
      <c r="E45" s="78"/>
      <c r="F45" s="78"/>
      <c r="G45" s="78"/>
      <c r="H45" s="79"/>
      <c r="I45" s="80"/>
      <c r="J45" s="81"/>
      <c r="K45" s="82"/>
      <c r="L45" s="49"/>
      <c r="M45" s="49"/>
      <c r="N45" s="51"/>
    </row>
    <row r="46" spans="1:14">
      <c r="A46" s="77"/>
      <c r="B46" s="78"/>
      <c r="C46" s="78"/>
      <c r="D46" s="78"/>
      <c r="E46" s="78"/>
      <c r="F46" s="78"/>
      <c r="G46" s="78"/>
      <c r="H46" s="79"/>
      <c r="I46" s="80"/>
      <c r="J46" s="81"/>
      <c r="K46" s="82"/>
      <c r="L46" s="49"/>
      <c r="M46" s="49"/>
      <c r="N46" s="51"/>
    </row>
    <row r="47" spans="1:14">
      <c r="A47" s="77"/>
      <c r="B47" s="78"/>
      <c r="C47" s="78"/>
      <c r="D47" s="78"/>
      <c r="E47" s="78"/>
      <c r="F47" s="78"/>
      <c r="G47" s="78"/>
      <c r="H47" s="79"/>
      <c r="I47" s="80"/>
      <c r="J47" s="81"/>
      <c r="K47" s="82"/>
      <c r="L47" s="49"/>
      <c r="M47" s="49"/>
      <c r="N47" s="51"/>
    </row>
    <row r="48" spans="1:14">
      <c r="A48" s="77"/>
      <c r="B48" s="78"/>
      <c r="C48" s="78"/>
      <c r="D48" s="78"/>
      <c r="E48" s="78"/>
      <c r="F48" s="78"/>
      <c r="G48" s="78"/>
      <c r="H48" s="79"/>
      <c r="I48" s="80"/>
      <c r="J48" s="81"/>
      <c r="K48" s="82"/>
      <c r="L48" s="49"/>
      <c r="M48" s="49"/>
      <c r="N48" s="51"/>
    </row>
    <row r="49" spans="1:14">
      <c r="A49" s="77"/>
      <c r="B49" s="78"/>
      <c r="C49" s="78"/>
      <c r="D49" s="78"/>
      <c r="E49" s="78"/>
      <c r="F49" s="78"/>
      <c r="G49" s="78"/>
      <c r="H49" s="79"/>
      <c r="I49" s="80"/>
      <c r="J49" s="81"/>
      <c r="K49" s="82"/>
      <c r="L49" s="49"/>
      <c r="M49" s="49"/>
      <c r="N49" s="51"/>
    </row>
    <row r="50" spans="1:14">
      <c r="A50" s="77"/>
      <c r="B50" s="78"/>
      <c r="C50" s="78"/>
      <c r="D50" s="78"/>
      <c r="E50" s="78"/>
      <c r="F50" s="78"/>
      <c r="G50" s="78"/>
      <c r="H50" s="79"/>
      <c r="I50" s="80"/>
      <c r="J50" s="81"/>
      <c r="K50" s="82"/>
      <c r="L50" s="49"/>
      <c r="M50" s="49"/>
      <c r="N50" s="51"/>
    </row>
    <row r="51" spans="1:14">
      <c r="A51" s="77"/>
      <c r="B51" s="78"/>
      <c r="C51" s="78"/>
      <c r="D51" s="78"/>
      <c r="E51" s="78"/>
      <c r="F51" s="78"/>
      <c r="G51" s="78"/>
      <c r="H51" s="79"/>
      <c r="I51" s="80"/>
      <c r="J51" s="81"/>
      <c r="K51" s="82"/>
      <c r="L51" s="49"/>
      <c r="M51" s="49"/>
      <c r="N51" s="51"/>
    </row>
    <row r="52" spans="1:14">
      <c r="A52" s="77"/>
      <c r="B52" s="78"/>
      <c r="C52" s="78"/>
      <c r="D52" s="78"/>
      <c r="E52" s="78"/>
      <c r="F52" s="78"/>
      <c r="G52" s="78"/>
      <c r="H52" s="79"/>
      <c r="I52" s="80"/>
      <c r="J52" s="81"/>
      <c r="K52" s="82"/>
      <c r="L52" s="49"/>
      <c r="M52" s="49"/>
      <c r="N52" s="51"/>
    </row>
    <row r="53" spans="1:14">
      <c r="A53" s="77"/>
      <c r="B53" s="78"/>
      <c r="C53" s="78"/>
      <c r="D53" s="78"/>
      <c r="E53" s="78"/>
      <c r="F53" s="78"/>
      <c r="G53" s="78"/>
      <c r="H53" s="79"/>
      <c r="I53" s="80"/>
      <c r="J53" s="81"/>
      <c r="K53" s="82"/>
      <c r="L53" s="49"/>
      <c r="M53" s="49"/>
      <c r="N53" s="51"/>
    </row>
    <row r="54" spans="1:14">
      <c r="A54" s="77"/>
      <c r="B54" s="78"/>
      <c r="C54" s="78"/>
      <c r="D54" s="78"/>
      <c r="E54" s="78"/>
      <c r="F54" s="78"/>
      <c r="G54" s="78"/>
      <c r="H54" s="79"/>
      <c r="I54" s="80"/>
      <c r="J54" s="81"/>
      <c r="K54" s="82"/>
      <c r="L54" s="49"/>
      <c r="M54" s="49"/>
      <c r="N54" s="51"/>
    </row>
    <row r="55" spans="1:14">
      <c r="A55" s="77"/>
      <c r="B55" s="78"/>
      <c r="C55" s="78"/>
      <c r="D55" s="78"/>
      <c r="E55" s="78"/>
      <c r="F55" s="78"/>
      <c r="G55" s="78"/>
      <c r="H55" s="79"/>
      <c r="I55" s="80"/>
      <c r="J55" s="81"/>
      <c r="K55" s="82"/>
      <c r="L55" s="49"/>
      <c r="M55" s="49"/>
      <c r="N55" s="51"/>
    </row>
    <row r="56" spans="1:14">
      <c r="A56" s="77"/>
      <c r="B56" s="78"/>
      <c r="C56" s="78"/>
      <c r="D56" s="78"/>
      <c r="E56" s="78"/>
      <c r="F56" s="78"/>
      <c r="G56" s="78"/>
      <c r="H56" s="79"/>
      <c r="I56" s="80"/>
      <c r="J56" s="81"/>
      <c r="K56" s="82"/>
      <c r="L56" s="49"/>
      <c r="M56" s="49"/>
      <c r="N56" s="51"/>
    </row>
    <row r="57" spans="1:14">
      <c r="A57" s="77"/>
      <c r="B57" s="78"/>
      <c r="C57" s="78"/>
      <c r="D57" s="78"/>
      <c r="E57" s="78"/>
      <c r="F57" s="78"/>
      <c r="G57" s="78"/>
      <c r="H57" s="79"/>
      <c r="I57" s="80"/>
      <c r="J57" s="81"/>
      <c r="K57" s="82"/>
      <c r="L57" s="49"/>
      <c r="M57" s="49"/>
      <c r="N57" s="51"/>
    </row>
    <row r="58" spans="1:14">
      <c r="A58" s="77"/>
      <c r="B58" s="78"/>
      <c r="C58" s="78"/>
      <c r="D58" s="78"/>
      <c r="E58" s="78"/>
      <c r="F58" s="78"/>
      <c r="G58" s="78"/>
      <c r="H58" s="79"/>
      <c r="I58" s="80"/>
      <c r="J58" s="81"/>
      <c r="K58" s="82"/>
      <c r="L58" s="49"/>
      <c r="M58" s="49"/>
      <c r="N58" s="51"/>
    </row>
    <row r="59" spans="1:14">
      <c r="A59" s="77"/>
      <c r="B59" s="78"/>
      <c r="C59" s="78"/>
      <c r="D59" s="78"/>
      <c r="E59" s="78"/>
      <c r="F59" s="78"/>
      <c r="G59" s="78"/>
      <c r="H59" s="79"/>
      <c r="I59" s="80"/>
      <c r="J59" s="81"/>
      <c r="K59" s="82"/>
      <c r="L59" s="49"/>
      <c r="M59" s="49"/>
      <c r="N59" s="51"/>
    </row>
    <row r="60" spans="1:14">
      <c r="A60" s="77"/>
      <c r="B60" s="78"/>
      <c r="C60" s="78"/>
      <c r="D60" s="78"/>
      <c r="E60" s="78"/>
      <c r="F60" s="78"/>
      <c r="G60" s="78"/>
      <c r="H60" s="79"/>
      <c r="I60" s="80"/>
      <c r="J60" s="81"/>
      <c r="K60" s="82"/>
      <c r="L60" s="49"/>
      <c r="M60" s="49"/>
      <c r="N60" s="51"/>
    </row>
    <row r="61" spans="1:14">
      <c r="A61" s="77"/>
      <c r="B61" s="78"/>
      <c r="C61" s="78"/>
      <c r="D61" s="78"/>
      <c r="E61" s="78"/>
      <c r="F61" s="78"/>
      <c r="G61" s="78"/>
      <c r="H61" s="79"/>
      <c r="I61" s="80"/>
      <c r="J61" s="81"/>
      <c r="K61" s="82"/>
      <c r="L61" s="49"/>
      <c r="M61" s="49"/>
      <c r="N61" s="51"/>
    </row>
    <row r="62" spans="1:14">
      <c r="A62" s="77"/>
      <c r="B62" s="78"/>
      <c r="C62" s="78"/>
      <c r="D62" s="78"/>
      <c r="E62" s="78"/>
      <c r="F62" s="78"/>
      <c r="G62" s="78"/>
      <c r="H62" s="79"/>
      <c r="I62" s="80"/>
      <c r="J62" s="81"/>
      <c r="K62" s="82"/>
      <c r="L62" s="49"/>
      <c r="M62" s="49"/>
      <c r="N62" s="51"/>
    </row>
    <row r="63" spans="1:14">
      <c r="A63" s="77"/>
      <c r="B63" s="78"/>
      <c r="C63" s="78"/>
      <c r="D63" s="78"/>
      <c r="E63" s="78"/>
      <c r="F63" s="78"/>
      <c r="G63" s="78"/>
      <c r="H63" s="79"/>
      <c r="I63" s="80"/>
      <c r="J63" s="81"/>
      <c r="K63" s="82"/>
      <c r="L63" s="49"/>
      <c r="M63" s="49"/>
      <c r="N63" s="51"/>
    </row>
    <row r="64" spans="1:14">
      <c r="A64" s="77"/>
      <c r="B64" s="78"/>
      <c r="C64" s="78"/>
      <c r="D64" s="78"/>
      <c r="E64" s="78"/>
      <c r="F64" s="78"/>
      <c r="G64" s="78"/>
      <c r="H64" s="79"/>
      <c r="I64" s="80"/>
      <c r="J64" s="81"/>
      <c r="K64" s="82"/>
      <c r="L64" s="49"/>
      <c r="M64" s="49"/>
      <c r="N64" s="51"/>
    </row>
    <row r="65" spans="1:14">
      <c r="A65" s="77"/>
      <c r="B65" s="78"/>
      <c r="C65" s="78"/>
      <c r="D65" s="78"/>
      <c r="E65" s="78"/>
      <c r="F65" s="78"/>
      <c r="G65" s="78"/>
      <c r="H65" s="79"/>
      <c r="I65" s="80"/>
      <c r="J65" s="81"/>
      <c r="K65" s="82"/>
      <c r="L65" s="49"/>
      <c r="M65" s="49"/>
      <c r="N65" s="51"/>
    </row>
    <row r="66" spans="1:14">
      <c r="A66" s="77"/>
      <c r="B66" s="78"/>
      <c r="C66" s="78"/>
      <c r="D66" s="78"/>
      <c r="E66" s="78"/>
      <c r="F66" s="78"/>
      <c r="G66" s="78"/>
      <c r="H66" s="79"/>
      <c r="I66" s="80"/>
      <c r="J66" s="81"/>
      <c r="K66" s="82"/>
      <c r="L66" s="49"/>
      <c r="M66" s="49"/>
      <c r="N66" s="51"/>
    </row>
    <row r="67" spans="1:14">
      <c r="A67" s="77"/>
      <c r="B67" s="78"/>
      <c r="C67" s="78"/>
      <c r="D67" s="78"/>
      <c r="E67" s="78"/>
      <c r="F67" s="78"/>
      <c r="G67" s="78"/>
      <c r="H67" s="79"/>
      <c r="I67" s="80"/>
      <c r="J67" s="81"/>
      <c r="K67" s="82"/>
      <c r="L67" s="49"/>
      <c r="M67" s="49"/>
      <c r="N67" s="51"/>
    </row>
    <row r="68" spans="1:14">
      <c r="A68" s="77"/>
      <c r="B68" s="78"/>
      <c r="C68" s="78"/>
      <c r="D68" s="78"/>
      <c r="E68" s="78"/>
      <c r="F68" s="78"/>
      <c r="G68" s="78"/>
      <c r="H68" s="79"/>
      <c r="I68" s="80"/>
      <c r="J68" s="81"/>
      <c r="K68" s="82"/>
      <c r="L68" s="49"/>
      <c r="M68" s="49"/>
      <c r="N68" s="51"/>
    </row>
    <row r="69" spans="1:14">
      <c r="A69" s="77"/>
      <c r="B69" s="78"/>
      <c r="C69" s="78"/>
      <c r="D69" s="78"/>
      <c r="E69" s="78"/>
      <c r="F69" s="78"/>
      <c r="G69" s="78"/>
      <c r="H69" s="79"/>
      <c r="I69" s="80"/>
      <c r="J69" s="81"/>
      <c r="K69" s="82"/>
      <c r="L69" s="49"/>
      <c r="M69" s="49"/>
      <c r="N69" s="51"/>
    </row>
    <row r="70" spans="1:14">
      <c r="A70" s="77"/>
      <c r="B70" s="78"/>
      <c r="C70" s="78"/>
      <c r="D70" s="78"/>
      <c r="E70" s="78"/>
      <c r="F70" s="78"/>
      <c r="G70" s="78"/>
      <c r="H70" s="79"/>
      <c r="I70" s="80"/>
      <c r="J70" s="81"/>
      <c r="K70" s="82"/>
      <c r="L70" s="49"/>
      <c r="M70" s="49"/>
      <c r="N70" s="51"/>
    </row>
    <row r="71" spans="1:14">
      <c r="A71" s="77"/>
      <c r="B71" s="78"/>
      <c r="C71" s="78"/>
      <c r="D71" s="78"/>
      <c r="E71" s="78"/>
      <c r="F71" s="78"/>
      <c r="G71" s="78"/>
      <c r="H71" s="79"/>
      <c r="I71" s="80"/>
      <c r="J71" s="81"/>
      <c r="K71" s="82"/>
      <c r="L71" s="49"/>
      <c r="M71" s="49"/>
      <c r="N71" s="51"/>
    </row>
    <row r="72" spans="1:14">
      <c r="A72" s="77"/>
      <c r="B72" s="78"/>
      <c r="C72" s="78"/>
      <c r="D72" s="78"/>
      <c r="E72" s="78"/>
      <c r="F72" s="78"/>
      <c r="G72" s="78"/>
      <c r="H72" s="79"/>
      <c r="I72" s="80"/>
      <c r="J72" s="81"/>
      <c r="K72" s="82"/>
      <c r="L72" s="49"/>
      <c r="M72" s="49"/>
      <c r="N72" s="51"/>
    </row>
    <row r="73" spans="1:14">
      <c r="A73" s="77"/>
      <c r="B73" s="78"/>
      <c r="C73" s="78"/>
      <c r="D73" s="78"/>
      <c r="E73" s="78"/>
      <c r="F73" s="78"/>
      <c r="G73" s="78"/>
      <c r="H73" s="79"/>
      <c r="I73" s="80"/>
      <c r="J73" s="81"/>
      <c r="K73" s="82"/>
      <c r="L73" s="49"/>
      <c r="M73" s="49"/>
      <c r="N73" s="51"/>
    </row>
    <row r="74" spans="1:14">
      <c r="A74" s="77"/>
      <c r="B74" s="78"/>
      <c r="C74" s="78"/>
      <c r="D74" s="78"/>
      <c r="E74" s="78"/>
      <c r="F74" s="78"/>
      <c r="G74" s="78"/>
      <c r="H74" s="79"/>
      <c r="I74" s="80"/>
      <c r="J74" s="81"/>
      <c r="K74" s="82"/>
      <c r="L74" s="49"/>
      <c r="M74" s="49"/>
      <c r="N74" s="51"/>
    </row>
    <row r="75" spans="1:14">
      <c r="A75" s="77"/>
      <c r="B75" s="78"/>
      <c r="C75" s="78"/>
      <c r="D75" s="78"/>
      <c r="E75" s="78"/>
      <c r="F75" s="78"/>
      <c r="G75" s="78"/>
      <c r="H75" s="79"/>
      <c r="I75" s="80"/>
      <c r="J75" s="81"/>
      <c r="K75" s="82"/>
      <c r="L75" s="49"/>
      <c r="M75" s="49"/>
      <c r="N75" s="51"/>
    </row>
    <row r="76" spans="1:14">
      <c r="A76" s="77"/>
      <c r="B76" s="78"/>
      <c r="C76" s="78"/>
      <c r="D76" s="78"/>
      <c r="E76" s="78"/>
      <c r="F76" s="78"/>
      <c r="G76" s="78"/>
      <c r="H76" s="79"/>
      <c r="I76" s="80"/>
      <c r="J76" s="81"/>
      <c r="K76" s="82"/>
      <c r="L76" s="49"/>
      <c r="M76" s="49"/>
      <c r="N76" s="51"/>
    </row>
    <row r="77" spans="1:14">
      <c r="A77" s="77"/>
      <c r="B77" s="78"/>
      <c r="C77" s="78"/>
      <c r="D77" s="78"/>
      <c r="E77" s="78"/>
      <c r="F77" s="78"/>
      <c r="G77" s="78"/>
      <c r="H77" s="79"/>
      <c r="I77" s="80"/>
      <c r="J77" s="81"/>
      <c r="K77" s="82"/>
      <c r="L77" s="49"/>
      <c r="M77" s="49"/>
      <c r="N77" s="51"/>
    </row>
    <row r="78" spans="1:14">
      <c r="A78" s="77"/>
      <c r="B78" s="78"/>
      <c r="C78" s="78"/>
      <c r="D78" s="78"/>
      <c r="E78" s="78"/>
      <c r="F78" s="78"/>
      <c r="G78" s="78"/>
      <c r="H78" s="79"/>
      <c r="I78" s="80"/>
      <c r="J78" s="81"/>
      <c r="K78" s="82"/>
      <c r="L78" s="49"/>
      <c r="M78" s="49"/>
      <c r="N78" s="51"/>
    </row>
    <row r="79" spans="1:14">
      <c r="A79" s="77"/>
      <c r="B79" s="78"/>
      <c r="C79" s="78"/>
      <c r="D79" s="78"/>
      <c r="E79" s="78"/>
      <c r="F79" s="78"/>
      <c r="G79" s="78"/>
      <c r="H79" s="79"/>
      <c r="I79" s="80"/>
      <c r="J79" s="81"/>
      <c r="K79" s="82"/>
      <c r="L79" s="49"/>
      <c r="M79" s="49"/>
      <c r="N79" s="51"/>
    </row>
    <row r="80" spans="1:14">
      <c r="A80" s="77"/>
      <c r="B80" s="78"/>
      <c r="C80" s="78"/>
      <c r="D80" s="78"/>
      <c r="E80" s="78"/>
      <c r="F80" s="78"/>
      <c r="G80" s="78"/>
      <c r="H80" s="79"/>
      <c r="I80" s="80"/>
      <c r="J80" s="81"/>
      <c r="K80" s="82"/>
      <c r="L80" s="49"/>
      <c r="M80" s="49"/>
      <c r="N80" s="51"/>
    </row>
    <row r="81" spans="1:14">
      <c r="A81" s="77"/>
      <c r="B81" s="78"/>
      <c r="C81" s="78"/>
      <c r="D81" s="78"/>
      <c r="E81" s="78"/>
      <c r="F81" s="78"/>
      <c r="G81" s="78"/>
      <c r="H81" s="79"/>
      <c r="I81" s="80"/>
      <c r="J81" s="81"/>
      <c r="K81" s="82"/>
      <c r="L81" s="49"/>
      <c r="M81" s="49"/>
      <c r="N81" s="51"/>
    </row>
    <row r="82" spans="1:14">
      <c r="A82" s="77"/>
      <c r="B82" s="78"/>
      <c r="C82" s="78"/>
      <c r="D82" s="78"/>
      <c r="E82" s="78"/>
      <c r="F82" s="78"/>
      <c r="G82" s="78"/>
      <c r="H82" s="79"/>
      <c r="I82" s="80"/>
      <c r="J82" s="81"/>
      <c r="K82" s="82"/>
      <c r="L82" s="49"/>
      <c r="M82" s="49"/>
      <c r="N82" s="51"/>
    </row>
    <row r="83" spans="1:14">
      <c r="A83" s="77"/>
      <c r="B83" s="78"/>
      <c r="C83" s="78"/>
      <c r="D83" s="78"/>
      <c r="E83" s="78"/>
      <c r="F83" s="78"/>
      <c r="G83" s="78"/>
      <c r="H83" s="79"/>
      <c r="I83" s="80"/>
      <c r="J83" s="81"/>
      <c r="K83" s="82"/>
      <c r="L83" s="49"/>
      <c r="M83" s="49"/>
      <c r="N83" s="51"/>
    </row>
    <row r="84" spans="1:14">
      <c r="A84" s="77"/>
      <c r="B84" s="78"/>
      <c r="C84" s="78"/>
      <c r="D84" s="78"/>
      <c r="E84" s="78"/>
      <c r="F84" s="78"/>
      <c r="G84" s="78"/>
      <c r="H84" s="79"/>
      <c r="I84" s="80"/>
      <c r="J84" s="81"/>
      <c r="K84" s="82"/>
      <c r="L84" s="49"/>
      <c r="M84" s="49"/>
      <c r="N84" s="51"/>
    </row>
    <row r="85" spans="1:14">
      <c r="A85" s="77"/>
      <c r="B85" s="78"/>
      <c r="C85" s="78"/>
      <c r="D85" s="78"/>
      <c r="E85" s="78"/>
      <c r="F85" s="78"/>
      <c r="G85" s="78"/>
      <c r="H85" s="79"/>
      <c r="I85" s="80"/>
      <c r="J85" s="81"/>
      <c r="K85" s="82"/>
      <c r="L85" s="49"/>
      <c r="M85" s="49"/>
      <c r="N85" s="51"/>
    </row>
    <row r="86" spans="1:14">
      <c r="A86" s="77"/>
      <c r="B86" s="78"/>
      <c r="C86" s="78"/>
      <c r="D86" s="78"/>
      <c r="E86" s="78"/>
      <c r="F86" s="78"/>
      <c r="G86" s="78"/>
      <c r="H86" s="79"/>
      <c r="I86" s="80"/>
      <c r="J86" s="81"/>
      <c r="K86" s="82"/>
      <c r="L86" s="49"/>
      <c r="M86" s="49"/>
      <c r="N86" s="51"/>
    </row>
    <row r="87" spans="1:14">
      <c r="A87" s="77"/>
      <c r="B87" s="78"/>
      <c r="C87" s="78"/>
      <c r="D87" s="78"/>
      <c r="E87" s="78"/>
      <c r="F87" s="78"/>
      <c r="G87" s="78"/>
      <c r="H87" s="79"/>
      <c r="I87" s="80"/>
      <c r="J87" s="81"/>
      <c r="K87" s="82"/>
      <c r="L87" s="49"/>
      <c r="M87" s="49"/>
      <c r="N87" s="51"/>
    </row>
    <row r="88" spans="1:14">
      <c r="A88" s="77"/>
      <c r="B88" s="78"/>
      <c r="C88" s="78"/>
      <c r="D88" s="78"/>
      <c r="E88" s="78"/>
      <c r="F88" s="78"/>
      <c r="G88" s="78"/>
      <c r="H88" s="79"/>
      <c r="I88" s="80"/>
      <c r="J88" s="81"/>
      <c r="K88" s="82"/>
      <c r="L88" s="49"/>
      <c r="M88" s="49"/>
      <c r="N88" s="51"/>
    </row>
    <row r="89" spans="1:14">
      <c r="A89" s="77"/>
      <c r="B89" s="78"/>
      <c r="C89" s="78"/>
      <c r="D89" s="78"/>
      <c r="E89" s="78"/>
      <c r="F89" s="78"/>
      <c r="G89" s="78"/>
      <c r="H89" s="79"/>
      <c r="I89" s="80"/>
      <c r="J89" s="81"/>
      <c r="K89" s="82"/>
      <c r="L89" s="49"/>
      <c r="M89" s="49"/>
      <c r="N89" s="51"/>
    </row>
    <row r="90" spans="1:14">
      <c r="A90" s="77"/>
      <c r="B90" s="78"/>
      <c r="C90" s="78"/>
      <c r="D90" s="78"/>
      <c r="E90" s="78"/>
      <c r="F90" s="78"/>
      <c r="G90" s="78"/>
      <c r="H90" s="79"/>
      <c r="I90" s="80"/>
      <c r="J90" s="81"/>
      <c r="K90" s="82"/>
      <c r="L90" s="49"/>
      <c r="M90" s="49"/>
      <c r="N90" s="51"/>
    </row>
    <row r="91" spans="1:14">
      <c r="A91" s="77"/>
      <c r="B91" s="78"/>
      <c r="C91" s="78"/>
      <c r="D91" s="78"/>
      <c r="E91" s="78"/>
      <c r="F91" s="78"/>
      <c r="G91" s="78"/>
      <c r="H91" s="79"/>
      <c r="I91" s="80"/>
      <c r="J91" s="81"/>
      <c r="K91" s="82"/>
      <c r="L91" s="49"/>
      <c r="M91" s="49"/>
      <c r="N91" s="51"/>
    </row>
    <row r="92" spans="1:14">
      <c r="A92" s="77"/>
      <c r="B92" s="78"/>
      <c r="C92" s="78"/>
      <c r="D92" s="78"/>
      <c r="E92" s="78"/>
      <c r="F92" s="78"/>
      <c r="G92" s="78"/>
      <c r="H92" s="79"/>
      <c r="I92" s="80"/>
      <c r="J92" s="81"/>
      <c r="K92" s="82"/>
      <c r="L92" s="49"/>
      <c r="M92" s="49"/>
      <c r="N92" s="51"/>
    </row>
    <row r="93" spans="1:14">
      <c r="A93" s="77"/>
      <c r="B93" s="78"/>
      <c r="C93" s="78"/>
      <c r="D93" s="78"/>
      <c r="E93" s="78"/>
      <c r="F93" s="78"/>
      <c r="G93" s="78"/>
      <c r="H93" s="79"/>
      <c r="I93" s="80"/>
      <c r="J93" s="81"/>
      <c r="K93" s="82"/>
      <c r="L93" s="49"/>
      <c r="M93" s="49"/>
      <c r="N93" s="51"/>
    </row>
    <row r="94" spans="1:14">
      <c r="A94" s="77"/>
      <c r="B94" s="78"/>
      <c r="C94" s="78"/>
      <c r="D94" s="78"/>
      <c r="E94" s="78"/>
      <c r="F94" s="78"/>
      <c r="G94" s="78"/>
      <c r="H94" s="79"/>
      <c r="I94" s="80"/>
      <c r="J94" s="81"/>
      <c r="K94" s="82"/>
      <c r="L94" s="49"/>
      <c r="M94" s="49"/>
      <c r="N94" s="51"/>
    </row>
    <row r="95" spans="1:14">
      <c r="A95" s="77"/>
      <c r="B95" s="78"/>
      <c r="C95" s="78"/>
      <c r="D95" s="78"/>
      <c r="E95" s="78"/>
      <c r="F95" s="78"/>
      <c r="G95" s="78"/>
      <c r="H95" s="79"/>
      <c r="I95" s="80"/>
      <c r="J95" s="81"/>
      <c r="K95" s="82"/>
      <c r="L95" s="49"/>
      <c r="M95" s="49"/>
      <c r="N95" s="51"/>
    </row>
    <row r="96" spans="1:14">
      <c r="A96" s="77"/>
      <c r="B96" s="78"/>
      <c r="C96" s="78"/>
      <c r="D96" s="78"/>
      <c r="E96" s="78"/>
      <c r="F96" s="78"/>
      <c r="G96" s="78"/>
      <c r="H96" s="79"/>
      <c r="I96" s="80"/>
      <c r="J96" s="81"/>
      <c r="K96" s="82"/>
      <c r="L96" s="49"/>
      <c r="M96" s="49"/>
      <c r="N96" s="51"/>
    </row>
    <row r="97" spans="1:14">
      <c r="A97" s="77"/>
      <c r="B97" s="78"/>
      <c r="C97" s="78"/>
      <c r="D97" s="78"/>
      <c r="E97" s="78"/>
      <c r="F97" s="78"/>
      <c r="G97" s="78"/>
      <c r="H97" s="79"/>
      <c r="I97" s="80"/>
      <c r="J97" s="81"/>
      <c r="K97" s="82"/>
      <c r="L97" s="49"/>
      <c r="M97" s="49"/>
      <c r="N97" s="51"/>
    </row>
    <row r="98" spans="1:14">
      <c r="A98" s="77"/>
      <c r="B98" s="78"/>
      <c r="C98" s="78"/>
      <c r="D98" s="78"/>
      <c r="E98" s="78"/>
      <c r="F98" s="78"/>
      <c r="G98" s="78"/>
      <c r="H98" s="79"/>
      <c r="I98" s="80"/>
      <c r="J98" s="81"/>
      <c r="K98" s="82"/>
      <c r="L98" s="49"/>
      <c r="M98" s="49"/>
      <c r="N98" s="51"/>
    </row>
    <row r="99" spans="1:14">
      <c r="A99" s="77"/>
      <c r="B99" s="78"/>
      <c r="C99" s="78"/>
      <c r="D99" s="78"/>
      <c r="E99" s="78"/>
      <c r="F99" s="78"/>
      <c r="G99" s="78"/>
      <c r="H99" s="79"/>
      <c r="I99" s="80"/>
      <c r="J99" s="81"/>
      <c r="K99" s="82"/>
      <c r="L99" s="49"/>
      <c r="M99" s="49"/>
      <c r="N99" s="51"/>
    </row>
    <row r="100" spans="1:14">
      <c r="A100" s="77"/>
      <c r="B100" s="78"/>
      <c r="C100" s="78"/>
      <c r="D100" s="78"/>
      <c r="E100" s="78"/>
      <c r="F100" s="78"/>
      <c r="G100" s="78"/>
      <c r="H100" s="79"/>
      <c r="I100" s="80"/>
      <c r="J100" s="81"/>
      <c r="K100" s="82"/>
      <c r="L100" s="49"/>
      <c r="M100" s="49"/>
      <c r="N100" s="51"/>
    </row>
    <row r="101" spans="1:14">
      <c r="A101" s="77"/>
      <c r="B101" s="78"/>
      <c r="C101" s="78"/>
      <c r="D101" s="78"/>
      <c r="E101" s="78"/>
      <c r="F101" s="78"/>
      <c r="G101" s="78"/>
      <c r="H101" s="79"/>
      <c r="I101" s="80"/>
      <c r="J101" s="81"/>
      <c r="K101" s="82"/>
      <c r="L101" s="49"/>
      <c r="M101" s="49"/>
      <c r="N101" s="51"/>
    </row>
    <row r="102" spans="1:14">
      <c r="A102" s="77"/>
      <c r="B102" s="78"/>
      <c r="C102" s="78"/>
      <c r="D102" s="78"/>
      <c r="E102" s="78"/>
      <c r="F102" s="78"/>
      <c r="G102" s="78"/>
      <c r="H102" s="79"/>
      <c r="I102" s="80"/>
      <c r="J102" s="81"/>
      <c r="K102" s="82"/>
      <c r="L102" s="49"/>
      <c r="M102" s="49"/>
      <c r="N102" s="51"/>
    </row>
    <row r="103" spans="1:14">
      <c r="A103" s="77"/>
      <c r="B103" s="78"/>
      <c r="C103" s="78"/>
      <c r="D103" s="78"/>
      <c r="E103" s="78"/>
      <c r="F103" s="78"/>
      <c r="G103" s="78"/>
      <c r="H103" s="79"/>
      <c r="I103" s="80"/>
      <c r="J103" s="81"/>
      <c r="K103" s="82"/>
      <c r="L103" s="49"/>
      <c r="M103" s="49"/>
      <c r="N103" s="51"/>
    </row>
    <row r="104" spans="1:14">
      <c r="A104" s="77"/>
      <c r="B104" s="78"/>
      <c r="C104" s="78"/>
      <c r="D104" s="78"/>
      <c r="E104" s="78"/>
      <c r="F104" s="78"/>
      <c r="G104" s="78"/>
      <c r="H104" s="79"/>
      <c r="I104" s="80"/>
      <c r="J104" s="81"/>
      <c r="K104" s="82"/>
      <c r="L104" s="49"/>
      <c r="M104" s="49"/>
      <c r="N104" s="51"/>
    </row>
    <row r="105" spans="1:14">
      <c r="A105" s="77"/>
      <c r="B105" s="78"/>
      <c r="C105" s="78"/>
      <c r="D105" s="78"/>
      <c r="E105" s="78"/>
      <c r="F105" s="78"/>
      <c r="G105" s="78"/>
      <c r="H105" s="79"/>
      <c r="I105" s="80"/>
      <c r="J105" s="81"/>
      <c r="K105" s="82"/>
      <c r="L105" s="49"/>
      <c r="M105" s="49"/>
      <c r="N105" s="51"/>
    </row>
    <row r="106" spans="1:14">
      <c r="A106" s="77"/>
      <c r="B106" s="78"/>
      <c r="C106" s="78"/>
      <c r="D106" s="78"/>
      <c r="E106" s="78"/>
      <c r="F106" s="78"/>
      <c r="G106" s="78"/>
      <c r="H106" s="79"/>
      <c r="I106" s="80"/>
      <c r="J106" s="81"/>
      <c r="K106" s="82"/>
      <c r="L106" s="49"/>
      <c r="M106" s="49"/>
      <c r="N106" s="51"/>
    </row>
    <row r="107" spans="1:14">
      <c r="A107" s="77"/>
      <c r="B107" s="78"/>
      <c r="C107" s="78"/>
      <c r="D107" s="78"/>
      <c r="E107" s="78"/>
      <c r="F107" s="78"/>
      <c r="G107" s="78"/>
      <c r="H107" s="79"/>
      <c r="I107" s="80"/>
      <c r="J107" s="81"/>
      <c r="K107" s="82"/>
      <c r="L107" s="49"/>
      <c r="M107" s="49"/>
      <c r="N107" s="51"/>
    </row>
    <row r="108" spans="1:14">
      <c r="A108" s="77"/>
      <c r="B108" s="78"/>
      <c r="C108" s="78"/>
      <c r="D108" s="78"/>
      <c r="E108" s="78"/>
      <c r="F108" s="78"/>
      <c r="G108" s="78"/>
      <c r="H108" s="79"/>
      <c r="I108" s="80"/>
      <c r="J108" s="81"/>
      <c r="K108" s="82"/>
      <c r="L108" s="49"/>
      <c r="M108" s="49"/>
      <c r="N108" s="51"/>
    </row>
    <row r="109" spans="1:14">
      <c r="A109" s="77"/>
      <c r="B109" s="78"/>
      <c r="C109" s="78"/>
      <c r="D109" s="78"/>
      <c r="E109" s="78"/>
      <c r="F109" s="78"/>
      <c r="G109" s="78"/>
      <c r="H109" s="79"/>
      <c r="I109" s="80"/>
      <c r="J109" s="81"/>
      <c r="K109" s="82"/>
      <c r="L109" s="49"/>
      <c r="M109" s="49"/>
      <c r="N109" s="51"/>
    </row>
    <row r="110" spans="1:14">
      <c r="A110" s="77"/>
      <c r="B110" s="78"/>
      <c r="C110" s="78"/>
      <c r="D110" s="78"/>
      <c r="E110" s="78"/>
      <c r="F110" s="78"/>
      <c r="G110" s="78"/>
      <c r="H110" s="79"/>
      <c r="I110" s="80"/>
      <c r="J110" s="81"/>
      <c r="K110" s="82"/>
      <c r="L110" s="49"/>
      <c r="M110" s="49"/>
      <c r="N110" s="51"/>
    </row>
    <row r="111" spans="1:14">
      <c r="A111" s="77"/>
      <c r="B111" s="78"/>
      <c r="C111" s="78"/>
      <c r="D111" s="78"/>
      <c r="E111" s="78"/>
      <c r="F111" s="78"/>
      <c r="G111" s="78"/>
      <c r="H111" s="79"/>
      <c r="I111" s="80"/>
      <c r="J111" s="81"/>
      <c r="K111" s="82"/>
      <c r="L111" s="49"/>
      <c r="M111" s="49"/>
      <c r="N111" s="51"/>
    </row>
    <row r="112" spans="1:14">
      <c r="A112" s="77"/>
      <c r="B112" s="78"/>
      <c r="C112" s="78"/>
      <c r="D112" s="78"/>
      <c r="E112" s="78"/>
      <c r="F112" s="78"/>
      <c r="G112" s="78"/>
      <c r="H112" s="79"/>
      <c r="I112" s="80"/>
      <c r="J112" s="81"/>
      <c r="K112" s="82"/>
      <c r="L112" s="49"/>
      <c r="M112" s="49"/>
      <c r="N112" s="51"/>
    </row>
    <row r="113" spans="1:14">
      <c r="A113" s="77"/>
      <c r="B113" s="78"/>
      <c r="C113" s="78"/>
      <c r="D113" s="78"/>
      <c r="E113" s="78"/>
      <c r="F113" s="78"/>
      <c r="G113" s="78"/>
      <c r="H113" s="79"/>
      <c r="I113" s="80"/>
      <c r="J113" s="81"/>
      <c r="K113" s="82"/>
      <c r="L113" s="49"/>
      <c r="M113" s="49"/>
      <c r="N113" s="51"/>
    </row>
    <row r="114" spans="1:14">
      <c r="A114" s="77"/>
      <c r="B114" s="78"/>
      <c r="C114" s="78"/>
      <c r="D114" s="78"/>
      <c r="E114" s="78"/>
      <c r="F114" s="78"/>
      <c r="G114" s="78"/>
      <c r="H114" s="79"/>
      <c r="I114" s="80"/>
      <c r="J114" s="81"/>
      <c r="K114" s="82"/>
      <c r="L114" s="49"/>
      <c r="M114" s="49"/>
      <c r="N114" s="51"/>
    </row>
    <row r="115" spans="1:14">
      <c r="A115" s="77"/>
      <c r="B115" s="78"/>
      <c r="C115" s="78"/>
      <c r="D115" s="78"/>
      <c r="E115" s="78"/>
      <c r="F115" s="78"/>
      <c r="G115" s="78"/>
      <c r="H115" s="79"/>
      <c r="I115" s="80"/>
      <c r="J115" s="81"/>
      <c r="K115" s="82"/>
      <c r="L115" s="49"/>
      <c r="M115" s="49"/>
      <c r="N115" s="51"/>
    </row>
    <row r="116" spans="1:14">
      <c r="A116" s="77"/>
      <c r="B116" s="78"/>
      <c r="C116" s="78"/>
      <c r="D116" s="78"/>
      <c r="E116" s="78"/>
      <c r="F116" s="78"/>
      <c r="G116" s="78"/>
      <c r="H116" s="79"/>
      <c r="I116" s="80"/>
      <c r="J116" s="81"/>
      <c r="K116" s="82"/>
      <c r="L116" s="49"/>
      <c r="M116" s="49"/>
      <c r="N116" s="51"/>
    </row>
    <row r="117" spans="1:14">
      <c r="A117" s="77"/>
      <c r="B117" s="78"/>
      <c r="C117" s="78"/>
      <c r="D117" s="78"/>
      <c r="E117" s="78"/>
      <c r="F117" s="78"/>
      <c r="G117" s="78"/>
      <c r="H117" s="79"/>
      <c r="I117" s="80"/>
      <c r="J117" s="81"/>
      <c r="K117" s="82"/>
      <c r="L117" s="49"/>
      <c r="M117" s="49"/>
      <c r="N117" s="51"/>
    </row>
    <row r="118" spans="1:14">
      <c r="A118" s="77"/>
      <c r="B118" s="78"/>
      <c r="C118" s="78"/>
      <c r="D118" s="78"/>
      <c r="E118" s="78"/>
      <c r="F118" s="78"/>
      <c r="G118" s="78"/>
      <c r="H118" s="79"/>
      <c r="I118" s="80"/>
      <c r="J118" s="81"/>
      <c r="K118" s="82"/>
      <c r="L118" s="49"/>
      <c r="M118" s="49"/>
      <c r="N118" s="51"/>
    </row>
    <row r="119" spans="1:14">
      <c r="A119" s="77"/>
      <c r="B119" s="78"/>
      <c r="C119" s="78"/>
      <c r="D119" s="78"/>
      <c r="E119" s="78"/>
      <c r="F119" s="78"/>
      <c r="G119" s="78"/>
      <c r="H119" s="79"/>
      <c r="I119" s="80"/>
      <c r="J119" s="81"/>
      <c r="K119" s="82"/>
      <c r="L119" s="49"/>
      <c r="M119" s="49"/>
      <c r="N119" s="51"/>
    </row>
    <row r="120" spans="1:14">
      <c r="A120" s="77"/>
      <c r="B120" s="78"/>
      <c r="C120" s="78"/>
      <c r="D120" s="78"/>
      <c r="E120" s="78"/>
      <c r="F120" s="78"/>
      <c r="G120" s="78"/>
      <c r="H120" s="79"/>
      <c r="I120" s="80"/>
      <c r="J120" s="81"/>
      <c r="K120" s="82"/>
      <c r="L120" s="49"/>
      <c r="M120" s="49"/>
      <c r="N120" s="51"/>
    </row>
    <row r="121" spans="1:14">
      <c r="A121" s="77"/>
      <c r="B121" s="78"/>
      <c r="C121" s="78"/>
      <c r="D121" s="78"/>
      <c r="E121" s="78"/>
      <c r="F121" s="78"/>
      <c r="G121" s="78"/>
      <c r="H121" s="79"/>
      <c r="I121" s="80"/>
      <c r="J121" s="81"/>
      <c r="K121" s="82"/>
      <c r="L121" s="49"/>
      <c r="M121" s="49"/>
      <c r="N121" s="51"/>
    </row>
    <row r="122" spans="1:14">
      <c r="A122" s="77"/>
      <c r="B122" s="78"/>
      <c r="C122" s="78"/>
      <c r="D122" s="78"/>
      <c r="E122" s="78"/>
      <c r="F122" s="78"/>
      <c r="G122" s="78"/>
      <c r="H122" s="79"/>
      <c r="I122" s="80"/>
      <c r="J122" s="81"/>
      <c r="K122" s="82"/>
      <c r="L122" s="49"/>
      <c r="M122" s="49"/>
      <c r="N122" s="51"/>
    </row>
    <row r="123" spans="1:14">
      <c r="A123" s="77"/>
      <c r="B123" s="78"/>
      <c r="C123" s="78"/>
      <c r="D123" s="78"/>
      <c r="E123" s="78"/>
      <c r="F123" s="78"/>
      <c r="G123" s="78"/>
      <c r="H123" s="79"/>
      <c r="I123" s="80"/>
      <c r="J123" s="81"/>
      <c r="K123" s="82"/>
      <c r="L123" s="49"/>
      <c r="M123" s="49"/>
      <c r="N123" s="51"/>
    </row>
    <row r="124" spans="1:14">
      <c r="A124" s="77"/>
      <c r="B124" s="78"/>
      <c r="C124" s="78"/>
      <c r="D124" s="78"/>
      <c r="E124" s="78"/>
      <c r="F124" s="78"/>
      <c r="G124" s="78"/>
      <c r="H124" s="79"/>
      <c r="I124" s="80"/>
      <c r="J124" s="81"/>
      <c r="K124" s="82"/>
      <c r="L124" s="49"/>
      <c r="M124" s="49"/>
      <c r="N124" s="51"/>
    </row>
    <row r="125" spans="1:14">
      <c r="A125" s="77"/>
      <c r="B125" s="78"/>
      <c r="C125" s="78"/>
      <c r="D125" s="78"/>
      <c r="E125" s="78"/>
      <c r="F125" s="78"/>
      <c r="G125" s="78"/>
      <c r="H125" s="79"/>
      <c r="I125" s="80"/>
      <c r="J125" s="81"/>
      <c r="K125" s="82"/>
      <c r="L125" s="49"/>
      <c r="M125" s="49"/>
      <c r="N125" s="51"/>
    </row>
    <row r="126" spans="1:14">
      <c r="A126" s="77"/>
      <c r="B126" s="78"/>
      <c r="C126" s="78"/>
      <c r="D126" s="78"/>
      <c r="E126" s="78"/>
      <c r="F126" s="78"/>
      <c r="G126" s="78"/>
      <c r="H126" s="79"/>
      <c r="I126" s="80"/>
      <c r="J126" s="81"/>
      <c r="K126" s="82"/>
      <c r="L126" s="49"/>
      <c r="M126" s="49"/>
      <c r="N126" s="51"/>
    </row>
    <row r="127" spans="1:14">
      <c r="A127" s="77"/>
      <c r="B127" s="78"/>
      <c r="C127" s="78"/>
      <c r="D127" s="78"/>
      <c r="E127" s="78"/>
      <c r="F127" s="78"/>
      <c r="G127" s="78"/>
      <c r="H127" s="79"/>
      <c r="I127" s="80"/>
      <c r="J127" s="81"/>
      <c r="K127" s="82"/>
      <c r="L127" s="49"/>
      <c r="M127" s="49"/>
      <c r="N127" s="51"/>
    </row>
    <row r="128" spans="1:14">
      <c r="A128" s="77"/>
      <c r="B128" s="78"/>
      <c r="C128" s="78"/>
      <c r="D128" s="78"/>
      <c r="E128" s="78"/>
      <c r="F128" s="78"/>
      <c r="G128" s="78"/>
      <c r="H128" s="79"/>
      <c r="I128" s="80"/>
      <c r="J128" s="81"/>
      <c r="K128" s="82"/>
      <c r="L128" s="49"/>
      <c r="M128" s="49"/>
      <c r="N128" s="51"/>
    </row>
    <row r="129" spans="1:14">
      <c r="A129" s="77"/>
      <c r="B129" s="78"/>
      <c r="C129" s="78"/>
      <c r="D129" s="78"/>
      <c r="E129" s="78"/>
      <c r="F129" s="78"/>
      <c r="G129" s="78"/>
      <c r="H129" s="79"/>
      <c r="I129" s="80"/>
      <c r="J129" s="81"/>
      <c r="K129" s="82"/>
      <c r="L129" s="49"/>
      <c r="M129" s="49"/>
      <c r="N129" s="51"/>
    </row>
    <row r="130" spans="1:14">
      <c r="A130" s="77"/>
      <c r="B130" s="78"/>
      <c r="C130" s="78"/>
      <c r="D130" s="78"/>
      <c r="E130" s="78"/>
      <c r="F130" s="78"/>
      <c r="G130" s="78"/>
      <c r="H130" s="79"/>
      <c r="I130" s="80"/>
      <c r="J130" s="81"/>
      <c r="K130" s="82"/>
      <c r="L130" s="49"/>
      <c r="M130" s="49"/>
      <c r="N130" s="51"/>
    </row>
    <row r="131" spans="1:14">
      <c r="A131" s="77"/>
      <c r="B131" s="78"/>
      <c r="C131" s="78"/>
      <c r="D131" s="78"/>
      <c r="E131" s="78"/>
      <c r="F131" s="78"/>
      <c r="G131" s="78"/>
      <c r="H131" s="79"/>
      <c r="I131" s="80"/>
      <c r="J131" s="81"/>
      <c r="K131" s="82"/>
      <c r="L131" s="49"/>
      <c r="M131" s="49"/>
      <c r="N131" s="51"/>
    </row>
    <row r="132" spans="1:14">
      <c r="A132" s="77"/>
      <c r="B132" s="78"/>
      <c r="C132" s="78"/>
      <c r="D132" s="78"/>
      <c r="E132" s="78"/>
      <c r="F132" s="78"/>
      <c r="G132" s="78"/>
      <c r="H132" s="79"/>
      <c r="I132" s="80"/>
      <c r="J132" s="81"/>
      <c r="K132" s="82"/>
      <c r="L132" s="49"/>
      <c r="M132" s="49"/>
      <c r="N132" s="51"/>
    </row>
    <row r="133" spans="1:14">
      <c r="A133" s="77"/>
      <c r="B133" s="78"/>
      <c r="C133" s="78"/>
      <c r="D133" s="78"/>
      <c r="E133" s="78"/>
      <c r="F133" s="78"/>
      <c r="G133" s="78"/>
      <c r="H133" s="79"/>
      <c r="I133" s="80"/>
      <c r="J133" s="81"/>
      <c r="K133" s="82"/>
      <c r="L133" s="49"/>
      <c r="M133" s="49"/>
      <c r="N133" s="51"/>
    </row>
    <row r="134" spans="1:14">
      <c r="A134" s="77"/>
      <c r="B134" s="78"/>
      <c r="C134" s="78"/>
      <c r="D134" s="78"/>
      <c r="E134" s="78"/>
      <c r="F134" s="78"/>
      <c r="G134" s="78"/>
      <c r="H134" s="79"/>
      <c r="I134" s="80"/>
      <c r="J134" s="81"/>
      <c r="K134" s="82"/>
      <c r="L134" s="49"/>
      <c r="M134" s="49"/>
      <c r="N134" s="51"/>
    </row>
    <row r="135" spans="1:14">
      <c r="A135" s="77"/>
      <c r="B135" s="78"/>
      <c r="C135" s="78"/>
      <c r="D135" s="78"/>
      <c r="E135" s="78"/>
      <c r="F135" s="78"/>
      <c r="G135" s="78"/>
      <c r="H135" s="79"/>
      <c r="I135" s="80"/>
      <c r="J135" s="81"/>
      <c r="K135" s="82"/>
      <c r="L135" s="49"/>
      <c r="M135" s="49"/>
      <c r="N135" s="51"/>
    </row>
    <row r="136" spans="1:14">
      <c r="A136" s="77"/>
      <c r="B136" s="78"/>
      <c r="C136" s="78"/>
      <c r="D136" s="78"/>
      <c r="E136" s="78"/>
      <c r="F136" s="78"/>
      <c r="G136" s="78"/>
      <c r="H136" s="79"/>
      <c r="I136" s="80"/>
      <c r="J136" s="81"/>
      <c r="K136" s="82"/>
      <c r="L136" s="49"/>
      <c r="M136" s="49"/>
      <c r="N136" s="51"/>
    </row>
    <row r="137" spans="1:14">
      <c r="A137" s="77"/>
      <c r="B137" s="78"/>
      <c r="C137" s="78"/>
      <c r="D137" s="78"/>
      <c r="E137" s="78"/>
      <c r="F137" s="78"/>
      <c r="G137" s="78"/>
      <c r="H137" s="79"/>
      <c r="I137" s="80"/>
      <c r="J137" s="81"/>
      <c r="K137" s="82"/>
      <c r="L137" s="49"/>
      <c r="M137" s="49"/>
      <c r="N137" s="51"/>
    </row>
    <row r="138" spans="1:14">
      <c r="A138" s="77"/>
      <c r="B138" s="78"/>
      <c r="C138" s="78"/>
      <c r="D138" s="78"/>
      <c r="E138" s="78"/>
      <c r="F138" s="78"/>
      <c r="G138" s="78"/>
      <c r="H138" s="79"/>
      <c r="I138" s="80"/>
      <c r="J138" s="81"/>
      <c r="K138" s="82"/>
      <c r="L138" s="49"/>
      <c r="M138" s="49"/>
      <c r="N138" s="51"/>
    </row>
    <row r="139" spans="1:14">
      <c r="A139" s="77"/>
      <c r="B139" s="78"/>
      <c r="C139" s="78"/>
      <c r="D139" s="78"/>
      <c r="E139" s="78"/>
      <c r="F139" s="78"/>
      <c r="G139" s="78"/>
      <c r="H139" s="79"/>
      <c r="I139" s="80"/>
      <c r="J139" s="81"/>
      <c r="K139" s="82"/>
      <c r="L139" s="49"/>
      <c r="M139" s="49"/>
      <c r="N139" s="51"/>
    </row>
    <row r="140" spans="1:14">
      <c r="A140" s="77"/>
      <c r="B140" s="78"/>
      <c r="C140" s="78"/>
      <c r="D140" s="78"/>
      <c r="E140" s="78"/>
      <c r="F140" s="78"/>
      <c r="G140" s="78"/>
      <c r="H140" s="79"/>
      <c r="I140" s="80"/>
      <c r="J140" s="81"/>
      <c r="K140" s="82"/>
      <c r="L140" s="49"/>
      <c r="M140" s="49"/>
      <c r="N140" s="51"/>
    </row>
    <row r="141" spans="1:14">
      <c r="A141" s="77"/>
      <c r="B141" s="78"/>
      <c r="C141" s="78"/>
      <c r="D141" s="78"/>
      <c r="E141" s="78"/>
      <c r="F141" s="78"/>
      <c r="G141" s="78"/>
      <c r="H141" s="79"/>
      <c r="I141" s="80"/>
      <c r="J141" s="81"/>
      <c r="K141" s="82"/>
      <c r="L141" s="49"/>
      <c r="M141" s="49"/>
      <c r="N141" s="51"/>
    </row>
    <row r="142" spans="1:14">
      <c r="A142" s="77"/>
      <c r="B142" s="78"/>
      <c r="C142" s="78"/>
      <c r="D142" s="78"/>
      <c r="E142" s="78"/>
      <c r="F142" s="78"/>
      <c r="G142" s="78"/>
      <c r="H142" s="79"/>
      <c r="I142" s="80"/>
      <c r="J142" s="81"/>
      <c r="K142" s="82"/>
      <c r="L142" s="49"/>
      <c r="M142" s="49"/>
      <c r="N142" s="51"/>
    </row>
    <row r="143" spans="1:14">
      <c r="A143" s="77"/>
      <c r="B143" s="78"/>
      <c r="C143" s="78"/>
      <c r="D143" s="78"/>
      <c r="E143" s="78"/>
      <c r="F143" s="78"/>
      <c r="G143" s="78"/>
      <c r="H143" s="79"/>
      <c r="I143" s="80"/>
      <c r="J143" s="81"/>
      <c r="K143" s="82"/>
      <c r="L143" s="49"/>
      <c r="M143" s="49"/>
      <c r="N143" s="51"/>
    </row>
    <row r="144" spans="1:14">
      <c r="A144" s="77"/>
      <c r="B144" s="78"/>
      <c r="C144" s="78"/>
      <c r="D144" s="78"/>
      <c r="E144" s="78"/>
      <c r="F144" s="78"/>
      <c r="G144" s="78"/>
      <c r="H144" s="79"/>
      <c r="I144" s="80"/>
      <c r="J144" s="81"/>
      <c r="K144" s="82"/>
      <c r="L144" s="49"/>
      <c r="M144" s="49"/>
      <c r="N144" s="51"/>
    </row>
    <row r="145" spans="1:14">
      <c r="A145" s="77"/>
      <c r="B145" s="78"/>
      <c r="C145" s="78"/>
      <c r="D145" s="78"/>
      <c r="E145" s="78"/>
      <c r="F145" s="78"/>
      <c r="G145" s="78"/>
      <c r="H145" s="79"/>
      <c r="I145" s="80"/>
      <c r="J145" s="81"/>
      <c r="K145" s="82"/>
      <c r="L145" s="49"/>
      <c r="M145" s="49"/>
      <c r="N145" s="51"/>
    </row>
    <row r="146" spans="1:14">
      <c r="A146" s="77"/>
      <c r="B146" s="78"/>
      <c r="C146" s="78"/>
      <c r="D146" s="78"/>
      <c r="E146" s="78"/>
      <c r="F146" s="78"/>
      <c r="G146" s="78"/>
      <c r="H146" s="79"/>
      <c r="I146" s="80"/>
      <c r="J146" s="81"/>
      <c r="K146" s="82"/>
      <c r="L146" s="49"/>
      <c r="M146" s="49"/>
      <c r="N146" s="51"/>
    </row>
    <row r="147" spans="1:14">
      <c r="A147" s="77"/>
      <c r="B147" s="78"/>
      <c r="C147" s="78"/>
      <c r="D147" s="78"/>
      <c r="E147" s="78"/>
      <c r="F147" s="78"/>
      <c r="G147" s="78"/>
      <c r="H147" s="79"/>
      <c r="I147" s="80"/>
      <c r="J147" s="81"/>
      <c r="K147" s="82"/>
      <c r="L147" s="49"/>
      <c r="M147" s="49"/>
      <c r="N147" s="51"/>
    </row>
    <row r="148" spans="1:14">
      <c r="A148" s="77"/>
      <c r="B148" s="78"/>
      <c r="C148" s="78"/>
      <c r="D148" s="78"/>
      <c r="E148" s="78"/>
      <c r="F148" s="78"/>
      <c r="G148" s="78"/>
      <c r="H148" s="79"/>
      <c r="I148" s="80"/>
      <c r="J148" s="81"/>
      <c r="K148" s="82"/>
      <c r="L148" s="49"/>
      <c r="M148" s="49"/>
      <c r="N148" s="51"/>
    </row>
    <row r="149" spans="1:14">
      <c r="A149" s="77"/>
      <c r="B149" s="78"/>
      <c r="C149" s="78"/>
      <c r="D149" s="78"/>
      <c r="E149" s="78"/>
      <c r="F149" s="78"/>
      <c r="G149" s="78"/>
      <c r="H149" s="79"/>
      <c r="I149" s="80"/>
      <c r="J149" s="81"/>
      <c r="K149" s="82"/>
      <c r="L149" s="49"/>
      <c r="M149" s="49"/>
      <c r="N149" s="51"/>
    </row>
    <row r="150" spans="1:14">
      <c r="A150" s="77"/>
      <c r="B150" s="78"/>
      <c r="C150" s="78"/>
      <c r="D150" s="78"/>
      <c r="E150" s="78"/>
      <c r="F150" s="78"/>
      <c r="G150" s="78"/>
      <c r="H150" s="79"/>
      <c r="I150" s="80"/>
      <c r="J150" s="81"/>
      <c r="K150" s="82"/>
      <c r="L150" s="49"/>
      <c r="M150" s="49"/>
      <c r="N150" s="51"/>
    </row>
    <row r="151" spans="1:14">
      <c r="A151" s="77"/>
      <c r="B151" s="78"/>
      <c r="C151" s="78"/>
      <c r="D151" s="78"/>
      <c r="E151" s="78"/>
      <c r="F151" s="78"/>
      <c r="G151" s="78"/>
      <c r="H151" s="79"/>
      <c r="I151" s="80"/>
      <c r="J151" s="81"/>
      <c r="K151" s="82"/>
      <c r="L151" s="49"/>
      <c r="M151" s="49"/>
      <c r="N151" s="51"/>
    </row>
    <row r="152" spans="1:14">
      <c r="A152" s="77"/>
      <c r="B152" s="78"/>
      <c r="C152" s="78"/>
      <c r="D152" s="78"/>
      <c r="E152" s="78"/>
      <c r="F152" s="78"/>
      <c r="G152" s="78"/>
      <c r="H152" s="79"/>
      <c r="I152" s="80"/>
      <c r="J152" s="81"/>
      <c r="K152" s="82"/>
      <c r="L152" s="49"/>
      <c r="M152" s="49"/>
      <c r="N152" s="51"/>
    </row>
    <row r="153" spans="1:14">
      <c r="A153" s="77"/>
      <c r="B153" s="78"/>
      <c r="C153" s="78"/>
      <c r="D153" s="78"/>
      <c r="E153" s="78"/>
      <c r="F153" s="78"/>
      <c r="G153" s="78"/>
      <c r="H153" s="79"/>
      <c r="I153" s="80"/>
      <c r="J153" s="81"/>
      <c r="K153" s="82"/>
      <c r="L153" s="49"/>
      <c r="M153" s="49"/>
      <c r="N153" s="51"/>
    </row>
    <row r="154" spans="1:14">
      <c r="A154" s="77"/>
      <c r="B154" s="78"/>
      <c r="C154" s="78"/>
      <c r="D154" s="78"/>
      <c r="E154" s="78"/>
      <c r="F154" s="78"/>
      <c r="G154" s="78"/>
      <c r="H154" s="79"/>
      <c r="I154" s="80"/>
      <c r="J154" s="81"/>
      <c r="K154" s="82"/>
      <c r="L154" s="49"/>
      <c r="M154" s="49"/>
      <c r="N154" s="51"/>
    </row>
    <row r="155" spans="1:14">
      <c r="A155" s="77"/>
      <c r="B155" s="78"/>
      <c r="C155" s="78"/>
      <c r="D155" s="78"/>
      <c r="E155" s="78"/>
      <c r="F155" s="78"/>
      <c r="G155" s="78"/>
      <c r="H155" s="79"/>
      <c r="I155" s="80"/>
      <c r="J155" s="81"/>
      <c r="K155" s="82"/>
      <c r="L155" s="49"/>
      <c r="M155" s="49"/>
      <c r="N155" s="51"/>
    </row>
    <row r="156" spans="1:14">
      <c r="A156" s="77"/>
      <c r="B156" s="78"/>
      <c r="C156" s="78"/>
      <c r="D156" s="78"/>
      <c r="E156" s="78"/>
      <c r="F156" s="78"/>
      <c r="G156" s="78"/>
      <c r="H156" s="79"/>
      <c r="I156" s="80"/>
      <c r="J156" s="81"/>
      <c r="K156" s="82"/>
      <c r="L156" s="49"/>
      <c r="M156" s="49"/>
      <c r="N156" s="51"/>
    </row>
    <row r="157" spans="1:14">
      <c r="A157" s="77"/>
      <c r="B157" s="78"/>
      <c r="C157" s="78"/>
      <c r="D157" s="78"/>
      <c r="E157" s="78"/>
      <c r="F157" s="78"/>
      <c r="G157" s="78"/>
      <c r="H157" s="79"/>
      <c r="I157" s="80"/>
      <c r="J157" s="81"/>
      <c r="K157" s="82"/>
      <c r="L157" s="49"/>
      <c r="M157" s="49"/>
      <c r="N157" s="51"/>
    </row>
    <row r="158" spans="1:14">
      <c r="A158" s="77"/>
      <c r="B158" s="78"/>
      <c r="C158" s="78"/>
      <c r="D158" s="78"/>
      <c r="E158" s="78"/>
      <c r="F158" s="78"/>
      <c r="G158" s="78"/>
      <c r="H158" s="79"/>
      <c r="I158" s="80"/>
      <c r="J158" s="81"/>
      <c r="K158" s="82"/>
      <c r="L158" s="49"/>
      <c r="M158" s="49"/>
      <c r="N158" s="51"/>
    </row>
    <row r="159" spans="1:14">
      <c r="A159" s="77"/>
      <c r="B159" s="78"/>
      <c r="C159" s="78"/>
      <c r="D159" s="78"/>
      <c r="E159" s="78"/>
      <c r="F159" s="78"/>
      <c r="G159" s="78"/>
      <c r="H159" s="79"/>
      <c r="I159" s="80"/>
      <c r="J159" s="81"/>
      <c r="K159" s="82"/>
      <c r="L159" s="49"/>
      <c r="M159" s="49"/>
      <c r="N159" s="51"/>
    </row>
    <row r="160" spans="1:14">
      <c r="A160" s="77"/>
      <c r="B160" s="78"/>
      <c r="C160" s="78"/>
      <c r="D160" s="78"/>
      <c r="E160" s="78"/>
      <c r="F160" s="78"/>
      <c r="G160" s="78"/>
      <c r="H160" s="79"/>
      <c r="I160" s="80"/>
      <c r="J160" s="81"/>
      <c r="K160" s="82"/>
      <c r="L160" s="49"/>
      <c r="M160" s="49"/>
      <c r="N160" s="51"/>
    </row>
    <row r="161" spans="1:14">
      <c r="A161" s="77"/>
      <c r="B161" s="78"/>
      <c r="C161" s="78"/>
      <c r="D161" s="78"/>
      <c r="E161" s="78"/>
      <c r="F161" s="78"/>
      <c r="G161" s="78"/>
      <c r="H161" s="79"/>
      <c r="I161" s="80"/>
      <c r="J161" s="81"/>
      <c r="K161" s="82"/>
      <c r="L161" s="49"/>
      <c r="M161" s="49"/>
      <c r="N161" s="51"/>
    </row>
    <row r="162" spans="1:14">
      <c r="A162" s="77"/>
      <c r="B162" s="78"/>
      <c r="C162" s="78"/>
      <c r="D162" s="78"/>
      <c r="E162" s="78"/>
      <c r="F162" s="78"/>
      <c r="G162" s="78"/>
      <c r="H162" s="79"/>
      <c r="I162" s="80"/>
      <c r="J162" s="81"/>
      <c r="K162" s="82"/>
      <c r="L162" s="49"/>
      <c r="M162" s="49"/>
      <c r="N162" s="51"/>
    </row>
    <row r="163" spans="1:14">
      <c r="A163" s="77"/>
      <c r="B163" s="78"/>
      <c r="C163" s="78"/>
      <c r="D163" s="78"/>
      <c r="E163" s="78"/>
      <c r="F163" s="78"/>
      <c r="G163" s="78"/>
      <c r="H163" s="79"/>
      <c r="I163" s="80"/>
      <c r="J163" s="81"/>
      <c r="K163" s="82"/>
      <c r="L163" s="49"/>
      <c r="M163" s="49"/>
      <c r="N163" s="51"/>
    </row>
    <row r="164" spans="1:14">
      <c r="A164" s="77"/>
      <c r="B164" s="78"/>
      <c r="C164" s="78"/>
      <c r="D164" s="78"/>
      <c r="E164" s="78"/>
      <c r="F164" s="78"/>
      <c r="G164" s="78"/>
      <c r="H164" s="79"/>
      <c r="I164" s="80"/>
      <c r="J164" s="81"/>
      <c r="K164" s="82"/>
      <c r="L164" s="49"/>
      <c r="M164" s="49"/>
      <c r="N164" s="51"/>
    </row>
    <row r="165" spans="1:14">
      <c r="A165" s="77"/>
      <c r="B165" s="78"/>
      <c r="C165" s="78"/>
      <c r="D165" s="78"/>
      <c r="E165" s="78"/>
      <c r="F165" s="78"/>
      <c r="G165" s="78"/>
      <c r="H165" s="79"/>
      <c r="I165" s="80"/>
      <c r="J165" s="81"/>
      <c r="K165" s="82"/>
      <c r="L165" s="49"/>
      <c r="M165" s="49"/>
      <c r="N165" s="51"/>
    </row>
    <row r="166" spans="1:14">
      <c r="A166" s="77"/>
      <c r="B166" s="78"/>
      <c r="C166" s="78"/>
      <c r="D166" s="78"/>
      <c r="E166" s="78"/>
      <c r="F166" s="78"/>
      <c r="G166" s="78"/>
      <c r="H166" s="79"/>
      <c r="I166" s="80"/>
      <c r="J166" s="81"/>
      <c r="K166" s="82"/>
      <c r="L166" s="49"/>
      <c r="M166" s="49"/>
      <c r="N166" s="51"/>
    </row>
    <row r="167" spans="1:14">
      <c r="A167" s="77"/>
      <c r="B167" s="78"/>
      <c r="C167" s="78"/>
      <c r="D167" s="78"/>
      <c r="E167" s="78"/>
      <c r="F167" s="78"/>
      <c r="G167" s="78"/>
      <c r="H167" s="79"/>
      <c r="I167" s="80"/>
      <c r="J167" s="81"/>
      <c r="K167" s="82"/>
      <c r="L167" s="49"/>
      <c r="M167" s="49"/>
      <c r="N167" s="51"/>
    </row>
    <row r="168" spans="1:14">
      <c r="A168" s="77"/>
      <c r="B168" s="78"/>
      <c r="C168" s="78"/>
      <c r="D168" s="78"/>
      <c r="E168" s="78"/>
      <c r="F168" s="78"/>
      <c r="G168" s="78"/>
      <c r="H168" s="79"/>
      <c r="I168" s="80"/>
      <c r="J168" s="81"/>
      <c r="K168" s="82"/>
      <c r="L168" s="49"/>
      <c r="M168" s="49"/>
      <c r="N168" s="51"/>
    </row>
    <row r="169" spans="1:14">
      <c r="A169" s="77"/>
      <c r="B169" s="78"/>
      <c r="C169" s="78"/>
      <c r="D169" s="78"/>
      <c r="E169" s="78"/>
      <c r="F169" s="78"/>
      <c r="G169" s="78"/>
      <c r="H169" s="79"/>
      <c r="I169" s="80"/>
      <c r="J169" s="81"/>
      <c r="K169" s="82"/>
      <c r="L169" s="49"/>
      <c r="M169" s="49"/>
      <c r="N169" s="51"/>
    </row>
    <row r="170" spans="1:14">
      <c r="A170" s="77"/>
      <c r="B170" s="78"/>
      <c r="C170" s="78"/>
      <c r="D170" s="78"/>
      <c r="E170" s="78"/>
      <c r="F170" s="78"/>
      <c r="G170" s="78"/>
      <c r="H170" s="79"/>
      <c r="I170" s="80"/>
      <c r="J170" s="81"/>
      <c r="K170" s="82"/>
      <c r="L170" s="49"/>
      <c r="M170" s="49"/>
      <c r="N170" s="51"/>
    </row>
    <row r="171" spans="1:14">
      <c r="A171" s="77"/>
      <c r="B171" s="78"/>
      <c r="C171" s="78"/>
      <c r="D171" s="78"/>
      <c r="E171" s="78"/>
      <c r="F171" s="78"/>
      <c r="G171" s="78"/>
      <c r="H171" s="79"/>
      <c r="I171" s="80"/>
      <c r="J171" s="81"/>
      <c r="K171" s="82"/>
      <c r="L171" s="49"/>
      <c r="M171" s="49"/>
      <c r="N171" s="51"/>
    </row>
    <row r="172" spans="1:14">
      <c r="A172" s="77"/>
      <c r="B172" s="78"/>
      <c r="C172" s="78"/>
      <c r="D172" s="78"/>
      <c r="E172" s="78"/>
      <c r="F172" s="78"/>
      <c r="G172" s="78"/>
      <c r="H172" s="79"/>
      <c r="I172" s="80"/>
      <c r="J172" s="81"/>
      <c r="K172" s="82"/>
      <c r="L172" s="49"/>
      <c r="M172" s="49"/>
      <c r="N172" s="51"/>
    </row>
    <row r="173" spans="1:14">
      <c r="A173" s="77"/>
      <c r="B173" s="78"/>
      <c r="C173" s="78"/>
      <c r="D173" s="78"/>
      <c r="E173" s="78"/>
      <c r="F173" s="78"/>
      <c r="G173" s="78"/>
      <c r="H173" s="79"/>
      <c r="I173" s="80"/>
      <c r="J173" s="81"/>
      <c r="K173" s="82"/>
      <c r="L173" s="49"/>
      <c r="M173" s="49"/>
      <c r="N173" s="51"/>
    </row>
    <row r="174" spans="1:14">
      <c r="A174" s="77"/>
      <c r="B174" s="78"/>
      <c r="C174" s="78"/>
      <c r="D174" s="78"/>
      <c r="E174" s="78"/>
      <c r="F174" s="78"/>
      <c r="G174" s="78"/>
      <c r="H174" s="79"/>
      <c r="I174" s="80"/>
      <c r="J174" s="81"/>
      <c r="K174" s="82"/>
      <c r="L174" s="49"/>
      <c r="M174" s="49"/>
      <c r="N174" s="51"/>
    </row>
    <row r="175" spans="1:14">
      <c r="A175" s="77"/>
      <c r="B175" s="78"/>
      <c r="C175" s="78"/>
      <c r="D175" s="78"/>
      <c r="E175" s="78"/>
      <c r="F175" s="78"/>
      <c r="G175" s="78"/>
      <c r="H175" s="79"/>
      <c r="I175" s="80"/>
      <c r="J175" s="81"/>
      <c r="K175" s="82"/>
      <c r="L175" s="49"/>
      <c r="M175" s="49"/>
      <c r="N175" s="51"/>
    </row>
    <row r="176" spans="1:14">
      <c r="A176" s="77"/>
      <c r="B176" s="78"/>
      <c r="C176" s="78"/>
      <c r="D176" s="78"/>
      <c r="E176" s="78"/>
      <c r="F176" s="78"/>
      <c r="G176" s="78"/>
      <c r="H176" s="79"/>
      <c r="I176" s="80"/>
      <c r="J176" s="81"/>
      <c r="K176" s="82"/>
      <c r="L176" s="49"/>
      <c r="M176" s="49"/>
      <c r="N176" s="51"/>
    </row>
    <row r="177" spans="1:14">
      <c r="A177" s="77"/>
      <c r="B177" s="78"/>
      <c r="C177" s="78"/>
      <c r="D177" s="78"/>
      <c r="E177" s="78"/>
      <c r="F177" s="78"/>
      <c r="G177" s="78"/>
      <c r="H177" s="79"/>
      <c r="I177" s="80"/>
      <c r="J177" s="81"/>
      <c r="K177" s="82"/>
      <c r="L177" s="49"/>
      <c r="M177" s="49"/>
      <c r="N177" s="51"/>
    </row>
    <row r="178" spans="1:14">
      <c r="A178" s="77"/>
      <c r="B178" s="78"/>
      <c r="C178" s="78"/>
      <c r="D178" s="78"/>
      <c r="E178" s="78"/>
      <c r="F178" s="78"/>
      <c r="G178" s="78"/>
      <c r="H178" s="79"/>
      <c r="I178" s="80"/>
      <c r="J178" s="81"/>
      <c r="K178" s="82"/>
      <c r="L178" s="49"/>
      <c r="M178" s="49"/>
      <c r="N178" s="51"/>
    </row>
    <row r="179" spans="1:14">
      <c r="A179" s="77"/>
      <c r="B179" s="78"/>
      <c r="C179" s="78"/>
      <c r="D179" s="78"/>
      <c r="E179" s="78"/>
      <c r="F179" s="78"/>
      <c r="G179" s="78"/>
      <c r="H179" s="79"/>
      <c r="I179" s="80"/>
      <c r="J179" s="81"/>
      <c r="K179" s="82"/>
      <c r="L179" s="49"/>
      <c r="M179" s="49"/>
      <c r="N179" s="51"/>
    </row>
    <row r="180" spans="1:14">
      <c r="A180" s="77"/>
      <c r="B180" s="78"/>
      <c r="C180" s="78"/>
      <c r="D180" s="78"/>
      <c r="E180" s="78"/>
      <c r="F180" s="78"/>
      <c r="G180" s="78"/>
      <c r="H180" s="79"/>
      <c r="I180" s="80"/>
      <c r="J180" s="81"/>
      <c r="K180" s="82"/>
      <c r="L180" s="49"/>
      <c r="M180" s="49"/>
      <c r="N180" s="51"/>
    </row>
    <row r="181" spans="1:14">
      <c r="A181" s="77"/>
      <c r="B181" s="78"/>
      <c r="C181" s="78"/>
      <c r="D181" s="78"/>
      <c r="E181" s="78"/>
      <c r="F181" s="78"/>
      <c r="G181" s="78"/>
      <c r="H181" s="79"/>
      <c r="I181" s="80"/>
      <c r="J181" s="81"/>
      <c r="K181" s="82"/>
      <c r="L181" s="49"/>
      <c r="M181" s="49"/>
      <c r="N181" s="51"/>
    </row>
    <row r="182" spans="1:14">
      <c r="A182" s="77"/>
      <c r="B182" s="78"/>
      <c r="C182" s="78"/>
      <c r="D182" s="78"/>
      <c r="E182" s="78"/>
      <c r="F182" s="78"/>
      <c r="G182" s="78"/>
      <c r="H182" s="79"/>
      <c r="I182" s="80"/>
      <c r="J182" s="81"/>
      <c r="K182" s="82"/>
      <c r="L182" s="49"/>
      <c r="M182" s="49"/>
      <c r="N182" s="51"/>
    </row>
    <row r="183" spans="1:14">
      <c r="A183" s="77"/>
      <c r="B183" s="78"/>
      <c r="C183" s="78"/>
      <c r="D183" s="78"/>
      <c r="E183" s="78"/>
      <c r="F183" s="78"/>
      <c r="G183" s="78"/>
      <c r="H183" s="79"/>
      <c r="I183" s="80"/>
      <c r="J183" s="81"/>
      <c r="K183" s="82"/>
      <c r="L183" s="49"/>
      <c r="M183" s="49"/>
      <c r="N183" s="51"/>
    </row>
    <row r="184" spans="1:14">
      <c r="A184" s="77"/>
      <c r="B184" s="78"/>
      <c r="C184" s="78"/>
      <c r="D184" s="78"/>
      <c r="E184" s="78"/>
      <c r="F184" s="78"/>
      <c r="G184" s="78"/>
      <c r="H184" s="79"/>
      <c r="I184" s="80"/>
      <c r="J184" s="81"/>
      <c r="K184" s="82"/>
      <c r="L184" s="49"/>
      <c r="M184" s="49"/>
      <c r="N184" s="51"/>
    </row>
    <row r="185" spans="1:14">
      <c r="A185" s="77"/>
      <c r="B185" s="78"/>
      <c r="C185" s="78"/>
      <c r="D185" s="78"/>
      <c r="E185" s="78"/>
      <c r="F185" s="78"/>
      <c r="G185" s="78"/>
      <c r="H185" s="79"/>
      <c r="I185" s="80"/>
      <c r="J185" s="81"/>
      <c r="K185" s="82"/>
      <c r="L185" s="49"/>
      <c r="M185" s="49"/>
      <c r="N185" s="51"/>
    </row>
    <row r="186" spans="1:14">
      <c r="A186" s="77"/>
      <c r="B186" s="78"/>
      <c r="C186" s="78"/>
      <c r="D186" s="78"/>
      <c r="E186" s="78"/>
      <c r="F186" s="78"/>
      <c r="G186" s="78"/>
      <c r="H186" s="79"/>
      <c r="I186" s="80"/>
      <c r="J186" s="81"/>
      <c r="K186" s="82"/>
      <c r="L186" s="49"/>
      <c r="M186" s="49"/>
      <c r="N186" s="51"/>
    </row>
    <row r="187" spans="1:14">
      <c r="A187" s="77"/>
      <c r="B187" s="78"/>
      <c r="C187" s="78"/>
      <c r="D187" s="78"/>
      <c r="E187" s="78"/>
      <c r="F187" s="78"/>
      <c r="G187" s="78"/>
      <c r="H187" s="79"/>
      <c r="I187" s="80"/>
      <c r="J187" s="81"/>
      <c r="K187" s="82"/>
      <c r="L187" s="49"/>
      <c r="M187" s="49"/>
      <c r="N187" s="51"/>
    </row>
    <row r="188" spans="1:14">
      <c r="A188" s="77"/>
      <c r="B188" s="78"/>
      <c r="C188" s="78"/>
      <c r="D188" s="78"/>
      <c r="E188" s="78"/>
      <c r="F188" s="78"/>
      <c r="G188" s="78"/>
      <c r="H188" s="79"/>
      <c r="I188" s="80"/>
      <c r="J188" s="81"/>
      <c r="K188" s="82"/>
      <c r="L188" s="49"/>
      <c r="M188" s="49"/>
      <c r="N188" s="51"/>
    </row>
    <row r="189" spans="1:14">
      <c r="A189" s="77"/>
      <c r="B189" s="78"/>
      <c r="C189" s="78"/>
      <c r="D189" s="78"/>
      <c r="E189" s="78"/>
      <c r="F189" s="78"/>
      <c r="G189" s="78"/>
      <c r="H189" s="79"/>
      <c r="I189" s="80"/>
      <c r="J189" s="81"/>
      <c r="K189" s="82"/>
      <c r="L189" s="49"/>
      <c r="M189" s="49"/>
      <c r="N189" s="51"/>
    </row>
    <row r="190" spans="1:14">
      <c r="A190" s="77"/>
      <c r="B190" s="78"/>
      <c r="C190" s="78"/>
      <c r="D190" s="78"/>
      <c r="E190" s="78"/>
      <c r="F190" s="78"/>
      <c r="G190" s="78"/>
      <c r="H190" s="79"/>
      <c r="I190" s="80"/>
      <c r="J190" s="81"/>
      <c r="K190" s="82"/>
      <c r="L190" s="49"/>
      <c r="M190" s="49"/>
      <c r="N190" s="51"/>
    </row>
    <row r="191" spans="1:14">
      <c r="A191" s="77"/>
      <c r="B191" s="78"/>
      <c r="C191" s="78"/>
      <c r="D191" s="78"/>
      <c r="E191" s="78"/>
      <c r="F191" s="78"/>
      <c r="G191" s="78"/>
      <c r="H191" s="79"/>
      <c r="I191" s="80"/>
      <c r="J191" s="81"/>
      <c r="K191" s="82"/>
      <c r="L191" s="49"/>
      <c r="M191" s="49"/>
      <c r="N191" s="51"/>
    </row>
    <row r="192" spans="1:14">
      <c r="A192" s="77"/>
      <c r="B192" s="78"/>
      <c r="C192" s="78"/>
      <c r="D192" s="78"/>
      <c r="E192" s="78"/>
      <c r="F192" s="78"/>
      <c r="G192" s="78"/>
      <c r="H192" s="79"/>
      <c r="I192" s="80"/>
      <c r="J192" s="81"/>
      <c r="K192" s="82"/>
      <c r="L192" s="49"/>
      <c r="M192" s="49"/>
      <c r="N192" s="51"/>
    </row>
    <row r="193" spans="1:14">
      <c r="A193" s="77"/>
      <c r="B193" s="78"/>
      <c r="C193" s="78"/>
      <c r="D193" s="78"/>
      <c r="E193" s="78"/>
      <c r="F193" s="78"/>
      <c r="G193" s="78"/>
      <c r="H193" s="79"/>
      <c r="I193" s="80"/>
      <c r="J193" s="81"/>
      <c r="K193" s="82"/>
      <c r="L193" s="49"/>
      <c r="M193" s="49"/>
      <c r="N193" s="51"/>
    </row>
    <row r="194" spans="1:14">
      <c r="A194" s="77"/>
      <c r="B194" s="78"/>
      <c r="C194" s="78"/>
      <c r="D194" s="78"/>
      <c r="E194" s="78"/>
      <c r="F194" s="78"/>
      <c r="G194" s="78"/>
      <c r="H194" s="79"/>
      <c r="I194" s="80"/>
      <c r="J194" s="81"/>
      <c r="K194" s="82"/>
      <c r="L194" s="49"/>
      <c r="M194" s="49"/>
      <c r="N194" s="51"/>
    </row>
    <row r="195" spans="1:14">
      <c r="A195" s="77"/>
      <c r="B195" s="78"/>
      <c r="C195" s="78"/>
      <c r="D195" s="78"/>
      <c r="E195" s="78"/>
      <c r="F195" s="78"/>
      <c r="G195" s="78"/>
      <c r="H195" s="79"/>
      <c r="I195" s="80"/>
      <c r="J195" s="81"/>
      <c r="K195" s="82"/>
      <c r="L195" s="49"/>
      <c r="M195" s="49"/>
      <c r="N195" s="51"/>
    </row>
    <row r="196" spans="1:14">
      <c r="A196" s="77"/>
      <c r="B196" s="78"/>
      <c r="C196" s="78"/>
      <c r="D196" s="78"/>
      <c r="E196" s="78"/>
      <c r="F196" s="78"/>
      <c r="G196" s="78"/>
      <c r="H196" s="79"/>
      <c r="I196" s="80"/>
      <c r="J196" s="81"/>
      <c r="K196" s="82"/>
      <c r="L196" s="49"/>
      <c r="M196" s="49"/>
      <c r="N196" s="51"/>
    </row>
    <row r="197" spans="1:14">
      <c r="A197" s="77"/>
      <c r="B197" s="78"/>
      <c r="C197" s="78"/>
      <c r="D197" s="78"/>
      <c r="E197" s="78"/>
      <c r="F197" s="78"/>
      <c r="G197" s="78"/>
      <c r="H197" s="79"/>
      <c r="I197" s="80"/>
      <c r="J197" s="81"/>
      <c r="K197" s="82"/>
      <c r="L197" s="49"/>
      <c r="M197" s="49"/>
      <c r="N197" s="51"/>
    </row>
    <row r="198" spans="1:14">
      <c r="A198" s="77"/>
      <c r="B198" s="78"/>
      <c r="C198" s="78"/>
      <c r="D198" s="78"/>
      <c r="E198" s="78"/>
      <c r="F198" s="78"/>
      <c r="G198" s="78"/>
      <c r="H198" s="79"/>
      <c r="I198" s="80"/>
      <c r="J198" s="81"/>
      <c r="K198" s="82"/>
      <c r="L198" s="49"/>
      <c r="M198" s="49"/>
      <c r="N198" s="51"/>
    </row>
    <row r="199" spans="1:14">
      <c r="A199" s="77"/>
      <c r="B199" s="78"/>
      <c r="C199" s="78"/>
      <c r="D199" s="78"/>
      <c r="E199" s="78"/>
      <c r="F199" s="78"/>
      <c r="G199" s="78"/>
      <c r="H199" s="79"/>
      <c r="I199" s="80"/>
      <c r="J199" s="81"/>
      <c r="K199" s="82"/>
      <c r="L199" s="49"/>
      <c r="M199" s="49"/>
      <c r="N199" s="51"/>
    </row>
    <row r="200" spans="1:14">
      <c r="A200" s="77"/>
      <c r="B200" s="78"/>
      <c r="C200" s="78"/>
      <c r="D200" s="78"/>
      <c r="E200" s="78"/>
      <c r="F200" s="78"/>
      <c r="G200" s="78"/>
      <c r="H200" s="79"/>
      <c r="I200" s="80"/>
      <c r="J200" s="81"/>
      <c r="K200" s="82"/>
      <c r="L200" s="49"/>
      <c r="M200" s="49"/>
      <c r="N200" s="51"/>
    </row>
    <row r="201" spans="1:14">
      <c r="A201" s="77"/>
      <c r="B201" s="78"/>
      <c r="C201" s="78"/>
      <c r="D201" s="78"/>
      <c r="E201" s="78"/>
      <c r="F201" s="78"/>
      <c r="G201" s="78"/>
      <c r="H201" s="79"/>
      <c r="I201" s="80"/>
      <c r="J201" s="81"/>
      <c r="K201" s="82"/>
      <c r="L201" s="49"/>
      <c r="M201" s="49"/>
      <c r="N201" s="51"/>
    </row>
    <row r="202" spans="1:14">
      <c r="A202" s="77"/>
      <c r="B202" s="78"/>
      <c r="C202" s="78"/>
      <c r="D202" s="78"/>
      <c r="E202" s="78"/>
      <c r="F202" s="78"/>
      <c r="G202" s="78"/>
      <c r="H202" s="79"/>
      <c r="I202" s="80"/>
      <c r="J202" s="81"/>
      <c r="K202" s="82"/>
      <c r="L202" s="49"/>
      <c r="M202" s="49"/>
      <c r="N202" s="51"/>
    </row>
    <row r="203" spans="1:14">
      <c r="A203" s="77"/>
      <c r="B203" s="78"/>
      <c r="C203" s="78"/>
      <c r="D203" s="78"/>
      <c r="E203" s="78"/>
      <c r="F203" s="78"/>
      <c r="G203" s="78"/>
      <c r="H203" s="79"/>
      <c r="I203" s="80"/>
      <c r="J203" s="81"/>
      <c r="K203" s="82"/>
      <c r="L203" s="49"/>
      <c r="M203" s="49"/>
      <c r="N203" s="51"/>
    </row>
    <row r="204" spans="1:14">
      <c r="A204" s="77"/>
      <c r="B204" s="78"/>
      <c r="C204" s="78"/>
      <c r="D204" s="78"/>
      <c r="E204" s="78"/>
      <c r="F204" s="78"/>
      <c r="G204" s="78"/>
      <c r="H204" s="79"/>
      <c r="I204" s="80"/>
      <c r="J204" s="81"/>
      <c r="K204" s="82"/>
      <c r="L204" s="49"/>
      <c r="M204" s="49"/>
      <c r="N204" s="51"/>
    </row>
    <row r="205" spans="1:14">
      <c r="A205" s="77"/>
      <c r="B205" s="78"/>
      <c r="C205" s="78"/>
      <c r="D205" s="78"/>
      <c r="E205" s="78"/>
      <c r="F205" s="78"/>
      <c r="G205" s="78"/>
      <c r="H205" s="79"/>
      <c r="I205" s="80"/>
      <c r="J205" s="81"/>
      <c r="K205" s="82"/>
      <c r="L205" s="49"/>
      <c r="M205" s="49"/>
      <c r="N205" s="51"/>
    </row>
    <row r="206" spans="1:14">
      <c r="A206" s="77"/>
      <c r="B206" s="78"/>
      <c r="C206" s="78"/>
      <c r="D206" s="78"/>
      <c r="E206" s="78"/>
      <c r="F206" s="78"/>
      <c r="G206" s="78"/>
      <c r="H206" s="79"/>
      <c r="I206" s="80"/>
      <c r="J206" s="81"/>
      <c r="K206" s="82"/>
      <c r="L206" s="49"/>
      <c r="M206" s="49"/>
      <c r="N206" s="51"/>
    </row>
    <row r="207" spans="1:14">
      <c r="A207" s="77"/>
      <c r="B207" s="78"/>
      <c r="C207" s="78"/>
      <c r="D207" s="78"/>
      <c r="E207" s="78"/>
      <c r="F207" s="78"/>
      <c r="G207" s="78"/>
      <c r="H207" s="79"/>
      <c r="I207" s="80"/>
      <c r="J207" s="81"/>
      <c r="K207" s="82"/>
      <c r="L207" s="49"/>
      <c r="M207" s="49"/>
      <c r="N207" s="51"/>
    </row>
    <row r="208" spans="1:14">
      <c r="A208" s="77"/>
      <c r="B208" s="78"/>
      <c r="C208" s="78"/>
      <c r="D208" s="78"/>
      <c r="E208" s="78"/>
      <c r="F208" s="78"/>
      <c r="G208" s="78"/>
      <c r="H208" s="79"/>
      <c r="I208" s="80"/>
      <c r="J208" s="81"/>
      <c r="K208" s="82"/>
      <c r="L208" s="49"/>
      <c r="M208" s="49"/>
      <c r="N208" s="51"/>
    </row>
    <row r="209" spans="1:14">
      <c r="A209" s="77"/>
      <c r="B209" s="78"/>
      <c r="C209" s="78"/>
      <c r="D209" s="78"/>
      <c r="E209" s="78"/>
      <c r="F209" s="78"/>
      <c r="G209" s="78"/>
      <c r="H209" s="79"/>
      <c r="I209" s="80"/>
      <c r="J209" s="81"/>
      <c r="K209" s="82"/>
      <c r="L209" s="49"/>
      <c r="M209" s="49"/>
      <c r="N209" s="51"/>
    </row>
    <row r="210" spans="1:14">
      <c r="A210" s="77"/>
      <c r="B210" s="78"/>
      <c r="C210" s="78"/>
      <c r="D210" s="78"/>
      <c r="E210" s="78"/>
      <c r="F210" s="78"/>
      <c r="G210" s="78"/>
      <c r="H210" s="79"/>
      <c r="I210" s="80"/>
      <c r="J210" s="81"/>
      <c r="K210" s="82"/>
      <c r="L210" s="49"/>
      <c r="M210" s="49"/>
      <c r="N210" s="51"/>
    </row>
    <row r="211" spans="1:14">
      <c r="A211" s="77"/>
      <c r="B211" s="78"/>
      <c r="C211" s="78"/>
      <c r="D211" s="78"/>
      <c r="E211" s="78"/>
      <c r="F211" s="78"/>
      <c r="G211" s="78"/>
      <c r="H211" s="79"/>
      <c r="I211" s="80"/>
      <c r="J211" s="81"/>
      <c r="K211" s="82"/>
      <c r="L211" s="49"/>
      <c r="M211" s="49"/>
      <c r="N211" s="51"/>
    </row>
    <row r="212" spans="1:14">
      <c r="A212" s="77"/>
      <c r="B212" s="78"/>
      <c r="C212" s="78"/>
      <c r="D212" s="78"/>
      <c r="E212" s="78"/>
      <c r="F212" s="78"/>
      <c r="G212" s="78"/>
      <c r="H212" s="79"/>
      <c r="I212" s="80"/>
      <c r="J212" s="81"/>
      <c r="K212" s="82"/>
      <c r="L212" s="49"/>
      <c r="M212" s="49"/>
      <c r="N212" s="51"/>
    </row>
    <row r="213" spans="1:14">
      <c r="A213" s="77"/>
      <c r="B213" s="78"/>
      <c r="C213" s="78"/>
      <c r="D213" s="78"/>
      <c r="E213" s="78"/>
      <c r="F213" s="78"/>
      <c r="G213" s="78"/>
      <c r="H213" s="79"/>
      <c r="I213" s="80"/>
      <c r="J213" s="81"/>
      <c r="K213" s="82"/>
      <c r="L213" s="49"/>
      <c r="M213" s="49"/>
      <c r="N213" s="51"/>
    </row>
    <row r="214" spans="1:14">
      <c r="A214" s="77"/>
      <c r="B214" s="78"/>
      <c r="C214" s="78"/>
      <c r="D214" s="78"/>
      <c r="E214" s="78"/>
      <c r="F214" s="78"/>
      <c r="G214" s="78"/>
      <c r="H214" s="79"/>
      <c r="I214" s="80"/>
      <c r="J214" s="81"/>
      <c r="K214" s="82"/>
      <c r="L214" s="49"/>
      <c r="M214" s="49"/>
      <c r="N214" s="51"/>
    </row>
    <row r="215" spans="1:14">
      <c r="A215" s="77"/>
      <c r="B215" s="78"/>
      <c r="C215" s="78"/>
      <c r="D215" s="78"/>
      <c r="E215" s="78"/>
      <c r="F215" s="78"/>
      <c r="G215" s="78"/>
      <c r="H215" s="79"/>
      <c r="I215" s="80"/>
      <c r="J215" s="81"/>
      <c r="K215" s="82"/>
      <c r="L215" s="49"/>
      <c r="M215" s="49"/>
      <c r="N215" s="51"/>
    </row>
    <row r="216" spans="1:14">
      <c r="A216" s="77"/>
      <c r="B216" s="78"/>
      <c r="C216" s="78"/>
      <c r="D216" s="78"/>
      <c r="E216" s="78"/>
      <c r="F216" s="78"/>
      <c r="G216" s="78"/>
      <c r="H216" s="79"/>
      <c r="I216" s="80"/>
      <c r="J216" s="81"/>
      <c r="K216" s="82"/>
      <c r="L216" s="49"/>
      <c r="M216" s="49"/>
      <c r="N216" s="51"/>
    </row>
    <row r="217" spans="1:14">
      <c r="A217" s="77"/>
      <c r="B217" s="78"/>
      <c r="C217" s="78"/>
      <c r="D217" s="78"/>
      <c r="E217" s="78"/>
      <c r="F217" s="78"/>
      <c r="G217" s="78"/>
      <c r="H217" s="79"/>
      <c r="I217" s="80"/>
      <c r="J217" s="81"/>
      <c r="K217" s="82"/>
      <c r="L217" s="49"/>
      <c r="M217" s="49"/>
      <c r="N217" s="51"/>
    </row>
    <row r="218" spans="1:14">
      <c r="A218" s="77"/>
      <c r="B218" s="78"/>
      <c r="C218" s="78"/>
      <c r="D218" s="78"/>
      <c r="E218" s="78"/>
      <c r="F218" s="78"/>
      <c r="G218" s="78"/>
      <c r="H218" s="79"/>
      <c r="I218" s="80"/>
      <c r="J218" s="81"/>
      <c r="K218" s="82"/>
      <c r="L218" s="49"/>
      <c r="M218" s="49"/>
      <c r="N218" s="51"/>
    </row>
    <row r="219" spans="1:14">
      <c r="A219" s="77"/>
      <c r="B219" s="78"/>
      <c r="C219" s="78"/>
      <c r="D219" s="78"/>
      <c r="E219" s="78"/>
      <c r="F219" s="78"/>
      <c r="G219" s="78"/>
      <c r="H219" s="79"/>
      <c r="I219" s="80"/>
      <c r="J219" s="81"/>
      <c r="K219" s="82"/>
      <c r="L219" s="49"/>
      <c r="M219" s="49"/>
      <c r="N219" s="51"/>
    </row>
    <row r="220" spans="1:14">
      <c r="A220" s="77"/>
      <c r="B220" s="78"/>
      <c r="C220" s="78"/>
      <c r="D220" s="78"/>
      <c r="E220" s="78"/>
      <c r="F220" s="78"/>
      <c r="G220" s="78"/>
      <c r="H220" s="79"/>
      <c r="I220" s="80"/>
      <c r="J220" s="81"/>
      <c r="K220" s="82"/>
      <c r="L220" s="49"/>
      <c r="M220" s="49"/>
      <c r="N220" s="51"/>
    </row>
    <row r="221" spans="1:14">
      <c r="A221" s="77"/>
      <c r="B221" s="78"/>
      <c r="C221" s="78"/>
      <c r="D221" s="78"/>
      <c r="E221" s="78"/>
      <c r="F221" s="78"/>
      <c r="G221" s="78"/>
      <c r="H221" s="79"/>
      <c r="I221" s="80"/>
      <c r="J221" s="81"/>
      <c r="K221" s="82"/>
      <c r="L221" s="49"/>
      <c r="M221" s="49"/>
      <c r="N221" s="51"/>
    </row>
    <row r="222" spans="1:14">
      <c r="A222" s="77"/>
      <c r="B222" s="78"/>
      <c r="C222" s="78"/>
      <c r="D222" s="78"/>
      <c r="E222" s="78"/>
      <c r="F222" s="78"/>
      <c r="G222" s="78"/>
      <c r="H222" s="79"/>
      <c r="I222" s="80"/>
      <c r="J222" s="81"/>
      <c r="K222" s="82"/>
      <c r="L222" s="49"/>
      <c r="M222" s="49"/>
      <c r="N222" s="51"/>
    </row>
    <row r="223" spans="1:14">
      <c r="A223" s="77"/>
      <c r="B223" s="78"/>
      <c r="C223" s="78"/>
      <c r="D223" s="78"/>
      <c r="E223" s="78"/>
      <c r="F223" s="78"/>
      <c r="G223" s="78"/>
      <c r="H223" s="79"/>
      <c r="I223" s="80"/>
      <c r="J223" s="81"/>
      <c r="K223" s="82"/>
      <c r="L223" s="49"/>
      <c r="M223" s="49"/>
      <c r="N223" s="51"/>
    </row>
    <row r="224" spans="1:14">
      <c r="A224" s="77"/>
      <c r="B224" s="78"/>
      <c r="C224" s="78"/>
      <c r="D224" s="78"/>
      <c r="E224" s="78"/>
      <c r="F224" s="78"/>
      <c r="G224" s="78"/>
      <c r="H224" s="79"/>
      <c r="I224" s="80"/>
      <c r="J224" s="81"/>
      <c r="K224" s="82"/>
      <c r="L224" s="49"/>
      <c r="M224" s="49"/>
      <c r="N224" s="51"/>
    </row>
    <row r="225" spans="1:14">
      <c r="A225" s="77"/>
      <c r="B225" s="78"/>
      <c r="C225" s="78"/>
      <c r="D225" s="78"/>
      <c r="E225" s="78"/>
      <c r="F225" s="78"/>
      <c r="G225" s="78"/>
      <c r="H225" s="79"/>
      <c r="I225" s="80"/>
      <c r="J225" s="81"/>
      <c r="K225" s="82"/>
      <c r="L225" s="49"/>
      <c r="M225" s="49"/>
      <c r="N225" s="51"/>
    </row>
    <row r="226" spans="1:14">
      <c r="A226" s="77"/>
      <c r="B226" s="78"/>
      <c r="C226" s="78"/>
      <c r="D226" s="78"/>
      <c r="E226" s="78"/>
      <c r="F226" s="78"/>
      <c r="G226" s="78"/>
      <c r="H226" s="79"/>
      <c r="I226" s="80"/>
      <c r="J226" s="81"/>
      <c r="K226" s="82"/>
      <c r="L226" s="49"/>
      <c r="M226" s="49"/>
      <c r="N226" s="51"/>
    </row>
    <row r="227" spans="1:14">
      <c r="A227" s="77"/>
      <c r="B227" s="78"/>
      <c r="C227" s="78"/>
      <c r="D227" s="78"/>
      <c r="E227" s="78"/>
      <c r="F227" s="78"/>
      <c r="G227" s="78"/>
      <c r="H227" s="79"/>
      <c r="I227" s="80"/>
      <c r="J227" s="81"/>
      <c r="K227" s="82"/>
      <c r="L227" s="49"/>
      <c r="M227" s="49"/>
      <c r="N227" s="51"/>
    </row>
    <row r="228" spans="1:14">
      <c r="A228" s="77"/>
      <c r="B228" s="78"/>
      <c r="C228" s="78"/>
      <c r="D228" s="78"/>
      <c r="E228" s="78"/>
      <c r="F228" s="78"/>
      <c r="G228" s="78"/>
      <c r="H228" s="79"/>
      <c r="I228" s="80"/>
      <c r="J228" s="81"/>
      <c r="K228" s="82"/>
      <c r="L228" s="49"/>
      <c r="M228" s="49"/>
      <c r="N228" s="51"/>
    </row>
    <row r="229" spans="1:14">
      <c r="A229" s="77"/>
      <c r="B229" s="78"/>
      <c r="C229" s="78"/>
      <c r="D229" s="78"/>
      <c r="E229" s="78"/>
      <c r="F229" s="78"/>
      <c r="G229" s="78"/>
      <c r="H229" s="79"/>
      <c r="I229" s="80"/>
      <c r="J229" s="81"/>
      <c r="K229" s="82"/>
      <c r="L229" s="49"/>
      <c r="M229" s="49"/>
      <c r="N229" s="51"/>
    </row>
    <row r="230" spans="1:14">
      <c r="A230" s="77"/>
      <c r="B230" s="78"/>
      <c r="C230" s="78"/>
      <c r="D230" s="78"/>
      <c r="E230" s="78"/>
      <c r="F230" s="78"/>
      <c r="G230" s="78"/>
      <c r="H230" s="79"/>
      <c r="I230" s="80"/>
      <c r="J230" s="81"/>
      <c r="K230" s="82"/>
      <c r="L230" s="49"/>
      <c r="M230" s="49"/>
      <c r="N230" s="51"/>
    </row>
    <row r="231" spans="1:14">
      <c r="A231" s="77"/>
      <c r="B231" s="78"/>
      <c r="C231" s="78"/>
      <c r="D231" s="78"/>
      <c r="E231" s="78"/>
      <c r="F231" s="78"/>
      <c r="G231" s="78"/>
      <c r="H231" s="79"/>
      <c r="I231" s="80"/>
      <c r="J231" s="81"/>
      <c r="K231" s="82"/>
      <c r="L231" s="49"/>
      <c r="M231" s="49"/>
      <c r="N231" s="51"/>
    </row>
    <row r="232" spans="1:14">
      <c r="A232" s="77"/>
      <c r="B232" s="78"/>
      <c r="C232" s="78"/>
      <c r="D232" s="78"/>
      <c r="E232" s="78"/>
      <c r="F232" s="78"/>
      <c r="G232" s="78"/>
      <c r="H232" s="79"/>
      <c r="I232" s="80"/>
      <c r="J232" s="81"/>
      <c r="K232" s="82"/>
      <c r="L232" s="49"/>
      <c r="M232" s="49"/>
      <c r="N232" s="51"/>
    </row>
    <row r="233" spans="1:14">
      <c r="A233" s="77"/>
      <c r="B233" s="78"/>
      <c r="C233" s="78"/>
      <c r="D233" s="78"/>
      <c r="E233" s="78"/>
      <c r="F233" s="78"/>
      <c r="G233" s="78"/>
      <c r="H233" s="79"/>
      <c r="I233" s="80"/>
      <c r="J233" s="81"/>
      <c r="K233" s="82"/>
      <c r="L233" s="49"/>
      <c r="M233" s="49"/>
      <c r="N233" s="51"/>
    </row>
    <row r="234" spans="1:14">
      <c r="A234" s="77"/>
      <c r="B234" s="78"/>
      <c r="C234" s="78"/>
      <c r="D234" s="78"/>
      <c r="E234" s="78"/>
      <c r="F234" s="78"/>
      <c r="G234" s="78"/>
      <c r="H234" s="79"/>
      <c r="I234" s="80"/>
      <c r="J234" s="81"/>
      <c r="K234" s="82"/>
      <c r="L234" s="49"/>
      <c r="M234" s="49"/>
      <c r="N234" s="51"/>
    </row>
    <row r="235" spans="1:14">
      <c r="A235" s="77"/>
      <c r="B235" s="78"/>
      <c r="C235" s="78"/>
      <c r="D235" s="78"/>
      <c r="E235" s="78"/>
      <c r="F235" s="78"/>
      <c r="G235" s="78"/>
      <c r="H235" s="79"/>
      <c r="I235" s="80"/>
      <c r="J235" s="81"/>
      <c r="K235" s="82"/>
      <c r="L235" s="49"/>
      <c r="M235" s="49"/>
      <c r="N235" s="51"/>
    </row>
    <row r="236" spans="1:14">
      <c r="A236" s="77"/>
      <c r="B236" s="78"/>
      <c r="C236" s="78"/>
      <c r="D236" s="78"/>
      <c r="E236" s="78"/>
      <c r="F236" s="78"/>
      <c r="G236" s="78"/>
      <c r="H236" s="79"/>
      <c r="I236" s="80"/>
      <c r="J236" s="81"/>
      <c r="K236" s="82"/>
      <c r="L236" s="49"/>
      <c r="M236" s="49"/>
      <c r="N236" s="51"/>
    </row>
    <row r="237" spans="1:14">
      <c r="A237" s="77"/>
      <c r="B237" s="78"/>
      <c r="C237" s="78"/>
      <c r="D237" s="78"/>
      <c r="E237" s="78"/>
      <c r="F237" s="78"/>
      <c r="G237" s="78"/>
      <c r="H237" s="79"/>
      <c r="I237" s="80"/>
      <c r="J237" s="81"/>
      <c r="K237" s="82"/>
      <c r="L237" s="49"/>
      <c r="M237" s="49"/>
      <c r="N237" s="51"/>
    </row>
    <row r="238" spans="1:14">
      <c r="A238" s="77"/>
      <c r="B238" s="78"/>
      <c r="C238" s="78"/>
      <c r="D238" s="78"/>
      <c r="E238" s="78"/>
      <c r="F238" s="78"/>
      <c r="G238" s="78"/>
      <c r="H238" s="79"/>
      <c r="I238" s="80"/>
      <c r="J238" s="81"/>
      <c r="K238" s="82"/>
      <c r="L238" s="49"/>
      <c r="M238" s="49"/>
      <c r="N238" s="51"/>
    </row>
    <row r="239" spans="1:14">
      <c r="A239" s="77"/>
      <c r="B239" s="78"/>
      <c r="C239" s="78"/>
      <c r="D239" s="78"/>
      <c r="E239" s="78"/>
      <c r="F239" s="78"/>
      <c r="G239" s="78"/>
      <c r="H239" s="79"/>
      <c r="I239" s="80"/>
      <c r="J239" s="81"/>
      <c r="K239" s="82"/>
      <c r="L239" s="49"/>
      <c r="M239" s="49"/>
      <c r="N239" s="51"/>
    </row>
    <row r="240" spans="1:14">
      <c r="A240" s="77"/>
      <c r="B240" s="78"/>
      <c r="C240" s="78"/>
      <c r="D240" s="78"/>
      <c r="E240" s="78"/>
      <c r="F240" s="78"/>
      <c r="G240" s="78"/>
      <c r="H240" s="79"/>
      <c r="I240" s="80"/>
      <c r="J240" s="81"/>
      <c r="K240" s="82"/>
      <c r="L240" s="49"/>
      <c r="M240" s="49"/>
      <c r="N240" s="51"/>
    </row>
    <row r="241" spans="1:14">
      <c r="A241" s="77"/>
      <c r="B241" s="78"/>
      <c r="C241" s="78"/>
      <c r="D241" s="78"/>
      <c r="E241" s="78"/>
      <c r="F241" s="78"/>
      <c r="G241" s="78"/>
      <c r="H241" s="79"/>
      <c r="I241" s="80"/>
      <c r="J241" s="81"/>
      <c r="K241" s="82"/>
      <c r="L241" s="49"/>
      <c r="M241" s="49"/>
      <c r="N241" s="51"/>
    </row>
    <row r="242" spans="1:14">
      <c r="A242" s="77"/>
      <c r="B242" s="78"/>
      <c r="C242" s="78"/>
      <c r="D242" s="78"/>
      <c r="E242" s="78"/>
      <c r="F242" s="78"/>
      <c r="G242" s="78"/>
      <c r="H242" s="79"/>
      <c r="I242" s="80"/>
      <c r="J242" s="81"/>
      <c r="K242" s="82"/>
      <c r="L242" s="49"/>
      <c r="M242" s="49"/>
      <c r="N242" s="51"/>
    </row>
    <row r="243" spans="1:14">
      <c r="A243" s="77"/>
      <c r="B243" s="78"/>
      <c r="C243" s="78"/>
      <c r="D243" s="78"/>
      <c r="E243" s="78"/>
      <c r="F243" s="78"/>
      <c r="G243" s="78"/>
      <c r="H243" s="79"/>
      <c r="I243" s="80"/>
      <c r="J243" s="81"/>
      <c r="K243" s="82"/>
      <c r="L243" s="49"/>
      <c r="M243" s="49"/>
      <c r="N243" s="51"/>
    </row>
    <row r="244" spans="1:14">
      <c r="A244" s="77"/>
      <c r="B244" s="78"/>
      <c r="C244" s="78"/>
      <c r="D244" s="78"/>
      <c r="E244" s="78"/>
      <c r="F244" s="78"/>
      <c r="G244" s="78"/>
      <c r="H244" s="79"/>
      <c r="I244" s="80"/>
      <c r="J244" s="81"/>
      <c r="K244" s="82"/>
      <c r="L244" s="49"/>
      <c r="M244" s="49"/>
      <c r="N244" s="51"/>
    </row>
    <row r="245" spans="1:14">
      <c r="A245" s="77"/>
      <c r="B245" s="78"/>
      <c r="C245" s="78"/>
      <c r="D245" s="78"/>
      <c r="E245" s="78"/>
      <c r="F245" s="78"/>
      <c r="G245" s="78"/>
      <c r="H245" s="79"/>
      <c r="I245" s="80"/>
      <c r="J245" s="81"/>
      <c r="K245" s="82"/>
      <c r="L245" s="49"/>
      <c r="M245" s="49"/>
      <c r="N245" s="51"/>
    </row>
    <row r="246" spans="1:14">
      <c r="A246" s="77"/>
      <c r="B246" s="78"/>
      <c r="C246" s="78"/>
      <c r="D246" s="78"/>
      <c r="E246" s="78"/>
      <c r="F246" s="78"/>
      <c r="G246" s="78"/>
      <c r="H246" s="79"/>
      <c r="I246" s="80"/>
      <c r="J246" s="81"/>
      <c r="K246" s="82"/>
      <c r="L246" s="49"/>
      <c r="M246" s="49"/>
      <c r="N246" s="51"/>
    </row>
    <row r="247" spans="1:14">
      <c r="A247" s="77"/>
      <c r="B247" s="78"/>
      <c r="C247" s="78"/>
      <c r="D247" s="78"/>
      <c r="E247" s="78"/>
      <c r="F247" s="78"/>
      <c r="G247" s="78"/>
      <c r="H247" s="79"/>
      <c r="I247" s="80"/>
      <c r="J247" s="81"/>
      <c r="K247" s="82"/>
      <c r="L247" s="49"/>
      <c r="M247" s="49"/>
      <c r="N247" s="51"/>
    </row>
    <row r="248" spans="1:14">
      <c r="A248" s="77"/>
      <c r="B248" s="78"/>
      <c r="C248" s="78"/>
      <c r="D248" s="78"/>
      <c r="E248" s="78"/>
      <c r="F248" s="78"/>
      <c r="G248" s="78"/>
      <c r="H248" s="79"/>
      <c r="I248" s="80"/>
      <c r="J248" s="81"/>
      <c r="K248" s="82"/>
      <c r="L248" s="49"/>
      <c r="M248" s="49"/>
      <c r="N248" s="51"/>
    </row>
    <row r="249" spans="1:14">
      <c r="A249" s="77"/>
      <c r="B249" s="78"/>
      <c r="C249" s="78"/>
      <c r="D249" s="78"/>
      <c r="E249" s="78"/>
      <c r="F249" s="78"/>
      <c r="G249" s="78"/>
      <c r="H249" s="79"/>
      <c r="I249" s="80"/>
      <c r="J249" s="81"/>
      <c r="K249" s="82"/>
      <c r="L249" s="49"/>
      <c r="M249" s="49"/>
      <c r="N249" s="51"/>
    </row>
    <row r="250" spans="1:14">
      <c r="A250" s="77"/>
      <c r="B250" s="78"/>
      <c r="C250" s="78"/>
      <c r="D250" s="78"/>
      <c r="E250" s="78"/>
      <c r="F250" s="78"/>
      <c r="G250" s="78"/>
      <c r="H250" s="79"/>
      <c r="I250" s="80"/>
      <c r="J250" s="81"/>
      <c r="K250" s="82"/>
      <c r="L250" s="49"/>
      <c r="M250" s="49"/>
      <c r="N250" s="51"/>
    </row>
    <row r="251" spans="1:14">
      <c r="A251" s="77"/>
      <c r="B251" s="78"/>
      <c r="C251" s="78"/>
      <c r="D251" s="78"/>
      <c r="E251" s="78"/>
      <c r="F251" s="78"/>
      <c r="G251" s="78"/>
      <c r="H251" s="79"/>
      <c r="I251" s="80"/>
      <c r="J251" s="81"/>
      <c r="K251" s="82"/>
      <c r="L251" s="49"/>
      <c r="M251" s="49"/>
      <c r="N251" s="51"/>
    </row>
    <row r="252" spans="1:14">
      <c r="A252" s="77"/>
      <c r="B252" s="78"/>
      <c r="C252" s="78"/>
      <c r="D252" s="78"/>
      <c r="E252" s="78"/>
      <c r="F252" s="78"/>
      <c r="G252" s="78"/>
      <c r="H252" s="79"/>
      <c r="I252" s="80"/>
      <c r="J252" s="81"/>
      <c r="K252" s="82"/>
      <c r="L252" s="49"/>
      <c r="M252" s="49"/>
      <c r="N252" s="51"/>
    </row>
    <row r="253" spans="1:14">
      <c r="A253" s="77"/>
      <c r="B253" s="78"/>
      <c r="C253" s="78"/>
      <c r="D253" s="78"/>
      <c r="E253" s="78"/>
      <c r="F253" s="78"/>
      <c r="G253" s="78"/>
      <c r="H253" s="79"/>
      <c r="I253" s="80"/>
      <c r="J253" s="81"/>
      <c r="K253" s="82"/>
      <c r="L253" s="49"/>
      <c r="M253" s="49"/>
      <c r="N253" s="51"/>
    </row>
    <row r="254" spans="1:14">
      <c r="A254" s="77"/>
      <c r="B254" s="78"/>
      <c r="C254" s="78"/>
      <c r="D254" s="78"/>
      <c r="E254" s="78"/>
      <c r="F254" s="78"/>
      <c r="G254" s="78"/>
      <c r="H254" s="79"/>
      <c r="I254" s="80"/>
      <c r="J254" s="81"/>
      <c r="K254" s="82"/>
      <c r="L254" s="49"/>
      <c r="M254" s="49"/>
      <c r="N254" s="51"/>
    </row>
    <row r="255" spans="1:14">
      <c r="A255" s="77"/>
      <c r="B255" s="78"/>
      <c r="C255" s="78"/>
      <c r="D255" s="78"/>
      <c r="E255" s="78"/>
      <c r="F255" s="78"/>
      <c r="G255" s="78"/>
      <c r="H255" s="79"/>
      <c r="I255" s="80"/>
      <c r="J255" s="81"/>
      <c r="K255" s="82"/>
      <c r="L255" s="49"/>
      <c r="M255" s="49"/>
      <c r="N255" s="51"/>
    </row>
    <row r="256" spans="1:14">
      <c r="A256" s="77"/>
      <c r="B256" s="78"/>
      <c r="C256" s="78"/>
      <c r="D256" s="78"/>
      <c r="E256" s="78"/>
      <c r="F256" s="78"/>
      <c r="G256" s="78"/>
      <c r="H256" s="79"/>
      <c r="I256" s="80"/>
      <c r="J256" s="81"/>
      <c r="K256" s="82"/>
      <c r="L256" s="49"/>
      <c r="M256" s="49"/>
      <c r="N256" s="51"/>
    </row>
    <row r="257" spans="1:14">
      <c r="A257" s="77"/>
      <c r="B257" s="78"/>
      <c r="C257" s="78"/>
      <c r="D257" s="78"/>
      <c r="E257" s="78"/>
      <c r="F257" s="78"/>
      <c r="G257" s="78"/>
      <c r="H257" s="79"/>
      <c r="I257" s="80"/>
      <c r="J257" s="81"/>
      <c r="K257" s="82"/>
      <c r="L257" s="49"/>
      <c r="M257" s="49"/>
      <c r="N257" s="51"/>
    </row>
    <row r="258" spans="1:14">
      <c r="A258" s="77"/>
      <c r="B258" s="78"/>
      <c r="C258" s="78"/>
      <c r="D258" s="78"/>
      <c r="E258" s="78"/>
      <c r="F258" s="78"/>
      <c r="G258" s="78"/>
      <c r="H258" s="79"/>
      <c r="I258" s="80"/>
      <c r="J258" s="81"/>
      <c r="K258" s="82"/>
      <c r="L258" s="49"/>
      <c r="M258" s="49"/>
      <c r="N258" s="51"/>
    </row>
    <row r="259" spans="1:14">
      <c r="A259" s="77"/>
      <c r="B259" s="78"/>
      <c r="C259" s="78"/>
      <c r="D259" s="78"/>
      <c r="E259" s="78"/>
      <c r="F259" s="78"/>
      <c r="G259" s="78"/>
      <c r="H259" s="79"/>
      <c r="I259" s="80"/>
      <c r="J259" s="81"/>
      <c r="K259" s="82"/>
      <c r="L259" s="49"/>
      <c r="M259" s="49"/>
      <c r="N259" s="51"/>
    </row>
    <row r="260" spans="1:14">
      <c r="A260" s="77"/>
      <c r="B260" s="78"/>
      <c r="C260" s="78"/>
      <c r="D260" s="78"/>
      <c r="E260" s="78"/>
      <c r="F260" s="78"/>
      <c r="G260" s="78"/>
      <c r="H260" s="79"/>
      <c r="I260" s="80"/>
      <c r="J260" s="81"/>
      <c r="K260" s="82"/>
      <c r="L260" s="49"/>
      <c r="M260" s="49"/>
      <c r="N260" s="51"/>
    </row>
    <row r="261" spans="1:14">
      <c r="A261" s="77"/>
      <c r="B261" s="78"/>
      <c r="C261" s="78"/>
      <c r="D261" s="78"/>
      <c r="E261" s="78"/>
      <c r="F261" s="78"/>
      <c r="G261" s="78"/>
      <c r="H261" s="79"/>
      <c r="I261" s="80"/>
      <c r="J261" s="81"/>
      <c r="K261" s="82"/>
      <c r="L261" s="49"/>
      <c r="M261" s="49"/>
      <c r="N261" s="51"/>
    </row>
    <row r="262" spans="1:14">
      <c r="A262" s="77"/>
      <c r="B262" s="78"/>
      <c r="C262" s="78"/>
      <c r="D262" s="78"/>
      <c r="E262" s="78"/>
      <c r="F262" s="78"/>
      <c r="G262" s="78"/>
      <c r="H262" s="79"/>
      <c r="I262" s="80"/>
      <c r="J262" s="81"/>
      <c r="K262" s="82"/>
      <c r="L262" s="49"/>
      <c r="M262" s="49"/>
      <c r="N262" s="51"/>
    </row>
    <row r="263" spans="1:14">
      <c r="A263" s="77"/>
      <c r="B263" s="78"/>
      <c r="C263" s="78"/>
      <c r="D263" s="78"/>
      <c r="E263" s="78"/>
      <c r="F263" s="78"/>
      <c r="G263" s="78"/>
      <c r="H263" s="79"/>
      <c r="I263" s="80"/>
      <c r="J263" s="81"/>
      <c r="K263" s="82"/>
      <c r="L263" s="49"/>
      <c r="M263" s="49"/>
      <c r="N263" s="51"/>
    </row>
    <row r="264" spans="1:14">
      <c r="A264" s="77"/>
      <c r="B264" s="78"/>
      <c r="C264" s="78"/>
      <c r="D264" s="78"/>
      <c r="E264" s="78"/>
      <c r="F264" s="78"/>
      <c r="G264" s="78"/>
      <c r="H264" s="79"/>
      <c r="I264" s="80"/>
      <c r="J264" s="81"/>
      <c r="K264" s="82"/>
      <c r="L264" s="49"/>
      <c r="M264" s="49"/>
      <c r="N264" s="51"/>
    </row>
    <row r="265" spans="1:14">
      <c r="A265" s="77"/>
      <c r="B265" s="78"/>
      <c r="C265" s="78"/>
      <c r="D265" s="78"/>
      <c r="E265" s="78"/>
      <c r="F265" s="78"/>
      <c r="G265" s="78"/>
      <c r="H265" s="79"/>
      <c r="I265" s="80"/>
      <c r="J265" s="81"/>
      <c r="K265" s="82"/>
      <c r="L265" s="49"/>
      <c r="M265" s="49"/>
      <c r="N265" s="51"/>
    </row>
    <row r="266" spans="1:14">
      <c r="A266" s="77"/>
      <c r="B266" s="78"/>
      <c r="C266" s="78"/>
      <c r="D266" s="78"/>
      <c r="E266" s="78"/>
      <c r="F266" s="78"/>
      <c r="G266" s="78"/>
      <c r="H266" s="79"/>
      <c r="I266" s="80"/>
      <c r="J266" s="81"/>
      <c r="K266" s="82"/>
      <c r="L266" s="49"/>
      <c r="M266" s="49"/>
      <c r="N266" s="51"/>
    </row>
    <row r="267" spans="1:14">
      <c r="A267" s="77"/>
      <c r="B267" s="78"/>
      <c r="C267" s="78"/>
      <c r="D267" s="78"/>
      <c r="E267" s="78"/>
      <c r="F267" s="78"/>
      <c r="G267" s="78"/>
      <c r="H267" s="79"/>
      <c r="I267" s="80"/>
      <c r="J267" s="81"/>
      <c r="K267" s="82"/>
      <c r="L267" s="49"/>
      <c r="M267" s="49"/>
      <c r="N267" s="51"/>
    </row>
    <row r="268" spans="1:14">
      <c r="A268" s="77"/>
      <c r="B268" s="78"/>
      <c r="C268" s="78"/>
      <c r="D268" s="78"/>
      <c r="E268" s="78"/>
      <c r="F268" s="78"/>
      <c r="G268" s="78"/>
      <c r="H268" s="79"/>
      <c r="I268" s="80"/>
      <c r="J268" s="81"/>
      <c r="K268" s="82"/>
      <c r="L268" s="49"/>
      <c r="M268" s="49"/>
      <c r="N268" s="51"/>
    </row>
    <row r="269" spans="1:14">
      <c r="A269" s="77"/>
      <c r="B269" s="78"/>
      <c r="C269" s="78"/>
      <c r="D269" s="78"/>
      <c r="E269" s="78"/>
      <c r="F269" s="78"/>
      <c r="G269" s="78"/>
      <c r="H269" s="79"/>
      <c r="I269" s="80"/>
      <c r="J269" s="81"/>
      <c r="K269" s="82"/>
      <c r="L269" s="49"/>
      <c r="M269" s="49"/>
      <c r="N269" s="51"/>
    </row>
    <row r="270" spans="1:14">
      <c r="A270" s="77"/>
      <c r="B270" s="78"/>
      <c r="C270" s="78"/>
      <c r="D270" s="78"/>
      <c r="E270" s="78"/>
      <c r="F270" s="78"/>
      <c r="G270" s="78"/>
      <c r="H270" s="79"/>
      <c r="I270" s="80"/>
      <c r="J270" s="81"/>
      <c r="K270" s="82"/>
      <c r="L270" s="49"/>
      <c r="M270" s="49"/>
      <c r="N270" s="51"/>
    </row>
    <row r="271" spans="1:14">
      <c r="A271" s="77"/>
      <c r="B271" s="78"/>
      <c r="C271" s="78"/>
      <c r="D271" s="78"/>
      <c r="E271" s="78"/>
      <c r="F271" s="78"/>
      <c r="G271" s="78"/>
      <c r="H271" s="79"/>
      <c r="I271" s="80"/>
      <c r="J271" s="81"/>
      <c r="K271" s="82"/>
      <c r="L271" s="49"/>
      <c r="M271" s="49"/>
      <c r="N271" s="51"/>
    </row>
    <row r="272" spans="1:14">
      <c r="A272" s="77"/>
      <c r="B272" s="78"/>
      <c r="C272" s="78"/>
      <c r="D272" s="78"/>
      <c r="E272" s="78"/>
      <c r="F272" s="78"/>
      <c r="G272" s="78"/>
      <c r="H272" s="79"/>
      <c r="I272" s="80"/>
      <c r="J272" s="81"/>
      <c r="K272" s="82"/>
      <c r="L272" s="49"/>
      <c r="M272" s="49"/>
      <c r="N272" s="51"/>
    </row>
    <row r="273" spans="1:14">
      <c r="A273" s="77"/>
      <c r="B273" s="78"/>
      <c r="C273" s="78"/>
      <c r="D273" s="78"/>
      <c r="E273" s="78"/>
      <c r="F273" s="78"/>
      <c r="G273" s="78"/>
      <c r="H273" s="79"/>
      <c r="I273" s="80"/>
      <c r="J273" s="81"/>
      <c r="K273" s="82"/>
      <c r="L273" s="49"/>
      <c r="M273" s="49"/>
      <c r="N273" s="51"/>
    </row>
    <row r="274" spans="1:14">
      <c r="A274" s="77"/>
      <c r="B274" s="78"/>
      <c r="C274" s="78"/>
      <c r="D274" s="78"/>
      <c r="E274" s="78"/>
      <c r="F274" s="78"/>
      <c r="G274" s="78"/>
      <c r="H274" s="79"/>
      <c r="I274" s="80"/>
      <c r="J274" s="81"/>
      <c r="K274" s="82"/>
      <c r="L274" s="49"/>
      <c r="M274" s="49"/>
      <c r="N274" s="51"/>
    </row>
    <row r="275" spans="1:14">
      <c r="A275" s="77"/>
      <c r="B275" s="78"/>
      <c r="C275" s="78"/>
      <c r="D275" s="78"/>
      <c r="E275" s="78"/>
      <c r="F275" s="78"/>
      <c r="G275" s="78"/>
      <c r="H275" s="79"/>
      <c r="I275" s="80"/>
      <c r="J275" s="81"/>
      <c r="K275" s="82"/>
      <c r="L275" s="49"/>
      <c r="M275" s="49"/>
      <c r="N275" s="51"/>
    </row>
    <row r="276" spans="1:14">
      <c r="A276" s="77"/>
      <c r="B276" s="78"/>
      <c r="C276" s="78"/>
      <c r="D276" s="78"/>
      <c r="E276" s="78"/>
      <c r="F276" s="78"/>
      <c r="G276" s="78"/>
      <c r="H276" s="79"/>
      <c r="I276" s="80"/>
      <c r="J276" s="81"/>
      <c r="K276" s="82"/>
      <c r="L276" s="49"/>
      <c r="M276" s="49"/>
      <c r="N276" s="51"/>
    </row>
    <row r="277" spans="1:14">
      <c r="A277" s="77"/>
      <c r="B277" s="78"/>
      <c r="C277" s="78"/>
      <c r="D277" s="78"/>
      <c r="E277" s="78"/>
      <c r="F277" s="78"/>
      <c r="G277" s="78"/>
      <c r="H277" s="79"/>
      <c r="I277" s="80"/>
      <c r="J277" s="81"/>
      <c r="K277" s="82"/>
      <c r="L277" s="49"/>
      <c r="M277" s="49"/>
      <c r="N277" s="51"/>
    </row>
    <row r="278" spans="1:14">
      <c r="A278" s="77"/>
      <c r="B278" s="78"/>
      <c r="C278" s="78"/>
      <c r="D278" s="78"/>
      <c r="E278" s="78"/>
      <c r="F278" s="78"/>
      <c r="G278" s="78"/>
      <c r="H278" s="79"/>
      <c r="I278" s="80"/>
      <c r="J278" s="81"/>
      <c r="K278" s="82"/>
      <c r="L278" s="49"/>
      <c r="M278" s="49"/>
      <c r="N278" s="51"/>
    </row>
    <row r="279" spans="1:14">
      <c r="A279" s="77"/>
      <c r="B279" s="78"/>
      <c r="C279" s="78"/>
      <c r="D279" s="78"/>
      <c r="E279" s="78"/>
      <c r="F279" s="78"/>
      <c r="G279" s="78"/>
      <c r="H279" s="79"/>
      <c r="I279" s="80"/>
      <c r="J279" s="81"/>
      <c r="K279" s="82"/>
      <c r="L279" s="49"/>
      <c r="M279" s="49"/>
      <c r="N279" s="51"/>
    </row>
    <row r="280" spans="1:14">
      <c r="A280" s="77"/>
      <c r="B280" s="78"/>
      <c r="C280" s="78"/>
      <c r="D280" s="78"/>
      <c r="E280" s="78"/>
      <c r="F280" s="78"/>
      <c r="G280" s="78"/>
      <c r="H280" s="79"/>
      <c r="I280" s="80"/>
      <c r="J280" s="81"/>
      <c r="K280" s="82"/>
      <c r="L280" s="49"/>
      <c r="M280" s="49"/>
      <c r="N280" s="51"/>
    </row>
    <row r="281" spans="1:14">
      <c r="A281" s="77"/>
      <c r="B281" s="78"/>
      <c r="C281" s="78"/>
      <c r="D281" s="78"/>
      <c r="E281" s="78"/>
      <c r="F281" s="78"/>
      <c r="G281" s="78"/>
      <c r="H281" s="79"/>
      <c r="I281" s="80"/>
      <c r="J281" s="81"/>
      <c r="K281" s="82"/>
      <c r="L281" s="49"/>
      <c r="M281" s="49"/>
      <c r="N281" s="51"/>
    </row>
    <row r="282" spans="1:14">
      <c r="A282" s="77"/>
      <c r="B282" s="78"/>
      <c r="C282" s="78"/>
      <c r="D282" s="78"/>
      <c r="E282" s="78"/>
      <c r="F282" s="78"/>
      <c r="G282" s="78"/>
      <c r="H282" s="79"/>
      <c r="I282" s="80"/>
      <c r="J282" s="81"/>
      <c r="K282" s="82"/>
      <c r="L282" s="49"/>
      <c r="M282" s="49"/>
      <c r="N282" s="51"/>
    </row>
    <row r="283" spans="1:14">
      <c r="A283" s="77"/>
      <c r="B283" s="78"/>
      <c r="C283" s="78"/>
      <c r="D283" s="78"/>
      <c r="E283" s="78"/>
      <c r="F283" s="78"/>
      <c r="G283" s="78"/>
      <c r="H283" s="79"/>
      <c r="I283" s="80"/>
      <c r="J283" s="81"/>
      <c r="K283" s="82"/>
      <c r="L283" s="49"/>
      <c r="M283" s="49"/>
      <c r="N283" s="51"/>
    </row>
    <row r="284" spans="1:14">
      <c r="A284" s="77"/>
      <c r="B284" s="78"/>
      <c r="C284" s="78"/>
      <c r="D284" s="78"/>
      <c r="E284" s="78"/>
      <c r="F284" s="78"/>
      <c r="G284" s="78"/>
      <c r="H284" s="79"/>
      <c r="I284" s="80"/>
      <c r="J284" s="81"/>
      <c r="K284" s="82"/>
      <c r="L284" s="49"/>
      <c r="M284" s="49"/>
      <c r="N284" s="51"/>
    </row>
    <row r="285" spans="1:14">
      <c r="A285" s="77"/>
      <c r="B285" s="78"/>
      <c r="C285" s="78"/>
      <c r="D285" s="78"/>
      <c r="E285" s="78"/>
      <c r="F285" s="78"/>
      <c r="G285" s="78"/>
      <c r="H285" s="79"/>
      <c r="I285" s="80"/>
      <c r="J285" s="81"/>
      <c r="K285" s="82"/>
      <c r="L285" s="49"/>
      <c r="M285" s="49"/>
      <c r="N285" s="51"/>
    </row>
    <row r="286" spans="1:14">
      <c r="A286" s="77"/>
      <c r="B286" s="78"/>
      <c r="C286" s="78"/>
      <c r="D286" s="78"/>
      <c r="E286" s="78"/>
      <c r="F286" s="78"/>
      <c r="G286" s="78"/>
      <c r="H286" s="79"/>
      <c r="I286" s="80"/>
      <c r="J286" s="81"/>
      <c r="K286" s="82"/>
      <c r="L286" s="49"/>
      <c r="M286" s="49"/>
      <c r="N286" s="51"/>
    </row>
    <row r="287" spans="1:14">
      <c r="A287" s="77"/>
      <c r="B287" s="78"/>
      <c r="C287" s="78"/>
      <c r="D287" s="78"/>
      <c r="E287" s="78"/>
      <c r="F287" s="78"/>
      <c r="G287" s="78"/>
      <c r="H287" s="79"/>
      <c r="I287" s="80"/>
      <c r="J287" s="81"/>
      <c r="K287" s="82"/>
      <c r="L287" s="49"/>
      <c r="M287" s="49"/>
      <c r="N287" s="51"/>
    </row>
    <row r="288" spans="1:14">
      <c r="A288" s="77"/>
      <c r="B288" s="78"/>
      <c r="C288" s="78"/>
      <c r="D288" s="78"/>
      <c r="E288" s="78"/>
      <c r="F288" s="78"/>
      <c r="G288" s="78"/>
      <c r="H288" s="79"/>
      <c r="I288" s="80"/>
      <c r="J288" s="81"/>
      <c r="K288" s="82"/>
      <c r="L288" s="49"/>
      <c r="M288" s="49"/>
      <c r="N288" s="51"/>
    </row>
    <row r="289" spans="1:14">
      <c r="A289" s="77"/>
      <c r="B289" s="78"/>
      <c r="C289" s="78"/>
      <c r="D289" s="78"/>
      <c r="E289" s="78"/>
      <c r="F289" s="78"/>
      <c r="G289" s="78"/>
      <c r="H289" s="79"/>
      <c r="I289" s="80"/>
      <c r="J289" s="81"/>
      <c r="K289" s="82"/>
      <c r="L289" s="49"/>
      <c r="M289" s="49"/>
      <c r="N289" s="51"/>
    </row>
    <row r="290" spans="1:14">
      <c r="A290" s="77"/>
      <c r="B290" s="78"/>
      <c r="C290" s="78"/>
      <c r="D290" s="78"/>
      <c r="E290" s="78"/>
      <c r="F290" s="78"/>
      <c r="G290" s="78"/>
      <c r="H290" s="79"/>
      <c r="I290" s="80"/>
      <c r="J290" s="81"/>
      <c r="K290" s="82"/>
      <c r="L290" s="49"/>
      <c r="M290" s="49"/>
      <c r="N290" s="51"/>
    </row>
    <row r="291" spans="1:14">
      <c r="A291" s="77"/>
      <c r="B291" s="78"/>
      <c r="C291" s="78"/>
      <c r="D291" s="78"/>
      <c r="E291" s="78"/>
      <c r="F291" s="78"/>
      <c r="G291" s="78"/>
      <c r="H291" s="79"/>
      <c r="I291" s="80"/>
      <c r="J291" s="81"/>
      <c r="K291" s="82"/>
      <c r="L291" s="49"/>
      <c r="M291" s="49"/>
      <c r="N291" s="51"/>
    </row>
    <row r="292" spans="1:14">
      <c r="A292" s="77"/>
      <c r="B292" s="78"/>
      <c r="C292" s="78"/>
      <c r="D292" s="78"/>
      <c r="E292" s="78"/>
      <c r="F292" s="78"/>
      <c r="G292" s="78"/>
      <c r="H292" s="79"/>
      <c r="I292" s="80"/>
      <c r="J292" s="81"/>
      <c r="K292" s="82"/>
      <c r="L292" s="49"/>
      <c r="M292" s="49"/>
      <c r="N292" s="51"/>
    </row>
    <row r="293" spans="1:14">
      <c r="A293" s="77"/>
      <c r="B293" s="78"/>
      <c r="C293" s="78"/>
      <c r="D293" s="78"/>
      <c r="E293" s="78"/>
      <c r="F293" s="78"/>
      <c r="G293" s="78"/>
      <c r="H293" s="79"/>
      <c r="I293" s="80"/>
      <c r="J293" s="81"/>
      <c r="K293" s="82"/>
      <c r="L293" s="49"/>
      <c r="M293" s="49"/>
      <c r="N293" s="51"/>
    </row>
    <row r="294" spans="1:14">
      <c r="A294" s="77"/>
      <c r="B294" s="78"/>
      <c r="C294" s="78"/>
      <c r="D294" s="78"/>
      <c r="E294" s="78"/>
      <c r="F294" s="78"/>
      <c r="G294" s="78"/>
      <c r="H294" s="79"/>
      <c r="I294" s="80"/>
      <c r="J294" s="81"/>
      <c r="K294" s="82"/>
      <c r="L294" s="49"/>
      <c r="M294" s="49"/>
      <c r="N294" s="51"/>
    </row>
    <row r="295" spans="1:14">
      <c r="A295" s="77"/>
      <c r="B295" s="78"/>
      <c r="C295" s="78"/>
      <c r="D295" s="78"/>
      <c r="E295" s="78"/>
      <c r="F295" s="78"/>
      <c r="G295" s="78"/>
      <c r="H295" s="79"/>
      <c r="I295" s="80"/>
      <c r="J295" s="81"/>
      <c r="K295" s="82"/>
      <c r="L295" s="49"/>
      <c r="M295" s="49"/>
      <c r="N295" s="51"/>
    </row>
    <row r="296" spans="1:14">
      <c r="A296" s="77"/>
      <c r="B296" s="78"/>
      <c r="C296" s="78"/>
      <c r="D296" s="78"/>
      <c r="E296" s="78"/>
      <c r="F296" s="78"/>
      <c r="G296" s="78"/>
      <c r="H296" s="79"/>
      <c r="I296" s="80"/>
      <c r="J296" s="81"/>
      <c r="K296" s="82"/>
      <c r="L296" s="49"/>
      <c r="M296" s="49"/>
      <c r="N296" s="51"/>
    </row>
    <row r="297" spans="1:14">
      <c r="A297" s="77"/>
      <c r="B297" s="78"/>
      <c r="C297" s="78"/>
      <c r="D297" s="78"/>
      <c r="E297" s="78"/>
      <c r="F297" s="78"/>
      <c r="G297" s="78"/>
      <c r="H297" s="79"/>
      <c r="I297" s="80"/>
      <c r="J297" s="81"/>
      <c r="K297" s="82"/>
      <c r="L297" s="49"/>
      <c r="M297" s="49"/>
      <c r="N297" s="51"/>
    </row>
    <row r="298" spans="1:14">
      <c r="A298" s="77"/>
      <c r="B298" s="78"/>
      <c r="C298" s="78"/>
      <c r="D298" s="78"/>
      <c r="E298" s="78"/>
      <c r="F298" s="78"/>
      <c r="G298" s="78"/>
      <c r="H298" s="79"/>
      <c r="I298" s="80"/>
      <c r="J298" s="81"/>
      <c r="K298" s="82"/>
      <c r="L298" s="49"/>
      <c r="M298" s="49"/>
      <c r="N298" s="51"/>
    </row>
    <row r="299" spans="1:14">
      <c r="A299" s="77"/>
      <c r="B299" s="78"/>
      <c r="C299" s="78"/>
      <c r="D299" s="78"/>
      <c r="E299" s="78"/>
      <c r="F299" s="78"/>
      <c r="G299" s="78"/>
      <c r="H299" s="79"/>
      <c r="I299" s="80"/>
      <c r="J299" s="81"/>
      <c r="K299" s="82"/>
      <c r="L299" s="49"/>
      <c r="M299" s="49"/>
      <c r="N299" s="51"/>
    </row>
    <row r="300" spans="1:14">
      <c r="A300" s="77"/>
      <c r="B300" s="78"/>
      <c r="C300" s="78"/>
      <c r="D300" s="78"/>
      <c r="E300" s="78"/>
      <c r="F300" s="78"/>
      <c r="G300" s="78"/>
      <c r="H300" s="79"/>
      <c r="I300" s="80"/>
      <c r="J300" s="81"/>
      <c r="K300" s="82"/>
      <c r="L300" s="49"/>
      <c r="M300" s="49"/>
      <c r="N300" s="51"/>
    </row>
    <row r="301" spans="1:14">
      <c r="A301" s="77"/>
      <c r="B301" s="78"/>
      <c r="C301" s="78"/>
      <c r="D301" s="78"/>
      <c r="E301" s="78"/>
      <c r="F301" s="78"/>
      <c r="G301" s="78"/>
      <c r="H301" s="79"/>
      <c r="I301" s="80"/>
      <c r="J301" s="81"/>
      <c r="K301" s="82"/>
      <c r="L301" s="49"/>
      <c r="M301" s="49"/>
      <c r="N301" s="51"/>
    </row>
    <row r="302" spans="1:14">
      <c r="A302" s="77"/>
      <c r="B302" s="78"/>
      <c r="C302" s="78"/>
      <c r="D302" s="78"/>
      <c r="E302" s="78"/>
      <c r="F302" s="78"/>
      <c r="G302" s="78"/>
      <c r="H302" s="79"/>
      <c r="I302" s="80"/>
      <c r="J302" s="81"/>
      <c r="K302" s="82"/>
      <c r="L302" s="49"/>
      <c r="M302" s="49"/>
      <c r="N302" s="51"/>
    </row>
    <row r="303" spans="1:14">
      <c r="A303" s="77"/>
      <c r="B303" s="78"/>
      <c r="C303" s="78"/>
      <c r="D303" s="78"/>
      <c r="E303" s="78"/>
      <c r="F303" s="78"/>
      <c r="G303" s="78"/>
      <c r="H303" s="79"/>
      <c r="I303" s="80"/>
      <c r="J303" s="81"/>
      <c r="K303" s="82"/>
      <c r="L303" s="49"/>
      <c r="M303" s="49"/>
      <c r="N303" s="51"/>
    </row>
    <row r="304" spans="1:14">
      <c r="A304" s="77"/>
      <c r="B304" s="78"/>
      <c r="C304" s="78"/>
      <c r="D304" s="78"/>
      <c r="E304" s="78"/>
      <c r="F304" s="78"/>
      <c r="G304" s="78"/>
      <c r="H304" s="79"/>
      <c r="I304" s="80"/>
      <c r="J304" s="81"/>
      <c r="K304" s="82"/>
      <c r="L304" s="49"/>
      <c r="M304" s="49"/>
      <c r="N304" s="51"/>
    </row>
    <row r="305" spans="1:14">
      <c r="A305" s="77"/>
      <c r="B305" s="78"/>
      <c r="C305" s="78"/>
      <c r="D305" s="78"/>
      <c r="E305" s="78"/>
      <c r="F305" s="78"/>
      <c r="G305" s="78"/>
      <c r="H305" s="79"/>
      <c r="I305" s="80"/>
      <c r="J305" s="81"/>
      <c r="K305" s="82"/>
      <c r="L305" s="49"/>
      <c r="M305" s="49"/>
      <c r="N305" s="51"/>
    </row>
    <row r="306" spans="1:14">
      <c r="A306" s="77"/>
      <c r="B306" s="78"/>
      <c r="C306" s="78"/>
      <c r="D306" s="78"/>
      <c r="E306" s="78"/>
      <c r="F306" s="78"/>
      <c r="G306" s="78"/>
      <c r="H306" s="79"/>
      <c r="I306" s="80"/>
      <c r="J306" s="81"/>
      <c r="K306" s="82"/>
      <c r="L306" s="49"/>
      <c r="M306" s="49"/>
      <c r="N306" s="51"/>
    </row>
    <row r="307" spans="1:14">
      <c r="A307" s="77"/>
      <c r="B307" s="78"/>
      <c r="C307" s="78"/>
      <c r="D307" s="78"/>
      <c r="E307" s="78"/>
      <c r="F307" s="78"/>
      <c r="G307" s="78"/>
      <c r="H307" s="79"/>
      <c r="I307" s="80"/>
      <c r="J307" s="81"/>
      <c r="K307" s="82"/>
      <c r="L307" s="49"/>
      <c r="M307" s="49"/>
      <c r="N307" s="51"/>
    </row>
    <row r="308" spans="1:14">
      <c r="A308" s="77"/>
      <c r="B308" s="78"/>
      <c r="C308" s="78"/>
      <c r="D308" s="78"/>
      <c r="E308" s="78"/>
      <c r="F308" s="78"/>
      <c r="G308" s="78"/>
      <c r="H308" s="79"/>
      <c r="I308" s="80"/>
      <c r="J308" s="81"/>
      <c r="K308" s="82"/>
      <c r="L308" s="49"/>
      <c r="M308" s="49"/>
      <c r="N308" s="51"/>
    </row>
    <row r="309" spans="1:14">
      <c r="A309" s="77"/>
      <c r="B309" s="78"/>
      <c r="C309" s="78"/>
      <c r="D309" s="78"/>
      <c r="E309" s="78"/>
      <c r="F309" s="78"/>
      <c r="G309" s="78"/>
      <c r="H309" s="79"/>
      <c r="I309" s="80"/>
      <c r="J309" s="81"/>
      <c r="K309" s="82"/>
      <c r="L309" s="49"/>
      <c r="M309" s="49"/>
      <c r="N309" s="51"/>
    </row>
    <row r="310" spans="1:14">
      <c r="A310" s="77"/>
      <c r="B310" s="78"/>
      <c r="C310" s="78"/>
      <c r="D310" s="78"/>
      <c r="E310" s="78"/>
      <c r="F310" s="78"/>
      <c r="G310" s="78"/>
      <c r="H310" s="79"/>
      <c r="I310" s="80"/>
      <c r="J310" s="81"/>
      <c r="K310" s="82"/>
      <c r="L310" s="49"/>
      <c r="M310" s="49"/>
      <c r="N310" s="51"/>
    </row>
    <row r="311" spans="1:14">
      <c r="A311" s="77"/>
      <c r="B311" s="78"/>
      <c r="C311" s="78"/>
      <c r="D311" s="78"/>
      <c r="E311" s="78"/>
      <c r="F311" s="78"/>
      <c r="G311" s="78"/>
      <c r="H311" s="79"/>
      <c r="I311" s="80"/>
      <c r="J311" s="81"/>
      <c r="K311" s="82"/>
      <c r="L311" s="49"/>
      <c r="M311" s="49"/>
      <c r="N311" s="51"/>
    </row>
    <row r="312" spans="1:14">
      <c r="A312" s="77"/>
      <c r="B312" s="78"/>
      <c r="C312" s="78"/>
      <c r="D312" s="78"/>
      <c r="E312" s="78"/>
      <c r="F312" s="78"/>
      <c r="G312" s="78"/>
      <c r="H312" s="79"/>
      <c r="I312" s="80"/>
      <c r="J312" s="81"/>
      <c r="K312" s="82"/>
      <c r="L312" s="49"/>
      <c r="M312" s="49"/>
      <c r="N312" s="51"/>
    </row>
    <row r="313" spans="1:14">
      <c r="A313" s="77"/>
      <c r="B313" s="78"/>
      <c r="C313" s="78"/>
      <c r="D313" s="78"/>
      <c r="E313" s="78"/>
      <c r="F313" s="78"/>
      <c r="G313" s="78"/>
      <c r="H313" s="79"/>
      <c r="I313" s="80"/>
      <c r="J313" s="81"/>
      <c r="K313" s="82"/>
      <c r="L313" s="49"/>
      <c r="M313" s="49"/>
      <c r="N313" s="51"/>
    </row>
    <row r="314" spans="1:14">
      <c r="A314" s="77"/>
      <c r="B314" s="78"/>
      <c r="C314" s="78"/>
      <c r="D314" s="78"/>
      <c r="E314" s="78"/>
      <c r="F314" s="78"/>
      <c r="G314" s="78"/>
      <c r="H314" s="79"/>
      <c r="I314" s="80"/>
      <c r="J314" s="81"/>
      <c r="K314" s="82"/>
      <c r="L314" s="49"/>
      <c r="M314" s="49"/>
      <c r="N314" s="51"/>
    </row>
    <row r="315" spans="1:14">
      <c r="A315" s="77"/>
      <c r="B315" s="78"/>
      <c r="C315" s="78"/>
      <c r="D315" s="78"/>
      <c r="E315" s="78"/>
      <c r="F315" s="78"/>
      <c r="G315" s="78"/>
      <c r="H315" s="79"/>
      <c r="I315" s="80"/>
      <c r="J315" s="81"/>
      <c r="K315" s="82"/>
      <c r="L315" s="49"/>
      <c r="M315" s="49"/>
      <c r="N315" s="51"/>
    </row>
    <row r="316" spans="1:14">
      <c r="A316" s="77"/>
      <c r="B316" s="78"/>
      <c r="C316" s="78"/>
      <c r="D316" s="78"/>
      <c r="E316" s="78"/>
      <c r="F316" s="78"/>
      <c r="G316" s="78"/>
      <c r="H316" s="79"/>
      <c r="I316" s="80"/>
      <c r="J316" s="81"/>
      <c r="K316" s="82"/>
      <c r="L316" s="49"/>
      <c r="M316" s="49"/>
      <c r="N316" s="51"/>
    </row>
    <row r="317" spans="1:14">
      <c r="A317" s="77"/>
      <c r="B317" s="78"/>
      <c r="C317" s="78"/>
      <c r="D317" s="78"/>
      <c r="E317" s="78"/>
      <c r="F317" s="78"/>
      <c r="G317" s="78"/>
      <c r="H317" s="79"/>
      <c r="I317" s="80"/>
      <c r="J317" s="81"/>
      <c r="K317" s="82"/>
      <c r="L317" s="49"/>
      <c r="M317" s="49"/>
      <c r="N317" s="51"/>
    </row>
    <row r="318" spans="1:14">
      <c r="A318" s="77"/>
      <c r="B318" s="78"/>
      <c r="C318" s="78"/>
      <c r="D318" s="78"/>
      <c r="E318" s="78"/>
      <c r="F318" s="78"/>
      <c r="G318" s="78"/>
      <c r="H318" s="79"/>
      <c r="I318" s="80"/>
      <c r="J318" s="81"/>
      <c r="K318" s="82"/>
      <c r="L318" s="49"/>
      <c r="M318" s="49"/>
      <c r="N318" s="51"/>
    </row>
    <row r="319" spans="1:14">
      <c r="A319" s="77"/>
      <c r="B319" s="78"/>
      <c r="C319" s="78"/>
      <c r="D319" s="78"/>
      <c r="E319" s="78"/>
      <c r="F319" s="78"/>
      <c r="G319" s="78"/>
      <c r="H319" s="79"/>
      <c r="I319" s="80"/>
      <c r="J319" s="81"/>
      <c r="K319" s="82"/>
      <c r="L319" s="49"/>
      <c r="M319" s="49"/>
      <c r="N319" s="51"/>
    </row>
    <row r="320" spans="1:14">
      <c r="A320" s="77"/>
      <c r="B320" s="78"/>
      <c r="C320" s="78"/>
      <c r="D320" s="78"/>
      <c r="E320" s="78"/>
      <c r="F320" s="78"/>
      <c r="G320" s="78"/>
      <c r="H320" s="79"/>
      <c r="I320" s="80"/>
      <c r="J320" s="81"/>
      <c r="K320" s="82"/>
      <c r="L320" s="49"/>
      <c r="M320" s="49"/>
      <c r="N320" s="51"/>
    </row>
    <row r="321" spans="1:14">
      <c r="A321" s="77"/>
      <c r="B321" s="78"/>
      <c r="C321" s="78"/>
      <c r="D321" s="78"/>
      <c r="E321" s="78"/>
      <c r="F321" s="78"/>
      <c r="G321" s="78"/>
      <c r="H321" s="79"/>
      <c r="I321" s="80"/>
      <c r="J321" s="81"/>
      <c r="K321" s="82"/>
      <c r="L321" s="49"/>
      <c r="M321" s="49"/>
      <c r="N321" s="51"/>
    </row>
    <row r="322" spans="1:14">
      <c r="A322" s="77"/>
      <c r="B322" s="78"/>
      <c r="C322" s="78"/>
      <c r="D322" s="78"/>
      <c r="E322" s="78"/>
      <c r="F322" s="78"/>
      <c r="G322" s="78"/>
      <c r="H322" s="79"/>
      <c r="I322" s="80"/>
      <c r="J322" s="81"/>
      <c r="K322" s="82"/>
      <c r="L322" s="49"/>
      <c r="M322" s="49"/>
      <c r="N322" s="51"/>
    </row>
    <row r="323" spans="1:14">
      <c r="A323" s="77"/>
      <c r="B323" s="78"/>
      <c r="C323" s="78"/>
      <c r="D323" s="78"/>
      <c r="E323" s="78"/>
      <c r="F323" s="78"/>
      <c r="G323" s="78"/>
      <c r="H323" s="79"/>
      <c r="I323" s="80"/>
      <c r="J323" s="81"/>
      <c r="K323" s="82"/>
      <c r="L323" s="49"/>
      <c r="M323" s="49"/>
      <c r="N323" s="51"/>
    </row>
    <row r="324" spans="1:14">
      <c r="A324" s="77"/>
      <c r="B324" s="78"/>
      <c r="C324" s="78"/>
      <c r="D324" s="78"/>
      <c r="E324" s="78"/>
      <c r="F324" s="78"/>
      <c r="G324" s="78"/>
      <c r="H324" s="79"/>
      <c r="I324" s="80"/>
      <c r="J324" s="81"/>
      <c r="K324" s="82"/>
      <c r="L324" s="49"/>
      <c r="M324" s="49"/>
      <c r="N324" s="51"/>
    </row>
    <row r="325" spans="1:14">
      <c r="A325" s="77"/>
      <c r="B325" s="78"/>
      <c r="C325" s="78"/>
      <c r="D325" s="78"/>
      <c r="E325" s="78"/>
      <c r="F325" s="78"/>
      <c r="G325" s="78"/>
      <c r="H325" s="79"/>
      <c r="I325" s="80"/>
      <c r="J325" s="81"/>
      <c r="K325" s="82"/>
      <c r="L325" s="49"/>
      <c r="M325" s="49"/>
      <c r="N325" s="51"/>
    </row>
    <row r="326" spans="1:14">
      <c r="A326" s="77"/>
      <c r="B326" s="78"/>
      <c r="C326" s="78"/>
      <c r="D326" s="78"/>
      <c r="E326" s="78"/>
      <c r="F326" s="78"/>
      <c r="G326" s="78"/>
      <c r="H326" s="79"/>
      <c r="I326" s="80"/>
      <c r="J326" s="81"/>
      <c r="K326" s="82"/>
      <c r="L326" s="49"/>
      <c r="M326" s="49"/>
      <c r="N326" s="51"/>
    </row>
    <row r="327" spans="1:14">
      <c r="A327" s="77"/>
      <c r="B327" s="78"/>
      <c r="C327" s="78"/>
      <c r="D327" s="78"/>
      <c r="E327" s="78"/>
      <c r="F327" s="78"/>
      <c r="G327" s="78"/>
      <c r="H327" s="79"/>
      <c r="I327" s="80"/>
      <c r="J327" s="81"/>
      <c r="K327" s="82"/>
      <c r="L327" s="49"/>
      <c r="M327" s="49"/>
      <c r="N327" s="51"/>
    </row>
    <row r="328" spans="1:14">
      <c r="A328" s="77"/>
      <c r="B328" s="78"/>
      <c r="C328" s="78"/>
      <c r="D328" s="78"/>
      <c r="E328" s="78"/>
      <c r="F328" s="78"/>
      <c r="G328" s="78"/>
      <c r="H328" s="79"/>
      <c r="I328" s="80"/>
      <c r="J328" s="81"/>
      <c r="K328" s="82"/>
      <c r="L328" s="49"/>
      <c r="M328" s="49"/>
      <c r="N328" s="51"/>
    </row>
    <row r="329" spans="1:14">
      <c r="A329" s="77"/>
      <c r="B329" s="78"/>
      <c r="C329" s="78"/>
      <c r="D329" s="78"/>
      <c r="E329" s="78"/>
      <c r="F329" s="78"/>
      <c r="G329" s="78"/>
      <c r="H329" s="79"/>
      <c r="I329" s="80"/>
      <c r="J329" s="81"/>
      <c r="K329" s="82"/>
      <c r="L329" s="49"/>
      <c r="M329" s="49"/>
      <c r="N329" s="51"/>
    </row>
    <row r="330" spans="1:14">
      <c r="A330" s="77"/>
      <c r="B330" s="78"/>
      <c r="C330" s="78"/>
      <c r="D330" s="78"/>
      <c r="E330" s="78"/>
      <c r="F330" s="78"/>
      <c r="G330" s="78"/>
      <c r="H330" s="79"/>
      <c r="I330" s="80"/>
      <c r="J330" s="81"/>
      <c r="K330" s="82"/>
      <c r="L330" s="49"/>
      <c r="M330" s="49"/>
      <c r="N330" s="51"/>
    </row>
    <row r="331" spans="1:14">
      <c r="A331" s="77"/>
      <c r="B331" s="78"/>
      <c r="C331" s="78"/>
      <c r="D331" s="78"/>
      <c r="E331" s="78"/>
      <c r="F331" s="78"/>
      <c r="G331" s="78"/>
      <c r="H331" s="79"/>
      <c r="I331" s="80"/>
      <c r="J331" s="81"/>
      <c r="K331" s="82"/>
      <c r="L331" s="49"/>
      <c r="M331" s="49"/>
      <c r="N331" s="51"/>
    </row>
    <row r="332" spans="1:14">
      <c r="A332" s="77"/>
      <c r="B332" s="78"/>
      <c r="C332" s="78"/>
      <c r="D332" s="78"/>
      <c r="E332" s="78"/>
      <c r="F332" s="78"/>
      <c r="G332" s="78"/>
      <c r="H332" s="79"/>
      <c r="I332" s="80"/>
      <c r="J332" s="81"/>
      <c r="K332" s="82"/>
      <c r="L332" s="49"/>
      <c r="M332" s="49"/>
      <c r="N332" s="51"/>
    </row>
    <row r="333" spans="1:14">
      <c r="A333" s="77"/>
      <c r="B333" s="78"/>
      <c r="C333" s="78"/>
      <c r="D333" s="78"/>
      <c r="E333" s="78"/>
      <c r="F333" s="78"/>
      <c r="G333" s="78"/>
      <c r="H333" s="79"/>
      <c r="I333" s="80"/>
      <c r="J333" s="81"/>
      <c r="K333" s="82"/>
      <c r="L333" s="49"/>
      <c r="M333" s="49"/>
      <c r="N333" s="51"/>
    </row>
    <row r="334" spans="1:14">
      <c r="A334" s="77"/>
      <c r="B334" s="78"/>
      <c r="C334" s="78"/>
      <c r="D334" s="78"/>
      <c r="E334" s="78"/>
      <c r="F334" s="78"/>
      <c r="G334" s="78"/>
      <c r="H334" s="79"/>
      <c r="I334" s="80"/>
      <c r="J334" s="81"/>
      <c r="K334" s="82"/>
      <c r="L334" s="49"/>
      <c r="M334" s="49"/>
      <c r="N334" s="51"/>
    </row>
    <row r="335" spans="1:14">
      <c r="A335" s="77"/>
      <c r="B335" s="78"/>
      <c r="C335" s="78"/>
      <c r="D335" s="78"/>
      <c r="E335" s="78"/>
      <c r="F335" s="78"/>
      <c r="G335" s="78"/>
      <c r="H335" s="79"/>
      <c r="I335" s="80"/>
      <c r="J335" s="81"/>
      <c r="K335" s="82"/>
      <c r="L335" s="49"/>
      <c r="M335" s="49"/>
      <c r="N335" s="51"/>
    </row>
    <row r="336" spans="1:14">
      <c r="A336" s="77"/>
      <c r="B336" s="78"/>
      <c r="C336" s="78"/>
      <c r="D336" s="78"/>
      <c r="E336" s="78"/>
      <c r="F336" s="78"/>
      <c r="G336" s="78"/>
      <c r="H336" s="79"/>
      <c r="I336" s="80"/>
      <c r="J336" s="81"/>
      <c r="K336" s="82"/>
      <c r="L336" s="49"/>
      <c r="M336" s="49"/>
      <c r="N336" s="51"/>
    </row>
    <row r="337" spans="1:14">
      <c r="A337" s="77"/>
      <c r="B337" s="78"/>
      <c r="C337" s="78"/>
      <c r="D337" s="78"/>
      <c r="E337" s="78"/>
      <c r="F337" s="78"/>
      <c r="G337" s="78"/>
      <c r="H337" s="79"/>
      <c r="I337" s="80"/>
      <c r="J337" s="81"/>
      <c r="K337" s="82"/>
      <c r="L337" s="49"/>
      <c r="M337" s="49"/>
      <c r="N337" s="51"/>
    </row>
    <row r="338" spans="1:14">
      <c r="A338" s="77"/>
      <c r="B338" s="78"/>
      <c r="C338" s="78"/>
      <c r="D338" s="78"/>
      <c r="E338" s="78"/>
      <c r="F338" s="78"/>
      <c r="G338" s="78"/>
      <c r="H338" s="79"/>
      <c r="I338" s="80"/>
      <c r="J338" s="81"/>
      <c r="K338" s="82"/>
      <c r="L338" s="49"/>
      <c r="M338" s="49"/>
      <c r="N338" s="51"/>
    </row>
    <row r="339" spans="1:14">
      <c r="A339" s="77"/>
      <c r="B339" s="78"/>
      <c r="C339" s="78"/>
      <c r="D339" s="78"/>
      <c r="E339" s="78"/>
      <c r="F339" s="78"/>
      <c r="G339" s="78"/>
      <c r="H339" s="79"/>
      <c r="I339" s="80"/>
      <c r="J339" s="81"/>
      <c r="K339" s="82"/>
      <c r="L339" s="49"/>
      <c r="M339" s="49"/>
      <c r="N339" s="51"/>
    </row>
    <row r="340" spans="1:14">
      <c r="A340" s="77"/>
      <c r="B340" s="78"/>
      <c r="C340" s="78"/>
      <c r="D340" s="78"/>
      <c r="E340" s="78"/>
      <c r="F340" s="78"/>
      <c r="G340" s="78"/>
      <c r="H340" s="79"/>
      <c r="I340" s="80"/>
      <c r="J340" s="81"/>
      <c r="K340" s="82"/>
      <c r="L340" s="49"/>
      <c r="M340" s="49"/>
      <c r="N340" s="51"/>
    </row>
    <row r="341" spans="1:14">
      <c r="A341" s="77"/>
      <c r="B341" s="78"/>
      <c r="C341" s="78"/>
      <c r="D341" s="78"/>
      <c r="E341" s="78"/>
      <c r="F341" s="78"/>
      <c r="G341" s="78"/>
      <c r="H341" s="79"/>
      <c r="I341" s="80"/>
      <c r="J341" s="81"/>
      <c r="K341" s="82"/>
      <c r="L341" s="49"/>
      <c r="M341" s="49"/>
      <c r="N341" s="51"/>
    </row>
    <row r="342" spans="1:14">
      <c r="A342" s="77"/>
      <c r="B342" s="78"/>
      <c r="C342" s="78"/>
      <c r="D342" s="78"/>
      <c r="E342" s="78"/>
      <c r="F342" s="78"/>
      <c r="G342" s="78"/>
      <c r="H342" s="79"/>
      <c r="I342" s="80"/>
      <c r="J342" s="81"/>
      <c r="K342" s="82"/>
      <c r="L342" s="49"/>
      <c r="M342" s="49"/>
      <c r="N342" s="51"/>
    </row>
    <row r="343" spans="1:14">
      <c r="A343" s="77"/>
      <c r="B343" s="78"/>
      <c r="C343" s="78"/>
      <c r="D343" s="78"/>
      <c r="E343" s="78"/>
      <c r="F343" s="78"/>
      <c r="G343" s="78"/>
      <c r="H343" s="79"/>
      <c r="I343" s="80"/>
      <c r="J343" s="81"/>
      <c r="K343" s="82"/>
      <c r="L343" s="49"/>
      <c r="M343" s="49"/>
      <c r="N343" s="51"/>
    </row>
    <row r="344" spans="1:14">
      <c r="A344" s="77"/>
      <c r="B344" s="78"/>
      <c r="C344" s="78"/>
      <c r="D344" s="78"/>
      <c r="E344" s="78"/>
      <c r="F344" s="78"/>
      <c r="G344" s="78"/>
      <c r="H344" s="79"/>
      <c r="I344" s="80"/>
      <c r="J344" s="81"/>
      <c r="K344" s="82"/>
      <c r="L344" s="49"/>
      <c r="M344" s="49"/>
      <c r="N344" s="51"/>
    </row>
    <row r="345" spans="1:14">
      <c r="A345" s="77"/>
      <c r="B345" s="78"/>
      <c r="C345" s="78"/>
      <c r="D345" s="78"/>
      <c r="E345" s="78"/>
      <c r="F345" s="78"/>
      <c r="G345" s="78"/>
      <c r="H345" s="79"/>
      <c r="I345" s="80"/>
      <c r="J345" s="81"/>
      <c r="K345" s="82"/>
      <c r="L345" s="49"/>
      <c r="M345" s="49"/>
      <c r="N345" s="51"/>
    </row>
    <row r="346" spans="1:14">
      <c r="A346" s="77"/>
      <c r="B346" s="78"/>
      <c r="C346" s="78"/>
      <c r="D346" s="78"/>
      <c r="E346" s="78"/>
      <c r="F346" s="78"/>
      <c r="G346" s="78"/>
      <c r="H346" s="79"/>
      <c r="I346" s="80"/>
      <c r="J346" s="81"/>
      <c r="K346" s="82"/>
      <c r="L346" s="49"/>
      <c r="M346" s="49"/>
      <c r="N346" s="51"/>
    </row>
    <row r="347" spans="1:14">
      <c r="A347" s="77"/>
      <c r="B347" s="78"/>
      <c r="C347" s="78"/>
      <c r="D347" s="78"/>
      <c r="E347" s="78"/>
      <c r="F347" s="78"/>
      <c r="G347" s="78"/>
      <c r="H347" s="79"/>
      <c r="I347" s="80"/>
      <c r="J347" s="81"/>
      <c r="K347" s="82"/>
      <c r="L347" s="49"/>
      <c r="M347" s="49"/>
      <c r="N347" s="51"/>
    </row>
    <row r="348" spans="1:14">
      <c r="A348" s="77"/>
      <c r="B348" s="78"/>
      <c r="C348" s="78"/>
      <c r="D348" s="78"/>
      <c r="E348" s="78"/>
      <c r="F348" s="78"/>
      <c r="G348" s="78"/>
      <c r="H348" s="79"/>
      <c r="I348" s="80"/>
      <c r="J348" s="81"/>
      <c r="K348" s="82"/>
      <c r="L348" s="49"/>
      <c r="M348" s="49"/>
      <c r="N348" s="51"/>
    </row>
    <row r="349" spans="1:14">
      <c r="A349" s="77"/>
      <c r="B349" s="78"/>
      <c r="C349" s="78"/>
      <c r="D349" s="78"/>
      <c r="E349" s="78"/>
      <c r="F349" s="78"/>
      <c r="G349" s="78"/>
      <c r="H349" s="79"/>
      <c r="I349" s="80"/>
      <c r="J349" s="81"/>
      <c r="K349" s="82"/>
      <c r="L349" s="49"/>
      <c r="M349" s="49"/>
      <c r="N349" s="51"/>
    </row>
    <row r="350" spans="1:14">
      <c r="A350" s="77"/>
      <c r="B350" s="78"/>
      <c r="C350" s="78"/>
      <c r="D350" s="78"/>
      <c r="E350" s="78"/>
      <c r="F350" s="78"/>
      <c r="G350" s="78"/>
      <c r="H350" s="79"/>
      <c r="I350" s="80"/>
      <c r="J350" s="81"/>
      <c r="K350" s="82"/>
      <c r="L350" s="49"/>
      <c r="M350" s="49"/>
      <c r="N350" s="51"/>
    </row>
    <row r="351" spans="1:14">
      <c r="A351" s="77"/>
      <c r="B351" s="78"/>
      <c r="C351" s="78"/>
      <c r="D351" s="78"/>
      <c r="E351" s="78"/>
      <c r="F351" s="78"/>
      <c r="G351" s="78"/>
      <c r="H351" s="79"/>
      <c r="I351" s="80"/>
      <c r="J351" s="81"/>
      <c r="K351" s="82"/>
      <c r="L351" s="49"/>
      <c r="M351" s="49"/>
      <c r="N351" s="51"/>
    </row>
    <row r="352" spans="1:14">
      <c r="A352" s="77"/>
      <c r="B352" s="78"/>
      <c r="C352" s="78"/>
      <c r="D352" s="78"/>
      <c r="E352" s="78"/>
      <c r="F352" s="78"/>
      <c r="G352" s="78"/>
      <c r="H352" s="79"/>
      <c r="I352" s="80"/>
      <c r="J352" s="81"/>
      <c r="K352" s="82"/>
      <c r="L352" s="49"/>
      <c r="M352" s="49"/>
      <c r="N352" s="51"/>
    </row>
    <row r="353" spans="1:14">
      <c r="A353" s="77"/>
      <c r="B353" s="78"/>
      <c r="C353" s="78"/>
      <c r="D353" s="78"/>
      <c r="E353" s="78"/>
      <c r="F353" s="78"/>
      <c r="G353" s="78"/>
      <c r="H353" s="79"/>
      <c r="I353" s="80"/>
      <c r="J353" s="81"/>
      <c r="K353" s="82"/>
      <c r="L353" s="49"/>
      <c r="M353" s="49"/>
      <c r="N353" s="51"/>
    </row>
    <row r="354" spans="1:14">
      <c r="A354" s="77"/>
      <c r="B354" s="78"/>
      <c r="C354" s="78"/>
      <c r="D354" s="78"/>
      <c r="E354" s="78"/>
      <c r="F354" s="78"/>
      <c r="G354" s="78"/>
      <c r="H354" s="79"/>
      <c r="I354" s="80"/>
      <c r="J354" s="81"/>
      <c r="K354" s="82"/>
      <c r="L354" s="49"/>
      <c r="M354" s="49"/>
      <c r="N354" s="51"/>
    </row>
    <row r="355" spans="1:14">
      <c r="A355" s="77"/>
      <c r="B355" s="78"/>
      <c r="C355" s="78"/>
      <c r="D355" s="78"/>
      <c r="E355" s="78"/>
      <c r="F355" s="78"/>
      <c r="G355" s="78"/>
      <c r="H355" s="79"/>
      <c r="I355" s="80"/>
      <c r="J355" s="81"/>
      <c r="K355" s="82"/>
      <c r="L355" s="49"/>
      <c r="M355" s="49"/>
      <c r="N355" s="51"/>
    </row>
    <row r="356" spans="1:14">
      <c r="A356" s="77"/>
      <c r="B356" s="78"/>
      <c r="C356" s="78"/>
      <c r="D356" s="78"/>
      <c r="E356" s="78"/>
      <c r="F356" s="78"/>
      <c r="G356" s="78"/>
      <c r="H356" s="79"/>
      <c r="I356" s="80"/>
      <c r="J356" s="81"/>
      <c r="K356" s="82"/>
      <c r="L356" s="49"/>
      <c r="M356" s="49"/>
      <c r="N356" s="51"/>
    </row>
    <row r="357" spans="1:14">
      <c r="A357" s="77"/>
      <c r="B357" s="78"/>
      <c r="C357" s="78"/>
      <c r="D357" s="78"/>
      <c r="E357" s="78"/>
      <c r="F357" s="78"/>
      <c r="G357" s="78"/>
      <c r="H357" s="79"/>
      <c r="I357" s="80"/>
      <c r="J357" s="81"/>
      <c r="K357" s="82"/>
      <c r="L357" s="49"/>
      <c r="M357" s="49"/>
      <c r="N357" s="51"/>
    </row>
    <row r="358" spans="1:14">
      <c r="A358" s="77"/>
      <c r="B358" s="78"/>
      <c r="C358" s="78"/>
      <c r="D358" s="78"/>
      <c r="E358" s="78"/>
      <c r="F358" s="78"/>
      <c r="G358" s="78"/>
      <c r="H358" s="79"/>
      <c r="I358" s="80"/>
      <c r="J358" s="81"/>
      <c r="K358" s="82"/>
      <c r="L358" s="49"/>
      <c r="M358" s="49"/>
      <c r="N358" s="51"/>
    </row>
    <row r="359" spans="1:14">
      <c r="A359" s="77"/>
      <c r="B359" s="78"/>
      <c r="C359" s="78"/>
      <c r="D359" s="78"/>
      <c r="E359" s="78"/>
      <c r="F359" s="78"/>
      <c r="G359" s="78"/>
      <c r="H359" s="79"/>
      <c r="I359" s="80"/>
      <c r="J359" s="81"/>
      <c r="K359" s="82"/>
      <c r="L359" s="49"/>
      <c r="M359" s="49"/>
      <c r="N359" s="51"/>
    </row>
    <row r="360" spans="1:14">
      <c r="A360" s="77"/>
      <c r="B360" s="78"/>
      <c r="C360" s="78"/>
      <c r="D360" s="78"/>
      <c r="E360" s="78"/>
      <c r="F360" s="78"/>
      <c r="G360" s="78"/>
      <c r="H360" s="79"/>
      <c r="I360" s="80"/>
      <c r="J360" s="81"/>
      <c r="K360" s="82"/>
      <c r="L360" s="49"/>
      <c r="M360" s="49"/>
      <c r="N360" s="51"/>
    </row>
    <row r="361" spans="1:14">
      <c r="A361" s="77"/>
      <c r="B361" s="78"/>
      <c r="C361" s="78"/>
      <c r="D361" s="78"/>
      <c r="E361" s="78"/>
      <c r="F361" s="78"/>
      <c r="G361" s="78"/>
      <c r="H361" s="79"/>
      <c r="I361" s="80"/>
      <c r="J361" s="81"/>
      <c r="K361" s="82"/>
      <c r="L361" s="49"/>
      <c r="M361" s="49"/>
      <c r="N361" s="51"/>
    </row>
    <row r="362" spans="1:14">
      <c r="A362" s="77"/>
      <c r="B362" s="78"/>
      <c r="C362" s="78"/>
      <c r="D362" s="78"/>
      <c r="E362" s="78"/>
      <c r="F362" s="78"/>
      <c r="G362" s="78"/>
      <c r="H362" s="79"/>
      <c r="I362" s="80"/>
      <c r="J362" s="81"/>
      <c r="K362" s="82"/>
      <c r="L362" s="49"/>
      <c r="M362" s="49"/>
      <c r="N362" s="51"/>
    </row>
    <row r="363" spans="1:14">
      <c r="A363" s="77"/>
      <c r="B363" s="78"/>
      <c r="C363" s="78"/>
      <c r="D363" s="78"/>
      <c r="E363" s="78"/>
      <c r="F363" s="78"/>
      <c r="G363" s="78"/>
      <c r="H363" s="79"/>
      <c r="I363" s="80"/>
      <c r="J363" s="81"/>
      <c r="K363" s="82"/>
      <c r="L363" s="49"/>
      <c r="M363" s="49"/>
      <c r="N363" s="51"/>
    </row>
    <row r="364" spans="1:14">
      <c r="A364" s="77"/>
      <c r="B364" s="78"/>
      <c r="C364" s="78"/>
      <c r="D364" s="78"/>
      <c r="E364" s="78"/>
      <c r="F364" s="78"/>
      <c r="G364" s="78"/>
      <c r="H364" s="79"/>
      <c r="I364" s="80"/>
      <c r="J364" s="81"/>
      <c r="K364" s="82"/>
      <c r="L364" s="49"/>
      <c r="M364" s="49"/>
      <c r="N364" s="51"/>
    </row>
    <row r="365" spans="1:14">
      <c r="A365" s="77"/>
      <c r="B365" s="78"/>
      <c r="C365" s="78"/>
      <c r="D365" s="78"/>
      <c r="E365" s="78"/>
      <c r="F365" s="78"/>
      <c r="G365" s="78"/>
      <c r="H365" s="79"/>
      <c r="I365" s="80"/>
      <c r="J365" s="81"/>
      <c r="K365" s="82"/>
      <c r="L365" s="49"/>
      <c r="M365" s="49"/>
      <c r="N365" s="51"/>
    </row>
    <row r="366" spans="1:14">
      <c r="A366" s="77"/>
      <c r="B366" s="78"/>
      <c r="C366" s="78"/>
      <c r="D366" s="78"/>
      <c r="E366" s="78"/>
      <c r="F366" s="78"/>
      <c r="G366" s="78"/>
      <c r="H366" s="79"/>
      <c r="I366" s="80"/>
      <c r="J366" s="81"/>
      <c r="K366" s="82"/>
      <c r="L366" s="49"/>
      <c r="M366" s="49"/>
      <c r="N366" s="51"/>
    </row>
    <row r="367" spans="1:14">
      <c r="A367" s="77"/>
      <c r="B367" s="78"/>
      <c r="C367" s="78"/>
      <c r="D367" s="78"/>
      <c r="E367" s="78"/>
      <c r="F367" s="78"/>
      <c r="G367" s="78"/>
      <c r="H367" s="79"/>
      <c r="I367" s="80"/>
      <c r="J367" s="81"/>
      <c r="K367" s="82"/>
      <c r="L367" s="49"/>
      <c r="M367" s="49"/>
      <c r="N367" s="51"/>
    </row>
    <row r="368" spans="1:14">
      <c r="A368" s="77"/>
      <c r="B368" s="78"/>
      <c r="C368" s="78"/>
      <c r="D368" s="78"/>
      <c r="E368" s="78"/>
      <c r="F368" s="78"/>
      <c r="G368" s="78"/>
      <c r="H368" s="79"/>
      <c r="I368" s="80"/>
      <c r="J368" s="81"/>
      <c r="K368" s="82"/>
      <c r="L368" s="49"/>
      <c r="M368" s="49"/>
      <c r="N368" s="51"/>
    </row>
    <row r="369" spans="1:14">
      <c r="A369" s="77"/>
      <c r="B369" s="78"/>
      <c r="C369" s="78"/>
      <c r="D369" s="78"/>
      <c r="E369" s="78"/>
      <c r="F369" s="78"/>
      <c r="G369" s="78"/>
      <c r="H369" s="79"/>
      <c r="I369" s="80"/>
      <c r="J369" s="81"/>
      <c r="K369" s="82"/>
      <c r="L369" s="49"/>
      <c r="M369" s="49"/>
      <c r="N369" s="51"/>
    </row>
    <row r="370" spans="1:14">
      <c r="A370" s="77"/>
      <c r="B370" s="78"/>
      <c r="C370" s="78"/>
      <c r="D370" s="78"/>
      <c r="E370" s="78"/>
      <c r="F370" s="78"/>
      <c r="G370" s="78"/>
      <c r="H370" s="79"/>
      <c r="I370" s="80"/>
      <c r="J370" s="81"/>
      <c r="K370" s="82"/>
      <c r="L370" s="49"/>
      <c r="M370" s="49"/>
      <c r="N370" s="51"/>
    </row>
    <row r="371" spans="1:14">
      <c r="A371" s="77"/>
      <c r="B371" s="78"/>
      <c r="C371" s="78"/>
      <c r="D371" s="78"/>
      <c r="E371" s="78"/>
      <c r="F371" s="78"/>
      <c r="G371" s="78"/>
      <c r="H371" s="79"/>
      <c r="I371" s="80"/>
      <c r="J371" s="81"/>
      <c r="K371" s="82"/>
      <c r="L371" s="49"/>
      <c r="M371" s="49"/>
      <c r="N371" s="51"/>
    </row>
    <row r="372" spans="1:14">
      <c r="A372" s="77"/>
      <c r="B372" s="78"/>
      <c r="C372" s="78"/>
      <c r="D372" s="78"/>
      <c r="E372" s="78"/>
      <c r="F372" s="78"/>
      <c r="G372" s="78"/>
      <c r="H372" s="79"/>
      <c r="I372" s="80"/>
      <c r="J372" s="81"/>
      <c r="K372" s="82"/>
      <c r="L372" s="49"/>
      <c r="M372" s="49"/>
      <c r="N372" s="51"/>
    </row>
    <row r="373" spans="1:14">
      <c r="A373" s="77"/>
      <c r="B373" s="78"/>
      <c r="C373" s="78"/>
      <c r="D373" s="78"/>
      <c r="E373" s="78"/>
      <c r="F373" s="78"/>
      <c r="G373" s="78"/>
      <c r="H373" s="79"/>
      <c r="I373" s="80"/>
      <c r="J373" s="81"/>
      <c r="K373" s="82"/>
      <c r="L373" s="49"/>
      <c r="M373" s="49"/>
      <c r="N373" s="51"/>
    </row>
    <row r="374" spans="1:14">
      <c r="A374" s="77"/>
      <c r="B374" s="78"/>
      <c r="C374" s="78"/>
      <c r="D374" s="78"/>
      <c r="E374" s="78"/>
      <c r="F374" s="78"/>
      <c r="G374" s="78"/>
      <c r="H374" s="79"/>
      <c r="I374" s="80"/>
      <c r="J374" s="81"/>
      <c r="K374" s="82"/>
      <c r="L374" s="49"/>
      <c r="M374" s="49"/>
      <c r="N374" s="51"/>
    </row>
    <row r="375" spans="1:14">
      <c r="A375" s="77"/>
      <c r="B375" s="78"/>
      <c r="C375" s="78"/>
      <c r="D375" s="78"/>
      <c r="E375" s="78"/>
      <c r="F375" s="78"/>
      <c r="G375" s="78"/>
      <c r="H375" s="79"/>
      <c r="I375" s="80"/>
      <c r="J375" s="81"/>
      <c r="K375" s="82"/>
      <c r="L375" s="49"/>
      <c r="M375" s="49"/>
      <c r="N375" s="51"/>
    </row>
    <row r="376" spans="1:14">
      <c r="A376" s="77"/>
      <c r="B376" s="78"/>
      <c r="C376" s="78"/>
      <c r="D376" s="78"/>
      <c r="E376" s="78"/>
      <c r="F376" s="78"/>
      <c r="G376" s="78"/>
      <c r="H376" s="79"/>
      <c r="I376" s="80"/>
      <c r="J376" s="81"/>
      <c r="K376" s="82"/>
      <c r="L376" s="49"/>
      <c r="M376" s="49"/>
      <c r="N376" s="51"/>
    </row>
    <row r="377" spans="1:14">
      <c r="A377" s="77"/>
      <c r="B377" s="78"/>
      <c r="C377" s="78"/>
      <c r="D377" s="78"/>
      <c r="E377" s="78"/>
      <c r="F377" s="78"/>
      <c r="G377" s="78"/>
      <c r="H377" s="79"/>
      <c r="I377" s="80"/>
      <c r="J377" s="81"/>
      <c r="K377" s="82"/>
      <c r="L377" s="49"/>
      <c r="M377" s="49"/>
      <c r="N377" s="51"/>
    </row>
    <row r="378" spans="1:14">
      <c r="A378" s="77"/>
      <c r="B378" s="78"/>
      <c r="C378" s="78"/>
      <c r="D378" s="78"/>
      <c r="E378" s="78"/>
      <c r="F378" s="78"/>
      <c r="G378" s="78"/>
      <c r="H378" s="79"/>
      <c r="I378" s="80"/>
      <c r="J378" s="81"/>
      <c r="K378" s="82"/>
      <c r="L378" s="49"/>
      <c r="M378" s="49"/>
      <c r="N378" s="51"/>
    </row>
    <row r="379" spans="1:14">
      <c r="A379" s="77"/>
      <c r="B379" s="78"/>
      <c r="C379" s="78"/>
      <c r="D379" s="78"/>
      <c r="E379" s="78"/>
      <c r="F379" s="78"/>
      <c r="G379" s="78"/>
      <c r="H379" s="79"/>
      <c r="I379" s="80"/>
      <c r="J379" s="81"/>
      <c r="K379" s="82"/>
      <c r="L379" s="49"/>
      <c r="M379" s="49"/>
      <c r="N379" s="51"/>
    </row>
    <row r="380" spans="1:14">
      <c r="A380" s="77"/>
      <c r="B380" s="78"/>
      <c r="C380" s="78"/>
      <c r="D380" s="78"/>
      <c r="E380" s="78"/>
      <c r="F380" s="78"/>
      <c r="G380" s="78"/>
      <c r="H380" s="79"/>
      <c r="I380" s="80"/>
      <c r="J380" s="81"/>
      <c r="K380" s="82"/>
      <c r="L380" s="49"/>
      <c r="M380" s="49"/>
      <c r="N380" s="51"/>
    </row>
    <row r="381" spans="1:14">
      <c r="A381" s="77"/>
      <c r="B381" s="78"/>
      <c r="C381" s="78"/>
      <c r="D381" s="78"/>
      <c r="E381" s="78"/>
      <c r="F381" s="78"/>
      <c r="G381" s="78"/>
      <c r="H381" s="79"/>
      <c r="I381" s="80"/>
      <c r="J381" s="81"/>
      <c r="K381" s="82"/>
      <c r="L381" s="49"/>
      <c r="M381" s="49"/>
      <c r="N381" s="51"/>
    </row>
    <row r="382" spans="1:14">
      <c r="A382" s="77"/>
      <c r="B382" s="78"/>
      <c r="C382" s="78"/>
      <c r="D382" s="78"/>
      <c r="E382" s="78"/>
      <c r="F382" s="78"/>
      <c r="G382" s="78"/>
      <c r="H382" s="79"/>
      <c r="I382" s="80"/>
      <c r="J382" s="81"/>
      <c r="K382" s="82"/>
      <c r="L382" s="49"/>
      <c r="M382" s="49"/>
      <c r="N382" s="51"/>
    </row>
    <row r="383" spans="1:14">
      <c r="A383" s="77"/>
      <c r="B383" s="78"/>
      <c r="C383" s="78"/>
      <c r="D383" s="78"/>
      <c r="E383" s="78"/>
      <c r="F383" s="78"/>
      <c r="G383" s="78"/>
      <c r="H383" s="79"/>
      <c r="I383" s="80"/>
      <c r="J383" s="81"/>
      <c r="K383" s="82"/>
      <c r="L383" s="49"/>
      <c r="M383" s="49"/>
      <c r="N383" s="51"/>
    </row>
    <row r="384" spans="1:14">
      <c r="A384" s="77"/>
      <c r="B384" s="78"/>
      <c r="C384" s="78"/>
      <c r="D384" s="78"/>
      <c r="E384" s="78"/>
      <c r="F384" s="78"/>
      <c r="G384" s="78"/>
      <c r="H384" s="79"/>
      <c r="I384" s="80"/>
      <c r="J384" s="81"/>
      <c r="K384" s="82"/>
      <c r="L384" s="49"/>
      <c r="M384" s="49"/>
      <c r="N384" s="51"/>
    </row>
    <row r="385" spans="1:14">
      <c r="A385" s="77"/>
      <c r="B385" s="78"/>
      <c r="C385" s="78"/>
      <c r="D385" s="78"/>
      <c r="E385" s="78"/>
      <c r="F385" s="78"/>
      <c r="G385" s="78"/>
      <c r="H385" s="79"/>
      <c r="I385" s="80"/>
      <c r="J385" s="81"/>
      <c r="K385" s="82"/>
      <c r="L385" s="49"/>
      <c r="M385" s="49"/>
      <c r="N385" s="51"/>
    </row>
    <row r="386" spans="1:14">
      <c r="A386" s="77"/>
      <c r="B386" s="78"/>
      <c r="C386" s="78"/>
      <c r="D386" s="78"/>
      <c r="E386" s="78"/>
      <c r="F386" s="78"/>
      <c r="G386" s="78"/>
      <c r="H386" s="79"/>
      <c r="I386" s="80"/>
      <c r="J386" s="81"/>
      <c r="K386" s="82"/>
      <c r="L386" s="49"/>
      <c r="M386" s="49"/>
      <c r="N386" s="51"/>
    </row>
    <row r="387" spans="1:14">
      <c r="A387" s="77"/>
      <c r="B387" s="78"/>
      <c r="C387" s="78"/>
      <c r="D387" s="78"/>
      <c r="E387" s="78"/>
      <c r="F387" s="78"/>
      <c r="G387" s="78"/>
      <c r="H387" s="79"/>
      <c r="I387" s="80"/>
      <c r="J387" s="81"/>
      <c r="K387" s="82"/>
      <c r="L387" s="49"/>
      <c r="M387" s="49"/>
      <c r="N387" s="51"/>
    </row>
    <row r="388" spans="1:14">
      <c r="A388" s="77"/>
      <c r="B388" s="78"/>
      <c r="C388" s="78"/>
      <c r="D388" s="78"/>
      <c r="E388" s="78"/>
      <c r="F388" s="78"/>
      <c r="G388" s="78"/>
      <c r="H388" s="79"/>
      <c r="I388" s="80"/>
      <c r="J388" s="81"/>
      <c r="K388" s="82"/>
      <c r="L388" s="49"/>
      <c r="M388" s="49"/>
      <c r="N388" s="51"/>
    </row>
    <row r="389" spans="1:14">
      <c r="A389" s="77"/>
      <c r="B389" s="78"/>
      <c r="C389" s="78"/>
      <c r="D389" s="78"/>
      <c r="E389" s="78"/>
      <c r="F389" s="78"/>
      <c r="G389" s="78"/>
      <c r="H389" s="79"/>
      <c r="I389" s="80"/>
      <c r="J389" s="81"/>
      <c r="K389" s="82"/>
      <c r="L389" s="49"/>
      <c r="M389" s="49"/>
      <c r="N389" s="51"/>
    </row>
    <row r="390" spans="1:14">
      <c r="A390" s="77"/>
      <c r="B390" s="78"/>
      <c r="C390" s="78"/>
      <c r="D390" s="78"/>
      <c r="E390" s="78"/>
      <c r="F390" s="78"/>
      <c r="G390" s="78"/>
      <c r="H390" s="79"/>
      <c r="I390" s="80"/>
      <c r="J390" s="81"/>
      <c r="K390" s="82"/>
      <c r="L390" s="49"/>
      <c r="M390" s="49"/>
      <c r="N390" s="51"/>
    </row>
    <row r="391" spans="1:14">
      <c r="A391" s="77"/>
      <c r="B391" s="78"/>
      <c r="C391" s="78"/>
      <c r="D391" s="78"/>
      <c r="E391" s="78"/>
      <c r="F391" s="78"/>
      <c r="G391" s="78"/>
      <c r="H391" s="79"/>
      <c r="I391" s="80"/>
      <c r="J391" s="81"/>
      <c r="K391" s="82"/>
      <c r="L391" s="49"/>
      <c r="M391" s="49"/>
      <c r="N391" s="51"/>
    </row>
    <row r="392" spans="1:14">
      <c r="A392" s="77"/>
      <c r="B392" s="78"/>
      <c r="C392" s="78"/>
      <c r="D392" s="78"/>
      <c r="E392" s="78"/>
      <c r="F392" s="78"/>
      <c r="G392" s="78"/>
      <c r="H392" s="79"/>
      <c r="I392" s="80"/>
      <c r="J392" s="81"/>
      <c r="K392" s="82"/>
      <c r="L392" s="49"/>
      <c r="M392" s="49"/>
      <c r="N392" s="51"/>
    </row>
    <row r="393" spans="1:14">
      <c r="A393" s="77"/>
      <c r="B393" s="78"/>
      <c r="C393" s="78"/>
      <c r="D393" s="78"/>
      <c r="E393" s="78"/>
      <c r="F393" s="78"/>
      <c r="G393" s="78"/>
      <c r="H393" s="79"/>
      <c r="I393" s="80"/>
      <c r="J393" s="81"/>
      <c r="K393" s="82"/>
      <c r="L393" s="49"/>
      <c r="M393" s="49"/>
      <c r="N393" s="51"/>
    </row>
    <row r="394" spans="1:14">
      <c r="A394" s="77"/>
      <c r="B394" s="78"/>
      <c r="C394" s="78"/>
      <c r="D394" s="78"/>
      <c r="E394" s="78"/>
      <c r="F394" s="78"/>
      <c r="G394" s="78"/>
      <c r="H394" s="79"/>
      <c r="I394" s="80"/>
      <c r="J394" s="81"/>
      <c r="K394" s="82"/>
      <c r="L394" s="49"/>
      <c r="M394" s="49"/>
      <c r="N394" s="51"/>
    </row>
    <row r="395" spans="1:14">
      <c r="A395" s="77"/>
      <c r="B395" s="78"/>
      <c r="C395" s="78"/>
      <c r="D395" s="78"/>
      <c r="E395" s="78"/>
      <c r="F395" s="78"/>
      <c r="G395" s="78"/>
      <c r="H395" s="79"/>
      <c r="I395" s="80"/>
      <c r="J395" s="81"/>
      <c r="K395" s="82"/>
      <c r="L395" s="49"/>
      <c r="M395" s="49"/>
      <c r="N395" s="51"/>
    </row>
    <row r="396" spans="1:14">
      <c r="A396" s="77"/>
      <c r="B396" s="78"/>
      <c r="C396" s="78"/>
      <c r="D396" s="78"/>
      <c r="E396" s="78"/>
      <c r="F396" s="78"/>
      <c r="G396" s="78"/>
      <c r="H396" s="79"/>
      <c r="I396" s="80"/>
      <c r="J396" s="81"/>
      <c r="K396" s="82"/>
      <c r="L396" s="49"/>
      <c r="M396" s="49"/>
      <c r="N396" s="51"/>
    </row>
    <row r="397" spans="1:14">
      <c r="A397" s="77"/>
      <c r="B397" s="78"/>
      <c r="C397" s="78"/>
      <c r="D397" s="78"/>
      <c r="E397" s="78"/>
      <c r="F397" s="78"/>
      <c r="G397" s="78"/>
      <c r="H397" s="79"/>
      <c r="I397" s="80"/>
      <c r="J397" s="81"/>
      <c r="K397" s="82"/>
      <c r="L397" s="49"/>
      <c r="M397" s="49"/>
      <c r="N397" s="51"/>
    </row>
    <row r="398" spans="1:14">
      <c r="A398" s="77"/>
      <c r="B398" s="78"/>
      <c r="C398" s="78"/>
      <c r="D398" s="78"/>
      <c r="E398" s="78"/>
      <c r="F398" s="78"/>
      <c r="G398" s="78"/>
      <c r="H398" s="79"/>
      <c r="I398" s="80"/>
      <c r="J398" s="81"/>
      <c r="K398" s="82"/>
      <c r="L398" s="49"/>
      <c r="M398" s="49"/>
      <c r="N398" s="51"/>
    </row>
    <row r="399" spans="1:14">
      <c r="A399" s="77"/>
      <c r="B399" s="78"/>
      <c r="C399" s="78"/>
      <c r="D399" s="78"/>
      <c r="E399" s="78"/>
      <c r="F399" s="78"/>
      <c r="G399" s="78"/>
      <c r="H399" s="79"/>
      <c r="I399" s="80"/>
      <c r="J399" s="81"/>
      <c r="K399" s="82"/>
      <c r="L399" s="49"/>
      <c r="M399" s="49"/>
      <c r="N399" s="51"/>
    </row>
    <row r="400" spans="1:14">
      <c r="A400" s="77"/>
      <c r="B400" s="78"/>
      <c r="C400" s="78"/>
      <c r="D400" s="78"/>
      <c r="E400" s="78"/>
      <c r="F400" s="78"/>
      <c r="G400" s="78"/>
      <c r="H400" s="79"/>
      <c r="I400" s="80"/>
      <c r="J400" s="81"/>
      <c r="K400" s="82"/>
      <c r="L400" s="49"/>
      <c r="M400" s="49"/>
      <c r="N400" s="51"/>
    </row>
    <row r="401" spans="1:14">
      <c r="A401" s="77"/>
      <c r="B401" s="78"/>
      <c r="C401" s="78"/>
      <c r="D401" s="78"/>
      <c r="E401" s="78"/>
      <c r="F401" s="78"/>
      <c r="G401" s="78"/>
      <c r="H401" s="79"/>
      <c r="I401" s="80"/>
      <c r="J401" s="81"/>
      <c r="K401" s="82"/>
      <c r="L401" s="49"/>
      <c r="M401" s="49"/>
      <c r="N401" s="51"/>
    </row>
    <row r="402" spans="1:14">
      <c r="A402" s="77"/>
      <c r="B402" s="78"/>
      <c r="C402" s="78"/>
      <c r="D402" s="78"/>
      <c r="E402" s="78"/>
      <c r="F402" s="78"/>
      <c r="G402" s="78"/>
      <c r="H402" s="79"/>
      <c r="I402" s="80"/>
      <c r="J402" s="81"/>
      <c r="K402" s="82"/>
      <c r="L402" s="49"/>
      <c r="M402" s="49"/>
      <c r="N402" s="51"/>
    </row>
    <row r="403" spans="1:14">
      <c r="A403" s="77"/>
      <c r="B403" s="78"/>
      <c r="C403" s="78"/>
      <c r="D403" s="78"/>
      <c r="E403" s="78"/>
      <c r="F403" s="78"/>
      <c r="G403" s="78"/>
      <c r="H403" s="79"/>
      <c r="I403" s="80"/>
      <c r="J403" s="81"/>
      <c r="K403" s="82"/>
      <c r="L403" s="49"/>
      <c r="M403" s="49"/>
      <c r="N403" s="51"/>
    </row>
    <row r="404" spans="1:14">
      <c r="A404" s="77"/>
      <c r="B404" s="78"/>
      <c r="C404" s="78"/>
      <c r="D404" s="78"/>
      <c r="E404" s="78"/>
      <c r="F404" s="78"/>
      <c r="G404" s="78"/>
      <c r="H404" s="79"/>
      <c r="I404" s="80"/>
      <c r="J404" s="81"/>
      <c r="K404" s="82"/>
      <c r="L404" s="49"/>
      <c r="M404" s="49"/>
      <c r="N404" s="51"/>
    </row>
    <row r="405" spans="1:14">
      <c r="A405" s="77"/>
      <c r="B405" s="78"/>
      <c r="C405" s="78"/>
      <c r="D405" s="78"/>
      <c r="E405" s="78"/>
      <c r="F405" s="78"/>
      <c r="G405" s="78"/>
      <c r="H405" s="79"/>
      <c r="I405" s="80"/>
      <c r="J405" s="81"/>
      <c r="K405" s="82"/>
      <c r="L405" s="49"/>
      <c r="M405" s="49"/>
      <c r="N405" s="51"/>
    </row>
    <row r="406" spans="1:14">
      <c r="A406" s="77"/>
      <c r="B406" s="78"/>
      <c r="C406" s="78"/>
      <c r="D406" s="78"/>
      <c r="E406" s="78"/>
      <c r="F406" s="78"/>
      <c r="G406" s="78"/>
      <c r="H406" s="79"/>
      <c r="I406" s="80"/>
      <c r="J406" s="81"/>
      <c r="K406" s="82"/>
      <c r="L406" s="49"/>
      <c r="M406" s="49"/>
      <c r="N406" s="51"/>
    </row>
    <row r="407" spans="1:14">
      <c r="A407" s="77"/>
      <c r="B407" s="78"/>
      <c r="C407" s="78"/>
      <c r="D407" s="78"/>
      <c r="E407" s="78"/>
      <c r="F407" s="78"/>
      <c r="G407" s="78"/>
      <c r="H407" s="79"/>
      <c r="I407" s="80"/>
      <c r="J407" s="81"/>
      <c r="K407" s="82"/>
      <c r="L407" s="49"/>
      <c r="M407" s="49"/>
      <c r="N407" s="51"/>
    </row>
    <row r="408" spans="1:14">
      <c r="A408" s="77"/>
      <c r="B408" s="78"/>
      <c r="C408" s="78"/>
      <c r="D408" s="78"/>
      <c r="E408" s="78"/>
      <c r="F408" s="78"/>
      <c r="G408" s="78"/>
      <c r="H408" s="79"/>
      <c r="I408" s="80"/>
      <c r="J408" s="81"/>
      <c r="K408" s="82"/>
      <c r="L408" s="49"/>
      <c r="M408" s="49"/>
      <c r="N408" s="51"/>
    </row>
    <row r="409" spans="1:14">
      <c r="A409" s="77"/>
      <c r="B409" s="78"/>
      <c r="C409" s="78"/>
      <c r="D409" s="78"/>
      <c r="E409" s="78"/>
      <c r="F409" s="78"/>
      <c r="G409" s="78"/>
      <c r="H409" s="79"/>
      <c r="I409" s="80"/>
      <c r="J409" s="81"/>
      <c r="K409" s="82"/>
      <c r="L409" s="49"/>
      <c r="M409" s="49"/>
      <c r="N409" s="51"/>
    </row>
    <row r="410" spans="1:14">
      <c r="A410" s="77"/>
      <c r="B410" s="78"/>
      <c r="C410" s="78"/>
      <c r="D410" s="78"/>
      <c r="E410" s="78"/>
      <c r="F410" s="78"/>
      <c r="G410" s="78"/>
      <c r="H410" s="79"/>
      <c r="I410" s="80"/>
      <c r="J410" s="81"/>
      <c r="K410" s="82"/>
      <c r="L410" s="49"/>
      <c r="M410" s="49"/>
      <c r="N410" s="51"/>
    </row>
    <row r="411" spans="1:14">
      <c r="A411" s="77"/>
      <c r="B411" s="78"/>
      <c r="C411" s="78"/>
      <c r="D411" s="78"/>
      <c r="E411" s="78"/>
      <c r="F411" s="78"/>
      <c r="G411" s="78"/>
      <c r="H411" s="79"/>
      <c r="I411" s="80"/>
      <c r="J411" s="81"/>
      <c r="K411" s="82"/>
      <c r="L411" s="49"/>
      <c r="M411" s="49"/>
      <c r="N411" s="51"/>
    </row>
    <row r="412" spans="1:14">
      <c r="A412" s="77"/>
      <c r="B412" s="78"/>
      <c r="C412" s="78"/>
      <c r="D412" s="78"/>
      <c r="E412" s="78"/>
      <c r="F412" s="78"/>
      <c r="G412" s="78"/>
      <c r="H412" s="79"/>
      <c r="I412" s="80"/>
      <c r="J412" s="81"/>
      <c r="K412" s="82"/>
      <c r="L412" s="49"/>
      <c r="M412" s="49"/>
      <c r="N412" s="51"/>
    </row>
    <row r="413" spans="1:14">
      <c r="A413" s="77"/>
      <c r="B413" s="78"/>
      <c r="C413" s="78"/>
      <c r="D413" s="78"/>
      <c r="E413" s="78"/>
      <c r="F413" s="78"/>
      <c r="G413" s="78"/>
      <c r="H413" s="79"/>
      <c r="I413" s="80"/>
      <c r="J413" s="81"/>
      <c r="K413" s="82"/>
      <c r="L413" s="49"/>
      <c r="M413" s="49"/>
      <c r="N413" s="51"/>
    </row>
    <row r="414" spans="1:14">
      <c r="A414" s="77"/>
      <c r="B414" s="78"/>
      <c r="C414" s="78"/>
      <c r="D414" s="78"/>
      <c r="E414" s="78"/>
      <c r="F414" s="78"/>
      <c r="G414" s="78"/>
      <c r="H414" s="79"/>
      <c r="I414" s="80"/>
      <c r="J414" s="81"/>
      <c r="K414" s="82"/>
      <c r="L414" s="49"/>
      <c r="M414" s="49"/>
      <c r="N414" s="51"/>
    </row>
    <row r="415" spans="1:14">
      <c r="A415" s="77"/>
      <c r="B415" s="78"/>
      <c r="C415" s="78"/>
      <c r="D415" s="78"/>
      <c r="E415" s="78"/>
      <c r="F415" s="78"/>
      <c r="G415" s="78"/>
      <c r="H415" s="79"/>
      <c r="I415" s="80"/>
      <c r="J415" s="81"/>
      <c r="K415" s="82"/>
      <c r="L415" s="49"/>
      <c r="M415" s="49"/>
      <c r="N415" s="51"/>
    </row>
    <row r="416" spans="1:14">
      <c r="A416" s="77"/>
      <c r="B416" s="78"/>
      <c r="C416" s="78"/>
      <c r="D416" s="78"/>
      <c r="E416" s="78"/>
      <c r="F416" s="78"/>
      <c r="G416" s="78"/>
      <c r="H416" s="79"/>
      <c r="I416" s="80"/>
      <c r="J416" s="81"/>
      <c r="K416" s="82"/>
      <c r="L416" s="49"/>
      <c r="M416" s="49"/>
      <c r="N416" s="51"/>
    </row>
    <row r="417" spans="1:14">
      <c r="A417" s="77"/>
      <c r="B417" s="78"/>
      <c r="C417" s="78"/>
      <c r="D417" s="78"/>
      <c r="E417" s="78"/>
      <c r="F417" s="78"/>
      <c r="G417" s="78"/>
      <c r="H417" s="79"/>
      <c r="I417" s="80"/>
      <c r="J417" s="81"/>
      <c r="K417" s="82"/>
      <c r="L417" s="49"/>
      <c r="M417" s="49"/>
      <c r="N417" s="51"/>
    </row>
    <row r="418" spans="1:14">
      <c r="A418" s="77"/>
      <c r="B418" s="78"/>
      <c r="C418" s="78"/>
      <c r="D418" s="78"/>
      <c r="E418" s="78"/>
      <c r="F418" s="78"/>
      <c r="G418" s="78"/>
      <c r="H418" s="79"/>
      <c r="I418" s="80"/>
      <c r="J418" s="81"/>
      <c r="K418" s="82"/>
      <c r="L418" s="49"/>
      <c r="M418" s="49"/>
      <c r="N418" s="51"/>
    </row>
    <row r="419" spans="1:14">
      <c r="A419" s="77"/>
      <c r="B419" s="78"/>
      <c r="C419" s="78"/>
      <c r="D419" s="78"/>
      <c r="E419" s="78"/>
      <c r="F419" s="78"/>
      <c r="G419" s="78"/>
      <c r="H419" s="79"/>
      <c r="I419" s="80"/>
      <c r="J419" s="81"/>
      <c r="K419" s="82"/>
      <c r="L419" s="49"/>
      <c r="M419" s="49"/>
      <c r="N419" s="51"/>
    </row>
    <row r="420" spans="1:14">
      <c r="A420" s="77"/>
      <c r="B420" s="78"/>
      <c r="C420" s="78"/>
      <c r="D420" s="78"/>
      <c r="E420" s="78"/>
      <c r="F420" s="78"/>
      <c r="G420" s="78"/>
      <c r="H420" s="79"/>
      <c r="I420" s="80"/>
      <c r="J420" s="81"/>
      <c r="K420" s="82"/>
      <c r="L420" s="49"/>
      <c r="M420" s="49"/>
      <c r="N420" s="51"/>
    </row>
    <row r="421" spans="1:14">
      <c r="A421" s="77"/>
      <c r="B421" s="78"/>
      <c r="C421" s="78"/>
      <c r="D421" s="78"/>
      <c r="E421" s="78"/>
      <c r="F421" s="78"/>
      <c r="G421" s="78"/>
      <c r="H421" s="79"/>
      <c r="I421" s="80"/>
      <c r="J421" s="81"/>
      <c r="K421" s="82"/>
      <c r="L421" s="49"/>
      <c r="M421" s="49"/>
      <c r="N421" s="51"/>
    </row>
    <row r="422" spans="1:14">
      <c r="A422" s="77"/>
      <c r="B422" s="78"/>
      <c r="C422" s="78"/>
      <c r="D422" s="78"/>
      <c r="E422" s="78"/>
      <c r="F422" s="78"/>
      <c r="G422" s="78"/>
      <c r="H422" s="79"/>
      <c r="I422" s="80"/>
      <c r="J422" s="81"/>
      <c r="K422" s="82"/>
      <c r="L422" s="49"/>
      <c r="M422" s="49"/>
      <c r="N422" s="51"/>
    </row>
    <row r="423" spans="1:14">
      <c r="A423" s="77"/>
      <c r="B423" s="78"/>
      <c r="C423" s="78"/>
      <c r="D423" s="78"/>
      <c r="E423" s="78"/>
      <c r="F423" s="78"/>
      <c r="G423" s="78"/>
      <c r="H423" s="79"/>
      <c r="I423" s="80"/>
      <c r="J423" s="81"/>
      <c r="K423" s="82"/>
      <c r="L423" s="49"/>
      <c r="M423" s="49"/>
      <c r="N423" s="51"/>
    </row>
    <row r="424" spans="1:14">
      <c r="A424" s="77"/>
      <c r="B424" s="78"/>
      <c r="C424" s="78"/>
      <c r="D424" s="78"/>
      <c r="E424" s="78"/>
      <c r="F424" s="78"/>
      <c r="G424" s="78"/>
      <c r="H424" s="79"/>
      <c r="I424" s="80"/>
      <c r="J424" s="81"/>
      <c r="K424" s="82"/>
      <c r="L424" s="49"/>
      <c r="M424" s="49"/>
      <c r="N424" s="51"/>
    </row>
    <row r="425" spans="1:14">
      <c r="A425" s="77"/>
      <c r="B425" s="78"/>
      <c r="C425" s="78"/>
      <c r="D425" s="78"/>
      <c r="E425" s="78"/>
      <c r="F425" s="78"/>
      <c r="G425" s="78"/>
      <c r="H425" s="79"/>
      <c r="I425" s="80"/>
      <c r="J425" s="81"/>
      <c r="K425" s="82"/>
      <c r="L425" s="49"/>
      <c r="M425" s="49"/>
      <c r="N425" s="51"/>
    </row>
    <row r="426" spans="1:14">
      <c r="A426" s="77"/>
      <c r="B426" s="78"/>
      <c r="C426" s="78"/>
      <c r="D426" s="78"/>
      <c r="E426" s="78"/>
      <c r="F426" s="78"/>
      <c r="G426" s="78"/>
      <c r="H426" s="79"/>
      <c r="I426" s="80"/>
      <c r="J426" s="81"/>
      <c r="K426" s="82"/>
      <c r="L426" s="49"/>
      <c r="M426" s="49"/>
      <c r="N426" s="51"/>
    </row>
    <row r="427" spans="1:14">
      <c r="A427" s="77"/>
      <c r="B427" s="78"/>
      <c r="C427" s="78"/>
      <c r="D427" s="78"/>
      <c r="E427" s="78"/>
      <c r="F427" s="78"/>
      <c r="G427" s="78"/>
      <c r="H427" s="79"/>
      <c r="I427" s="80"/>
      <c r="J427" s="81"/>
      <c r="K427" s="82"/>
      <c r="L427" s="49"/>
      <c r="M427" s="49"/>
      <c r="N427" s="51"/>
    </row>
    <row r="428" spans="1:14">
      <c r="A428" s="77"/>
      <c r="B428" s="78"/>
      <c r="C428" s="78"/>
      <c r="D428" s="78"/>
      <c r="E428" s="78"/>
      <c r="F428" s="78"/>
      <c r="G428" s="78"/>
      <c r="H428" s="79"/>
      <c r="I428" s="80"/>
      <c r="J428" s="81"/>
      <c r="K428" s="82"/>
      <c r="L428" s="49"/>
      <c r="M428" s="49"/>
      <c r="N428" s="51"/>
    </row>
    <row r="429" spans="1:14">
      <c r="A429" s="77"/>
      <c r="B429" s="78"/>
      <c r="C429" s="78"/>
      <c r="D429" s="78"/>
      <c r="E429" s="78"/>
      <c r="F429" s="78"/>
      <c r="G429" s="78"/>
      <c r="H429" s="79"/>
      <c r="I429" s="80"/>
      <c r="J429" s="81"/>
      <c r="K429" s="82"/>
      <c r="L429" s="49"/>
      <c r="M429" s="49"/>
      <c r="N429" s="51"/>
    </row>
    <row r="430" spans="1:14">
      <c r="A430" s="77"/>
      <c r="B430" s="78"/>
      <c r="C430" s="78"/>
      <c r="D430" s="78"/>
      <c r="E430" s="78"/>
      <c r="F430" s="78"/>
      <c r="G430" s="78"/>
      <c r="H430" s="79"/>
      <c r="I430" s="80"/>
      <c r="J430" s="81"/>
      <c r="K430" s="82"/>
      <c r="L430" s="49"/>
      <c r="M430" s="49"/>
      <c r="N430" s="51"/>
    </row>
    <row r="431" spans="1:14">
      <c r="A431" s="77"/>
      <c r="B431" s="78"/>
      <c r="C431" s="78"/>
      <c r="D431" s="78"/>
      <c r="E431" s="78"/>
      <c r="F431" s="78"/>
      <c r="G431" s="78"/>
      <c r="H431" s="79"/>
      <c r="I431" s="80"/>
      <c r="J431" s="81"/>
      <c r="K431" s="82"/>
      <c r="L431" s="49"/>
      <c r="M431" s="49"/>
      <c r="N431" s="51"/>
    </row>
    <row r="432" spans="1:14">
      <c r="A432" s="77"/>
      <c r="B432" s="78"/>
      <c r="C432" s="78"/>
      <c r="D432" s="78"/>
      <c r="E432" s="78"/>
      <c r="F432" s="78"/>
      <c r="G432" s="78"/>
      <c r="H432" s="79"/>
      <c r="I432" s="80"/>
      <c r="J432" s="81"/>
      <c r="K432" s="82"/>
      <c r="L432" s="49"/>
      <c r="M432" s="49"/>
      <c r="N432" s="51"/>
    </row>
    <row r="433" spans="1:14">
      <c r="A433" s="77"/>
      <c r="B433" s="78"/>
      <c r="C433" s="78"/>
      <c r="D433" s="78"/>
      <c r="E433" s="78"/>
      <c r="F433" s="78"/>
      <c r="G433" s="78"/>
      <c r="H433" s="79"/>
      <c r="I433" s="80"/>
      <c r="J433" s="81"/>
      <c r="K433" s="82"/>
      <c r="L433" s="49"/>
      <c r="M433" s="49"/>
      <c r="N433" s="51"/>
    </row>
    <row r="434" spans="1:14">
      <c r="A434" s="77"/>
      <c r="B434" s="78"/>
      <c r="C434" s="78"/>
      <c r="D434" s="78"/>
      <c r="E434" s="78"/>
      <c r="F434" s="78"/>
      <c r="G434" s="78"/>
      <c r="H434" s="79"/>
      <c r="I434" s="80"/>
      <c r="J434" s="81"/>
      <c r="K434" s="82"/>
      <c r="L434" s="49"/>
      <c r="M434" s="49"/>
      <c r="N434" s="51"/>
    </row>
    <row r="435" spans="1:14">
      <c r="A435" s="77"/>
      <c r="B435" s="78"/>
      <c r="C435" s="78"/>
      <c r="D435" s="78"/>
      <c r="E435" s="78"/>
      <c r="F435" s="78"/>
      <c r="G435" s="78"/>
      <c r="H435" s="79"/>
      <c r="I435" s="80"/>
      <c r="J435" s="81"/>
      <c r="K435" s="82"/>
      <c r="L435" s="49"/>
      <c r="M435" s="49"/>
      <c r="N435" s="51"/>
    </row>
    <row r="436" spans="1:14">
      <c r="A436" s="77"/>
      <c r="B436" s="78"/>
      <c r="C436" s="78"/>
      <c r="D436" s="78"/>
      <c r="E436" s="78"/>
      <c r="F436" s="78"/>
      <c r="G436" s="78"/>
      <c r="H436" s="79"/>
      <c r="I436" s="80"/>
      <c r="J436" s="81"/>
      <c r="K436" s="82"/>
      <c r="L436" s="49"/>
      <c r="M436" s="49"/>
      <c r="N436" s="51"/>
    </row>
    <row r="437" spans="1:14">
      <c r="A437" s="77"/>
      <c r="B437" s="78"/>
      <c r="C437" s="78"/>
      <c r="D437" s="78"/>
      <c r="E437" s="78"/>
      <c r="F437" s="78"/>
      <c r="G437" s="78"/>
      <c r="H437" s="79"/>
      <c r="I437" s="80"/>
      <c r="J437" s="81"/>
      <c r="K437" s="82"/>
      <c r="L437" s="49"/>
      <c r="M437" s="49"/>
      <c r="N437" s="51"/>
    </row>
    <row r="438" spans="1:14">
      <c r="A438" s="77"/>
      <c r="B438" s="78"/>
      <c r="C438" s="78"/>
      <c r="D438" s="78"/>
      <c r="E438" s="78"/>
      <c r="F438" s="78"/>
      <c r="G438" s="78"/>
      <c r="H438" s="79"/>
      <c r="I438" s="80"/>
      <c r="J438" s="81"/>
      <c r="K438" s="82"/>
      <c r="L438" s="49"/>
      <c r="M438" s="49"/>
      <c r="N438" s="51"/>
    </row>
    <row r="439" spans="1:14">
      <c r="A439" s="77"/>
      <c r="B439" s="78"/>
      <c r="C439" s="78"/>
      <c r="D439" s="78"/>
      <c r="E439" s="78"/>
      <c r="F439" s="78"/>
      <c r="G439" s="78"/>
      <c r="H439" s="79"/>
      <c r="I439" s="80"/>
      <c r="J439" s="81"/>
      <c r="K439" s="82"/>
      <c r="L439" s="49"/>
      <c r="M439" s="49"/>
      <c r="N439" s="51"/>
    </row>
    <row r="440" spans="1:14">
      <c r="A440" s="77"/>
      <c r="B440" s="78"/>
      <c r="C440" s="78"/>
      <c r="D440" s="78"/>
      <c r="E440" s="78"/>
      <c r="F440" s="78"/>
      <c r="G440" s="78"/>
      <c r="H440" s="79"/>
      <c r="I440" s="80"/>
      <c r="J440" s="81"/>
      <c r="K440" s="82"/>
      <c r="L440" s="49"/>
      <c r="M440" s="49"/>
      <c r="N440" s="51"/>
    </row>
    <row r="441" spans="1:14">
      <c r="A441" s="77"/>
      <c r="B441" s="78"/>
      <c r="C441" s="78"/>
      <c r="D441" s="78"/>
      <c r="E441" s="78"/>
      <c r="F441" s="78"/>
      <c r="G441" s="78"/>
      <c r="H441" s="79"/>
      <c r="I441" s="80"/>
      <c r="J441" s="81"/>
      <c r="K441" s="82"/>
      <c r="L441" s="49"/>
      <c r="M441" s="49"/>
      <c r="N441" s="51"/>
    </row>
    <row r="442" spans="1:14">
      <c r="A442" s="77"/>
      <c r="B442" s="78"/>
      <c r="C442" s="78"/>
      <c r="D442" s="78"/>
      <c r="E442" s="78"/>
      <c r="F442" s="78"/>
      <c r="G442" s="78"/>
      <c r="H442" s="79"/>
      <c r="I442" s="80"/>
      <c r="J442" s="81"/>
      <c r="K442" s="82"/>
      <c r="L442" s="49"/>
      <c r="M442" s="49"/>
      <c r="N442" s="51"/>
    </row>
    <row r="443" spans="1:14">
      <c r="A443" s="77"/>
      <c r="B443" s="78"/>
      <c r="C443" s="78"/>
      <c r="D443" s="78"/>
      <c r="E443" s="78"/>
      <c r="F443" s="78"/>
      <c r="G443" s="78"/>
      <c r="H443" s="79"/>
      <c r="I443" s="80"/>
      <c r="J443" s="81"/>
      <c r="K443" s="82"/>
      <c r="L443" s="49"/>
      <c r="M443" s="49"/>
      <c r="N443" s="51"/>
    </row>
    <row r="444" spans="1:14">
      <c r="A444" s="77"/>
      <c r="B444" s="78"/>
      <c r="C444" s="78"/>
      <c r="D444" s="78"/>
      <c r="E444" s="78"/>
      <c r="F444" s="78"/>
      <c r="G444" s="78"/>
      <c r="H444" s="79"/>
      <c r="I444" s="80"/>
      <c r="J444" s="81"/>
      <c r="K444" s="82"/>
      <c r="L444" s="49"/>
      <c r="M444" s="49"/>
      <c r="N444" s="51"/>
    </row>
    <row r="445" spans="1:14">
      <c r="A445" s="77"/>
      <c r="B445" s="78"/>
      <c r="C445" s="78"/>
      <c r="D445" s="78"/>
      <c r="E445" s="78"/>
      <c r="F445" s="78"/>
      <c r="G445" s="78"/>
      <c r="H445" s="79"/>
      <c r="I445" s="80"/>
      <c r="J445" s="81"/>
      <c r="K445" s="82"/>
      <c r="L445" s="49"/>
      <c r="M445" s="49"/>
      <c r="N445" s="51"/>
    </row>
    <row r="446" spans="1:14">
      <c r="A446" s="77"/>
      <c r="B446" s="78"/>
      <c r="C446" s="78"/>
      <c r="D446" s="78"/>
      <c r="E446" s="78"/>
      <c r="F446" s="78"/>
      <c r="G446" s="78"/>
      <c r="H446" s="79"/>
      <c r="I446" s="80"/>
      <c r="J446" s="81"/>
      <c r="K446" s="82"/>
      <c r="L446" s="49"/>
      <c r="M446" s="49"/>
      <c r="N446" s="51"/>
    </row>
    <row r="447" spans="1:14">
      <c r="A447" s="77"/>
      <c r="B447" s="78"/>
      <c r="C447" s="78"/>
      <c r="D447" s="78"/>
      <c r="E447" s="78"/>
      <c r="F447" s="78"/>
      <c r="G447" s="78"/>
      <c r="H447" s="79"/>
      <c r="I447" s="80"/>
      <c r="J447" s="81"/>
      <c r="K447" s="82"/>
      <c r="L447" s="49"/>
      <c r="M447" s="49"/>
      <c r="N447" s="51"/>
    </row>
    <row r="448" spans="1:14">
      <c r="A448" s="77"/>
      <c r="B448" s="78"/>
      <c r="C448" s="78"/>
      <c r="D448" s="78"/>
      <c r="E448" s="78"/>
      <c r="F448" s="78"/>
      <c r="G448" s="78"/>
      <c r="H448" s="79"/>
      <c r="I448" s="80"/>
      <c r="J448" s="81"/>
      <c r="K448" s="82"/>
      <c r="L448" s="49"/>
      <c r="M448" s="49"/>
      <c r="N448" s="51"/>
    </row>
    <row r="449" spans="1:14">
      <c r="A449" s="77"/>
      <c r="B449" s="78"/>
      <c r="C449" s="78"/>
      <c r="D449" s="78"/>
      <c r="E449" s="78"/>
      <c r="F449" s="78"/>
      <c r="G449" s="78"/>
      <c r="H449" s="79"/>
      <c r="I449" s="80"/>
      <c r="J449" s="81"/>
      <c r="K449" s="82"/>
      <c r="L449" s="49"/>
      <c r="M449" s="49"/>
      <c r="N449" s="51"/>
    </row>
    <row r="450" spans="1:14">
      <c r="A450" s="77"/>
      <c r="B450" s="78"/>
      <c r="C450" s="78"/>
      <c r="D450" s="78"/>
      <c r="E450" s="78"/>
      <c r="F450" s="78"/>
      <c r="G450" s="78"/>
      <c r="H450" s="79"/>
      <c r="I450" s="80"/>
      <c r="J450" s="81"/>
      <c r="K450" s="82"/>
      <c r="L450" s="49"/>
      <c r="M450" s="49"/>
      <c r="N450" s="51"/>
    </row>
    <row r="451" spans="1:14">
      <c r="A451" s="77"/>
      <c r="B451" s="78"/>
      <c r="C451" s="78"/>
      <c r="D451" s="78"/>
      <c r="E451" s="78"/>
      <c r="F451" s="78"/>
      <c r="G451" s="78"/>
      <c r="H451" s="79"/>
      <c r="I451" s="80"/>
      <c r="J451" s="81"/>
      <c r="K451" s="82"/>
      <c r="L451" s="49"/>
      <c r="M451" s="49"/>
      <c r="N451" s="51"/>
    </row>
    <row r="452" spans="1:14">
      <c r="A452" s="77"/>
      <c r="B452" s="78"/>
      <c r="C452" s="78"/>
      <c r="D452" s="78"/>
      <c r="E452" s="78"/>
      <c r="F452" s="78"/>
      <c r="G452" s="78"/>
      <c r="H452" s="79"/>
      <c r="I452" s="80"/>
      <c r="J452" s="81"/>
      <c r="K452" s="82"/>
      <c r="L452" s="49"/>
      <c r="M452" s="49"/>
      <c r="N452" s="51"/>
    </row>
    <row r="453" spans="1:14">
      <c r="A453" s="77"/>
      <c r="B453" s="78"/>
      <c r="C453" s="78"/>
      <c r="D453" s="78"/>
      <c r="E453" s="78"/>
      <c r="F453" s="78"/>
      <c r="G453" s="78"/>
      <c r="H453" s="79"/>
      <c r="I453" s="80"/>
      <c r="J453" s="81"/>
      <c r="K453" s="82"/>
      <c r="L453" s="49"/>
      <c r="M453" s="49"/>
      <c r="N453" s="51"/>
    </row>
    <row r="454" spans="1:14">
      <c r="A454" s="77"/>
      <c r="B454" s="78"/>
      <c r="C454" s="78"/>
      <c r="D454" s="78"/>
      <c r="E454" s="78"/>
      <c r="F454" s="78"/>
      <c r="G454" s="78"/>
      <c r="H454" s="79"/>
      <c r="I454" s="80"/>
      <c r="J454" s="81"/>
      <c r="K454" s="82"/>
      <c r="L454" s="49"/>
      <c r="M454" s="49"/>
      <c r="N454" s="51"/>
    </row>
    <row r="455" spans="1:14">
      <c r="A455" s="77"/>
      <c r="B455" s="78"/>
      <c r="C455" s="78"/>
      <c r="D455" s="78"/>
      <c r="E455" s="78"/>
      <c r="F455" s="78"/>
      <c r="G455" s="78"/>
      <c r="H455" s="79"/>
      <c r="I455" s="80"/>
      <c r="J455" s="81"/>
      <c r="K455" s="82"/>
      <c r="L455" s="49"/>
      <c r="M455" s="49"/>
      <c r="N455" s="51"/>
    </row>
    <row r="456" spans="1:14">
      <c r="A456" s="77"/>
      <c r="B456" s="78"/>
      <c r="C456" s="78"/>
      <c r="D456" s="78"/>
      <c r="E456" s="78"/>
      <c r="F456" s="78"/>
      <c r="G456" s="78"/>
      <c r="H456" s="79"/>
      <c r="I456" s="80"/>
      <c r="J456" s="81"/>
      <c r="K456" s="82"/>
      <c r="L456" s="49"/>
      <c r="M456" s="49"/>
      <c r="N456" s="51"/>
    </row>
    <row r="457" spans="1:14">
      <c r="A457" s="77"/>
      <c r="B457" s="78"/>
      <c r="C457" s="78"/>
      <c r="D457" s="78"/>
      <c r="E457" s="78"/>
      <c r="F457" s="78"/>
      <c r="G457" s="78"/>
      <c r="H457" s="79"/>
      <c r="I457" s="80"/>
      <c r="J457" s="81"/>
      <c r="K457" s="82"/>
      <c r="L457" s="49"/>
      <c r="M457" s="49"/>
      <c r="N457" s="51"/>
    </row>
    <row r="458" spans="1:14">
      <c r="A458" s="77"/>
      <c r="B458" s="78"/>
      <c r="C458" s="78"/>
      <c r="D458" s="78"/>
      <c r="E458" s="78"/>
      <c r="F458" s="78"/>
      <c r="G458" s="78"/>
      <c r="H458" s="79"/>
      <c r="I458" s="80"/>
      <c r="J458" s="81"/>
      <c r="K458" s="82"/>
      <c r="L458" s="49"/>
      <c r="M458" s="49"/>
      <c r="N458" s="51"/>
    </row>
    <row r="459" spans="1:14">
      <c r="A459" s="77"/>
      <c r="B459" s="78"/>
      <c r="C459" s="78"/>
      <c r="D459" s="78"/>
      <c r="E459" s="78"/>
      <c r="F459" s="78"/>
      <c r="G459" s="78"/>
      <c r="H459" s="79"/>
      <c r="I459" s="80"/>
      <c r="J459" s="81"/>
      <c r="K459" s="82"/>
      <c r="L459" s="49"/>
      <c r="M459" s="49"/>
      <c r="N459" s="51"/>
    </row>
    <row r="460" spans="1:14">
      <c r="A460" s="77"/>
      <c r="B460" s="78"/>
      <c r="C460" s="78"/>
      <c r="D460" s="78"/>
      <c r="E460" s="78"/>
      <c r="F460" s="78"/>
      <c r="G460" s="78"/>
      <c r="H460" s="79"/>
      <c r="I460" s="80"/>
      <c r="J460" s="81"/>
      <c r="K460" s="82"/>
      <c r="L460" s="49"/>
      <c r="M460" s="49"/>
      <c r="N460" s="51"/>
    </row>
    <row r="461" spans="1:14">
      <c r="A461" s="77"/>
      <c r="B461" s="78"/>
      <c r="C461" s="78"/>
      <c r="D461" s="78"/>
      <c r="E461" s="78"/>
      <c r="F461" s="78"/>
      <c r="G461" s="78"/>
      <c r="H461" s="79"/>
      <c r="I461" s="80"/>
      <c r="J461" s="81"/>
      <c r="K461" s="82"/>
      <c r="L461" s="49"/>
      <c r="M461" s="49"/>
      <c r="N461" s="51"/>
    </row>
    <row r="462" spans="1:14">
      <c r="A462" s="77"/>
      <c r="B462" s="78"/>
      <c r="C462" s="78"/>
      <c r="D462" s="78"/>
      <c r="E462" s="78"/>
      <c r="F462" s="78"/>
      <c r="G462" s="78"/>
      <c r="H462" s="79"/>
      <c r="I462" s="80"/>
      <c r="J462" s="81"/>
      <c r="K462" s="82"/>
      <c r="L462" s="49"/>
      <c r="M462" s="49"/>
      <c r="N462" s="51"/>
    </row>
    <row r="463" spans="1:14">
      <c r="A463" s="77"/>
      <c r="B463" s="78"/>
      <c r="C463" s="78"/>
      <c r="D463" s="78"/>
      <c r="E463" s="78"/>
      <c r="F463" s="78"/>
      <c r="G463" s="78"/>
      <c r="H463" s="79"/>
      <c r="I463" s="80"/>
      <c r="J463" s="81"/>
      <c r="K463" s="82"/>
      <c r="L463" s="49"/>
      <c r="M463" s="49"/>
      <c r="N463" s="51"/>
    </row>
    <row r="464" spans="1:14">
      <c r="A464" s="77"/>
      <c r="B464" s="78"/>
      <c r="C464" s="78"/>
      <c r="D464" s="78"/>
      <c r="E464" s="78"/>
      <c r="F464" s="78"/>
      <c r="G464" s="78"/>
      <c r="H464" s="79"/>
      <c r="I464" s="80"/>
      <c r="J464" s="81"/>
      <c r="K464" s="82"/>
      <c r="L464" s="49"/>
      <c r="M464" s="49"/>
      <c r="N464" s="51"/>
    </row>
    <row r="465" spans="1:14">
      <c r="A465" s="77"/>
      <c r="B465" s="78"/>
      <c r="C465" s="78"/>
      <c r="D465" s="78"/>
      <c r="E465" s="78"/>
      <c r="F465" s="78"/>
      <c r="G465" s="78"/>
      <c r="H465" s="79"/>
      <c r="I465" s="80"/>
      <c r="J465" s="81"/>
      <c r="K465" s="82"/>
      <c r="L465" s="49"/>
      <c r="M465" s="49"/>
      <c r="N465" s="51"/>
    </row>
    <row r="466" spans="1:14">
      <c r="A466" s="77"/>
      <c r="B466" s="78"/>
      <c r="C466" s="78"/>
      <c r="D466" s="78"/>
      <c r="E466" s="78"/>
      <c r="F466" s="78"/>
      <c r="G466" s="78"/>
      <c r="H466" s="79"/>
      <c r="I466" s="80"/>
      <c r="J466" s="81"/>
      <c r="K466" s="82"/>
      <c r="L466" s="49"/>
      <c r="M466" s="49"/>
      <c r="N466" s="51"/>
    </row>
    <row r="467" spans="1:14">
      <c r="A467" s="77"/>
      <c r="B467" s="78"/>
      <c r="C467" s="78"/>
      <c r="D467" s="78"/>
      <c r="E467" s="78"/>
      <c r="F467" s="78"/>
      <c r="G467" s="78"/>
      <c r="H467" s="79"/>
      <c r="I467" s="80"/>
      <c r="J467" s="81"/>
      <c r="K467" s="82"/>
      <c r="L467" s="49"/>
      <c r="M467" s="49"/>
      <c r="N467" s="51"/>
    </row>
    <row r="468" spans="1:14">
      <c r="A468" s="77"/>
      <c r="B468" s="78"/>
      <c r="C468" s="78"/>
      <c r="D468" s="78"/>
      <c r="E468" s="78"/>
      <c r="F468" s="78"/>
      <c r="G468" s="78"/>
      <c r="H468" s="79"/>
      <c r="I468" s="80"/>
      <c r="J468" s="81"/>
      <c r="K468" s="82"/>
      <c r="L468" s="49"/>
      <c r="M468" s="49"/>
      <c r="N468" s="51"/>
    </row>
    <row r="469" spans="1:14">
      <c r="A469" s="77"/>
      <c r="B469" s="78"/>
      <c r="C469" s="78"/>
      <c r="D469" s="78"/>
      <c r="E469" s="78"/>
      <c r="F469" s="78"/>
      <c r="G469" s="78"/>
      <c r="H469" s="79"/>
      <c r="I469" s="80"/>
      <c r="J469" s="81"/>
      <c r="K469" s="82"/>
      <c r="L469" s="49"/>
      <c r="M469" s="49"/>
      <c r="N469" s="51"/>
    </row>
    <row r="470" spans="1:14">
      <c r="A470" s="77"/>
      <c r="B470" s="78"/>
      <c r="C470" s="78"/>
      <c r="D470" s="78"/>
      <c r="E470" s="78"/>
      <c r="F470" s="78"/>
      <c r="G470" s="78"/>
      <c r="H470" s="79"/>
      <c r="I470" s="80"/>
      <c r="J470" s="81"/>
      <c r="K470" s="82"/>
      <c r="L470" s="49"/>
      <c r="M470" s="49"/>
      <c r="N470" s="51"/>
    </row>
    <row r="471" spans="1:14">
      <c r="A471" s="77"/>
      <c r="B471" s="78"/>
      <c r="C471" s="78"/>
      <c r="D471" s="78"/>
      <c r="E471" s="78"/>
      <c r="F471" s="78"/>
      <c r="G471" s="78"/>
      <c r="H471" s="79"/>
      <c r="I471" s="80"/>
      <c r="J471" s="81"/>
      <c r="K471" s="82"/>
      <c r="L471" s="49"/>
      <c r="M471" s="49"/>
      <c r="N471" s="51"/>
    </row>
    <row r="472" spans="1:14">
      <c r="A472" s="77"/>
      <c r="B472" s="78"/>
      <c r="C472" s="78"/>
      <c r="D472" s="78"/>
      <c r="E472" s="78"/>
      <c r="F472" s="78"/>
      <c r="G472" s="78"/>
      <c r="H472" s="79"/>
      <c r="I472" s="80"/>
      <c r="J472" s="81"/>
      <c r="K472" s="82"/>
      <c r="L472" s="49"/>
      <c r="M472" s="49"/>
      <c r="N472" s="51"/>
    </row>
    <row r="473" spans="1:14">
      <c r="A473" s="77"/>
      <c r="B473" s="78"/>
      <c r="C473" s="78"/>
      <c r="D473" s="78"/>
      <c r="E473" s="78"/>
      <c r="F473" s="78"/>
      <c r="G473" s="78"/>
      <c r="H473" s="79"/>
      <c r="I473" s="80"/>
      <c r="J473" s="81"/>
      <c r="K473" s="82"/>
      <c r="L473" s="49"/>
      <c r="M473" s="49"/>
      <c r="N473" s="51"/>
    </row>
    <row r="474" spans="1:14">
      <c r="A474" s="77"/>
      <c r="B474" s="78"/>
      <c r="C474" s="78"/>
      <c r="D474" s="78"/>
      <c r="E474" s="78"/>
      <c r="F474" s="78"/>
      <c r="G474" s="78"/>
      <c r="H474" s="79"/>
      <c r="I474" s="80"/>
      <c r="J474" s="81"/>
      <c r="K474" s="82"/>
      <c r="L474" s="49"/>
      <c r="M474" s="49"/>
      <c r="N474" s="51"/>
    </row>
    <row r="475" spans="1:14">
      <c r="A475" s="77"/>
      <c r="B475" s="78"/>
      <c r="C475" s="78"/>
      <c r="D475" s="78"/>
      <c r="E475" s="78"/>
      <c r="F475" s="78"/>
      <c r="G475" s="78"/>
      <c r="H475" s="79"/>
      <c r="I475" s="80"/>
      <c r="J475" s="81"/>
      <c r="K475" s="82"/>
      <c r="L475" s="49"/>
      <c r="M475" s="49"/>
      <c r="N475" s="51"/>
    </row>
    <row r="476" spans="1:14">
      <c r="A476" s="77"/>
      <c r="B476" s="78"/>
      <c r="C476" s="78"/>
      <c r="D476" s="78"/>
      <c r="E476" s="78"/>
      <c r="F476" s="78"/>
      <c r="G476" s="78"/>
      <c r="H476" s="79"/>
      <c r="I476" s="80"/>
      <c r="J476" s="81"/>
      <c r="K476" s="82"/>
      <c r="L476" s="49"/>
      <c r="M476" s="49"/>
      <c r="N476" s="51"/>
    </row>
    <row r="477" spans="1:14">
      <c r="A477" s="77"/>
      <c r="B477" s="78"/>
      <c r="C477" s="78"/>
      <c r="D477" s="78"/>
      <c r="E477" s="78"/>
      <c r="F477" s="78"/>
      <c r="G477" s="78"/>
      <c r="H477" s="79"/>
      <c r="I477" s="80"/>
      <c r="J477" s="81"/>
      <c r="K477" s="82"/>
      <c r="L477" s="49"/>
      <c r="M477" s="49"/>
      <c r="N477" s="51"/>
    </row>
    <row r="478" spans="1:14">
      <c r="A478" s="77"/>
      <c r="B478" s="78"/>
      <c r="C478" s="78"/>
      <c r="D478" s="78"/>
      <c r="E478" s="78"/>
      <c r="F478" s="78"/>
      <c r="G478" s="78"/>
      <c r="H478" s="79"/>
      <c r="I478" s="80"/>
      <c r="J478" s="81"/>
      <c r="K478" s="82"/>
      <c r="L478" s="49"/>
      <c r="M478" s="49"/>
      <c r="N478" s="51"/>
    </row>
    <row r="479" spans="1:14">
      <c r="A479" s="77"/>
      <c r="B479" s="78"/>
      <c r="C479" s="78"/>
      <c r="D479" s="78"/>
      <c r="E479" s="78"/>
      <c r="F479" s="78"/>
      <c r="G479" s="78"/>
      <c r="H479" s="79"/>
      <c r="I479" s="80"/>
      <c r="J479" s="81"/>
      <c r="K479" s="82"/>
      <c r="L479" s="49"/>
      <c r="M479" s="49"/>
      <c r="N479" s="51"/>
    </row>
    <row r="480" spans="1:14">
      <c r="A480" s="77"/>
      <c r="B480" s="78"/>
      <c r="C480" s="78"/>
      <c r="D480" s="78"/>
      <c r="E480" s="78"/>
      <c r="F480" s="78"/>
      <c r="G480" s="78"/>
      <c r="H480" s="79"/>
      <c r="I480" s="80"/>
      <c r="J480" s="81"/>
      <c r="K480" s="82"/>
      <c r="L480" s="49"/>
      <c r="M480" s="49"/>
      <c r="N480" s="51"/>
    </row>
    <row r="481" spans="1:14">
      <c r="A481" s="77"/>
      <c r="B481" s="78"/>
      <c r="C481" s="78"/>
      <c r="D481" s="78"/>
      <c r="E481" s="78"/>
      <c r="F481" s="78"/>
      <c r="G481" s="78"/>
      <c r="H481" s="79"/>
      <c r="I481" s="80"/>
      <c r="J481" s="81"/>
      <c r="K481" s="82"/>
      <c r="L481" s="49"/>
      <c r="M481" s="49"/>
      <c r="N481" s="51"/>
    </row>
    <row r="482" spans="1:14">
      <c r="A482" s="77"/>
      <c r="B482" s="78"/>
      <c r="C482" s="78"/>
      <c r="D482" s="78"/>
      <c r="E482" s="78"/>
      <c r="F482" s="78"/>
      <c r="G482" s="78"/>
      <c r="H482" s="79"/>
      <c r="I482" s="80"/>
      <c r="J482" s="81"/>
      <c r="K482" s="82"/>
      <c r="L482" s="49"/>
      <c r="M482" s="49"/>
      <c r="N482" s="51"/>
    </row>
    <row r="483" spans="1:14">
      <c r="A483" s="77"/>
      <c r="B483" s="78"/>
      <c r="C483" s="78"/>
      <c r="D483" s="78"/>
      <c r="E483" s="78"/>
      <c r="F483" s="78"/>
      <c r="G483" s="78"/>
      <c r="H483" s="79"/>
      <c r="I483" s="80"/>
      <c r="J483" s="81"/>
      <c r="K483" s="82"/>
      <c r="L483" s="49"/>
      <c r="M483" s="49"/>
      <c r="N483" s="51"/>
    </row>
    <row r="484" spans="1:14">
      <c r="A484" s="77"/>
      <c r="B484" s="78"/>
      <c r="C484" s="78"/>
      <c r="D484" s="78"/>
      <c r="E484" s="78"/>
      <c r="F484" s="78"/>
      <c r="G484" s="78"/>
      <c r="H484" s="79"/>
      <c r="I484" s="80"/>
      <c r="J484" s="81"/>
      <c r="K484" s="82"/>
      <c r="L484" s="49"/>
      <c r="M484" s="49"/>
      <c r="N484" s="51"/>
    </row>
    <row r="485" spans="1:14">
      <c r="A485" s="77"/>
      <c r="B485" s="78"/>
      <c r="C485" s="78"/>
      <c r="D485" s="78"/>
      <c r="E485" s="78"/>
      <c r="F485" s="78"/>
      <c r="G485" s="78"/>
      <c r="H485" s="79"/>
      <c r="I485" s="80"/>
      <c r="J485" s="81"/>
      <c r="K485" s="82"/>
      <c r="L485" s="49"/>
      <c r="M485" s="49"/>
      <c r="N485" s="51"/>
    </row>
    <row r="486" spans="1:14">
      <c r="A486" s="77"/>
      <c r="B486" s="78"/>
      <c r="C486" s="78"/>
      <c r="D486" s="78"/>
      <c r="E486" s="78"/>
      <c r="F486" s="78"/>
      <c r="G486" s="78"/>
      <c r="H486" s="79"/>
      <c r="I486" s="80"/>
      <c r="J486" s="81"/>
      <c r="K486" s="82"/>
      <c r="L486" s="49"/>
      <c r="M486" s="49"/>
      <c r="N486" s="51"/>
    </row>
    <row r="487" spans="1:14">
      <c r="A487" s="77"/>
      <c r="B487" s="78"/>
      <c r="C487" s="78"/>
      <c r="D487" s="78"/>
      <c r="E487" s="78"/>
      <c r="F487" s="78"/>
      <c r="G487" s="78"/>
      <c r="H487" s="79"/>
      <c r="I487" s="80"/>
      <c r="J487" s="81"/>
      <c r="K487" s="82"/>
      <c r="L487" s="49"/>
      <c r="M487" s="49"/>
      <c r="N487" s="51"/>
    </row>
    <row r="488" spans="1:14">
      <c r="A488" s="77"/>
      <c r="B488" s="78"/>
      <c r="C488" s="78"/>
      <c r="D488" s="78"/>
      <c r="E488" s="78"/>
      <c r="F488" s="78"/>
      <c r="G488" s="78"/>
      <c r="H488" s="79"/>
      <c r="I488" s="80"/>
      <c r="J488" s="81"/>
      <c r="K488" s="82"/>
      <c r="L488" s="49"/>
      <c r="M488" s="49"/>
      <c r="N488" s="51"/>
    </row>
    <row r="489" spans="1:14">
      <c r="A489" s="77"/>
      <c r="B489" s="78"/>
      <c r="C489" s="78"/>
      <c r="D489" s="78"/>
      <c r="E489" s="78"/>
      <c r="F489" s="78"/>
      <c r="G489" s="78"/>
      <c r="H489" s="79"/>
      <c r="I489" s="80"/>
      <c r="J489" s="81"/>
      <c r="K489" s="82"/>
      <c r="L489" s="49"/>
      <c r="M489" s="49"/>
      <c r="N489" s="51"/>
    </row>
    <row r="490" spans="1:14">
      <c r="A490" s="77"/>
      <c r="B490" s="78"/>
      <c r="C490" s="78"/>
      <c r="D490" s="78"/>
      <c r="E490" s="78"/>
      <c r="F490" s="78"/>
      <c r="G490" s="78"/>
      <c r="H490" s="79"/>
      <c r="I490" s="80"/>
      <c r="J490" s="81"/>
      <c r="K490" s="82"/>
      <c r="L490" s="49"/>
      <c r="M490" s="49"/>
      <c r="N490" s="51"/>
    </row>
    <row r="491" spans="1:14">
      <c r="A491" s="77"/>
      <c r="B491" s="78"/>
      <c r="C491" s="78"/>
      <c r="D491" s="78"/>
      <c r="E491" s="78"/>
      <c r="F491" s="78"/>
      <c r="G491" s="78"/>
      <c r="H491" s="79"/>
      <c r="I491" s="80"/>
      <c r="J491" s="81"/>
      <c r="K491" s="82"/>
      <c r="L491" s="49"/>
      <c r="M491" s="49"/>
      <c r="N491" s="51"/>
    </row>
    <row r="492" spans="1:14">
      <c r="A492" s="77"/>
      <c r="B492" s="78"/>
      <c r="C492" s="78"/>
      <c r="D492" s="78"/>
      <c r="E492" s="78"/>
      <c r="F492" s="78"/>
      <c r="G492" s="78"/>
      <c r="H492" s="79"/>
      <c r="I492" s="80"/>
      <c r="J492" s="81"/>
      <c r="K492" s="82"/>
      <c r="L492" s="49"/>
      <c r="M492" s="49"/>
      <c r="N492" s="51"/>
    </row>
    <row r="493" spans="1:14">
      <c r="A493" s="77"/>
      <c r="B493" s="78"/>
      <c r="C493" s="78"/>
      <c r="D493" s="78"/>
      <c r="E493" s="78"/>
      <c r="F493" s="78"/>
      <c r="G493" s="78"/>
      <c r="H493" s="79"/>
      <c r="I493" s="80"/>
      <c r="J493" s="81"/>
      <c r="K493" s="82"/>
      <c r="L493" s="49"/>
      <c r="M493" s="49"/>
      <c r="N493" s="51"/>
    </row>
    <row r="494" spans="1:14">
      <c r="A494" s="77"/>
      <c r="B494" s="78"/>
      <c r="C494" s="78"/>
      <c r="D494" s="78"/>
      <c r="E494" s="78"/>
      <c r="F494" s="78"/>
      <c r="G494" s="78"/>
      <c r="H494" s="79"/>
      <c r="I494" s="80"/>
      <c r="J494" s="81"/>
      <c r="K494" s="82"/>
      <c r="L494" s="49"/>
      <c r="M494" s="49"/>
      <c r="N494" s="51"/>
    </row>
    <row r="495" spans="1:14">
      <c r="A495" s="77"/>
      <c r="B495" s="78"/>
      <c r="C495" s="78"/>
      <c r="D495" s="78"/>
      <c r="E495" s="78"/>
      <c r="F495" s="78"/>
      <c r="G495" s="78"/>
      <c r="H495" s="79"/>
      <c r="I495" s="80"/>
      <c r="J495" s="81"/>
      <c r="K495" s="82"/>
      <c r="L495" s="49"/>
      <c r="M495" s="49"/>
      <c r="N495" s="51"/>
    </row>
    <row r="496" spans="1:14">
      <c r="A496" s="77"/>
      <c r="B496" s="78"/>
      <c r="C496" s="78"/>
      <c r="D496" s="78"/>
      <c r="E496" s="78"/>
      <c r="F496" s="78"/>
      <c r="G496" s="78"/>
      <c r="H496" s="79"/>
      <c r="I496" s="80"/>
      <c r="J496" s="81"/>
      <c r="K496" s="82"/>
      <c r="L496" s="49"/>
      <c r="M496" s="49"/>
      <c r="N496" s="51"/>
    </row>
    <row r="497" spans="1:14">
      <c r="A497" s="77"/>
      <c r="B497" s="78"/>
      <c r="C497" s="78"/>
      <c r="D497" s="78"/>
      <c r="E497" s="78"/>
      <c r="F497" s="78"/>
      <c r="G497" s="78"/>
      <c r="H497" s="79"/>
      <c r="I497" s="80"/>
      <c r="J497" s="81"/>
      <c r="K497" s="82"/>
      <c r="L497" s="49"/>
      <c r="M497" s="49"/>
      <c r="N497" s="51"/>
    </row>
    <row r="498" spans="1:14">
      <c r="A498" s="77"/>
      <c r="B498" s="78"/>
      <c r="C498" s="78"/>
      <c r="D498" s="78"/>
      <c r="E498" s="78"/>
      <c r="F498" s="78"/>
      <c r="G498" s="78"/>
      <c r="H498" s="79"/>
      <c r="I498" s="80"/>
      <c r="J498" s="81"/>
      <c r="K498" s="82"/>
      <c r="L498" s="49"/>
      <c r="M498" s="49"/>
      <c r="N498" s="51"/>
    </row>
    <row r="499" spans="1:14">
      <c r="A499" s="77"/>
      <c r="B499" s="78"/>
      <c r="C499" s="78"/>
      <c r="D499" s="78"/>
      <c r="E499" s="78"/>
      <c r="F499" s="78"/>
      <c r="G499" s="78"/>
      <c r="H499" s="79"/>
      <c r="I499" s="80"/>
      <c r="J499" s="81"/>
      <c r="K499" s="82"/>
      <c r="L499" s="49"/>
      <c r="M499" s="49"/>
      <c r="N499" s="51"/>
    </row>
    <row r="500" spans="1:14">
      <c r="A500" s="77"/>
      <c r="B500" s="78"/>
      <c r="C500" s="78"/>
      <c r="D500" s="78"/>
      <c r="E500" s="78"/>
      <c r="F500" s="78"/>
      <c r="G500" s="78"/>
      <c r="H500" s="79"/>
      <c r="I500" s="80"/>
      <c r="J500" s="81"/>
      <c r="K500" s="82"/>
      <c r="L500" s="49"/>
      <c r="M500" s="49"/>
      <c r="N500" s="51"/>
    </row>
    <row r="501" spans="1:14">
      <c r="A501" s="77"/>
      <c r="B501" s="78"/>
      <c r="C501" s="78"/>
      <c r="D501" s="78"/>
      <c r="E501" s="78"/>
      <c r="F501" s="78"/>
      <c r="G501" s="78"/>
      <c r="H501" s="79"/>
      <c r="I501" s="80"/>
      <c r="J501" s="81"/>
      <c r="K501" s="82"/>
      <c r="L501" s="49"/>
      <c r="M501" s="49"/>
      <c r="N501" s="51"/>
    </row>
    <row r="502" spans="1:14" ht="15.75" thickBot="1">
      <c r="A502" s="181" t="s">
        <v>89</v>
      </c>
      <c r="B502" s="182"/>
      <c r="C502" s="83"/>
      <c r="D502" s="83"/>
      <c r="E502" s="83"/>
      <c r="F502" s="83"/>
      <c r="G502" s="83"/>
      <c r="H502" s="84">
        <f>SUM(H28:H501)</f>
        <v>0</v>
      </c>
      <c r="I502" s="84">
        <f>SUM(I28:I501)</f>
        <v>0</v>
      </c>
      <c r="J502" s="83"/>
      <c r="K502" s="85">
        <f>SUM(K28:K501)</f>
        <v>0</v>
      </c>
      <c r="L502" s="86"/>
      <c r="M502" s="86"/>
      <c r="N502" s="87"/>
    </row>
    <row r="503" spans="1:14" ht="15.75" thickTop="1">
      <c r="A503" s="88"/>
      <c r="B503" s="89"/>
      <c r="C503" s="90"/>
      <c r="D503" s="91"/>
      <c r="E503" s="91"/>
      <c r="F503" s="91"/>
      <c r="G503" s="90"/>
      <c r="H503" s="91"/>
      <c r="I503" s="91"/>
      <c r="J503" s="90"/>
      <c r="K503" s="90"/>
      <c r="L503" s="49"/>
      <c r="M503" s="49"/>
      <c r="N503" s="51"/>
    </row>
    <row r="504" spans="1:14">
      <c r="A504" s="92"/>
      <c r="B504" s="93" t="s">
        <v>90</v>
      </c>
      <c r="C504" s="94"/>
      <c r="D504" s="94"/>
      <c r="E504" s="94"/>
      <c r="F504" s="94"/>
      <c r="G504" s="94"/>
      <c r="H504" s="91" t="s">
        <v>91</v>
      </c>
      <c r="I504" s="94" t="s">
        <v>41</v>
      </c>
      <c r="J504" s="91" t="s">
        <v>92</v>
      </c>
      <c r="K504" s="91" t="s">
        <v>93</v>
      </c>
      <c r="L504" s="49"/>
      <c r="M504" s="49"/>
      <c r="N504" s="51"/>
    </row>
    <row r="505" spans="1:14">
      <c r="A505" s="88"/>
      <c r="B505" s="95"/>
      <c r="C505" s="95"/>
      <c r="D505" s="95"/>
      <c r="E505" s="95"/>
      <c r="F505" s="95"/>
      <c r="G505" s="95"/>
      <c r="H505" s="82"/>
      <c r="I505" s="80"/>
      <c r="J505" s="96" t="s">
        <v>94</v>
      </c>
      <c r="K505" s="97">
        <f>H505*I505</f>
        <v>0</v>
      </c>
      <c r="L505" s="49"/>
      <c r="M505" s="49"/>
      <c r="N505" s="51"/>
    </row>
    <row r="506" spans="1:14">
      <c r="A506" s="88"/>
      <c r="B506" s="95"/>
      <c r="C506" s="95"/>
      <c r="D506" s="95"/>
      <c r="E506" s="95"/>
      <c r="F506" s="95"/>
      <c r="G506" s="95"/>
      <c r="H506" s="82"/>
      <c r="I506" s="80"/>
      <c r="J506" s="98" t="s">
        <v>94</v>
      </c>
      <c r="K506" s="97">
        <f>H506*I506</f>
        <v>0</v>
      </c>
      <c r="L506" s="49"/>
      <c r="M506" s="49"/>
      <c r="N506" s="51"/>
    </row>
    <row r="507" spans="1:14" ht="15.75" thickBot="1">
      <c r="A507" s="88"/>
      <c r="B507" s="99"/>
      <c r="C507" s="99"/>
      <c r="D507" s="99"/>
      <c r="E507" s="99"/>
      <c r="F507" s="99"/>
      <c r="G507" s="99"/>
      <c r="H507" s="100"/>
      <c r="I507" s="101"/>
      <c r="J507" s="102"/>
      <c r="K507" s="103"/>
      <c r="L507" s="49"/>
      <c r="M507" s="49"/>
      <c r="N507" s="51"/>
    </row>
    <row r="508" spans="1:14" ht="15.75" thickBot="1">
      <c r="A508" s="104" t="s">
        <v>95</v>
      </c>
      <c r="B508" s="105"/>
      <c r="C508" s="105"/>
      <c r="D508" s="105"/>
      <c r="E508" s="105"/>
      <c r="F508" s="105"/>
      <c r="G508" s="105"/>
      <c r="H508" s="105"/>
      <c r="I508" s="105"/>
      <c r="J508" s="105"/>
      <c r="K508" s="106">
        <f>K502+K505+K506</f>
        <v>0</v>
      </c>
      <c r="L508" s="107"/>
      <c r="M508" s="107"/>
      <c r="N508" s="108"/>
    </row>
    <row r="509" spans="1:14">
      <c r="A509" s="73"/>
      <c r="B509" s="49"/>
      <c r="C509" s="49"/>
      <c r="D509" s="57"/>
      <c r="E509" s="57"/>
      <c r="F509" s="57"/>
      <c r="G509" s="49"/>
      <c r="H509" s="57"/>
      <c r="I509" s="57"/>
      <c r="J509" s="49"/>
      <c r="K509" s="49"/>
      <c r="L509" s="49"/>
      <c r="M509" s="49"/>
      <c r="N509" s="51"/>
    </row>
    <row r="510" spans="1:14" ht="15" customHeight="1">
      <c r="A510" s="171" t="s">
        <v>96</v>
      </c>
      <c r="B510" s="172"/>
      <c r="C510" s="172"/>
      <c r="D510" s="172"/>
      <c r="E510" s="172"/>
      <c r="F510" s="172"/>
      <c r="G510" s="172"/>
      <c r="H510" s="172"/>
      <c r="I510" s="172"/>
      <c r="J510" s="172"/>
      <c r="K510" s="172"/>
      <c r="L510" s="172"/>
      <c r="M510" s="172"/>
      <c r="N510" s="173"/>
    </row>
    <row r="511" spans="1:14" ht="15" customHeight="1">
      <c r="A511" s="174" t="s">
        <v>97</v>
      </c>
      <c r="B511" s="175"/>
      <c r="C511" s="175"/>
      <c r="D511" s="175"/>
      <c r="E511" s="175"/>
      <c r="F511" s="175"/>
      <c r="G511" s="175"/>
      <c r="H511" s="175"/>
      <c r="I511" s="175"/>
      <c r="J511" s="175"/>
      <c r="K511" s="175"/>
      <c r="L511" s="175"/>
      <c r="M511" s="175"/>
      <c r="N511" s="176"/>
    </row>
    <row r="512" spans="1:14">
      <c r="A512" s="73"/>
      <c r="B512" s="49"/>
      <c r="C512" s="49"/>
      <c r="D512" s="57"/>
      <c r="E512" s="57"/>
      <c r="F512" s="57"/>
      <c r="G512" s="49"/>
      <c r="H512" s="57"/>
      <c r="I512" s="57"/>
      <c r="J512" s="49"/>
      <c r="K512" s="49"/>
      <c r="L512" s="49"/>
      <c r="M512" s="49"/>
      <c r="N512" s="51"/>
    </row>
    <row r="513" spans="1:14">
      <c r="A513" s="73"/>
      <c r="B513" s="49"/>
      <c r="C513" s="49"/>
      <c r="D513" s="57"/>
      <c r="E513" s="57"/>
      <c r="F513" s="57"/>
      <c r="G513" s="49"/>
      <c r="H513" s="57"/>
      <c r="I513" s="57"/>
      <c r="J513" s="49"/>
      <c r="K513" s="49"/>
      <c r="L513" s="49"/>
      <c r="M513" s="49"/>
      <c r="N513" s="51"/>
    </row>
    <row r="514" spans="1:14">
      <c r="A514" s="73"/>
      <c r="B514" s="49"/>
      <c r="C514" s="49"/>
      <c r="D514" s="57"/>
      <c r="E514" s="57"/>
      <c r="F514" s="57"/>
      <c r="G514" s="49"/>
      <c r="H514" s="57"/>
      <c r="I514" s="57"/>
      <c r="J514" s="49"/>
      <c r="K514" s="49"/>
      <c r="L514" s="49"/>
      <c r="M514" s="49"/>
      <c r="N514" s="51"/>
    </row>
    <row r="515" spans="1:14">
      <c r="A515" s="73"/>
      <c r="B515" s="49"/>
      <c r="C515" s="49"/>
      <c r="D515" s="57"/>
      <c r="E515" s="57"/>
      <c r="F515" s="57"/>
      <c r="G515" s="49"/>
      <c r="H515" s="57"/>
      <c r="I515" s="57"/>
      <c r="J515" s="49"/>
      <c r="K515" s="49"/>
      <c r="L515" s="49"/>
      <c r="M515" s="49"/>
      <c r="N515" s="51"/>
    </row>
    <row r="516" spans="1:14">
      <c r="A516" s="73"/>
      <c r="B516" s="49"/>
      <c r="C516" s="49"/>
      <c r="D516" s="57"/>
      <c r="E516" s="57"/>
      <c r="F516" s="57"/>
      <c r="G516" s="49"/>
      <c r="H516" s="57"/>
      <c r="I516" s="57"/>
      <c r="J516" s="49"/>
      <c r="K516" s="49"/>
      <c r="L516" s="49"/>
      <c r="M516" s="49"/>
      <c r="N516" s="51"/>
    </row>
    <row r="517" spans="1:14">
      <c r="A517" s="73"/>
      <c r="B517" s="49"/>
      <c r="C517" s="49"/>
      <c r="D517" s="57"/>
      <c r="E517" s="57"/>
      <c r="F517" s="57"/>
      <c r="G517" s="49"/>
      <c r="H517" s="57"/>
      <c r="I517" s="57"/>
      <c r="J517" s="49"/>
      <c r="K517" s="49"/>
      <c r="L517" s="177"/>
      <c r="M517" s="177"/>
      <c r="N517" s="178"/>
    </row>
    <row r="518" spans="1:14">
      <c r="A518" s="73"/>
      <c r="B518" s="49"/>
      <c r="C518" s="49"/>
      <c r="D518" s="57"/>
      <c r="E518" s="57"/>
      <c r="F518" s="57"/>
      <c r="G518" s="49"/>
      <c r="H518" s="57"/>
      <c r="I518" s="57"/>
      <c r="J518" s="49"/>
      <c r="K518" s="49"/>
      <c r="L518" s="49"/>
      <c r="M518" s="49"/>
      <c r="N518" s="109" t="s">
        <v>98</v>
      </c>
    </row>
    <row r="519" spans="1:14">
      <c r="A519" s="73"/>
      <c r="B519" s="49"/>
      <c r="C519" s="49"/>
      <c r="D519" s="57"/>
      <c r="E519" s="57"/>
      <c r="F519" s="57"/>
      <c r="G519" s="49"/>
      <c r="H519" s="57"/>
      <c r="I519" s="57"/>
      <c r="J519" s="49"/>
      <c r="K519" s="49"/>
      <c r="L519" s="49"/>
      <c r="M519" s="49"/>
      <c r="N519" s="51"/>
    </row>
    <row r="520" spans="1:14">
      <c r="A520" s="73"/>
      <c r="B520" s="49"/>
      <c r="C520" s="49"/>
      <c r="D520" s="57"/>
      <c r="E520" s="57"/>
      <c r="F520" s="57"/>
      <c r="G520" s="49"/>
      <c r="H520" s="57"/>
      <c r="I520" s="57"/>
      <c r="J520" s="49"/>
      <c r="K520" s="49"/>
      <c r="L520" s="177"/>
      <c r="M520" s="177"/>
      <c r="N520" s="178"/>
    </row>
    <row r="521" spans="1:14">
      <c r="A521" s="73"/>
      <c r="B521" s="49"/>
      <c r="C521" s="49"/>
      <c r="D521" s="57"/>
      <c r="E521" s="57"/>
      <c r="F521" s="57"/>
      <c r="G521" s="49"/>
      <c r="H521" s="57"/>
      <c r="I521" s="57"/>
      <c r="J521" s="49"/>
      <c r="K521" s="49"/>
      <c r="L521" s="49"/>
      <c r="M521" s="49"/>
      <c r="N521" s="109" t="s">
        <v>99</v>
      </c>
    </row>
    <row r="522" spans="1:14">
      <c r="A522" s="73"/>
      <c r="B522" s="49"/>
      <c r="C522" s="49"/>
      <c r="D522" s="57"/>
      <c r="E522" s="57"/>
      <c r="F522" s="57"/>
      <c r="G522" s="49"/>
      <c r="H522" s="57"/>
      <c r="I522" s="57"/>
      <c r="J522" s="49"/>
      <c r="K522" s="49"/>
      <c r="L522" s="49"/>
      <c r="M522" s="49"/>
      <c r="N522" s="51"/>
    </row>
    <row r="523" spans="1:14">
      <c r="A523" s="73"/>
      <c r="B523" s="49"/>
      <c r="C523" s="49"/>
      <c r="D523" s="57"/>
      <c r="E523" s="57"/>
      <c r="F523" s="57"/>
      <c r="G523" s="49"/>
      <c r="H523" s="57"/>
      <c r="I523" s="57"/>
      <c r="J523" s="49"/>
      <c r="K523" s="49"/>
      <c r="L523" s="49"/>
      <c r="M523" s="49"/>
      <c r="N523" s="51"/>
    </row>
    <row r="524" spans="1:14" ht="15.75" thickBot="1">
      <c r="A524" s="110"/>
      <c r="B524" s="111"/>
      <c r="C524" s="111"/>
      <c r="D524" s="112"/>
      <c r="E524" s="113" t="s">
        <v>100</v>
      </c>
      <c r="F524" s="113"/>
      <c r="G524" s="111"/>
      <c r="H524" s="112"/>
      <c r="I524" s="112"/>
      <c r="J524" s="111"/>
      <c r="K524" s="111"/>
      <c r="L524" s="111"/>
      <c r="M524" s="111"/>
      <c r="N524" s="114"/>
    </row>
    <row r="554" ht="15" customHeight="1"/>
    <row r="555" ht="15" customHeight="1"/>
  </sheetData>
  <mergeCells count="17">
    <mergeCell ref="A510:N510"/>
    <mergeCell ref="A511:N511"/>
    <mergeCell ref="L517:N517"/>
    <mergeCell ref="L520:N520"/>
    <mergeCell ref="A15:G15"/>
    <mergeCell ref="H15:N15"/>
    <mergeCell ref="A16:G21"/>
    <mergeCell ref="A23:N23"/>
    <mergeCell ref="A26:K27"/>
    <mergeCell ref="A502:B502"/>
    <mergeCell ref="A14:G14"/>
    <mergeCell ref="H14:N14"/>
    <mergeCell ref="F1:J2"/>
    <mergeCell ref="A9:G9"/>
    <mergeCell ref="H9:N9"/>
    <mergeCell ref="A10:G13"/>
    <mergeCell ref="H12:K13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>
    <tabColor rgb="FFFFC000"/>
  </sheetPr>
  <dimension ref="A1:K19"/>
  <sheetViews>
    <sheetView zoomScaleNormal="100" workbookViewId="0"/>
  </sheetViews>
  <sheetFormatPr defaultRowHeight="15.75"/>
  <cols>
    <col min="1" max="1" width="6.85546875" customWidth="1"/>
    <col min="2" max="2" width="8.5703125" style="17" customWidth="1"/>
    <col min="3" max="3" width="15.42578125" style="10" customWidth="1"/>
    <col min="4" max="4" width="87.7109375" style="10" customWidth="1"/>
    <col min="5" max="5" width="13.28515625" style="10" customWidth="1"/>
    <col min="6" max="6" width="9" style="16" customWidth="1"/>
  </cols>
  <sheetData>
    <row r="1" spans="1:11" ht="24" customHeight="1">
      <c r="C1"/>
      <c r="D1"/>
      <c r="E1"/>
    </row>
    <row r="2" spans="1:11" ht="15.75" customHeight="1">
      <c r="C2"/>
      <c r="D2"/>
      <c r="E2"/>
    </row>
    <row r="3" spans="1:11" s="2" customFormat="1" ht="7.5" customHeight="1">
      <c r="A3" s="1" t="s">
        <v>29</v>
      </c>
      <c r="B3" s="18" t="s">
        <v>29</v>
      </c>
      <c r="C3" s="18"/>
      <c r="D3" s="4"/>
      <c r="E3" s="4"/>
      <c r="F3" s="20"/>
      <c r="G3" s="4"/>
      <c r="H3" s="4"/>
      <c r="I3" s="4"/>
      <c r="J3" s="5" t="s">
        <v>29</v>
      </c>
      <c r="K3" s="6" t="s">
        <v>29</v>
      </c>
    </row>
    <row r="4" spans="1:11" s="7" customFormat="1" ht="15.75" customHeight="1">
      <c r="B4" s="19"/>
      <c r="C4" s="15"/>
      <c r="D4" s="8"/>
      <c r="E4" s="8"/>
      <c r="F4" s="15"/>
    </row>
    <row r="5" spans="1:11" s="7" customFormat="1" ht="20.100000000000001" customHeight="1">
      <c r="B5" s="19"/>
      <c r="C5" s="183" t="s">
        <v>30</v>
      </c>
      <c r="D5" s="183"/>
      <c r="E5" s="183"/>
      <c r="F5" s="15"/>
    </row>
    <row r="6" spans="1:11" s="7" customFormat="1" ht="20.100000000000001" customHeight="1">
      <c r="B6" s="19"/>
      <c r="C6" s="11" t="s">
        <v>31</v>
      </c>
      <c r="D6" s="11" t="s">
        <v>28</v>
      </c>
      <c r="E6" s="11" t="s">
        <v>35</v>
      </c>
      <c r="F6" s="15"/>
    </row>
    <row r="7" spans="1:11" s="7" customFormat="1" ht="17.100000000000001" customHeight="1">
      <c r="B7" s="19"/>
      <c r="C7" s="12" t="s">
        <v>32</v>
      </c>
      <c r="D7" s="13" t="s">
        <v>133</v>
      </c>
      <c r="E7" s="21" t="s">
        <v>36</v>
      </c>
      <c r="F7" s="15"/>
    </row>
    <row r="8" spans="1:11" s="7" customFormat="1" ht="17.100000000000001" customHeight="1">
      <c r="B8" s="19"/>
      <c r="C8" s="12" t="s">
        <v>33</v>
      </c>
      <c r="D8" s="13" t="s">
        <v>134</v>
      </c>
      <c r="E8" s="14" t="s">
        <v>36</v>
      </c>
      <c r="F8" s="15"/>
    </row>
    <row r="9" spans="1:11" s="7" customFormat="1" ht="17.100000000000001" customHeight="1">
      <c r="B9" s="19"/>
      <c r="C9" s="12" t="s">
        <v>34</v>
      </c>
      <c r="D9" s="13" t="s">
        <v>135</v>
      </c>
      <c r="E9" s="14" t="s">
        <v>36</v>
      </c>
      <c r="F9" s="15"/>
    </row>
    <row r="10" spans="1:11" s="7" customFormat="1" ht="15">
      <c r="B10" s="19"/>
      <c r="C10" s="15"/>
      <c r="D10" s="15"/>
      <c r="E10" s="15"/>
      <c r="F10" s="15"/>
    </row>
    <row r="11" spans="1:11" s="7" customFormat="1" ht="15">
      <c r="B11" s="19"/>
      <c r="C11" s="15"/>
      <c r="D11" s="15"/>
      <c r="E11" s="15"/>
      <c r="F11" s="15"/>
    </row>
    <row r="12" spans="1:11" s="7" customFormat="1">
      <c r="B12" s="19"/>
      <c r="C12" s="9"/>
      <c r="E12" s="9"/>
      <c r="F12" s="15"/>
    </row>
    <row r="13" spans="1:11" s="7" customFormat="1">
      <c r="B13" s="19"/>
      <c r="C13" s="9"/>
      <c r="E13" s="9"/>
      <c r="F13" s="15"/>
    </row>
    <row r="14" spans="1:11" s="7" customFormat="1">
      <c r="B14" s="19"/>
      <c r="C14" s="9"/>
      <c r="E14" s="9"/>
      <c r="F14" s="15"/>
    </row>
    <row r="15" spans="1:11" s="7" customFormat="1">
      <c r="B15" s="19"/>
      <c r="C15" s="9"/>
      <c r="D15" s="7" t="s">
        <v>43</v>
      </c>
      <c r="E15" s="9"/>
      <c r="F15" s="15"/>
    </row>
    <row r="16" spans="1:11" s="7" customFormat="1">
      <c r="B16" s="19"/>
      <c r="C16" s="9"/>
      <c r="D16" s="9"/>
      <c r="E16" s="9"/>
      <c r="F16" s="15"/>
    </row>
    <row r="17" spans="1:11" s="7" customFormat="1">
      <c r="B17" s="19"/>
      <c r="C17" s="9"/>
      <c r="D17" s="9"/>
      <c r="E17" s="9"/>
      <c r="F17" s="15"/>
    </row>
    <row r="18" spans="1:11" s="7" customFormat="1">
      <c r="B18" s="19"/>
      <c r="C18" s="9"/>
      <c r="D18" s="9"/>
      <c r="E18" s="9"/>
      <c r="F18" s="15"/>
    </row>
    <row r="19" spans="1:11" s="2" customFormat="1" ht="7.5" customHeight="1">
      <c r="A19" s="1" t="s">
        <v>29</v>
      </c>
      <c r="B19" s="18" t="s">
        <v>29</v>
      </c>
      <c r="C19" s="3"/>
      <c r="D19" s="4"/>
      <c r="E19" s="4"/>
      <c r="F19" s="20"/>
      <c r="G19" s="4"/>
      <c r="H19" s="4"/>
      <c r="I19" s="4"/>
      <c r="J19" s="5" t="s">
        <v>29</v>
      </c>
      <c r="K19" s="6" t="s">
        <v>29</v>
      </c>
    </row>
  </sheetData>
  <mergeCells count="1">
    <mergeCell ref="C5:E5"/>
  </mergeCells>
  <hyperlinks>
    <hyperlink ref="D7" r:id="rId1" display="\\10.5.0.27\bersama\BUYER EXPORT\MACRO EXIM\PAKE YG INI\UPDATE MACRO\08 AGT 2024\INV0276EXPGGVIII2024.xlsx"/>
    <hyperlink ref="D8" r:id="rId2" display="\\10.5.0.27\bersama\BUYER EXPORT\MACRO EXIM\PAKE YG INI\UPDATE MACRO\08 AGT 2024\FINAL SI.xls"/>
    <hyperlink ref="D9" r:id="rId3" display="\\10.5.0.27\bersama\BUYER EXPORT\MACRO EXIM\PAKE YG INI\UPDATE MACRO\08 AGT 2024\LOADINGAN 06 AGT ID2092.xlsx"/>
  </hyperlinks>
  <pageMargins left="0.7" right="0.7" top="0.75" bottom="0.75" header="0.3" footer="0.3"/>
  <pageSetup orientation="portrait" r:id="rId4"/>
  <drawing r:id="rId5"/>
  <legacyDrawing r:id="rId6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EB0671"/>
  </sheetPr>
  <dimension ref="A1:Y108"/>
  <sheetViews>
    <sheetView workbookViewId="0">
      <selection sqref="A1:XFD1048576"/>
    </sheetView>
  </sheetViews>
  <sheetFormatPr defaultRowHeight="15"/>
  <cols>
    <col min="1" max="1" width="12.140625" customWidth="1"/>
    <col min="2" max="2" width="10.5703125" customWidth="1"/>
    <col min="3" max="3" width="10.42578125" customWidth="1"/>
    <col min="4" max="4" width="12.28515625" customWidth="1"/>
    <col min="5" max="5" width="14.28515625" customWidth="1"/>
    <col min="6" max="6" width="11.85546875" customWidth="1"/>
    <col min="7" max="7" width="66.140625" customWidth="1"/>
    <col min="8" max="8" width="9" customWidth="1"/>
    <col min="9" max="9" width="11.28515625" customWidth="1"/>
    <col min="10" max="11" width="17" customWidth="1"/>
    <col min="12" max="13" width="14" customWidth="1"/>
    <col min="14" max="14" width="15.140625" customWidth="1"/>
    <col min="15" max="15" width="16.85546875" customWidth="1"/>
    <col min="16" max="16" width="14.85546875" customWidth="1"/>
    <col min="17" max="17" width="9" customWidth="1"/>
    <col min="18" max="18" width="5.5703125" customWidth="1"/>
    <col min="19" max="19" width="9" customWidth="1"/>
    <col min="20" max="20" width="5.5703125" customWidth="1"/>
    <col min="21" max="21" width="9" customWidth="1"/>
    <col min="22" max="22" width="10.7109375" customWidth="1"/>
    <col min="23" max="24" width="26.140625" customWidth="1"/>
    <col min="25" max="25" width="83.7109375" customWidth="1"/>
  </cols>
  <sheetData>
    <row r="1" spans="1:25" ht="25.5">
      <c r="A1" s="159" t="s">
        <v>0</v>
      </c>
      <c r="B1" s="160" t="s">
        <v>1</v>
      </c>
      <c r="C1" s="160"/>
      <c r="D1" s="161" t="s">
        <v>2</v>
      </c>
      <c r="E1" s="161" t="s">
        <v>3</v>
      </c>
      <c r="F1" s="158" t="s">
        <v>4</v>
      </c>
      <c r="G1" s="160" t="s">
        <v>5</v>
      </c>
      <c r="H1" s="160" t="s">
        <v>6</v>
      </c>
      <c r="I1" s="159" t="s">
        <v>7</v>
      </c>
      <c r="J1" s="158" t="s">
        <v>8</v>
      </c>
      <c r="K1" s="159" t="s">
        <v>9</v>
      </c>
      <c r="L1" s="162" t="s">
        <v>10</v>
      </c>
      <c r="M1" s="158" t="s">
        <v>11</v>
      </c>
      <c r="N1" s="158" t="s">
        <v>12</v>
      </c>
      <c r="O1" s="159" t="s">
        <v>13</v>
      </c>
      <c r="P1" s="165" t="s">
        <v>14</v>
      </c>
      <c r="Q1" s="166" t="s">
        <v>15</v>
      </c>
      <c r="R1" s="166"/>
      <c r="S1" s="166"/>
      <c r="T1" s="166"/>
      <c r="U1" s="166"/>
      <c r="V1" s="159" t="s">
        <v>16</v>
      </c>
      <c r="W1" s="139" t="s">
        <v>17</v>
      </c>
      <c r="X1" s="159" t="s">
        <v>18</v>
      </c>
      <c r="Y1" s="163" t="s">
        <v>19</v>
      </c>
    </row>
    <row r="2" spans="1:25" ht="25.5">
      <c r="A2" s="159"/>
      <c r="B2" s="138" t="s">
        <v>20</v>
      </c>
      <c r="C2" s="138" t="s">
        <v>21</v>
      </c>
      <c r="D2" s="161"/>
      <c r="E2" s="161"/>
      <c r="F2" s="158"/>
      <c r="G2" s="160"/>
      <c r="H2" s="160"/>
      <c r="I2" s="159"/>
      <c r="J2" s="158"/>
      <c r="K2" s="159"/>
      <c r="L2" s="162"/>
      <c r="M2" s="158"/>
      <c r="N2" s="158"/>
      <c r="O2" s="159"/>
      <c r="P2" s="165"/>
      <c r="Q2" s="140" t="s">
        <v>22</v>
      </c>
      <c r="R2" s="140" t="s">
        <v>23</v>
      </c>
      <c r="S2" s="140" t="s">
        <v>24</v>
      </c>
      <c r="T2" s="140" t="s">
        <v>23</v>
      </c>
      <c r="U2" s="140" t="s">
        <v>25</v>
      </c>
      <c r="V2" s="159"/>
      <c r="W2" s="139" t="s">
        <v>26</v>
      </c>
      <c r="X2" s="159" t="s">
        <v>27</v>
      </c>
      <c r="Y2" s="164"/>
    </row>
    <row r="3" spans="1:25">
      <c r="A3" s="115" t="s">
        <v>0</v>
      </c>
      <c r="B3" s="115">
        <v>1</v>
      </c>
      <c r="C3" s="115">
        <v>3</v>
      </c>
      <c r="D3" s="115" t="s">
        <v>139</v>
      </c>
      <c r="E3" s="115" t="s">
        <v>140</v>
      </c>
      <c r="F3" s="115" t="s">
        <v>37</v>
      </c>
      <c r="G3" s="154" t="s">
        <v>227</v>
      </c>
      <c r="H3" s="115" t="str">
        <f>IFERROR(IF(RIGHT(D3,1)="A","S",IF(RIGHT(D3,1)="B","M",IF(RIGHT(D3,1)="C","L",IF(RIGHT(D3,1)="D","XL",IF(RIGHT(D3,1)="E","XXL",""))))),"")</f>
        <v>S</v>
      </c>
      <c r="I3" s="115">
        <f t="shared" ref="I3:I34" si="0">IFERROR(J3/K3,"")</f>
        <v>36</v>
      </c>
      <c r="J3" s="115">
        <v>108</v>
      </c>
      <c r="K3" s="115">
        <f t="shared" ref="K3:K34" si="1">C3-B3+1</f>
        <v>3</v>
      </c>
      <c r="L3" s="116">
        <f t="shared" ref="L3:L34" si="2">IFERROR(K3*V3,"")</f>
        <v>0.186345498276</v>
      </c>
      <c r="M3" s="115">
        <v>25.2</v>
      </c>
      <c r="N3" s="115">
        <v>28.32</v>
      </c>
      <c r="O3" s="116">
        <f t="shared" ref="O3:O34" si="3">IFERROR(N3/K3,"")</f>
        <v>9.44</v>
      </c>
      <c r="P3" s="116">
        <f t="shared" ref="P3:P34" si="4">IFERROR(M3/K3,"")</f>
        <v>8.4</v>
      </c>
      <c r="Q3" s="115">
        <v>48.26</v>
      </c>
      <c r="R3" s="115" t="s">
        <v>23</v>
      </c>
      <c r="S3" s="115">
        <v>48.26</v>
      </c>
      <c r="T3" s="115" t="s">
        <v>23</v>
      </c>
      <c r="U3" s="115">
        <v>26.67</v>
      </c>
      <c r="V3" s="117">
        <f t="shared" ref="V3:V34" si="5">IFERROR((Q3*S3*U3)/1000000,"")</f>
        <v>6.2115166091999997E-2</v>
      </c>
      <c r="W3" s="115" t="s">
        <v>38</v>
      </c>
      <c r="X3" s="115" t="s">
        <v>38</v>
      </c>
      <c r="Y3" s="115" t="s">
        <v>211</v>
      </c>
    </row>
    <row r="4" spans="1:25">
      <c r="A4" s="115" t="s">
        <v>0</v>
      </c>
      <c r="B4" s="115">
        <v>4</v>
      </c>
      <c r="C4" s="115">
        <v>4</v>
      </c>
      <c r="D4" s="115" t="s">
        <v>139</v>
      </c>
      <c r="E4" s="115" t="s">
        <v>140</v>
      </c>
      <c r="F4" s="115" t="s">
        <v>37</v>
      </c>
      <c r="G4" s="154" t="s">
        <v>227</v>
      </c>
      <c r="H4" s="115" t="str">
        <f>IFERROR(IF(RIGHT(D4,1)="A","S",IF(RIGHT(D4,1)="B","M",IF(RIGHT(D4,1)="C","L",IF(RIGHT(D4,1)="D","XL",IF(RIGHT(D4,1)="E","XXL",""))))),"")</f>
        <v>S</v>
      </c>
      <c r="I4" s="115">
        <f t="shared" si="0"/>
        <v>18</v>
      </c>
      <c r="J4" s="115">
        <v>18</v>
      </c>
      <c r="K4" s="115">
        <f t="shared" si="1"/>
        <v>1</v>
      </c>
      <c r="L4" s="116">
        <f t="shared" si="2"/>
        <v>6.2115166091999997E-2</v>
      </c>
      <c r="M4" s="115">
        <v>4.18</v>
      </c>
      <c r="N4" s="115">
        <v>5.23</v>
      </c>
      <c r="O4" s="116">
        <f t="shared" si="3"/>
        <v>5.23</v>
      </c>
      <c r="P4" s="116">
        <f t="shared" si="4"/>
        <v>4.18</v>
      </c>
      <c r="Q4" s="115">
        <v>48.26</v>
      </c>
      <c r="R4" s="115" t="s">
        <v>23</v>
      </c>
      <c r="S4" s="115">
        <v>48.26</v>
      </c>
      <c r="T4" s="115" t="s">
        <v>23</v>
      </c>
      <c r="U4" s="115">
        <v>26.67</v>
      </c>
      <c r="V4" s="117">
        <f t="shared" si="5"/>
        <v>6.2115166091999997E-2</v>
      </c>
      <c r="W4" s="115" t="s">
        <v>38</v>
      </c>
      <c r="X4" s="115" t="s">
        <v>38</v>
      </c>
      <c r="Y4" s="115" t="s">
        <v>211</v>
      </c>
    </row>
    <row r="5" spans="1:25">
      <c r="A5" s="115" t="s">
        <v>0</v>
      </c>
      <c r="B5" s="115">
        <v>5</v>
      </c>
      <c r="C5" s="115">
        <v>12</v>
      </c>
      <c r="D5" s="115" t="s">
        <v>141</v>
      </c>
      <c r="E5" s="115" t="s">
        <v>140</v>
      </c>
      <c r="F5" s="115" t="s">
        <v>37</v>
      </c>
      <c r="G5" s="154" t="s">
        <v>227</v>
      </c>
      <c r="H5" s="115" t="str">
        <f>IFERROR(IF(RIGHT(D5,1)="A","S",IF(RIGHT(D5,1)="B","M",IF(RIGHT(D5,1)="C","L",IF(RIGHT(D5,1)="D","XL",IF(RIGHT(D5,1)="E","XXL",""))))),"")</f>
        <v>M</v>
      </c>
      <c r="I5" s="115">
        <f t="shared" si="0"/>
        <v>36</v>
      </c>
      <c r="J5" s="115">
        <v>288</v>
      </c>
      <c r="K5" s="115">
        <f t="shared" si="1"/>
        <v>8</v>
      </c>
      <c r="L5" s="116">
        <f t="shared" si="2"/>
        <v>0.49692132873599998</v>
      </c>
      <c r="M5" s="115">
        <v>71.680000000000007</v>
      </c>
      <c r="N5" s="115">
        <v>80</v>
      </c>
      <c r="O5" s="116">
        <f t="shared" si="3"/>
        <v>10</v>
      </c>
      <c r="P5" s="116">
        <f t="shared" si="4"/>
        <v>8.9600000000000009</v>
      </c>
      <c r="Q5" s="115">
        <v>48.26</v>
      </c>
      <c r="R5" s="115" t="s">
        <v>23</v>
      </c>
      <c r="S5" s="115">
        <v>48.26</v>
      </c>
      <c r="T5" s="115" t="s">
        <v>23</v>
      </c>
      <c r="U5" s="115">
        <v>26.67</v>
      </c>
      <c r="V5" s="117">
        <f t="shared" si="5"/>
        <v>6.2115166091999997E-2</v>
      </c>
      <c r="W5" s="115" t="s">
        <v>38</v>
      </c>
      <c r="X5" s="115" t="s">
        <v>38</v>
      </c>
      <c r="Y5" s="115" t="s">
        <v>211</v>
      </c>
    </row>
    <row r="6" spans="1:25">
      <c r="A6" s="115" t="s">
        <v>0</v>
      </c>
      <c r="B6" s="115">
        <v>13</v>
      </c>
      <c r="C6" s="115">
        <v>13</v>
      </c>
      <c r="D6" s="115" t="s">
        <v>141</v>
      </c>
      <c r="E6" s="115" t="s">
        <v>140</v>
      </c>
      <c r="F6" s="115" t="s">
        <v>37</v>
      </c>
      <c r="G6" s="154" t="s">
        <v>227</v>
      </c>
      <c r="H6" s="115" t="str">
        <f>IFERROR(IF(RIGHT(D6,1)="A","S",IF(RIGHT(D6,1)="B","M",IF(RIGHT(D6,1)="C","L",IF(RIGHT(D6,1)="D","XL",IF(RIGHT(D6,1)="E","XXL",""))))),"")</f>
        <v>M</v>
      </c>
      <c r="I6" s="115">
        <f t="shared" si="0"/>
        <v>22</v>
      </c>
      <c r="J6" s="115">
        <v>22</v>
      </c>
      <c r="K6" s="115">
        <f t="shared" si="1"/>
        <v>1</v>
      </c>
      <c r="L6" s="116">
        <f t="shared" si="2"/>
        <v>6.2115166091999997E-2</v>
      </c>
      <c r="M6" s="115">
        <v>5.47</v>
      </c>
      <c r="N6" s="115">
        <v>6.51</v>
      </c>
      <c r="O6" s="116">
        <f t="shared" si="3"/>
        <v>6.51</v>
      </c>
      <c r="P6" s="116">
        <f t="shared" si="4"/>
        <v>5.47</v>
      </c>
      <c r="Q6" s="115">
        <v>48.26</v>
      </c>
      <c r="R6" s="115" t="s">
        <v>23</v>
      </c>
      <c r="S6" s="115">
        <v>48.26</v>
      </c>
      <c r="T6" s="115" t="s">
        <v>23</v>
      </c>
      <c r="U6" s="115">
        <v>26.67</v>
      </c>
      <c r="V6" s="117">
        <f t="shared" si="5"/>
        <v>6.2115166091999997E-2</v>
      </c>
      <c r="W6" s="115" t="s">
        <v>38</v>
      </c>
      <c r="X6" s="115" t="s">
        <v>38</v>
      </c>
      <c r="Y6" s="115" t="s">
        <v>211</v>
      </c>
    </row>
    <row r="7" spans="1:25">
      <c r="A7" s="115" t="s">
        <v>0</v>
      </c>
      <c r="B7" s="115">
        <v>15</v>
      </c>
      <c r="C7" s="115">
        <v>19</v>
      </c>
      <c r="D7" s="115" t="s">
        <v>142</v>
      </c>
      <c r="E7" s="115" t="s">
        <v>140</v>
      </c>
      <c r="F7" s="115" t="s">
        <v>37</v>
      </c>
      <c r="G7" s="154" t="s">
        <v>227</v>
      </c>
      <c r="H7" s="115" t="str">
        <f>IFERROR(IF(RIGHT(D7,1)="A","S",IF(RIGHT(D7,1)="B","M",IF(RIGHT(D7,1)="C","L",IF(RIGHT(D7,1)="D","XL",IF(RIGHT(D7,1)="E","XXL",""))))),"")</f>
        <v>L</v>
      </c>
      <c r="I7" s="115">
        <f t="shared" si="0"/>
        <v>36</v>
      </c>
      <c r="J7" s="115">
        <v>180</v>
      </c>
      <c r="K7" s="115">
        <f t="shared" si="1"/>
        <v>5</v>
      </c>
      <c r="L7" s="116">
        <f t="shared" si="2"/>
        <v>0.31057583045999998</v>
      </c>
      <c r="M7" s="115">
        <v>46.8</v>
      </c>
      <c r="N7" s="115">
        <v>52</v>
      </c>
      <c r="O7" s="116">
        <f t="shared" si="3"/>
        <v>10.4</v>
      </c>
      <c r="P7" s="116">
        <f t="shared" si="4"/>
        <v>9.36</v>
      </c>
      <c r="Q7" s="115">
        <v>48.26</v>
      </c>
      <c r="R7" s="115" t="s">
        <v>23</v>
      </c>
      <c r="S7" s="115">
        <v>48.26</v>
      </c>
      <c r="T7" s="115" t="s">
        <v>23</v>
      </c>
      <c r="U7" s="115">
        <v>26.67</v>
      </c>
      <c r="V7" s="117">
        <f t="shared" si="5"/>
        <v>6.2115166091999997E-2</v>
      </c>
      <c r="W7" s="115" t="s">
        <v>38</v>
      </c>
      <c r="X7" s="115" t="s">
        <v>38</v>
      </c>
      <c r="Y7" s="115" t="s">
        <v>211</v>
      </c>
    </row>
    <row r="8" spans="1:25">
      <c r="A8" s="115" t="s">
        <v>0</v>
      </c>
      <c r="B8" s="115">
        <v>20</v>
      </c>
      <c r="C8" s="115">
        <v>20</v>
      </c>
      <c r="D8" s="115" t="s">
        <v>142</v>
      </c>
      <c r="E8" s="115" t="s">
        <v>140</v>
      </c>
      <c r="F8" s="115" t="s">
        <v>37</v>
      </c>
      <c r="G8" s="154" t="s">
        <v>227</v>
      </c>
      <c r="H8" s="115" t="str">
        <f>IFERROR(IF(RIGHT(D8,1)="A","S",IF(RIGHT(D8,1)="B","M",IF(RIGHT(D8,1)="C","L",IF(RIGHT(D8,1)="D","XL",IF(RIGHT(D8,1)="E","XXL",""))))),"")</f>
        <v>L</v>
      </c>
      <c r="I8" s="115">
        <f t="shared" si="0"/>
        <v>15</v>
      </c>
      <c r="J8" s="115">
        <v>15</v>
      </c>
      <c r="K8" s="115">
        <f t="shared" si="1"/>
        <v>1</v>
      </c>
      <c r="L8" s="116">
        <f t="shared" si="2"/>
        <v>6.2115166091999997E-2</v>
      </c>
      <c r="M8" s="115">
        <v>3.9</v>
      </c>
      <c r="N8" s="115">
        <v>4.9400000000000004</v>
      </c>
      <c r="O8" s="116">
        <f t="shared" si="3"/>
        <v>4.9400000000000004</v>
      </c>
      <c r="P8" s="116">
        <f t="shared" si="4"/>
        <v>3.9</v>
      </c>
      <c r="Q8" s="115">
        <v>48.26</v>
      </c>
      <c r="R8" s="115" t="s">
        <v>23</v>
      </c>
      <c r="S8" s="115">
        <v>48.26</v>
      </c>
      <c r="T8" s="115" t="s">
        <v>23</v>
      </c>
      <c r="U8" s="115">
        <v>26.67</v>
      </c>
      <c r="V8" s="117">
        <f t="shared" si="5"/>
        <v>6.2115166091999997E-2</v>
      </c>
      <c r="W8" s="115" t="s">
        <v>38</v>
      </c>
      <c r="X8" s="115" t="s">
        <v>38</v>
      </c>
      <c r="Y8" s="115" t="s">
        <v>211</v>
      </c>
    </row>
    <row r="9" spans="1:25">
      <c r="A9" s="115" t="s">
        <v>0</v>
      </c>
      <c r="B9" s="115">
        <v>21</v>
      </c>
      <c r="C9" s="115">
        <v>21</v>
      </c>
      <c r="D9" s="115" t="s">
        <v>143</v>
      </c>
      <c r="E9" s="115" t="s">
        <v>140</v>
      </c>
      <c r="F9" s="115" t="s">
        <v>37</v>
      </c>
      <c r="G9" s="154" t="s">
        <v>227</v>
      </c>
      <c r="H9" s="115" t="str">
        <f>IFERROR(IF(RIGHT(D9,1)="A","S",IF(RIGHT(D9,1)="B","M",IF(RIGHT(D9,1)="C","L",IF(RIGHT(D9,1)="D","XL",IF(RIGHT(D9,1)="E","XXL",""))))),"")</f>
        <v>XL</v>
      </c>
      <c r="I9" s="115">
        <f t="shared" si="0"/>
        <v>36</v>
      </c>
      <c r="J9" s="115">
        <v>36</v>
      </c>
      <c r="K9" s="115">
        <f t="shared" si="1"/>
        <v>1</v>
      </c>
      <c r="L9" s="116">
        <f t="shared" si="2"/>
        <v>6.2115166091999997E-2</v>
      </c>
      <c r="M9" s="115">
        <v>10.039999999999999</v>
      </c>
      <c r="N9" s="115">
        <v>11.08</v>
      </c>
      <c r="O9" s="116">
        <f t="shared" si="3"/>
        <v>11.08</v>
      </c>
      <c r="P9" s="116">
        <f t="shared" si="4"/>
        <v>10.039999999999999</v>
      </c>
      <c r="Q9" s="115">
        <v>48.26</v>
      </c>
      <c r="R9" s="115" t="s">
        <v>23</v>
      </c>
      <c r="S9" s="115">
        <v>48.26</v>
      </c>
      <c r="T9" s="115" t="s">
        <v>23</v>
      </c>
      <c r="U9" s="115">
        <v>26.67</v>
      </c>
      <c r="V9" s="117">
        <f t="shared" si="5"/>
        <v>6.2115166091999997E-2</v>
      </c>
      <c r="W9" s="115" t="s">
        <v>38</v>
      </c>
      <c r="X9" s="115" t="s">
        <v>38</v>
      </c>
      <c r="Y9" s="115" t="s">
        <v>211</v>
      </c>
    </row>
    <row r="10" spans="1:25">
      <c r="A10" s="115" t="s">
        <v>0</v>
      </c>
      <c r="B10" s="115">
        <v>22</v>
      </c>
      <c r="C10" s="115">
        <v>22</v>
      </c>
      <c r="D10" s="115" t="s">
        <v>143</v>
      </c>
      <c r="E10" s="115" t="s">
        <v>140</v>
      </c>
      <c r="F10" s="115" t="s">
        <v>37</v>
      </c>
      <c r="G10" s="154" t="s">
        <v>227</v>
      </c>
      <c r="H10" s="115" t="str">
        <f>IFERROR(IF(RIGHT(D10,1)="A","S",IF(RIGHT(D10,1)="B","M",IF(RIGHT(D10,1)="C","L",IF(RIGHT(D10,1)="D","XL",IF(RIGHT(D10,1)="E","XXL",""))))),"")</f>
        <v>XL</v>
      </c>
      <c r="I10" s="115">
        <f t="shared" si="0"/>
        <v>14</v>
      </c>
      <c r="J10" s="115">
        <v>14</v>
      </c>
      <c r="K10" s="115">
        <f t="shared" si="1"/>
        <v>1</v>
      </c>
      <c r="L10" s="116">
        <f t="shared" si="2"/>
        <v>6.2115166091999997E-2</v>
      </c>
      <c r="M10" s="115">
        <v>3.9</v>
      </c>
      <c r="N10" s="115">
        <v>4.9400000000000004</v>
      </c>
      <c r="O10" s="116">
        <f t="shared" si="3"/>
        <v>4.9400000000000004</v>
      </c>
      <c r="P10" s="116">
        <f t="shared" si="4"/>
        <v>3.9</v>
      </c>
      <c r="Q10" s="115">
        <v>48.26</v>
      </c>
      <c r="R10" s="115" t="s">
        <v>23</v>
      </c>
      <c r="S10" s="115">
        <v>48.26</v>
      </c>
      <c r="T10" s="115" t="s">
        <v>23</v>
      </c>
      <c r="U10" s="115">
        <v>26.67</v>
      </c>
      <c r="V10" s="117">
        <f t="shared" si="5"/>
        <v>6.2115166091999997E-2</v>
      </c>
      <c r="W10" s="115" t="s">
        <v>38</v>
      </c>
      <c r="X10" s="115" t="s">
        <v>38</v>
      </c>
      <c r="Y10" s="115" t="s">
        <v>211</v>
      </c>
    </row>
    <row r="11" spans="1:25">
      <c r="A11" s="115" t="s">
        <v>0</v>
      </c>
      <c r="B11" s="115">
        <v>1</v>
      </c>
      <c r="C11" s="115">
        <v>10</v>
      </c>
      <c r="D11" s="115" t="s">
        <v>145</v>
      </c>
      <c r="E11" s="115" t="s">
        <v>140</v>
      </c>
      <c r="F11" s="115" t="s">
        <v>37</v>
      </c>
      <c r="G11" s="155" t="s">
        <v>230</v>
      </c>
      <c r="H11" s="115" t="str">
        <f>IFERROR(IF(RIGHT(D11,1)="A","S",IF(RIGHT(D11,1)="B","M",IF(RIGHT(D11,1)="C","L",IF(RIGHT(D11,1)="D","XL",IF(RIGHT(D11,1)="E","XXL",""))))),"")</f>
        <v>S</v>
      </c>
      <c r="I11" s="115">
        <f t="shared" si="0"/>
        <v>36</v>
      </c>
      <c r="J11" s="115">
        <v>360</v>
      </c>
      <c r="K11" s="115">
        <f t="shared" si="1"/>
        <v>10</v>
      </c>
      <c r="L11" s="116">
        <f t="shared" si="2"/>
        <v>0.73946626299999996</v>
      </c>
      <c r="M11" s="115">
        <v>108.5</v>
      </c>
      <c r="N11" s="115">
        <v>111.7</v>
      </c>
      <c r="O11" s="116">
        <f t="shared" si="3"/>
        <v>11.17</v>
      </c>
      <c r="P11" s="116">
        <f t="shared" si="4"/>
        <v>10.85</v>
      </c>
      <c r="Q11" s="115">
        <v>48.26</v>
      </c>
      <c r="R11" s="115" t="s">
        <v>23</v>
      </c>
      <c r="S11" s="115">
        <v>48.26</v>
      </c>
      <c r="T11" s="115" t="s">
        <v>23</v>
      </c>
      <c r="U11" s="115">
        <v>31.75</v>
      </c>
      <c r="V11" s="117">
        <f t="shared" si="5"/>
        <v>7.3946626299999998E-2</v>
      </c>
      <c r="W11" s="115" t="s">
        <v>38</v>
      </c>
      <c r="X11" s="115" t="s">
        <v>38</v>
      </c>
      <c r="Y11" s="115" t="s">
        <v>213</v>
      </c>
    </row>
    <row r="12" spans="1:25">
      <c r="A12" s="115" t="s">
        <v>0</v>
      </c>
      <c r="B12" s="115">
        <v>11</v>
      </c>
      <c r="C12" s="115">
        <v>27</v>
      </c>
      <c r="D12" s="115" t="s">
        <v>146</v>
      </c>
      <c r="E12" s="115" t="s">
        <v>140</v>
      </c>
      <c r="F12" s="115" t="s">
        <v>37</v>
      </c>
      <c r="G12" s="155" t="s">
        <v>230</v>
      </c>
      <c r="H12" s="115" t="str">
        <f>IFERROR(IF(RIGHT(D12,1)="A","S",IF(RIGHT(D12,1)="B","M",IF(RIGHT(D12,1)="C","L",IF(RIGHT(D12,1)="D","XL",IF(RIGHT(D12,1)="E","XXL",""))))),"")</f>
        <v>M</v>
      </c>
      <c r="I12" s="115">
        <f t="shared" si="0"/>
        <v>36</v>
      </c>
      <c r="J12" s="115">
        <v>612</v>
      </c>
      <c r="K12" s="115">
        <f t="shared" si="1"/>
        <v>17</v>
      </c>
      <c r="L12" s="116">
        <f t="shared" si="2"/>
        <v>1.2570926470999999</v>
      </c>
      <c r="M12" s="115">
        <v>197.54</v>
      </c>
      <c r="N12" s="115">
        <v>219.98</v>
      </c>
      <c r="O12" s="116">
        <f t="shared" si="3"/>
        <v>12.94</v>
      </c>
      <c r="P12" s="116">
        <f t="shared" si="4"/>
        <v>11.62</v>
      </c>
      <c r="Q12" s="115">
        <v>48.26</v>
      </c>
      <c r="R12" s="115" t="s">
        <v>23</v>
      </c>
      <c r="S12" s="115">
        <v>48.26</v>
      </c>
      <c r="T12" s="115" t="s">
        <v>23</v>
      </c>
      <c r="U12" s="115">
        <v>31.75</v>
      </c>
      <c r="V12" s="117">
        <f t="shared" si="5"/>
        <v>7.3946626299999998E-2</v>
      </c>
      <c r="W12" s="115" t="s">
        <v>38</v>
      </c>
      <c r="X12" s="115" t="s">
        <v>38</v>
      </c>
      <c r="Y12" s="115" t="s">
        <v>213</v>
      </c>
    </row>
    <row r="13" spans="1:25">
      <c r="A13" s="115" t="s">
        <v>0</v>
      </c>
      <c r="B13" s="115">
        <v>28</v>
      </c>
      <c r="C13" s="115">
        <v>40</v>
      </c>
      <c r="D13" s="115" t="s">
        <v>147</v>
      </c>
      <c r="E13" s="115" t="s">
        <v>140</v>
      </c>
      <c r="F13" s="115" t="s">
        <v>37</v>
      </c>
      <c r="G13" s="155" t="s">
        <v>230</v>
      </c>
      <c r="H13" s="115" t="str">
        <f>IFERROR(IF(RIGHT(D13,1)="A","S",IF(RIGHT(D13,1)="B","M",IF(RIGHT(D13,1)="C","L",IF(RIGHT(D13,1)="D","XL",IF(RIGHT(D13,1)="E","XXL",""))))),"")</f>
        <v>L</v>
      </c>
      <c r="I13" s="115">
        <f t="shared" si="0"/>
        <v>36</v>
      </c>
      <c r="J13" s="115">
        <v>468</v>
      </c>
      <c r="K13" s="115">
        <f t="shared" si="1"/>
        <v>13</v>
      </c>
      <c r="L13" s="116">
        <f t="shared" si="2"/>
        <v>0.96130614189999997</v>
      </c>
      <c r="M13" s="115">
        <v>162.5</v>
      </c>
      <c r="N13" s="115">
        <v>180.18</v>
      </c>
      <c r="O13" s="116">
        <f t="shared" si="3"/>
        <v>13.860000000000001</v>
      </c>
      <c r="P13" s="116">
        <f t="shared" si="4"/>
        <v>12.5</v>
      </c>
      <c r="Q13" s="115">
        <v>48.26</v>
      </c>
      <c r="R13" s="115" t="s">
        <v>23</v>
      </c>
      <c r="S13" s="115">
        <v>48.26</v>
      </c>
      <c r="T13" s="115" t="s">
        <v>23</v>
      </c>
      <c r="U13" s="115">
        <v>31.75</v>
      </c>
      <c r="V13" s="117">
        <f t="shared" si="5"/>
        <v>7.3946626299999998E-2</v>
      </c>
      <c r="W13" s="115" t="s">
        <v>38</v>
      </c>
      <c r="X13" s="115" t="s">
        <v>38</v>
      </c>
      <c r="Y13" s="115" t="s">
        <v>213</v>
      </c>
    </row>
    <row r="14" spans="1:25">
      <c r="A14" s="115" t="s">
        <v>0</v>
      </c>
      <c r="B14" s="115">
        <v>41</v>
      </c>
      <c r="C14" s="115">
        <v>53</v>
      </c>
      <c r="D14" s="115" t="s">
        <v>148</v>
      </c>
      <c r="E14" s="115" t="s">
        <v>140</v>
      </c>
      <c r="F14" s="115" t="s">
        <v>37</v>
      </c>
      <c r="G14" s="155" t="s">
        <v>230</v>
      </c>
      <c r="H14" s="115" t="str">
        <f>IFERROR(IF(RIGHT(D14,1)="A","S",IF(RIGHT(D14,1)="B","M",IF(RIGHT(D14,1)="C","L",IF(RIGHT(D14,1)="D","XL",IF(RIGHT(D14,1)="E","XXL",""))))),"")</f>
        <v>XL</v>
      </c>
      <c r="I14" s="115">
        <f t="shared" si="0"/>
        <v>36</v>
      </c>
      <c r="J14" s="115">
        <v>468</v>
      </c>
      <c r="K14" s="115">
        <f t="shared" si="1"/>
        <v>13</v>
      </c>
      <c r="L14" s="116">
        <f t="shared" si="2"/>
        <v>1.0766628789279999</v>
      </c>
      <c r="M14" s="115">
        <v>177.84</v>
      </c>
      <c r="N14" s="115">
        <v>195.52</v>
      </c>
      <c r="O14" s="116">
        <f t="shared" si="3"/>
        <v>15.040000000000001</v>
      </c>
      <c r="P14" s="116">
        <f t="shared" si="4"/>
        <v>13.68</v>
      </c>
      <c r="Q14" s="115">
        <v>48.26</v>
      </c>
      <c r="R14" s="115" t="s">
        <v>23</v>
      </c>
      <c r="S14" s="115">
        <v>48.26</v>
      </c>
      <c r="T14" s="115" t="s">
        <v>23</v>
      </c>
      <c r="U14" s="115">
        <v>35.56</v>
      </c>
      <c r="V14" s="117">
        <f t="shared" si="5"/>
        <v>8.2820221456000001E-2</v>
      </c>
      <c r="W14" s="115" t="s">
        <v>38</v>
      </c>
      <c r="X14" s="115" t="s">
        <v>38</v>
      </c>
      <c r="Y14" s="115" t="s">
        <v>213</v>
      </c>
    </row>
    <row r="15" spans="1:25">
      <c r="A15" s="115" t="s">
        <v>0</v>
      </c>
      <c r="B15" s="115">
        <v>1</v>
      </c>
      <c r="C15" s="115">
        <v>9</v>
      </c>
      <c r="D15" s="115" t="s">
        <v>150</v>
      </c>
      <c r="E15" s="115" t="s">
        <v>140</v>
      </c>
      <c r="F15" s="115" t="s">
        <v>37</v>
      </c>
      <c r="G15" s="155" t="s">
        <v>230</v>
      </c>
      <c r="H15" s="115" t="str">
        <f>IFERROR(IF(RIGHT(D15,1)="A","S",IF(RIGHT(D15,1)="B","M",IF(RIGHT(D15,1)="C","L",IF(RIGHT(D15,1)="D","XL",IF(RIGHT(D15,1)="E","XXL",""))))),"")</f>
        <v>M</v>
      </c>
      <c r="I15" s="115">
        <f t="shared" si="0"/>
        <v>36</v>
      </c>
      <c r="J15" s="115">
        <v>324</v>
      </c>
      <c r="K15" s="115">
        <f t="shared" si="1"/>
        <v>9</v>
      </c>
      <c r="L15" s="116">
        <f t="shared" si="2"/>
        <v>0.47917413842399997</v>
      </c>
      <c r="M15" s="115">
        <v>84.24</v>
      </c>
      <c r="N15" s="115">
        <v>95.4</v>
      </c>
      <c r="O15" s="116">
        <f t="shared" si="3"/>
        <v>10.600000000000001</v>
      </c>
      <c r="P15" s="116">
        <f t="shared" si="4"/>
        <v>9.36</v>
      </c>
      <c r="Q15" s="115">
        <v>48.26</v>
      </c>
      <c r="R15" s="115" t="s">
        <v>23</v>
      </c>
      <c r="S15" s="115">
        <v>48.26</v>
      </c>
      <c r="T15" s="115" t="s">
        <v>23</v>
      </c>
      <c r="U15" s="115">
        <v>22.86</v>
      </c>
      <c r="V15" s="117">
        <f t="shared" si="5"/>
        <v>5.3241570935999995E-2</v>
      </c>
      <c r="W15" s="115" t="s">
        <v>38</v>
      </c>
      <c r="X15" s="115" t="s">
        <v>38</v>
      </c>
      <c r="Y15" s="115" t="s">
        <v>215</v>
      </c>
    </row>
    <row r="16" spans="1:25">
      <c r="A16" s="115" t="s">
        <v>0</v>
      </c>
      <c r="B16" s="115">
        <v>10</v>
      </c>
      <c r="C16" s="115">
        <v>10</v>
      </c>
      <c r="D16" s="115" t="s">
        <v>150</v>
      </c>
      <c r="E16" s="115" t="s">
        <v>140</v>
      </c>
      <c r="F16" s="115" t="s">
        <v>37</v>
      </c>
      <c r="G16" s="155" t="s">
        <v>230</v>
      </c>
      <c r="H16" s="115" t="str">
        <f>IFERROR(IF(RIGHT(D16,1)="A","S",IF(RIGHT(D16,1)="B","M",IF(RIGHT(D16,1)="C","L",IF(RIGHT(D16,1)="D","XL",IF(RIGHT(D16,1)="E","XXL",""))))),"")</f>
        <v>M</v>
      </c>
      <c r="I16" s="115">
        <f t="shared" si="0"/>
        <v>10</v>
      </c>
      <c r="J16" s="115">
        <v>10</v>
      </c>
      <c r="K16" s="115">
        <f t="shared" si="1"/>
        <v>1</v>
      </c>
      <c r="L16" s="116">
        <f t="shared" si="2"/>
        <v>5.3241570935999995E-2</v>
      </c>
      <c r="M16" s="115">
        <v>2.6</v>
      </c>
      <c r="N16" s="115">
        <v>3.84</v>
      </c>
      <c r="O16" s="116">
        <f t="shared" si="3"/>
        <v>3.84</v>
      </c>
      <c r="P16" s="116">
        <f t="shared" si="4"/>
        <v>2.6</v>
      </c>
      <c r="Q16" s="115">
        <v>48.26</v>
      </c>
      <c r="R16" s="115" t="s">
        <v>23</v>
      </c>
      <c r="S16" s="115">
        <v>48.26</v>
      </c>
      <c r="T16" s="115" t="s">
        <v>23</v>
      </c>
      <c r="U16" s="115">
        <v>22.86</v>
      </c>
      <c r="V16" s="117">
        <f t="shared" si="5"/>
        <v>5.3241570935999995E-2</v>
      </c>
      <c r="W16" s="115" t="s">
        <v>38</v>
      </c>
      <c r="X16" s="115" t="s">
        <v>38</v>
      </c>
      <c r="Y16" s="115" t="s">
        <v>215</v>
      </c>
    </row>
    <row r="17" spans="1:25">
      <c r="A17" s="115" t="s">
        <v>0</v>
      </c>
      <c r="B17" s="115">
        <v>11</v>
      </c>
      <c r="C17" s="115">
        <v>23</v>
      </c>
      <c r="D17" s="115" t="s">
        <v>151</v>
      </c>
      <c r="E17" s="115" t="s">
        <v>140</v>
      </c>
      <c r="F17" s="115" t="s">
        <v>37</v>
      </c>
      <c r="G17" s="155" t="s">
        <v>230</v>
      </c>
      <c r="H17" s="115" t="str">
        <f>IFERROR(IF(RIGHT(D17,1)="A","S",IF(RIGHT(D17,1)="B","M",IF(RIGHT(D17,1)="C","L",IF(RIGHT(D17,1)="D","XL",IF(RIGHT(D17,1)="E","XXL",""))))),"")</f>
        <v>L</v>
      </c>
      <c r="I17" s="115">
        <f t="shared" si="0"/>
        <v>36</v>
      </c>
      <c r="J17" s="115">
        <v>468</v>
      </c>
      <c r="K17" s="115">
        <f t="shared" si="1"/>
        <v>13</v>
      </c>
      <c r="L17" s="116">
        <f t="shared" si="2"/>
        <v>0.69214042216799998</v>
      </c>
      <c r="M17" s="115">
        <v>131.04</v>
      </c>
      <c r="N17" s="115">
        <v>147.68</v>
      </c>
      <c r="O17" s="116">
        <f t="shared" si="3"/>
        <v>11.360000000000001</v>
      </c>
      <c r="P17" s="116">
        <f t="shared" si="4"/>
        <v>10.08</v>
      </c>
      <c r="Q17" s="115">
        <v>48.26</v>
      </c>
      <c r="R17" s="115" t="s">
        <v>23</v>
      </c>
      <c r="S17" s="115">
        <v>48.26</v>
      </c>
      <c r="T17" s="115" t="s">
        <v>23</v>
      </c>
      <c r="U17" s="115">
        <v>22.86</v>
      </c>
      <c r="V17" s="117">
        <f t="shared" si="5"/>
        <v>5.3241570935999995E-2</v>
      </c>
      <c r="W17" s="115" t="s">
        <v>38</v>
      </c>
      <c r="X17" s="115" t="s">
        <v>38</v>
      </c>
      <c r="Y17" s="115" t="s">
        <v>215</v>
      </c>
    </row>
    <row r="18" spans="1:25">
      <c r="A18" s="115" t="s">
        <v>0</v>
      </c>
      <c r="B18" s="115">
        <v>24</v>
      </c>
      <c r="C18" s="115">
        <v>24</v>
      </c>
      <c r="D18" s="115" t="s">
        <v>151</v>
      </c>
      <c r="E18" s="115" t="s">
        <v>140</v>
      </c>
      <c r="F18" s="115" t="s">
        <v>37</v>
      </c>
      <c r="G18" s="155" t="s">
        <v>230</v>
      </c>
      <c r="H18" s="115" t="str">
        <f>IFERROR(IF(RIGHT(D18,1)="A","S",IF(RIGHT(D18,1)="B","M",IF(RIGHT(D18,1)="C","L",IF(RIGHT(D18,1)="D","XL",IF(RIGHT(D18,1)="E","XXL",""))))),"")</f>
        <v>L</v>
      </c>
      <c r="I18" s="115">
        <f t="shared" si="0"/>
        <v>7</v>
      </c>
      <c r="J18" s="115">
        <v>7</v>
      </c>
      <c r="K18" s="115">
        <f t="shared" si="1"/>
        <v>1</v>
      </c>
      <c r="L18" s="116">
        <f t="shared" si="2"/>
        <v>5.3241570935999995E-2</v>
      </c>
      <c r="M18" s="115">
        <v>1.96</v>
      </c>
      <c r="N18" s="115">
        <v>3.24</v>
      </c>
      <c r="O18" s="116">
        <f t="shared" si="3"/>
        <v>3.24</v>
      </c>
      <c r="P18" s="116">
        <f t="shared" si="4"/>
        <v>1.96</v>
      </c>
      <c r="Q18" s="115">
        <v>48.26</v>
      </c>
      <c r="R18" s="115" t="s">
        <v>23</v>
      </c>
      <c r="S18" s="115">
        <v>48.26</v>
      </c>
      <c r="T18" s="115" t="s">
        <v>23</v>
      </c>
      <c r="U18" s="115">
        <v>22.86</v>
      </c>
      <c r="V18" s="117">
        <f t="shared" si="5"/>
        <v>5.3241570935999995E-2</v>
      </c>
      <c r="W18" s="115" t="s">
        <v>38</v>
      </c>
      <c r="X18" s="115" t="s">
        <v>38</v>
      </c>
      <c r="Y18" s="115" t="s">
        <v>215</v>
      </c>
    </row>
    <row r="19" spans="1:25">
      <c r="A19" s="115" t="s">
        <v>0</v>
      </c>
      <c r="B19" s="115">
        <v>25</v>
      </c>
      <c r="C19" s="115">
        <v>37</v>
      </c>
      <c r="D19" s="115" t="s">
        <v>152</v>
      </c>
      <c r="E19" s="115" t="s">
        <v>140</v>
      </c>
      <c r="F19" s="115" t="s">
        <v>37</v>
      </c>
      <c r="G19" s="155" t="s">
        <v>230</v>
      </c>
      <c r="H19" s="115" t="str">
        <f>IFERROR(IF(RIGHT(D19,1)="A","S",IF(RIGHT(D19,1)="B","M",IF(RIGHT(D19,1)="C","L",IF(RIGHT(D19,1)="D","XL",IF(RIGHT(D19,1)="E","XXL",""))))),"")</f>
        <v>XL</v>
      </c>
      <c r="I19" s="115">
        <f t="shared" si="0"/>
        <v>36</v>
      </c>
      <c r="J19" s="115">
        <v>468</v>
      </c>
      <c r="K19" s="115">
        <f t="shared" si="1"/>
        <v>13</v>
      </c>
      <c r="L19" s="116">
        <f t="shared" si="2"/>
        <v>0.92285389622399994</v>
      </c>
      <c r="M19" s="115">
        <v>135.72</v>
      </c>
      <c r="N19" s="115">
        <v>152.36000000000001</v>
      </c>
      <c r="O19" s="116">
        <f t="shared" si="3"/>
        <v>11.72</v>
      </c>
      <c r="P19" s="116">
        <f t="shared" si="4"/>
        <v>10.44</v>
      </c>
      <c r="Q19" s="115">
        <v>48.26</v>
      </c>
      <c r="R19" s="115" t="s">
        <v>23</v>
      </c>
      <c r="S19" s="115">
        <v>48.26</v>
      </c>
      <c r="T19" s="115" t="s">
        <v>23</v>
      </c>
      <c r="U19" s="115">
        <v>30.48</v>
      </c>
      <c r="V19" s="117">
        <f t="shared" si="5"/>
        <v>7.0988761247999993E-2</v>
      </c>
      <c r="W19" s="115" t="s">
        <v>38</v>
      </c>
      <c r="X19" s="115" t="s">
        <v>38</v>
      </c>
      <c r="Y19" s="115" t="s">
        <v>215</v>
      </c>
    </row>
    <row r="20" spans="1:25">
      <c r="A20" s="115" t="s">
        <v>0</v>
      </c>
      <c r="B20" s="115">
        <v>38</v>
      </c>
      <c r="C20" s="115">
        <v>38</v>
      </c>
      <c r="D20" s="115" t="s">
        <v>152</v>
      </c>
      <c r="E20" s="115" t="s">
        <v>140</v>
      </c>
      <c r="F20" s="115" t="s">
        <v>37</v>
      </c>
      <c r="G20" s="155" t="s">
        <v>230</v>
      </c>
      <c r="H20" s="115" t="str">
        <f>IFERROR(IF(RIGHT(D20,1)="A","S",IF(RIGHT(D20,1)="B","M",IF(RIGHT(D20,1)="C","L",IF(RIGHT(D20,1)="D","XL",IF(RIGHT(D20,1)="E","XXL",""))))),"")</f>
        <v>XL</v>
      </c>
      <c r="I20" s="115">
        <f t="shared" si="0"/>
        <v>29</v>
      </c>
      <c r="J20" s="115">
        <v>29</v>
      </c>
      <c r="K20" s="115">
        <f t="shared" si="1"/>
        <v>1</v>
      </c>
      <c r="L20" s="116">
        <f t="shared" si="2"/>
        <v>7.0988761247999993E-2</v>
      </c>
      <c r="M20" s="115">
        <v>8.41</v>
      </c>
      <c r="N20" s="115">
        <v>9.73</v>
      </c>
      <c r="O20" s="116">
        <f t="shared" si="3"/>
        <v>9.73</v>
      </c>
      <c r="P20" s="116">
        <f t="shared" si="4"/>
        <v>8.41</v>
      </c>
      <c r="Q20" s="115">
        <v>48.26</v>
      </c>
      <c r="R20" s="115" t="s">
        <v>23</v>
      </c>
      <c r="S20" s="115">
        <v>48.26</v>
      </c>
      <c r="T20" s="115" t="s">
        <v>23</v>
      </c>
      <c r="U20" s="115">
        <v>30.48</v>
      </c>
      <c r="V20" s="117">
        <f t="shared" si="5"/>
        <v>7.0988761247999993E-2</v>
      </c>
      <c r="W20" s="115" t="s">
        <v>38</v>
      </c>
      <c r="X20" s="115" t="s">
        <v>38</v>
      </c>
      <c r="Y20" s="115" t="s">
        <v>215</v>
      </c>
    </row>
    <row r="21" spans="1:25">
      <c r="A21" s="115" t="s">
        <v>0</v>
      </c>
      <c r="B21" s="115">
        <v>1</v>
      </c>
      <c r="C21" s="115">
        <v>15</v>
      </c>
      <c r="D21" s="115" t="s">
        <v>154</v>
      </c>
      <c r="E21" s="115" t="s">
        <v>129</v>
      </c>
      <c r="F21" s="115" t="s">
        <v>37</v>
      </c>
      <c r="G21" s="155" t="s">
        <v>234</v>
      </c>
      <c r="H21" s="115" t="str">
        <f>IFERROR(IF(RIGHT(D21,1)="A","S",IF(RIGHT(D21,1)="B","M",IF(RIGHT(D21,1)="C","L",IF(RIGHT(D21,1)="D","XL",IF(RIGHT(D21,1)="E","XXL",""))))),"")</f>
        <v>S</v>
      </c>
      <c r="I21" s="115">
        <f t="shared" si="0"/>
        <v>36</v>
      </c>
      <c r="J21" s="115">
        <v>540</v>
      </c>
      <c r="K21" s="115">
        <f t="shared" si="1"/>
        <v>15</v>
      </c>
      <c r="L21" s="116">
        <f t="shared" si="2"/>
        <v>0.7472501184</v>
      </c>
      <c r="M21" s="115">
        <v>91.8</v>
      </c>
      <c r="N21" s="115">
        <v>104.4</v>
      </c>
      <c r="O21" s="116">
        <f t="shared" si="3"/>
        <v>6.96</v>
      </c>
      <c r="P21" s="116">
        <f t="shared" si="4"/>
        <v>6.12</v>
      </c>
      <c r="Q21" s="115">
        <v>48.26</v>
      </c>
      <c r="R21" s="115" t="s">
        <v>23</v>
      </c>
      <c r="S21" s="115">
        <v>40.64</v>
      </c>
      <c r="T21" s="115" t="s">
        <v>23</v>
      </c>
      <c r="U21" s="115">
        <v>25.4</v>
      </c>
      <c r="V21" s="117">
        <f t="shared" si="5"/>
        <v>4.9816674559999996E-2</v>
      </c>
      <c r="W21" s="115" t="s">
        <v>38</v>
      </c>
      <c r="X21" s="115" t="s">
        <v>38</v>
      </c>
      <c r="Y21" s="115" t="s">
        <v>130</v>
      </c>
    </row>
    <row r="22" spans="1:25">
      <c r="A22" s="115" t="s">
        <v>0</v>
      </c>
      <c r="B22" s="115">
        <v>16</v>
      </c>
      <c r="C22" s="115">
        <v>16</v>
      </c>
      <c r="D22" s="115" t="s">
        <v>154</v>
      </c>
      <c r="E22" s="115" t="s">
        <v>129</v>
      </c>
      <c r="F22" s="115" t="s">
        <v>37</v>
      </c>
      <c r="G22" s="155" t="s">
        <v>234</v>
      </c>
      <c r="H22" s="115" t="str">
        <f>IFERROR(IF(RIGHT(D22,1)="A","S",IF(RIGHT(D22,1)="B","M",IF(RIGHT(D22,1)="C","L",IF(RIGHT(D22,1)="D","XL",IF(RIGHT(D22,1)="E","XXL",""))))),"")</f>
        <v>S</v>
      </c>
      <c r="I22" s="115">
        <f t="shared" si="0"/>
        <v>30</v>
      </c>
      <c r="J22" s="115">
        <v>30</v>
      </c>
      <c r="K22" s="115">
        <f t="shared" si="1"/>
        <v>1</v>
      </c>
      <c r="L22" s="116">
        <f t="shared" si="2"/>
        <v>4.9816674559999996E-2</v>
      </c>
      <c r="M22" s="115">
        <v>5.0999999999999996</v>
      </c>
      <c r="N22" s="115">
        <v>5.94</v>
      </c>
      <c r="O22" s="116">
        <f t="shared" si="3"/>
        <v>5.94</v>
      </c>
      <c r="P22" s="116">
        <f t="shared" si="4"/>
        <v>5.0999999999999996</v>
      </c>
      <c r="Q22" s="115">
        <v>48.26</v>
      </c>
      <c r="R22" s="115" t="s">
        <v>23</v>
      </c>
      <c r="S22" s="115">
        <v>40.64</v>
      </c>
      <c r="T22" s="115" t="s">
        <v>23</v>
      </c>
      <c r="U22" s="115">
        <v>25.4</v>
      </c>
      <c r="V22" s="117">
        <f t="shared" si="5"/>
        <v>4.9816674559999996E-2</v>
      </c>
      <c r="W22" s="115" t="s">
        <v>38</v>
      </c>
      <c r="X22" s="115" t="s">
        <v>38</v>
      </c>
      <c r="Y22" s="115" t="s">
        <v>130</v>
      </c>
    </row>
    <row r="23" spans="1:25">
      <c r="A23" s="115" t="s">
        <v>0</v>
      </c>
      <c r="B23" s="115">
        <v>18</v>
      </c>
      <c r="C23" s="115">
        <v>30</v>
      </c>
      <c r="D23" s="115" t="s">
        <v>155</v>
      </c>
      <c r="E23" s="115" t="s">
        <v>129</v>
      </c>
      <c r="F23" s="115" t="s">
        <v>37</v>
      </c>
      <c r="G23" s="155" t="s">
        <v>234</v>
      </c>
      <c r="H23" s="115" t="str">
        <f>IFERROR(IF(RIGHT(D23,1)="A","S",IF(RIGHT(D23,1)="B","M",IF(RIGHT(D23,1)="C","L",IF(RIGHT(D23,1)="D","XL",IF(RIGHT(D23,1)="E","XXL",""))))),"")</f>
        <v>M</v>
      </c>
      <c r="I23" s="115">
        <f t="shared" si="0"/>
        <v>36</v>
      </c>
      <c r="J23" s="115">
        <v>468</v>
      </c>
      <c r="K23" s="115">
        <f t="shared" si="1"/>
        <v>13</v>
      </c>
      <c r="L23" s="116">
        <f t="shared" si="2"/>
        <v>0.64761676927999989</v>
      </c>
      <c r="M23" s="115">
        <v>88.92</v>
      </c>
      <c r="N23" s="115">
        <v>99.84</v>
      </c>
      <c r="O23" s="116">
        <f t="shared" si="3"/>
        <v>7.6800000000000006</v>
      </c>
      <c r="P23" s="116">
        <f t="shared" si="4"/>
        <v>6.84</v>
      </c>
      <c r="Q23" s="115">
        <v>48.26</v>
      </c>
      <c r="R23" s="115" t="s">
        <v>23</v>
      </c>
      <c r="S23" s="115">
        <v>40.64</v>
      </c>
      <c r="T23" s="115" t="s">
        <v>23</v>
      </c>
      <c r="U23" s="115">
        <v>25.4</v>
      </c>
      <c r="V23" s="117">
        <f t="shared" si="5"/>
        <v>4.9816674559999996E-2</v>
      </c>
      <c r="W23" s="115" t="s">
        <v>38</v>
      </c>
      <c r="X23" s="115" t="s">
        <v>38</v>
      </c>
      <c r="Y23" s="115" t="s">
        <v>130</v>
      </c>
    </row>
    <row r="24" spans="1:25">
      <c r="A24" s="115" t="s">
        <v>0</v>
      </c>
      <c r="B24" s="115">
        <v>32</v>
      </c>
      <c r="C24" s="115">
        <v>53</v>
      </c>
      <c r="D24" s="115" t="s">
        <v>156</v>
      </c>
      <c r="E24" s="115" t="s">
        <v>129</v>
      </c>
      <c r="F24" s="115" t="s">
        <v>37</v>
      </c>
      <c r="G24" s="155" t="s">
        <v>234</v>
      </c>
      <c r="H24" s="115" t="str">
        <f>IFERROR(IF(RIGHT(D24,1)="A","S",IF(RIGHT(D24,1)="B","M",IF(RIGHT(D24,1)="C","L",IF(RIGHT(D24,1)="D","XL",IF(RIGHT(D24,1)="E","XXL",""))))),"")</f>
        <v>L</v>
      </c>
      <c r="I24" s="115">
        <f t="shared" si="0"/>
        <v>36</v>
      </c>
      <c r="J24" s="115">
        <v>792</v>
      </c>
      <c r="K24" s="115">
        <f t="shared" si="1"/>
        <v>22</v>
      </c>
      <c r="L24" s="116">
        <f t="shared" si="2"/>
        <v>1.205563524352</v>
      </c>
      <c r="M24" s="115">
        <v>166.32</v>
      </c>
      <c r="N24" s="115">
        <v>186.56</v>
      </c>
      <c r="O24" s="116">
        <f t="shared" si="3"/>
        <v>8.48</v>
      </c>
      <c r="P24" s="116">
        <f t="shared" si="4"/>
        <v>7.56</v>
      </c>
      <c r="Q24" s="115">
        <v>48.26</v>
      </c>
      <c r="R24" s="115" t="s">
        <v>23</v>
      </c>
      <c r="S24" s="115">
        <v>40.64</v>
      </c>
      <c r="T24" s="115" t="s">
        <v>23</v>
      </c>
      <c r="U24" s="115">
        <v>27.94</v>
      </c>
      <c r="V24" s="117">
        <f t="shared" si="5"/>
        <v>5.4798342016E-2</v>
      </c>
      <c r="W24" s="115" t="s">
        <v>38</v>
      </c>
      <c r="X24" s="115" t="s">
        <v>38</v>
      </c>
      <c r="Y24" s="115" t="s">
        <v>130</v>
      </c>
    </row>
    <row r="25" spans="1:25">
      <c r="A25" s="115" t="s">
        <v>0</v>
      </c>
      <c r="B25" s="115">
        <v>54</v>
      </c>
      <c r="C25" s="115">
        <v>54</v>
      </c>
      <c r="D25" s="115" t="s">
        <v>156</v>
      </c>
      <c r="E25" s="115" t="s">
        <v>129</v>
      </c>
      <c r="F25" s="115" t="s">
        <v>37</v>
      </c>
      <c r="G25" s="155" t="s">
        <v>234</v>
      </c>
      <c r="H25" s="115" t="str">
        <f>IFERROR(IF(RIGHT(D25,1)="A","S",IF(RIGHT(D25,1)="B","M",IF(RIGHT(D25,1)="C","L",IF(RIGHT(D25,1)="D","XL",IF(RIGHT(D25,1)="E","XXL",""))))),"")</f>
        <v>L</v>
      </c>
      <c r="I25" s="115">
        <f t="shared" si="0"/>
        <v>22</v>
      </c>
      <c r="J25" s="115">
        <v>22</v>
      </c>
      <c r="K25" s="115">
        <f t="shared" si="1"/>
        <v>1</v>
      </c>
      <c r="L25" s="116">
        <f t="shared" si="2"/>
        <v>5.4798342016E-2</v>
      </c>
      <c r="M25" s="115">
        <v>4.62</v>
      </c>
      <c r="N25" s="115">
        <v>5.54</v>
      </c>
      <c r="O25" s="116">
        <f t="shared" si="3"/>
        <v>5.54</v>
      </c>
      <c r="P25" s="116">
        <f t="shared" si="4"/>
        <v>4.62</v>
      </c>
      <c r="Q25" s="115">
        <v>48.26</v>
      </c>
      <c r="R25" s="115" t="s">
        <v>23</v>
      </c>
      <c r="S25" s="115">
        <v>40.64</v>
      </c>
      <c r="T25" s="115" t="s">
        <v>23</v>
      </c>
      <c r="U25" s="115">
        <v>27.94</v>
      </c>
      <c r="V25" s="117">
        <f t="shared" si="5"/>
        <v>5.4798342016E-2</v>
      </c>
      <c r="W25" s="115" t="s">
        <v>38</v>
      </c>
      <c r="X25" s="115" t="s">
        <v>38</v>
      </c>
      <c r="Y25" s="115" t="s">
        <v>130</v>
      </c>
    </row>
    <row r="26" spans="1:25">
      <c r="A26" s="115" t="s">
        <v>0</v>
      </c>
      <c r="B26" s="115">
        <v>56</v>
      </c>
      <c r="C26" s="115">
        <v>64</v>
      </c>
      <c r="D26" s="115" t="s">
        <v>157</v>
      </c>
      <c r="E26" s="115" t="s">
        <v>129</v>
      </c>
      <c r="F26" s="115" t="s">
        <v>37</v>
      </c>
      <c r="G26" s="155" t="s">
        <v>234</v>
      </c>
      <c r="H26" s="115" t="str">
        <f>IFERROR(IF(RIGHT(D26,1)="A","S",IF(RIGHT(D26,1)="B","M",IF(RIGHT(D26,1)="C","L",IF(RIGHT(D26,1)="D","XL",IF(RIGHT(D26,1)="E","XXL",""))))),"")</f>
        <v>XL</v>
      </c>
      <c r="I26" s="115">
        <f t="shared" si="0"/>
        <v>36</v>
      </c>
      <c r="J26" s="115">
        <v>324</v>
      </c>
      <c r="K26" s="115">
        <f t="shared" si="1"/>
        <v>9</v>
      </c>
      <c r="L26" s="116">
        <f t="shared" si="2"/>
        <v>0.49318507814399998</v>
      </c>
      <c r="M26" s="115">
        <v>74.52</v>
      </c>
      <c r="N26" s="115">
        <v>82.8</v>
      </c>
      <c r="O26" s="116">
        <f t="shared" si="3"/>
        <v>9.1999999999999993</v>
      </c>
      <c r="P26" s="116">
        <f t="shared" si="4"/>
        <v>8.2799999999999994</v>
      </c>
      <c r="Q26" s="115">
        <v>48.26</v>
      </c>
      <c r="R26" s="115" t="s">
        <v>23</v>
      </c>
      <c r="S26" s="115">
        <v>40.64</v>
      </c>
      <c r="T26" s="115" t="s">
        <v>23</v>
      </c>
      <c r="U26" s="115">
        <v>27.94</v>
      </c>
      <c r="V26" s="117">
        <f t="shared" si="5"/>
        <v>5.4798342016E-2</v>
      </c>
      <c r="W26" s="115" t="s">
        <v>38</v>
      </c>
      <c r="X26" s="115" t="s">
        <v>38</v>
      </c>
      <c r="Y26" s="115" t="s">
        <v>130</v>
      </c>
    </row>
    <row r="27" spans="1:25">
      <c r="A27" s="115" t="s">
        <v>0</v>
      </c>
      <c r="B27" s="115">
        <v>65</v>
      </c>
      <c r="C27" s="115">
        <v>65</v>
      </c>
      <c r="D27" s="115" t="s">
        <v>157</v>
      </c>
      <c r="E27" s="115" t="s">
        <v>129</v>
      </c>
      <c r="F27" s="115" t="s">
        <v>37</v>
      </c>
      <c r="G27" s="155" t="s">
        <v>234</v>
      </c>
      <c r="H27" s="115" t="str">
        <f>IFERROR(IF(RIGHT(D27,1)="A","S",IF(RIGHT(D27,1)="B","M",IF(RIGHT(D27,1)="C","L",IF(RIGHT(D27,1)="D","XL",IF(RIGHT(D27,1)="E","XXL",""))))),"")</f>
        <v>XL</v>
      </c>
      <c r="I27" s="115">
        <f t="shared" si="0"/>
        <v>26</v>
      </c>
      <c r="J27" s="115">
        <v>26</v>
      </c>
      <c r="K27" s="115">
        <f t="shared" si="1"/>
        <v>1</v>
      </c>
      <c r="L27" s="116">
        <f t="shared" si="2"/>
        <v>5.4798342016E-2</v>
      </c>
      <c r="M27" s="115">
        <v>5.98</v>
      </c>
      <c r="N27" s="115">
        <v>6.9</v>
      </c>
      <c r="O27" s="116">
        <f t="shared" si="3"/>
        <v>6.9</v>
      </c>
      <c r="P27" s="116">
        <f t="shared" si="4"/>
        <v>5.98</v>
      </c>
      <c r="Q27" s="115">
        <v>48.26</v>
      </c>
      <c r="R27" s="115" t="s">
        <v>23</v>
      </c>
      <c r="S27" s="115">
        <v>40.64</v>
      </c>
      <c r="T27" s="115" t="s">
        <v>23</v>
      </c>
      <c r="U27" s="115">
        <v>27.94</v>
      </c>
      <c r="V27" s="117">
        <f t="shared" si="5"/>
        <v>5.4798342016E-2</v>
      </c>
      <c r="W27" s="115" t="s">
        <v>38</v>
      </c>
      <c r="X27" s="115" t="s">
        <v>38</v>
      </c>
      <c r="Y27" s="115" t="s">
        <v>130</v>
      </c>
    </row>
    <row r="28" spans="1:25">
      <c r="A28" s="115" t="s">
        <v>0</v>
      </c>
      <c r="B28" s="115">
        <v>1</v>
      </c>
      <c r="C28" s="115">
        <v>37</v>
      </c>
      <c r="D28" s="115" t="s">
        <v>159</v>
      </c>
      <c r="E28" s="115" t="s">
        <v>160</v>
      </c>
      <c r="F28" s="115" t="s">
        <v>37</v>
      </c>
      <c r="G28" s="155" t="s">
        <v>235</v>
      </c>
      <c r="H28" s="115" t="str">
        <f>IFERROR(IF(RIGHT(D28,1)="A","S",IF(RIGHT(D28,1)="B","M",IF(RIGHT(D28,1)="C","L",IF(RIGHT(D28,1)="D","XL",IF(RIGHT(D28,1)="E","XXL",""))))),"")</f>
        <v>S</v>
      </c>
      <c r="I28" s="115">
        <f t="shared" si="0"/>
        <v>36</v>
      </c>
      <c r="J28" s="115">
        <v>1332</v>
      </c>
      <c r="K28" s="115">
        <f t="shared" si="1"/>
        <v>37</v>
      </c>
      <c r="L28" s="116">
        <f t="shared" si="2"/>
        <v>1.9699381246319998</v>
      </c>
      <c r="M28" s="115">
        <v>325.60000000000002</v>
      </c>
      <c r="N28" s="115">
        <v>361.86</v>
      </c>
      <c r="O28" s="116">
        <f t="shared" si="3"/>
        <v>9.7800000000000011</v>
      </c>
      <c r="P28" s="116">
        <f t="shared" si="4"/>
        <v>8.8000000000000007</v>
      </c>
      <c r="Q28" s="115">
        <v>48.26</v>
      </c>
      <c r="R28" s="115" t="s">
        <v>23</v>
      </c>
      <c r="S28" s="115">
        <v>48.26</v>
      </c>
      <c r="T28" s="115" t="s">
        <v>23</v>
      </c>
      <c r="U28" s="115">
        <v>22.86</v>
      </c>
      <c r="V28" s="117">
        <f t="shared" si="5"/>
        <v>5.3241570935999995E-2</v>
      </c>
      <c r="W28" s="115" t="s">
        <v>38</v>
      </c>
      <c r="X28" s="115" t="s">
        <v>38</v>
      </c>
      <c r="Y28" s="115" t="s">
        <v>218</v>
      </c>
    </row>
    <row r="29" spans="1:25">
      <c r="A29" s="115" t="s">
        <v>0</v>
      </c>
      <c r="B29" s="115">
        <v>38</v>
      </c>
      <c r="C29" s="115">
        <v>38</v>
      </c>
      <c r="D29" s="115" t="s">
        <v>159</v>
      </c>
      <c r="E29" s="115" t="s">
        <v>160</v>
      </c>
      <c r="F29" s="115" t="s">
        <v>37</v>
      </c>
      <c r="G29" s="155" t="s">
        <v>235</v>
      </c>
      <c r="H29" s="115" t="str">
        <f>IFERROR(IF(RIGHT(D29,1)="A","S",IF(RIGHT(D29,1)="B","M",IF(RIGHT(D29,1)="C","L",IF(RIGHT(D29,1)="D","XL",IF(RIGHT(D29,1)="E","XXL",""))))),"")</f>
        <v>S</v>
      </c>
      <c r="I29" s="115">
        <f t="shared" si="0"/>
        <v>20</v>
      </c>
      <c r="J29" s="115">
        <v>20</v>
      </c>
      <c r="K29" s="115">
        <f t="shared" si="1"/>
        <v>1</v>
      </c>
      <c r="L29" s="116">
        <f t="shared" si="2"/>
        <v>5.3241570935999995E-2</v>
      </c>
      <c r="M29" s="115">
        <v>4.88</v>
      </c>
      <c r="N29" s="115">
        <v>5.86</v>
      </c>
      <c r="O29" s="116">
        <f t="shared" si="3"/>
        <v>5.86</v>
      </c>
      <c r="P29" s="116">
        <f t="shared" si="4"/>
        <v>4.88</v>
      </c>
      <c r="Q29" s="115">
        <v>48.26</v>
      </c>
      <c r="R29" s="115" t="s">
        <v>23</v>
      </c>
      <c r="S29" s="115">
        <v>48.26</v>
      </c>
      <c r="T29" s="115" t="s">
        <v>23</v>
      </c>
      <c r="U29" s="115">
        <v>22.86</v>
      </c>
      <c r="V29" s="117">
        <f t="shared" si="5"/>
        <v>5.3241570935999995E-2</v>
      </c>
      <c r="W29" s="115" t="s">
        <v>38</v>
      </c>
      <c r="X29" s="115" t="s">
        <v>38</v>
      </c>
      <c r="Y29" s="115" t="s">
        <v>218</v>
      </c>
    </row>
    <row r="30" spans="1:25">
      <c r="A30" s="115" t="s">
        <v>0</v>
      </c>
      <c r="B30" s="115">
        <v>41</v>
      </c>
      <c r="C30" s="115">
        <v>115</v>
      </c>
      <c r="D30" s="115" t="s">
        <v>161</v>
      </c>
      <c r="E30" s="115" t="s">
        <v>160</v>
      </c>
      <c r="F30" s="115" t="s">
        <v>37</v>
      </c>
      <c r="G30" s="155" t="s">
        <v>235</v>
      </c>
      <c r="H30" s="115" t="str">
        <f>IFERROR(IF(RIGHT(D30,1)="A","S",IF(RIGHT(D30,1)="B","M",IF(RIGHT(D30,1)="C","L",IF(RIGHT(D30,1)="D","XL",IF(RIGHT(D30,1)="E","XXL",""))))),"")</f>
        <v>M</v>
      </c>
      <c r="I30" s="115">
        <f t="shared" si="0"/>
        <v>36</v>
      </c>
      <c r="J30" s="115">
        <v>2700</v>
      </c>
      <c r="K30" s="115">
        <f t="shared" si="1"/>
        <v>75</v>
      </c>
      <c r="L30" s="116">
        <f t="shared" si="2"/>
        <v>3.9931178201999997</v>
      </c>
      <c r="M30" s="115">
        <v>703.5</v>
      </c>
      <c r="N30" s="115">
        <v>777</v>
      </c>
      <c r="O30" s="116">
        <f t="shared" si="3"/>
        <v>10.36</v>
      </c>
      <c r="P30" s="116">
        <f t="shared" si="4"/>
        <v>9.3800000000000008</v>
      </c>
      <c r="Q30" s="115">
        <v>48.26</v>
      </c>
      <c r="R30" s="115" t="s">
        <v>23</v>
      </c>
      <c r="S30" s="115">
        <v>48.26</v>
      </c>
      <c r="T30" s="115" t="s">
        <v>23</v>
      </c>
      <c r="U30" s="115">
        <v>22.86</v>
      </c>
      <c r="V30" s="117">
        <f t="shared" si="5"/>
        <v>5.3241570935999995E-2</v>
      </c>
      <c r="W30" s="115" t="s">
        <v>38</v>
      </c>
      <c r="X30" s="115" t="s">
        <v>38</v>
      </c>
      <c r="Y30" s="115" t="s">
        <v>218</v>
      </c>
    </row>
    <row r="31" spans="1:25">
      <c r="A31" s="115" t="s">
        <v>0</v>
      </c>
      <c r="B31" s="115">
        <v>116</v>
      </c>
      <c r="C31" s="115">
        <v>116</v>
      </c>
      <c r="D31" s="115" t="s">
        <v>161</v>
      </c>
      <c r="E31" s="115" t="s">
        <v>160</v>
      </c>
      <c r="F31" s="115" t="s">
        <v>37</v>
      </c>
      <c r="G31" s="155" t="s">
        <v>235</v>
      </c>
      <c r="H31" s="115" t="str">
        <f>IFERROR(IF(RIGHT(D31,1)="A","S",IF(RIGHT(D31,1)="B","M",IF(RIGHT(D31,1)="C","L",IF(RIGHT(D31,1)="D","XL",IF(RIGHT(D31,1)="E","XXL",""))))),"")</f>
        <v>M</v>
      </c>
      <c r="I31" s="115">
        <f t="shared" si="0"/>
        <v>29</v>
      </c>
      <c r="J31" s="115">
        <v>29</v>
      </c>
      <c r="K31" s="115">
        <f t="shared" si="1"/>
        <v>1</v>
      </c>
      <c r="L31" s="116">
        <f t="shared" si="2"/>
        <v>5.3241570935999995E-2</v>
      </c>
      <c r="M31" s="115">
        <v>7.55</v>
      </c>
      <c r="N31" s="115">
        <v>8.5299999999999994</v>
      </c>
      <c r="O31" s="116">
        <f t="shared" si="3"/>
        <v>8.5299999999999994</v>
      </c>
      <c r="P31" s="116">
        <f t="shared" si="4"/>
        <v>7.55</v>
      </c>
      <c r="Q31" s="115">
        <v>48.26</v>
      </c>
      <c r="R31" s="115" t="s">
        <v>23</v>
      </c>
      <c r="S31" s="115">
        <v>48.26</v>
      </c>
      <c r="T31" s="115" t="s">
        <v>23</v>
      </c>
      <c r="U31" s="115">
        <v>22.86</v>
      </c>
      <c r="V31" s="117">
        <f t="shared" si="5"/>
        <v>5.3241570935999995E-2</v>
      </c>
      <c r="W31" s="115" t="s">
        <v>38</v>
      </c>
      <c r="X31" s="115" t="s">
        <v>38</v>
      </c>
      <c r="Y31" s="115" t="s">
        <v>218</v>
      </c>
    </row>
    <row r="32" spans="1:25">
      <c r="A32" s="115" t="s">
        <v>0</v>
      </c>
      <c r="B32" s="115">
        <v>121</v>
      </c>
      <c r="C32" s="115">
        <v>206</v>
      </c>
      <c r="D32" s="115" t="s">
        <v>162</v>
      </c>
      <c r="E32" s="115" t="s">
        <v>160</v>
      </c>
      <c r="F32" s="115" t="s">
        <v>37</v>
      </c>
      <c r="G32" s="155" t="s">
        <v>235</v>
      </c>
      <c r="H32" s="115" t="str">
        <f>IFERROR(IF(RIGHT(D32,1)="A","S",IF(RIGHT(D32,1)="B","M",IF(RIGHT(D32,1)="C","L",IF(RIGHT(D32,1)="D","XL",IF(RIGHT(D32,1)="E","XXL",""))))),"")</f>
        <v>L</v>
      </c>
      <c r="I32" s="115">
        <f t="shared" si="0"/>
        <v>36</v>
      </c>
      <c r="J32" s="115">
        <v>3096</v>
      </c>
      <c r="K32" s="115">
        <f t="shared" si="1"/>
        <v>86</v>
      </c>
      <c r="L32" s="116">
        <f t="shared" si="2"/>
        <v>4.5787751004959993</v>
      </c>
      <c r="M32" s="115">
        <v>858.28</v>
      </c>
      <c r="N32" s="115">
        <v>942.56</v>
      </c>
      <c r="O32" s="116">
        <f t="shared" si="3"/>
        <v>10.959999999999999</v>
      </c>
      <c r="P32" s="116">
        <f t="shared" si="4"/>
        <v>9.98</v>
      </c>
      <c r="Q32" s="115">
        <v>48.26</v>
      </c>
      <c r="R32" s="115" t="s">
        <v>23</v>
      </c>
      <c r="S32" s="115">
        <v>48.26</v>
      </c>
      <c r="T32" s="115" t="s">
        <v>23</v>
      </c>
      <c r="U32" s="115">
        <v>22.86</v>
      </c>
      <c r="V32" s="117">
        <f t="shared" si="5"/>
        <v>5.3241570935999995E-2</v>
      </c>
      <c r="W32" s="115" t="s">
        <v>38</v>
      </c>
      <c r="X32" s="115" t="s">
        <v>38</v>
      </c>
      <c r="Y32" s="115" t="s">
        <v>218</v>
      </c>
    </row>
    <row r="33" spans="1:25">
      <c r="A33" s="115" t="s">
        <v>0</v>
      </c>
      <c r="B33" s="115">
        <v>207</v>
      </c>
      <c r="C33" s="115">
        <v>207</v>
      </c>
      <c r="D33" s="115" t="s">
        <v>162</v>
      </c>
      <c r="E33" s="115" t="s">
        <v>160</v>
      </c>
      <c r="F33" s="115" t="s">
        <v>37</v>
      </c>
      <c r="G33" s="155" t="s">
        <v>235</v>
      </c>
      <c r="H33" s="115" t="str">
        <f>IFERROR(IF(RIGHT(D33,1)="A","S",IF(RIGHT(D33,1)="B","M",IF(RIGHT(D33,1)="C","L",IF(RIGHT(D33,1)="D","XL",IF(RIGHT(D33,1)="E","XXL",""))))),"")</f>
        <v>L</v>
      </c>
      <c r="I33" s="115">
        <f t="shared" si="0"/>
        <v>8</v>
      </c>
      <c r="J33" s="115">
        <v>8</v>
      </c>
      <c r="K33" s="115">
        <f t="shared" si="1"/>
        <v>1</v>
      </c>
      <c r="L33" s="116">
        <f t="shared" si="2"/>
        <v>5.3241570935999995E-2</v>
      </c>
      <c r="M33" s="115">
        <v>2.21</v>
      </c>
      <c r="N33" s="115">
        <v>3.19</v>
      </c>
      <c r="O33" s="116">
        <f t="shared" si="3"/>
        <v>3.19</v>
      </c>
      <c r="P33" s="116">
        <f t="shared" si="4"/>
        <v>2.21</v>
      </c>
      <c r="Q33" s="115">
        <v>48.26</v>
      </c>
      <c r="R33" s="115" t="s">
        <v>23</v>
      </c>
      <c r="S33" s="115">
        <v>48.26</v>
      </c>
      <c r="T33" s="115" t="s">
        <v>23</v>
      </c>
      <c r="U33" s="115">
        <v>22.86</v>
      </c>
      <c r="V33" s="117">
        <f t="shared" si="5"/>
        <v>5.3241570935999995E-2</v>
      </c>
      <c r="W33" s="115" t="s">
        <v>38</v>
      </c>
      <c r="X33" s="115" t="s">
        <v>38</v>
      </c>
      <c r="Y33" s="115" t="s">
        <v>218</v>
      </c>
    </row>
    <row r="34" spans="1:25">
      <c r="A34" s="115" t="s">
        <v>0</v>
      </c>
      <c r="B34" s="115">
        <v>211</v>
      </c>
      <c r="C34" s="115">
        <v>252</v>
      </c>
      <c r="D34" s="115" t="s">
        <v>163</v>
      </c>
      <c r="E34" s="115" t="s">
        <v>160</v>
      </c>
      <c r="F34" s="115" t="s">
        <v>37</v>
      </c>
      <c r="G34" s="155" t="s">
        <v>235</v>
      </c>
      <c r="H34" s="115" t="str">
        <f>IFERROR(IF(RIGHT(D34,1)="A","S",IF(RIGHT(D34,1)="B","M",IF(RIGHT(D34,1)="C","L",IF(RIGHT(D34,1)="D","XL",IF(RIGHT(D34,1)="E","XXL",""))))),"")</f>
        <v>XL</v>
      </c>
      <c r="I34" s="115">
        <f t="shared" si="0"/>
        <v>36</v>
      </c>
      <c r="J34" s="115">
        <v>1512</v>
      </c>
      <c r="K34" s="115">
        <f t="shared" si="1"/>
        <v>42</v>
      </c>
      <c r="L34" s="116">
        <f t="shared" si="2"/>
        <v>2.608836975864</v>
      </c>
      <c r="M34" s="115">
        <v>451.92</v>
      </c>
      <c r="N34" s="115">
        <v>495.6</v>
      </c>
      <c r="O34" s="116">
        <f t="shared" si="3"/>
        <v>11.8</v>
      </c>
      <c r="P34" s="116">
        <f t="shared" si="4"/>
        <v>10.76</v>
      </c>
      <c r="Q34" s="115">
        <v>48.26</v>
      </c>
      <c r="R34" s="115" t="s">
        <v>23</v>
      </c>
      <c r="S34" s="115">
        <v>48.26</v>
      </c>
      <c r="T34" s="115" t="s">
        <v>23</v>
      </c>
      <c r="U34" s="115">
        <v>26.67</v>
      </c>
      <c r="V34" s="117">
        <f t="shared" si="5"/>
        <v>6.2115166091999997E-2</v>
      </c>
      <c r="W34" s="115" t="s">
        <v>38</v>
      </c>
      <c r="X34" s="115" t="s">
        <v>38</v>
      </c>
      <c r="Y34" s="115" t="s">
        <v>218</v>
      </c>
    </row>
    <row r="35" spans="1:25">
      <c r="A35" s="115" t="s">
        <v>0</v>
      </c>
      <c r="B35" s="115">
        <v>253</v>
      </c>
      <c r="C35" s="115">
        <v>253</v>
      </c>
      <c r="D35" s="115" t="s">
        <v>163</v>
      </c>
      <c r="E35" s="115" t="s">
        <v>160</v>
      </c>
      <c r="F35" s="115" t="s">
        <v>37</v>
      </c>
      <c r="G35" s="155" t="s">
        <v>235</v>
      </c>
      <c r="H35" s="115" t="str">
        <f>IFERROR(IF(RIGHT(D35,1)="A","S",IF(RIGHT(D35,1)="B","M",IF(RIGHT(D35,1)="C","L",IF(RIGHT(D35,1)="D","XL",IF(RIGHT(D35,1)="E","XXL",""))))),"")</f>
        <v>XL</v>
      </c>
      <c r="I35" s="115">
        <f t="shared" ref="I35:I66" si="6">IFERROR(J35/K35,"")</f>
        <v>17</v>
      </c>
      <c r="J35" s="115">
        <v>17</v>
      </c>
      <c r="K35" s="115">
        <f t="shared" ref="K35:K66" si="7">C35-B35+1</f>
        <v>1</v>
      </c>
      <c r="L35" s="116">
        <f t="shared" ref="L35:L66" si="8">IFERROR(K35*V35,"")</f>
        <v>6.2115166091999997E-2</v>
      </c>
      <c r="M35" s="115">
        <v>5.08</v>
      </c>
      <c r="N35" s="115">
        <v>6.12</v>
      </c>
      <c r="O35" s="116">
        <f t="shared" ref="O35:O66" si="9">IFERROR(N35/K35,"")</f>
        <v>6.12</v>
      </c>
      <c r="P35" s="116">
        <f t="shared" ref="P35:P66" si="10">IFERROR(M35/K35,"")</f>
        <v>5.08</v>
      </c>
      <c r="Q35" s="115">
        <v>48.26</v>
      </c>
      <c r="R35" s="115" t="s">
        <v>23</v>
      </c>
      <c r="S35" s="115">
        <v>48.26</v>
      </c>
      <c r="T35" s="115" t="s">
        <v>23</v>
      </c>
      <c r="U35" s="115">
        <v>26.67</v>
      </c>
      <c r="V35" s="117">
        <f t="shared" ref="V35:V66" si="11">IFERROR((Q35*S35*U35)/1000000,"")</f>
        <v>6.2115166091999997E-2</v>
      </c>
      <c r="W35" s="115" t="s">
        <v>38</v>
      </c>
      <c r="X35" s="115" t="s">
        <v>38</v>
      </c>
      <c r="Y35" s="115" t="s">
        <v>218</v>
      </c>
    </row>
    <row r="36" spans="1:25">
      <c r="A36" s="115" t="s">
        <v>0</v>
      </c>
      <c r="B36" s="115">
        <v>1</v>
      </c>
      <c r="C36" s="115">
        <v>40</v>
      </c>
      <c r="D36" s="115" t="s">
        <v>164</v>
      </c>
      <c r="E36" s="115" t="s">
        <v>160</v>
      </c>
      <c r="F36" s="115" t="s">
        <v>37</v>
      </c>
      <c r="G36" s="155" t="s">
        <v>235</v>
      </c>
      <c r="H36" s="115" t="str">
        <f>IFERROR(IF(RIGHT(D36,1)="A","S",IF(RIGHT(D36,1)="B","M",IF(RIGHT(D36,1)="C","L",IF(RIGHT(D36,1)="D","XL",IF(RIGHT(D36,1)="E","XXL",""))))),"")</f>
        <v>XXL</v>
      </c>
      <c r="I36" s="115">
        <f t="shared" si="6"/>
        <v>36</v>
      </c>
      <c r="J36" s="115">
        <v>1440</v>
      </c>
      <c r="K36" s="115">
        <f t="shared" si="7"/>
        <v>40</v>
      </c>
      <c r="L36" s="116">
        <f t="shared" si="8"/>
        <v>2.4846066436799998</v>
      </c>
      <c r="M36" s="115">
        <v>447.2</v>
      </c>
      <c r="N36" s="115">
        <v>488.8</v>
      </c>
      <c r="O36" s="116">
        <f t="shared" si="9"/>
        <v>12.22</v>
      </c>
      <c r="P36" s="116">
        <f t="shared" si="10"/>
        <v>11.18</v>
      </c>
      <c r="Q36" s="115">
        <v>48.26</v>
      </c>
      <c r="R36" s="115" t="s">
        <v>23</v>
      </c>
      <c r="S36" s="115">
        <v>48.26</v>
      </c>
      <c r="T36" s="115" t="s">
        <v>23</v>
      </c>
      <c r="U36" s="115">
        <v>26.67</v>
      </c>
      <c r="V36" s="117">
        <f t="shared" si="11"/>
        <v>6.2115166091999997E-2</v>
      </c>
      <c r="W36" s="115" t="s">
        <v>38</v>
      </c>
      <c r="X36" s="115" t="s">
        <v>38</v>
      </c>
      <c r="Y36" s="115" t="s">
        <v>218</v>
      </c>
    </row>
    <row r="37" spans="1:25">
      <c r="A37" s="115" t="s">
        <v>0</v>
      </c>
      <c r="B37" s="115">
        <v>41</v>
      </c>
      <c r="C37" s="115">
        <v>41</v>
      </c>
      <c r="D37" s="115" t="s">
        <v>164</v>
      </c>
      <c r="E37" s="115" t="s">
        <v>160</v>
      </c>
      <c r="F37" s="115" t="s">
        <v>37</v>
      </c>
      <c r="G37" s="155" t="s">
        <v>235</v>
      </c>
      <c r="H37" s="115" t="str">
        <f>IFERROR(IF(RIGHT(D37,1)="A","S",IF(RIGHT(D37,1)="B","M",IF(RIGHT(D37,1)="C","L",IF(RIGHT(D37,1)="D","XL",IF(RIGHT(D37,1)="E","XXL",""))))),"")</f>
        <v>XXL</v>
      </c>
      <c r="I37" s="115">
        <f t="shared" si="6"/>
        <v>2</v>
      </c>
      <c r="J37" s="115">
        <v>2</v>
      </c>
      <c r="K37" s="115">
        <f t="shared" si="7"/>
        <v>1</v>
      </c>
      <c r="L37" s="116">
        <f t="shared" si="8"/>
        <v>6.2115166091999997E-2</v>
      </c>
      <c r="M37" s="115">
        <v>1</v>
      </c>
      <c r="N37" s="115">
        <v>2.04</v>
      </c>
      <c r="O37" s="116">
        <f t="shared" si="9"/>
        <v>2.04</v>
      </c>
      <c r="P37" s="116">
        <f t="shared" si="10"/>
        <v>1</v>
      </c>
      <c r="Q37" s="115">
        <v>48.26</v>
      </c>
      <c r="R37" s="115" t="s">
        <v>23</v>
      </c>
      <c r="S37" s="115">
        <v>48.26</v>
      </c>
      <c r="T37" s="115" t="s">
        <v>23</v>
      </c>
      <c r="U37" s="115">
        <v>26.67</v>
      </c>
      <c r="V37" s="117">
        <f t="shared" si="11"/>
        <v>6.2115166091999997E-2</v>
      </c>
      <c r="W37" s="115" t="s">
        <v>38</v>
      </c>
      <c r="X37" s="115" t="s">
        <v>38</v>
      </c>
      <c r="Y37" s="115" t="s">
        <v>218</v>
      </c>
    </row>
    <row r="38" spans="1:25">
      <c r="A38" s="115" t="s">
        <v>0</v>
      </c>
      <c r="B38" s="115">
        <v>1</v>
      </c>
      <c r="C38" s="115">
        <v>38</v>
      </c>
      <c r="D38" s="115" t="s">
        <v>166</v>
      </c>
      <c r="E38" s="115" t="s">
        <v>160</v>
      </c>
      <c r="F38" s="115" t="s">
        <v>37</v>
      </c>
      <c r="G38" s="155" t="s">
        <v>237</v>
      </c>
      <c r="H38" s="115" t="str">
        <f>IFERROR(IF(RIGHT(D38,1)="A","S",IF(RIGHT(D38,1)="B","M",IF(RIGHT(D38,1)="C","L",IF(RIGHT(D38,1)="D","XL",IF(RIGHT(D38,1)="E","XXL",""))))),"")</f>
        <v>S</v>
      </c>
      <c r="I38" s="115">
        <f t="shared" si="6"/>
        <v>36</v>
      </c>
      <c r="J38" s="115">
        <v>1368</v>
      </c>
      <c r="K38" s="115">
        <f t="shared" si="7"/>
        <v>38</v>
      </c>
      <c r="L38" s="116">
        <f t="shared" si="8"/>
        <v>2.0231796955679999</v>
      </c>
      <c r="M38" s="115">
        <v>334.4</v>
      </c>
      <c r="N38" s="115">
        <v>371.64</v>
      </c>
      <c r="O38" s="116">
        <f t="shared" si="9"/>
        <v>9.7799999999999994</v>
      </c>
      <c r="P38" s="116">
        <f t="shared" si="10"/>
        <v>8.7999999999999989</v>
      </c>
      <c r="Q38" s="115">
        <v>48.26</v>
      </c>
      <c r="R38" s="115" t="s">
        <v>23</v>
      </c>
      <c r="S38" s="115">
        <v>48.26</v>
      </c>
      <c r="T38" s="115" t="s">
        <v>23</v>
      </c>
      <c r="U38" s="115">
        <v>22.86</v>
      </c>
      <c r="V38" s="117">
        <f t="shared" si="11"/>
        <v>5.3241570935999995E-2</v>
      </c>
      <c r="W38" s="115" t="s">
        <v>38</v>
      </c>
      <c r="X38" s="115" t="s">
        <v>38</v>
      </c>
      <c r="Y38" s="115" t="s">
        <v>218</v>
      </c>
    </row>
    <row r="39" spans="1:25">
      <c r="A39" s="115" t="s">
        <v>0</v>
      </c>
      <c r="B39" s="115">
        <v>39</v>
      </c>
      <c r="C39" s="115">
        <v>39</v>
      </c>
      <c r="D39" s="115" t="s">
        <v>166</v>
      </c>
      <c r="E39" s="115" t="s">
        <v>160</v>
      </c>
      <c r="F39" s="115" t="s">
        <v>37</v>
      </c>
      <c r="G39" s="155" t="s">
        <v>237</v>
      </c>
      <c r="H39" s="115" t="str">
        <f>IFERROR(IF(RIGHT(D39,1)="A","S",IF(RIGHT(D39,1)="B","M",IF(RIGHT(D39,1)="C","L",IF(RIGHT(D39,1)="D","XL",IF(RIGHT(D39,1)="E","XXL",""))))),"")</f>
        <v>S</v>
      </c>
      <c r="I39" s="115">
        <f t="shared" si="6"/>
        <v>23</v>
      </c>
      <c r="J39" s="115">
        <v>23</v>
      </c>
      <c r="K39" s="115">
        <f t="shared" si="7"/>
        <v>1</v>
      </c>
      <c r="L39" s="116">
        <f t="shared" si="8"/>
        <v>5.3241570935999995E-2</v>
      </c>
      <c r="M39" s="115">
        <v>5.62</v>
      </c>
      <c r="N39" s="115">
        <v>6.6</v>
      </c>
      <c r="O39" s="116">
        <f t="shared" si="9"/>
        <v>6.6</v>
      </c>
      <c r="P39" s="116">
        <f t="shared" si="10"/>
        <v>5.62</v>
      </c>
      <c r="Q39" s="115">
        <v>48.26</v>
      </c>
      <c r="R39" s="115" t="s">
        <v>23</v>
      </c>
      <c r="S39" s="115">
        <v>48.26</v>
      </c>
      <c r="T39" s="115" t="s">
        <v>23</v>
      </c>
      <c r="U39" s="115">
        <v>22.86</v>
      </c>
      <c r="V39" s="117">
        <f t="shared" si="11"/>
        <v>5.3241570935999995E-2</v>
      </c>
      <c r="W39" s="115" t="s">
        <v>38</v>
      </c>
      <c r="X39" s="115" t="s">
        <v>38</v>
      </c>
      <c r="Y39" s="115" t="s">
        <v>218</v>
      </c>
    </row>
    <row r="40" spans="1:25">
      <c r="A40" s="115" t="s">
        <v>0</v>
      </c>
      <c r="B40" s="115">
        <v>42</v>
      </c>
      <c r="C40" s="115">
        <v>117</v>
      </c>
      <c r="D40" s="115" t="s">
        <v>167</v>
      </c>
      <c r="E40" s="115" t="s">
        <v>160</v>
      </c>
      <c r="F40" s="115" t="s">
        <v>37</v>
      </c>
      <c r="G40" s="155" t="s">
        <v>237</v>
      </c>
      <c r="H40" s="115" t="str">
        <f>IFERROR(IF(RIGHT(D40,1)="A","S",IF(RIGHT(D40,1)="B","M",IF(RIGHT(D40,1)="C","L",IF(RIGHT(D40,1)="D","XL",IF(RIGHT(D40,1)="E","XXL",""))))),"")</f>
        <v>M</v>
      </c>
      <c r="I40" s="115">
        <f t="shared" si="6"/>
        <v>36</v>
      </c>
      <c r="J40" s="115">
        <v>2736</v>
      </c>
      <c r="K40" s="115">
        <f t="shared" si="7"/>
        <v>76</v>
      </c>
      <c r="L40" s="116">
        <f t="shared" si="8"/>
        <v>4.0463593911359999</v>
      </c>
      <c r="M40" s="115">
        <v>712.88</v>
      </c>
      <c r="N40" s="115">
        <v>787.36</v>
      </c>
      <c r="O40" s="116">
        <f t="shared" si="9"/>
        <v>10.36</v>
      </c>
      <c r="P40" s="116">
        <f t="shared" si="10"/>
        <v>9.3800000000000008</v>
      </c>
      <c r="Q40" s="115">
        <v>48.26</v>
      </c>
      <c r="R40" s="115" t="s">
        <v>23</v>
      </c>
      <c r="S40" s="115">
        <v>48.26</v>
      </c>
      <c r="T40" s="115" t="s">
        <v>23</v>
      </c>
      <c r="U40" s="115">
        <v>22.86</v>
      </c>
      <c r="V40" s="117">
        <f t="shared" si="11"/>
        <v>5.3241570935999995E-2</v>
      </c>
      <c r="W40" s="115" t="s">
        <v>38</v>
      </c>
      <c r="X40" s="115" t="s">
        <v>38</v>
      </c>
      <c r="Y40" s="115" t="s">
        <v>218</v>
      </c>
    </row>
    <row r="41" spans="1:25">
      <c r="A41" s="115" t="s">
        <v>0</v>
      </c>
      <c r="B41" s="115">
        <v>118</v>
      </c>
      <c r="C41" s="115">
        <v>118</v>
      </c>
      <c r="D41" s="115" t="s">
        <v>167</v>
      </c>
      <c r="E41" s="115" t="s">
        <v>160</v>
      </c>
      <c r="F41" s="115" t="s">
        <v>37</v>
      </c>
      <c r="G41" s="155" t="s">
        <v>237</v>
      </c>
      <c r="H41" s="115" t="str">
        <f>IFERROR(IF(RIGHT(D41,1)="A","S",IF(RIGHT(D41,1)="B","M",IF(RIGHT(D41,1)="C","L",IF(RIGHT(D41,1)="D","XL",IF(RIGHT(D41,1)="E","XXL",""))))),"")</f>
        <v>M</v>
      </c>
      <c r="I41" s="115">
        <f t="shared" si="6"/>
        <v>26</v>
      </c>
      <c r="J41" s="115">
        <v>26</v>
      </c>
      <c r="K41" s="115">
        <f t="shared" si="7"/>
        <v>1</v>
      </c>
      <c r="L41" s="116">
        <f t="shared" si="8"/>
        <v>5.3241570935999995E-2</v>
      </c>
      <c r="M41" s="115">
        <v>6.77</v>
      </c>
      <c r="N41" s="115">
        <v>7.75</v>
      </c>
      <c r="O41" s="116">
        <f t="shared" si="9"/>
        <v>7.75</v>
      </c>
      <c r="P41" s="116">
        <f t="shared" si="10"/>
        <v>6.77</v>
      </c>
      <c r="Q41" s="115">
        <v>48.26</v>
      </c>
      <c r="R41" s="115" t="s">
        <v>23</v>
      </c>
      <c r="S41" s="115">
        <v>48.26</v>
      </c>
      <c r="T41" s="115" t="s">
        <v>23</v>
      </c>
      <c r="U41" s="115">
        <v>22.86</v>
      </c>
      <c r="V41" s="117">
        <f t="shared" si="11"/>
        <v>5.3241570935999995E-2</v>
      </c>
      <c r="W41" s="115" t="s">
        <v>38</v>
      </c>
      <c r="X41" s="115" t="s">
        <v>38</v>
      </c>
      <c r="Y41" s="115" t="s">
        <v>218</v>
      </c>
    </row>
    <row r="42" spans="1:25">
      <c r="A42" s="115" t="s">
        <v>0</v>
      </c>
      <c r="B42" s="115">
        <v>122</v>
      </c>
      <c r="C42" s="115">
        <v>198</v>
      </c>
      <c r="D42" s="115" t="s">
        <v>168</v>
      </c>
      <c r="E42" s="115" t="s">
        <v>160</v>
      </c>
      <c r="F42" s="115" t="s">
        <v>37</v>
      </c>
      <c r="G42" s="155" t="s">
        <v>237</v>
      </c>
      <c r="H42" s="115" t="str">
        <f>IFERROR(IF(RIGHT(D42,1)="A","S",IF(RIGHT(D42,1)="B","M",IF(RIGHT(D42,1)="C","L",IF(RIGHT(D42,1)="D","XL",IF(RIGHT(D42,1)="E","XXL",""))))),"")</f>
        <v>L</v>
      </c>
      <c r="I42" s="115">
        <f t="shared" si="6"/>
        <v>36</v>
      </c>
      <c r="J42" s="115">
        <v>2772</v>
      </c>
      <c r="K42" s="115">
        <f t="shared" si="7"/>
        <v>77</v>
      </c>
      <c r="L42" s="116">
        <f t="shared" si="8"/>
        <v>4.0996009620719995</v>
      </c>
      <c r="M42" s="115">
        <v>768.46</v>
      </c>
      <c r="N42" s="115">
        <v>843.92</v>
      </c>
      <c r="O42" s="116">
        <f t="shared" si="9"/>
        <v>10.959999999999999</v>
      </c>
      <c r="P42" s="116">
        <f t="shared" si="10"/>
        <v>9.98</v>
      </c>
      <c r="Q42" s="115">
        <v>48.26</v>
      </c>
      <c r="R42" s="115" t="s">
        <v>23</v>
      </c>
      <c r="S42" s="115">
        <v>48.26</v>
      </c>
      <c r="T42" s="115" t="s">
        <v>23</v>
      </c>
      <c r="U42" s="115">
        <v>22.86</v>
      </c>
      <c r="V42" s="117">
        <f t="shared" si="11"/>
        <v>5.3241570935999995E-2</v>
      </c>
      <c r="W42" s="115" t="s">
        <v>38</v>
      </c>
      <c r="X42" s="115" t="s">
        <v>38</v>
      </c>
      <c r="Y42" s="115" t="s">
        <v>218</v>
      </c>
    </row>
    <row r="43" spans="1:25">
      <c r="A43" s="115" t="s">
        <v>0</v>
      </c>
      <c r="B43" s="115">
        <v>199</v>
      </c>
      <c r="C43" s="115">
        <v>199</v>
      </c>
      <c r="D43" s="115" t="s">
        <v>168</v>
      </c>
      <c r="E43" s="115" t="s">
        <v>160</v>
      </c>
      <c r="F43" s="115" t="s">
        <v>37</v>
      </c>
      <c r="G43" s="155" t="s">
        <v>237</v>
      </c>
      <c r="H43" s="115" t="str">
        <f>IFERROR(IF(RIGHT(D43,1)="A","S",IF(RIGHT(D43,1)="B","M",IF(RIGHT(D43,1)="C","L",IF(RIGHT(D43,1)="D","XL",IF(RIGHT(D43,1)="E","XXL",""))))),"")</f>
        <v>L</v>
      </c>
      <c r="I43" s="115">
        <f t="shared" si="6"/>
        <v>19</v>
      </c>
      <c r="J43" s="115">
        <v>19</v>
      </c>
      <c r="K43" s="115">
        <f t="shared" si="7"/>
        <v>1</v>
      </c>
      <c r="L43" s="116">
        <f t="shared" si="8"/>
        <v>5.3241570935999995E-2</v>
      </c>
      <c r="M43" s="115">
        <v>5.26</v>
      </c>
      <c r="N43" s="115">
        <v>6.24</v>
      </c>
      <c r="O43" s="116">
        <f t="shared" si="9"/>
        <v>6.24</v>
      </c>
      <c r="P43" s="116">
        <f t="shared" si="10"/>
        <v>5.26</v>
      </c>
      <c r="Q43" s="115">
        <v>48.26</v>
      </c>
      <c r="R43" s="115" t="s">
        <v>23</v>
      </c>
      <c r="S43" s="115">
        <v>48.26</v>
      </c>
      <c r="T43" s="115" t="s">
        <v>23</v>
      </c>
      <c r="U43" s="115">
        <v>22.86</v>
      </c>
      <c r="V43" s="117">
        <f t="shared" si="11"/>
        <v>5.3241570935999995E-2</v>
      </c>
      <c r="W43" s="115" t="s">
        <v>38</v>
      </c>
      <c r="X43" s="115" t="s">
        <v>38</v>
      </c>
      <c r="Y43" s="115" t="s">
        <v>218</v>
      </c>
    </row>
    <row r="44" spans="1:25">
      <c r="A44" s="115" t="s">
        <v>0</v>
      </c>
      <c r="B44" s="115">
        <v>203</v>
      </c>
      <c r="C44" s="115">
        <v>239</v>
      </c>
      <c r="D44" s="115" t="s">
        <v>169</v>
      </c>
      <c r="E44" s="115" t="s">
        <v>160</v>
      </c>
      <c r="F44" s="115" t="s">
        <v>37</v>
      </c>
      <c r="G44" s="155" t="s">
        <v>237</v>
      </c>
      <c r="H44" s="115" t="str">
        <f>IFERROR(IF(RIGHT(D44,1)="A","S",IF(RIGHT(D44,1)="B","M",IF(RIGHT(D44,1)="C","L",IF(RIGHT(D44,1)="D","XL",IF(RIGHT(D44,1)="E","XXL",""))))),"")</f>
        <v>XL</v>
      </c>
      <c r="I44" s="115">
        <f t="shared" si="6"/>
        <v>36</v>
      </c>
      <c r="J44" s="115">
        <v>1332</v>
      </c>
      <c r="K44" s="115">
        <f t="shared" si="7"/>
        <v>37</v>
      </c>
      <c r="L44" s="116">
        <f t="shared" si="8"/>
        <v>2.2982611454040001</v>
      </c>
      <c r="M44" s="115">
        <v>398.12</v>
      </c>
      <c r="N44" s="115">
        <v>436.6</v>
      </c>
      <c r="O44" s="116">
        <f t="shared" si="9"/>
        <v>11.8</v>
      </c>
      <c r="P44" s="116">
        <f t="shared" si="10"/>
        <v>10.76</v>
      </c>
      <c r="Q44" s="115">
        <v>48.26</v>
      </c>
      <c r="R44" s="115" t="s">
        <v>23</v>
      </c>
      <c r="S44" s="115">
        <v>48.26</v>
      </c>
      <c r="T44" s="115" t="s">
        <v>23</v>
      </c>
      <c r="U44" s="115">
        <v>26.67</v>
      </c>
      <c r="V44" s="117">
        <f t="shared" si="11"/>
        <v>6.2115166091999997E-2</v>
      </c>
      <c r="W44" s="115" t="s">
        <v>38</v>
      </c>
      <c r="X44" s="115" t="s">
        <v>38</v>
      </c>
      <c r="Y44" s="115" t="s">
        <v>218</v>
      </c>
    </row>
    <row r="45" spans="1:25">
      <c r="A45" s="115" t="s">
        <v>0</v>
      </c>
      <c r="B45" s="115">
        <v>240</v>
      </c>
      <c r="C45" s="115">
        <v>240</v>
      </c>
      <c r="D45" s="115" t="s">
        <v>169</v>
      </c>
      <c r="E45" s="115" t="s">
        <v>160</v>
      </c>
      <c r="F45" s="115" t="s">
        <v>37</v>
      </c>
      <c r="G45" s="155" t="s">
        <v>237</v>
      </c>
      <c r="H45" s="115" t="str">
        <f>IFERROR(IF(RIGHT(D45,1)="A","S",IF(RIGHT(D45,1)="B","M",IF(RIGHT(D45,1)="C","L",IF(RIGHT(D45,1)="D","XL",IF(RIGHT(D45,1)="E","XXL",""))))),"")</f>
        <v>XL</v>
      </c>
      <c r="I45" s="115">
        <f t="shared" si="6"/>
        <v>24</v>
      </c>
      <c r="J45" s="115">
        <v>24</v>
      </c>
      <c r="K45" s="115">
        <f t="shared" si="7"/>
        <v>1</v>
      </c>
      <c r="L45" s="116">
        <f t="shared" si="8"/>
        <v>6.2115166091999997E-2</v>
      </c>
      <c r="M45" s="115">
        <v>7.17</v>
      </c>
      <c r="N45" s="115">
        <v>8.2100000000000009</v>
      </c>
      <c r="O45" s="116">
        <f t="shared" si="9"/>
        <v>8.2100000000000009</v>
      </c>
      <c r="P45" s="116">
        <f t="shared" si="10"/>
        <v>7.17</v>
      </c>
      <c r="Q45" s="115">
        <v>48.26</v>
      </c>
      <c r="R45" s="115" t="s">
        <v>23</v>
      </c>
      <c r="S45" s="115">
        <v>48.26</v>
      </c>
      <c r="T45" s="115" t="s">
        <v>23</v>
      </c>
      <c r="U45" s="115">
        <v>26.67</v>
      </c>
      <c r="V45" s="117">
        <f t="shared" si="11"/>
        <v>6.2115166091999997E-2</v>
      </c>
      <c r="W45" s="115" t="s">
        <v>38</v>
      </c>
      <c r="X45" s="115" t="s">
        <v>38</v>
      </c>
      <c r="Y45" s="115" t="s">
        <v>218</v>
      </c>
    </row>
    <row r="46" spans="1:25">
      <c r="A46" s="115" t="s">
        <v>0</v>
      </c>
      <c r="B46" s="115">
        <v>1</v>
      </c>
      <c r="C46" s="115">
        <v>36</v>
      </c>
      <c r="D46" s="115" t="s">
        <v>170</v>
      </c>
      <c r="E46" s="115" t="s">
        <v>160</v>
      </c>
      <c r="F46" s="115" t="s">
        <v>37</v>
      </c>
      <c r="G46" s="155" t="s">
        <v>237</v>
      </c>
      <c r="H46" s="115" t="str">
        <f>IFERROR(IF(RIGHT(D46,1)="A","S",IF(RIGHT(D46,1)="B","M",IF(RIGHT(D46,1)="C","L",IF(RIGHT(D46,1)="D","XL",IF(RIGHT(D46,1)="E","XXL",""))))),"")</f>
        <v>XXL</v>
      </c>
      <c r="I46" s="115">
        <f t="shared" si="6"/>
        <v>36</v>
      </c>
      <c r="J46" s="115">
        <v>1296</v>
      </c>
      <c r="K46" s="115">
        <f t="shared" si="7"/>
        <v>36</v>
      </c>
      <c r="L46" s="116">
        <f t="shared" si="8"/>
        <v>2.236145979312</v>
      </c>
      <c r="M46" s="115">
        <v>402.48</v>
      </c>
      <c r="N46" s="115">
        <v>439.92</v>
      </c>
      <c r="O46" s="116">
        <f t="shared" si="9"/>
        <v>12.22</v>
      </c>
      <c r="P46" s="116">
        <f t="shared" si="10"/>
        <v>11.18</v>
      </c>
      <c r="Q46" s="115">
        <v>48.26</v>
      </c>
      <c r="R46" s="115" t="s">
        <v>23</v>
      </c>
      <c r="S46" s="115">
        <v>48.26</v>
      </c>
      <c r="T46" s="115" t="s">
        <v>23</v>
      </c>
      <c r="U46" s="115">
        <v>26.67</v>
      </c>
      <c r="V46" s="117">
        <f t="shared" si="11"/>
        <v>6.2115166091999997E-2</v>
      </c>
      <c r="W46" s="115" t="s">
        <v>38</v>
      </c>
      <c r="X46" s="115" t="s">
        <v>38</v>
      </c>
      <c r="Y46" s="115" t="s">
        <v>218</v>
      </c>
    </row>
    <row r="47" spans="1:25">
      <c r="A47" s="115" t="s">
        <v>0</v>
      </c>
      <c r="B47" s="115">
        <v>37</v>
      </c>
      <c r="C47" s="115">
        <v>37</v>
      </c>
      <c r="D47" s="115" t="s">
        <v>170</v>
      </c>
      <c r="E47" s="115" t="s">
        <v>160</v>
      </c>
      <c r="F47" s="115" t="s">
        <v>37</v>
      </c>
      <c r="G47" s="155" t="s">
        <v>237</v>
      </c>
      <c r="H47" s="115" t="str">
        <f>IFERROR(IF(RIGHT(D47,1)="A","S",IF(RIGHT(D47,1)="B","M",IF(RIGHT(D47,1)="C","L",IF(RIGHT(D47,1)="D","XL",IF(RIGHT(D47,1)="E","XXL",""))))),"")</f>
        <v>XXL</v>
      </c>
      <c r="I47" s="115">
        <f t="shared" si="6"/>
        <v>26</v>
      </c>
      <c r="J47" s="115">
        <v>26</v>
      </c>
      <c r="K47" s="115">
        <f t="shared" si="7"/>
        <v>1</v>
      </c>
      <c r="L47" s="116">
        <f t="shared" si="8"/>
        <v>6.2115166091999997E-2</v>
      </c>
      <c r="M47" s="115">
        <v>8.07</v>
      </c>
      <c r="N47" s="115">
        <v>9.11</v>
      </c>
      <c r="O47" s="116">
        <f t="shared" si="9"/>
        <v>9.11</v>
      </c>
      <c r="P47" s="116">
        <f t="shared" si="10"/>
        <v>8.07</v>
      </c>
      <c r="Q47" s="115">
        <v>48.26</v>
      </c>
      <c r="R47" s="115" t="s">
        <v>23</v>
      </c>
      <c r="S47" s="115">
        <v>48.26</v>
      </c>
      <c r="T47" s="115" t="s">
        <v>23</v>
      </c>
      <c r="U47" s="115">
        <v>26.67</v>
      </c>
      <c r="V47" s="117">
        <f t="shared" si="11"/>
        <v>6.2115166091999997E-2</v>
      </c>
      <c r="W47" s="115" t="s">
        <v>38</v>
      </c>
      <c r="X47" s="115" t="s">
        <v>38</v>
      </c>
      <c r="Y47" s="115" t="s">
        <v>218</v>
      </c>
    </row>
    <row r="48" spans="1:25">
      <c r="A48" s="115" t="s">
        <v>0</v>
      </c>
      <c r="B48" s="115">
        <v>1</v>
      </c>
      <c r="C48" s="115">
        <v>53</v>
      </c>
      <c r="D48" s="115" t="s">
        <v>172</v>
      </c>
      <c r="E48" s="115" t="s">
        <v>128</v>
      </c>
      <c r="F48" s="115" t="s">
        <v>37</v>
      </c>
      <c r="G48" s="154" t="s">
        <v>238</v>
      </c>
      <c r="H48" s="115" t="str">
        <f>IFERROR(IF(RIGHT(D48,1)="A","S",IF(RIGHT(D48,1)="B","M",IF(RIGHT(D48,1)="C","L",IF(RIGHT(D48,1)="D","XL",IF(RIGHT(D48,1)="E","XXL",""))))),"")</f>
        <v>S</v>
      </c>
      <c r="I48" s="115">
        <f t="shared" si="6"/>
        <v>36</v>
      </c>
      <c r="J48" s="115">
        <v>1908</v>
      </c>
      <c r="K48" s="115">
        <f t="shared" si="7"/>
        <v>53</v>
      </c>
      <c r="L48" s="116">
        <f t="shared" si="8"/>
        <v>2.8218032596079996</v>
      </c>
      <c r="M48" s="115">
        <v>473.82</v>
      </c>
      <c r="N48" s="115">
        <v>537.41999999999996</v>
      </c>
      <c r="O48" s="116">
        <f t="shared" si="9"/>
        <v>10.139999999999999</v>
      </c>
      <c r="P48" s="116">
        <f t="shared" si="10"/>
        <v>8.94</v>
      </c>
      <c r="Q48" s="115">
        <v>48.26</v>
      </c>
      <c r="R48" s="115" t="s">
        <v>23</v>
      </c>
      <c r="S48" s="115">
        <v>48.26</v>
      </c>
      <c r="T48" s="115" t="s">
        <v>23</v>
      </c>
      <c r="U48" s="115">
        <v>22.86</v>
      </c>
      <c r="V48" s="117">
        <f t="shared" si="11"/>
        <v>5.3241570935999995E-2</v>
      </c>
      <c r="W48" s="115" t="s">
        <v>38</v>
      </c>
      <c r="X48" s="115" t="s">
        <v>38</v>
      </c>
      <c r="Y48" s="115" t="s">
        <v>126</v>
      </c>
    </row>
    <row r="49" spans="1:25">
      <c r="A49" s="115" t="s">
        <v>0</v>
      </c>
      <c r="B49" s="115">
        <v>54</v>
      </c>
      <c r="C49" s="115">
        <v>54</v>
      </c>
      <c r="D49" s="115" t="s">
        <v>172</v>
      </c>
      <c r="E49" s="115" t="s">
        <v>128</v>
      </c>
      <c r="F49" s="115" t="s">
        <v>37</v>
      </c>
      <c r="G49" s="154" t="s">
        <v>238</v>
      </c>
      <c r="H49" s="115" t="str">
        <f>IFERROR(IF(RIGHT(D49,1)="A","S",IF(RIGHT(D49,1)="B","M",IF(RIGHT(D49,1)="C","L",IF(RIGHT(D49,1)="D","XL",IF(RIGHT(D49,1)="E","XXL",""))))),"")</f>
        <v>S</v>
      </c>
      <c r="I49" s="115">
        <f t="shared" si="6"/>
        <v>15</v>
      </c>
      <c r="J49" s="115">
        <v>15</v>
      </c>
      <c r="K49" s="115">
        <f t="shared" si="7"/>
        <v>1</v>
      </c>
      <c r="L49" s="116">
        <f t="shared" si="8"/>
        <v>5.3241570935999995E-2</v>
      </c>
      <c r="M49" s="115">
        <v>3</v>
      </c>
      <c r="N49" s="115">
        <v>4.2</v>
      </c>
      <c r="O49" s="116">
        <f t="shared" si="9"/>
        <v>4.2</v>
      </c>
      <c r="P49" s="116">
        <f t="shared" si="10"/>
        <v>3</v>
      </c>
      <c r="Q49" s="115">
        <v>48.26</v>
      </c>
      <c r="R49" s="115" t="s">
        <v>23</v>
      </c>
      <c r="S49" s="115">
        <v>48.26</v>
      </c>
      <c r="T49" s="115" t="s">
        <v>23</v>
      </c>
      <c r="U49" s="115">
        <v>22.86</v>
      </c>
      <c r="V49" s="117">
        <f t="shared" si="11"/>
        <v>5.3241570935999995E-2</v>
      </c>
      <c r="W49" s="115" t="s">
        <v>38</v>
      </c>
      <c r="X49" s="115" t="s">
        <v>38</v>
      </c>
      <c r="Y49" s="115" t="s">
        <v>126</v>
      </c>
    </row>
    <row r="50" spans="1:25">
      <c r="A50" s="115" t="s">
        <v>0</v>
      </c>
      <c r="B50" s="115">
        <v>55</v>
      </c>
      <c r="C50" s="115">
        <v>191</v>
      </c>
      <c r="D50" s="115" t="s">
        <v>173</v>
      </c>
      <c r="E50" s="115" t="s">
        <v>128</v>
      </c>
      <c r="F50" s="115" t="s">
        <v>37</v>
      </c>
      <c r="G50" s="154" t="s">
        <v>238</v>
      </c>
      <c r="H50" s="115" t="str">
        <f>IFERROR(IF(RIGHT(D50,1)="A","S",IF(RIGHT(D50,1)="B","M",IF(RIGHT(D50,1)="C","L",IF(RIGHT(D50,1)="D","XL",IF(RIGHT(D50,1)="E","XXL",""))))),"")</f>
        <v>M</v>
      </c>
      <c r="I50" s="115">
        <f t="shared" si="6"/>
        <v>36</v>
      </c>
      <c r="J50" s="115">
        <v>4932</v>
      </c>
      <c r="K50" s="115">
        <f t="shared" si="7"/>
        <v>137</v>
      </c>
      <c r="L50" s="116">
        <f t="shared" si="8"/>
        <v>7.2940952182319991</v>
      </c>
      <c r="M50" s="115">
        <v>1293.28</v>
      </c>
      <c r="N50" s="115">
        <v>1457.68</v>
      </c>
      <c r="O50" s="116">
        <f t="shared" si="9"/>
        <v>10.64</v>
      </c>
      <c r="P50" s="116">
        <f t="shared" si="10"/>
        <v>9.44</v>
      </c>
      <c r="Q50" s="115">
        <v>48.26</v>
      </c>
      <c r="R50" s="115" t="s">
        <v>23</v>
      </c>
      <c r="S50" s="115">
        <v>48.26</v>
      </c>
      <c r="T50" s="115" t="s">
        <v>23</v>
      </c>
      <c r="U50" s="115">
        <v>22.86</v>
      </c>
      <c r="V50" s="117">
        <f t="shared" si="11"/>
        <v>5.3241570935999995E-2</v>
      </c>
      <c r="W50" s="115" t="s">
        <v>38</v>
      </c>
      <c r="X50" s="115" t="s">
        <v>38</v>
      </c>
      <c r="Y50" s="115" t="s">
        <v>126</v>
      </c>
    </row>
    <row r="51" spans="1:25">
      <c r="A51" s="115" t="s">
        <v>0</v>
      </c>
      <c r="B51" s="115">
        <v>192</v>
      </c>
      <c r="C51" s="115">
        <v>317</v>
      </c>
      <c r="D51" s="115" t="s">
        <v>174</v>
      </c>
      <c r="E51" s="115" t="s">
        <v>128</v>
      </c>
      <c r="F51" s="115" t="s">
        <v>37</v>
      </c>
      <c r="G51" s="154" t="s">
        <v>238</v>
      </c>
      <c r="H51" s="115" t="str">
        <f>IFERROR(IF(RIGHT(D51,1)="A","S",IF(RIGHT(D51,1)="B","M",IF(RIGHT(D51,1)="C","L",IF(RIGHT(D51,1)="D","XL",IF(RIGHT(D51,1)="E","XXL",""))))),"")</f>
        <v>L</v>
      </c>
      <c r="I51" s="115">
        <f t="shared" si="6"/>
        <v>36</v>
      </c>
      <c r="J51" s="115">
        <v>4536</v>
      </c>
      <c r="K51" s="115">
        <f t="shared" si="7"/>
        <v>126</v>
      </c>
      <c r="L51" s="116">
        <f t="shared" si="8"/>
        <v>6.7084379379359991</v>
      </c>
      <c r="M51" s="115">
        <v>1270.08</v>
      </c>
      <c r="N51" s="115">
        <v>1421.28</v>
      </c>
      <c r="O51" s="116">
        <f t="shared" si="9"/>
        <v>11.28</v>
      </c>
      <c r="P51" s="116">
        <f t="shared" si="10"/>
        <v>10.08</v>
      </c>
      <c r="Q51" s="115">
        <v>48.26</v>
      </c>
      <c r="R51" s="115" t="s">
        <v>23</v>
      </c>
      <c r="S51" s="115">
        <v>48.26</v>
      </c>
      <c r="T51" s="115" t="s">
        <v>23</v>
      </c>
      <c r="U51" s="115">
        <v>22.86</v>
      </c>
      <c r="V51" s="117">
        <f t="shared" si="11"/>
        <v>5.3241570935999995E-2</v>
      </c>
      <c r="W51" s="115" t="s">
        <v>38</v>
      </c>
      <c r="X51" s="115" t="s">
        <v>38</v>
      </c>
      <c r="Y51" s="115" t="s">
        <v>126</v>
      </c>
    </row>
    <row r="52" spans="1:25">
      <c r="A52" s="115" t="s">
        <v>0</v>
      </c>
      <c r="B52" s="115">
        <v>318</v>
      </c>
      <c r="C52" s="115">
        <v>380</v>
      </c>
      <c r="D52" s="115" t="s">
        <v>175</v>
      </c>
      <c r="E52" s="115" t="s">
        <v>128</v>
      </c>
      <c r="F52" s="115" t="s">
        <v>37</v>
      </c>
      <c r="G52" s="154" t="s">
        <v>238</v>
      </c>
      <c r="H52" s="115" t="str">
        <f>IFERROR(IF(RIGHT(D52,1)="A","S",IF(RIGHT(D52,1)="B","M",IF(RIGHT(D52,1)="C","L",IF(RIGHT(D52,1)="D","XL",IF(RIGHT(D52,1)="E","XXL",""))))),"")</f>
        <v>XL</v>
      </c>
      <c r="I52" s="115">
        <f t="shared" si="6"/>
        <v>36</v>
      </c>
      <c r="J52" s="115">
        <v>2268</v>
      </c>
      <c r="K52" s="115">
        <f t="shared" si="7"/>
        <v>63</v>
      </c>
      <c r="L52" s="116">
        <f t="shared" si="8"/>
        <v>3.9132554637959998</v>
      </c>
      <c r="M52" s="115">
        <v>680.4</v>
      </c>
      <c r="N52" s="115">
        <v>756</v>
      </c>
      <c r="O52" s="116">
        <f t="shared" si="9"/>
        <v>12</v>
      </c>
      <c r="P52" s="116">
        <f t="shared" si="10"/>
        <v>10.799999999999999</v>
      </c>
      <c r="Q52" s="115">
        <v>48.26</v>
      </c>
      <c r="R52" s="115" t="s">
        <v>23</v>
      </c>
      <c r="S52" s="115">
        <v>48.26</v>
      </c>
      <c r="T52" s="115" t="s">
        <v>23</v>
      </c>
      <c r="U52" s="115">
        <v>26.67</v>
      </c>
      <c r="V52" s="117">
        <f t="shared" si="11"/>
        <v>6.2115166091999997E-2</v>
      </c>
      <c r="W52" s="115" t="s">
        <v>38</v>
      </c>
      <c r="X52" s="115" t="s">
        <v>38</v>
      </c>
      <c r="Y52" s="115" t="s">
        <v>126</v>
      </c>
    </row>
    <row r="53" spans="1:25">
      <c r="A53" s="115" t="s">
        <v>0</v>
      </c>
      <c r="B53" s="115">
        <v>381</v>
      </c>
      <c r="C53" s="115">
        <v>381</v>
      </c>
      <c r="D53" s="115" t="s">
        <v>175</v>
      </c>
      <c r="E53" s="115" t="s">
        <v>128</v>
      </c>
      <c r="F53" s="115" t="s">
        <v>37</v>
      </c>
      <c r="G53" s="154" t="s">
        <v>238</v>
      </c>
      <c r="H53" s="115" t="str">
        <f>IFERROR(IF(RIGHT(D53,1)="A","S",IF(RIGHT(D53,1)="B","M",IF(RIGHT(D53,1)="C","L",IF(RIGHT(D53,1)="D","XL",IF(RIGHT(D53,1)="E","XXL",""))))),"")</f>
        <v>XL</v>
      </c>
      <c r="I53" s="115">
        <f t="shared" si="6"/>
        <v>15</v>
      </c>
      <c r="J53" s="115">
        <v>15</v>
      </c>
      <c r="K53" s="115">
        <f t="shared" si="7"/>
        <v>1</v>
      </c>
      <c r="L53" s="116">
        <f t="shared" si="8"/>
        <v>6.2115166091999997E-2</v>
      </c>
      <c r="M53" s="115">
        <v>3.75</v>
      </c>
      <c r="N53" s="115">
        <v>4.95</v>
      </c>
      <c r="O53" s="116">
        <f t="shared" si="9"/>
        <v>4.95</v>
      </c>
      <c r="P53" s="116">
        <f t="shared" si="10"/>
        <v>3.75</v>
      </c>
      <c r="Q53" s="115">
        <v>48.26</v>
      </c>
      <c r="R53" s="115" t="s">
        <v>23</v>
      </c>
      <c r="S53" s="115">
        <v>48.26</v>
      </c>
      <c r="T53" s="115" t="s">
        <v>23</v>
      </c>
      <c r="U53" s="115">
        <v>26.67</v>
      </c>
      <c r="V53" s="117">
        <f t="shared" si="11"/>
        <v>6.2115166091999997E-2</v>
      </c>
      <c r="W53" s="115" t="s">
        <v>38</v>
      </c>
      <c r="X53" s="115" t="s">
        <v>38</v>
      </c>
      <c r="Y53" s="115" t="s">
        <v>126</v>
      </c>
    </row>
    <row r="54" spans="1:25">
      <c r="A54" s="115" t="s">
        <v>0</v>
      </c>
      <c r="B54" s="115">
        <v>1</v>
      </c>
      <c r="C54" s="115">
        <v>10</v>
      </c>
      <c r="D54" s="115" t="s">
        <v>176</v>
      </c>
      <c r="E54" s="115" t="s">
        <v>128</v>
      </c>
      <c r="F54" s="115" t="s">
        <v>37</v>
      </c>
      <c r="G54" s="154" t="s">
        <v>238</v>
      </c>
      <c r="H54" s="115" t="str">
        <f>IFERROR(IF(RIGHT(D54,1)="A","S",IF(RIGHT(D54,1)="B","M",IF(RIGHT(D54,1)="C","L",IF(RIGHT(D54,1)="D","XL",IF(RIGHT(D54,1)="E","XXL",""))))),"")</f>
        <v>XXL</v>
      </c>
      <c r="I54" s="115">
        <f t="shared" si="6"/>
        <v>36</v>
      </c>
      <c r="J54" s="115">
        <v>360</v>
      </c>
      <c r="K54" s="115">
        <f t="shared" si="7"/>
        <v>10</v>
      </c>
      <c r="L54" s="116">
        <f t="shared" si="8"/>
        <v>0.62115166091999996</v>
      </c>
      <c r="M54" s="115">
        <v>114</v>
      </c>
      <c r="N54" s="115">
        <v>126</v>
      </c>
      <c r="O54" s="116">
        <f t="shared" si="9"/>
        <v>12.6</v>
      </c>
      <c r="P54" s="116">
        <f t="shared" si="10"/>
        <v>11.4</v>
      </c>
      <c r="Q54" s="115">
        <v>48.26</v>
      </c>
      <c r="R54" s="115" t="s">
        <v>23</v>
      </c>
      <c r="S54" s="115">
        <v>48.26</v>
      </c>
      <c r="T54" s="115" t="s">
        <v>23</v>
      </c>
      <c r="U54" s="115">
        <v>26.67</v>
      </c>
      <c r="V54" s="117">
        <f t="shared" si="11"/>
        <v>6.2115166091999997E-2</v>
      </c>
      <c r="W54" s="115" t="s">
        <v>38</v>
      </c>
      <c r="X54" s="115" t="s">
        <v>38</v>
      </c>
      <c r="Y54" s="115" t="s">
        <v>126</v>
      </c>
    </row>
    <row r="55" spans="1:25">
      <c r="A55" s="115" t="s">
        <v>0</v>
      </c>
      <c r="B55" s="115">
        <v>11</v>
      </c>
      <c r="C55" s="115">
        <v>11</v>
      </c>
      <c r="D55" s="115" t="s">
        <v>176</v>
      </c>
      <c r="E55" s="115" t="s">
        <v>128</v>
      </c>
      <c r="F55" s="115" t="s">
        <v>37</v>
      </c>
      <c r="G55" s="154" t="s">
        <v>238</v>
      </c>
      <c r="H55" s="115" t="str">
        <f>IFERROR(IF(RIGHT(D55,1)="A","S",IF(RIGHT(D55,1)="B","M",IF(RIGHT(D55,1)="C","L",IF(RIGHT(D55,1)="D","XL",IF(RIGHT(D55,1)="E","XXL",""))))),"")</f>
        <v>XXL</v>
      </c>
      <c r="I55" s="115">
        <f t="shared" si="6"/>
        <v>4</v>
      </c>
      <c r="J55" s="115">
        <v>4</v>
      </c>
      <c r="K55" s="115">
        <f t="shared" si="7"/>
        <v>1</v>
      </c>
      <c r="L55" s="116">
        <f t="shared" si="8"/>
        <v>6.2115166091999997E-2</v>
      </c>
      <c r="M55" s="115">
        <v>0.35</v>
      </c>
      <c r="N55" s="115">
        <v>1.4</v>
      </c>
      <c r="O55" s="116">
        <f t="shared" si="9"/>
        <v>1.4</v>
      </c>
      <c r="P55" s="116">
        <f t="shared" si="10"/>
        <v>0.35</v>
      </c>
      <c r="Q55" s="115">
        <v>48.26</v>
      </c>
      <c r="R55" s="115" t="s">
        <v>23</v>
      </c>
      <c r="S55" s="115">
        <v>48.26</v>
      </c>
      <c r="T55" s="115" t="s">
        <v>23</v>
      </c>
      <c r="U55" s="115">
        <v>26.67</v>
      </c>
      <c r="V55" s="117">
        <f t="shared" si="11"/>
        <v>6.2115166091999997E-2</v>
      </c>
      <c r="W55" s="115" t="s">
        <v>38</v>
      </c>
      <c r="X55" s="115" t="s">
        <v>38</v>
      </c>
      <c r="Y55" s="115" t="s">
        <v>126</v>
      </c>
    </row>
    <row r="56" spans="1:25">
      <c r="A56" s="115" t="s">
        <v>0</v>
      </c>
      <c r="B56" s="115">
        <v>1</v>
      </c>
      <c r="C56" s="115">
        <v>27</v>
      </c>
      <c r="D56" s="115" t="s">
        <v>178</v>
      </c>
      <c r="E56" s="115" t="s">
        <v>128</v>
      </c>
      <c r="F56" s="115" t="s">
        <v>37</v>
      </c>
      <c r="G56" s="155" t="s">
        <v>239</v>
      </c>
      <c r="H56" s="115" t="str">
        <f>IFERROR(IF(RIGHT(D56,1)="A","S",IF(RIGHT(D56,1)="B","M",IF(RIGHT(D56,1)="C","L",IF(RIGHT(D56,1)="D","XL",IF(RIGHT(D56,1)="E","XXL",""))))),"")</f>
        <v>S</v>
      </c>
      <c r="I56" s="115">
        <f t="shared" si="6"/>
        <v>36</v>
      </c>
      <c r="J56" s="115">
        <v>972</v>
      </c>
      <c r="K56" s="115">
        <f t="shared" si="7"/>
        <v>27</v>
      </c>
      <c r="L56" s="116">
        <f t="shared" si="8"/>
        <v>1.4375224152719999</v>
      </c>
      <c r="M56" s="115">
        <v>241.38</v>
      </c>
      <c r="N56" s="115">
        <v>273.77999999999997</v>
      </c>
      <c r="O56" s="116">
        <f t="shared" si="9"/>
        <v>10.139999999999999</v>
      </c>
      <c r="P56" s="116">
        <f t="shared" si="10"/>
        <v>8.94</v>
      </c>
      <c r="Q56" s="115">
        <v>48.26</v>
      </c>
      <c r="R56" s="115" t="s">
        <v>23</v>
      </c>
      <c r="S56" s="115">
        <v>48.26</v>
      </c>
      <c r="T56" s="115" t="s">
        <v>23</v>
      </c>
      <c r="U56" s="115">
        <v>22.86</v>
      </c>
      <c r="V56" s="117">
        <f t="shared" si="11"/>
        <v>5.3241570935999995E-2</v>
      </c>
      <c r="W56" s="115" t="s">
        <v>38</v>
      </c>
      <c r="X56" s="115" t="s">
        <v>38</v>
      </c>
      <c r="Y56" s="115" t="s">
        <v>126</v>
      </c>
    </row>
    <row r="57" spans="1:25">
      <c r="A57" s="115" t="s">
        <v>0</v>
      </c>
      <c r="B57" s="115">
        <v>28</v>
      </c>
      <c r="C57" s="115">
        <v>28</v>
      </c>
      <c r="D57" s="115" t="s">
        <v>178</v>
      </c>
      <c r="E57" s="115" t="s">
        <v>128</v>
      </c>
      <c r="F57" s="115" t="s">
        <v>37</v>
      </c>
      <c r="G57" s="155" t="s">
        <v>239</v>
      </c>
      <c r="H57" s="115" t="str">
        <f>IFERROR(IF(RIGHT(D57,1)="A","S",IF(RIGHT(D57,1)="B","M",IF(RIGHT(D57,1)="C","L",IF(RIGHT(D57,1)="D","XL",IF(RIGHT(D57,1)="E","XXL",""))))),"")</f>
        <v>S</v>
      </c>
      <c r="I57" s="115">
        <f t="shared" si="6"/>
        <v>6</v>
      </c>
      <c r="J57" s="115">
        <v>6</v>
      </c>
      <c r="K57" s="115">
        <f t="shared" si="7"/>
        <v>1</v>
      </c>
      <c r="L57" s="116">
        <f t="shared" si="8"/>
        <v>5.3241570935999995E-2</v>
      </c>
      <c r="M57" s="115">
        <v>0.48</v>
      </c>
      <c r="N57" s="115">
        <v>1.68</v>
      </c>
      <c r="O57" s="116">
        <f t="shared" si="9"/>
        <v>1.68</v>
      </c>
      <c r="P57" s="116">
        <f t="shared" si="10"/>
        <v>0.48</v>
      </c>
      <c r="Q57" s="115">
        <v>48.26</v>
      </c>
      <c r="R57" s="115" t="s">
        <v>23</v>
      </c>
      <c r="S57" s="115">
        <v>48.26</v>
      </c>
      <c r="T57" s="115" t="s">
        <v>23</v>
      </c>
      <c r="U57" s="115">
        <v>22.86</v>
      </c>
      <c r="V57" s="117">
        <f t="shared" si="11"/>
        <v>5.3241570935999995E-2</v>
      </c>
      <c r="W57" s="115" t="s">
        <v>38</v>
      </c>
      <c r="X57" s="115" t="s">
        <v>38</v>
      </c>
      <c r="Y57" s="115" t="s">
        <v>126</v>
      </c>
    </row>
    <row r="58" spans="1:25">
      <c r="A58" s="115" t="s">
        <v>0</v>
      </c>
      <c r="B58" s="115">
        <v>29</v>
      </c>
      <c r="C58" s="115">
        <v>114</v>
      </c>
      <c r="D58" s="115" t="s">
        <v>179</v>
      </c>
      <c r="E58" s="115" t="s">
        <v>128</v>
      </c>
      <c r="F58" s="115" t="s">
        <v>37</v>
      </c>
      <c r="G58" s="155" t="s">
        <v>239</v>
      </c>
      <c r="H58" s="115" t="str">
        <f>IFERROR(IF(RIGHT(D58,1)="A","S",IF(RIGHT(D58,1)="B","M",IF(RIGHT(D58,1)="C","L",IF(RIGHT(D58,1)="D","XL",IF(RIGHT(D58,1)="E","XXL",""))))),"")</f>
        <v>M</v>
      </c>
      <c r="I58" s="115">
        <f t="shared" si="6"/>
        <v>36</v>
      </c>
      <c r="J58" s="115">
        <v>3096</v>
      </c>
      <c r="K58" s="115">
        <f t="shared" si="7"/>
        <v>86</v>
      </c>
      <c r="L58" s="116">
        <f t="shared" si="8"/>
        <v>4.5787751004959993</v>
      </c>
      <c r="M58" s="115">
        <v>825.6</v>
      </c>
      <c r="N58" s="115">
        <v>928.8</v>
      </c>
      <c r="O58" s="116">
        <f t="shared" si="9"/>
        <v>10.799999999999999</v>
      </c>
      <c r="P58" s="116">
        <f t="shared" si="10"/>
        <v>9.6</v>
      </c>
      <c r="Q58" s="115">
        <v>48.26</v>
      </c>
      <c r="R58" s="115" t="s">
        <v>23</v>
      </c>
      <c r="S58" s="115">
        <v>48.26</v>
      </c>
      <c r="T58" s="115" t="s">
        <v>23</v>
      </c>
      <c r="U58" s="115">
        <v>22.86</v>
      </c>
      <c r="V58" s="117">
        <f t="shared" si="11"/>
        <v>5.3241570935999995E-2</v>
      </c>
      <c r="W58" s="115" t="s">
        <v>38</v>
      </c>
      <c r="X58" s="115" t="s">
        <v>38</v>
      </c>
      <c r="Y58" s="115" t="s">
        <v>126</v>
      </c>
    </row>
    <row r="59" spans="1:25">
      <c r="A59" s="115" t="s">
        <v>0</v>
      </c>
      <c r="B59" s="115">
        <v>115</v>
      </c>
      <c r="C59" s="115">
        <v>115</v>
      </c>
      <c r="D59" s="115" t="s">
        <v>179</v>
      </c>
      <c r="E59" s="115" t="s">
        <v>128</v>
      </c>
      <c r="F59" s="115" t="s">
        <v>37</v>
      </c>
      <c r="G59" s="155" t="s">
        <v>239</v>
      </c>
      <c r="H59" s="115" t="str">
        <f>IFERROR(IF(RIGHT(D59,1)="A","S",IF(RIGHT(D59,1)="B","M",IF(RIGHT(D59,1)="C","L",IF(RIGHT(D59,1)="D","XL",IF(RIGHT(D59,1)="E","XXL",""))))),"")</f>
        <v>M</v>
      </c>
      <c r="I59" s="115">
        <f t="shared" si="6"/>
        <v>23</v>
      </c>
      <c r="J59" s="115">
        <v>23</v>
      </c>
      <c r="K59" s="115">
        <f t="shared" si="7"/>
        <v>1</v>
      </c>
      <c r="L59" s="116">
        <f t="shared" si="8"/>
        <v>5.3241570935999995E-2</v>
      </c>
      <c r="M59" s="115">
        <v>5.7</v>
      </c>
      <c r="N59" s="115">
        <v>6.9</v>
      </c>
      <c r="O59" s="116">
        <f t="shared" si="9"/>
        <v>6.9</v>
      </c>
      <c r="P59" s="116">
        <f t="shared" si="10"/>
        <v>5.7</v>
      </c>
      <c r="Q59" s="115">
        <v>48.26</v>
      </c>
      <c r="R59" s="115" t="s">
        <v>23</v>
      </c>
      <c r="S59" s="115">
        <v>48.26</v>
      </c>
      <c r="T59" s="115" t="s">
        <v>23</v>
      </c>
      <c r="U59" s="115">
        <v>22.86</v>
      </c>
      <c r="V59" s="117">
        <f t="shared" si="11"/>
        <v>5.3241570935999995E-2</v>
      </c>
      <c r="W59" s="115" t="s">
        <v>38</v>
      </c>
      <c r="X59" s="115" t="s">
        <v>38</v>
      </c>
      <c r="Y59" s="115" t="s">
        <v>126</v>
      </c>
    </row>
    <row r="60" spans="1:25">
      <c r="A60" s="115" t="s">
        <v>0</v>
      </c>
      <c r="B60" s="115">
        <v>116</v>
      </c>
      <c r="C60" s="115">
        <v>187</v>
      </c>
      <c r="D60" s="115" t="s">
        <v>180</v>
      </c>
      <c r="E60" s="115" t="s">
        <v>128</v>
      </c>
      <c r="F60" s="115" t="s">
        <v>37</v>
      </c>
      <c r="G60" s="155" t="s">
        <v>239</v>
      </c>
      <c r="H60" s="115" t="str">
        <f>IFERROR(IF(RIGHT(D60,1)="A","S",IF(RIGHT(D60,1)="B","M",IF(RIGHT(D60,1)="C","L",IF(RIGHT(D60,1)="D","XL",IF(RIGHT(D60,1)="E","XXL",""))))),"")</f>
        <v>L</v>
      </c>
      <c r="I60" s="115">
        <f t="shared" si="6"/>
        <v>36</v>
      </c>
      <c r="J60" s="115">
        <v>2592</v>
      </c>
      <c r="K60" s="115">
        <f t="shared" si="7"/>
        <v>72</v>
      </c>
      <c r="L60" s="116">
        <f t="shared" si="8"/>
        <v>3.8333931073919998</v>
      </c>
      <c r="M60" s="115">
        <v>731.52</v>
      </c>
      <c r="N60" s="115">
        <v>817.92</v>
      </c>
      <c r="O60" s="116">
        <f t="shared" si="9"/>
        <v>11.36</v>
      </c>
      <c r="P60" s="116">
        <f t="shared" si="10"/>
        <v>10.16</v>
      </c>
      <c r="Q60" s="115">
        <v>48.26</v>
      </c>
      <c r="R60" s="115" t="s">
        <v>23</v>
      </c>
      <c r="S60" s="115">
        <v>48.26</v>
      </c>
      <c r="T60" s="115" t="s">
        <v>23</v>
      </c>
      <c r="U60" s="115">
        <v>22.86</v>
      </c>
      <c r="V60" s="117">
        <f t="shared" si="11"/>
        <v>5.3241570935999995E-2</v>
      </c>
      <c r="W60" s="115" t="s">
        <v>38</v>
      </c>
      <c r="X60" s="115" t="s">
        <v>38</v>
      </c>
      <c r="Y60" s="115" t="s">
        <v>126</v>
      </c>
    </row>
    <row r="61" spans="1:25">
      <c r="A61" s="115" t="s">
        <v>0</v>
      </c>
      <c r="B61" s="115">
        <v>188</v>
      </c>
      <c r="C61" s="115">
        <v>188</v>
      </c>
      <c r="D61" s="115" t="s">
        <v>180</v>
      </c>
      <c r="E61" s="115" t="s">
        <v>128</v>
      </c>
      <c r="F61" s="115" t="s">
        <v>37</v>
      </c>
      <c r="G61" s="155" t="s">
        <v>239</v>
      </c>
      <c r="H61" s="115" t="str">
        <f>IFERROR(IF(RIGHT(D61,1)="A","S",IF(RIGHT(D61,1)="B","M",IF(RIGHT(D61,1)="C","L",IF(RIGHT(D61,1)="D","XL",IF(RIGHT(D61,1)="E","XXL",""))))),"")</f>
        <v>L</v>
      </c>
      <c r="I61" s="115">
        <f t="shared" si="6"/>
        <v>24</v>
      </c>
      <c r="J61" s="115">
        <v>24</v>
      </c>
      <c r="K61" s="115">
        <f t="shared" si="7"/>
        <v>1</v>
      </c>
      <c r="L61" s="116">
        <f t="shared" si="8"/>
        <v>5.3241570935999995E-2</v>
      </c>
      <c r="M61" s="115">
        <v>6.24</v>
      </c>
      <c r="N61" s="115">
        <v>7.44</v>
      </c>
      <c r="O61" s="116">
        <f t="shared" si="9"/>
        <v>7.44</v>
      </c>
      <c r="P61" s="116">
        <f t="shared" si="10"/>
        <v>6.24</v>
      </c>
      <c r="Q61" s="115">
        <v>48.26</v>
      </c>
      <c r="R61" s="115" t="s">
        <v>23</v>
      </c>
      <c r="S61" s="115">
        <v>48.26</v>
      </c>
      <c r="T61" s="115" t="s">
        <v>23</v>
      </c>
      <c r="U61" s="115">
        <v>22.86</v>
      </c>
      <c r="V61" s="117">
        <f t="shared" si="11"/>
        <v>5.3241570935999995E-2</v>
      </c>
      <c r="W61" s="115" t="s">
        <v>38</v>
      </c>
      <c r="X61" s="115" t="s">
        <v>38</v>
      </c>
      <c r="Y61" s="115" t="s">
        <v>126</v>
      </c>
    </row>
    <row r="62" spans="1:25">
      <c r="A62" s="115" t="s">
        <v>0</v>
      </c>
      <c r="B62" s="115">
        <v>189</v>
      </c>
      <c r="C62" s="115">
        <v>215</v>
      </c>
      <c r="D62" s="115" t="s">
        <v>181</v>
      </c>
      <c r="E62" s="115" t="s">
        <v>128</v>
      </c>
      <c r="F62" s="115" t="s">
        <v>37</v>
      </c>
      <c r="G62" s="155" t="s">
        <v>239</v>
      </c>
      <c r="H62" s="115" t="str">
        <f>IFERROR(IF(RIGHT(D62,1)="A","S",IF(RIGHT(D62,1)="B","M",IF(RIGHT(D62,1)="C","L",IF(RIGHT(D62,1)="D","XL",IF(RIGHT(D62,1)="E","XXL",""))))),"")</f>
        <v>XL</v>
      </c>
      <c r="I62" s="115">
        <f t="shared" si="6"/>
        <v>36</v>
      </c>
      <c r="J62" s="115">
        <v>972</v>
      </c>
      <c r="K62" s="115">
        <f t="shared" si="7"/>
        <v>27</v>
      </c>
      <c r="L62" s="116">
        <f t="shared" si="8"/>
        <v>1.677109484484</v>
      </c>
      <c r="M62" s="115">
        <v>294.83999999999997</v>
      </c>
      <c r="N62" s="115">
        <v>327.24</v>
      </c>
      <c r="O62" s="116">
        <f t="shared" si="9"/>
        <v>12.120000000000001</v>
      </c>
      <c r="P62" s="116">
        <f t="shared" si="10"/>
        <v>10.92</v>
      </c>
      <c r="Q62" s="115">
        <v>48.26</v>
      </c>
      <c r="R62" s="115" t="s">
        <v>23</v>
      </c>
      <c r="S62" s="115">
        <v>48.26</v>
      </c>
      <c r="T62" s="115" t="s">
        <v>23</v>
      </c>
      <c r="U62" s="115">
        <v>26.67</v>
      </c>
      <c r="V62" s="117">
        <f t="shared" si="11"/>
        <v>6.2115166091999997E-2</v>
      </c>
      <c r="W62" s="115" t="s">
        <v>38</v>
      </c>
      <c r="X62" s="115" t="s">
        <v>38</v>
      </c>
      <c r="Y62" s="115" t="s">
        <v>126</v>
      </c>
    </row>
    <row r="63" spans="1:25">
      <c r="A63" s="115" t="s">
        <v>0</v>
      </c>
      <c r="B63" s="115">
        <v>216</v>
      </c>
      <c r="C63" s="115">
        <v>216</v>
      </c>
      <c r="D63" s="115" t="s">
        <v>181</v>
      </c>
      <c r="E63" s="115" t="s">
        <v>128</v>
      </c>
      <c r="F63" s="115" t="s">
        <v>37</v>
      </c>
      <c r="G63" s="155" t="s">
        <v>239</v>
      </c>
      <c r="H63" s="115" t="str">
        <f>IFERROR(IF(RIGHT(D63,1)="A","S",IF(RIGHT(D63,1)="B","M",IF(RIGHT(D63,1)="C","L",IF(RIGHT(D63,1)="D","XL",IF(RIGHT(D63,1)="E","XXL",""))))),"")</f>
        <v>XL</v>
      </c>
      <c r="I63" s="115">
        <f t="shared" si="6"/>
        <v>5</v>
      </c>
      <c r="J63" s="115">
        <v>5</v>
      </c>
      <c r="K63" s="115">
        <f t="shared" si="7"/>
        <v>1</v>
      </c>
      <c r="L63" s="116">
        <f t="shared" si="8"/>
        <v>6.2115166091999997E-2</v>
      </c>
      <c r="M63" s="115">
        <v>0.45</v>
      </c>
      <c r="N63" s="115">
        <v>1.65</v>
      </c>
      <c r="O63" s="116">
        <f t="shared" si="9"/>
        <v>1.65</v>
      </c>
      <c r="P63" s="116">
        <f t="shared" si="10"/>
        <v>0.45</v>
      </c>
      <c r="Q63" s="115">
        <v>48.26</v>
      </c>
      <c r="R63" s="115" t="s">
        <v>23</v>
      </c>
      <c r="S63" s="115">
        <v>48.26</v>
      </c>
      <c r="T63" s="115" t="s">
        <v>23</v>
      </c>
      <c r="U63" s="115">
        <v>26.67</v>
      </c>
      <c r="V63" s="117">
        <f t="shared" si="11"/>
        <v>6.2115166091999997E-2</v>
      </c>
      <c r="W63" s="115" t="s">
        <v>38</v>
      </c>
      <c r="X63" s="115" t="s">
        <v>38</v>
      </c>
      <c r="Y63" s="115" t="s">
        <v>126</v>
      </c>
    </row>
    <row r="64" spans="1:25">
      <c r="A64" s="115" t="s">
        <v>0</v>
      </c>
      <c r="B64" s="115">
        <v>1</v>
      </c>
      <c r="C64" s="115">
        <v>10</v>
      </c>
      <c r="D64" s="115" t="s">
        <v>183</v>
      </c>
      <c r="E64" s="115" t="s">
        <v>128</v>
      </c>
      <c r="F64" s="115" t="s">
        <v>37</v>
      </c>
      <c r="G64" s="154" t="s">
        <v>240</v>
      </c>
      <c r="H64" s="115" t="str">
        <f>IFERROR(IF(RIGHT(D64,1)="A","S",IF(RIGHT(D64,1)="B","M",IF(RIGHT(D64,1)="C","L",IF(RIGHT(D64,1)="D","XL",IF(RIGHT(D64,1)="E","XXL",""))))),"")</f>
        <v>S</v>
      </c>
      <c r="I64" s="115">
        <f t="shared" si="6"/>
        <v>36</v>
      </c>
      <c r="J64" s="115">
        <v>360</v>
      </c>
      <c r="K64" s="115">
        <f t="shared" si="7"/>
        <v>10</v>
      </c>
      <c r="L64" s="116">
        <f t="shared" si="8"/>
        <v>0.53241570935999993</v>
      </c>
      <c r="M64" s="115">
        <v>89.4</v>
      </c>
      <c r="N64" s="115">
        <v>101.4</v>
      </c>
      <c r="O64" s="116">
        <f t="shared" si="9"/>
        <v>10.14</v>
      </c>
      <c r="P64" s="116">
        <f t="shared" si="10"/>
        <v>8.9400000000000013</v>
      </c>
      <c r="Q64" s="115">
        <v>48.26</v>
      </c>
      <c r="R64" s="115" t="s">
        <v>23</v>
      </c>
      <c r="S64" s="115">
        <v>48.26</v>
      </c>
      <c r="T64" s="115" t="s">
        <v>23</v>
      </c>
      <c r="U64" s="115">
        <v>22.86</v>
      </c>
      <c r="V64" s="117">
        <f t="shared" si="11"/>
        <v>5.3241570935999995E-2</v>
      </c>
      <c r="W64" s="115" t="s">
        <v>38</v>
      </c>
      <c r="X64" s="115" t="s">
        <v>38</v>
      </c>
      <c r="Y64" s="115" t="s">
        <v>126</v>
      </c>
    </row>
    <row r="65" spans="1:25">
      <c r="A65" s="115" t="s">
        <v>0</v>
      </c>
      <c r="B65" s="115">
        <v>11</v>
      </c>
      <c r="C65" s="115">
        <v>11</v>
      </c>
      <c r="D65" s="115" t="s">
        <v>183</v>
      </c>
      <c r="E65" s="115" t="s">
        <v>128</v>
      </c>
      <c r="F65" s="115" t="s">
        <v>37</v>
      </c>
      <c r="G65" s="154" t="s">
        <v>240</v>
      </c>
      <c r="H65" s="115" t="str">
        <f>IFERROR(IF(RIGHT(D65,1)="A","S",IF(RIGHT(D65,1)="B","M",IF(RIGHT(D65,1)="C","L",IF(RIGHT(D65,1)="D","XL",IF(RIGHT(D65,1)="E","XXL",""))))),"")</f>
        <v>S</v>
      </c>
      <c r="I65" s="115">
        <f t="shared" si="6"/>
        <v>4</v>
      </c>
      <c r="J65" s="115">
        <v>4</v>
      </c>
      <c r="K65" s="115">
        <f t="shared" si="7"/>
        <v>1</v>
      </c>
      <c r="L65" s="116">
        <f t="shared" si="8"/>
        <v>5.3241570935999995E-2</v>
      </c>
      <c r="M65" s="115">
        <v>0.28000000000000003</v>
      </c>
      <c r="N65" s="115">
        <v>1.1200000000000001</v>
      </c>
      <c r="O65" s="116">
        <f t="shared" si="9"/>
        <v>1.1200000000000001</v>
      </c>
      <c r="P65" s="116">
        <f t="shared" si="10"/>
        <v>0.28000000000000003</v>
      </c>
      <c r="Q65" s="115">
        <v>48.26</v>
      </c>
      <c r="R65" s="115" t="s">
        <v>23</v>
      </c>
      <c r="S65" s="115">
        <v>48.26</v>
      </c>
      <c r="T65" s="115" t="s">
        <v>23</v>
      </c>
      <c r="U65" s="115">
        <v>22.86</v>
      </c>
      <c r="V65" s="117">
        <f t="shared" si="11"/>
        <v>5.3241570935999995E-2</v>
      </c>
      <c r="W65" s="115" t="s">
        <v>38</v>
      </c>
      <c r="X65" s="115" t="s">
        <v>38</v>
      </c>
      <c r="Y65" s="115" t="s">
        <v>126</v>
      </c>
    </row>
    <row r="66" spans="1:25">
      <c r="A66" s="115" t="s">
        <v>0</v>
      </c>
      <c r="B66" s="115">
        <v>12</v>
      </c>
      <c r="C66" s="115">
        <v>37</v>
      </c>
      <c r="D66" s="115" t="s">
        <v>184</v>
      </c>
      <c r="E66" s="115" t="s">
        <v>128</v>
      </c>
      <c r="F66" s="115" t="s">
        <v>37</v>
      </c>
      <c r="G66" s="154" t="s">
        <v>240</v>
      </c>
      <c r="H66" s="115" t="str">
        <f>IFERROR(IF(RIGHT(D66,1)="A","S",IF(RIGHT(D66,1)="B","M",IF(RIGHT(D66,1)="C","L",IF(RIGHT(D66,1)="D","XL",IF(RIGHT(D66,1)="E","XXL",""))))),"")</f>
        <v>M</v>
      </c>
      <c r="I66" s="115">
        <f t="shared" si="6"/>
        <v>36</v>
      </c>
      <c r="J66" s="115">
        <v>936</v>
      </c>
      <c r="K66" s="115">
        <f t="shared" si="7"/>
        <v>26</v>
      </c>
      <c r="L66" s="116">
        <f t="shared" si="8"/>
        <v>1.384280844336</v>
      </c>
      <c r="M66" s="115">
        <v>247.52</v>
      </c>
      <c r="N66" s="115">
        <v>278.72000000000003</v>
      </c>
      <c r="O66" s="116">
        <f t="shared" si="9"/>
        <v>10.72</v>
      </c>
      <c r="P66" s="116">
        <f t="shared" si="10"/>
        <v>9.52</v>
      </c>
      <c r="Q66" s="115">
        <v>48.26</v>
      </c>
      <c r="R66" s="115" t="s">
        <v>23</v>
      </c>
      <c r="S66" s="115">
        <v>48.26</v>
      </c>
      <c r="T66" s="115" t="s">
        <v>23</v>
      </c>
      <c r="U66" s="115">
        <v>22.86</v>
      </c>
      <c r="V66" s="117">
        <f t="shared" si="11"/>
        <v>5.3241570935999995E-2</v>
      </c>
      <c r="W66" s="115" t="s">
        <v>38</v>
      </c>
      <c r="X66" s="115" t="s">
        <v>38</v>
      </c>
      <c r="Y66" s="115" t="s">
        <v>126</v>
      </c>
    </row>
    <row r="67" spans="1:25">
      <c r="A67" s="115" t="s">
        <v>0</v>
      </c>
      <c r="B67" s="115">
        <v>38</v>
      </c>
      <c r="C67" s="115">
        <v>38</v>
      </c>
      <c r="D67" s="115" t="s">
        <v>184</v>
      </c>
      <c r="E67" s="115" t="s">
        <v>128</v>
      </c>
      <c r="F67" s="115" t="s">
        <v>37</v>
      </c>
      <c r="G67" s="154" t="s">
        <v>240</v>
      </c>
      <c r="H67" s="115" t="str">
        <f>IFERROR(IF(RIGHT(D67,1)="A","S",IF(RIGHT(D67,1)="B","M",IF(RIGHT(D67,1)="C","L",IF(RIGHT(D67,1)="D","XL",IF(RIGHT(D67,1)="E","XXL",""))))),"")</f>
        <v>M</v>
      </c>
      <c r="I67" s="115">
        <f t="shared" ref="I67:I98" si="12">IFERROR(J67/K67,"")</f>
        <v>10</v>
      </c>
      <c r="J67" s="115">
        <v>10</v>
      </c>
      <c r="K67" s="115">
        <f t="shared" ref="K67:K98" si="13">C67-B67+1</f>
        <v>1</v>
      </c>
      <c r="L67" s="116">
        <f t="shared" ref="L67:L98" si="14">IFERROR(K67*V67,"")</f>
        <v>5.3241570935999995E-2</v>
      </c>
      <c r="M67" s="115">
        <v>1.7</v>
      </c>
      <c r="N67" s="115">
        <v>2.9</v>
      </c>
      <c r="O67" s="116">
        <f t="shared" ref="O67:O98" si="15">IFERROR(N67/K67,"")</f>
        <v>2.9</v>
      </c>
      <c r="P67" s="116">
        <f t="shared" ref="P67:P98" si="16">IFERROR(M67/K67,"")</f>
        <v>1.7</v>
      </c>
      <c r="Q67" s="115">
        <v>48.26</v>
      </c>
      <c r="R67" s="115" t="s">
        <v>23</v>
      </c>
      <c r="S67" s="115">
        <v>48.26</v>
      </c>
      <c r="T67" s="115" t="s">
        <v>23</v>
      </c>
      <c r="U67" s="115">
        <v>22.86</v>
      </c>
      <c r="V67" s="117">
        <f t="shared" ref="V67:V98" si="17">IFERROR((Q67*S67*U67)/1000000,"")</f>
        <v>5.3241570935999995E-2</v>
      </c>
      <c r="W67" s="115" t="s">
        <v>38</v>
      </c>
      <c r="X67" s="115" t="s">
        <v>38</v>
      </c>
      <c r="Y67" s="115" t="s">
        <v>126</v>
      </c>
    </row>
    <row r="68" spans="1:25">
      <c r="A68" s="115" t="s">
        <v>0</v>
      </c>
      <c r="B68" s="115">
        <v>39</v>
      </c>
      <c r="C68" s="115">
        <v>61</v>
      </c>
      <c r="D68" s="115" t="s">
        <v>185</v>
      </c>
      <c r="E68" s="115" t="s">
        <v>128</v>
      </c>
      <c r="F68" s="115" t="s">
        <v>37</v>
      </c>
      <c r="G68" s="154" t="s">
        <v>240</v>
      </c>
      <c r="H68" s="115" t="str">
        <f>IFERROR(IF(RIGHT(D68,1)="A","S",IF(RIGHT(D68,1)="B","M",IF(RIGHT(D68,1)="C","L",IF(RIGHT(D68,1)="D","XL",IF(RIGHT(D68,1)="E","XXL",""))))),"")</f>
        <v>L</v>
      </c>
      <c r="I68" s="115">
        <f t="shared" si="12"/>
        <v>36</v>
      </c>
      <c r="J68" s="115">
        <v>828</v>
      </c>
      <c r="K68" s="115">
        <f t="shared" si="13"/>
        <v>23</v>
      </c>
      <c r="L68" s="116">
        <f t="shared" si="14"/>
        <v>1.2245561315279998</v>
      </c>
      <c r="M68" s="115">
        <v>231.38</v>
      </c>
      <c r="N68" s="115">
        <v>258.98</v>
      </c>
      <c r="O68" s="116">
        <f t="shared" si="15"/>
        <v>11.260000000000002</v>
      </c>
      <c r="P68" s="116">
        <f t="shared" si="16"/>
        <v>10.06</v>
      </c>
      <c r="Q68" s="115">
        <v>48.26</v>
      </c>
      <c r="R68" s="115" t="s">
        <v>23</v>
      </c>
      <c r="S68" s="115">
        <v>48.26</v>
      </c>
      <c r="T68" s="115" t="s">
        <v>23</v>
      </c>
      <c r="U68" s="115">
        <v>22.86</v>
      </c>
      <c r="V68" s="117">
        <f t="shared" si="17"/>
        <v>5.3241570935999995E-2</v>
      </c>
      <c r="W68" s="115" t="s">
        <v>38</v>
      </c>
      <c r="X68" s="115" t="s">
        <v>38</v>
      </c>
      <c r="Y68" s="115" t="s">
        <v>126</v>
      </c>
    </row>
    <row r="69" spans="1:25">
      <c r="A69" s="115" t="s">
        <v>0</v>
      </c>
      <c r="B69" s="115">
        <v>62</v>
      </c>
      <c r="C69" s="115">
        <v>62</v>
      </c>
      <c r="D69" s="115" t="s">
        <v>185</v>
      </c>
      <c r="E69" s="115" t="s">
        <v>128</v>
      </c>
      <c r="F69" s="115" t="s">
        <v>37</v>
      </c>
      <c r="G69" s="154" t="s">
        <v>240</v>
      </c>
      <c r="H69" s="115" t="str">
        <f>IFERROR(IF(RIGHT(D69,1)="A","S",IF(RIGHT(D69,1)="B","M",IF(RIGHT(D69,1)="C","L",IF(RIGHT(D69,1)="D","XL",IF(RIGHT(D69,1)="E","XXL",""))))),"")</f>
        <v>L</v>
      </c>
      <c r="I69" s="115">
        <f t="shared" si="12"/>
        <v>7</v>
      </c>
      <c r="J69" s="115">
        <v>7</v>
      </c>
      <c r="K69" s="115">
        <f t="shared" si="13"/>
        <v>1</v>
      </c>
      <c r="L69" s="116">
        <f t="shared" si="14"/>
        <v>5.3241570935999995E-2</v>
      </c>
      <c r="M69" s="115">
        <v>0.97</v>
      </c>
      <c r="N69" s="115">
        <v>2.17</v>
      </c>
      <c r="O69" s="116">
        <f t="shared" si="15"/>
        <v>2.17</v>
      </c>
      <c r="P69" s="116">
        <f t="shared" si="16"/>
        <v>0.97</v>
      </c>
      <c r="Q69" s="115">
        <v>48.26</v>
      </c>
      <c r="R69" s="115" t="s">
        <v>23</v>
      </c>
      <c r="S69" s="115">
        <v>48.26</v>
      </c>
      <c r="T69" s="115" t="s">
        <v>23</v>
      </c>
      <c r="U69" s="115">
        <v>22.86</v>
      </c>
      <c r="V69" s="117">
        <f t="shared" si="17"/>
        <v>5.3241570935999995E-2</v>
      </c>
      <c r="W69" s="115" t="s">
        <v>38</v>
      </c>
      <c r="X69" s="115" t="s">
        <v>38</v>
      </c>
      <c r="Y69" s="115" t="s">
        <v>126</v>
      </c>
    </row>
    <row r="70" spans="1:25">
      <c r="A70" s="115" t="s">
        <v>0</v>
      </c>
      <c r="B70" s="115">
        <v>63</v>
      </c>
      <c r="C70" s="115">
        <v>72</v>
      </c>
      <c r="D70" s="115" t="s">
        <v>186</v>
      </c>
      <c r="E70" s="115" t="s">
        <v>128</v>
      </c>
      <c r="F70" s="115" t="s">
        <v>37</v>
      </c>
      <c r="G70" s="154" t="s">
        <v>240</v>
      </c>
      <c r="H70" s="115" t="str">
        <f>IFERROR(IF(RIGHT(D70,1)="A","S",IF(RIGHT(D70,1)="B","M",IF(RIGHT(D70,1)="C","L",IF(RIGHT(D70,1)="D","XL",IF(RIGHT(D70,1)="E","XXL",""))))),"")</f>
        <v>XL</v>
      </c>
      <c r="I70" s="115">
        <f t="shared" si="12"/>
        <v>36</v>
      </c>
      <c r="J70" s="115">
        <v>360</v>
      </c>
      <c r="K70" s="115">
        <f t="shared" si="13"/>
        <v>10</v>
      </c>
      <c r="L70" s="116">
        <f t="shared" si="14"/>
        <v>0.62115166091999996</v>
      </c>
      <c r="M70" s="115">
        <v>108.4</v>
      </c>
      <c r="N70" s="115">
        <v>120.4</v>
      </c>
      <c r="O70" s="116">
        <f t="shared" si="15"/>
        <v>12.040000000000001</v>
      </c>
      <c r="P70" s="116">
        <f t="shared" si="16"/>
        <v>10.84</v>
      </c>
      <c r="Q70" s="115">
        <v>48.26</v>
      </c>
      <c r="R70" s="115" t="s">
        <v>23</v>
      </c>
      <c r="S70" s="115">
        <v>48.26</v>
      </c>
      <c r="T70" s="115" t="s">
        <v>23</v>
      </c>
      <c r="U70" s="115">
        <v>26.67</v>
      </c>
      <c r="V70" s="117">
        <f t="shared" si="17"/>
        <v>6.2115166091999997E-2</v>
      </c>
      <c r="W70" s="115" t="s">
        <v>38</v>
      </c>
      <c r="X70" s="115" t="s">
        <v>38</v>
      </c>
      <c r="Y70" s="115" t="s">
        <v>126</v>
      </c>
    </row>
    <row r="71" spans="1:25">
      <c r="A71" s="115" t="s">
        <v>0</v>
      </c>
      <c r="B71" s="115">
        <v>73</v>
      </c>
      <c r="C71" s="115">
        <v>73</v>
      </c>
      <c r="D71" s="115" t="s">
        <v>186</v>
      </c>
      <c r="E71" s="115" t="s">
        <v>128</v>
      </c>
      <c r="F71" s="115" t="s">
        <v>37</v>
      </c>
      <c r="G71" s="154" t="s">
        <v>240</v>
      </c>
      <c r="H71" s="115" t="str">
        <f>IFERROR(IF(RIGHT(D71,1)="A","S",IF(RIGHT(D71,1)="B","M",IF(RIGHT(D71,1)="C","L",IF(RIGHT(D71,1)="D","XL",IF(RIGHT(D71,1)="E","XXL",""))))),"")</f>
        <v>XL</v>
      </c>
      <c r="I71" s="115">
        <f t="shared" si="12"/>
        <v>2</v>
      </c>
      <c r="J71" s="115">
        <v>2</v>
      </c>
      <c r="K71" s="115">
        <f t="shared" si="13"/>
        <v>1</v>
      </c>
      <c r="L71" s="116">
        <f t="shared" si="14"/>
        <v>6.2115166091999997E-2</v>
      </c>
      <c r="M71" s="115">
        <v>0.33</v>
      </c>
      <c r="N71" s="115">
        <v>0.66</v>
      </c>
      <c r="O71" s="116">
        <f t="shared" si="15"/>
        <v>0.66</v>
      </c>
      <c r="P71" s="116">
        <f t="shared" si="16"/>
        <v>0.33</v>
      </c>
      <c r="Q71" s="115">
        <v>48.26</v>
      </c>
      <c r="R71" s="115" t="s">
        <v>23</v>
      </c>
      <c r="S71" s="115">
        <v>48.26</v>
      </c>
      <c r="T71" s="115" t="s">
        <v>23</v>
      </c>
      <c r="U71" s="115">
        <v>26.67</v>
      </c>
      <c r="V71" s="117">
        <f t="shared" si="17"/>
        <v>6.2115166091999997E-2</v>
      </c>
      <c r="W71" s="115" t="s">
        <v>38</v>
      </c>
      <c r="X71" s="115" t="s">
        <v>38</v>
      </c>
      <c r="Y71" s="115" t="s">
        <v>126</v>
      </c>
    </row>
    <row r="72" spans="1:25">
      <c r="A72" s="115" t="s">
        <v>0</v>
      </c>
      <c r="B72" s="115">
        <v>1</v>
      </c>
      <c r="C72" s="115">
        <v>17</v>
      </c>
      <c r="D72" s="115" t="s">
        <v>188</v>
      </c>
      <c r="E72" s="115" t="s">
        <v>128</v>
      </c>
      <c r="F72" s="115" t="s">
        <v>37</v>
      </c>
      <c r="G72" s="155" t="s">
        <v>241</v>
      </c>
      <c r="H72" s="115" t="str">
        <f>IFERROR(IF(RIGHT(D72,1)="A","S",IF(RIGHT(D72,1)="B","M",IF(RIGHT(D72,1)="C","L",IF(RIGHT(D72,1)="D","XL",IF(RIGHT(D72,1)="E","XXL",""))))),"")</f>
        <v>S</v>
      </c>
      <c r="I72" s="115">
        <f t="shared" si="12"/>
        <v>36</v>
      </c>
      <c r="J72" s="115">
        <v>612</v>
      </c>
      <c r="K72" s="115">
        <f t="shared" si="13"/>
        <v>17</v>
      </c>
      <c r="L72" s="116">
        <f t="shared" si="14"/>
        <v>0.90510670591199993</v>
      </c>
      <c r="M72" s="115">
        <v>151.97999999999999</v>
      </c>
      <c r="N72" s="115">
        <v>172.38</v>
      </c>
      <c r="O72" s="116">
        <f t="shared" si="15"/>
        <v>10.14</v>
      </c>
      <c r="P72" s="116">
        <f t="shared" si="16"/>
        <v>8.94</v>
      </c>
      <c r="Q72" s="115">
        <v>48.26</v>
      </c>
      <c r="R72" s="115" t="s">
        <v>23</v>
      </c>
      <c r="S72" s="115">
        <v>48.26</v>
      </c>
      <c r="T72" s="115" t="s">
        <v>23</v>
      </c>
      <c r="U72" s="115">
        <v>22.86</v>
      </c>
      <c r="V72" s="117">
        <f t="shared" si="17"/>
        <v>5.3241570935999995E-2</v>
      </c>
      <c r="W72" s="115" t="s">
        <v>38</v>
      </c>
      <c r="X72" s="115" t="s">
        <v>38</v>
      </c>
      <c r="Y72" s="115" t="s">
        <v>126</v>
      </c>
    </row>
    <row r="73" spans="1:25">
      <c r="A73" s="115" t="s">
        <v>0</v>
      </c>
      <c r="B73" s="115">
        <v>18</v>
      </c>
      <c r="C73" s="115">
        <v>18</v>
      </c>
      <c r="D73" s="115" t="s">
        <v>188</v>
      </c>
      <c r="E73" s="115" t="s">
        <v>128</v>
      </c>
      <c r="F73" s="115" t="s">
        <v>37</v>
      </c>
      <c r="G73" s="155" t="s">
        <v>241</v>
      </c>
      <c r="H73" s="115" t="str">
        <f>IFERROR(IF(RIGHT(D73,1)="A","S",IF(RIGHT(D73,1)="B","M",IF(RIGHT(D73,1)="C","L",IF(RIGHT(D73,1)="D","XL",IF(RIGHT(D73,1)="E","XXL",""))))),"")</f>
        <v>S</v>
      </c>
      <c r="I73" s="115">
        <f t="shared" si="12"/>
        <v>30</v>
      </c>
      <c r="J73" s="115">
        <v>30</v>
      </c>
      <c r="K73" s="115">
        <f t="shared" si="13"/>
        <v>1</v>
      </c>
      <c r="L73" s="116">
        <f t="shared" si="14"/>
        <v>5.3241570935999995E-2</v>
      </c>
      <c r="M73" s="115">
        <v>7.2</v>
      </c>
      <c r="N73" s="115">
        <v>8.4</v>
      </c>
      <c r="O73" s="116">
        <f t="shared" si="15"/>
        <v>8.4</v>
      </c>
      <c r="P73" s="116">
        <f t="shared" si="16"/>
        <v>7.2</v>
      </c>
      <c r="Q73" s="115">
        <v>48.26</v>
      </c>
      <c r="R73" s="115" t="s">
        <v>23</v>
      </c>
      <c r="S73" s="115">
        <v>48.26</v>
      </c>
      <c r="T73" s="115" t="s">
        <v>23</v>
      </c>
      <c r="U73" s="115">
        <v>22.86</v>
      </c>
      <c r="V73" s="117">
        <f t="shared" si="17"/>
        <v>5.3241570935999995E-2</v>
      </c>
      <c r="W73" s="115" t="s">
        <v>38</v>
      </c>
      <c r="X73" s="115" t="s">
        <v>38</v>
      </c>
      <c r="Y73" s="115" t="s">
        <v>126</v>
      </c>
    </row>
    <row r="74" spans="1:25">
      <c r="A74" s="115" t="s">
        <v>0</v>
      </c>
      <c r="B74" s="115">
        <v>19</v>
      </c>
      <c r="C74" s="115">
        <v>70</v>
      </c>
      <c r="D74" s="115" t="s">
        <v>189</v>
      </c>
      <c r="E74" s="115" t="s">
        <v>128</v>
      </c>
      <c r="F74" s="115" t="s">
        <v>37</v>
      </c>
      <c r="G74" s="155" t="s">
        <v>241</v>
      </c>
      <c r="H74" s="115" t="str">
        <f>IFERROR(IF(RIGHT(D74,1)="A","S",IF(RIGHT(D74,1)="B","M",IF(RIGHT(D74,1)="C","L",IF(RIGHT(D74,1)="D","XL",IF(RIGHT(D74,1)="E","XXL",""))))),"")</f>
        <v>M</v>
      </c>
      <c r="I74" s="115">
        <f t="shared" si="12"/>
        <v>36</v>
      </c>
      <c r="J74" s="115">
        <v>1872</v>
      </c>
      <c r="K74" s="115">
        <f t="shared" si="13"/>
        <v>52</v>
      </c>
      <c r="L74" s="116">
        <f t="shared" si="14"/>
        <v>2.7685616886719999</v>
      </c>
      <c r="M74" s="115">
        <v>499.2</v>
      </c>
      <c r="N74" s="115">
        <v>561.6</v>
      </c>
      <c r="O74" s="116">
        <f t="shared" si="15"/>
        <v>10.8</v>
      </c>
      <c r="P74" s="116">
        <f t="shared" si="16"/>
        <v>9.6</v>
      </c>
      <c r="Q74" s="115">
        <v>48.26</v>
      </c>
      <c r="R74" s="115" t="s">
        <v>23</v>
      </c>
      <c r="S74" s="115">
        <v>48.26</v>
      </c>
      <c r="T74" s="115" t="s">
        <v>23</v>
      </c>
      <c r="U74" s="115">
        <v>22.86</v>
      </c>
      <c r="V74" s="117">
        <f t="shared" si="17"/>
        <v>5.3241570935999995E-2</v>
      </c>
      <c r="W74" s="115" t="s">
        <v>38</v>
      </c>
      <c r="X74" s="115" t="s">
        <v>38</v>
      </c>
      <c r="Y74" s="115" t="s">
        <v>126</v>
      </c>
    </row>
    <row r="75" spans="1:25">
      <c r="A75" s="115" t="s">
        <v>0</v>
      </c>
      <c r="B75" s="115">
        <v>71</v>
      </c>
      <c r="C75" s="115">
        <v>71</v>
      </c>
      <c r="D75" s="115" t="s">
        <v>189</v>
      </c>
      <c r="E75" s="115" t="s">
        <v>128</v>
      </c>
      <c r="F75" s="115" t="s">
        <v>37</v>
      </c>
      <c r="G75" s="155" t="s">
        <v>241</v>
      </c>
      <c r="H75" s="115" t="str">
        <f>IFERROR(IF(RIGHT(D75,1)="A","S",IF(RIGHT(D75,1)="B","M",IF(RIGHT(D75,1)="C","L",IF(RIGHT(D75,1)="D","XL",IF(RIGHT(D75,1)="E","XXL",""))))),"")</f>
        <v>M</v>
      </c>
      <c r="I75" s="115">
        <f t="shared" si="12"/>
        <v>18</v>
      </c>
      <c r="J75" s="115">
        <v>18</v>
      </c>
      <c r="K75" s="115">
        <f t="shared" si="13"/>
        <v>1</v>
      </c>
      <c r="L75" s="116">
        <f t="shared" si="14"/>
        <v>5.3241570935999995E-2</v>
      </c>
      <c r="M75" s="115">
        <v>4.2</v>
      </c>
      <c r="N75" s="115">
        <v>5.4</v>
      </c>
      <c r="O75" s="116">
        <f t="shared" si="15"/>
        <v>5.4</v>
      </c>
      <c r="P75" s="116">
        <f t="shared" si="16"/>
        <v>4.2</v>
      </c>
      <c r="Q75" s="115">
        <v>48.26</v>
      </c>
      <c r="R75" s="115" t="s">
        <v>23</v>
      </c>
      <c r="S75" s="115">
        <v>48.26</v>
      </c>
      <c r="T75" s="115" t="s">
        <v>23</v>
      </c>
      <c r="U75" s="115">
        <v>22.86</v>
      </c>
      <c r="V75" s="117">
        <f t="shared" si="17"/>
        <v>5.3241570935999995E-2</v>
      </c>
      <c r="W75" s="115" t="s">
        <v>38</v>
      </c>
      <c r="X75" s="115" t="s">
        <v>38</v>
      </c>
      <c r="Y75" s="115" t="s">
        <v>126</v>
      </c>
    </row>
    <row r="76" spans="1:25">
      <c r="A76" s="115" t="s">
        <v>0</v>
      </c>
      <c r="B76" s="115">
        <v>72</v>
      </c>
      <c r="C76" s="115">
        <v>121</v>
      </c>
      <c r="D76" s="115" t="s">
        <v>190</v>
      </c>
      <c r="E76" s="115" t="s">
        <v>128</v>
      </c>
      <c r="F76" s="115" t="s">
        <v>37</v>
      </c>
      <c r="G76" s="155" t="s">
        <v>241</v>
      </c>
      <c r="H76" s="115" t="str">
        <f>IFERROR(IF(RIGHT(D76,1)="A","S",IF(RIGHT(D76,1)="B","M",IF(RIGHT(D76,1)="C","L",IF(RIGHT(D76,1)="D","XL",IF(RIGHT(D76,1)="E","XXL",""))))),"")</f>
        <v>L</v>
      </c>
      <c r="I76" s="115">
        <f t="shared" si="12"/>
        <v>36</v>
      </c>
      <c r="J76" s="115">
        <v>1800</v>
      </c>
      <c r="K76" s="115">
        <f t="shared" si="13"/>
        <v>50</v>
      </c>
      <c r="L76" s="116">
        <f t="shared" si="14"/>
        <v>2.6620785467999997</v>
      </c>
      <c r="M76" s="115">
        <v>508</v>
      </c>
      <c r="N76" s="115">
        <v>568</v>
      </c>
      <c r="O76" s="116">
        <f t="shared" si="15"/>
        <v>11.36</v>
      </c>
      <c r="P76" s="116">
        <f t="shared" si="16"/>
        <v>10.16</v>
      </c>
      <c r="Q76" s="115">
        <v>48.26</v>
      </c>
      <c r="R76" s="115" t="s">
        <v>23</v>
      </c>
      <c r="S76" s="115">
        <v>48.26</v>
      </c>
      <c r="T76" s="115" t="s">
        <v>23</v>
      </c>
      <c r="U76" s="115">
        <v>22.86</v>
      </c>
      <c r="V76" s="117">
        <f t="shared" si="17"/>
        <v>5.3241570935999995E-2</v>
      </c>
      <c r="W76" s="115" t="s">
        <v>38</v>
      </c>
      <c r="X76" s="115" t="s">
        <v>38</v>
      </c>
      <c r="Y76" s="115" t="s">
        <v>126</v>
      </c>
    </row>
    <row r="77" spans="1:25">
      <c r="A77" s="115" t="s">
        <v>0</v>
      </c>
      <c r="B77" s="115">
        <v>122</v>
      </c>
      <c r="C77" s="115">
        <v>122</v>
      </c>
      <c r="D77" s="115" t="s">
        <v>190</v>
      </c>
      <c r="E77" s="115" t="s">
        <v>128</v>
      </c>
      <c r="F77" s="115" t="s">
        <v>37</v>
      </c>
      <c r="G77" s="155" t="s">
        <v>241</v>
      </c>
      <c r="H77" s="115" t="str">
        <f>IFERROR(IF(RIGHT(D77,1)="A","S",IF(RIGHT(D77,1)="B","M",IF(RIGHT(D77,1)="C","L",IF(RIGHT(D77,1)="D","XL",IF(RIGHT(D77,1)="E","XXL",""))))),"")</f>
        <v>L</v>
      </c>
      <c r="I77" s="115">
        <f t="shared" si="12"/>
        <v>34</v>
      </c>
      <c r="J77" s="115">
        <v>34</v>
      </c>
      <c r="K77" s="115">
        <f t="shared" si="13"/>
        <v>1</v>
      </c>
      <c r="L77" s="116">
        <f t="shared" si="14"/>
        <v>5.3241570935999995E-2</v>
      </c>
      <c r="M77" s="115">
        <v>9.34</v>
      </c>
      <c r="N77" s="115">
        <v>10.54</v>
      </c>
      <c r="O77" s="116">
        <f t="shared" si="15"/>
        <v>10.54</v>
      </c>
      <c r="P77" s="116">
        <f t="shared" si="16"/>
        <v>9.34</v>
      </c>
      <c r="Q77" s="115">
        <v>48.26</v>
      </c>
      <c r="R77" s="115" t="s">
        <v>23</v>
      </c>
      <c r="S77" s="115">
        <v>48.26</v>
      </c>
      <c r="T77" s="115" t="s">
        <v>23</v>
      </c>
      <c r="U77" s="115">
        <v>22.86</v>
      </c>
      <c r="V77" s="117">
        <f t="shared" si="17"/>
        <v>5.3241570935999995E-2</v>
      </c>
      <c r="W77" s="115" t="s">
        <v>38</v>
      </c>
      <c r="X77" s="115" t="s">
        <v>38</v>
      </c>
      <c r="Y77" s="115" t="s">
        <v>126</v>
      </c>
    </row>
    <row r="78" spans="1:25">
      <c r="A78" s="115" t="s">
        <v>0</v>
      </c>
      <c r="B78" s="115">
        <v>123</v>
      </c>
      <c r="C78" s="115">
        <v>147</v>
      </c>
      <c r="D78" s="115" t="s">
        <v>191</v>
      </c>
      <c r="E78" s="115" t="s">
        <v>128</v>
      </c>
      <c r="F78" s="115" t="s">
        <v>37</v>
      </c>
      <c r="G78" s="155" t="s">
        <v>241</v>
      </c>
      <c r="H78" s="115" t="str">
        <f>IFERROR(IF(RIGHT(D78,1)="A","S",IF(RIGHT(D78,1)="B","M",IF(RIGHT(D78,1)="C","L",IF(RIGHT(D78,1)="D","XL",IF(RIGHT(D78,1)="E","XXL",""))))),"")</f>
        <v>XL</v>
      </c>
      <c r="I78" s="115">
        <f t="shared" si="12"/>
        <v>36</v>
      </c>
      <c r="J78" s="115">
        <v>900</v>
      </c>
      <c r="K78" s="115">
        <f t="shared" si="13"/>
        <v>25</v>
      </c>
      <c r="L78" s="116">
        <f t="shared" si="14"/>
        <v>1.5528791522999998</v>
      </c>
      <c r="M78" s="115">
        <v>273</v>
      </c>
      <c r="N78" s="115">
        <v>303</v>
      </c>
      <c r="O78" s="116">
        <f t="shared" si="15"/>
        <v>12.12</v>
      </c>
      <c r="P78" s="116">
        <f t="shared" si="16"/>
        <v>10.92</v>
      </c>
      <c r="Q78" s="115">
        <v>48.26</v>
      </c>
      <c r="R78" s="115" t="s">
        <v>23</v>
      </c>
      <c r="S78" s="115">
        <v>48.26</v>
      </c>
      <c r="T78" s="115" t="s">
        <v>23</v>
      </c>
      <c r="U78" s="115">
        <v>26.67</v>
      </c>
      <c r="V78" s="117">
        <f t="shared" si="17"/>
        <v>6.2115166091999997E-2</v>
      </c>
      <c r="W78" s="115" t="s">
        <v>38</v>
      </c>
      <c r="X78" s="115" t="s">
        <v>38</v>
      </c>
      <c r="Y78" s="115" t="s">
        <v>126</v>
      </c>
    </row>
    <row r="79" spans="1:25">
      <c r="A79" s="115" t="s">
        <v>0</v>
      </c>
      <c r="B79" s="115">
        <v>148</v>
      </c>
      <c r="C79" s="115">
        <v>148</v>
      </c>
      <c r="D79" s="115" t="s">
        <v>191</v>
      </c>
      <c r="E79" s="115" t="s">
        <v>128</v>
      </c>
      <c r="F79" s="115" t="s">
        <v>37</v>
      </c>
      <c r="G79" s="155" t="s">
        <v>241</v>
      </c>
      <c r="H79" s="115" t="str">
        <f>IFERROR(IF(RIGHT(D79,1)="A","S",IF(RIGHT(D79,1)="B","M",IF(RIGHT(D79,1)="C","L",IF(RIGHT(D79,1)="D","XL",IF(RIGHT(D79,1)="E","XXL",""))))),"")</f>
        <v>XL</v>
      </c>
      <c r="I79" s="115">
        <f t="shared" si="12"/>
        <v>28</v>
      </c>
      <c r="J79" s="115">
        <v>28</v>
      </c>
      <c r="K79" s="115">
        <f t="shared" si="13"/>
        <v>1</v>
      </c>
      <c r="L79" s="116">
        <f t="shared" si="14"/>
        <v>6.2115166091999997E-2</v>
      </c>
      <c r="M79" s="115">
        <v>8.0399999999999991</v>
      </c>
      <c r="N79" s="115">
        <v>9.24</v>
      </c>
      <c r="O79" s="116">
        <f t="shared" si="15"/>
        <v>9.24</v>
      </c>
      <c r="P79" s="116">
        <f t="shared" si="16"/>
        <v>8.0399999999999991</v>
      </c>
      <c r="Q79" s="115">
        <v>48.26</v>
      </c>
      <c r="R79" s="115" t="s">
        <v>23</v>
      </c>
      <c r="S79" s="115">
        <v>48.26</v>
      </c>
      <c r="T79" s="115" t="s">
        <v>23</v>
      </c>
      <c r="U79" s="115">
        <v>26.67</v>
      </c>
      <c r="V79" s="117">
        <f t="shared" si="17"/>
        <v>6.2115166091999997E-2</v>
      </c>
      <c r="W79" s="115" t="s">
        <v>38</v>
      </c>
      <c r="X79" s="115" t="s">
        <v>38</v>
      </c>
      <c r="Y79" s="115" t="s">
        <v>126</v>
      </c>
    </row>
    <row r="80" spans="1:25">
      <c r="A80" s="115" t="s">
        <v>0</v>
      </c>
      <c r="B80" s="115">
        <v>1</v>
      </c>
      <c r="C80" s="115">
        <v>42</v>
      </c>
      <c r="D80" s="115" t="s">
        <v>193</v>
      </c>
      <c r="E80" s="115" t="s">
        <v>194</v>
      </c>
      <c r="F80" s="115" t="s">
        <v>37</v>
      </c>
      <c r="G80" s="154" t="s">
        <v>242</v>
      </c>
      <c r="H80" s="115" t="str">
        <f>IFERROR(IF(RIGHT(D80,1)="A","S",IF(RIGHT(D80,1)="B","M",IF(RIGHT(D80,1)="C","L",IF(RIGHT(D80,1)="D","XL",IF(RIGHT(D80,1)="E","XXL",""))))),"")</f>
        <v>S</v>
      </c>
      <c r="I80" s="115">
        <f t="shared" si="12"/>
        <v>36</v>
      </c>
      <c r="J80" s="115">
        <v>1512</v>
      </c>
      <c r="K80" s="115">
        <f t="shared" si="13"/>
        <v>42</v>
      </c>
      <c r="L80" s="116">
        <f t="shared" si="14"/>
        <v>2.236145979312</v>
      </c>
      <c r="M80" s="115">
        <v>492.66</v>
      </c>
      <c r="N80" s="115">
        <v>533.82000000000005</v>
      </c>
      <c r="O80" s="116">
        <f t="shared" si="15"/>
        <v>12.71</v>
      </c>
      <c r="P80" s="116">
        <f t="shared" si="16"/>
        <v>11.73</v>
      </c>
      <c r="Q80" s="115">
        <v>48.26</v>
      </c>
      <c r="R80" s="115" t="s">
        <v>23</v>
      </c>
      <c r="S80" s="115">
        <v>48.26</v>
      </c>
      <c r="T80" s="115" t="s">
        <v>23</v>
      </c>
      <c r="U80" s="115">
        <v>22.86</v>
      </c>
      <c r="V80" s="117">
        <f t="shared" si="17"/>
        <v>5.3241570935999995E-2</v>
      </c>
      <c r="W80" s="115" t="s">
        <v>38</v>
      </c>
      <c r="X80" s="115" t="s">
        <v>38</v>
      </c>
      <c r="Y80" s="115" t="s">
        <v>221</v>
      </c>
    </row>
    <row r="81" spans="1:25">
      <c r="A81" s="115" t="s">
        <v>0</v>
      </c>
      <c r="B81" s="115">
        <v>43</v>
      </c>
      <c r="C81" s="115">
        <v>43</v>
      </c>
      <c r="D81" s="115" t="s">
        <v>193</v>
      </c>
      <c r="E81" s="115" t="s">
        <v>194</v>
      </c>
      <c r="F81" s="115" t="s">
        <v>37</v>
      </c>
      <c r="G81" s="154" t="s">
        <v>242</v>
      </c>
      <c r="H81" s="115" t="str">
        <f>IFERROR(IF(RIGHT(D81,1)="A","S",IF(RIGHT(D81,1)="B","M",IF(RIGHT(D81,1)="C","L",IF(RIGHT(D81,1)="D","XL",IF(RIGHT(D81,1)="E","XXL",""))))),"")</f>
        <v>S</v>
      </c>
      <c r="I81" s="115">
        <f t="shared" si="12"/>
        <v>9</v>
      </c>
      <c r="J81" s="115">
        <v>9</v>
      </c>
      <c r="K81" s="115">
        <f t="shared" si="13"/>
        <v>1</v>
      </c>
      <c r="L81" s="116">
        <f t="shared" si="14"/>
        <v>5.3241570935999995E-2</v>
      </c>
      <c r="M81" s="115">
        <v>2.93</v>
      </c>
      <c r="N81" s="115">
        <v>3.91</v>
      </c>
      <c r="O81" s="116">
        <f t="shared" si="15"/>
        <v>3.91</v>
      </c>
      <c r="P81" s="116">
        <f t="shared" si="16"/>
        <v>2.93</v>
      </c>
      <c r="Q81" s="115">
        <v>48.26</v>
      </c>
      <c r="R81" s="115" t="s">
        <v>23</v>
      </c>
      <c r="S81" s="115">
        <v>48.26</v>
      </c>
      <c r="T81" s="115" t="s">
        <v>23</v>
      </c>
      <c r="U81" s="115">
        <v>22.86</v>
      </c>
      <c r="V81" s="117">
        <f t="shared" si="17"/>
        <v>5.3241570935999995E-2</v>
      </c>
      <c r="W81" s="115" t="s">
        <v>38</v>
      </c>
      <c r="X81" s="115" t="s">
        <v>38</v>
      </c>
      <c r="Y81" s="115" t="s">
        <v>221</v>
      </c>
    </row>
    <row r="82" spans="1:25">
      <c r="A82" s="115" t="s">
        <v>0</v>
      </c>
      <c r="B82" s="115">
        <v>45</v>
      </c>
      <c r="C82" s="115">
        <v>146</v>
      </c>
      <c r="D82" s="115" t="s">
        <v>195</v>
      </c>
      <c r="E82" s="115" t="s">
        <v>194</v>
      </c>
      <c r="F82" s="115" t="s">
        <v>37</v>
      </c>
      <c r="G82" s="154" t="s">
        <v>242</v>
      </c>
      <c r="H82" s="115" t="str">
        <f>IFERROR(IF(RIGHT(D82,1)="A","S",IF(RIGHT(D82,1)="B","M",IF(RIGHT(D82,1)="C","L",IF(RIGHT(D82,1)="D","XL",IF(RIGHT(D82,1)="E","XXL",""))))),"")</f>
        <v>M</v>
      </c>
      <c r="I82" s="115">
        <f t="shared" si="12"/>
        <v>36</v>
      </c>
      <c r="J82" s="115">
        <v>3672</v>
      </c>
      <c r="K82" s="115">
        <f t="shared" si="13"/>
        <v>102</v>
      </c>
      <c r="L82" s="116">
        <f t="shared" si="14"/>
        <v>5.4306402354719996</v>
      </c>
      <c r="M82" s="115">
        <v>1270.92</v>
      </c>
      <c r="N82" s="115">
        <v>1370.88</v>
      </c>
      <c r="O82" s="116">
        <f t="shared" si="15"/>
        <v>13.440000000000001</v>
      </c>
      <c r="P82" s="116">
        <f t="shared" si="16"/>
        <v>12.46</v>
      </c>
      <c r="Q82" s="115">
        <v>48.26</v>
      </c>
      <c r="R82" s="115" t="s">
        <v>23</v>
      </c>
      <c r="S82" s="115">
        <v>48.26</v>
      </c>
      <c r="T82" s="115" t="s">
        <v>23</v>
      </c>
      <c r="U82" s="115">
        <v>22.86</v>
      </c>
      <c r="V82" s="117">
        <f t="shared" si="17"/>
        <v>5.3241570935999995E-2</v>
      </c>
      <c r="W82" s="115" t="s">
        <v>38</v>
      </c>
      <c r="X82" s="115" t="s">
        <v>38</v>
      </c>
      <c r="Y82" s="115" t="s">
        <v>221</v>
      </c>
    </row>
    <row r="83" spans="1:25">
      <c r="A83" s="115" t="s">
        <v>0</v>
      </c>
      <c r="B83" s="115">
        <v>147</v>
      </c>
      <c r="C83" s="115">
        <v>147</v>
      </c>
      <c r="D83" s="115" t="s">
        <v>195</v>
      </c>
      <c r="E83" s="115" t="s">
        <v>194</v>
      </c>
      <c r="F83" s="115" t="s">
        <v>37</v>
      </c>
      <c r="G83" s="154" t="s">
        <v>242</v>
      </c>
      <c r="H83" s="115" t="str">
        <f>IFERROR(IF(RIGHT(D83,1)="A","S",IF(RIGHT(D83,1)="B","M",IF(RIGHT(D83,1)="C","L",IF(RIGHT(D83,1)="D","XL",IF(RIGHT(D83,1)="E","XXL",""))))),"")</f>
        <v>M</v>
      </c>
      <c r="I83" s="115">
        <f t="shared" si="12"/>
        <v>31</v>
      </c>
      <c r="J83" s="115">
        <v>31</v>
      </c>
      <c r="K83" s="115">
        <f t="shared" si="13"/>
        <v>1</v>
      </c>
      <c r="L83" s="116">
        <f t="shared" si="14"/>
        <v>5.3241570935999995E-2</v>
      </c>
      <c r="M83" s="115">
        <v>10.72</v>
      </c>
      <c r="N83" s="115">
        <v>11.7</v>
      </c>
      <c r="O83" s="116">
        <f t="shared" si="15"/>
        <v>11.7</v>
      </c>
      <c r="P83" s="116">
        <f t="shared" si="16"/>
        <v>10.72</v>
      </c>
      <c r="Q83" s="115">
        <v>48.26</v>
      </c>
      <c r="R83" s="115" t="s">
        <v>23</v>
      </c>
      <c r="S83" s="115">
        <v>48.26</v>
      </c>
      <c r="T83" s="115" t="s">
        <v>23</v>
      </c>
      <c r="U83" s="115">
        <v>22.86</v>
      </c>
      <c r="V83" s="117">
        <f t="shared" si="17"/>
        <v>5.3241570935999995E-2</v>
      </c>
      <c r="W83" s="115" t="s">
        <v>38</v>
      </c>
      <c r="X83" s="115" t="s">
        <v>38</v>
      </c>
      <c r="Y83" s="115" t="s">
        <v>221</v>
      </c>
    </row>
    <row r="84" spans="1:25">
      <c r="A84" s="115" t="s">
        <v>0</v>
      </c>
      <c r="B84" s="115">
        <v>149</v>
      </c>
      <c r="C84" s="115">
        <v>244</v>
      </c>
      <c r="D84" s="115" t="s">
        <v>196</v>
      </c>
      <c r="E84" s="115" t="s">
        <v>194</v>
      </c>
      <c r="F84" s="115" t="s">
        <v>37</v>
      </c>
      <c r="G84" s="154" t="s">
        <v>242</v>
      </c>
      <c r="H84" s="115" t="str">
        <f>IFERROR(IF(RIGHT(D84,1)="A","S",IF(RIGHT(D84,1)="B","M",IF(RIGHT(D84,1)="C","L",IF(RIGHT(D84,1)="D","XL",IF(RIGHT(D84,1)="E","XXL",""))))),"")</f>
        <v>L</v>
      </c>
      <c r="I84" s="115">
        <f t="shared" si="12"/>
        <v>36</v>
      </c>
      <c r="J84" s="115">
        <v>3456</v>
      </c>
      <c r="K84" s="115">
        <f t="shared" si="13"/>
        <v>96</v>
      </c>
      <c r="L84" s="116">
        <f t="shared" si="14"/>
        <v>5.963055944832</v>
      </c>
      <c r="M84" s="115">
        <v>1271.04</v>
      </c>
      <c r="N84" s="115">
        <v>1376.64</v>
      </c>
      <c r="O84" s="116">
        <f t="shared" si="15"/>
        <v>14.340000000000002</v>
      </c>
      <c r="P84" s="116">
        <f t="shared" si="16"/>
        <v>13.24</v>
      </c>
      <c r="Q84" s="115">
        <v>48.26</v>
      </c>
      <c r="R84" s="115" t="s">
        <v>23</v>
      </c>
      <c r="S84" s="115">
        <v>48.26</v>
      </c>
      <c r="T84" s="115" t="s">
        <v>23</v>
      </c>
      <c r="U84" s="115">
        <v>26.67</v>
      </c>
      <c r="V84" s="117">
        <f t="shared" si="17"/>
        <v>6.2115166091999997E-2</v>
      </c>
      <c r="W84" s="115" t="s">
        <v>38</v>
      </c>
      <c r="X84" s="115" t="s">
        <v>38</v>
      </c>
      <c r="Y84" s="115" t="s">
        <v>221</v>
      </c>
    </row>
    <row r="85" spans="1:25">
      <c r="A85" s="115" t="s">
        <v>0</v>
      </c>
      <c r="B85" s="115">
        <v>245</v>
      </c>
      <c r="C85" s="115">
        <v>245</v>
      </c>
      <c r="D85" s="115" t="s">
        <v>196</v>
      </c>
      <c r="E85" s="115" t="s">
        <v>194</v>
      </c>
      <c r="F85" s="115" t="s">
        <v>37</v>
      </c>
      <c r="G85" s="154" t="s">
        <v>242</v>
      </c>
      <c r="H85" s="115" t="str">
        <f>IFERROR(IF(RIGHT(D85,1)="A","S",IF(RIGHT(D85,1)="B","M",IF(RIGHT(D85,1)="C","L",IF(RIGHT(D85,1)="D","XL",IF(RIGHT(D85,1)="E","XXL",""))))),"")</f>
        <v>L</v>
      </c>
      <c r="I85" s="115">
        <f t="shared" si="12"/>
        <v>11</v>
      </c>
      <c r="J85" s="115">
        <v>11</v>
      </c>
      <c r="K85" s="115">
        <f t="shared" si="13"/>
        <v>1</v>
      </c>
      <c r="L85" s="116">
        <f t="shared" si="14"/>
        <v>6.2115166091999997E-2</v>
      </c>
      <c r="M85" s="115">
        <v>4.04</v>
      </c>
      <c r="N85" s="115">
        <v>5.14</v>
      </c>
      <c r="O85" s="116">
        <f t="shared" si="15"/>
        <v>5.14</v>
      </c>
      <c r="P85" s="116">
        <f t="shared" si="16"/>
        <v>4.04</v>
      </c>
      <c r="Q85" s="115">
        <v>48.26</v>
      </c>
      <c r="R85" s="115" t="s">
        <v>23</v>
      </c>
      <c r="S85" s="115">
        <v>48.26</v>
      </c>
      <c r="T85" s="115" t="s">
        <v>23</v>
      </c>
      <c r="U85" s="115">
        <v>26.67</v>
      </c>
      <c r="V85" s="117">
        <f t="shared" si="17"/>
        <v>6.2115166091999997E-2</v>
      </c>
      <c r="W85" s="115" t="s">
        <v>38</v>
      </c>
      <c r="X85" s="115" t="s">
        <v>38</v>
      </c>
      <c r="Y85" s="115" t="s">
        <v>221</v>
      </c>
    </row>
    <row r="86" spans="1:25">
      <c r="A86" s="115" t="s">
        <v>0</v>
      </c>
      <c r="B86" s="115">
        <v>246</v>
      </c>
      <c r="C86" s="115">
        <v>290</v>
      </c>
      <c r="D86" s="115" t="s">
        <v>197</v>
      </c>
      <c r="E86" s="115" t="s">
        <v>194</v>
      </c>
      <c r="F86" s="115" t="s">
        <v>37</v>
      </c>
      <c r="G86" s="154" t="s">
        <v>242</v>
      </c>
      <c r="H86" s="115" t="str">
        <f>IFERROR(IF(RIGHT(D86,1)="A","S",IF(RIGHT(D86,1)="B","M",IF(RIGHT(D86,1)="C","L",IF(RIGHT(D86,1)="D","XL",IF(RIGHT(D86,1)="E","XXL",""))))),"")</f>
        <v>XL</v>
      </c>
      <c r="I86" s="115">
        <f t="shared" si="12"/>
        <v>36</v>
      </c>
      <c r="J86" s="115">
        <v>1620</v>
      </c>
      <c r="K86" s="115">
        <f t="shared" si="13"/>
        <v>45</v>
      </c>
      <c r="L86" s="116">
        <f t="shared" si="14"/>
        <v>2.7951824741399998</v>
      </c>
      <c r="M86" s="115">
        <v>630.9</v>
      </c>
      <c r="N86" s="115">
        <v>680.4</v>
      </c>
      <c r="O86" s="116">
        <f t="shared" si="15"/>
        <v>15.12</v>
      </c>
      <c r="P86" s="116">
        <f t="shared" si="16"/>
        <v>14.02</v>
      </c>
      <c r="Q86" s="115">
        <v>48.26</v>
      </c>
      <c r="R86" s="115" t="s">
        <v>23</v>
      </c>
      <c r="S86" s="115">
        <v>48.26</v>
      </c>
      <c r="T86" s="115" t="s">
        <v>23</v>
      </c>
      <c r="U86" s="115">
        <v>26.67</v>
      </c>
      <c r="V86" s="117">
        <f t="shared" si="17"/>
        <v>6.2115166091999997E-2</v>
      </c>
      <c r="W86" s="115" t="s">
        <v>38</v>
      </c>
      <c r="X86" s="115" t="s">
        <v>38</v>
      </c>
      <c r="Y86" s="115" t="s">
        <v>221</v>
      </c>
    </row>
    <row r="87" spans="1:25">
      <c r="A87" s="115" t="s">
        <v>0</v>
      </c>
      <c r="B87" s="115">
        <v>1</v>
      </c>
      <c r="C87" s="115">
        <v>27</v>
      </c>
      <c r="D87" s="115" t="s">
        <v>198</v>
      </c>
      <c r="E87" s="115" t="s">
        <v>194</v>
      </c>
      <c r="F87" s="115" t="s">
        <v>37</v>
      </c>
      <c r="G87" s="154" t="s">
        <v>242</v>
      </c>
      <c r="H87" s="115" t="str">
        <f>IFERROR(IF(RIGHT(D87,1)="A","S",IF(RIGHT(D87,1)="B","M",IF(RIGHT(D87,1)="C","L",IF(RIGHT(D87,1)="D","XL",IF(RIGHT(D87,1)="E","XXL",""))))),"")</f>
        <v>XXL</v>
      </c>
      <c r="I87" s="115">
        <f t="shared" si="12"/>
        <v>36</v>
      </c>
      <c r="J87" s="115">
        <v>972</v>
      </c>
      <c r="K87" s="115">
        <f t="shared" si="13"/>
        <v>27</v>
      </c>
      <c r="L87" s="116">
        <f t="shared" si="14"/>
        <v>1.677109484484</v>
      </c>
      <c r="M87" s="115">
        <v>390.96</v>
      </c>
      <c r="N87" s="115">
        <v>420.66</v>
      </c>
      <c r="O87" s="116">
        <f t="shared" si="15"/>
        <v>15.58</v>
      </c>
      <c r="P87" s="116">
        <f t="shared" si="16"/>
        <v>14.479999999999999</v>
      </c>
      <c r="Q87" s="115">
        <v>48.26</v>
      </c>
      <c r="R87" s="115" t="s">
        <v>23</v>
      </c>
      <c r="S87" s="115">
        <v>48.26</v>
      </c>
      <c r="T87" s="115" t="s">
        <v>23</v>
      </c>
      <c r="U87" s="115">
        <v>26.67</v>
      </c>
      <c r="V87" s="117">
        <f t="shared" si="17"/>
        <v>6.2115166091999997E-2</v>
      </c>
      <c r="W87" s="115" t="s">
        <v>38</v>
      </c>
      <c r="X87" s="115" t="s">
        <v>38</v>
      </c>
      <c r="Y87" s="115" t="s">
        <v>221</v>
      </c>
    </row>
    <row r="88" spans="1:25">
      <c r="A88" s="115" t="s">
        <v>0</v>
      </c>
      <c r="B88" s="115">
        <v>28</v>
      </c>
      <c r="C88" s="115">
        <v>28</v>
      </c>
      <c r="D88" s="115" t="s">
        <v>198</v>
      </c>
      <c r="E88" s="115" t="s">
        <v>194</v>
      </c>
      <c r="F88" s="115" t="s">
        <v>37</v>
      </c>
      <c r="G88" s="154" t="s">
        <v>242</v>
      </c>
      <c r="H88" s="115" t="str">
        <f>IFERROR(IF(RIGHT(D88,1)="A","S",IF(RIGHT(D88,1)="B","M",IF(RIGHT(D88,1)="C","L",IF(RIGHT(D88,1)="D","XL",IF(RIGHT(D88,1)="E","XXL",""))))),"")</f>
        <v>XXL</v>
      </c>
      <c r="I88" s="115">
        <f t="shared" si="12"/>
        <v>11</v>
      </c>
      <c r="J88" s="115">
        <v>11</v>
      </c>
      <c r="K88" s="115">
        <f t="shared" si="13"/>
        <v>1</v>
      </c>
      <c r="L88" s="116">
        <f t="shared" si="14"/>
        <v>6.2115166091999997E-2</v>
      </c>
      <c r="M88" s="115">
        <v>4.42</v>
      </c>
      <c r="N88" s="115">
        <v>5.56</v>
      </c>
      <c r="O88" s="116">
        <f t="shared" si="15"/>
        <v>5.56</v>
      </c>
      <c r="P88" s="116">
        <f t="shared" si="16"/>
        <v>4.42</v>
      </c>
      <c r="Q88" s="115">
        <v>48.26</v>
      </c>
      <c r="R88" s="115" t="s">
        <v>23</v>
      </c>
      <c r="S88" s="115">
        <v>48.26</v>
      </c>
      <c r="T88" s="115" t="s">
        <v>23</v>
      </c>
      <c r="U88" s="115">
        <v>26.67</v>
      </c>
      <c r="V88" s="117">
        <f t="shared" si="17"/>
        <v>6.2115166091999997E-2</v>
      </c>
      <c r="W88" s="115" t="s">
        <v>38</v>
      </c>
      <c r="X88" s="115" t="s">
        <v>38</v>
      </c>
      <c r="Y88" s="115" t="s">
        <v>221</v>
      </c>
    </row>
    <row r="89" spans="1:25">
      <c r="A89" s="115" t="s">
        <v>0</v>
      </c>
      <c r="B89" s="115">
        <v>1</v>
      </c>
      <c r="C89" s="115">
        <v>11</v>
      </c>
      <c r="D89" s="115" t="s">
        <v>200</v>
      </c>
      <c r="E89" s="115" t="s">
        <v>194</v>
      </c>
      <c r="F89" s="115" t="s">
        <v>37</v>
      </c>
      <c r="G89" s="154" t="s">
        <v>245</v>
      </c>
      <c r="H89" s="115" t="str">
        <f>IFERROR(IF(RIGHT(D89,1)="A","S",IF(RIGHT(D89,1)="B","M",IF(RIGHT(D89,1)="C","L",IF(RIGHT(D89,1)="D","XL",IF(RIGHT(D89,1)="E","XXL",""))))),"")</f>
        <v>S</v>
      </c>
      <c r="I89" s="115">
        <f t="shared" si="12"/>
        <v>36</v>
      </c>
      <c r="J89" s="115">
        <v>396</v>
      </c>
      <c r="K89" s="115">
        <f t="shared" si="13"/>
        <v>11</v>
      </c>
      <c r="L89" s="116">
        <f t="shared" si="14"/>
        <v>0.58565728029599995</v>
      </c>
      <c r="M89" s="115">
        <v>129.03</v>
      </c>
      <c r="N89" s="115">
        <v>139.81</v>
      </c>
      <c r="O89" s="116">
        <f t="shared" si="15"/>
        <v>12.71</v>
      </c>
      <c r="P89" s="116">
        <f t="shared" si="16"/>
        <v>11.73</v>
      </c>
      <c r="Q89" s="115">
        <v>48.26</v>
      </c>
      <c r="R89" s="115" t="s">
        <v>23</v>
      </c>
      <c r="S89" s="115">
        <v>48.26</v>
      </c>
      <c r="T89" s="115" t="s">
        <v>23</v>
      </c>
      <c r="U89" s="115">
        <v>22.86</v>
      </c>
      <c r="V89" s="117">
        <f t="shared" si="17"/>
        <v>5.3241570935999995E-2</v>
      </c>
      <c r="W89" s="115" t="s">
        <v>38</v>
      </c>
      <c r="X89" s="115" t="s">
        <v>38</v>
      </c>
      <c r="Y89" s="115" t="s">
        <v>221</v>
      </c>
    </row>
    <row r="90" spans="1:25">
      <c r="A90" s="115" t="s">
        <v>0</v>
      </c>
      <c r="B90" s="115">
        <v>12</v>
      </c>
      <c r="C90" s="115">
        <v>12</v>
      </c>
      <c r="D90" s="115" t="s">
        <v>200</v>
      </c>
      <c r="E90" s="115" t="s">
        <v>194</v>
      </c>
      <c r="F90" s="115" t="s">
        <v>37</v>
      </c>
      <c r="G90" s="154" t="s">
        <v>245</v>
      </c>
      <c r="H90" s="115" t="str">
        <f>IFERROR(IF(RIGHT(D90,1)="A","S",IF(RIGHT(D90,1)="B","M",IF(RIGHT(D90,1)="C","L",IF(RIGHT(D90,1)="D","XL",IF(RIGHT(D90,1)="E","XXL",""))))),"")</f>
        <v>S</v>
      </c>
      <c r="I90" s="115">
        <f t="shared" si="12"/>
        <v>20</v>
      </c>
      <c r="J90" s="115">
        <v>20</v>
      </c>
      <c r="K90" s="115">
        <f t="shared" si="13"/>
        <v>1</v>
      </c>
      <c r="L90" s="116">
        <f t="shared" si="14"/>
        <v>5.3241570935999995E-2</v>
      </c>
      <c r="M90" s="115">
        <v>6.51</v>
      </c>
      <c r="N90" s="115">
        <v>7.49</v>
      </c>
      <c r="O90" s="116">
        <f t="shared" si="15"/>
        <v>7.49</v>
      </c>
      <c r="P90" s="116">
        <f t="shared" si="16"/>
        <v>6.51</v>
      </c>
      <c r="Q90" s="115">
        <v>48.26</v>
      </c>
      <c r="R90" s="115" t="s">
        <v>23</v>
      </c>
      <c r="S90" s="115">
        <v>48.26</v>
      </c>
      <c r="T90" s="115" t="s">
        <v>23</v>
      </c>
      <c r="U90" s="115">
        <v>22.86</v>
      </c>
      <c r="V90" s="117">
        <f t="shared" si="17"/>
        <v>5.3241570935999995E-2</v>
      </c>
      <c r="W90" s="115" t="s">
        <v>38</v>
      </c>
      <c r="X90" s="115" t="s">
        <v>38</v>
      </c>
      <c r="Y90" s="115" t="s">
        <v>221</v>
      </c>
    </row>
    <row r="91" spans="1:25">
      <c r="A91" s="115" t="s">
        <v>0</v>
      </c>
      <c r="B91" s="115">
        <v>13</v>
      </c>
      <c r="C91" s="115">
        <v>46</v>
      </c>
      <c r="D91" s="115" t="s">
        <v>201</v>
      </c>
      <c r="E91" s="115" t="s">
        <v>194</v>
      </c>
      <c r="F91" s="115" t="s">
        <v>37</v>
      </c>
      <c r="G91" s="154" t="s">
        <v>245</v>
      </c>
      <c r="H91" s="115" t="str">
        <f>IFERROR(IF(RIGHT(D91,1)="A","S",IF(RIGHT(D91,1)="B","M",IF(RIGHT(D91,1)="C","L",IF(RIGHT(D91,1)="D","XL",IF(RIGHT(D91,1)="E","XXL",""))))),"")</f>
        <v>M</v>
      </c>
      <c r="I91" s="115">
        <f t="shared" si="12"/>
        <v>36</v>
      </c>
      <c r="J91" s="115">
        <v>1224</v>
      </c>
      <c r="K91" s="115">
        <f t="shared" si="13"/>
        <v>34</v>
      </c>
      <c r="L91" s="116">
        <f t="shared" si="14"/>
        <v>1.8102134118239999</v>
      </c>
      <c r="M91" s="115">
        <v>423.64</v>
      </c>
      <c r="N91" s="115">
        <v>456.96</v>
      </c>
      <c r="O91" s="116">
        <f t="shared" si="15"/>
        <v>13.44</v>
      </c>
      <c r="P91" s="116">
        <f t="shared" si="16"/>
        <v>12.459999999999999</v>
      </c>
      <c r="Q91" s="115">
        <v>48.26</v>
      </c>
      <c r="R91" s="115" t="s">
        <v>23</v>
      </c>
      <c r="S91" s="115">
        <v>48.26</v>
      </c>
      <c r="T91" s="115" t="s">
        <v>23</v>
      </c>
      <c r="U91" s="115">
        <v>22.86</v>
      </c>
      <c r="V91" s="117">
        <f t="shared" si="17"/>
        <v>5.3241570935999995E-2</v>
      </c>
      <c r="W91" s="115" t="s">
        <v>38</v>
      </c>
      <c r="X91" s="115" t="s">
        <v>38</v>
      </c>
      <c r="Y91" s="115" t="s">
        <v>221</v>
      </c>
    </row>
    <row r="92" spans="1:25">
      <c r="A92" s="115" t="s">
        <v>0</v>
      </c>
      <c r="B92" s="115">
        <v>47</v>
      </c>
      <c r="C92" s="115">
        <v>47</v>
      </c>
      <c r="D92" s="115" t="s">
        <v>201</v>
      </c>
      <c r="E92" s="115" t="s">
        <v>194</v>
      </c>
      <c r="F92" s="115" t="s">
        <v>37</v>
      </c>
      <c r="G92" s="154" t="s">
        <v>245</v>
      </c>
      <c r="H92" s="115" t="str">
        <f>IFERROR(IF(RIGHT(D92,1)="A","S",IF(RIGHT(D92,1)="B","M",IF(RIGHT(D92,1)="C","L",IF(RIGHT(D92,1)="D","XL",IF(RIGHT(D92,1)="E","XXL",""))))),"")</f>
        <v>M</v>
      </c>
      <c r="I92" s="115">
        <f t="shared" si="12"/>
        <v>17</v>
      </c>
      <c r="J92" s="115">
        <v>17</v>
      </c>
      <c r="K92" s="115">
        <f t="shared" si="13"/>
        <v>1</v>
      </c>
      <c r="L92" s="116">
        <f t="shared" si="14"/>
        <v>5.3241570935999995E-2</v>
      </c>
      <c r="M92" s="115">
        <v>5.88</v>
      </c>
      <c r="N92" s="115">
        <v>6.86</v>
      </c>
      <c r="O92" s="116">
        <f t="shared" si="15"/>
        <v>6.86</v>
      </c>
      <c r="P92" s="116">
        <f t="shared" si="16"/>
        <v>5.88</v>
      </c>
      <c r="Q92" s="115">
        <v>48.26</v>
      </c>
      <c r="R92" s="115" t="s">
        <v>23</v>
      </c>
      <c r="S92" s="115">
        <v>48.26</v>
      </c>
      <c r="T92" s="115" t="s">
        <v>23</v>
      </c>
      <c r="U92" s="115">
        <v>22.86</v>
      </c>
      <c r="V92" s="117">
        <f t="shared" si="17"/>
        <v>5.3241570935999995E-2</v>
      </c>
      <c r="W92" s="115" t="s">
        <v>38</v>
      </c>
      <c r="X92" s="115" t="s">
        <v>38</v>
      </c>
      <c r="Y92" s="115" t="s">
        <v>221</v>
      </c>
    </row>
    <row r="93" spans="1:25">
      <c r="A93" s="115" t="s">
        <v>0</v>
      </c>
      <c r="B93" s="115">
        <v>48</v>
      </c>
      <c r="C93" s="115">
        <v>81</v>
      </c>
      <c r="D93" s="115" t="s">
        <v>202</v>
      </c>
      <c r="E93" s="115" t="s">
        <v>194</v>
      </c>
      <c r="F93" s="115" t="s">
        <v>37</v>
      </c>
      <c r="G93" s="154" t="s">
        <v>245</v>
      </c>
      <c r="H93" s="115" t="str">
        <f>IFERROR(IF(RIGHT(D93,1)="A","S",IF(RIGHT(D93,1)="B","M",IF(RIGHT(D93,1)="C","L",IF(RIGHT(D93,1)="D","XL",IF(RIGHT(D93,1)="E","XXL",""))))),"")</f>
        <v>L</v>
      </c>
      <c r="I93" s="115">
        <f t="shared" si="12"/>
        <v>36</v>
      </c>
      <c r="J93" s="115">
        <v>1224</v>
      </c>
      <c r="K93" s="115">
        <f t="shared" si="13"/>
        <v>34</v>
      </c>
      <c r="L93" s="116">
        <f t="shared" si="14"/>
        <v>2.1119156471279998</v>
      </c>
      <c r="M93" s="115">
        <v>450.16</v>
      </c>
      <c r="N93" s="115">
        <v>487.56</v>
      </c>
      <c r="O93" s="116">
        <f t="shared" si="15"/>
        <v>14.34</v>
      </c>
      <c r="P93" s="116">
        <f t="shared" si="16"/>
        <v>13.24</v>
      </c>
      <c r="Q93" s="115">
        <v>48.26</v>
      </c>
      <c r="R93" s="115" t="s">
        <v>23</v>
      </c>
      <c r="S93" s="115">
        <v>48.26</v>
      </c>
      <c r="T93" s="115" t="s">
        <v>23</v>
      </c>
      <c r="U93" s="115">
        <v>26.67</v>
      </c>
      <c r="V93" s="117">
        <f t="shared" si="17"/>
        <v>6.2115166091999997E-2</v>
      </c>
      <c r="W93" s="115" t="s">
        <v>38</v>
      </c>
      <c r="X93" s="115" t="s">
        <v>38</v>
      </c>
      <c r="Y93" s="115" t="s">
        <v>221</v>
      </c>
    </row>
    <row r="94" spans="1:25">
      <c r="A94" s="115" t="s">
        <v>0</v>
      </c>
      <c r="B94" s="115">
        <v>82</v>
      </c>
      <c r="C94" s="115">
        <v>82</v>
      </c>
      <c r="D94" s="115" t="s">
        <v>202</v>
      </c>
      <c r="E94" s="115" t="s">
        <v>194</v>
      </c>
      <c r="F94" s="115" t="s">
        <v>37</v>
      </c>
      <c r="G94" s="154" t="s">
        <v>245</v>
      </c>
      <c r="H94" s="115" t="str">
        <f>IFERROR(IF(RIGHT(D94,1)="A","S",IF(RIGHT(D94,1)="B","M",IF(RIGHT(D94,1)="C","L",IF(RIGHT(D94,1)="D","XL",IF(RIGHT(D94,1)="E","XXL",""))))),"")</f>
        <v>L</v>
      </c>
      <c r="I94" s="115">
        <f t="shared" si="12"/>
        <v>10</v>
      </c>
      <c r="J94" s="115">
        <v>10</v>
      </c>
      <c r="K94" s="115">
        <f t="shared" si="13"/>
        <v>1</v>
      </c>
      <c r="L94" s="116">
        <f t="shared" si="14"/>
        <v>6.2115166091999997E-2</v>
      </c>
      <c r="M94" s="115">
        <v>3.67</v>
      </c>
      <c r="N94" s="115">
        <v>4.7699999999999996</v>
      </c>
      <c r="O94" s="116">
        <f t="shared" si="15"/>
        <v>4.7699999999999996</v>
      </c>
      <c r="P94" s="116">
        <f t="shared" si="16"/>
        <v>3.67</v>
      </c>
      <c r="Q94" s="115">
        <v>48.26</v>
      </c>
      <c r="R94" s="115" t="s">
        <v>23</v>
      </c>
      <c r="S94" s="115">
        <v>48.26</v>
      </c>
      <c r="T94" s="115" t="s">
        <v>23</v>
      </c>
      <c r="U94" s="115">
        <v>26.67</v>
      </c>
      <c r="V94" s="117">
        <f t="shared" si="17"/>
        <v>6.2115166091999997E-2</v>
      </c>
      <c r="W94" s="115" t="s">
        <v>38</v>
      </c>
      <c r="X94" s="115" t="s">
        <v>38</v>
      </c>
      <c r="Y94" s="115" t="s">
        <v>221</v>
      </c>
    </row>
    <row r="95" spans="1:25">
      <c r="A95" s="115" t="s">
        <v>0</v>
      </c>
      <c r="B95" s="115">
        <v>83</v>
      </c>
      <c r="C95" s="115">
        <v>94</v>
      </c>
      <c r="D95" s="115" t="s">
        <v>203</v>
      </c>
      <c r="E95" s="115" t="s">
        <v>194</v>
      </c>
      <c r="F95" s="115" t="s">
        <v>37</v>
      </c>
      <c r="G95" s="154" t="s">
        <v>245</v>
      </c>
      <c r="H95" s="115" t="str">
        <f>IFERROR(IF(RIGHT(D95,1)="A","S",IF(RIGHT(D95,1)="B","M",IF(RIGHT(D95,1)="C","L",IF(RIGHT(D95,1)="D","XL",IF(RIGHT(D95,1)="E","XXL",""))))),"")</f>
        <v>XL</v>
      </c>
      <c r="I95" s="115">
        <f t="shared" si="12"/>
        <v>36</v>
      </c>
      <c r="J95" s="115">
        <v>432</v>
      </c>
      <c r="K95" s="115">
        <f t="shared" si="13"/>
        <v>12</v>
      </c>
      <c r="L95" s="116">
        <f t="shared" si="14"/>
        <v>0.745381993104</v>
      </c>
      <c r="M95" s="115">
        <v>168.24</v>
      </c>
      <c r="N95" s="115">
        <v>181.44</v>
      </c>
      <c r="O95" s="116">
        <f t="shared" si="15"/>
        <v>15.12</v>
      </c>
      <c r="P95" s="116">
        <f t="shared" si="16"/>
        <v>14.020000000000001</v>
      </c>
      <c r="Q95" s="115">
        <v>48.26</v>
      </c>
      <c r="R95" s="115" t="s">
        <v>23</v>
      </c>
      <c r="S95" s="115">
        <v>48.26</v>
      </c>
      <c r="T95" s="115" t="s">
        <v>23</v>
      </c>
      <c r="U95" s="115">
        <v>26.67</v>
      </c>
      <c r="V95" s="117">
        <f t="shared" si="17"/>
        <v>6.2115166091999997E-2</v>
      </c>
      <c r="W95" s="115" t="s">
        <v>38</v>
      </c>
      <c r="X95" s="115" t="s">
        <v>38</v>
      </c>
      <c r="Y95" s="115" t="s">
        <v>221</v>
      </c>
    </row>
    <row r="96" spans="1:25">
      <c r="A96" s="115" t="s">
        <v>0</v>
      </c>
      <c r="B96" s="115">
        <v>95</v>
      </c>
      <c r="C96" s="115">
        <v>95</v>
      </c>
      <c r="D96" s="115" t="s">
        <v>203</v>
      </c>
      <c r="E96" s="115" t="s">
        <v>194</v>
      </c>
      <c r="F96" s="115" t="s">
        <v>37</v>
      </c>
      <c r="G96" s="154" t="s">
        <v>245</v>
      </c>
      <c r="H96" s="115" t="str">
        <f>IFERROR(IF(RIGHT(D96,1)="A","S",IF(RIGHT(D96,1)="B","M",IF(RIGHT(D96,1)="C","L",IF(RIGHT(D96,1)="D","XL",IF(RIGHT(D96,1)="E","XXL",""))))),"")</f>
        <v>XL</v>
      </c>
      <c r="I96" s="115">
        <f t="shared" si="12"/>
        <v>22</v>
      </c>
      <c r="J96" s="115">
        <v>22</v>
      </c>
      <c r="K96" s="115">
        <f t="shared" si="13"/>
        <v>1</v>
      </c>
      <c r="L96" s="116">
        <f t="shared" si="14"/>
        <v>6.2115166091999997E-2</v>
      </c>
      <c r="M96" s="115">
        <v>8.56</v>
      </c>
      <c r="N96" s="115">
        <v>9.66</v>
      </c>
      <c r="O96" s="116">
        <f t="shared" si="15"/>
        <v>9.66</v>
      </c>
      <c r="P96" s="116">
        <f t="shared" si="16"/>
        <v>8.56</v>
      </c>
      <c r="Q96" s="115">
        <v>48.26</v>
      </c>
      <c r="R96" s="115" t="s">
        <v>23</v>
      </c>
      <c r="S96" s="115">
        <v>48.26</v>
      </c>
      <c r="T96" s="115" t="s">
        <v>23</v>
      </c>
      <c r="U96" s="115">
        <v>26.67</v>
      </c>
      <c r="V96" s="117">
        <f t="shared" si="17"/>
        <v>6.2115166091999997E-2</v>
      </c>
      <c r="W96" s="115" t="s">
        <v>38</v>
      </c>
      <c r="X96" s="115" t="s">
        <v>38</v>
      </c>
      <c r="Y96" s="115" t="s">
        <v>221</v>
      </c>
    </row>
    <row r="97" spans="1:25">
      <c r="A97" s="115" t="s">
        <v>0</v>
      </c>
      <c r="B97" s="115">
        <v>1</v>
      </c>
      <c r="C97" s="115">
        <v>12</v>
      </c>
      <c r="D97" s="115" t="s">
        <v>204</v>
      </c>
      <c r="E97" s="115" t="s">
        <v>194</v>
      </c>
      <c r="F97" s="115" t="s">
        <v>37</v>
      </c>
      <c r="G97" s="154" t="s">
        <v>245</v>
      </c>
      <c r="H97" s="115" t="str">
        <f>IFERROR(IF(RIGHT(D97,1)="A","S",IF(RIGHT(D97,1)="B","M",IF(RIGHT(D97,1)="C","L",IF(RIGHT(D97,1)="D","XL",IF(RIGHT(D97,1)="E","XXL",""))))),"")</f>
        <v>XXL</v>
      </c>
      <c r="I97" s="115">
        <f t="shared" si="12"/>
        <v>36</v>
      </c>
      <c r="J97" s="115">
        <v>432</v>
      </c>
      <c r="K97" s="115">
        <f t="shared" si="13"/>
        <v>12</v>
      </c>
      <c r="L97" s="116">
        <f t="shared" si="14"/>
        <v>0.745381993104</v>
      </c>
      <c r="M97" s="115">
        <v>173.76</v>
      </c>
      <c r="N97" s="115">
        <v>186.96</v>
      </c>
      <c r="O97" s="116">
        <f t="shared" si="15"/>
        <v>15.58</v>
      </c>
      <c r="P97" s="116">
        <f t="shared" si="16"/>
        <v>14.479999999999999</v>
      </c>
      <c r="Q97" s="115">
        <v>48.26</v>
      </c>
      <c r="R97" s="115" t="s">
        <v>23</v>
      </c>
      <c r="S97" s="115">
        <v>48.26</v>
      </c>
      <c r="T97" s="115" t="s">
        <v>23</v>
      </c>
      <c r="U97" s="115">
        <v>26.67</v>
      </c>
      <c r="V97" s="117">
        <f t="shared" si="17"/>
        <v>6.2115166091999997E-2</v>
      </c>
      <c r="W97" s="115" t="s">
        <v>38</v>
      </c>
      <c r="X97" s="115" t="s">
        <v>38</v>
      </c>
      <c r="Y97" s="115" t="s">
        <v>221</v>
      </c>
    </row>
    <row r="98" spans="1:25">
      <c r="A98" s="115" t="s">
        <v>0</v>
      </c>
      <c r="B98" s="115">
        <v>13</v>
      </c>
      <c r="C98" s="115">
        <v>13</v>
      </c>
      <c r="D98" s="115" t="s">
        <v>204</v>
      </c>
      <c r="E98" s="115" t="s">
        <v>194</v>
      </c>
      <c r="F98" s="115" t="s">
        <v>37</v>
      </c>
      <c r="G98" s="154" t="s">
        <v>245</v>
      </c>
      <c r="H98" s="115" t="str">
        <f>IFERROR(IF(RIGHT(D98,1)="A","S",IF(RIGHT(D98,1)="B","M",IF(RIGHT(D98,1)="C","L",IF(RIGHT(D98,1)="D","XL",IF(RIGHT(D98,1)="E","XXL",""))))),"")</f>
        <v>XXL</v>
      </c>
      <c r="I98" s="115">
        <f t="shared" si="12"/>
        <v>19</v>
      </c>
      <c r="J98" s="115">
        <v>19</v>
      </c>
      <c r="K98" s="115">
        <f t="shared" si="13"/>
        <v>1</v>
      </c>
      <c r="L98" s="116">
        <f t="shared" si="14"/>
        <v>6.2115166091999997E-2</v>
      </c>
      <c r="M98" s="115">
        <v>7.64</v>
      </c>
      <c r="N98" s="115">
        <v>8.7799999999999994</v>
      </c>
      <c r="O98" s="116">
        <f t="shared" si="15"/>
        <v>8.7799999999999994</v>
      </c>
      <c r="P98" s="116">
        <f t="shared" si="16"/>
        <v>7.64</v>
      </c>
      <c r="Q98" s="115">
        <v>48.26</v>
      </c>
      <c r="R98" s="115" t="s">
        <v>23</v>
      </c>
      <c r="S98" s="115">
        <v>48.26</v>
      </c>
      <c r="T98" s="115" t="s">
        <v>23</v>
      </c>
      <c r="U98" s="115">
        <v>26.67</v>
      </c>
      <c r="V98" s="117">
        <f t="shared" si="17"/>
        <v>6.2115166091999997E-2</v>
      </c>
      <c r="W98" s="115" t="s">
        <v>38</v>
      </c>
      <c r="X98" s="115" t="s">
        <v>38</v>
      </c>
      <c r="Y98" s="115" t="s">
        <v>221</v>
      </c>
    </row>
    <row r="99" spans="1:25">
      <c r="A99" s="115" t="s">
        <v>0</v>
      </c>
      <c r="B99" s="115">
        <v>1</v>
      </c>
      <c r="C99" s="115">
        <v>27</v>
      </c>
      <c r="D99" s="115" t="s">
        <v>206</v>
      </c>
      <c r="E99" s="115" t="s">
        <v>194</v>
      </c>
      <c r="F99" s="115" t="s">
        <v>37</v>
      </c>
      <c r="G99" s="154" t="s">
        <v>246</v>
      </c>
      <c r="H99" s="115" t="str">
        <f>IFERROR(IF(RIGHT(D99,1)="A","S",IF(RIGHT(D99,1)="B","M",IF(RIGHT(D99,1)="C","L",IF(RIGHT(D99,1)="D","XL",IF(RIGHT(D99,1)="E","XXL",""))))),"")</f>
        <v>S</v>
      </c>
      <c r="I99" s="115">
        <f t="shared" ref="I99:I130" si="18">IFERROR(J99/K99,"")</f>
        <v>36</v>
      </c>
      <c r="J99" s="115">
        <v>972</v>
      </c>
      <c r="K99" s="115">
        <f t="shared" ref="K99:K107" si="19">C99-B99+1</f>
        <v>27</v>
      </c>
      <c r="L99" s="116">
        <f t="shared" ref="L99:L130" si="20">IFERROR(K99*V99,"")</f>
        <v>1.4375224152719999</v>
      </c>
      <c r="M99" s="115">
        <v>316.70999999999998</v>
      </c>
      <c r="N99" s="115">
        <v>343.17</v>
      </c>
      <c r="O99" s="116">
        <f t="shared" ref="O99:O130" si="21">IFERROR(N99/K99,"")</f>
        <v>12.71</v>
      </c>
      <c r="P99" s="116">
        <f t="shared" ref="P99:P107" si="22">IFERROR(M99/K99,"")</f>
        <v>11.729999999999999</v>
      </c>
      <c r="Q99" s="115">
        <v>48.26</v>
      </c>
      <c r="R99" s="115" t="s">
        <v>23</v>
      </c>
      <c r="S99" s="115">
        <v>48.26</v>
      </c>
      <c r="T99" s="115" t="s">
        <v>23</v>
      </c>
      <c r="U99" s="115">
        <v>22.86</v>
      </c>
      <c r="V99" s="117">
        <f t="shared" ref="V99:V130" si="23">IFERROR((Q99*S99*U99)/1000000,"")</f>
        <v>5.3241570935999995E-2</v>
      </c>
      <c r="W99" s="115" t="s">
        <v>38</v>
      </c>
      <c r="X99" s="115" t="s">
        <v>38</v>
      </c>
      <c r="Y99" s="115" t="s">
        <v>221</v>
      </c>
    </row>
    <row r="100" spans="1:25">
      <c r="A100" s="115" t="s">
        <v>0</v>
      </c>
      <c r="B100" s="115">
        <v>30</v>
      </c>
      <c r="C100" s="115">
        <v>88</v>
      </c>
      <c r="D100" s="115" t="s">
        <v>207</v>
      </c>
      <c r="E100" s="115" t="s">
        <v>194</v>
      </c>
      <c r="F100" s="115" t="s">
        <v>37</v>
      </c>
      <c r="G100" s="154" t="s">
        <v>246</v>
      </c>
      <c r="H100" s="115" t="str">
        <f>IFERROR(IF(RIGHT(D100,1)="A","S",IF(RIGHT(D100,1)="B","M",IF(RIGHT(D100,1)="C","L",IF(RIGHT(D100,1)="D","XL",IF(RIGHT(D100,1)="E","XXL",""))))),"")</f>
        <v>M</v>
      </c>
      <c r="I100" s="115">
        <f t="shared" si="18"/>
        <v>36</v>
      </c>
      <c r="J100" s="115">
        <v>2124</v>
      </c>
      <c r="K100" s="115">
        <f t="shared" si="19"/>
        <v>59</v>
      </c>
      <c r="L100" s="116">
        <f t="shared" si="20"/>
        <v>3.1412526852239995</v>
      </c>
      <c r="M100" s="115">
        <v>735.14</v>
      </c>
      <c r="N100" s="115">
        <v>792.96</v>
      </c>
      <c r="O100" s="116">
        <f t="shared" si="21"/>
        <v>13.440000000000001</v>
      </c>
      <c r="P100" s="116">
        <f t="shared" si="22"/>
        <v>12.459999999999999</v>
      </c>
      <c r="Q100" s="115">
        <v>48.26</v>
      </c>
      <c r="R100" s="115" t="s">
        <v>23</v>
      </c>
      <c r="S100" s="115">
        <v>48.26</v>
      </c>
      <c r="T100" s="115" t="s">
        <v>23</v>
      </c>
      <c r="U100" s="115">
        <v>22.86</v>
      </c>
      <c r="V100" s="117">
        <f t="shared" si="23"/>
        <v>5.3241570935999995E-2</v>
      </c>
      <c r="W100" s="115" t="s">
        <v>38</v>
      </c>
      <c r="X100" s="115" t="s">
        <v>38</v>
      </c>
      <c r="Y100" s="115" t="s">
        <v>221</v>
      </c>
    </row>
    <row r="101" spans="1:25">
      <c r="A101" s="115" t="s">
        <v>0</v>
      </c>
      <c r="B101" s="115">
        <v>89</v>
      </c>
      <c r="C101" s="115">
        <v>89</v>
      </c>
      <c r="D101" s="115" t="s">
        <v>207</v>
      </c>
      <c r="E101" s="115" t="s">
        <v>194</v>
      </c>
      <c r="F101" s="115" t="s">
        <v>37</v>
      </c>
      <c r="G101" s="154" t="s">
        <v>246</v>
      </c>
      <c r="H101" s="115" t="str">
        <f>IFERROR(IF(RIGHT(D101,1)="A","S",IF(RIGHT(D101,1)="B","M",IF(RIGHT(D101,1)="C","L",IF(RIGHT(D101,1)="D","XL",IF(RIGHT(D101,1)="E","XXL",""))))),"")</f>
        <v>M</v>
      </c>
      <c r="I101" s="115">
        <f t="shared" si="18"/>
        <v>3</v>
      </c>
      <c r="J101" s="115">
        <v>3</v>
      </c>
      <c r="K101" s="115">
        <f t="shared" si="19"/>
        <v>1</v>
      </c>
      <c r="L101" s="116">
        <f t="shared" si="20"/>
        <v>5.3241570935999995E-2</v>
      </c>
      <c r="M101" s="115">
        <v>1.1399999999999999</v>
      </c>
      <c r="N101" s="115">
        <v>2.12</v>
      </c>
      <c r="O101" s="116">
        <f t="shared" si="21"/>
        <v>2.12</v>
      </c>
      <c r="P101" s="116">
        <f t="shared" si="22"/>
        <v>1.1399999999999999</v>
      </c>
      <c r="Q101" s="115">
        <v>48.26</v>
      </c>
      <c r="R101" s="115" t="s">
        <v>23</v>
      </c>
      <c r="S101" s="115">
        <v>48.26</v>
      </c>
      <c r="T101" s="115" t="s">
        <v>23</v>
      </c>
      <c r="U101" s="115">
        <v>22.86</v>
      </c>
      <c r="V101" s="117">
        <f t="shared" si="23"/>
        <v>5.3241570935999995E-2</v>
      </c>
      <c r="W101" s="115" t="s">
        <v>38</v>
      </c>
      <c r="X101" s="115" t="s">
        <v>38</v>
      </c>
      <c r="Y101" s="115" t="s">
        <v>221</v>
      </c>
    </row>
    <row r="102" spans="1:25">
      <c r="A102" s="115" t="s">
        <v>0</v>
      </c>
      <c r="B102" s="115">
        <v>92</v>
      </c>
      <c r="C102" s="115">
        <v>150</v>
      </c>
      <c r="D102" s="115" t="s">
        <v>208</v>
      </c>
      <c r="E102" s="115" t="s">
        <v>194</v>
      </c>
      <c r="F102" s="115" t="s">
        <v>37</v>
      </c>
      <c r="G102" s="154" t="s">
        <v>246</v>
      </c>
      <c r="H102" s="115" t="str">
        <f>IFERROR(IF(RIGHT(D102,1)="A","S",IF(RIGHT(D102,1)="B","M",IF(RIGHT(D102,1)="C","L",IF(RIGHT(D102,1)="D","XL",IF(RIGHT(D102,1)="E","XXL",""))))),"")</f>
        <v>L</v>
      </c>
      <c r="I102" s="115">
        <f t="shared" si="18"/>
        <v>36</v>
      </c>
      <c r="J102" s="115">
        <v>2124</v>
      </c>
      <c r="K102" s="115">
        <f t="shared" si="19"/>
        <v>59</v>
      </c>
      <c r="L102" s="116">
        <f t="shared" si="20"/>
        <v>3.6647947994279999</v>
      </c>
      <c r="M102" s="115">
        <v>781.16</v>
      </c>
      <c r="N102" s="115">
        <v>846.06</v>
      </c>
      <c r="O102" s="116">
        <f t="shared" si="21"/>
        <v>14.34</v>
      </c>
      <c r="P102" s="116">
        <f t="shared" si="22"/>
        <v>13.24</v>
      </c>
      <c r="Q102" s="115">
        <v>48.26</v>
      </c>
      <c r="R102" s="115" t="s">
        <v>23</v>
      </c>
      <c r="S102" s="115">
        <v>48.26</v>
      </c>
      <c r="T102" s="115" t="s">
        <v>23</v>
      </c>
      <c r="U102" s="115">
        <v>26.67</v>
      </c>
      <c r="V102" s="117">
        <f t="shared" si="23"/>
        <v>6.2115166091999997E-2</v>
      </c>
      <c r="W102" s="115" t="s">
        <v>38</v>
      </c>
      <c r="X102" s="115" t="s">
        <v>38</v>
      </c>
      <c r="Y102" s="115" t="s">
        <v>221</v>
      </c>
    </row>
    <row r="103" spans="1:25">
      <c r="A103" s="115" t="s">
        <v>0</v>
      </c>
      <c r="B103" s="115">
        <v>151</v>
      </c>
      <c r="C103" s="115">
        <v>151</v>
      </c>
      <c r="D103" s="115" t="s">
        <v>208</v>
      </c>
      <c r="E103" s="115" t="s">
        <v>194</v>
      </c>
      <c r="F103" s="115" t="s">
        <v>37</v>
      </c>
      <c r="G103" s="154" t="s">
        <v>246</v>
      </c>
      <c r="H103" s="115" t="str">
        <f>IFERROR(IF(RIGHT(D103,1)="A","S",IF(RIGHT(D103,1)="B","M",IF(RIGHT(D103,1)="C","L",IF(RIGHT(D103,1)="D","XL",IF(RIGHT(D103,1)="E","XXL",""))))),"")</f>
        <v>L</v>
      </c>
      <c r="I103" s="115">
        <f t="shared" si="18"/>
        <v>20</v>
      </c>
      <c r="J103" s="115">
        <v>20</v>
      </c>
      <c r="K103" s="115">
        <f t="shared" si="19"/>
        <v>1</v>
      </c>
      <c r="L103" s="116">
        <f t="shared" si="20"/>
        <v>6.2115166091999997E-2</v>
      </c>
      <c r="M103" s="115">
        <v>7.35</v>
      </c>
      <c r="N103" s="115">
        <v>8.4499999999999993</v>
      </c>
      <c r="O103" s="116">
        <f t="shared" si="21"/>
        <v>8.4499999999999993</v>
      </c>
      <c r="P103" s="116">
        <f t="shared" si="22"/>
        <v>7.35</v>
      </c>
      <c r="Q103" s="115">
        <v>48.26</v>
      </c>
      <c r="R103" s="115" t="s">
        <v>23</v>
      </c>
      <c r="S103" s="115">
        <v>48.26</v>
      </c>
      <c r="T103" s="115" t="s">
        <v>23</v>
      </c>
      <c r="U103" s="115">
        <v>26.67</v>
      </c>
      <c r="V103" s="117">
        <f t="shared" si="23"/>
        <v>6.2115166091999997E-2</v>
      </c>
      <c r="W103" s="115" t="s">
        <v>38</v>
      </c>
      <c r="X103" s="115" t="s">
        <v>38</v>
      </c>
      <c r="Y103" s="115" t="s">
        <v>221</v>
      </c>
    </row>
    <row r="104" spans="1:25">
      <c r="A104" s="115" t="s">
        <v>0</v>
      </c>
      <c r="B104" s="115">
        <v>154</v>
      </c>
      <c r="C104" s="115">
        <v>183</v>
      </c>
      <c r="D104" s="115" t="s">
        <v>209</v>
      </c>
      <c r="E104" s="115" t="s">
        <v>194</v>
      </c>
      <c r="F104" s="115" t="s">
        <v>37</v>
      </c>
      <c r="G104" s="154" t="s">
        <v>246</v>
      </c>
      <c r="H104" s="115" t="str">
        <f>IFERROR(IF(RIGHT(D104,1)="A","S",IF(RIGHT(D104,1)="B","M",IF(RIGHT(D104,1)="C","L",IF(RIGHT(D104,1)="D","XL",IF(RIGHT(D104,1)="E","XXL",""))))),"")</f>
        <v>XL</v>
      </c>
      <c r="I104" s="115">
        <f t="shared" si="18"/>
        <v>36</v>
      </c>
      <c r="J104" s="115">
        <v>1080</v>
      </c>
      <c r="K104" s="115">
        <f t="shared" si="19"/>
        <v>30</v>
      </c>
      <c r="L104" s="116">
        <f t="shared" si="20"/>
        <v>1.86345498276</v>
      </c>
      <c r="M104" s="115">
        <v>420.6</v>
      </c>
      <c r="N104" s="115">
        <v>453.6</v>
      </c>
      <c r="O104" s="116">
        <f t="shared" si="21"/>
        <v>15.120000000000001</v>
      </c>
      <c r="P104" s="116">
        <f t="shared" si="22"/>
        <v>14.020000000000001</v>
      </c>
      <c r="Q104" s="115">
        <v>48.26</v>
      </c>
      <c r="R104" s="115" t="s">
        <v>23</v>
      </c>
      <c r="S104" s="115">
        <v>48.26</v>
      </c>
      <c r="T104" s="115" t="s">
        <v>23</v>
      </c>
      <c r="U104" s="115">
        <v>26.67</v>
      </c>
      <c r="V104" s="117">
        <f t="shared" si="23"/>
        <v>6.2115166091999997E-2</v>
      </c>
      <c r="W104" s="115" t="s">
        <v>38</v>
      </c>
      <c r="X104" s="115" t="s">
        <v>38</v>
      </c>
      <c r="Y104" s="115" t="s">
        <v>221</v>
      </c>
    </row>
    <row r="105" spans="1:25">
      <c r="A105" s="115" t="s">
        <v>0</v>
      </c>
      <c r="B105" s="115">
        <v>184</v>
      </c>
      <c r="C105" s="115">
        <v>184</v>
      </c>
      <c r="D105" s="115" t="s">
        <v>209</v>
      </c>
      <c r="E105" s="115" t="s">
        <v>194</v>
      </c>
      <c r="F105" s="115" t="s">
        <v>37</v>
      </c>
      <c r="G105" s="154" t="s">
        <v>246</v>
      </c>
      <c r="H105" s="115" t="str">
        <f>IFERROR(IF(RIGHT(D105,1)="A","S",IF(RIGHT(D105,1)="B","M",IF(RIGHT(D105,1)="C","L",IF(RIGHT(D105,1)="D","XL",IF(RIGHT(D105,1)="E","XXL",""))))),"")</f>
        <v>XL</v>
      </c>
      <c r="I105" s="115">
        <f t="shared" si="18"/>
        <v>13</v>
      </c>
      <c r="J105" s="115">
        <v>13</v>
      </c>
      <c r="K105" s="115">
        <f t="shared" si="19"/>
        <v>1</v>
      </c>
      <c r="L105" s="116">
        <f t="shared" si="20"/>
        <v>6.2115166091999997E-2</v>
      </c>
      <c r="M105" s="115">
        <v>5.0599999999999996</v>
      </c>
      <c r="N105" s="115">
        <v>6.16</v>
      </c>
      <c r="O105" s="116">
        <f t="shared" si="21"/>
        <v>6.16</v>
      </c>
      <c r="P105" s="116">
        <f t="shared" si="22"/>
        <v>5.0599999999999996</v>
      </c>
      <c r="Q105" s="115">
        <v>48.26</v>
      </c>
      <c r="R105" s="115" t="s">
        <v>23</v>
      </c>
      <c r="S105" s="115">
        <v>48.26</v>
      </c>
      <c r="T105" s="115" t="s">
        <v>23</v>
      </c>
      <c r="U105" s="115">
        <v>26.67</v>
      </c>
      <c r="V105" s="117">
        <f t="shared" si="23"/>
        <v>6.2115166091999997E-2</v>
      </c>
      <c r="W105" s="115" t="s">
        <v>38</v>
      </c>
      <c r="X105" s="115" t="s">
        <v>38</v>
      </c>
      <c r="Y105" s="115" t="s">
        <v>221</v>
      </c>
    </row>
    <row r="106" spans="1:25">
      <c r="A106" s="115" t="s">
        <v>0</v>
      </c>
      <c r="B106" s="115">
        <v>1</v>
      </c>
      <c r="C106" s="115">
        <v>20</v>
      </c>
      <c r="D106" s="115" t="s">
        <v>210</v>
      </c>
      <c r="E106" s="115" t="s">
        <v>194</v>
      </c>
      <c r="F106" s="115" t="s">
        <v>37</v>
      </c>
      <c r="G106" s="154" t="s">
        <v>246</v>
      </c>
      <c r="H106" s="115" t="str">
        <f>IFERROR(IF(RIGHT(D106,1)="A","S",IF(RIGHT(D106,1)="B","M",IF(RIGHT(D106,1)="C","L",IF(RIGHT(D106,1)="D","XL",IF(RIGHT(D106,1)="E","XXL",""))))),"")</f>
        <v>XXL</v>
      </c>
      <c r="I106" s="115">
        <f t="shared" si="18"/>
        <v>36</v>
      </c>
      <c r="J106" s="115">
        <v>720</v>
      </c>
      <c r="K106" s="115">
        <f t="shared" si="19"/>
        <v>20</v>
      </c>
      <c r="L106" s="116">
        <f t="shared" si="20"/>
        <v>1.2423033218399999</v>
      </c>
      <c r="M106" s="115">
        <v>289.60000000000002</v>
      </c>
      <c r="N106" s="115">
        <v>311.60000000000002</v>
      </c>
      <c r="O106" s="116">
        <f t="shared" si="21"/>
        <v>15.580000000000002</v>
      </c>
      <c r="P106" s="116">
        <f t="shared" si="22"/>
        <v>14.48</v>
      </c>
      <c r="Q106" s="115">
        <v>48.26</v>
      </c>
      <c r="R106" s="115" t="s">
        <v>23</v>
      </c>
      <c r="S106" s="115">
        <v>48.26</v>
      </c>
      <c r="T106" s="115" t="s">
        <v>23</v>
      </c>
      <c r="U106" s="115">
        <v>26.67</v>
      </c>
      <c r="V106" s="117">
        <f t="shared" si="23"/>
        <v>6.2115166091999997E-2</v>
      </c>
      <c r="W106" s="115" t="s">
        <v>38</v>
      </c>
      <c r="X106" s="115" t="s">
        <v>38</v>
      </c>
      <c r="Y106" s="115" t="s">
        <v>221</v>
      </c>
    </row>
    <row r="107" spans="1:25">
      <c r="A107" s="115" t="s">
        <v>0</v>
      </c>
      <c r="B107" s="115">
        <v>21</v>
      </c>
      <c r="C107" s="115">
        <v>21</v>
      </c>
      <c r="D107" s="115" t="s">
        <v>210</v>
      </c>
      <c r="E107" s="115" t="s">
        <v>194</v>
      </c>
      <c r="F107" s="115" t="s">
        <v>37</v>
      </c>
      <c r="G107" s="154" t="s">
        <v>246</v>
      </c>
      <c r="H107" s="115" t="str">
        <f>IFERROR(IF(RIGHT(D107,1)="A","S",IF(RIGHT(D107,1)="B","M",IF(RIGHT(D107,1)="C","L",IF(RIGHT(D107,1)="D","XL",IF(RIGHT(D107,1)="E","XXL",""))))),"")</f>
        <v>XXL</v>
      </c>
      <c r="I107" s="115">
        <f t="shared" si="18"/>
        <v>34</v>
      </c>
      <c r="J107" s="115">
        <v>34</v>
      </c>
      <c r="K107" s="115">
        <f t="shared" si="19"/>
        <v>1</v>
      </c>
      <c r="L107" s="116">
        <f t="shared" si="20"/>
        <v>6.2115166091999997E-2</v>
      </c>
      <c r="M107" s="115">
        <v>13.67</v>
      </c>
      <c r="N107" s="115">
        <v>14.77</v>
      </c>
      <c r="O107" s="116">
        <f t="shared" si="21"/>
        <v>14.77</v>
      </c>
      <c r="P107" s="116">
        <f t="shared" si="22"/>
        <v>13.67</v>
      </c>
      <c r="Q107" s="115">
        <v>48.26</v>
      </c>
      <c r="R107" s="115" t="s">
        <v>23</v>
      </c>
      <c r="S107" s="115">
        <v>48.26</v>
      </c>
      <c r="T107" s="115" t="s">
        <v>23</v>
      </c>
      <c r="U107" s="115">
        <v>26.67</v>
      </c>
      <c r="V107" s="117">
        <f t="shared" si="23"/>
        <v>6.2115166091999997E-2</v>
      </c>
      <c r="W107" s="115" t="s">
        <v>38</v>
      </c>
      <c r="X107" s="115" t="s">
        <v>38</v>
      </c>
      <c r="Y107" s="115" t="s">
        <v>221</v>
      </c>
    </row>
    <row r="108" spans="1:25" s="26" customFormat="1">
      <c r="A108" s="118"/>
      <c r="B108" s="118"/>
      <c r="C108" s="118"/>
      <c r="D108" s="118" t="s">
        <v>39</v>
      </c>
      <c r="E108" s="118"/>
      <c r="F108" s="118"/>
      <c r="G108" s="118"/>
      <c r="H108" s="118"/>
      <c r="I108" s="118"/>
      <c r="J108" s="118">
        <f t="shared" ref="J108:N108" si="24">SUM(J3:J107)</f>
        <v>77584</v>
      </c>
      <c r="K108" s="118">
        <f t="shared" si="24"/>
        <v>2180</v>
      </c>
      <c r="L108" s="118">
        <f t="shared" si="24"/>
        <v>123.36305501533195</v>
      </c>
      <c r="M108" s="118">
        <f t="shared" si="24"/>
        <v>23187.169999999995</v>
      </c>
      <c r="N108" s="118">
        <f t="shared" si="24"/>
        <v>25570.680000000004</v>
      </c>
      <c r="O108" s="118"/>
      <c r="P108" s="118"/>
      <c r="Q108" s="118"/>
      <c r="R108" s="118"/>
      <c r="S108" s="118"/>
      <c r="T108" s="118"/>
      <c r="U108" s="118"/>
      <c r="V108" s="118"/>
      <c r="W108" s="118"/>
      <c r="X108" s="118"/>
      <c r="Y108" s="118"/>
    </row>
  </sheetData>
  <mergeCells count="19">
    <mergeCell ref="Y1:Y2"/>
    <mergeCell ref="N1:N2"/>
    <mergeCell ref="O1:O2"/>
    <mergeCell ref="P1:P2"/>
    <mergeCell ref="Q1:U1"/>
    <mergeCell ref="V1:V2"/>
    <mergeCell ref="X1:X2"/>
    <mergeCell ref="H1:H2"/>
    <mergeCell ref="I1:I2"/>
    <mergeCell ref="J1:J2"/>
    <mergeCell ref="K1:K2"/>
    <mergeCell ref="L1:L2"/>
    <mergeCell ref="M1:M2"/>
    <mergeCell ref="A1:A2"/>
    <mergeCell ref="B1:C1"/>
    <mergeCell ref="D1:D2"/>
    <mergeCell ref="E1:E2"/>
    <mergeCell ref="F1:F2"/>
    <mergeCell ref="G1:G2"/>
  </mergeCells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5B55D6"/>
  </sheetPr>
  <dimension ref="A1:AF82"/>
  <sheetViews>
    <sheetView workbookViewId="0"/>
  </sheetViews>
  <sheetFormatPr defaultRowHeight="15"/>
  <sheetData>
    <row r="1" spans="1:32" ht="33">
      <c r="A1" s="125" t="s">
        <v>106</v>
      </c>
      <c r="B1" s="126" t="s">
        <v>107</v>
      </c>
      <c r="C1" s="126" t="s">
        <v>108</v>
      </c>
      <c r="D1" s="126" t="s">
        <v>115</v>
      </c>
      <c r="E1" s="126" t="s">
        <v>110</v>
      </c>
      <c r="F1" s="127" t="s">
        <v>109</v>
      </c>
      <c r="G1" s="125" t="s">
        <v>116</v>
      </c>
      <c r="H1" s="128" t="s">
        <v>117</v>
      </c>
      <c r="I1" s="125" t="s">
        <v>109</v>
      </c>
      <c r="J1" s="129" t="s">
        <v>109</v>
      </c>
      <c r="K1" s="184" t="s">
        <v>223</v>
      </c>
      <c r="L1" s="185"/>
      <c r="M1" s="185"/>
      <c r="N1" s="129" t="s">
        <v>111</v>
      </c>
      <c r="O1" s="129" t="s">
        <v>118</v>
      </c>
      <c r="P1" s="129" t="s">
        <v>111</v>
      </c>
      <c r="Q1" s="186" t="s">
        <v>224</v>
      </c>
      <c r="AD1" t="s">
        <v>120</v>
      </c>
      <c r="AE1" t="s">
        <v>121</v>
      </c>
    </row>
    <row r="2" spans="1:32" ht="16.5" thickBot="1">
      <c r="A2" s="120"/>
      <c r="B2" s="121"/>
      <c r="C2" s="121"/>
      <c r="D2" s="121"/>
      <c r="E2" s="121" t="s">
        <v>42</v>
      </c>
      <c r="F2" s="122"/>
      <c r="G2" s="120"/>
      <c r="H2" s="120"/>
      <c r="I2" s="120" t="s">
        <v>122</v>
      </c>
      <c r="J2" s="123" t="s">
        <v>112</v>
      </c>
      <c r="K2" s="130" t="s">
        <v>41</v>
      </c>
      <c r="L2" s="130" t="s">
        <v>122</v>
      </c>
      <c r="M2" s="131" t="s">
        <v>112</v>
      </c>
      <c r="N2" s="123" t="s">
        <v>114</v>
      </c>
      <c r="O2" s="123" t="s">
        <v>114</v>
      </c>
      <c r="P2" s="123" t="s">
        <v>113</v>
      </c>
      <c r="Q2" s="119" t="s">
        <v>119</v>
      </c>
      <c r="R2" s="119" t="s">
        <v>41</v>
      </c>
      <c r="S2" s="134" t="s">
        <v>42</v>
      </c>
      <c r="T2" s="134" t="s">
        <v>112</v>
      </c>
      <c r="V2" t="s">
        <v>225</v>
      </c>
      <c r="W2" t="s">
        <v>225</v>
      </c>
      <c r="X2" t="s">
        <v>225</v>
      </c>
      <c r="Y2" t="s">
        <v>225</v>
      </c>
      <c r="Z2" t="s">
        <v>225</v>
      </c>
      <c r="AA2" t="s">
        <v>225</v>
      </c>
      <c r="AB2" t="s">
        <v>225</v>
      </c>
      <c r="AC2" t="s">
        <v>225</v>
      </c>
      <c r="AD2" t="s">
        <v>225</v>
      </c>
      <c r="AE2" t="s">
        <v>225</v>
      </c>
      <c r="AF2" t="s">
        <v>225</v>
      </c>
    </row>
    <row r="3" spans="1:32" ht="15.75" thickTop="1">
      <c r="A3" s="137" t="s">
        <v>140</v>
      </c>
      <c r="B3" s="137" t="s">
        <v>139</v>
      </c>
      <c r="C3" s="137" t="s">
        <v>138</v>
      </c>
      <c r="D3" s="137">
        <v>24001774</v>
      </c>
      <c r="E3" s="137">
        <v>5.78</v>
      </c>
      <c r="F3" s="137">
        <v>126</v>
      </c>
      <c r="G3" s="137" t="s">
        <v>105</v>
      </c>
      <c r="H3" s="156">
        <f>((48.26*48.26*26.67)/1000000)</f>
        <v>6.2115166091999997E-2</v>
      </c>
      <c r="I3" s="137">
        <v>4</v>
      </c>
      <c r="J3" s="137">
        <f t="shared" ref="J3:J59" si="0">ROUND(I3*H3,2)</f>
        <v>0.25</v>
      </c>
      <c r="K3" s="137">
        <f t="shared" ref="K3:K59" si="1">ROUNDUP(F3*1.03,0)</f>
        <v>130</v>
      </c>
      <c r="L3" s="137">
        <f t="shared" ref="L3:L59" si="2">ROUNDUP(K3/36,0)</f>
        <v>4</v>
      </c>
      <c r="M3" s="137">
        <f t="shared" ref="M3:M59" si="3">ROUND(L3*H3,2)</f>
        <v>0.25</v>
      </c>
      <c r="N3" s="137">
        <v>29.38</v>
      </c>
      <c r="O3" s="137">
        <v>33.549999999999997</v>
      </c>
      <c r="P3" s="137">
        <v>0.25</v>
      </c>
      <c r="Q3" s="146" t="s">
        <v>226</v>
      </c>
      <c r="R3" s="146">
        <v>126</v>
      </c>
      <c r="S3" s="147">
        <f t="shared" ref="S3:S59" si="4">F3*E3</f>
        <v>728.28000000000009</v>
      </c>
      <c r="T3" s="148">
        <f t="shared" ref="T3:T59" si="5">I3*H3</f>
        <v>0.24846066436799999</v>
      </c>
      <c r="U3" s="149" t="s">
        <v>227</v>
      </c>
      <c r="V3" s="149">
        <v>48.26</v>
      </c>
      <c r="W3" s="149" t="s">
        <v>123</v>
      </c>
      <c r="X3" s="149">
        <v>48.26</v>
      </c>
      <c r="Y3" s="149" t="s">
        <v>123</v>
      </c>
      <c r="Z3" s="149">
        <v>26.67</v>
      </c>
      <c r="AA3" s="149" t="s">
        <v>124</v>
      </c>
      <c r="AB3" s="149"/>
      <c r="AC3" s="149" t="str">
        <f t="shared" ref="AC3:AC34" si="6">AE3&amp;" "&amp;AD3</f>
        <v>MEN'S STRETCH COTTON 3-PACK TRUNK 57% COTTON 38% POLYESTER 5% SPANDEX</v>
      </c>
      <c r="AD3" s="149" t="s">
        <v>228</v>
      </c>
      <c r="AE3" s="149" t="s">
        <v>229</v>
      </c>
      <c r="AF3" s="149">
        <v>3</v>
      </c>
    </row>
    <row r="4" spans="1:32">
      <c r="A4" s="137" t="s">
        <v>140</v>
      </c>
      <c r="B4" s="137" t="s">
        <v>141</v>
      </c>
      <c r="C4" s="137" t="s">
        <v>138</v>
      </c>
      <c r="D4" s="137">
        <v>24001774</v>
      </c>
      <c r="E4" s="137">
        <v>5.78</v>
      </c>
      <c r="F4" s="137">
        <v>310</v>
      </c>
      <c r="G4" s="137" t="s">
        <v>105</v>
      </c>
      <c r="H4" s="156">
        <f>((48.26*48.26*26.67)/1000000)</f>
        <v>6.2115166091999997E-2</v>
      </c>
      <c r="I4" s="137">
        <v>9</v>
      </c>
      <c r="J4" s="137">
        <f t="shared" si="0"/>
        <v>0.56000000000000005</v>
      </c>
      <c r="K4" s="137">
        <f t="shared" si="1"/>
        <v>320</v>
      </c>
      <c r="L4" s="137">
        <f t="shared" si="2"/>
        <v>9</v>
      </c>
      <c r="M4" s="137">
        <f t="shared" si="3"/>
        <v>0.56000000000000005</v>
      </c>
      <c r="N4" s="137">
        <v>77.150000000000006</v>
      </c>
      <c r="O4" s="137">
        <v>86.51</v>
      </c>
      <c r="P4" s="137">
        <v>0.26</v>
      </c>
      <c r="Q4" s="149"/>
      <c r="R4" s="146">
        <v>342</v>
      </c>
      <c r="S4" s="147">
        <f t="shared" si="4"/>
        <v>1791.8000000000002</v>
      </c>
      <c r="T4" s="148">
        <f t="shared" si="5"/>
        <v>0.559036494828</v>
      </c>
      <c r="U4" s="149" t="s">
        <v>227</v>
      </c>
      <c r="V4" s="149">
        <v>48.26</v>
      </c>
      <c r="W4" s="149" t="s">
        <v>123</v>
      </c>
      <c r="X4" s="149">
        <v>48.26</v>
      </c>
      <c r="Y4" s="149" t="s">
        <v>123</v>
      </c>
      <c r="Z4" s="149">
        <v>26.67</v>
      </c>
      <c r="AA4" s="149" t="s">
        <v>124</v>
      </c>
      <c r="AB4" s="149"/>
      <c r="AC4" s="149" t="str">
        <f t="shared" si="6"/>
        <v>MEN'S STRETCH COTTON 3-PACK TRUNK 57% COTTON 38% POLYESTER 5% SPANDEX</v>
      </c>
      <c r="AD4" s="149" t="s">
        <v>228</v>
      </c>
      <c r="AE4" s="149" t="s">
        <v>229</v>
      </c>
      <c r="AF4" s="149">
        <v>3</v>
      </c>
    </row>
    <row r="5" spans="1:32">
      <c r="A5" s="137" t="s">
        <v>140</v>
      </c>
      <c r="B5" s="137" t="s">
        <v>142</v>
      </c>
      <c r="C5" s="137" t="s">
        <v>138</v>
      </c>
      <c r="D5" s="137">
        <v>24001774</v>
      </c>
      <c r="E5" s="137">
        <v>5.78</v>
      </c>
      <c r="F5" s="137">
        <v>195</v>
      </c>
      <c r="G5" s="137" t="s">
        <v>105</v>
      </c>
      <c r="H5" s="156">
        <f>((48.26*48.26*26.67)/1000000)</f>
        <v>6.2115166091999997E-2</v>
      </c>
      <c r="I5" s="137">
        <v>6</v>
      </c>
      <c r="J5" s="137">
        <f t="shared" si="0"/>
        <v>0.37</v>
      </c>
      <c r="K5" s="137">
        <f t="shared" si="1"/>
        <v>201</v>
      </c>
      <c r="L5" s="137">
        <f t="shared" si="2"/>
        <v>6</v>
      </c>
      <c r="M5" s="137">
        <f t="shared" si="3"/>
        <v>0.37</v>
      </c>
      <c r="N5" s="137">
        <v>50.7</v>
      </c>
      <c r="O5" s="137">
        <v>56.94</v>
      </c>
      <c r="P5" s="137">
        <v>0.27</v>
      </c>
      <c r="Q5" s="149"/>
      <c r="R5" s="146">
        <v>211</v>
      </c>
      <c r="S5" s="147">
        <f t="shared" si="4"/>
        <v>1127.1000000000001</v>
      </c>
      <c r="T5" s="148">
        <f t="shared" si="5"/>
        <v>0.372690996552</v>
      </c>
      <c r="U5" s="149" t="s">
        <v>227</v>
      </c>
      <c r="V5" s="149">
        <v>48.26</v>
      </c>
      <c r="W5" s="149" t="s">
        <v>123</v>
      </c>
      <c r="X5" s="149">
        <v>48.26</v>
      </c>
      <c r="Y5" s="149" t="s">
        <v>123</v>
      </c>
      <c r="Z5" s="149">
        <v>26.67</v>
      </c>
      <c r="AA5" s="149" t="s">
        <v>124</v>
      </c>
      <c r="AB5" s="149"/>
      <c r="AC5" s="149" t="str">
        <f t="shared" si="6"/>
        <v>MEN'S STRETCH COTTON 3-PACK TRUNK 57% COTTON 38% POLYESTER 5% SPANDEX</v>
      </c>
      <c r="AD5" s="149" t="s">
        <v>228</v>
      </c>
      <c r="AE5" s="149" t="s">
        <v>229</v>
      </c>
      <c r="AF5" s="149">
        <v>3</v>
      </c>
    </row>
    <row r="6" spans="1:32">
      <c r="A6" s="137" t="s">
        <v>140</v>
      </c>
      <c r="B6" s="137" t="s">
        <v>143</v>
      </c>
      <c r="C6" s="137" t="s">
        <v>138</v>
      </c>
      <c r="D6" s="137">
        <v>24001774</v>
      </c>
      <c r="E6" s="137">
        <v>5.78</v>
      </c>
      <c r="F6" s="137">
        <v>50</v>
      </c>
      <c r="G6" s="137" t="s">
        <v>105</v>
      </c>
      <c r="H6" s="156">
        <f>((48.26*48.26*26.67)/1000000)</f>
        <v>6.2115166091999997E-2</v>
      </c>
      <c r="I6" s="137">
        <v>2</v>
      </c>
      <c r="J6" s="137">
        <f t="shared" si="0"/>
        <v>0.12</v>
      </c>
      <c r="K6" s="137">
        <f t="shared" si="1"/>
        <v>52</v>
      </c>
      <c r="L6" s="137">
        <f t="shared" si="2"/>
        <v>2</v>
      </c>
      <c r="M6" s="137">
        <f t="shared" si="3"/>
        <v>0.12</v>
      </c>
      <c r="N6" s="137">
        <v>13.94</v>
      </c>
      <c r="O6" s="137">
        <v>16.02</v>
      </c>
      <c r="P6" s="137">
        <v>0.28999999999999998</v>
      </c>
      <c r="Q6" s="149"/>
      <c r="R6" s="146">
        <v>54</v>
      </c>
      <c r="S6" s="147">
        <f t="shared" si="4"/>
        <v>289</v>
      </c>
      <c r="T6" s="148">
        <f t="shared" si="5"/>
        <v>0.12423033218399999</v>
      </c>
      <c r="U6" s="149" t="s">
        <v>227</v>
      </c>
      <c r="V6" s="149">
        <v>48.26</v>
      </c>
      <c r="W6" s="149" t="s">
        <v>123</v>
      </c>
      <c r="X6" s="149">
        <v>48.26</v>
      </c>
      <c r="Y6" s="149" t="s">
        <v>123</v>
      </c>
      <c r="Z6" s="149">
        <v>26.67</v>
      </c>
      <c r="AA6" s="149" t="s">
        <v>124</v>
      </c>
      <c r="AB6" s="149"/>
      <c r="AC6" s="149" t="str">
        <f t="shared" si="6"/>
        <v>MEN'S STRETCH COTTON 3-PACK TRUNK 57% COTTON 38% POLYESTER 5% SPANDEX</v>
      </c>
      <c r="AD6" s="149" t="s">
        <v>228</v>
      </c>
      <c r="AE6" s="149" t="s">
        <v>229</v>
      </c>
      <c r="AF6" s="149">
        <v>3</v>
      </c>
    </row>
    <row r="7" spans="1:32">
      <c r="A7" s="135" t="s">
        <v>140</v>
      </c>
      <c r="B7" s="135" t="s">
        <v>145</v>
      </c>
      <c r="C7" s="135" t="s">
        <v>144</v>
      </c>
      <c r="D7" s="135">
        <v>24001765</v>
      </c>
      <c r="E7" s="135">
        <v>7.44</v>
      </c>
      <c r="F7" s="135">
        <v>360</v>
      </c>
      <c r="G7" s="135" t="s">
        <v>105</v>
      </c>
      <c r="H7" s="157">
        <f>((48.26*48.26*31.75)/1000000)</f>
        <v>7.3946626299999998E-2</v>
      </c>
      <c r="I7" s="135">
        <v>10</v>
      </c>
      <c r="J7" s="135">
        <f t="shared" si="0"/>
        <v>0.74</v>
      </c>
      <c r="K7" s="135">
        <f t="shared" si="1"/>
        <v>371</v>
      </c>
      <c r="L7" s="135">
        <f t="shared" si="2"/>
        <v>11</v>
      </c>
      <c r="M7" s="135">
        <f t="shared" si="3"/>
        <v>0.81</v>
      </c>
      <c r="N7" s="135">
        <v>108.5</v>
      </c>
      <c r="O7" s="135">
        <v>111.7</v>
      </c>
      <c r="P7" s="135">
        <v>0.14000000000000001</v>
      </c>
      <c r="Q7" s="150"/>
      <c r="R7" s="151">
        <v>360</v>
      </c>
      <c r="S7" s="152">
        <f t="shared" si="4"/>
        <v>2678.4</v>
      </c>
      <c r="T7" s="153">
        <f t="shared" si="5"/>
        <v>0.73946626299999996</v>
      </c>
      <c r="U7" s="150" t="s">
        <v>230</v>
      </c>
      <c r="V7" s="150">
        <v>48.26</v>
      </c>
      <c r="W7" s="150" t="s">
        <v>123</v>
      </c>
      <c r="X7" s="150">
        <v>48.26</v>
      </c>
      <c r="Y7" s="150" t="s">
        <v>123</v>
      </c>
      <c r="Z7" s="150">
        <v>31.75</v>
      </c>
      <c r="AA7" s="150" t="s">
        <v>124</v>
      </c>
      <c r="AB7" s="150"/>
      <c r="AC7" s="150" t="str">
        <f t="shared" si="6"/>
        <v>MEN'S STRETCH COTTON 2-PACK CREW NECK 95%COTTON 5%SPANDEX</v>
      </c>
      <c r="AD7" s="150" t="s">
        <v>231</v>
      </c>
      <c r="AE7" s="150" t="s">
        <v>232</v>
      </c>
      <c r="AF7" s="150">
        <v>2</v>
      </c>
    </row>
    <row r="8" spans="1:32">
      <c r="A8" s="135" t="s">
        <v>140</v>
      </c>
      <c r="B8" s="135" t="s">
        <v>146</v>
      </c>
      <c r="C8" s="135" t="s">
        <v>144</v>
      </c>
      <c r="D8" s="135">
        <v>24001765</v>
      </c>
      <c r="E8" s="135">
        <v>7.44</v>
      </c>
      <c r="F8" s="135">
        <v>612</v>
      </c>
      <c r="G8" s="135" t="s">
        <v>105</v>
      </c>
      <c r="H8" s="157">
        <f>((48.26*48.26*31.75)/1000000)</f>
        <v>7.3946626299999998E-2</v>
      </c>
      <c r="I8" s="135">
        <v>17</v>
      </c>
      <c r="J8" s="135">
        <f t="shared" si="0"/>
        <v>1.26</v>
      </c>
      <c r="K8" s="135">
        <f t="shared" si="1"/>
        <v>631</v>
      </c>
      <c r="L8" s="135">
        <f t="shared" si="2"/>
        <v>18</v>
      </c>
      <c r="M8" s="135">
        <f t="shared" si="3"/>
        <v>1.33</v>
      </c>
      <c r="N8" s="135">
        <v>197.54</v>
      </c>
      <c r="O8" s="135">
        <v>219.98</v>
      </c>
      <c r="P8" s="135">
        <v>0.15</v>
      </c>
      <c r="Q8" s="150"/>
      <c r="R8" s="151">
        <v>612</v>
      </c>
      <c r="S8" s="152">
        <f t="shared" si="4"/>
        <v>4553.2800000000007</v>
      </c>
      <c r="T8" s="153">
        <f t="shared" si="5"/>
        <v>1.2570926470999999</v>
      </c>
      <c r="U8" s="150" t="s">
        <v>230</v>
      </c>
      <c r="V8" s="150">
        <v>48.26</v>
      </c>
      <c r="W8" s="150" t="s">
        <v>123</v>
      </c>
      <c r="X8" s="150">
        <v>48.26</v>
      </c>
      <c r="Y8" s="150" t="s">
        <v>123</v>
      </c>
      <c r="Z8" s="150">
        <v>31.75</v>
      </c>
      <c r="AA8" s="150" t="s">
        <v>124</v>
      </c>
      <c r="AB8" s="150"/>
      <c r="AC8" s="150" t="str">
        <f t="shared" si="6"/>
        <v>MEN'S STRETCH COTTON 2-PACK CREW NECK 95%COTTON 5%SPANDEX</v>
      </c>
      <c r="AD8" s="150" t="s">
        <v>231</v>
      </c>
      <c r="AE8" s="150" t="s">
        <v>232</v>
      </c>
      <c r="AF8" s="150">
        <v>2</v>
      </c>
    </row>
    <row r="9" spans="1:32">
      <c r="A9" s="135" t="s">
        <v>140</v>
      </c>
      <c r="B9" s="135" t="s">
        <v>147</v>
      </c>
      <c r="C9" s="135" t="s">
        <v>144</v>
      </c>
      <c r="D9" s="135">
        <v>24001765</v>
      </c>
      <c r="E9" s="135">
        <v>7.44</v>
      </c>
      <c r="F9" s="135">
        <v>468</v>
      </c>
      <c r="G9" s="135" t="s">
        <v>105</v>
      </c>
      <c r="H9" s="157">
        <f>((48.26*48.26*31.75)/1000000)</f>
        <v>7.3946626299999998E-2</v>
      </c>
      <c r="I9" s="135">
        <v>13</v>
      </c>
      <c r="J9" s="135">
        <f t="shared" si="0"/>
        <v>0.96</v>
      </c>
      <c r="K9" s="135">
        <f t="shared" si="1"/>
        <v>483</v>
      </c>
      <c r="L9" s="135">
        <f t="shared" si="2"/>
        <v>14</v>
      </c>
      <c r="M9" s="135">
        <f t="shared" si="3"/>
        <v>1.04</v>
      </c>
      <c r="N9" s="135">
        <v>162.5</v>
      </c>
      <c r="O9" s="135">
        <v>180.18</v>
      </c>
      <c r="P9" s="135">
        <v>0.16</v>
      </c>
      <c r="Q9" s="150"/>
      <c r="R9" s="151">
        <v>468</v>
      </c>
      <c r="S9" s="152">
        <f t="shared" si="4"/>
        <v>3481.92</v>
      </c>
      <c r="T9" s="153">
        <f t="shared" si="5"/>
        <v>0.96130614189999997</v>
      </c>
      <c r="U9" s="150" t="s">
        <v>230</v>
      </c>
      <c r="V9" s="150">
        <v>48.26</v>
      </c>
      <c r="W9" s="150" t="s">
        <v>123</v>
      </c>
      <c r="X9" s="150">
        <v>48.26</v>
      </c>
      <c r="Y9" s="150" t="s">
        <v>123</v>
      </c>
      <c r="Z9" s="150">
        <v>31.75</v>
      </c>
      <c r="AA9" s="150" t="s">
        <v>124</v>
      </c>
      <c r="AB9" s="150"/>
      <c r="AC9" s="150" t="str">
        <f t="shared" si="6"/>
        <v>MEN'S STRETCH COTTON 2-PACK CREW NECK 95%COTTON 5%SPANDEX</v>
      </c>
      <c r="AD9" s="150" t="s">
        <v>231</v>
      </c>
      <c r="AE9" s="150" t="s">
        <v>232</v>
      </c>
      <c r="AF9" s="150">
        <v>2</v>
      </c>
    </row>
    <row r="10" spans="1:32">
      <c r="A10" s="135" t="s">
        <v>140</v>
      </c>
      <c r="B10" s="135" t="s">
        <v>148</v>
      </c>
      <c r="C10" s="135" t="s">
        <v>144</v>
      </c>
      <c r="D10" s="135">
        <v>24001765</v>
      </c>
      <c r="E10" s="135">
        <v>7.44</v>
      </c>
      <c r="F10" s="135">
        <v>468</v>
      </c>
      <c r="G10" s="135" t="s">
        <v>105</v>
      </c>
      <c r="H10" s="157">
        <f>((48.26*48.26*35.56)/1000000)</f>
        <v>8.2820221456000001E-2</v>
      </c>
      <c r="I10" s="135">
        <v>13</v>
      </c>
      <c r="J10" s="135">
        <f t="shared" si="0"/>
        <v>1.08</v>
      </c>
      <c r="K10" s="135">
        <f t="shared" si="1"/>
        <v>483</v>
      </c>
      <c r="L10" s="135">
        <f t="shared" si="2"/>
        <v>14</v>
      </c>
      <c r="M10" s="135">
        <f t="shared" si="3"/>
        <v>1.1599999999999999</v>
      </c>
      <c r="N10" s="135">
        <v>177.84</v>
      </c>
      <c r="O10" s="135">
        <v>195.52</v>
      </c>
      <c r="P10" s="135">
        <v>0.17</v>
      </c>
      <c r="Q10" s="150"/>
      <c r="R10" s="151">
        <v>468</v>
      </c>
      <c r="S10" s="152">
        <f t="shared" si="4"/>
        <v>3481.92</v>
      </c>
      <c r="T10" s="153">
        <f t="shared" si="5"/>
        <v>1.0766628789279999</v>
      </c>
      <c r="U10" s="150" t="s">
        <v>230</v>
      </c>
      <c r="V10" s="150">
        <v>48.26</v>
      </c>
      <c r="W10" s="150" t="s">
        <v>123</v>
      </c>
      <c r="X10" s="150">
        <v>48.26</v>
      </c>
      <c r="Y10" s="150" t="s">
        <v>123</v>
      </c>
      <c r="Z10" s="150">
        <v>35.56</v>
      </c>
      <c r="AA10" s="150" t="s">
        <v>124</v>
      </c>
      <c r="AB10" s="150"/>
      <c r="AC10" s="150" t="str">
        <f t="shared" si="6"/>
        <v>MEN'S STRETCH COTTON 2-PACK CREW NECK 95%COTTON 5%SPANDEX</v>
      </c>
      <c r="AD10" s="150" t="s">
        <v>231</v>
      </c>
      <c r="AE10" s="150" t="s">
        <v>232</v>
      </c>
      <c r="AF10" s="150">
        <v>2</v>
      </c>
    </row>
    <row r="11" spans="1:32">
      <c r="A11" s="135" t="s">
        <v>140</v>
      </c>
      <c r="B11" s="135" t="s">
        <v>150</v>
      </c>
      <c r="C11" s="135" t="s">
        <v>149</v>
      </c>
      <c r="D11" s="135">
        <v>24001766</v>
      </c>
      <c r="E11" s="135">
        <v>6.41</v>
      </c>
      <c r="F11" s="135">
        <v>334</v>
      </c>
      <c r="G11" s="135" t="s">
        <v>105</v>
      </c>
      <c r="H11" s="157">
        <f>((48.26*48.26*22.86)/1000000)</f>
        <v>5.3241570935999995E-2</v>
      </c>
      <c r="I11" s="135">
        <v>10</v>
      </c>
      <c r="J11" s="135">
        <f t="shared" si="0"/>
        <v>0.53</v>
      </c>
      <c r="K11" s="135">
        <f t="shared" si="1"/>
        <v>345</v>
      </c>
      <c r="L11" s="135">
        <f t="shared" si="2"/>
        <v>10</v>
      </c>
      <c r="M11" s="135">
        <f t="shared" si="3"/>
        <v>0.53</v>
      </c>
      <c r="N11" s="135">
        <v>86.84</v>
      </c>
      <c r="O11" s="135">
        <v>99.24</v>
      </c>
      <c r="P11" s="135">
        <v>0.15</v>
      </c>
      <c r="Q11" s="150"/>
      <c r="R11" s="151">
        <v>360</v>
      </c>
      <c r="S11" s="152">
        <f t="shared" si="4"/>
        <v>2140.94</v>
      </c>
      <c r="T11" s="153">
        <f t="shared" si="5"/>
        <v>0.53241570935999993</v>
      </c>
      <c r="U11" s="150" t="s">
        <v>230</v>
      </c>
      <c r="V11" s="150">
        <v>48.26</v>
      </c>
      <c r="W11" s="150" t="s">
        <v>123</v>
      </c>
      <c r="X11" s="150">
        <v>48.26</v>
      </c>
      <c r="Y11" s="150" t="s">
        <v>123</v>
      </c>
      <c r="Z11" s="150">
        <v>22.86</v>
      </c>
      <c r="AA11" s="150" t="s">
        <v>124</v>
      </c>
      <c r="AB11" s="150"/>
      <c r="AC11" s="150" t="str">
        <f t="shared" si="6"/>
        <v>MEN'S STRETCH COTTON 2-PACK TANK TOP 95%COTTON 5%SPANDEX</v>
      </c>
      <c r="AD11" s="150" t="s">
        <v>231</v>
      </c>
      <c r="AE11" s="150" t="s">
        <v>233</v>
      </c>
      <c r="AF11" s="150">
        <v>2</v>
      </c>
    </row>
    <row r="12" spans="1:32">
      <c r="A12" s="135" t="s">
        <v>140</v>
      </c>
      <c r="B12" s="135" t="s">
        <v>151</v>
      </c>
      <c r="C12" s="135" t="s">
        <v>149</v>
      </c>
      <c r="D12" s="135">
        <v>24001766</v>
      </c>
      <c r="E12" s="135">
        <v>6.41</v>
      </c>
      <c r="F12" s="135">
        <v>475</v>
      </c>
      <c r="G12" s="135" t="s">
        <v>105</v>
      </c>
      <c r="H12" s="157">
        <f>((48.26*48.26*22.86)/1000000)</f>
        <v>5.3241570935999995E-2</v>
      </c>
      <c r="I12" s="135">
        <v>14</v>
      </c>
      <c r="J12" s="135">
        <f t="shared" si="0"/>
        <v>0.75</v>
      </c>
      <c r="K12" s="135">
        <f t="shared" si="1"/>
        <v>490</v>
      </c>
      <c r="L12" s="135">
        <f t="shared" si="2"/>
        <v>14</v>
      </c>
      <c r="M12" s="135">
        <f t="shared" si="3"/>
        <v>0.75</v>
      </c>
      <c r="N12" s="135">
        <v>133</v>
      </c>
      <c r="O12" s="135">
        <v>150.91999999999999</v>
      </c>
      <c r="P12" s="135">
        <v>0.16</v>
      </c>
      <c r="Q12" s="150"/>
      <c r="R12" s="151">
        <v>504</v>
      </c>
      <c r="S12" s="152">
        <f t="shared" si="4"/>
        <v>3044.75</v>
      </c>
      <c r="T12" s="153">
        <f t="shared" si="5"/>
        <v>0.74538199310399988</v>
      </c>
      <c r="U12" s="150" t="s">
        <v>230</v>
      </c>
      <c r="V12" s="150">
        <v>48.26</v>
      </c>
      <c r="W12" s="150" t="s">
        <v>123</v>
      </c>
      <c r="X12" s="150">
        <v>48.26</v>
      </c>
      <c r="Y12" s="150" t="s">
        <v>123</v>
      </c>
      <c r="Z12" s="150">
        <v>22.86</v>
      </c>
      <c r="AA12" s="150" t="s">
        <v>124</v>
      </c>
      <c r="AB12" s="150"/>
      <c r="AC12" s="150" t="str">
        <f t="shared" si="6"/>
        <v>MEN'S STRETCH COTTON 2-PACK TANK TOP 95%COTTON 5%SPANDEX</v>
      </c>
      <c r="AD12" s="150" t="s">
        <v>231</v>
      </c>
      <c r="AE12" s="150" t="s">
        <v>233</v>
      </c>
      <c r="AF12" s="150">
        <v>2</v>
      </c>
    </row>
    <row r="13" spans="1:32">
      <c r="A13" s="135" t="s">
        <v>140</v>
      </c>
      <c r="B13" s="135" t="s">
        <v>152</v>
      </c>
      <c r="C13" s="135" t="s">
        <v>149</v>
      </c>
      <c r="D13" s="135">
        <v>24001766</v>
      </c>
      <c r="E13" s="135">
        <v>6.41</v>
      </c>
      <c r="F13" s="135">
        <v>497</v>
      </c>
      <c r="G13" s="135" t="s">
        <v>105</v>
      </c>
      <c r="H13" s="157">
        <f>((48.26*48.26*30.48)/1000000)</f>
        <v>7.0988761247999993E-2</v>
      </c>
      <c r="I13" s="135">
        <v>14</v>
      </c>
      <c r="J13" s="135">
        <f t="shared" si="0"/>
        <v>0.99</v>
      </c>
      <c r="K13" s="135">
        <f t="shared" si="1"/>
        <v>512</v>
      </c>
      <c r="L13" s="135">
        <f t="shared" si="2"/>
        <v>15</v>
      </c>
      <c r="M13" s="135">
        <f t="shared" si="3"/>
        <v>1.06</v>
      </c>
      <c r="N13" s="135">
        <v>144.13</v>
      </c>
      <c r="O13" s="135">
        <v>162.09</v>
      </c>
      <c r="P13" s="135">
        <v>0.17</v>
      </c>
      <c r="Q13" s="150"/>
      <c r="R13" s="151">
        <v>540</v>
      </c>
      <c r="S13" s="152">
        <f t="shared" si="4"/>
        <v>3185.77</v>
      </c>
      <c r="T13" s="153">
        <f t="shared" si="5"/>
        <v>0.99384265747199985</v>
      </c>
      <c r="U13" s="150" t="s">
        <v>230</v>
      </c>
      <c r="V13" s="150">
        <v>48.26</v>
      </c>
      <c r="W13" s="150" t="s">
        <v>123</v>
      </c>
      <c r="X13" s="150">
        <v>48.26</v>
      </c>
      <c r="Y13" s="150" t="s">
        <v>123</v>
      </c>
      <c r="Z13" s="150">
        <v>30.48</v>
      </c>
      <c r="AA13" s="150" t="s">
        <v>124</v>
      </c>
      <c r="AB13" s="150"/>
      <c r="AC13" s="150" t="str">
        <f t="shared" si="6"/>
        <v>MEN'S STRETCH COTTON 2-PACK TANK TOP 95%COTTON 5%SPANDEX</v>
      </c>
      <c r="AD13" s="150" t="s">
        <v>231</v>
      </c>
      <c r="AE13" s="150" t="s">
        <v>233</v>
      </c>
      <c r="AF13" s="150">
        <v>2</v>
      </c>
    </row>
    <row r="14" spans="1:32">
      <c r="A14" s="135" t="s">
        <v>129</v>
      </c>
      <c r="B14" s="135" t="s">
        <v>154</v>
      </c>
      <c r="C14" s="135" t="s">
        <v>153</v>
      </c>
      <c r="D14" s="135">
        <v>24001782</v>
      </c>
      <c r="E14" s="135">
        <v>5.71</v>
      </c>
      <c r="F14" s="135">
        <v>570</v>
      </c>
      <c r="G14" s="135" t="s">
        <v>105</v>
      </c>
      <c r="H14" s="157">
        <f>((48.26*40.64*25.4)/1000000)</f>
        <v>4.9816674559999996E-2</v>
      </c>
      <c r="I14" s="135">
        <v>16</v>
      </c>
      <c r="J14" s="135">
        <f t="shared" si="0"/>
        <v>0.8</v>
      </c>
      <c r="K14" s="135">
        <f t="shared" si="1"/>
        <v>588</v>
      </c>
      <c r="L14" s="135">
        <f t="shared" si="2"/>
        <v>17</v>
      </c>
      <c r="M14" s="135">
        <f t="shared" si="3"/>
        <v>0.85</v>
      </c>
      <c r="N14" s="135">
        <v>96.9</v>
      </c>
      <c r="O14" s="135">
        <v>110.34</v>
      </c>
      <c r="P14" s="135">
        <v>0.33</v>
      </c>
      <c r="Q14" s="150"/>
      <c r="R14" s="151">
        <v>576</v>
      </c>
      <c r="S14" s="152">
        <f t="shared" si="4"/>
        <v>3254.7</v>
      </c>
      <c r="T14" s="153">
        <f t="shared" si="5"/>
        <v>0.79706679295999994</v>
      </c>
      <c r="U14" s="150" t="s">
        <v>234</v>
      </c>
      <c r="V14" s="150">
        <v>48.26</v>
      </c>
      <c r="W14" s="150" t="s">
        <v>123</v>
      </c>
      <c r="X14" s="150">
        <v>40.64</v>
      </c>
      <c r="Y14" s="150" t="s">
        <v>123</v>
      </c>
      <c r="Z14" s="150">
        <v>25.4</v>
      </c>
      <c r="AA14" s="150" t="s">
        <v>124</v>
      </c>
      <c r="AB14" s="150"/>
      <c r="AC14" s="150" t="str">
        <f t="shared" si="6"/>
        <v>YOUTH MICROFIBER GRAPHIC 4-PACK BOXER BRIEF 91% POLYESTER 9% SPANDEX</v>
      </c>
      <c r="AD14" s="150" t="s">
        <v>125</v>
      </c>
      <c r="AE14" s="150" t="s">
        <v>132</v>
      </c>
      <c r="AF14" s="150">
        <v>4</v>
      </c>
    </row>
    <row r="15" spans="1:32">
      <c r="A15" s="135" t="s">
        <v>129</v>
      </c>
      <c r="B15" s="135" t="s">
        <v>155</v>
      </c>
      <c r="C15" s="135" t="s">
        <v>153</v>
      </c>
      <c r="D15" s="135">
        <v>24001782</v>
      </c>
      <c r="E15" s="135">
        <v>5.71</v>
      </c>
      <c r="F15" s="135">
        <v>468</v>
      </c>
      <c r="G15" s="135" t="s">
        <v>105</v>
      </c>
      <c r="H15" s="157">
        <f>((48.26*40.64*25.4)/1000000)</f>
        <v>4.9816674559999996E-2</v>
      </c>
      <c r="I15" s="135">
        <v>13</v>
      </c>
      <c r="J15" s="135">
        <f t="shared" si="0"/>
        <v>0.65</v>
      </c>
      <c r="K15" s="135">
        <f t="shared" si="1"/>
        <v>483</v>
      </c>
      <c r="L15" s="135">
        <f t="shared" si="2"/>
        <v>14</v>
      </c>
      <c r="M15" s="135">
        <f t="shared" si="3"/>
        <v>0.7</v>
      </c>
      <c r="N15" s="135">
        <v>88.92</v>
      </c>
      <c r="O15" s="135">
        <v>99.84</v>
      </c>
      <c r="P15" s="135">
        <v>0.35</v>
      </c>
      <c r="Q15" s="150"/>
      <c r="R15" s="151">
        <v>468</v>
      </c>
      <c r="S15" s="152">
        <f t="shared" si="4"/>
        <v>2672.28</v>
      </c>
      <c r="T15" s="153">
        <f t="shared" si="5"/>
        <v>0.64761676927999989</v>
      </c>
      <c r="U15" s="150" t="s">
        <v>234</v>
      </c>
      <c r="V15" s="150">
        <v>48.26</v>
      </c>
      <c r="W15" s="150" t="s">
        <v>123</v>
      </c>
      <c r="X15" s="150">
        <v>40.64</v>
      </c>
      <c r="Y15" s="150" t="s">
        <v>123</v>
      </c>
      <c r="Z15" s="150">
        <v>25.4</v>
      </c>
      <c r="AA15" s="150" t="s">
        <v>124</v>
      </c>
      <c r="AB15" s="150"/>
      <c r="AC15" s="150" t="str">
        <f t="shared" si="6"/>
        <v>YOUTH MICROFIBER GRAPHIC 4-PACK BOXER BRIEF 91% POLYESTER 9% SPANDEX</v>
      </c>
      <c r="AD15" s="150" t="s">
        <v>125</v>
      </c>
      <c r="AE15" s="150" t="s">
        <v>132</v>
      </c>
      <c r="AF15" s="150">
        <v>4</v>
      </c>
    </row>
    <row r="16" spans="1:32">
      <c r="A16" s="135" t="s">
        <v>129</v>
      </c>
      <c r="B16" s="135" t="s">
        <v>156</v>
      </c>
      <c r="C16" s="135" t="s">
        <v>153</v>
      </c>
      <c r="D16" s="135">
        <v>24001782</v>
      </c>
      <c r="E16" s="135">
        <v>5.71</v>
      </c>
      <c r="F16" s="135">
        <v>814</v>
      </c>
      <c r="G16" s="135" t="s">
        <v>105</v>
      </c>
      <c r="H16" s="157">
        <f>((48.26*40.64*27.94)/1000000)</f>
        <v>5.4798342016E-2</v>
      </c>
      <c r="I16" s="135">
        <v>23</v>
      </c>
      <c r="J16" s="135">
        <f t="shared" si="0"/>
        <v>1.26</v>
      </c>
      <c r="K16" s="135">
        <f t="shared" si="1"/>
        <v>839</v>
      </c>
      <c r="L16" s="135">
        <f t="shared" si="2"/>
        <v>24</v>
      </c>
      <c r="M16" s="135">
        <f t="shared" si="3"/>
        <v>1.32</v>
      </c>
      <c r="N16" s="135">
        <v>170.94</v>
      </c>
      <c r="O16" s="135">
        <v>192.1</v>
      </c>
      <c r="P16" s="135">
        <v>0.38</v>
      </c>
      <c r="Q16" s="150"/>
      <c r="R16" s="151">
        <v>828</v>
      </c>
      <c r="S16" s="152">
        <f t="shared" si="4"/>
        <v>4647.9399999999996</v>
      </c>
      <c r="T16" s="153">
        <f t="shared" si="5"/>
        <v>1.2603618663680001</v>
      </c>
      <c r="U16" s="150" t="s">
        <v>234</v>
      </c>
      <c r="V16" s="150">
        <v>48.26</v>
      </c>
      <c r="W16" s="150" t="s">
        <v>123</v>
      </c>
      <c r="X16" s="150">
        <v>40.64</v>
      </c>
      <c r="Y16" s="150" t="s">
        <v>123</v>
      </c>
      <c r="Z16" s="150">
        <v>27.94</v>
      </c>
      <c r="AA16" s="150" t="s">
        <v>124</v>
      </c>
      <c r="AB16" s="150"/>
      <c r="AC16" s="150" t="str">
        <f t="shared" si="6"/>
        <v>YOUTH MICROFIBER GRAPHIC 4-PACK BOXER BRIEF 91% POLYESTER 9% SPANDEX</v>
      </c>
      <c r="AD16" s="150" t="s">
        <v>125</v>
      </c>
      <c r="AE16" s="150" t="s">
        <v>132</v>
      </c>
      <c r="AF16" s="150">
        <v>4</v>
      </c>
    </row>
    <row r="17" spans="1:32">
      <c r="A17" s="135" t="s">
        <v>129</v>
      </c>
      <c r="B17" s="135" t="s">
        <v>157</v>
      </c>
      <c r="C17" s="135" t="s">
        <v>153</v>
      </c>
      <c r="D17" s="135">
        <v>24001782</v>
      </c>
      <c r="E17" s="135">
        <v>5.71</v>
      </c>
      <c r="F17" s="135">
        <v>350</v>
      </c>
      <c r="G17" s="135" t="s">
        <v>105</v>
      </c>
      <c r="H17" s="157">
        <f>((48.26*40.64*27.94)/1000000)</f>
        <v>5.4798342016E-2</v>
      </c>
      <c r="I17" s="135">
        <v>10</v>
      </c>
      <c r="J17" s="135">
        <f t="shared" si="0"/>
        <v>0.55000000000000004</v>
      </c>
      <c r="K17" s="135">
        <f t="shared" si="1"/>
        <v>361</v>
      </c>
      <c r="L17" s="135">
        <f t="shared" si="2"/>
        <v>11</v>
      </c>
      <c r="M17" s="135">
        <f t="shared" si="3"/>
        <v>0.6</v>
      </c>
      <c r="N17" s="135">
        <v>80.5</v>
      </c>
      <c r="O17" s="135">
        <v>89.7</v>
      </c>
      <c r="P17" s="135">
        <v>0.4</v>
      </c>
      <c r="Q17" s="150"/>
      <c r="R17" s="151">
        <v>360</v>
      </c>
      <c r="S17" s="152">
        <f t="shared" si="4"/>
        <v>1998.5</v>
      </c>
      <c r="T17" s="153">
        <f t="shared" si="5"/>
        <v>0.54798342016000001</v>
      </c>
      <c r="U17" s="150" t="s">
        <v>234</v>
      </c>
      <c r="V17" s="150">
        <v>48.26</v>
      </c>
      <c r="W17" s="150" t="s">
        <v>123</v>
      </c>
      <c r="X17" s="150">
        <v>40.64</v>
      </c>
      <c r="Y17" s="150" t="s">
        <v>123</v>
      </c>
      <c r="Z17" s="150">
        <v>27.94</v>
      </c>
      <c r="AA17" s="150" t="s">
        <v>124</v>
      </c>
      <c r="AB17" s="150"/>
      <c r="AC17" s="150" t="str">
        <f t="shared" si="6"/>
        <v>YOUTH MICROFIBER GRAPHIC 4-PACK BOXER BRIEF 91% POLYESTER 9% SPANDEX</v>
      </c>
      <c r="AD17" s="150" t="s">
        <v>125</v>
      </c>
      <c r="AE17" s="150" t="s">
        <v>132</v>
      </c>
      <c r="AF17" s="150">
        <v>4</v>
      </c>
    </row>
    <row r="18" spans="1:32">
      <c r="A18" s="135" t="s">
        <v>160</v>
      </c>
      <c r="B18" s="135" t="s">
        <v>159</v>
      </c>
      <c r="C18" s="135" t="s">
        <v>158</v>
      </c>
      <c r="D18" s="135">
        <v>24001758</v>
      </c>
      <c r="E18" s="135">
        <v>6.25</v>
      </c>
      <c r="F18" s="135">
        <v>1352</v>
      </c>
      <c r="G18" s="135" t="s">
        <v>105</v>
      </c>
      <c r="H18" s="157">
        <f>((48.26*48.26*22.86)/1000000)</f>
        <v>5.3241570935999995E-2</v>
      </c>
      <c r="I18" s="135">
        <v>38</v>
      </c>
      <c r="J18" s="135">
        <f t="shared" si="0"/>
        <v>2.02</v>
      </c>
      <c r="K18" s="135">
        <f t="shared" si="1"/>
        <v>1393</v>
      </c>
      <c r="L18" s="135">
        <f t="shared" si="2"/>
        <v>39</v>
      </c>
      <c r="M18" s="135">
        <f t="shared" si="3"/>
        <v>2.08</v>
      </c>
      <c r="N18" s="135">
        <v>330.48</v>
      </c>
      <c r="O18" s="135">
        <v>367.72</v>
      </c>
      <c r="P18" s="135">
        <v>0.25</v>
      </c>
      <c r="Q18" s="150"/>
      <c r="R18" s="151">
        <v>1368</v>
      </c>
      <c r="S18" s="152">
        <f t="shared" si="4"/>
        <v>8450</v>
      </c>
      <c r="T18" s="153">
        <f t="shared" si="5"/>
        <v>2.0231796955679999</v>
      </c>
      <c r="U18" s="150" t="s">
        <v>235</v>
      </c>
      <c r="V18" s="150">
        <v>48.26</v>
      </c>
      <c r="W18" s="150" t="s">
        <v>123</v>
      </c>
      <c r="X18" s="150">
        <v>48.26</v>
      </c>
      <c r="Y18" s="150" t="s">
        <v>123</v>
      </c>
      <c r="Z18" s="150">
        <v>22.86</v>
      </c>
      <c r="AA18" s="150" t="s">
        <v>124</v>
      </c>
      <c r="AB18" s="150"/>
      <c r="AC18" s="150" t="str">
        <f t="shared" si="6"/>
        <v>MEN'S PERFORMANCE MESH GRAPHIC 3-PACK BOXER BRIEF 91% POLYESTER 9% SPANDEX</v>
      </c>
      <c r="AD18" s="150" t="s">
        <v>125</v>
      </c>
      <c r="AE18" s="150" t="s">
        <v>236</v>
      </c>
      <c r="AF18" s="150">
        <v>3</v>
      </c>
    </row>
    <row r="19" spans="1:32">
      <c r="A19" s="135" t="s">
        <v>160</v>
      </c>
      <c r="B19" s="135" t="s">
        <v>161</v>
      </c>
      <c r="C19" s="135" t="s">
        <v>158</v>
      </c>
      <c r="D19" s="135">
        <v>24001758</v>
      </c>
      <c r="E19" s="135">
        <v>6.25</v>
      </c>
      <c r="F19" s="135">
        <v>2729</v>
      </c>
      <c r="G19" s="135" t="s">
        <v>105</v>
      </c>
      <c r="H19" s="157">
        <f>((48.26*48.26*22.86)/1000000)</f>
        <v>5.3241570935999995E-2</v>
      </c>
      <c r="I19" s="135">
        <v>76</v>
      </c>
      <c r="J19" s="135">
        <f t="shared" si="0"/>
        <v>4.05</v>
      </c>
      <c r="K19" s="135">
        <f t="shared" si="1"/>
        <v>2811</v>
      </c>
      <c r="L19" s="135">
        <f t="shared" si="2"/>
        <v>79</v>
      </c>
      <c r="M19" s="135">
        <f t="shared" si="3"/>
        <v>4.21</v>
      </c>
      <c r="N19" s="135">
        <v>711.05</v>
      </c>
      <c r="O19" s="135">
        <v>785.53</v>
      </c>
      <c r="P19" s="135">
        <v>0.26</v>
      </c>
      <c r="Q19" s="150"/>
      <c r="R19" s="151">
        <v>2772</v>
      </c>
      <c r="S19" s="152">
        <f t="shared" si="4"/>
        <v>17056.25</v>
      </c>
      <c r="T19" s="153">
        <f t="shared" si="5"/>
        <v>4.0463593911359999</v>
      </c>
      <c r="U19" s="150" t="s">
        <v>235</v>
      </c>
      <c r="V19" s="150">
        <v>48.26</v>
      </c>
      <c r="W19" s="150" t="s">
        <v>123</v>
      </c>
      <c r="X19" s="150">
        <v>48.26</v>
      </c>
      <c r="Y19" s="150" t="s">
        <v>123</v>
      </c>
      <c r="Z19" s="150">
        <v>22.86</v>
      </c>
      <c r="AA19" s="150" t="s">
        <v>124</v>
      </c>
      <c r="AB19" s="150"/>
      <c r="AC19" s="150" t="str">
        <f t="shared" si="6"/>
        <v>MEN'S PERFORMANCE MESH GRAPHIC 3-PACK BOXER BRIEF 91% POLYESTER 9% SPANDEX</v>
      </c>
      <c r="AD19" s="150" t="s">
        <v>125</v>
      </c>
      <c r="AE19" s="150" t="s">
        <v>236</v>
      </c>
      <c r="AF19" s="150">
        <v>3</v>
      </c>
    </row>
    <row r="20" spans="1:32">
      <c r="A20" s="135" t="s">
        <v>160</v>
      </c>
      <c r="B20" s="135" t="s">
        <v>162</v>
      </c>
      <c r="C20" s="135" t="s">
        <v>158</v>
      </c>
      <c r="D20" s="135">
        <v>24001758</v>
      </c>
      <c r="E20" s="135">
        <v>6.25</v>
      </c>
      <c r="F20" s="135">
        <v>3104</v>
      </c>
      <c r="G20" s="135" t="s">
        <v>105</v>
      </c>
      <c r="H20" s="157">
        <f>((48.26*48.26*22.86)/1000000)</f>
        <v>5.3241570935999995E-2</v>
      </c>
      <c r="I20" s="135">
        <v>87</v>
      </c>
      <c r="J20" s="135">
        <f t="shared" si="0"/>
        <v>4.63</v>
      </c>
      <c r="K20" s="135">
        <f t="shared" si="1"/>
        <v>3198</v>
      </c>
      <c r="L20" s="135">
        <f t="shared" si="2"/>
        <v>89</v>
      </c>
      <c r="M20" s="135">
        <f t="shared" si="3"/>
        <v>4.74</v>
      </c>
      <c r="N20" s="135">
        <v>860.49</v>
      </c>
      <c r="O20" s="135">
        <v>945.75</v>
      </c>
      <c r="P20" s="135">
        <v>0.27</v>
      </c>
      <c r="Q20" s="150"/>
      <c r="R20" s="151">
        <v>3132</v>
      </c>
      <c r="S20" s="152">
        <f t="shared" si="4"/>
        <v>19400</v>
      </c>
      <c r="T20" s="153">
        <f t="shared" si="5"/>
        <v>4.6320166714319999</v>
      </c>
      <c r="U20" s="150" t="s">
        <v>235</v>
      </c>
      <c r="V20" s="150">
        <v>48.26</v>
      </c>
      <c r="W20" s="150" t="s">
        <v>123</v>
      </c>
      <c r="X20" s="150">
        <v>48.26</v>
      </c>
      <c r="Y20" s="150" t="s">
        <v>123</v>
      </c>
      <c r="Z20" s="150">
        <v>22.86</v>
      </c>
      <c r="AA20" s="150" t="s">
        <v>124</v>
      </c>
      <c r="AB20" s="150"/>
      <c r="AC20" s="150" t="str">
        <f t="shared" si="6"/>
        <v>MEN'S PERFORMANCE MESH GRAPHIC 3-PACK BOXER BRIEF 91% POLYESTER 9% SPANDEX</v>
      </c>
      <c r="AD20" s="150" t="s">
        <v>125</v>
      </c>
      <c r="AE20" s="150" t="s">
        <v>236</v>
      </c>
      <c r="AF20" s="150">
        <v>3</v>
      </c>
    </row>
    <row r="21" spans="1:32">
      <c r="A21" s="135" t="s">
        <v>160</v>
      </c>
      <c r="B21" s="135" t="s">
        <v>163</v>
      </c>
      <c r="C21" s="135" t="s">
        <v>158</v>
      </c>
      <c r="D21" s="135">
        <v>24001758</v>
      </c>
      <c r="E21" s="135">
        <v>6.25</v>
      </c>
      <c r="F21" s="135">
        <v>1529</v>
      </c>
      <c r="G21" s="135" t="s">
        <v>105</v>
      </c>
      <c r="H21" s="157">
        <f>((48.26*48.26*26.67)/1000000)</f>
        <v>6.2115166091999997E-2</v>
      </c>
      <c r="I21" s="135">
        <v>43</v>
      </c>
      <c r="J21" s="135">
        <f t="shared" si="0"/>
        <v>2.67</v>
      </c>
      <c r="K21" s="135">
        <f t="shared" si="1"/>
        <v>1575</v>
      </c>
      <c r="L21" s="135">
        <f t="shared" si="2"/>
        <v>44</v>
      </c>
      <c r="M21" s="135">
        <f t="shared" si="3"/>
        <v>2.73</v>
      </c>
      <c r="N21" s="135">
        <v>457</v>
      </c>
      <c r="O21" s="135">
        <v>501.72</v>
      </c>
      <c r="P21" s="135">
        <v>0.28999999999999998</v>
      </c>
      <c r="Q21" s="150"/>
      <c r="R21" s="151">
        <v>1548</v>
      </c>
      <c r="S21" s="152">
        <f t="shared" si="4"/>
        <v>9556.25</v>
      </c>
      <c r="T21" s="153">
        <f t="shared" si="5"/>
        <v>2.6709521419560001</v>
      </c>
      <c r="U21" s="150" t="s">
        <v>235</v>
      </c>
      <c r="V21" s="150">
        <v>48.26</v>
      </c>
      <c r="W21" s="150" t="s">
        <v>123</v>
      </c>
      <c r="X21" s="150">
        <v>48.26</v>
      </c>
      <c r="Y21" s="150" t="s">
        <v>123</v>
      </c>
      <c r="Z21" s="150">
        <v>26.67</v>
      </c>
      <c r="AA21" s="150" t="s">
        <v>124</v>
      </c>
      <c r="AB21" s="150"/>
      <c r="AC21" s="150" t="str">
        <f t="shared" si="6"/>
        <v>MEN'S PERFORMANCE MESH GRAPHIC 3-PACK BOXER BRIEF 91% POLYESTER 9% SPANDEX</v>
      </c>
      <c r="AD21" s="150" t="s">
        <v>125</v>
      </c>
      <c r="AE21" s="150" t="s">
        <v>236</v>
      </c>
      <c r="AF21" s="150">
        <v>3</v>
      </c>
    </row>
    <row r="22" spans="1:32">
      <c r="A22" s="135" t="s">
        <v>160</v>
      </c>
      <c r="B22" s="135" t="s">
        <v>164</v>
      </c>
      <c r="C22" s="135" t="s">
        <v>158</v>
      </c>
      <c r="D22" s="135">
        <v>24001759</v>
      </c>
      <c r="E22" s="135">
        <v>6.72</v>
      </c>
      <c r="F22" s="135">
        <v>1442</v>
      </c>
      <c r="G22" s="135" t="s">
        <v>105</v>
      </c>
      <c r="H22" s="157">
        <f>((48.26*48.26*26.67)/1000000)</f>
        <v>6.2115166091999997E-2</v>
      </c>
      <c r="I22" s="135">
        <v>41</v>
      </c>
      <c r="J22" s="135">
        <f t="shared" si="0"/>
        <v>2.5499999999999998</v>
      </c>
      <c r="K22" s="135">
        <f t="shared" si="1"/>
        <v>1486</v>
      </c>
      <c r="L22" s="135">
        <f t="shared" si="2"/>
        <v>42</v>
      </c>
      <c r="M22" s="135">
        <f t="shared" si="3"/>
        <v>2.61</v>
      </c>
      <c r="N22" s="135">
        <v>448.2</v>
      </c>
      <c r="O22" s="135">
        <v>490.84</v>
      </c>
      <c r="P22" s="135">
        <v>0.3</v>
      </c>
      <c r="Q22" s="150"/>
      <c r="R22" s="151">
        <v>1476</v>
      </c>
      <c r="S22" s="152">
        <f t="shared" si="4"/>
        <v>9690.24</v>
      </c>
      <c r="T22" s="153">
        <f t="shared" si="5"/>
        <v>2.5467218097719999</v>
      </c>
      <c r="U22" s="150" t="s">
        <v>235</v>
      </c>
      <c r="V22" s="150">
        <v>48.26</v>
      </c>
      <c r="W22" s="150" t="s">
        <v>123</v>
      </c>
      <c r="X22" s="150">
        <v>48.26</v>
      </c>
      <c r="Y22" s="150" t="s">
        <v>123</v>
      </c>
      <c r="Z22" s="150">
        <v>26.67</v>
      </c>
      <c r="AA22" s="150" t="s">
        <v>124</v>
      </c>
      <c r="AB22" s="150"/>
      <c r="AC22" s="150" t="str">
        <f t="shared" si="6"/>
        <v>MEN'S PERFORMANCE MESH GRAPHIC 3-PACK BOXER BRIEF 91% POLYESTER 9% SPANDEX</v>
      </c>
      <c r="AD22" s="150" t="s">
        <v>125</v>
      </c>
      <c r="AE22" s="150" t="s">
        <v>236</v>
      </c>
      <c r="AF22" s="150">
        <v>3</v>
      </c>
    </row>
    <row r="23" spans="1:32">
      <c r="A23" s="135" t="s">
        <v>160</v>
      </c>
      <c r="B23" s="135" t="s">
        <v>166</v>
      </c>
      <c r="C23" s="135" t="s">
        <v>165</v>
      </c>
      <c r="D23" s="135">
        <v>24001760</v>
      </c>
      <c r="E23" s="135">
        <v>6.25</v>
      </c>
      <c r="F23" s="135">
        <v>1391</v>
      </c>
      <c r="G23" s="135" t="s">
        <v>105</v>
      </c>
      <c r="H23" s="157">
        <f>((48.26*48.26*22.86)/1000000)</f>
        <v>5.3241570935999995E-2</v>
      </c>
      <c r="I23" s="135">
        <v>39</v>
      </c>
      <c r="J23" s="135">
        <f t="shared" si="0"/>
        <v>2.08</v>
      </c>
      <c r="K23" s="135">
        <f t="shared" si="1"/>
        <v>1433</v>
      </c>
      <c r="L23" s="135">
        <f t="shared" si="2"/>
        <v>40</v>
      </c>
      <c r="M23" s="135">
        <f t="shared" si="3"/>
        <v>2.13</v>
      </c>
      <c r="N23" s="135">
        <v>340.02</v>
      </c>
      <c r="O23" s="135">
        <v>378.24</v>
      </c>
      <c r="P23" s="135">
        <v>0.25</v>
      </c>
      <c r="Q23" s="150"/>
      <c r="R23" s="151">
        <v>1404</v>
      </c>
      <c r="S23" s="152">
        <f t="shared" si="4"/>
        <v>8693.75</v>
      </c>
      <c r="T23" s="153">
        <f t="shared" si="5"/>
        <v>2.0764212665039996</v>
      </c>
      <c r="U23" s="150" t="s">
        <v>237</v>
      </c>
      <c r="V23" s="150">
        <v>48.26</v>
      </c>
      <c r="W23" s="150" t="s">
        <v>123</v>
      </c>
      <c r="X23" s="150">
        <v>48.26</v>
      </c>
      <c r="Y23" s="150" t="s">
        <v>123</v>
      </c>
      <c r="Z23" s="150">
        <v>22.86</v>
      </c>
      <c r="AA23" s="150" t="s">
        <v>124</v>
      </c>
      <c r="AB23" s="150"/>
      <c r="AC23" s="150" t="str">
        <f t="shared" si="6"/>
        <v>MEN'S PERFORMANCE MESH GRAPHIC 3-PACK BOXER BRIEF 91% POLYESTER 9% SPANDEX</v>
      </c>
      <c r="AD23" s="150" t="s">
        <v>125</v>
      </c>
      <c r="AE23" s="150" t="s">
        <v>236</v>
      </c>
      <c r="AF23" s="150">
        <v>3</v>
      </c>
    </row>
    <row r="24" spans="1:32">
      <c r="A24" s="135" t="s">
        <v>160</v>
      </c>
      <c r="B24" s="135" t="s">
        <v>167</v>
      </c>
      <c r="C24" s="135" t="s">
        <v>165</v>
      </c>
      <c r="D24" s="135">
        <v>24001760</v>
      </c>
      <c r="E24" s="135">
        <v>6.25</v>
      </c>
      <c r="F24" s="135">
        <v>2762</v>
      </c>
      <c r="G24" s="135" t="s">
        <v>105</v>
      </c>
      <c r="H24" s="157">
        <f>((48.26*48.26*22.86)/1000000)</f>
        <v>5.3241570935999995E-2</v>
      </c>
      <c r="I24" s="135">
        <v>77</v>
      </c>
      <c r="J24" s="135">
        <f t="shared" si="0"/>
        <v>4.0999999999999996</v>
      </c>
      <c r="K24" s="135">
        <f t="shared" si="1"/>
        <v>2845</v>
      </c>
      <c r="L24" s="135">
        <f t="shared" si="2"/>
        <v>80</v>
      </c>
      <c r="M24" s="135">
        <f t="shared" si="3"/>
        <v>4.26</v>
      </c>
      <c r="N24" s="135">
        <v>719.65</v>
      </c>
      <c r="O24" s="135">
        <v>795.11</v>
      </c>
      <c r="P24" s="135">
        <v>0.26</v>
      </c>
      <c r="Q24" s="150"/>
      <c r="R24" s="151">
        <v>2772</v>
      </c>
      <c r="S24" s="152">
        <f t="shared" si="4"/>
        <v>17262.5</v>
      </c>
      <c r="T24" s="153">
        <f t="shared" si="5"/>
        <v>4.0996009620719995</v>
      </c>
      <c r="U24" s="150" t="s">
        <v>237</v>
      </c>
      <c r="V24" s="150">
        <v>48.26</v>
      </c>
      <c r="W24" s="150" t="s">
        <v>123</v>
      </c>
      <c r="X24" s="150">
        <v>48.26</v>
      </c>
      <c r="Y24" s="150" t="s">
        <v>123</v>
      </c>
      <c r="Z24" s="150">
        <v>22.86</v>
      </c>
      <c r="AA24" s="150" t="s">
        <v>124</v>
      </c>
      <c r="AB24" s="150"/>
      <c r="AC24" s="150" t="str">
        <f t="shared" si="6"/>
        <v>MEN'S PERFORMANCE MESH GRAPHIC 3-PACK BOXER BRIEF 91% POLYESTER 9% SPANDEX</v>
      </c>
      <c r="AD24" s="150" t="s">
        <v>125</v>
      </c>
      <c r="AE24" s="150" t="s">
        <v>236</v>
      </c>
      <c r="AF24" s="150">
        <v>3</v>
      </c>
    </row>
    <row r="25" spans="1:32">
      <c r="A25" s="135" t="s">
        <v>160</v>
      </c>
      <c r="B25" s="135" t="s">
        <v>168</v>
      </c>
      <c r="C25" s="135" t="s">
        <v>165</v>
      </c>
      <c r="D25" s="135">
        <v>24001760</v>
      </c>
      <c r="E25" s="135">
        <v>6.25</v>
      </c>
      <c r="F25" s="135">
        <v>2791</v>
      </c>
      <c r="G25" s="135" t="s">
        <v>105</v>
      </c>
      <c r="H25" s="157">
        <f>((48.26*48.26*22.86)/1000000)</f>
        <v>5.3241570935999995E-2</v>
      </c>
      <c r="I25" s="135">
        <v>78</v>
      </c>
      <c r="J25" s="135">
        <f t="shared" si="0"/>
        <v>4.1500000000000004</v>
      </c>
      <c r="K25" s="135">
        <f t="shared" si="1"/>
        <v>2875</v>
      </c>
      <c r="L25" s="135">
        <f t="shared" si="2"/>
        <v>80</v>
      </c>
      <c r="M25" s="135">
        <f t="shared" si="3"/>
        <v>4.26</v>
      </c>
      <c r="N25" s="135">
        <v>773.72</v>
      </c>
      <c r="O25" s="135">
        <v>850.16</v>
      </c>
      <c r="P25" s="135">
        <v>0.27</v>
      </c>
      <c r="Q25" s="150"/>
      <c r="R25" s="151">
        <v>2808</v>
      </c>
      <c r="S25" s="152">
        <f t="shared" si="4"/>
        <v>17443.75</v>
      </c>
      <c r="T25" s="153">
        <f t="shared" si="5"/>
        <v>4.1528425330079992</v>
      </c>
      <c r="U25" s="150" t="s">
        <v>237</v>
      </c>
      <c r="V25" s="150">
        <v>48.26</v>
      </c>
      <c r="W25" s="150" t="s">
        <v>123</v>
      </c>
      <c r="X25" s="150">
        <v>48.26</v>
      </c>
      <c r="Y25" s="150" t="s">
        <v>123</v>
      </c>
      <c r="Z25" s="150">
        <v>22.86</v>
      </c>
      <c r="AA25" s="150" t="s">
        <v>124</v>
      </c>
      <c r="AB25" s="150"/>
      <c r="AC25" s="150" t="str">
        <f t="shared" si="6"/>
        <v>MEN'S PERFORMANCE MESH GRAPHIC 3-PACK BOXER BRIEF 91% POLYESTER 9% SPANDEX</v>
      </c>
      <c r="AD25" s="150" t="s">
        <v>125</v>
      </c>
      <c r="AE25" s="150" t="s">
        <v>236</v>
      </c>
      <c r="AF25" s="150">
        <v>3</v>
      </c>
    </row>
    <row r="26" spans="1:32">
      <c r="A26" s="135" t="s">
        <v>160</v>
      </c>
      <c r="B26" s="135" t="s">
        <v>169</v>
      </c>
      <c r="C26" s="135" t="s">
        <v>165</v>
      </c>
      <c r="D26" s="135">
        <v>24001760</v>
      </c>
      <c r="E26" s="135">
        <v>6.25</v>
      </c>
      <c r="F26" s="135">
        <v>1356</v>
      </c>
      <c r="G26" s="135" t="s">
        <v>105</v>
      </c>
      <c r="H26" s="157">
        <f>((48.26*48.26*26.67)/1000000)</f>
        <v>6.2115166091999997E-2</v>
      </c>
      <c r="I26" s="135">
        <v>38</v>
      </c>
      <c r="J26" s="135">
        <f t="shared" si="0"/>
        <v>2.36</v>
      </c>
      <c r="K26" s="135">
        <f t="shared" si="1"/>
        <v>1397</v>
      </c>
      <c r="L26" s="135">
        <f t="shared" si="2"/>
        <v>39</v>
      </c>
      <c r="M26" s="135">
        <f t="shared" si="3"/>
        <v>2.42</v>
      </c>
      <c r="N26" s="135">
        <v>405.29</v>
      </c>
      <c r="O26" s="135">
        <v>444.81</v>
      </c>
      <c r="P26" s="135">
        <v>0.28999999999999998</v>
      </c>
      <c r="Q26" s="150"/>
      <c r="R26" s="151">
        <v>1368</v>
      </c>
      <c r="S26" s="152">
        <f t="shared" si="4"/>
        <v>8475</v>
      </c>
      <c r="T26" s="153">
        <f t="shared" si="5"/>
        <v>2.3603763114959997</v>
      </c>
      <c r="U26" s="150" t="s">
        <v>237</v>
      </c>
      <c r="V26" s="150">
        <v>48.26</v>
      </c>
      <c r="W26" s="150" t="s">
        <v>123</v>
      </c>
      <c r="X26" s="150">
        <v>48.26</v>
      </c>
      <c r="Y26" s="150" t="s">
        <v>123</v>
      </c>
      <c r="Z26" s="150">
        <v>26.67</v>
      </c>
      <c r="AA26" s="150" t="s">
        <v>124</v>
      </c>
      <c r="AB26" s="150"/>
      <c r="AC26" s="150" t="str">
        <f t="shared" si="6"/>
        <v>MEN'S PERFORMANCE MESH GRAPHIC 3-PACK BOXER BRIEF 91% POLYESTER 9% SPANDEX</v>
      </c>
      <c r="AD26" s="150" t="s">
        <v>125</v>
      </c>
      <c r="AE26" s="150" t="s">
        <v>236</v>
      </c>
      <c r="AF26" s="150">
        <v>3</v>
      </c>
    </row>
    <row r="27" spans="1:32">
      <c r="A27" s="135" t="s">
        <v>160</v>
      </c>
      <c r="B27" s="135" t="s">
        <v>170</v>
      </c>
      <c r="C27" s="135" t="s">
        <v>165</v>
      </c>
      <c r="D27" s="135">
        <v>24001761</v>
      </c>
      <c r="E27" s="135">
        <v>6.72</v>
      </c>
      <c r="F27" s="135">
        <v>1322</v>
      </c>
      <c r="G27" s="135" t="s">
        <v>105</v>
      </c>
      <c r="H27" s="157">
        <f>((48.26*48.26*26.67)/1000000)</f>
        <v>6.2115166091999997E-2</v>
      </c>
      <c r="I27" s="135">
        <v>37</v>
      </c>
      <c r="J27" s="135">
        <f t="shared" si="0"/>
        <v>2.2999999999999998</v>
      </c>
      <c r="K27" s="135">
        <f t="shared" si="1"/>
        <v>1362</v>
      </c>
      <c r="L27" s="135">
        <f t="shared" si="2"/>
        <v>38</v>
      </c>
      <c r="M27" s="135">
        <f t="shared" si="3"/>
        <v>2.36</v>
      </c>
      <c r="N27" s="135">
        <v>410.55</v>
      </c>
      <c r="O27" s="135">
        <v>449.03</v>
      </c>
      <c r="P27" s="135">
        <v>0.3</v>
      </c>
      <c r="Q27" s="150"/>
      <c r="R27" s="151">
        <v>1332</v>
      </c>
      <c r="S27" s="152">
        <f t="shared" si="4"/>
        <v>8883.84</v>
      </c>
      <c r="T27" s="153">
        <f t="shared" si="5"/>
        <v>2.2982611454040001</v>
      </c>
      <c r="U27" s="150" t="s">
        <v>237</v>
      </c>
      <c r="V27" s="150">
        <v>48.26</v>
      </c>
      <c r="W27" s="150" t="s">
        <v>123</v>
      </c>
      <c r="X27" s="150">
        <v>48.26</v>
      </c>
      <c r="Y27" s="150" t="s">
        <v>123</v>
      </c>
      <c r="Z27" s="150">
        <v>26.67</v>
      </c>
      <c r="AA27" s="150" t="s">
        <v>124</v>
      </c>
      <c r="AB27" s="150"/>
      <c r="AC27" s="150" t="str">
        <f t="shared" si="6"/>
        <v>MEN'S PERFORMANCE MESH GRAPHIC 3-PACK BOXER BRIEF 91% POLYESTER 9% SPANDEX</v>
      </c>
      <c r="AD27" s="150" t="s">
        <v>125</v>
      </c>
      <c r="AE27" s="150" t="s">
        <v>236</v>
      </c>
      <c r="AF27" s="150">
        <v>3</v>
      </c>
    </row>
    <row r="28" spans="1:32">
      <c r="A28" s="137" t="s">
        <v>128</v>
      </c>
      <c r="B28" s="137" t="s">
        <v>172</v>
      </c>
      <c r="C28" s="137" t="s">
        <v>171</v>
      </c>
      <c r="D28" s="137">
        <v>24001739</v>
      </c>
      <c r="E28" s="137">
        <v>5.14</v>
      </c>
      <c r="F28" s="137">
        <v>1923</v>
      </c>
      <c r="G28" s="137" t="s">
        <v>105</v>
      </c>
      <c r="H28" s="156">
        <f>((48.26*48.26*22.86)/1000000)</f>
        <v>5.3241570935999995E-2</v>
      </c>
      <c r="I28" s="137">
        <v>54</v>
      </c>
      <c r="J28" s="137">
        <f t="shared" si="0"/>
        <v>2.88</v>
      </c>
      <c r="K28" s="137">
        <f t="shared" si="1"/>
        <v>1981</v>
      </c>
      <c r="L28" s="137">
        <f t="shared" si="2"/>
        <v>56</v>
      </c>
      <c r="M28" s="137">
        <f t="shared" si="3"/>
        <v>2.98</v>
      </c>
      <c r="N28" s="137">
        <v>476.82</v>
      </c>
      <c r="O28" s="137">
        <v>541.62</v>
      </c>
      <c r="P28" s="137">
        <v>0.25</v>
      </c>
      <c r="Q28" s="149"/>
      <c r="R28" s="146">
        <v>1908</v>
      </c>
      <c r="S28" s="147">
        <f t="shared" si="4"/>
        <v>9884.2199999999993</v>
      </c>
      <c r="T28" s="148">
        <f t="shared" si="5"/>
        <v>2.8750448305439997</v>
      </c>
      <c r="U28" s="149" t="s">
        <v>238</v>
      </c>
      <c r="V28" s="149">
        <v>48.26</v>
      </c>
      <c r="W28" s="149" t="s">
        <v>123</v>
      </c>
      <c r="X28" s="149">
        <v>48.26</v>
      </c>
      <c r="Y28" s="149" t="s">
        <v>123</v>
      </c>
      <c r="Z28" s="149">
        <v>22.86</v>
      </c>
      <c r="AA28" s="149" t="s">
        <v>124</v>
      </c>
      <c r="AB28" s="149"/>
      <c r="AC28" s="149" t="str">
        <f t="shared" si="6"/>
        <v>MEN'S MICROFIBER 3-PACK BOXER BRIEF 91% POLYESTER 9% SPANDEX</v>
      </c>
      <c r="AD28" s="149" t="s">
        <v>125</v>
      </c>
      <c r="AE28" s="149" t="s">
        <v>127</v>
      </c>
      <c r="AF28" s="149">
        <v>3</v>
      </c>
    </row>
    <row r="29" spans="1:32">
      <c r="A29" s="137" t="s">
        <v>128</v>
      </c>
      <c r="B29" s="137" t="s">
        <v>173</v>
      </c>
      <c r="C29" s="137" t="s">
        <v>171</v>
      </c>
      <c r="D29" s="137">
        <v>24001739</v>
      </c>
      <c r="E29" s="137">
        <v>5.14</v>
      </c>
      <c r="F29" s="137">
        <v>4932</v>
      </c>
      <c r="G29" s="137" t="s">
        <v>105</v>
      </c>
      <c r="H29" s="156">
        <f>((48.26*48.26*22.86)/1000000)</f>
        <v>5.3241570935999995E-2</v>
      </c>
      <c r="I29" s="137">
        <v>137</v>
      </c>
      <c r="J29" s="137">
        <f t="shared" si="0"/>
        <v>7.29</v>
      </c>
      <c r="K29" s="137">
        <f t="shared" si="1"/>
        <v>5080</v>
      </c>
      <c r="L29" s="137">
        <f t="shared" si="2"/>
        <v>142</v>
      </c>
      <c r="M29" s="137">
        <f t="shared" si="3"/>
        <v>7.56</v>
      </c>
      <c r="N29" s="137">
        <v>1293.28</v>
      </c>
      <c r="O29" s="137">
        <v>1457.68</v>
      </c>
      <c r="P29" s="137">
        <v>0.26</v>
      </c>
      <c r="Q29" s="149"/>
      <c r="R29" s="146">
        <v>4896</v>
      </c>
      <c r="S29" s="147">
        <f t="shared" si="4"/>
        <v>25350.48</v>
      </c>
      <c r="T29" s="148">
        <f t="shared" si="5"/>
        <v>7.2940952182319991</v>
      </c>
      <c r="U29" s="149" t="s">
        <v>238</v>
      </c>
      <c r="V29" s="149">
        <v>48.26</v>
      </c>
      <c r="W29" s="149" t="s">
        <v>123</v>
      </c>
      <c r="X29" s="149">
        <v>48.26</v>
      </c>
      <c r="Y29" s="149" t="s">
        <v>123</v>
      </c>
      <c r="Z29" s="149">
        <v>22.86</v>
      </c>
      <c r="AA29" s="149" t="s">
        <v>124</v>
      </c>
      <c r="AB29" s="149"/>
      <c r="AC29" s="149" t="str">
        <f t="shared" si="6"/>
        <v>MEN'S MICROFIBER 3-PACK BOXER BRIEF 91% POLYESTER 9% SPANDEX</v>
      </c>
      <c r="AD29" s="149" t="s">
        <v>125</v>
      </c>
      <c r="AE29" s="149" t="s">
        <v>127</v>
      </c>
      <c r="AF29" s="149">
        <v>3</v>
      </c>
    </row>
    <row r="30" spans="1:32">
      <c r="A30" s="137" t="s">
        <v>128</v>
      </c>
      <c r="B30" s="137" t="s">
        <v>174</v>
      </c>
      <c r="C30" s="137" t="s">
        <v>171</v>
      </c>
      <c r="D30" s="137">
        <v>24001739</v>
      </c>
      <c r="E30" s="137">
        <v>5.14</v>
      </c>
      <c r="F30" s="137">
        <v>4536</v>
      </c>
      <c r="G30" s="137" t="s">
        <v>105</v>
      </c>
      <c r="H30" s="156">
        <f>((48.26*48.26*22.86)/1000000)</f>
        <v>5.3241570935999995E-2</v>
      </c>
      <c r="I30" s="137">
        <v>126</v>
      </c>
      <c r="J30" s="137">
        <f t="shared" si="0"/>
        <v>6.71</v>
      </c>
      <c r="K30" s="137">
        <f t="shared" si="1"/>
        <v>4673</v>
      </c>
      <c r="L30" s="137">
        <f t="shared" si="2"/>
        <v>130</v>
      </c>
      <c r="M30" s="137">
        <f t="shared" si="3"/>
        <v>6.92</v>
      </c>
      <c r="N30" s="137">
        <v>1270.08</v>
      </c>
      <c r="O30" s="137">
        <v>1421.28</v>
      </c>
      <c r="P30" s="137">
        <v>0.27</v>
      </c>
      <c r="Q30" s="149"/>
      <c r="R30" s="146">
        <v>4500</v>
      </c>
      <c r="S30" s="147">
        <f t="shared" si="4"/>
        <v>23315.039999999997</v>
      </c>
      <c r="T30" s="148">
        <f t="shared" si="5"/>
        <v>6.7084379379359991</v>
      </c>
      <c r="U30" s="149" t="s">
        <v>238</v>
      </c>
      <c r="V30" s="149">
        <v>48.26</v>
      </c>
      <c r="W30" s="149" t="s">
        <v>123</v>
      </c>
      <c r="X30" s="149">
        <v>48.26</v>
      </c>
      <c r="Y30" s="149" t="s">
        <v>123</v>
      </c>
      <c r="Z30" s="149">
        <v>22.86</v>
      </c>
      <c r="AA30" s="149" t="s">
        <v>124</v>
      </c>
      <c r="AB30" s="149"/>
      <c r="AC30" s="149" t="str">
        <f t="shared" si="6"/>
        <v>MEN'S MICROFIBER 3-PACK BOXER BRIEF 91% POLYESTER 9% SPANDEX</v>
      </c>
      <c r="AD30" s="149" t="s">
        <v>125</v>
      </c>
      <c r="AE30" s="149" t="s">
        <v>127</v>
      </c>
      <c r="AF30" s="149">
        <v>3</v>
      </c>
    </row>
    <row r="31" spans="1:32">
      <c r="A31" s="137" t="s">
        <v>128</v>
      </c>
      <c r="B31" s="137" t="s">
        <v>175</v>
      </c>
      <c r="C31" s="137" t="s">
        <v>171</v>
      </c>
      <c r="D31" s="137">
        <v>24001739</v>
      </c>
      <c r="E31" s="137">
        <v>5.14</v>
      </c>
      <c r="F31" s="137">
        <v>2283</v>
      </c>
      <c r="G31" s="137" t="s">
        <v>105</v>
      </c>
      <c r="H31" s="156">
        <f>((48.26*48.26*26.67)/1000000)</f>
        <v>6.2115166091999997E-2</v>
      </c>
      <c r="I31" s="137">
        <v>64</v>
      </c>
      <c r="J31" s="137">
        <f t="shared" si="0"/>
        <v>3.98</v>
      </c>
      <c r="K31" s="137">
        <f t="shared" si="1"/>
        <v>2352</v>
      </c>
      <c r="L31" s="137">
        <f t="shared" si="2"/>
        <v>66</v>
      </c>
      <c r="M31" s="137">
        <f t="shared" si="3"/>
        <v>4.0999999999999996</v>
      </c>
      <c r="N31" s="137">
        <v>684.15</v>
      </c>
      <c r="O31" s="137">
        <v>760.95</v>
      </c>
      <c r="P31" s="137">
        <v>0.28999999999999998</v>
      </c>
      <c r="Q31" s="149"/>
      <c r="R31" s="146">
        <v>2268</v>
      </c>
      <c r="S31" s="147">
        <f t="shared" si="4"/>
        <v>11734.619999999999</v>
      </c>
      <c r="T31" s="148">
        <f t="shared" si="5"/>
        <v>3.9753706298879998</v>
      </c>
      <c r="U31" s="149" t="s">
        <v>238</v>
      </c>
      <c r="V31" s="149">
        <v>48.26</v>
      </c>
      <c r="W31" s="149" t="s">
        <v>123</v>
      </c>
      <c r="X31" s="149">
        <v>48.26</v>
      </c>
      <c r="Y31" s="149" t="s">
        <v>123</v>
      </c>
      <c r="Z31" s="149">
        <v>26.67</v>
      </c>
      <c r="AA31" s="149" t="s">
        <v>124</v>
      </c>
      <c r="AB31" s="149"/>
      <c r="AC31" s="149" t="str">
        <f t="shared" si="6"/>
        <v>MEN'S MICROFIBER 3-PACK BOXER BRIEF 91% POLYESTER 9% SPANDEX</v>
      </c>
      <c r="AD31" s="149" t="s">
        <v>125</v>
      </c>
      <c r="AE31" s="149" t="s">
        <v>127</v>
      </c>
      <c r="AF31" s="149">
        <v>3</v>
      </c>
    </row>
    <row r="32" spans="1:32">
      <c r="A32" s="137" t="s">
        <v>128</v>
      </c>
      <c r="B32" s="137" t="s">
        <v>176</v>
      </c>
      <c r="C32" s="137" t="s">
        <v>171</v>
      </c>
      <c r="D32" s="137">
        <v>24001740</v>
      </c>
      <c r="E32" s="137">
        <v>5.49</v>
      </c>
      <c r="F32" s="137">
        <v>364</v>
      </c>
      <c r="G32" s="137" t="s">
        <v>105</v>
      </c>
      <c r="H32" s="156">
        <f>((48.26*48.26*26.67)/1000000)</f>
        <v>6.2115166091999997E-2</v>
      </c>
      <c r="I32" s="137">
        <v>11</v>
      </c>
      <c r="J32" s="137">
        <f t="shared" si="0"/>
        <v>0.68</v>
      </c>
      <c r="K32" s="137">
        <f t="shared" si="1"/>
        <v>375</v>
      </c>
      <c r="L32" s="137">
        <f t="shared" si="2"/>
        <v>11</v>
      </c>
      <c r="M32" s="137">
        <f t="shared" si="3"/>
        <v>0.68</v>
      </c>
      <c r="N32" s="137">
        <v>114.35</v>
      </c>
      <c r="O32" s="137">
        <v>127.4</v>
      </c>
      <c r="P32" s="137">
        <v>0.3</v>
      </c>
      <c r="Q32" s="149"/>
      <c r="R32" s="146">
        <v>360</v>
      </c>
      <c r="S32" s="147">
        <f t="shared" si="4"/>
        <v>1998.3600000000001</v>
      </c>
      <c r="T32" s="148">
        <f t="shared" si="5"/>
        <v>0.68326682701199992</v>
      </c>
      <c r="U32" s="149" t="s">
        <v>238</v>
      </c>
      <c r="V32" s="149">
        <v>48.26</v>
      </c>
      <c r="W32" s="149" t="s">
        <v>123</v>
      </c>
      <c r="X32" s="149">
        <v>48.26</v>
      </c>
      <c r="Y32" s="149" t="s">
        <v>123</v>
      </c>
      <c r="Z32" s="149">
        <v>26.67</v>
      </c>
      <c r="AA32" s="149" t="s">
        <v>124</v>
      </c>
      <c r="AB32" s="149"/>
      <c r="AC32" s="149" t="str">
        <f t="shared" si="6"/>
        <v>MEN'S MICROFIBER 3-PACK BOXER BRIEF 91% POLYESTER 9% SPANDEX</v>
      </c>
      <c r="AD32" s="149" t="s">
        <v>125</v>
      </c>
      <c r="AE32" s="149" t="s">
        <v>127</v>
      </c>
      <c r="AF32" s="149">
        <v>3</v>
      </c>
    </row>
    <row r="33" spans="1:32">
      <c r="A33" s="135" t="s">
        <v>128</v>
      </c>
      <c r="B33" s="135" t="s">
        <v>178</v>
      </c>
      <c r="C33" s="135" t="s">
        <v>177</v>
      </c>
      <c r="D33" s="135">
        <v>24001741</v>
      </c>
      <c r="E33" s="135">
        <v>5.14</v>
      </c>
      <c r="F33" s="135">
        <v>978</v>
      </c>
      <c r="G33" s="135" t="s">
        <v>105</v>
      </c>
      <c r="H33" s="157">
        <f>((48.26*48.26*22.86)/1000000)</f>
        <v>5.3241570935999995E-2</v>
      </c>
      <c r="I33" s="135">
        <v>28</v>
      </c>
      <c r="J33" s="135">
        <f t="shared" si="0"/>
        <v>1.49</v>
      </c>
      <c r="K33" s="135">
        <f t="shared" si="1"/>
        <v>1008</v>
      </c>
      <c r="L33" s="135">
        <f t="shared" si="2"/>
        <v>28</v>
      </c>
      <c r="M33" s="135">
        <f t="shared" si="3"/>
        <v>1.49</v>
      </c>
      <c r="N33" s="135">
        <v>241.86</v>
      </c>
      <c r="O33" s="135">
        <v>275.45999999999998</v>
      </c>
      <c r="P33" s="135">
        <v>0.25</v>
      </c>
      <c r="Q33" s="150"/>
      <c r="R33" s="151">
        <v>972</v>
      </c>
      <c r="S33" s="152">
        <f t="shared" si="4"/>
        <v>5026.92</v>
      </c>
      <c r="T33" s="153">
        <f t="shared" si="5"/>
        <v>1.4907639862079998</v>
      </c>
      <c r="U33" s="150" t="s">
        <v>239</v>
      </c>
      <c r="V33" s="150">
        <v>48.26</v>
      </c>
      <c r="W33" s="150" t="s">
        <v>123</v>
      </c>
      <c r="X33" s="150">
        <v>48.26</v>
      </c>
      <c r="Y33" s="150" t="s">
        <v>123</v>
      </c>
      <c r="Z33" s="150">
        <v>22.86</v>
      </c>
      <c r="AA33" s="150" t="s">
        <v>124</v>
      </c>
      <c r="AB33" s="150"/>
      <c r="AC33" s="150" t="str">
        <f t="shared" si="6"/>
        <v>MEN'S MICROFIBER 3-PACK BOXER BRIEF 91% POLYESTER 9% SPANDEX</v>
      </c>
      <c r="AD33" s="150" t="s">
        <v>125</v>
      </c>
      <c r="AE33" s="150" t="s">
        <v>127</v>
      </c>
      <c r="AF33" s="150">
        <v>3</v>
      </c>
    </row>
    <row r="34" spans="1:32">
      <c r="A34" s="135" t="s">
        <v>128</v>
      </c>
      <c r="B34" s="135" t="s">
        <v>179</v>
      </c>
      <c r="C34" s="135" t="s">
        <v>177</v>
      </c>
      <c r="D34" s="135">
        <v>24001741</v>
      </c>
      <c r="E34" s="135">
        <v>5.14</v>
      </c>
      <c r="F34" s="135">
        <v>3119</v>
      </c>
      <c r="G34" s="135" t="s">
        <v>105</v>
      </c>
      <c r="H34" s="157">
        <f>((48.26*48.26*22.86)/1000000)</f>
        <v>5.3241570935999995E-2</v>
      </c>
      <c r="I34" s="135">
        <v>87</v>
      </c>
      <c r="J34" s="135">
        <f t="shared" si="0"/>
        <v>4.63</v>
      </c>
      <c r="K34" s="135">
        <f t="shared" si="1"/>
        <v>3213</v>
      </c>
      <c r="L34" s="135">
        <f t="shared" si="2"/>
        <v>90</v>
      </c>
      <c r="M34" s="135">
        <f t="shared" si="3"/>
        <v>4.79</v>
      </c>
      <c r="N34" s="135">
        <v>831.3</v>
      </c>
      <c r="O34" s="135">
        <v>935.7</v>
      </c>
      <c r="P34" s="135">
        <v>0.26</v>
      </c>
      <c r="Q34" s="150"/>
      <c r="R34" s="151">
        <v>3096</v>
      </c>
      <c r="S34" s="152">
        <f t="shared" si="4"/>
        <v>16031.66</v>
      </c>
      <c r="T34" s="153">
        <f t="shared" si="5"/>
        <v>4.6320166714319999</v>
      </c>
      <c r="U34" s="150" t="s">
        <v>239</v>
      </c>
      <c r="V34" s="150">
        <v>48.26</v>
      </c>
      <c r="W34" s="150" t="s">
        <v>123</v>
      </c>
      <c r="X34" s="150">
        <v>48.26</v>
      </c>
      <c r="Y34" s="150" t="s">
        <v>123</v>
      </c>
      <c r="Z34" s="150">
        <v>22.86</v>
      </c>
      <c r="AA34" s="150" t="s">
        <v>124</v>
      </c>
      <c r="AB34" s="150"/>
      <c r="AC34" s="150" t="str">
        <f t="shared" si="6"/>
        <v>MEN'S MICROFIBER 3-PACK BOXER BRIEF 91% POLYESTER 9% SPANDEX</v>
      </c>
      <c r="AD34" s="150" t="s">
        <v>125</v>
      </c>
      <c r="AE34" s="150" t="s">
        <v>127</v>
      </c>
      <c r="AF34" s="150">
        <v>3</v>
      </c>
    </row>
    <row r="35" spans="1:32">
      <c r="A35" s="135" t="s">
        <v>128</v>
      </c>
      <c r="B35" s="135" t="s">
        <v>180</v>
      </c>
      <c r="C35" s="135" t="s">
        <v>177</v>
      </c>
      <c r="D35" s="135">
        <v>24001741</v>
      </c>
      <c r="E35" s="135">
        <v>5.14</v>
      </c>
      <c r="F35" s="135">
        <v>2616</v>
      </c>
      <c r="G35" s="135" t="s">
        <v>105</v>
      </c>
      <c r="H35" s="157">
        <f>((48.26*48.26*22.86)/1000000)</f>
        <v>5.3241570935999995E-2</v>
      </c>
      <c r="I35" s="135">
        <v>73</v>
      </c>
      <c r="J35" s="135">
        <f t="shared" si="0"/>
        <v>3.89</v>
      </c>
      <c r="K35" s="135">
        <f t="shared" si="1"/>
        <v>2695</v>
      </c>
      <c r="L35" s="135">
        <f t="shared" si="2"/>
        <v>75</v>
      </c>
      <c r="M35" s="135">
        <f t="shared" si="3"/>
        <v>3.99</v>
      </c>
      <c r="N35" s="135">
        <v>737.76</v>
      </c>
      <c r="O35" s="135">
        <v>825.36</v>
      </c>
      <c r="P35" s="135">
        <v>0.27</v>
      </c>
      <c r="Q35" s="150"/>
      <c r="R35" s="151">
        <v>2628</v>
      </c>
      <c r="S35" s="152">
        <f t="shared" si="4"/>
        <v>13446.24</v>
      </c>
      <c r="T35" s="153">
        <f t="shared" si="5"/>
        <v>3.8866346783279995</v>
      </c>
      <c r="U35" s="150" t="s">
        <v>239</v>
      </c>
      <c r="V35" s="150">
        <v>48.26</v>
      </c>
      <c r="W35" s="150" t="s">
        <v>123</v>
      </c>
      <c r="X35" s="150">
        <v>48.26</v>
      </c>
      <c r="Y35" s="150" t="s">
        <v>123</v>
      </c>
      <c r="Z35" s="150">
        <v>22.86</v>
      </c>
      <c r="AA35" s="150" t="s">
        <v>124</v>
      </c>
      <c r="AB35" s="150"/>
      <c r="AC35" s="150" t="str">
        <f t="shared" ref="AC35:AC66" si="7">AE35&amp;" "&amp;AD35</f>
        <v>MEN'S MICROFIBER 3-PACK BOXER BRIEF 91% POLYESTER 9% SPANDEX</v>
      </c>
      <c r="AD35" s="150" t="s">
        <v>125</v>
      </c>
      <c r="AE35" s="150" t="s">
        <v>127</v>
      </c>
      <c r="AF35" s="150">
        <v>3</v>
      </c>
    </row>
    <row r="36" spans="1:32">
      <c r="A36" s="135" t="s">
        <v>128</v>
      </c>
      <c r="B36" s="135" t="s">
        <v>181</v>
      </c>
      <c r="C36" s="135" t="s">
        <v>177</v>
      </c>
      <c r="D36" s="135">
        <v>24001741</v>
      </c>
      <c r="E36" s="135">
        <v>5.14</v>
      </c>
      <c r="F36" s="135">
        <v>977</v>
      </c>
      <c r="G36" s="135" t="s">
        <v>105</v>
      </c>
      <c r="H36" s="157">
        <f>((48.26*48.26*26.67)/1000000)</f>
        <v>6.2115166091999997E-2</v>
      </c>
      <c r="I36" s="135">
        <v>28</v>
      </c>
      <c r="J36" s="135">
        <f t="shared" si="0"/>
        <v>1.74</v>
      </c>
      <c r="K36" s="135">
        <f t="shared" si="1"/>
        <v>1007</v>
      </c>
      <c r="L36" s="135">
        <f t="shared" si="2"/>
        <v>28</v>
      </c>
      <c r="M36" s="135">
        <f t="shared" si="3"/>
        <v>1.74</v>
      </c>
      <c r="N36" s="135">
        <v>295.29000000000002</v>
      </c>
      <c r="O36" s="135">
        <v>328.89</v>
      </c>
      <c r="P36" s="135">
        <v>0.28999999999999998</v>
      </c>
      <c r="Q36" s="150"/>
      <c r="R36" s="151">
        <v>972</v>
      </c>
      <c r="S36" s="152">
        <f t="shared" si="4"/>
        <v>5021.78</v>
      </c>
      <c r="T36" s="153">
        <f t="shared" si="5"/>
        <v>1.7392246505759998</v>
      </c>
      <c r="U36" s="150" t="s">
        <v>239</v>
      </c>
      <c r="V36" s="150">
        <v>48.26</v>
      </c>
      <c r="W36" s="150" t="s">
        <v>123</v>
      </c>
      <c r="X36" s="150">
        <v>48.26</v>
      </c>
      <c r="Y36" s="150" t="s">
        <v>123</v>
      </c>
      <c r="Z36" s="150">
        <v>26.67</v>
      </c>
      <c r="AA36" s="150" t="s">
        <v>124</v>
      </c>
      <c r="AB36" s="150"/>
      <c r="AC36" s="150" t="str">
        <f t="shared" si="7"/>
        <v>MEN'S MICROFIBER 3-PACK BOXER BRIEF 91% POLYESTER 9% SPANDEX</v>
      </c>
      <c r="AD36" s="150" t="s">
        <v>125</v>
      </c>
      <c r="AE36" s="150" t="s">
        <v>127</v>
      </c>
      <c r="AF36" s="150">
        <v>3</v>
      </c>
    </row>
    <row r="37" spans="1:32">
      <c r="A37" s="137" t="s">
        <v>128</v>
      </c>
      <c r="B37" s="137" t="s">
        <v>183</v>
      </c>
      <c r="C37" s="137" t="s">
        <v>182</v>
      </c>
      <c r="D37" s="137">
        <v>24001742</v>
      </c>
      <c r="E37" s="137">
        <v>5.38</v>
      </c>
      <c r="F37" s="137">
        <v>364</v>
      </c>
      <c r="G37" s="137" t="s">
        <v>105</v>
      </c>
      <c r="H37" s="156">
        <f>((48.26*48.26*22.86)/1000000)</f>
        <v>5.3241570935999995E-2</v>
      </c>
      <c r="I37" s="137">
        <v>11</v>
      </c>
      <c r="J37" s="137">
        <f t="shared" si="0"/>
        <v>0.59</v>
      </c>
      <c r="K37" s="137">
        <f t="shared" si="1"/>
        <v>375</v>
      </c>
      <c r="L37" s="137">
        <f t="shared" si="2"/>
        <v>11</v>
      </c>
      <c r="M37" s="137">
        <f t="shared" si="3"/>
        <v>0.59</v>
      </c>
      <c r="N37" s="137">
        <v>89.68</v>
      </c>
      <c r="O37" s="137">
        <v>102.52</v>
      </c>
      <c r="P37" s="137">
        <v>0.25</v>
      </c>
      <c r="Q37" s="149"/>
      <c r="R37" s="146">
        <v>360</v>
      </c>
      <c r="S37" s="147">
        <f t="shared" si="4"/>
        <v>1958.32</v>
      </c>
      <c r="T37" s="148">
        <f t="shared" si="5"/>
        <v>0.58565728029599995</v>
      </c>
      <c r="U37" s="149" t="s">
        <v>240</v>
      </c>
      <c r="V37" s="149">
        <v>48.26</v>
      </c>
      <c r="W37" s="149" t="s">
        <v>123</v>
      </c>
      <c r="X37" s="149">
        <v>48.26</v>
      </c>
      <c r="Y37" s="149" t="s">
        <v>123</v>
      </c>
      <c r="Z37" s="149">
        <v>22.86</v>
      </c>
      <c r="AA37" s="149" t="s">
        <v>124</v>
      </c>
      <c r="AB37" s="149"/>
      <c r="AC37" s="149" t="str">
        <f t="shared" si="7"/>
        <v>MEN'S MICROFIBER 3-PACK BOXER BRIEF 91% POLYESTER 9% SPANDEX</v>
      </c>
      <c r="AD37" s="149" t="s">
        <v>125</v>
      </c>
      <c r="AE37" s="149" t="s">
        <v>127</v>
      </c>
      <c r="AF37" s="149">
        <v>3</v>
      </c>
    </row>
    <row r="38" spans="1:32">
      <c r="A38" s="137" t="s">
        <v>128</v>
      </c>
      <c r="B38" s="137" t="s">
        <v>184</v>
      </c>
      <c r="C38" s="137" t="s">
        <v>182</v>
      </c>
      <c r="D38" s="137">
        <v>24001742</v>
      </c>
      <c r="E38" s="137">
        <v>5.38</v>
      </c>
      <c r="F38" s="137">
        <v>946</v>
      </c>
      <c r="G38" s="137" t="s">
        <v>105</v>
      </c>
      <c r="H38" s="156">
        <f>((48.26*48.26*22.86)/1000000)</f>
        <v>5.3241570935999995E-2</v>
      </c>
      <c r="I38" s="137">
        <v>27</v>
      </c>
      <c r="J38" s="137">
        <f t="shared" si="0"/>
        <v>1.44</v>
      </c>
      <c r="K38" s="137">
        <f t="shared" si="1"/>
        <v>975</v>
      </c>
      <c r="L38" s="137">
        <f t="shared" si="2"/>
        <v>28</v>
      </c>
      <c r="M38" s="137">
        <f t="shared" si="3"/>
        <v>1.49</v>
      </c>
      <c r="N38" s="137">
        <v>249.22</v>
      </c>
      <c r="O38" s="137">
        <v>281.62</v>
      </c>
      <c r="P38" s="137">
        <v>0.26</v>
      </c>
      <c r="Q38" s="149"/>
      <c r="R38" s="146">
        <v>936</v>
      </c>
      <c r="S38" s="147">
        <f t="shared" si="4"/>
        <v>5089.4799999999996</v>
      </c>
      <c r="T38" s="148">
        <f t="shared" si="5"/>
        <v>1.4375224152719999</v>
      </c>
      <c r="U38" s="149" t="s">
        <v>240</v>
      </c>
      <c r="V38" s="149">
        <v>48.26</v>
      </c>
      <c r="W38" s="149" t="s">
        <v>123</v>
      </c>
      <c r="X38" s="149">
        <v>48.26</v>
      </c>
      <c r="Y38" s="149" t="s">
        <v>123</v>
      </c>
      <c r="Z38" s="149">
        <v>22.86</v>
      </c>
      <c r="AA38" s="149" t="s">
        <v>124</v>
      </c>
      <c r="AB38" s="149"/>
      <c r="AC38" s="149" t="str">
        <f t="shared" si="7"/>
        <v>MEN'S MICROFIBER 3-PACK BOXER BRIEF 91% POLYESTER 9% SPANDEX</v>
      </c>
      <c r="AD38" s="149" t="s">
        <v>125</v>
      </c>
      <c r="AE38" s="149" t="s">
        <v>127</v>
      </c>
      <c r="AF38" s="149">
        <v>3</v>
      </c>
    </row>
    <row r="39" spans="1:32">
      <c r="A39" s="137" t="s">
        <v>128</v>
      </c>
      <c r="B39" s="137" t="s">
        <v>185</v>
      </c>
      <c r="C39" s="137" t="s">
        <v>182</v>
      </c>
      <c r="D39" s="137">
        <v>24001742</v>
      </c>
      <c r="E39" s="137">
        <v>5.38</v>
      </c>
      <c r="F39" s="137">
        <v>835</v>
      </c>
      <c r="G39" s="137" t="s">
        <v>105</v>
      </c>
      <c r="H39" s="156">
        <f>((48.26*48.26*22.86)/1000000)</f>
        <v>5.3241570935999995E-2</v>
      </c>
      <c r="I39" s="137">
        <v>24</v>
      </c>
      <c r="J39" s="137">
        <f t="shared" si="0"/>
        <v>1.28</v>
      </c>
      <c r="K39" s="137">
        <f t="shared" si="1"/>
        <v>861</v>
      </c>
      <c r="L39" s="137">
        <f t="shared" si="2"/>
        <v>24</v>
      </c>
      <c r="M39" s="137">
        <f t="shared" si="3"/>
        <v>1.28</v>
      </c>
      <c r="N39" s="137">
        <v>232.35</v>
      </c>
      <c r="O39" s="137">
        <v>261.14999999999998</v>
      </c>
      <c r="P39" s="137">
        <v>0.27</v>
      </c>
      <c r="Q39" s="149"/>
      <c r="R39" s="146">
        <v>828</v>
      </c>
      <c r="S39" s="147">
        <f t="shared" si="4"/>
        <v>4492.3</v>
      </c>
      <c r="T39" s="148">
        <f t="shared" si="5"/>
        <v>1.2777977024639999</v>
      </c>
      <c r="U39" s="149" t="s">
        <v>240</v>
      </c>
      <c r="V39" s="149">
        <v>48.26</v>
      </c>
      <c r="W39" s="149" t="s">
        <v>123</v>
      </c>
      <c r="X39" s="149">
        <v>48.26</v>
      </c>
      <c r="Y39" s="149" t="s">
        <v>123</v>
      </c>
      <c r="Z39" s="149">
        <v>22.86</v>
      </c>
      <c r="AA39" s="149" t="s">
        <v>124</v>
      </c>
      <c r="AB39" s="149"/>
      <c r="AC39" s="149" t="str">
        <f t="shared" si="7"/>
        <v>MEN'S MICROFIBER 3-PACK BOXER BRIEF 91% POLYESTER 9% SPANDEX</v>
      </c>
      <c r="AD39" s="149" t="s">
        <v>125</v>
      </c>
      <c r="AE39" s="149" t="s">
        <v>127</v>
      </c>
      <c r="AF39" s="149">
        <v>3</v>
      </c>
    </row>
    <row r="40" spans="1:32">
      <c r="A40" s="137" t="s">
        <v>128</v>
      </c>
      <c r="B40" s="137" t="s">
        <v>186</v>
      </c>
      <c r="C40" s="137" t="s">
        <v>182</v>
      </c>
      <c r="D40" s="137">
        <v>24001742</v>
      </c>
      <c r="E40" s="137">
        <v>5.38</v>
      </c>
      <c r="F40" s="137">
        <v>362</v>
      </c>
      <c r="G40" s="137" t="s">
        <v>105</v>
      </c>
      <c r="H40" s="156">
        <f>((48.26*48.26*26.67)/1000000)</f>
        <v>6.2115166091999997E-2</v>
      </c>
      <c r="I40" s="137">
        <v>11</v>
      </c>
      <c r="J40" s="137">
        <f t="shared" si="0"/>
        <v>0.68</v>
      </c>
      <c r="K40" s="137">
        <f t="shared" si="1"/>
        <v>373</v>
      </c>
      <c r="L40" s="137">
        <f t="shared" si="2"/>
        <v>11</v>
      </c>
      <c r="M40" s="137">
        <f t="shared" si="3"/>
        <v>0.68</v>
      </c>
      <c r="N40" s="137">
        <v>108.73</v>
      </c>
      <c r="O40" s="137">
        <v>121.06</v>
      </c>
      <c r="P40" s="137">
        <v>0.28999999999999998</v>
      </c>
      <c r="Q40" s="149"/>
      <c r="R40" s="146">
        <v>360</v>
      </c>
      <c r="S40" s="147">
        <f t="shared" si="4"/>
        <v>1947.56</v>
      </c>
      <c r="T40" s="148">
        <f t="shared" si="5"/>
        <v>0.68326682701199992</v>
      </c>
      <c r="U40" s="149" t="s">
        <v>240</v>
      </c>
      <c r="V40" s="149">
        <v>48.26</v>
      </c>
      <c r="W40" s="149" t="s">
        <v>123</v>
      </c>
      <c r="X40" s="149">
        <v>48.26</v>
      </c>
      <c r="Y40" s="149" t="s">
        <v>123</v>
      </c>
      <c r="Z40" s="149">
        <v>26.67</v>
      </c>
      <c r="AA40" s="149" t="s">
        <v>124</v>
      </c>
      <c r="AB40" s="149"/>
      <c r="AC40" s="149" t="str">
        <f t="shared" si="7"/>
        <v>MEN'S MICROFIBER 3-PACK BOXER BRIEF 91% POLYESTER 9% SPANDEX</v>
      </c>
      <c r="AD40" s="149" t="s">
        <v>125</v>
      </c>
      <c r="AE40" s="149" t="s">
        <v>127</v>
      </c>
      <c r="AF40" s="149">
        <v>3</v>
      </c>
    </row>
    <row r="41" spans="1:32">
      <c r="A41" s="135" t="s">
        <v>128</v>
      </c>
      <c r="B41" s="135" t="s">
        <v>188</v>
      </c>
      <c r="C41" s="135" t="s">
        <v>187</v>
      </c>
      <c r="D41" s="135">
        <v>24001743</v>
      </c>
      <c r="E41" s="135">
        <v>5.38</v>
      </c>
      <c r="F41" s="135">
        <v>642</v>
      </c>
      <c r="G41" s="135" t="s">
        <v>105</v>
      </c>
      <c r="H41" s="157">
        <f>((48.26*48.26*22.86)/1000000)</f>
        <v>5.3241570935999995E-2</v>
      </c>
      <c r="I41" s="135">
        <v>18</v>
      </c>
      <c r="J41" s="135">
        <f t="shared" si="0"/>
        <v>0.96</v>
      </c>
      <c r="K41" s="135">
        <f t="shared" si="1"/>
        <v>662</v>
      </c>
      <c r="L41" s="135">
        <f t="shared" si="2"/>
        <v>19</v>
      </c>
      <c r="M41" s="135">
        <f t="shared" si="3"/>
        <v>1.01</v>
      </c>
      <c r="N41" s="135">
        <v>159.18</v>
      </c>
      <c r="O41" s="135">
        <v>180.78</v>
      </c>
      <c r="P41" s="135">
        <v>0.25</v>
      </c>
      <c r="Q41" s="150"/>
      <c r="R41" s="151">
        <v>648</v>
      </c>
      <c r="S41" s="152">
        <f t="shared" si="4"/>
        <v>3453.96</v>
      </c>
      <c r="T41" s="153">
        <f t="shared" si="5"/>
        <v>0.95834827684799995</v>
      </c>
      <c r="U41" s="150" t="s">
        <v>241</v>
      </c>
      <c r="V41" s="150">
        <v>48.26</v>
      </c>
      <c r="W41" s="150" t="s">
        <v>123</v>
      </c>
      <c r="X41" s="150">
        <v>48.26</v>
      </c>
      <c r="Y41" s="150" t="s">
        <v>123</v>
      </c>
      <c r="Z41" s="150">
        <v>22.86</v>
      </c>
      <c r="AA41" s="150" t="s">
        <v>124</v>
      </c>
      <c r="AB41" s="150"/>
      <c r="AC41" s="150" t="str">
        <f t="shared" si="7"/>
        <v>MEN'S MICROFIBER 3-PACK BOXER BRIEF 91% POLYESTER 9% SPANDEX</v>
      </c>
      <c r="AD41" s="150" t="s">
        <v>125</v>
      </c>
      <c r="AE41" s="150" t="s">
        <v>127</v>
      </c>
      <c r="AF41" s="150">
        <v>3</v>
      </c>
    </row>
    <row r="42" spans="1:32">
      <c r="A42" s="135" t="s">
        <v>128</v>
      </c>
      <c r="B42" s="135" t="s">
        <v>189</v>
      </c>
      <c r="C42" s="135" t="s">
        <v>187</v>
      </c>
      <c r="D42" s="135">
        <v>24001743</v>
      </c>
      <c r="E42" s="135">
        <v>5.38</v>
      </c>
      <c r="F42" s="135">
        <v>1890</v>
      </c>
      <c r="G42" s="135" t="s">
        <v>105</v>
      </c>
      <c r="H42" s="157">
        <f>((48.26*48.26*22.86)/1000000)</f>
        <v>5.3241570935999995E-2</v>
      </c>
      <c r="I42" s="135">
        <v>53</v>
      </c>
      <c r="J42" s="135">
        <f t="shared" si="0"/>
        <v>2.82</v>
      </c>
      <c r="K42" s="135">
        <f t="shared" si="1"/>
        <v>1947</v>
      </c>
      <c r="L42" s="135">
        <f t="shared" si="2"/>
        <v>55</v>
      </c>
      <c r="M42" s="135">
        <f t="shared" si="3"/>
        <v>2.93</v>
      </c>
      <c r="N42" s="135">
        <v>503.4</v>
      </c>
      <c r="O42" s="135">
        <v>567</v>
      </c>
      <c r="P42" s="135">
        <v>0.26</v>
      </c>
      <c r="Q42" s="150"/>
      <c r="R42" s="151">
        <v>1908</v>
      </c>
      <c r="S42" s="152">
        <f t="shared" si="4"/>
        <v>10168.199999999999</v>
      </c>
      <c r="T42" s="153">
        <f t="shared" si="5"/>
        <v>2.8218032596079996</v>
      </c>
      <c r="U42" s="150" t="s">
        <v>241</v>
      </c>
      <c r="V42" s="150">
        <v>48.26</v>
      </c>
      <c r="W42" s="150" t="s">
        <v>123</v>
      </c>
      <c r="X42" s="150">
        <v>48.26</v>
      </c>
      <c r="Y42" s="150" t="s">
        <v>123</v>
      </c>
      <c r="Z42" s="150">
        <v>22.86</v>
      </c>
      <c r="AA42" s="150" t="s">
        <v>124</v>
      </c>
      <c r="AB42" s="150"/>
      <c r="AC42" s="150" t="str">
        <f t="shared" si="7"/>
        <v>MEN'S MICROFIBER 3-PACK BOXER BRIEF 91% POLYESTER 9% SPANDEX</v>
      </c>
      <c r="AD42" s="150" t="s">
        <v>125</v>
      </c>
      <c r="AE42" s="150" t="s">
        <v>127</v>
      </c>
      <c r="AF42" s="150">
        <v>3</v>
      </c>
    </row>
    <row r="43" spans="1:32">
      <c r="A43" s="135" t="s">
        <v>128</v>
      </c>
      <c r="B43" s="135" t="s">
        <v>190</v>
      </c>
      <c r="C43" s="135" t="s">
        <v>187</v>
      </c>
      <c r="D43" s="135">
        <v>24001743</v>
      </c>
      <c r="E43" s="135">
        <v>5.38</v>
      </c>
      <c r="F43" s="135">
        <v>1834</v>
      </c>
      <c r="G43" s="135" t="s">
        <v>105</v>
      </c>
      <c r="H43" s="157">
        <f>((48.26*48.26*22.86)/1000000)</f>
        <v>5.3241570935999995E-2</v>
      </c>
      <c r="I43" s="135">
        <v>51</v>
      </c>
      <c r="J43" s="135">
        <f t="shared" si="0"/>
        <v>2.72</v>
      </c>
      <c r="K43" s="135">
        <f t="shared" si="1"/>
        <v>1890</v>
      </c>
      <c r="L43" s="135">
        <f t="shared" si="2"/>
        <v>53</v>
      </c>
      <c r="M43" s="135">
        <f t="shared" si="3"/>
        <v>2.82</v>
      </c>
      <c r="N43" s="135">
        <v>517.34</v>
      </c>
      <c r="O43" s="135">
        <v>578.54</v>
      </c>
      <c r="P43" s="135">
        <v>0.27</v>
      </c>
      <c r="Q43" s="150"/>
      <c r="R43" s="151">
        <v>1836</v>
      </c>
      <c r="S43" s="152">
        <f t="shared" si="4"/>
        <v>9866.92</v>
      </c>
      <c r="T43" s="153">
        <f t="shared" si="5"/>
        <v>2.7153201177359998</v>
      </c>
      <c r="U43" s="150" t="s">
        <v>241</v>
      </c>
      <c r="V43" s="150">
        <v>48.26</v>
      </c>
      <c r="W43" s="150" t="s">
        <v>123</v>
      </c>
      <c r="X43" s="150">
        <v>48.26</v>
      </c>
      <c r="Y43" s="150" t="s">
        <v>123</v>
      </c>
      <c r="Z43" s="150">
        <v>22.86</v>
      </c>
      <c r="AA43" s="150" t="s">
        <v>124</v>
      </c>
      <c r="AB43" s="150"/>
      <c r="AC43" s="150" t="str">
        <f t="shared" si="7"/>
        <v>MEN'S MICROFIBER 3-PACK BOXER BRIEF 91% POLYESTER 9% SPANDEX</v>
      </c>
      <c r="AD43" s="150" t="s">
        <v>125</v>
      </c>
      <c r="AE43" s="150" t="s">
        <v>127</v>
      </c>
      <c r="AF43" s="150">
        <v>3</v>
      </c>
    </row>
    <row r="44" spans="1:32">
      <c r="A44" s="135" t="s">
        <v>128</v>
      </c>
      <c r="B44" s="135" t="s">
        <v>191</v>
      </c>
      <c r="C44" s="135" t="s">
        <v>187</v>
      </c>
      <c r="D44" s="135">
        <v>24001743</v>
      </c>
      <c r="E44" s="135">
        <v>5.38</v>
      </c>
      <c r="F44" s="135">
        <v>928</v>
      </c>
      <c r="G44" s="135" t="s">
        <v>105</v>
      </c>
      <c r="H44" s="157">
        <f>((48.26*48.26*26.67)/1000000)</f>
        <v>6.2115166091999997E-2</v>
      </c>
      <c r="I44" s="135">
        <v>26</v>
      </c>
      <c r="J44" s="135">
        <f t="shared" si="0"/>
        <v>1.61</v>
      </c>
      <c r="K44" s="135">
        <f t="shared" si="1"/>
        <v>956</v>
      </c>
      <c r="L44" s="135">
        <f t="shared" si="2"/>
        <v>27</v>
      </c>
      <c r="M44" s="135">
        <f t="shared" si="3"/>
        <v>1.68</v>
      </c>
      <c r="N44" s="135">
        <v>281.04000000000002</v>
      </c>
      <c r="O44" s="135">
        <v>312.24</v>
      </c>
      <c r="P44" s="135">
        <v>0.28999999999999998</v>
      </c>
      <c r="Q44" s="150"/>
      <c r="R44" s="151">
        <v>936</v>
      </c>
      <c r="S44" s="152">
        <f t="shared" si="4"/>
        <v>4992.6400000000003</v>
      </c>
      <c r="T44" s="153">
        <f t="shared" si="5"/>
        <v>1.6149943183919999</v>
      </c>
      <c r="U44" s="150" t="s">
        <v>241</v>
      </c>
      <c r="V44" s="150">
        <v>48.26</v>
      </c>
      <c r="W44" s="150" t="s">
        <v>123</v>
      </c>
      <c r="X44" s="150">
        <v>48.26</v>
      </c>
      <c r="Y44" s="150" t="s">
        <v>123</v>
      </c>
      <c r="Z44" s="150">
        <v>26.67</v>
      </c>
      <c r="AA44" s="150" t="s">
        <v>124</v>
      </c>
      <c r="AB44" s="150"/>
      <c r="AC44" s="150" t="str">
        <f t="shared" si="7"/>
        <v>MEN'S MICROFIBER 3-PACK BOXER BRIEF 91% POLYESTER 9% SPANDEX</v>
      </c>
      <c r="AD44" s="150" t="s">
        <v>125</v>
      </c>
      <c r="AE44" s="150" t="s">
        <v>127</v>
      </c>
      <c r="AF44" s="150">
        <v>3</v>
      </c>
    </row>
    <row r="45" spans="1:32">
      <c r="A45" s="137" t="s">
        <v>194</v>
      </c>
      <c r="B45" s="137" t="s">
        <v>193</v>
      </c>
      <c r="C45" s="137" t="s">
        <v>192</v>
      </c>
      <c r="D45" s="137">
        <v>24001718</v>
      </c>
      <c r="E45" s="137">
        <v>6.5</v>
      </c>
      <c r="F45" s="137">
        <v>1521</v>
      </c>
      <c r="G45" s="137" t="s">
        <v>105</v>
      </c>
      <c r="H45" s="156">
        <f>((48.26*48.26*22.86)/1000000)</f>
        <v>5.3241570935999995E-2</v>
      </c>
      <c r="I45" s="137">
        <v>43</v>
      </c>
      <c r="J45" s="137">
        <f t="shared" si="0"/>
        <v>2.29</v>
      </c>
      <c r="K45" s="137">
        <f t="shared" si="1"/>
        <v>1567</v>
      </c>
      <c r="L45" s="137">
        <f t="shared" si="2"/>
        <v>44</v>
      </c>
      <c r="M45" s="137">
        <f t="shared" si="3"/>
        <v>2.34</v>
      </c>
      <c r="N45" s="137">
        <v>495.59</v>
      </c>
      <c r="O45" s="137">
        <v>537.73</v>
      </c>
      <c r="P45" s="137">
        <v>0.25</v>
      </c>
      <c r="Q45" s="149"/>
      <c r="R45" s="146">
        <v>1476</v>
      </c>
      <c r="S45" s="147">
        <f t="shared" si="4"/>
        <v>9886.5</v>
      </c>
      <c r="T45" s="148">
        <f t="shared" si="5"/>
        <v>2.2893875502479997</v>
      </c>
      <c r="U45" s="149" t="s">
        <v>242</v>
      </c>
      <c r="V45" s="149">
        <v>48.26</v>
      </c>
      <c r="W45" s="149" t="s">
        <v>123</v>
      </c>
      <c r="X45" s="149">
        <v>48.26</v>
      </c>
      <c r="Y45" s="149" t="s">
        <v>123</v>
      </c>
      <c r="Z45" s="149">
        <v>22.86</v>
      </c>
      <c r="AA45" s="149" t="s">
        <v>124</v>
      </c>
      <c r="AB45" s="149"/>
      <c r="AC45" s="149" t="str">
        <f t="shared" si="7"/>
        <v>MEN'S LUXE COMFORT 3-PACK BOXER BRIEF 60% POLYESTER 33% RAYON 7% SPANDEX</v>
      </c>
      <c r="AD45" s="149" t="s">
        <v>243</v>
      </c>
      <c r="AE45" s="149" t="s">
        <v>244</v>
      </c>
      <c r="AF45" s="149">
        <v>3</v>
      </c>
    </row>
    <row r="46" spans="1:32">
      <c r="A46" s="137" t="s">
        <v>194</v>
      </c>
      <c r="B46" s="137" t="s">
        <v>195</v>
      </c>
      <c r="C46" s="137" t="s">
        <v>192</v>
      </c>
      <c r="D46" s="137">
        <v>24001718</v>
      </c>
      <c r="E46" s="137">
        <v>6.5</v>
      </c>
      <c r="F46" s="137">
        <v>3703</v>
      </c>
      <c r="G46" s="137" t="s">
        <v>105</v>
      </c>
      <c r="H46" s="156">
        <f>((48.26*48.26*22.86)/1000000)</f>
        <v>5.3241570935999995E-2</v>
      </c>
      <c r="I46" s="137">
        <v>103</v>
      </c>
      <c r="J46" s="137">
        <f t="shared" si="0"/>
        <v>5.48</v>
      </c>
      <c r="K46" s="137">
        <f t="shared" si="1"/>
        <v>3815</v>
      </c>
      <c r="L46" s="137">
        <f t="shared" si="2"/>
        <v>106</v>
      </c>
      <c r="M46" s="137">
        <f t="shared" si="3"/>
        <v>5.64</v>
      </c>
      <c r="N46" s="137">
        <v>1281.6400000000001</v>
      </c>
      <c r="O46" s="137">
        <v>1382.58</v>
      </c>
      <c r="P46" s="137">
        <v>0.26</v>
      </c>
      <c r="Q46" s="149"/>
      <c r="R46" s="146">
        <v>3564</v>
      </c>
      <c r="S46" s="147">
        <f t="shared" si="4"/>
        <v>24069.5</v>
      </c>
      <c r="T46" s="148">
        <f t="shared" si="5"/>
        <v>5.4838818064079993</v>
      </c>
      <c r="U46" s="149" t="s">
        <v>242</v>
      </c>
      <c r="V46" s="149">
        <v>48.26</v>
      </c>
      <c r="W46" s="149" t="s">
        <v>123</v>
      </c>
      <c r="X46" s="149">
        <v>48.26</v>
      </c>
      <c r="Y46" s="149" t="s">
        <v>123</v>
      </c>
      <c r="Z46" s="149">
        <v>22.86</v>
      </c>
      <c r="AA46" s="149" t="s">
        <v>124</v>
      </c>
      <c r="AB46" s="149"/>
      <c r="AC46" s="149" t="str">
        <f t="shared" si="7"/>
        <v>MEN'S LUXE COMFORT 3-PACK BOXER BRIEF 60% POLYESTER 33% RAYON 7% SPANDEX</v>
      </c>
      <c r="AD46" s="149" t="s">
        <v>243</v>
      </c>
      <c r="AE46" s="149" t="s">
        <v>244</v>
      </c>
      <c r="AF46" s="149">
        <v>3</v>
      </c>
    </row>
    <row r="47" spans="1:32">
      <c r="A47" s="137" t="s">
        <v>194</v>
      </c>
      <c r="B47" s="137" t="s">
        <v>196</v>
      </c>
      <c r="C47" s="137" t="s">
        <v>192</v>
      </c>
      <c r="D47" s="137">
        <v>24001718</v>
      </c>
      <c r="E47" s="137">
        <v>6.5</v>
      </c>
      <c r="F47" s="137">
        <v>3467</v>
      </c>
      <c r="G47" s="137" t="s">
        <v>105</v>
      </c>
      <c r="H47" s="156">
        <f>((48.26*48.26*26.67)/1000000)</f>
        <v>6.2115166091999997E-2</v>
      </c>
      <c r="I47" s="137">
        <v>97</v>
      </c>
      <c r="J47" s="137">
        <f t="shared" si="0"/>
        <v>6.03</v>
      </c>
      <c r="K47" s="137">
        <f t="shared" si="1"/>
        <v>3572</v>
      </c>
      <c r="L47" s="137">
        <f t="shared" si="2"/>
        <v>100</v>
      </c>
      <c r="M47" s="137">
        <f t="shared" si="3"/>
        <v>6.21</v>
      </c>
      <c r="N47" s="137">
        <v>1275.08</v>
      </c>
      <c r="O47" s="137">
        <v>1381.78</v>
      </c>
      <c r="P47" s="137">
        <v>0.27</v>
      </c>
      <c r="Q47" s="149"/>
      <c r="R47" s="146">
        <v>3312</v>
      </c>
      <c r="S47" s="147">
        <f t="shared" si="4"/>
        <v>22535.5</v>
      </c>
      <c r="T47" s="148">
        <f t="shared" si="5"/>
        <v>6.025171110924</v>
      </c>
      <c r="U47" s="149" t="s">
        <v>242</v>
      </c>
      <c r="V47" s="149">
        <v>48.26</v>
      </c>
      <c r="W47" s="149" t="s">
        <v>123</v>
      </c>
      <c r="X47" s="149">
        <v>48.26</v>
      </c>
      <c r="Y47" s="149" t="s">
        <v>123</v>
      </c>
      <c r="Z47" s="149">
        <v>26.67</v>
      </c>
      <c r="AA47" s="149" t="s">
        <v>124</v>
      </c>
      <c r="AB47" s="149"/>
      <c r="AC47" s="149" t="str">
        <f t="shared" si="7"/>
        <v>MEN'S LUXE COMFORT 3-PACK BOXER BRIEF 60% POLYESTER 33% RAYON 7% SPANDEX</v>
      </c>
      <c r="AD47" s="149" t="s">
        <v>243</v>
      </c>
      <c r="AE47" s="149" t="s">
        <v>244</v>
      </c>
      <c r="AF47" s="149">
        <v>3</v>
      </c>
    </row>
    <row r="48" spans="1:32">
      <c r="A48" s="137" t="s">
        <v>194</v>
      </c>
      <c r="B48" s="137" t="s">
        <v>197</v>
      </c>
      <c r="C48" s="137" t="s">
        <v>192</v>
      </c>
      <c r="D48" s="137">
        <v>24001718</v>
      </c>
      <c r="E48" s="137">
        <v>6.5</v>
      </c>
      <c r="F48" s="137">
        <v>1620</v>
      </c>
      <c r="G48" s="137" t="s">
        <v>105</v>
      </c>
      <c r="H48" s="156">
        <f>((48.26*48.26*26.67)/1000000)</f>
        <v>6.2115166091999997E-2</v>
      </c>
      <c r="I48" s="137">
        <v>45</v>
      </c>
      <c r="J48" s="137">
        <f t="shared" si="0"/>
        <v>2.8</v>
      </c>
      <c r="K48" s="137">
        <f t="shared" si="1"/>
        <v>1669</v>
      </c>
      <c r="L48" s="137">
        <f t="shared" si="2"/>
        <v>47</v>
      </c>
      <c r="M48" s="137">
        <f t="shared" si="3"/>
        <v>2.92</v>
      </c>
      <c r="N48" s="137">
        <v>630.9</v>
      </c>
      <c r="O48" s="137">
        <v>680.4</v>
      </c>
      <c r="P48" s="137">
        <v>0.28999999999999998</v>
      </c>
      <c r="Q48" s="149"/>
      <c r="R48" s="146">
        <v>1548</v>
      </c>
      <c r="S48" s="147">
        <f t="shared" si="4"/>
        <v>10530</v>
      </c>
      <c r="T48" s="148">
        <f t="shared" si="5"/>
        <v>2.7951824741399998</v>
      </c>
      <c r="U48" s="149" t="s">
        <v>242</v>
      </c>
      <c r="V48" s="149">
        <v>48.26</v>
      </c>
      <c r="W48" s="149" t="s">
        <v>123</v>
      </c>
      <c r="X48" s="149">
        <v>48.26</v>
      </c>
      <c r="Y48" s="149" t="s">
        <v>123</v>
      </c>
      <c r="Z48" s="149">
        <v>26.67</v>
      </c>
      <c r="AA48" s="149" t="s">
        <v>124</v>
      </c>
      <c r="AB48" s="149"/>
      <c r="AC48" s="149" t="str">
        <f t="shared" si="7"/>
        <v>MEN'S LUXE COMFORT 3-PACK BOXER BRIEF 60% POLYESTER 33% RAYON 7% SPANDEX</v>
      </c>
      <c r="AD48" s="149" t="s">
        <v>243</v>
      </c>
      <c r="AE48" s="149" t="s">
        <v>244</v>
      </c>
      <c r="AF48" s="149">
        <v>3</v>
      </c>
    </row>
    <row r="49" spans="1:32">
      <c r="A49" s="137" t="s">
        <v>194</v>
      </c>
      <c r="B49" s="137" t="s">
        <v>198</v>
      </c>
      <c r="C49" s="137" t="s">
        <v>192</v>
      </c>
      <c r="D49" s="137">
        <v>24001719</v>
      </c>
      <c r="E49" s="137">
        <v>7.18</v>
      </c>
      <c r="F49" s="137">
        <v>983</v>
      </c>
      <c r="G49" s="137" t="s">
        <v>105</v>
      </c>
      <c r="H49" s="156">
        <f>((48.26*48.26*26.67)/1000000)</f>
        <v>6.2115166091999997E-2</v>
      </c>
      <c r="I49" s="137">
        <v>28</v>
      </c>
      <c r="J49" s="137">
        <f t="shared" si="0"/>
        <v>1.74</v>
      </c>
      <c r="K49" s="137">
        <f t="shared" si="1"/>
        <v>1013</v>
      </c>
      <c r="L49" s="137">
        <f t="shared" si="2"/>
        <v>29</v>
      </c>
      <c r="M49" s="137">
        <f t="shared" si="3"/>
        <v>1.8</v>
      </c>
      <c r="N49" s="137">
        <v>395.38</v>
      </c>
      <c r="O49" s="137">
        <v>426.22</v>
      </c>
      <c r="P49" s="137">
        <v>0.3</v>
      </c>
      <c r="Q49" s="149"/>
      <c r="R49" s="146">
        <v>936</v>
      </c>
      <c r="S49" s="147">
        <f t="shared" si="4"/>
        <v>7057.94</v>
      </c>
      <c r="T49" s="148">
        <f t="shared" si="5"/>
        <v>1.7392246505759998</v>
      </c>
      <c r="U49" s="149" t="s">
        <v>242</v>
      </c>
      <c r="V49" s="149">
        <v>48.26</v>
      </c>
      <c r="W49" s="149" t="s">
        <v>123</v>
      </c>
      <c r="X49" s="149">
        <v>48.26</v>
      </c>
      <c r="Y49" s="149" t="s">
        <v>123</v>
      </c>
      <c r="Z49" s="149">
        <v>26.67</v>
      </c>
      <c r="AA49" s="149" t="s">
        <v>124</v>
      </c>
      <c r="AB49" s="149"/>
      <c r="AC49" s="149" t="str">
        <f t="shared" si="7"/>
        <v>MEN'S LUXE COMFORT 3-PACK BOXER BRIEF 60% POLYESTER 33% RAYON 7% SPANDEX</v>
      </c>
      <c r="AD49" s="149" t="s">
        <v>243</v>
      </c>
      <c r="AE49" s="149" t="s">
        <v>244</v>
      </c>
      <c r="AF49" s="149">
        <v>3</v>
      </c>
    </row>
    <row r="50" spans="1:32">
      <c r="A50" s="137" t="s">
        <v>194</v>
      </c>
      <c r="B50" s="137" t="s">
        <v>200</v>
      </c>
      <c r="C50" s="137" t="s">
        <v>199</v>
      </c>
      <c r="D50" s="137">
        <v>24001720</v>
      </c>
      <c r="E50" s="137">
        <v>6.5</v>
      </c>
      <c r="F50" s="137">
        <v>416</v>
      </c>
      <c r="G50" s="137" t="s">
        <v>105</v>
      </c>
      <c r="H50" s="156">
        <f>((48.26*48.26*22.86)/1000000)</f>
        <v>5.3241570935999995E-2</v>
      </c>
      <c r="I50" s="137">
        <v>12</v>
      </c>
      <c r="J50" s="137">
        <f t="shared" si="0"/>
        <v>0.64</v>
      </c>
      <c r="K50" s="137">
        <f t="shared" si="1"/>
        <v>429</v>
      </c>
      <c r="L50" s="137">
        <f t="shared" si="2"/>
        <v>12</v>
      </c>
      <c r="M50" s="137">
        <f t="shared" si="3"/>
        <v>0.64</v>
      </c>
      <c r="N50" s="137">
        <v>135.54</v>
      </c>
      <c r="O50" s="137">
        <v>147.30000000000001</v>
      </c>
      <c r="P50" s="137">
        <v>0.25</v>
      </c>
      <c r="Q50" s="149"/>
      <c r="R50" s="146">
        <v>396</v>
      </c>
      <c r="S50" s="147">
        <f t="shared" si="4"/>
        <v>2704</v>
      </c>
      <c r="T50" s="148">
        <f t="shared" si="5"/>
        <v>0.63889885123199996</v>
      </c>
      <c r="U50" s="149" t="s">
        <v>245</v>
      </c>
      <c r="V50" s="149">
        <v>48.26</v>
      </c>
      <c r="W50" s="149" t="s">
        <v>123</v>
      </c>
      <c r="X50" s="149">
        <v>48.26</v>
      </c>
      <c r="Y50" s="149" t="s">
        <v>123</v>
      </c>
      <c r="Z50" s="149">
        <v>22.86</v>
      </c>
      <c r="AA50" s="149" t="s">
        <v>124</v>
      </c>
      <c r="AB50" s="149"/>
      <c r="AC50" s="149" t="str">
        <f t="shared" si="7"/>
        <v>MEN'S LUXE COMFORT 3-PACK BOXER BRIEF 60% POLYESTER 33% RAYON 7% SPANDEX</v>
      </c>
      <c r="AD50" s="149" t="s">
        <v>243</v>
      </c>
      <c r="AE50" s="149" t="s">
        <v>244</v>
      </c>
      <c r="AF50" s="149">
        <v>3</v>
      </c>
    </row>
    <row r="51" spans="1:32">
      <c r="A51" s="137" t="s">
        <v>194</v>
      </c>
      <c r="B51" s="137" t="s">
        <v>201</v>
      </c>
      <c r="C51" s="137" t="s">
        <v>199</v>
      </c>
      <c r="D51" s="137">
        <v>24001720</v>
      </c>
      <c r="E51" s="137">
        <v>6.5</v>
      </c>
      <c r="F51" s="137">
        <v>1241</v>
      </c>
      <c r="G51" s="137" t="s">
        <v>105</v>
      </c>
      <c r="H51" s="156">
        <f>((48.26*48.26*22.86)/1000000)</f>
        <v>5.3241570935999995E-2</v>
      </c>
      <c r="I51" s="137">
        <v>35</v>
      </c>
      <c r="J51" s="137">
        <f t="shared" si="0"/>
        <v>1.86</v>
      </c>
      <c r="K51" s="137">
        <f t="shared" si="1"/>
        <v>1279</v>
      </c>
      <c r="L51" s="137">
        <f t="shared" si="2"/>
        <v>36</v>
      </c>
      <c r="M51" s="137">
        <f t="shared" si="3"/>
        <v>1.92</v>
      </c>
      <c r="N51" s="137">
        <v>429.52</v>
      </c>
      <c r="O51" s="137">
        <v>463.82</v>
      </c>
      <c r="P51" s="137">
        <v>0.26</v>
      </c>
      <c r="Q51" s="149"/>
      <c r="R51" s="146">
        <v>1188</v>
      </c>
      <c r="S51" s="147">
        <f t="shared" si="4"/>
        <v>8066.5</v>
      </c>
      <c r="T51" s="148">
        <f t="shared" si="5"/>
        <v>1.8634549827599998</v>
      </c>
      <c r="U51" s="149" t="s">
        <v>245</v>
      </c>
      <c r="V51" s="149">
        <v>48.26</v>
      </c>
      <c r="W51" s="149" t="s">
        <v>123</v>
      </c>
      <c r="X51" s="149">
        <v>48.26</v>
      </c>
      <c r="Y51" s="149" t="s">
        <v>123</v>
      </c>
      <c r="Z51" s="149">
        <v>22.86</v>
      </c>
      <c r="AA51" s="149" t="s">
        <v>124</v>
      </c>
      <c r="AB51" s="149"/>
      <c r="AC51" s="149" t="str">
        <f t="shared" si="7"/>
        <v>MEN'S LUXE COMFORT 3-PACK BOXER BRIEF 60% POLYESTER 33% RAYON 7% SPANDEX</v>
      </c>
      <c r="AD51" s="149" t="s">
        <v>243</v>
      </c>
      <c r="AE51" s="149" t="s">
        <v>244</v>
      </c>
      <c r="AF51" s="149">
        <v>3</v>
      </c>
    </row>
    <row r="52" spans="1:32">
      <c r="A52" s="137" t="s">
        <v>194</v>
      </c>
      <c r="B52" s="137" t="s">
        <v>202</v>
      </c>
      <c r="C52" s="137" t="s">
        <v>199</v>
      </c>
      <c r="D52" s="137">
        <v>24001720</v>
      </c>
      <c r="E52" s="137">
        <v>6.5</v>
      </c>
      <c r="F52" s="137">
        <v>1234</v>
      </c>
      <c r="G52" s="137" t="s">
        <v>105</v>
      </c>
      <c r="H52" s="156">
        <f>((48.26*48.26*26.67)/1000000)</f>
        <v>6.2115166091999997E-2</v>
      </c>
      <c r="I52" s="137">
        <v>35</v>
      </c>
      <c r="J52" s="137">
        <f t="shared" si="0"/>
        <v>2.17</v>
      </c>
      <c r="K52" s="137">
        <f t="shared" si="1"/>
        <v>1272</v>
      </c>
      <c r="L52" s="137">
        <f t="shared" si="2"/>
        <v>36</v>
      </c>
      <c r="M52" s="137">
        <f t="shared" si="3"/>
        <v>2.2400000000000002</v>
      </c>
      <c r="N52" s="137">
        <v>453.83</v>
      </c>
      <c r="O52" s="137">
        <v>492.33</v>
      </c>
      <c r="P52" s="137">
        <v>0.27</v>
      </c>
      <c r="Q52" s="149"/>
      <c r="R52" s="146">
        <v>1188</v>
      </c>
      <c r="S52" s="147">
        <f t="shared" si="4"/>
        <v>8021</v>
      </c>
      <c r="T52" s="148">
        <f t="shared" si="5"/>
        <v>2.1740308132199999</v>
      </c>
      <c r="U52" s="149" t="s">
        <v>245</v>
      </c>
      <c r="V52" s="149">
        <v>48.26</v>
      </c>
      <c r="W52" s="149" t="s">
        <v>123</v>
      </c>
      <c r="X52" s="149">
        <v>48.26</v>
      </c>
      <c r="Y52" s="149" t="s">
        <v>123</v>
      </c>
      <c r="Z52" s="149">
        <v>26.67</v>
      </c>
      <c r="AA52" s="149" t="s">
        <v>124</v>
      </c>
      <c r="AB52" s="149"/>
      <c r="AC52" s="149" t="str">
        <f t="shared" si="7"/>
        <v>MEN'S LUXE COMFORT 3-PACK BOXER BRIEF 60% POLYESTER 33% RAYON 7% SPANDEX</v>
      </c>
      <c r="AD52" s="149" t="s">
        <v>243</v>
      </c>
      <c r="AE52" s="149" t="s">
        <v>244</v>
      </c>
      <c r="AF52" s="149">
        <v>3</v>
      </c>
    </row>
    <row r="53" spans="1:32">
      <c r="A53" s="137" t="s">
        <v>194</v>
      </c>
      <c r="B53" s="137" t="s">
        <v>203</v>
      </c>
      <c r="C53" s="137" t="s">
        <v>199</v>
      </c>
      <c r="D53" s="137">
        <v>24001720</v>
      </c>
      <c r="E53" s="137">
        <v>6.5</v>
      </c>
      <c r="F53" s="137">
        <v>454</v>
      </c>
      <c r="G53" s="137" t="s">
        <v>105</v>
      </c>
      <c r="H53" s="156">
        <f>((48.26*48.26*26.67)/1000000)</f>
        <v>6.2115166091999997E-2</v>
      </c>
      <c r="I53" s="137">
        <v>13</v>
      </c>
      <c r="J53" s="137">
        <f t="shared" si="0"/>
        <v>0.81</v>
      </c>
      <c r="K53" s="137">
        <f t="shared" si="1"/>
        <v>468</v>
      </c>
      <c r="L53" s="137">
        <f t="shared" si="2"/>
        <v>13</v>
      </c>
      <c r="M53" s="137">
        <f t="shared" si="3"/>
        <v>0.81</v>
      </c>
      <c r="N53" s="137">
        <v>176.8</v>
      </c>
      <c r="O53" s="137">
        <v>191.1</v>
      </c>
      <c r="P53" s="137">
        <v>0.28999999999999998</v>
      </c>
      <c r="Q53" s="149"/>
      <c r="R53" s="146">
        <v>432</v>
      </c>
      <c r="S53" s="147">
        <f t="shared" si="4"/>
        <v>2951</v>
      </c>
      <c r="T53" s="148">
        <f t="shared" si="5"/>
        <v>0.80749715919599996</v>
      </c>
      <c r="U53" s="149" t="s">
        <v>245</v>
      </c>
      <c r="V53" s="149">
        <v>48.26</v>
      </c>
      <c r="W53" s="149" t="s">
        <v>123</v>
      </c>
      <c r="X53" s="149">
        <v>48.26</v>
      </c>
      <c r="Y53" s="149" t="s">
        <v>123</v>
      </c>
      <c r="Z53" s="149">
        <v>26.67</v>
      </c>
      <c r="AA53" s="149" t="s">
        <v>124</v>
      </c>
      <c r="AB53" s="149"/>
      <c r="AC53" s="149" t="str">
        <f t="shared" si="7"/>
        <v>MEN'S LUXE COMFORT 3-PACK BOXER BRIEF 60% POLYESTER 33% RAYON 7% SPANDEX</v>
      </c>
      <c r="AD53" s="149" t="s">
        <v>243</v>
      </c>
      <c r="AE53" s="149" t="s">
        <v>244</v>
      </c>
      <c r="AF53" s="149">
        <v>3</v>
      </c>
    </row>
    <row r="54" spans="1:32">
      <c r="A54" s="137" t="s">
        <v>194</v>
      </c>
      <c r="B54" s="137" t="s">
        <v>204</v>
      </c>
      <c r="C54" s="137" t="s">
        <v>199</v>
      </c>
      <c r="D54" s="137">
        <v>24001721</v>
      </c>
      <c r="E54" s="137">
        <v>7.18</v>
      </c>
      <c r="F54" s="137">
        <v>451</v>
      </c>
      <c r="G54" s="137" t="s">
        <v>105</v>
      </c>
      <c r="H54" s="156">
        <f>((48.26*48.26*26.67)/1000000)</f>
        <v>6.2115166091999997E-2</v>
      </c>
      <c r="I54" s="137">
        <v>13</v>
      </c>
      <c r="J54" s="137">
        <f t="shared" si="0"/>
        <v>0.81</v>
      </c>
      <c r="K54" s="137">
        <f t="shared" si="1"/>
        <v>465</v>
      </c>
      <c r="L54" s="137">
        <f t="shared" si="2"/>
        <v>13</v>
      </c>
      <c r="M54" s="137">
        <f t="shared" si="3"/>
        <v>0.81</v>
      </c>
      <c r="N54" s="137">
        <v>181.4</v>
      </c>
      <c r="O54" s="137">
        <v>195.74</v>
      </c>
      <c r="P54" s="137">
        <v>0.3</v>
      </c>
      <c r="Q54" s="149"/>
      <c r="R54" s="146">
        <v>432</v>
      </c>
      <c r="S54" s="147">
        <f t="shared" si="4"/>
        <v>3238.18</v>
      </c>
      <c r="T54" s="148">
        <f t="shared" si="5"/>
        <v>0.80749715919599996</v>
      </c>
      <c r="U54" s="149" t="s">
        <v>245</v>
      </c>
      <c r="V54" s="149">
        <v>48.26</v>
      </c>
      <c r="W54" s="149" t="s">
        <v>123</v>
      </c>
      <c r="X54" s="149">
        <v>48.26</v>
      </c>
      <c r="Y54" s="149" t="s">
        <v>123</v>
      </c>
      <c r="Z54" s="149">
        <v>26.67</v>
      </c>
      <c r="AA54" s="149" t="s">
        <v>124</v>
      </c>
      <c r="AB54" s="149"/>
      <c r="AC54" s="149" t="str">
        <f t="shared" si="7"/>
        <v>MEN'S LUXE COMFORT 3-PACK BOXER BRIEF 60% POLYESTER 33% RAYON 7% SPANDEX</v>
      </c>
      <c r="AD54" s="149" t="s">
        <v>243</v>
      </c>
      <c r="AE54" s="149" t="s">
        <v>244</v>
      </c>
      <c r="AF54" s="149">
        <v>3</v>
      </c>
    </row>
    <row r="55" spans="1:32">
      <c r="A55" s="137" t="s">
        <v>194</v>
      </c>
      <c r="B55" s="137" t="s">
        <v>206</v>
      </c>
      <c r="C55" s="137" t="s">
        <v>205</v>
      </c>
      <c r="D55" s="137">
        <v>24001722</v>
      </c>
      <c r="E55" s="137">
        <v>6.5</v>
      </c>
      <c r="F55" s="137">
        <v>972</v>
      </c>
      <c r="G55" s="137" t="s">
        <v>105</v>
      </c>
      <c r="H55" s="156">
        <f>((48.26*48.26*22.86)/1000000)</f>
        <v>5.3241570935999995E-2</v>
      </c>
      <c r="I55" s="137">
        <v>27</v>
      </c>
      <c r="J55" s="137">
        <f t="shared" si="0"/>
        <v>1.44</v>
      </c>
      <c r="K55" s="137">
        <f t="shared" si="1"/>
        <v>1002</v>
      </c>
      <c r="L55" s="137">
        <f t="shared" si="2"/>
        <v>28</v>
      </c>
      <c r="M55" s="137">
        <f t="shared" si="3"/>
        <v>1.49</v>
      </c>
      <c r="N55" s="137">
        <v>316.70999999999998</v>
      </c>
      <c r="O55" s="137">
        <v>343.17</v>
      </c>
      <c r="P55" s="137">
        <v>0.25</v>
      </c>
      <c r="Q55" s="149"/>
      <c r="R55" s="146">
        <v>972</v>
      </c>
      <c r="S55" s="147">
        <f t="shared" si="4"/>
        <v>6318</v>
      </c>
      <c r="T55" s="148">
        <f t="shared" si="5"/>
        <v>1.4375224152719999</v>
      </c>
      <c r="U55" s="149" t="s">
        <v>246</v>
      </c>
      <c r="V55" s="149">
        <v>48.26</v>
      </c>
      <c r="W55" s="149" t="s">
        <v>123</v>
      </c>
      <c r="X55" s="149">
        <v>48.26</v>
      </c>
      <c r="Y55" s="149" t="s">
        <v>123</v>
      </c>
      <c r="Z55" s="149">
        <v>22.86</v>
      </c>
      <c r="AA55" s="149" t="s">
        <v>124</v>
      </c>
      <c r="AB55" s="149"/>
      <c r="AC55" s="149" t="str">
        <f t="shared" si="7"/>
        <v>MEN'S LUXE COMFORT 3-PACK BOXER BRIEF 60% POLYESTER 33% RAYON 7% SPANDEX</v>
      </c>
      <c r="AD55" s="149" t="s">
        <v>243</v>
      </c>
      <c r="AE55" s="149" t="s">
        <v>244</v>
      </c>
      <c r="AF55" s="149">
        <v>3</v>
      </c>
    </row>
    <row r="56" spans="1:32">
      <c r="A56" s="137" t="s">
        <v>194</v>
      </c>
      <c r="B56" s="137" t="s">
        <v>207</v>
      </c>
      <c r="C56" s="137" t="s">
        <v>205</v>
      </c>
      <c r="D56" s="137">
        <v>24001722</v>
      </c>
      <c r="E56" s="137">
        <v>6.5</v>
      </c>
      <c r="F56" s="137">
        <v>2127</v>
      </c>
      <c r="G56" s="137" t="s">
        <v>105</v>
      </c>
      <c r="H56" s="156">
        <f>((48.26*48.26*22.86)/1000000)</f>
        <v>5.3241570935999995E-2</v>
      </c>
      <c r="I56" s="137">
        <v>60</v>
      </c>
      <c r="J56" s="137">
        <f t="shared" si="0"/>
        <v>3.19</v>
      </c>
      <c r="K56" s="137">
        <f t="shared" si="1"/>
        <v>2191</v>
      </c>
      <c r="L56" s="137">
        <f t="shared" si="2"/>
        <v>61</v>
      </c>
      <c r="M56" s="137">
        <f t="shared" si="3"/>
        <v>3.25</v>
      </c>
      <c r="N56" s="137">
        <v>736.28</v>
      </c>
      <c r="O56" s="137">
        <v>795.08</v>
      </c>
      <c r="P56" s="137">
        <v>0.26</v>
      </c>
      <c r="Q56" s="149"/>
      <c r="R56" s="146">
        <v>2124</v>
      </c>
      <c r="S56" s="147">
        <f t="shared" si="4"/>
        <v>13825.5</v>
      </c>
      <c r="T56" s="148">
        <f t="shared" si="5"/>
        <v>3.1944942561599996</v>
      </c>
      <c r="U56" s="149" t="s">
        <v>246</v>
      </c>
      <c r="V56" s="149">
        <v>48.26</v>
      </c>
      <c r="W56" s="149" t="s">
        <v>123</v>
      </c>
      <c r="X56" s="149">
        <v>48.26</v>
      </c>
      <c r="Y56" s="149" t="s">
        <v>123</v>
      </c>
      <c r="Z56" s="149">
        <v>22.86</v>
      </c>
      <c r="AA56" s="149" t="s">
        <v>124</v>
      </c>
      <c r="AB56" s="149"/>
      <c r="AC56" s="149" t="str">
        <f t="shared" si="7"/>
        <v>MEN'S LUXE COMFORT 3-PACK BOXER BRIEF 60% POLYESTER 33% RAYON 7% SPANDEX</v>
      </c>
      <c r="AD56" s="149" t="s">
        <v>243</v>
      </c>
      <c r="AE56" s="149" t="s">
        <v>244</v>
      </c>
      <c r="AF56" s="149">
        <v>3</v>
      </c>
    </row>
    <row r="57" spans="1:32">
      <c r="A57" s="137" t="s">
        <v>194</v>
      </c>
      <c r="B57" s="137" t="s">
        <v>208</v>
      </c>
      <c r="C57" s="137" t="s">
        <v>205</v>
      </c>
      <c r="D57" s="137">
        <v>24001722</v>
      </c>
      <c r="E57" s="137">
        <v>6.5</v>
      </c>
      <c r="F57" s="137">
        <v>2144</v>
      </c>
      <c r="G57" s="137" t="s">
        <v>105</v>
      </c>
      <c r="H57" s="156">
        <f>((48.26*48.26*26.67)/1000000)</f>
        <v>6.2115166091999997E-2</v>
      </c>
      <c r="I57" s="137">
        <v>60</v>
      </c>
      <c r="J57" s="137">
        <f t="shared" si="0"/>
        <v>3.73</v>
      </c>
      <c r="K57" s="137">
        <f t="shared" si="1"/>
        <v>2209</v>
      </c>
      <c r="L57" s="137">
        <f t="shared" si="2"/>
        <v>62</v>
      </c>
      <c r="M57" s="137">
        <f t="shared" si="3"/>
        <v>3.85</v>
      </c>
      <c r="N57" s="137">
        <v>788.51</v>
      </c>
      <c r="O57" s="137">
        <v>854.51</v>
      </c>
      <c r="P57" s="137">
        <v>0.27</v>
      </c>
      <c r="Q57" s="149"/>
      <c r="R57" s="146">
        <v>2124</v>
      </c>
      <c r="S57" s="147">
        <f t="shared" si="4"/>
        <v>13936</v>
      </c>
      <c r="T57" s="148">
        <f t="shared" si="5"/>
        <v>3.72690996552</v>
      </c>
      <c r="U57" s="149" t="s">
        <v>246</v>
      </c>
      <c r="V57" s="149">
        <v>48.26</v>
      </c>
      <c r="W57" s="149" t="s">
        <v>123</v>
      </c>
      <c r="X57" s="149">
        <v>48.26</v>
      </c>
      <c r="Y57" s="149" t="s">
        <v>123</v>
      </c>
      <c r="Z57" s="149">
        <v>26.67</v>
      </c>
      <c r="AA57" s="149" t="s">
        <v>124</v>
      </c>
      <c r="AB57" s="149"/>
      <c r="AC57" s="149" t="str">
        <f t="shared" si="7"/>
        <v>MEN'S LUXE COMFORT 3-PACK BOXER BRIEF 60% POLYESTER 33% RAYON 7% SPANDEX</v>
      </c>
      <c r="AD57" s="149" t="s">
        <v>243</v>
      </c>
      <c r="AE57" s="149" t="s">
        <v>244</v>
      </c>
      <c r="AF57" s="149">
        <v>3</v>
      </c>
    </row>
    <row r="58" spans="1:32">
      <c r="A58" s="137" t="s">
        <v>194</v>
      </c>
      <c r="B58" s="137" t="s">
        <v>209</v>
      </c>
      <c r="C58" s="137" t="s">
        <v>205</v>
      </c>
      <c r="D58" s="137">
        <v>24001722</v>
      </c>
      <c r="E58" s="137">
        <v>6.5</v>
      </c>
      <c r="F58" s="137">
        <v>1093</v>
      </c>
      <c r="G58" s="137" t="s">
        <v>105</v>
      </c>
      <c r="H58" s="156">
        <f>((48.26*48.26*26.67)/1000000)</f>
        <v>6.2115166091999997E-2</v>
      </c>
      <c r="I58" s="137">
        <v>31</v>
      </c>
      <c r="J58" s="137">
        <f t="shared" si="0"/>
        <v>1.93</v>
      </c>
      <c r="K58" s="137">
        <f t="shared" si="1"/>
        <v>1126</v>
      </c>
      <c r="L58" s="137">
        <f t="shared" si="2"/>
        <v>32</v>
      </c>
      <c r="M58" s="137">
        <f t="shared" si="3"/>
        <v>1.99</v>
      </c>
      <c r="N58" s="137">
        <v>425.66</v>
      </c>
      <c r="O58" s="137">
        <v>459.76</v>
      </c>
      <c r="P58" s="137">
        <v>0.28999999999999998</v>
      </c>
      <c r="Q58" s="149"/>
      <c r="R58" s="146">
        <v>1080</v>
      </c>
      <c r="S58" s="147">
        <f t="shared" si="4"/>
        <v>7104.5</v>
      </c>
      <c r="T58" s="148">
        <f t="shared" si="5"/>
        <v>1.9255701488519998</v>
      </c>
      <c r="U58" s="149" t="s">
        <v>246</v>
      </c>
      <c r="V58" s="149">
        <v>48.26</v>
      </c>
      <c r="W58" s="149" t="s">
        <v>123</v>
      </c>
      <c r="X58" s="149">
        <v>48.26</v>
      </c>
      <c r="Y58" s="149" t="s">
        <v>123</v>
      </c>
      <c r="Z58" s="149">
        <v>26.67</v>
      </c>
      <c r="AA58" s="149" t="s">
        <v>124</v>
      </c>
      <c r="AB58" s="149"/>
      <c r="AC58" s="149" t="str">
        <f t="shared" si="7"/>
        <v>MEN'S LUXE COMFORT 3-PACK BOXER BRIEF 60% POLYESTER 33% RAYON 7% SPANDEX</v>
      </c>
      <c r="AD58" s="149" t="s">
        <v>243</v>
      </c>
      <c r="AE58" s="149" t="s">
        <v>244</v>
      </c>
      <c r="AF58" s="149">
        <v>3</v>
      </c>
    </row>
    <row r="59" spans="1:32">
      <c r="A59" s="137" t="s">
        <v>194</v>
      </c>
      <c r="B59" s="137" t="s">
        <v>210</v>
      </c>
      <c r="C59" s="137" t="s">
        <v>205</v>
      </c>
      <c r="D59" s="137">
        <v>24001723</v>
      </c>
      <c r="E59" s="137">
        <v>7.18</v>
      </c>
      <c r="F59" s="137">
        <v>754</v>
      </c>
      <c r="G59" s="137" t="s">
        <v>105</v>
      </c>
      <c r="H59" s="156">
        <f>((48.26*48.26*26.67)/1000000)</f>
        <v>6.2115166091999997E-2</v>
      </c>
      <c r="I59" s="137">
        <v>21</v>
      </c>
      <c r="J59" s="137">
        <f t="shared" si="0"/>
        <v>1.3</v>
      </c>
      <c r="K59" s="137">
        <f t="shared" si="1"/>
        <v>777</v>
      </c>
      <c r="L59" s="137">
        <f t="shared" si="2"/>
        <v>22</v>
      </c>
      <c r="M59" s="137">
        <f t="shared" si="3"/>
        <v>1.37</v>
      </c>
      <c r="N59" s="137">
        <v>303.27</v>
      </c>
      <c r="O59" s="137">
        <v>326.37</v>
      </c>
      <c r="P59" s="137">
        <v>0.3</v>
      </c>
      <c r="Q59" s="149"/>
      <c r="R59" s="146">
        <v>720</v>
      </c>
      <c r="S59" s="147">
        <f t="shared" si="4"/>
        <v>5413.7199999999993</v>
      </c>
      <c r="T59" s="148">
        <f t="shared" si="5"/>
        <v>1.304418487932</v>
      </c>
      <c r="U59" s="149" t="s">
        <v>246</v>
      </c>
      <c r="V59" s="149">
        <v>48.26</v>
      </c>
      <c r="W59" s="149" t="s">
        <v>123</v>
      </c>
      <c r="X59" s="149">
        <v>48.26</v>
      </c>
      <c r="Y59" s="149" t="s">
        <v>123</v>
      </c>
      <c r="Z59" s="149">
        <v>26.67</v>
      </c>
      <c r="AA59" s="149" t="s">
        <v>124</v>
      </c>
      <c r="AB59" s="149"/>
      <c r="AC59" s="149" t="str">
        <f t="shared" si="7"/>
        <v>MEN'S LUXE COMFORT 3-PACK BOXER BRIEF 60% POLYESTER 33% RAYON 7% SPANDEX</v>
      </c>
      <c r="AD59" s="149" t="s">
        <v>243</v>
      </c>
      <c r="AE59" s="149" t="s">
        <v>244</v>
      </c>
      <c r="AF59" s="149">
        <v>3</v>
      </c>
    </row>
    <row r="60" spans="1:32">
      <c r="A60" s="132"/>
      <c r="B60" s="132"/>
      <c r="C60" s="132"/>
      <c r="D60" s="132"/>
      <c r="E60" s="132"/>
      <c r="F60" s="132"/>
      <c r="G60" s="132"/>
      <c r="H60" s="132"/>
      <c r="I60" s="132"/>
      <c r="J60" s="132"/>
      <c r="K60" s="132"/>
      <c r="L60" s="132"/>
      <c r="M60" s="132"/>
      <c r="N60" s="132"/>
      <c r="O60" s="132"/>
      <c r="P60" s="132"/>
      <c r="AC60" t="str">
        <f t="shared" si="7"/>
        <v xml:space="preserve"> </v>
      </c>
    </row>
    <row r="61" spans="1:32">
      <c r="A61" s="132"/>
      <c r="B61" s="132"/>
      <c r="C61" s="132"/>
      <c r="D61" s="132"/>
      <c r="E61" s="132"/>
      <c r="F61" s="133">
        <f t="shared" ref="F61:O61" si="8">SUM(F3:F59)</f>
        <v>77584</v>
      </c>
      <c r="G61" s="132"/>
      <c r="H61" s="132"/>
      <c r="I61" s="132">
        <f t="shared" si="8"/>
        <v>2180</v>
      </c>
      <c r="J61" s="132">
        <f t="shared" si="8"/>
        <v>123.39</v>
      </c>
      <c r="K61" s="132">
        <f t="shared" si="8"/>
        <v>79941</v>
      </c>
      <c r="L61" s="132">
        <f t="shared" si="8"/>
        <v>2248</v>
      </c>
      <c r="M61" s="132">
        <f t="shared" si="8"/>
        <v>127.25999999999999</v>
      </c>
      <c r="N61" s="132">
        <f t="shared" si="8"/>
        <v>23187.170000000006</v>
      </c>
      <c r="O61" s="132">
        <f t="shared" si="8"/>
        <v>25570.680000000004</v>
      </c>
      <c r="P61" s="132"/>
      <c r="R61">
        <f>SUM(R3:R59)</f>
        <v>77161</v>
      </c>
      <c r="S61" s="187">
        <f>SUM(S3:S59)</f>
        <v>463424.7</v>
      </c>
      <c r="T61" s="188">
        <f>SUM(T3:T59)</f>
        <v>123.36305501533199</v>
      </c>
      <c r="AC61" t="str">
        <f t="shared" si="7"/>
        <v xml:space="preserve"> </v>
      </c>
    </row>
    <row r="62" spans="1:32">
      <c r="AC62" t="str">
        <f t="shared" si="7"/>
        <v xml:space="preserve"> </v>
      </c>
    </row>
    <row r="63" spans="1:32">
      <c r="A63" s="124" t="s">
        <v>211</v>
      </c>
      <c r="AC63" t="str">
        <f t="shared" si="7"/>
        <v xml:space="preserve"> </v>
      </c>
    </row>
    <row r="64" spans="1:32">
      <c r="A64" t="s">
        <v>212</v>
      </c>
      <c r="AC64" t="str">
        <f t="shared" si="7"/>
        <v xml:space="preserve"> </v>
      </c>
    </row>
    <row r="65" spans="1:29">
      <c r="A65" s="124" t="s">
        <v>213</v>
      </c>
      <c r="AC65" t="str">
        <f t="shared" si="7"/>
        <v xml:space="preserve"> </v>
      </c>
    </row>
    <row r="66" spans="1:29">
      <c r="A66" t="s">
        <v>214</v>
      </c>
      <c r="AC66" t="str">
        <f t="shared" si="7"/>
        <v xml:space="preserve"> </v>
      </c>
    </row>
    <row r="67" spans="1:29">
      <c r="A67" s="124" t="s">
        <v>215</v>
      </c>
      <c r="AC67" t="str">
        <f t="shared" ref="AC67:AC98" si="9">AE67&amp;" "&amp;AD67</f>
        <v xml:space="preserve"> </v>
      </c>
    </row>
    <row r="68" spans="1:29">
      <c r="A68" t="s">
        <v>216</v>
      </c>
      <c r="AC68" t="str">
        <f t="shared" si="9"/>
        <v xml:space="preserve"> </v>
      </c>
    </row>
    <row r="69" spans="1:29">
      <c r="A69" s="124" t="s">
        <v>130</v>
      </c>
      <c r="AC69" t="str">
        <f t="shared" si="9"/>
        <v xml:space="preserve"> </v>
      </c>
    </row>
    <row r="70" spans="1:29">
      <c r="A70" t="s">
        <v>217</v>
      </c>
      <c r="AC70" t="str">
        <f t="shared" si="9"/>
        <v xml:space="preserve"> </v>
      </c>
    </row>
    <row r="71" spans="1:29">
      <c r="A71" s="124" t="s">
        <v>218</v>
      </c>
      <c r="AC71" t="str">
        <f t="shared" si="9"/>
        <v xml:space="preserve"> </v>
      </c>
    </row>
    <row r="72" spans="1:29">
      <c r="A72" t="s">
        <v>219</v>
      </c>
      <c r="AC72" t="str">
        <f t="shared" si="9"/>
        <v xml:space="preserve"> </v>
      </c>
    </row>
    <row r="73" spans="1:29">
      <c r="A73" s="124" t="s">
        <v>126</v>
      </c>
      <c r="AC73" t="str">
        <f t="shared" si="9"/>
        <v xml:space="preserve"> </v>
      </c>
    </row>
    <row r="74" spans="1:29">
      <c r="A74" t="s">
        <v>220</v>
      </c>
      <c r="AC74" t="str">
        <f t="shared" si="9"/>
        <v xml:space="preserve"> </v>
      </c>
    </row>
    <row r="75" spans="1:29">
      <c r="A75" s="124" t="s">
        <v>221</v>
      </c>
      <c r="AC75" t="str">
        <f t="shared" si="9"/>
        <v xml:space="preserve"> </v>
      </c>
    </row>
    <row r="76" spans="1:29">
      <c r="A76" t="s">
        <v>222</v>
      </c>
      <c r="AC76" t="str">
        <f t="shared" si="9"/>
        <v xml:space="preserve"> </v>
      </c>
    </row>
    <row r="77" spans="1:29">
      <c r="AC77" t="str">
        <f t="shared" si="9"/>
        <v xml:space="preserve"> </v>
      </c>
    </row>
    <row r="78" spans="1:29">
      <c r="AC78" t="str">
        <f t="shared" si="9"/>
        <v xml:space="preserve"> </v>
      </c>
    </row>
    <row r="79" spans="1:29">
      <c r="A79" s="26" t="s">
        <v>131</v>
      </c>
      <c r="AC79" t="str">
        <f t="shared" si="9"/>
        <v xml:space="preserve"> </v>
      </c>
    </row>
    <row r="80" spans="1:29">
      <c r="A80" s="136">
        <v>61071100</v>
      </c>
      <c r="AC80" t="str">
        <f t="shared" si="9"/>
        <v xml:space="preserve"> </v>
      </c>
    </row>
    <row r="81" spans="1:29">
      <c r="A81" s="136">
        <v>61071200</v>
      </c>
      <c r="AC81" t="str">
        <f t="shared" si="9"/>
        <v xml:space="preserve"> </v>
      </c>
    </row>
    <row r="82" spans="1:29">
      <c r="A82" s="136">
        <v>61091010</v>
      </c>
      <c r="AC82" t="str">
        <f t="shared" si="9"/>
        <v xml:space="preserve"> </v>
      </c>
    </row>
  </sheetData>
  <mergeCells count="1">
    <mergeCell ref="K1:M1"/>
  </mergeCell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7EB0E6"/>
  </sheetPr>
  <dimension ref="A1:N108"/>
  <sheetViews>
    <sheetView tabSelected="1" zoomScaleNormal="100" workbookViewId="0">
      <selection sqref="A1:XFD1048576"/>
    </sheetView>
  </sheetViews>
  <sheetFormatPr defaultRowHeight="15"/>
  <cols>
    <col min="1" max="1" width="26" bestFit="1" customWidth="1"/>
    <col min="2" max="2" width="11" bestFit="1" customWidth="1"/>
    <col min="3" max="3" width="9.140625" bestFit="1" customWidth="1"/>
    <col min="4" max="4" width="57.7109375" bestFit="1" customWidth="1"/>
    <col min="5" max="5" width="36.7109375" bestFit="1" customWidth="1"/>
    <col min="6" max="6" width="73.7109375" bestFit="1" customWidth="1"/>
    <col min="7" max="7" width="9" bestFit="1" customWidth="1"/>
    <col min="8" max="8" width="22" bestFit="1" customWidth="1"/>
    <col min="9" max="9" width="9.7109375" bestFit="1" customWidth="1"/>
    <col min="10" max="10" width="9.85546875" bestFit="1" customWidth="1"/>
    <col min="11" max="11" width="15.28515625" bestFit="1" customWidth="1"/>
    <col min="12" max="12" width="16.28515625" bestFit="1" customWidth="1"/>
    <col min="14" max="14" width="15.7109375" bestFit="1" customWidth="1"/>
  </cols>
  <sheetData>
    <row r="1" spans="1:14" ht="15.75" thickBot="1">
      <c r="A1" s="27"/>
      <c r="B1" s="28"/>
      <c r="C1" s="28"/>
      <c r="D1" s="29"/>
      <c r="E1" s="29"/>
      <c r="F1" s="169" t="s">
        <v>44</v>
      </c>
      <c r="G1" s="169"/>
      <c r="H1" s="169"/>
      <c r="I1" s="169"/>
      <c r="J1" s="169"/>
      <c r="K1" s="28"/>
      <c r="L1" s="28"/>
      <c r="M1" s="28"/>
      <c r="N1" s="30"/>
    </row>
    <row r="2" spans="1:14">
      <c r="A2" s="31"/>
      <c r="B2" s="143"/>
      <c r="C2" s="143"/>
      <c r="D2" s="33"/>
      <c r="E2" s="33"/>
      <c r="F2" s="169"/>
      <c r="G2" s="169"/>
      <c r="H2" s="169"/>
      <c r="I2" s="169"/>
      <c r="J2" s="169"/>
      <c r="K2" s="143"/>
      <c r="L2" s="143"/>
      <c r="M2" s="143"/>
      <c r="N2" s="144"/>
    </row>
    <row r="3" spans="1:14" ht="50.25">
      <c r="A3" s="145" t="s">
        <v>45</v>
      </c>
      <c r="B3" s="36"/>
      <c r="C3" s="36"/>
      <c r="D3" s="36"/>
      <c r="E3" s="36"/>
      <c r="F3" s="36"/>
      <c r="G3" s="37"/>
      <c r="H3" s="38" t="s">
        <v>46</v>
      </c>
      <c r="I3" s="39"/>
      <c r="J3" s="40"/>
      <c r="K3" s="41"/>
      <c r="L3" s="42" t="s">
        <v>47</v>
      </c>
      <c r="M3" s="40"/>
      <c r="N3" s="43"/>
    </row>
    <row r="4" spans="1:14">
      <c r="A4" s="44" t="s">
        <v>48</v>
      </c>
      <c r="B4" s="45"/>
      <c r="C4" s="45"/>
      <c r="D4" s="45"/>
      <c r="E4" s="45"/>
      <c r="F4" s="45"/>
      <c r="G4" s="46"/>
      <c r="H4" s="47" t="s">
        <v>136</v>
      </c>
      <c r="I4" s="48"/>
      <c r="J4" s="49"/>
      <c r="K4" s="50"/>
      <c r="L4" s="49"/>
      <c r="M4" s="49"/>
      <c r="N4" s="51"/>
    </row>
    <row r="5" spans="1:14">
      <c r="A5" s="44" t="s">
        <v>50</v>
      </c>
      <c r="B5" s="45"/>
      <c r="C5" s="45"/>
      <c r="D5" s="45"/>
      <c r="E5" s="45"/>
      <c r="F5" s="45"/>
      <c r="G5" s="46"/>
      <c r="H5" s="52">
        <v>45574</v>
      </c>
      <c r="I5" s="53"/>
      <c r="J5" s="143"/>
      <c r="K5" s="54"/>
      <c r="L5" s="143"/>
      <c r="M5" s="143"/>
      <c r="N5" s="144"/>
    </row>
    <row r="6" spans="1:14">
      <c r="A6" s="44" t="s">
        <v>51</v>
      </c>
      <c r="B6" s="45"/>
      <c r="C6" s="45"/>
      <c r="D6" s="45"/>
      <c r="E6" s="45"/>
      <c r="F6" s="45"/>
      <c r="G6" s="46"/>
      <c r="H6" s="55" t="s">
        <v>52</v>
      </c>
      <c r="I6" s="39"/>
      <c r="J6" s="40"/>
      <c r="K6" s="41"/>
      <c r="L6" s="56" t="s">
        <v>53</v>
      </c>
      <c r="M6" s="40"/>
      <c r="N6" s="43"/>
    </row>
    <row r="7" spans="1:14">
      <c r="A7" s="44" t="s">
        <v>54</v>
      </c>
      <c r="B7" s="45"/>
      <c r="C7" s="45"/>
      <c r="D7" s="45"/>
      <c r="E7" s="45"/>
      <c r="F7" s="45"/>
      <c r="G7" s="46"/>
      <c r="H7" s="47" t="s">
        <v>42</v>
      </c>
      <c r="I7" s="57"/>
      <c r="J7" s="49"/>
      <c r="K7" s="50"/>
      <c r="L7" s="49" t="s">
        <v>55</v>
      </c>
      <c r="M7" s="49"/>
      <c r="N7" s="51"/>
    </row>
    <row r="8" spans="1:14">
      <c r="A8" s="141"/>
      <c r="B8" s="142"/>
      <c r="C8" s="142"/>
      <c r="D8" s="142"/>
      <c r="E8" s="142"/>
      <c r="F8" s="142"/>
      <c r="G8" s="60"/>
      <c r="H8" s="61"/>
      <c r="I8" s="57"/>
      <c r="J8" s="49"/>
      <c r="K8" s="50"/>
      <c r="L8" s="49"/>
      <c r="M8" s="49"/>
      <c r="N8" s="51"/>
    </row>
    <row r="9" spans="1:14" ht="60" customHeight="1">
      <c r="A9" s="167" t="s">
        <v>56</v>
      </c>
      <c r="B9" s="167"/>
      <c r="C9" s="167"/>
      <c r="D9" s="167"/>
      <c r="E9" s="167"/>
      <c r="F9" s="167"/>
      <c r="G9" s="167"/>
      <c r="H9" s="168" t="s">
        <v>57</v>
      </c>
      <c r="I9" s="168"/>
      <c r="J9" s="168"/>
      <c r="K9" s="168"/>
      <c r="L9" s="168"/>
      <c r="M9" s="168"/>
      <c r="N9" s="168"/>
    </row>
    <row r="10" spans="1:14">
      <c r="A10" s="167" t="s">
        <v>58</v>
      </c>
      <c r="B10" s="167"/>
      <c r="C10" s="167"/>
      <c r="D10" s="167"/>
      <c r="E10" s="167"/>
      <c r="F10" s="167"/>
      <c r="G10" s="167"/>
      <c r="H10" s="62" t="s">
        <v>59</v>
      </c>
      <c r="I10" s="39"/>
      <c r="J10" s="40"/>
      <c r="K10" s="49"/>
      <c r="L10" s="63" t="s">
        <v>60</v>
      </c>
      <c r="M10" s="49"/>
      <c r="N10" s="51"/>
    </row>
    <row r="11" spans="1:14">
      <c r="A11" s="167"/>
      <c r="B11" s="167"/>
      <c r="C11" s="167"/>
      <c r="D11" s="167"/>
      <c r="E11" s="167"/>
      <c r="F11" s="167"/>
      <c r="G11" s="167"/>
      <c r="H11" s="61" t="s">
        <v>40</v>
      </c>
      <c r="I11" s="33"/>
      <c r="J11" s="143"/>
      <c r="K11" s="49"/>
      <c r="L11" s="64" t="s">
        <v>61</v>
      </c>
      <c r="M11" s="143"/>
      <c r="N11" s="144"/>
    </row>
    <row r="12" spans="1:14" ht="25.5">
      <c r="A12" s="167"/>
      <c r="B12" s="167"/>
      <c r="C12" s="167"/>
      <c r="D12" s="167"/>
      <c r="E12" s="167"/>
      <c r="F12" s="167"/>
      <c r="G12" s="167"/>
      <c r="H12" s="170" t="s">
        <v>62</v>
      </c>
      <c r="I12" s="170"/>
      <c r="J12" s="170"/>
      <c r="K12" s="170"/>
      <c r="L12" s="65"/>
      <c r="M12" s="40"/>
      <c r="N12" s="43"/>
    </row>
    <row r="13" spans="1:14">
      <c r="A13" s="167"/>
      <c r="B13" s="167"/>
      <c r="C13" s="167"/>
      <c r="D13" s="167"/>
      <c r="E13" s="167"/>
      <c r="F13" s="167"/>
      <c r="G13" s="167"/>
      <c r="H13" s="170"/>
      <c r="I13" s="170"/>
      <c r="J13" s="170"/>
      <c r="K13" s="170"/>
      <c r="L13" s="49"/>
      <c r="M13" s="49"/>
      <c r="N13" s="51"/>
    </row>
    <row r="14" spans="1:14">
      <c r="A14" s="167" t="s">
        <v>63</v>
      </c>
      <c r="B14" s="167"/>
      <c r="C14" s="167"/>
      <c r="D14" s="167"/>
      <c r="E14" s="167"/>
      <c r="F14" s="167"/>
      <c r="G14" s="167"/>
      <c r="H14" s="168" t="s">
        <v>64</v>
      </c>
      <c r="I14" s="168"/>
      <c r="J14" s="168"/>
      <c r="K14" s="168"/>
      <c r="L14" s="168"/>
      <c r="M14" s="168"/>
      <c r="N14" s="168"/>
    </row>
    <row r="15" spans="1:14">
      <c r="A15" s="167" t="s">
        <v>65</v>
      </c>
      <c r="B15" s="167"/>
      <c r="C15" s="167"/>
      <c r="D15" s="167"/>
      <c r="E15" s="167"/>
      <c r="F15" s="167"/>
      <c r="G15" s="167"/>
      <c r="H15" s="168" t="s">
        <v>66</v>
      </c>
      <c r="I15" s="168"/>
      <c r="J15" s="168"/>
      <c r="K15" s="168"/>
      <c r="L15" s="168"/>
      <c r="M15" s="168"/>
      <c r="N15" s="168"/>
    </row>
    <row r="16" spans="1:14">
      <c r="A16" s="167" t="s">
        <v>67</v>
      </c>
      <c r="B16" s="167"/>
      <c r="C16" s="167"/>
      <c r="D16" s="167"/>
      <c r="E16" s="167"/>
      <c r="F16" s="167"/>
      <c r="G16" s="167"/>
      <c r="H16" s="38" t="s">
        <v>68</v>
      </c>
      <c r="I16" s="39"/>
      <c r="J16" s="40"/>
      <c r="K16" s="40"/>
      <c r="L16" s="40"/>
      <c r="M16" s="40"/>
      <c r="N16" s="43"/>
    </row>
    <row r="17" spans="1:14">
      <c r="A17" s="167"/>
      <c r="B17" s="167"/>
      <c r="C17" s="167"/>
      <c r="D17" s="167"/>
      <c r="E17" s="167"/>
      <c r="F17" s="167"/>
      <c r="G17" s="167"/>
      <c r="H17" s="47" t="s">
        <v>247</v>
      </c>
      <c r="I17" s="57"/>
      <c r="J17" s="49"/>
      <c r="K17" s="57" t="s">
        <v>70</v>
      </c>
      <c r="L17" s="49"/>
      <c r="M17" s="49"/>
      <c r="N17" s="51"/>
    </row>
    <row r="18" spans="1:14">
      <c r="A18" s="167"/>
      <c r="B18" s="167"/>
      <c r="C18" s="167"/>
      <c r="D18" s="167"/>
      <c r="E18" s="167"/>
      <c r="F18" s="167"/>
      <c r="G18" s="167"/>
      <c r="H18" s="66" t="s">
        <v>248</v>
      </c>
      <c r="I18" s="57"/>
      <c r="J18" s="49"/>
      <c r="K18" s="49" t="s">
        <v>72</v>
      </c>
      <c r="L18" s="49"/>
      <c r="M18" s="49"/>
      <c r="N18" s="51"/>
    </row>
    <row r="19" spans="1:14">
      <c r="A19" s="167"/>
      <c r="B19" s="167"/>
      <c r="C19" s="167"/>
      <c r="D19" s="167"/>
      <c r="E19" s="167"/>
      <c r="F19" s="167"/>
      <c r="G19" s="167"/>
      <c r="H19" s="47" t="s">
        <v>73</v>
      </c>
      <c r="I19" s="57"/>
      <c r="J19" s="49"/>
      <c r="K19" s="67" t="s">
        <v>74</v>
      </c>
      <c r="L19" s="49"/>
      <c r="M19" s="49"/>
      <c r="N19" s="51"/>
    </row>
    <row r="20" spans="1:14">
      <c r="A20" s="167"/>
      <c r="B20" s="167"/>
      <c r="C20" s="167"/>
      <c r="D20" s="167"/>
      <c r="E20" s="167"/>
      <c r="F20" s="167"/>
      <c r="G20" s="167"/>
      <c r="H20" s="47" t="s">
        <v>249</v>
      </c>
      <c r="I20" s="68"/>
      <c r="J20" s="49"/>
      <c r="K20" s="69" t="s">
        <v>250</v>
      </c>
      <c r="L20" s="49"/>
      <c r="M20" s="49"/>
      <c r="N20" s="51"/>
    </row>
    <row r="21" spans="1:14">
      <c r="A21" s="167"/>
      <c r="B21" s="167"/>
      <c r="C21" s="167"/>
      <c r="D21" s="167"/>
      <c r="E21" s="167"/>
      <c r="F21" s="167"/>
      <c r="G21" s="167"/>
      <c r="H21" s="61" t="s">
        <v>77</v>
      </c>
      <c r="I21" s="33"/>
      <c r="J21" s="143"/>
      <c r="K21" s="70" t="s">
        <v>251</v>
      </c>
      <c r="L21" s="143"/>
      <c r="M21" s="143"/>
      <c r="N21" s="144"/>
    </row>
    <row r="22" spans="1:14">
      <c r="A22" s="71" t="s">
        <v>79</v>
      </c>
      <c r="B22" s="40"/>
      <c r="C22" s="40"/>
      <c r="D22" s="39"/>
      <c r="E22" s="39"/>
      <c r="F22" s="39"/>
      <c r="G22" s="40"/>
      <c r="H22" s="39"/>
      <c r="I22" s="39"/>
      <c r="J22" s="40"/>
      <c r="K22" s="72"/>
      <c r="L22" s="40"/>
      <c r="M22" s="40"/>
      <c r="N22" s="43"/>
    </row>
    <row r="23" spans="1:14">
      <c r="A23" s="179"/>
      <c r="B23" s="179"/>
      <c r="C23" s="179"/>
      <c r="D23" s="179"/>
      <c r="E23" s="179"/>
      <c r="F23" s="179"/>
      <c r="G23" s="179"/>
      <c r="H23" s="179"/>
      <c r="I23" s="179"/>
      <c r="J23" s="179"/>
      <c r="K23" s="179"/>
      <c r="L23" s="179"/>
      <c r="M23" s="179"/>
      <c r="N23" s="179"/>
    </row>
    <row r="24" spans="1:14">
      <c r="A24" s="73"/>
      <c r="B24" s="49"/>
      <c r="C24" s="49"/>
      <c r="D24" s="57"/>
      <c r="E24" s="57"/>
      <c r="F24" s="57"/>
      <c r="G24" s="49"/>
      <c r="H24" s="57"/>
      <c r="I24" s="57"/>
      <c r="J24" s="49"/>
      <c r="K24" s="49"/>
      <c r="L24" s="49"/>
      <c r="M24" s="49"/>
      <c r="N24" s="51"/>
    </row>
    <row r="25" spans="1:14" ht="15.75" thickBot="1">
      <c r="A25" s="74"/>
      <c r="B25" s="75" t="s">
        <v>80</v>
      </c>
      <c r="C25" s="75" t="s">
        <v>81</v>
      </c>
      <c r="D25" s="75" t="s">
        <v>5</v>
      </c>
      <c r="E25" s="75" t="s">
        <v>6</v>
      </c>
      <c r="F25" s="75" t="s">
        <v>82</v>
      </c>
      <c r="G25" s="75" t="s">
        <v>83</v>
      </c>
      <c r="H25" s="76" t="s">
        <v>84</v>
      </c>
      <c r="I25" s="76" t="s">
        <v>85</v>
      </c>
      <c r="J25" s="76" t="s">
        <v>86</v>
      </c>
      <c r="K25" s="76" t="s">
        <v>87</v>
      </c>
      <c r="L25" s="49"/>
      <c r="M25" s="49"/>
      <c r="N25" s="51"/>
    </row>
    <row r="26" spans="1:14">
      <c r="A26" s="180" t="s">
        <v>88</v>
      </c>
      <c r="B26" s="180"/>
      <c r="C26" s="180"/>
      <c r="D26" s="180"/>
      <c r="E26" s="180"/>
      <c r="F26" s="180"/>
      <c r="G26" s="180"/>
      <c r="H26" s="180"/>
      <c r="I26" s="180"/>
      <c r="J26" s="180"/>
      <c r="K26" s="180"/>
      <c r="L26" s="49"/>
      <c r="M26" s="49"/>
      <c r="N26" s="51"/>
    </row>
    <row r="27" spans="1:14">
      <c r="A27" s="180"/>
      <c r="B27" s="180"/>
      <c r="C27" s="180"/>
      <c r="D27" s="180"/>
      <c r="E27" s="180"/>
      <c r="F27" s="180"/>
      <c r="G27" s="180"/>
      <c r="H27" s="180"/>
      <c r="I27" s="180"/>
      <c r="J27" s="180"/>
      <c r="K27" s="180"/>
      <c r="L27" s="49"/>
      <c r="M27" s="49"/>
      <c r="N27" s="51"/>
    </row>
    <row r="28" spans="1:14">
      <c r="A28" s="77"/>
      <c r="B28" s="78" t="s">
        <v>140</v>
      </c>
      <c r="C28" s="78" t="s">
        <v>139</v>
      </c>
      <c r="D28" s="78" t="s">
        <v>227</v>
      </c>
      <c r="E28" s="78" t="s">
        <v>101</v>
      </c>
      <c r="F28" s="78" t="s">
        <v>211</v>
      </c>
      <c r="G28" s="78">
        <v>61071100</v>
      </c>
      <c r="H28" s="79">
        <v>126</v>
      </c>
      <c r="I28" s="80">
        <v>4</v>
      </c>
      <c r="J28" s="81">
        <v>5.78</v>
      </c>
      <c r="K28" s="82">
        <f t="shared" ref="K28:K59" si="0">H28*J28</f>
        <v>728.28000000000009</v>
      </c>
      <c r="L28" s="49"/>
      <c r="M28" s="49"/>
      <c r="N28" s="51"/>
    </row>
    <row r="29" spans="1:14">
      <c r="A29" s="77"/>
      <c r="B29" s="78" t="s">
        <v>140</v>
      </c>
      <c r="C29" s="78" t="s">
        <v>141</v>
      </c>
      <c r="D29" s="78" t="s">
        <v>227</v>
      </c>
      <c r="E29" s="78" t="s">
        <v>102</v>
      </c>
      <c r="F29" s="78" t="s">
        <v>211</v>
      </c>
      <c r="G29" s="78">
        <v>61071100</v>
      </c>
      <c r="H29" s="79">
        <v>310</v>
      </c>
      <c r="I29" s="80">
        <v>9</v>
      </c>
      <c r="J29" s="81">
        <v>5.78</v>
      </c>
      <c r="K29" s="82">
        <f t="shared" si="0"/>
        <v>1791.8000000000002</v>
      </c>
      <c r="L29" s="49"/>
      <c r="M29" s="49"/>
      <c r="N29" s="51"/>
    </row>
    <row r="30" spans="1:14">
      <c r="A30" s="77"/>
      <c r="B30" s="78" t="s">
        <v>140</v>
      </c>
      <c r="C30" s="78" t="s">
        <v>142</v>
      </c>
      <c r="D30" s="78" t="s">
        <v>227</v>
      </c>
      <c r="E30" s="78" t="s">
        <v>22</v>
      </c>
      <c r="F30" s="78" t="s">
        <v>211</v>
      </c>
      <c r="G30" s="78">
        <v>61071100</v>
      </c>
      <c r="H30" s="79">
        <v>195</v>
      </c>
      <c r="I30" s="80">
        <v>6</v>
      </c>
      <c r="J30" s="81">
        <v>5.78</v>
      </c>
      <c r="K30" s="82">
        <f t="shared" si="0"/>
        <v>1127.1000000000001</v>
      </c>
      <c r="L30" s="49"/>
      <c r="M30" s="49"/>
      <c r="N30" s="51"/>
    </row>
    <row r="31" spans="1:14">
      <c r="A31" s="77"/>
      <c r="B31" s="78" t="s">
        <v>140</v>
      </c>
      <c r="C31" s="78" t="s">
        <v>143</v>
      </c>
      <c r="D31" s="78" t="s">
        <v>227</v>
      </c>
      <c r="E31" s="78" t="s">
        <v>103</v>
      </c>
      <c r="F31" s="78" t="s">
        <v>211</v>
      </c>
      <c r="G31" s="78">
        <v>61071100</v>
      </c>
      <c r="H31" s="79">
        <v>50</v>
      </c>
      <c r="I31" s="80">
        <v>2</v>
      </c>
      <c r="J31" s="81">
        <v>5.78</v>
      </c>
      <c r="K31" s="82">
        <f t="shared" si="0"/>
        <v>289</v>
      </c>
      <c r="L31" s="49"/>
      <c r="M31" s="49"/>
      <c r="N31" s="51"/>
    </row>
    <row r="32" spans="1:14">
      <c r="A32" s="77"/>
      <c r="B32" s="78" t="s">
        <v>140</v>
      </c>
      <c r="C32" s="78" t="s">
        <v>145</v>
      </c>
      <c r="D32" s="78" t="s">
        <v>230</v>
      </c>
      <c r="E32" s="78" t="s">
        <v>101</v>
      </c>
      <c r="F32" s="78" t="s">
        <v>213</v>
      </c>
      <c r="G32" s="78">
        <v>61091010</v>
      </c>
      <c r="H32" s="79">
        <v>360</v>
      </c>
      <c r="I32" s="80">
        <v>10</v>
      </c>
      <c r="J32" s="81">
        <v>7.44</v>
      </c>
      <c r="K32" s="82">
        <f t="shared" si="0"/>
        <v>2678.4</v>
      </c>
      <c r="L32" s="49"/>
      <c r="M32" s="49"/>
      <c r="N32" s="51"/>
    </row>
    <row r="33" spans="1:14">
      <c r="A33" s="77"/>
      <c r="B33" s="78" t="s">
        <v>140</v>
      </c>
      <c r="C33" s="78" t="s">
        <v>146</v>
      </c>
      <c r="D33" s="78" t="s">
        <v>230</v>
      </c>
      <c r="E33" s="78" t="s">
        <v>102</v>
      </c>
      <c r="F33" s="78" t="s">
        <v>213</v>
      </c>
      <c r="G33" s="78">
        <v>61091010</v>
      </c>
      <c r="H33" s="79">
        <v>612</v>
      </c>
      <c r="I33" s="80">
        <v>17</v>
      </c>
      <c r="J33" s="81">
        <v>7.44</v>
      </c>
      <c r="K33" s="82">
        <f t="shared" si="0"/>
        <v>4553.2800000000007</v>
      </c>
      <c r="L33" s="49"/>
      <c r="M33" s="49"/>
      <c r="N33" s="51"/>
    </row>
    <row r="34" spans="1:14">
      <c r="A34" s="77"/>
      <c r="B34" s="78" t="s">
        <v>140</v>
      </c>
      <c r="C34" s="78" t="s">
        <v>147</v>
      </c>
      <c r="D34" s="78" t="s">
        <v>230</v>
      </c>
      <c r="E34" s="78" t="s">
        <v>22</v>
      </c>
      <c r="F34" s="78" t="s">
        <v>213</v>
      </c>
      <c r="G34" s="78">
        <v>61091010</v>
      </c>
      <c r="H34" s="79">
        <v>468</v>
      </c>
      <c r="I34" s="80">
        <v>13</v>
      </c>
      <c r="J34" s="81">
        <v>7.44</v>
      </c>
      <c r="K34" s="82">
        <f t="shared" si="0"/>
        <v>3481.92</v>
      </c>
      <c r="L34" s="49"/>
      <c r="M34" s="49"/>
      <c r="N34" s="51"/>
    </row>
    <row r="35" spans="1:14">
      <c r="A35" s="77"/>
      <c r="B35" s="78" t="s">
        <v>140</v>
      </c>
      <c r="C35" s="78" t="s">
        <v>148</v>
      </c>
      <c r="D35" s="78" t="s">
        <v>230</v>
      </c>
      <c r="E35" s="78" t="s">
        <v>103</v>
      </c>
      <c r="F35" s="78" t="s">
        <v>213</v>
      </c>
      <c r="G35" s="78">
        <v>61091010</v>
      </c>
      <c r="H35" s="79">
        <v>468</v>
      </c>
      <c r="I35" s="80">
        <v>13</v>
      </c>
      <c r="J35" s="81">
        <v>7.44</v>
      </c>
      <c r="K35" s="82">
        <f t="shared" si="0"/>
        <v>3481.92</v>
      </c>
      <c r="L35" s="49"/>
      <c r="M35" s="49"/>
      <c r="N35" s="51"/>
    </row>
    <row r="36" spans="1:14">
      <c r="A36" s="77"/>
      <c r="B36" s="78" t="s">
        <v>140</v>
      </c>
      <c r="C36" s="78" t="s">
        <v>150</v>
      </c>
      <c r="D36" s="78" t="s">
        <v>230</v>
      </c>
      <c r="E36" s="78" t="s">
        <v>102</v>
      </c>
      <c r="F36" s="78" t="s">
        <v>215</v>
      </c>
      <c r="G36" s="78">
        <v>61091010</v>
      </c>
      <c r="H36" s="79">
        <v>334</v>
      </c>
      <c r="I36" s="80">
        <v>10</v>
      </c>
      <c r="J36" s="81">
        <v>6.41</v>
      </c>
      <c r="K36" s="82">
        <f t="shared" si="0"/>
        <v>2140.94</v>
      </c>
      <c r="L36" s="49"/>
      <c r="M36" s="49"/>
      <c r="N36" s="51"/>
    </row>
    <row r="37" spans="1:14">
      <c r="A37" s="77"/>
      <c r="B37" s="78" t="s">
        <v>140</v>
      </c>
      <c r="C37" s="78" t="s">
        <v>151</v>
      </c>
      <c r="D37" s="78" t="s">
        <v>230</v>
      </c>
      <c r="E37" s="78" t="s">
        <v>22</v>
      </c>
      <c r="F37" s="78" t="s">
        <v>215</v>
      </c>
      <c r="G37" s="78">
        <v>61091010</v>
      </c>
      <c r="H37" s="79">
        <v>475</v>
      </c>
      <c r="I37" s="80">
        <v>14</v>
      </c>
      <c r="J37" s="81">
        <v>6.41</v>
      </c>
      <c r="K37" s="82">
        <f t="shared" si="0"/>
        <v>3044.75</v>
      </c>
      <c r="L37" s="49"/>
      <c r="M37" s="49"/>
      <c r="N37" s="51"/>
    </row>
    <row r="38" spans="1:14">
      <c r="A38" s="77"/>
      <c r="B38" s="78" t="s">
        <v>140</v>
      </c>
      <c r="C38" s="78" t="s">
        <v>152</v>
      </c>
      <c r="D38" s="78" t="s">
        <v>230</v>
      </c>
      <c r="E38" s="78" t="s">
        <v>103</v>
      </c>
      <c r="F38" s="78" t="s">
        <v>215</v>
      </c>
      <c r="G38" s="78">
        <v>61091010</v>
      </c>
      <c r="H38" s="79">
        <v>497</v>
      </c>
      <c r="I38" s="80">
        <v>14</v>
      </c>
      <c r="J38" s="81">
        <v>6.41</v>
      </c>
      <c r="K38" s="82">
        <f t="shared" si="0"/>
        <v>3185.77</v>
      </c>
      <c r="L38" s="49"/>
      <c r="M38" s="49"/>
      <c r="N38" s="51"/>
    </row>
    <row r="39" spans="1:14">
      <c r="A39" s="77"/>
      <c r="B39" s="78" t="s">
        <v>129</v>
      </c>
      <c r="C39" s="78" t="s">
        <v>154</v>
      </c>
      <c r="D39" s="78" t="s">
        <v>234</v>
      </c>
      <c r="E39" s="78" t="s">
        <v>101</v>
      </c>
      <c r="F39" s="78" t="s">
        <v>130</v>
      </c>
      <c r="G39" s="78">
        <v>61071200</v>
      </c>
      <c r="H39" s="79">
        <v>570</v>
      </c>
      <c r="I39" s="80">
        <v>16</v>
      </c>
      <c r="J39" s="81">
        <v>5.71</v>
      </c>
      <c r="K39" s="82">
        <f t="shared" si="0"/>
        <v>3254.7</v>
      </c>
      <c r="L39" s="49"/>
      <c r="M39" s="49"/>
      <c r="N39" s="51"/>
    </row>
    <row r="40" spans="1:14">
      <c r="A40" s="77"/>
      <c r="B40" s="78" t="s">
        <v>129</v>
      </c>
      <c r="C40" s="78" t="s">
        <v>155</v>
      </c>
      <c r="D40" s="78" t="s">
        <v>234</v>
      </c>
      <c r="E40" s="78" t="s">
        <v>102</v>
      </c>
      <c r="F40" s="78" t="s">
        <v>130</v>
      </c>
      <c r="G40" s="78">
        <v>61071200</v>
      </c>
      <c r="H40" s="79">
        <v>468</v>
      </c>
      <c r="I40" s="80">
        <v>13</v>
      </c>
      <c r="J40" s="81">
        <v>5.71</v>
      </c>
      <c r="K40" s="82">
        <f t="shared" si="0"/>
        <v>2672.28</v>
      </c>
      <c r="L40" s="49"/>
      <c r="M40" s="49"/>
      <c r="N40" s="51"/>
    </row>
    <row r="41" spans="1:14">
      <c r="A41" s="77"/>
      <c r="B41" s="78" t="s">
        <v>129</v>
      </c>
      <c r="C41" s="78" t="s">
        <v>156</v>
      </c>
      <c r="D41" s="78" t="s">
        <v>234</v>
      </c>
      <c r="E41" s="78" t="s">
        <v>22</v>
      </c>
      <c r="F41" s="78" t="s">
        <v>130</v>
      </c>
      <c r="G41" s="78">
        <v>61071200</v>
      </c>
      <c r="H41" s="79">
        <v>814</v>
      </c>
      <c r="I41" s="80">
        <v>23</v>
      </c>
      <c r="J41" s="81">
        <v>5.71</v>
      </c>
      <c r="K41" s="82">
        <f t="shared" si="0"/>
        <v>4647.9399999999996</v>
      </c>
      <c r="L41" s="49"/>
      <c r="M41" s="49"/>
      <c r="N41" s="51"/>
    </row>
    <row r="42" spans="1:14">
      <c r="A42" s="77"/>
      <c r="B42" s="78" t="s">
        <v>129</v>
      </c>
      <c r="C42" s="78" t="s">
        <v>157</v>
      </c>
      <c r="D42" s="78" t="s">
        <v>234</v>
      </c>
      <c r="E42" s="78" t="s">
        <v>103</v>
      </c>
      <c r="F42" s="78" t="s">
        <v>130</v>
      </c>
      <c r="G42" s="78">
        <v>61071200</v>
      </c>
      <c r="H42" s="79">
        <v>350</v>
      </c>
      <c r="I42" s="80">
        <v>10</v>
      </c>
      <c r="J42" s="81">
        <v>5.71</v>
      </c>
      <c r="K42" s="82">
        <f t="shared" si="0"/>
        <v>1998.5</v>
      </c>
      <c r="L42" s="49"/>
      <c r="M42" s="49"/>
      <c r="N42" s="51"/>
    </row>
    <row r="43" spans="1:14">
      <c r="A43" s="77"/>
      <c r="B43" s="78" t="s">
        <v>160</v>
      </c>
      <c r="C43" s="78" t="s">
        <v>159</v>
      </c>
      <c r="D43" s="78" t="s">
        <v>235</v>
      </c>
      <c r="E43" s="78" t="s">
        <v>101</v>
      </c>
      <c r="F43" s="78" t="s">
        <v>218</v>
      </c>
      <c r="G43" s="78">
        <v>61071200</v>
      </c>
      <c r="H43" s="79">
        <v>1352</v>
      </c>
      <c r="I43" s="80">
        <v>38</v>
      </c>
      <c r="J43" s="81">
        <v>6.25</v>
      </c>
      <c r="K43" s="82">
        <f t="shared" si="0"/>
        <v>8450</v>
      </c>
      <c r="L43" s="49"/>
      <c r="M43" s="49"/>
      <c r="N43" s="51"/>
    </row>
    <row r="44" spans="1:14">
      <c r="A44" s="77"/>
      <c r="B44" s="78" t="s">
        <v>160</v>
      </c>
      <c r="C44" s="78" t="s">
        <v>161</v>
      </c>
      <c r="D44" s="78" t="s">
        <v>235</v>
      </c>
      <c r="E44" s="78" t="s">
        <v>102</v>
      </c>
      <c r="F44" s="78" t="s">
        <v>218</v>
      </c>
      <c r="G44" s="78">
        <v>61071200</v>
      </c>
      <c r="H44" s="79">
        <v>2729</v>
      </c>
      <c r="I44" s="80">
        <v>76</v>
      </c>
      <c r="J44" s="81">
        <v>6.25</v>
      </c>
      <c r="K44" s="82">
        <f t="shared" si="0"/>
        <v>17056.25</v>
      </c>
      <c r="L44" s="49"/>
      <c r="M44" s="49"/>
      <c r="N44" s="51"/>
    </row>
    <row r="45" spans="1:14">
      <c r="A45" s="77"/>
      <c r="B45" s="78" t="s">
        <v>160</v>
      </c>
      <c r="C45" s="78" t="s">
        <v>162</v>
      </c>
      <c r="D45" s="78" t="s">
        <v>235</v>
      </c>
      <c r="E45" s="78" t="s">
        <v>22</v>
      </c>
      <c r="F45" s="78" t="s">
        <v>218</v>
      </c>
      <c r="G45" s="78">
        <v>61071200</v>
      </c>
      <c r="H45" s="79">
        <v>3104</v>
      </c>
      <c r="I45" s="80">
        <v>87</v>
      </c>
      <c r="J45" s="81">
        <v>6.25</v>
      </c>
      <c r="K45" s="82">
        <f t="shared" si="0"/>
        <v>19400</v>
      </c>
      <c r="L45" s="49"/>
      <c r="M45" s="49"/>
      <c r="N45" s="51"/>
    </row>
    <row r="46" spans="1:14">
      <c r="A46" s="77"/>
      <c r="B46" s="78" t="s">
        <v>160</v>
      </c>
      <c r="C46" s="78" t="s">
        <v>163</v>
      </c>
      <c r="D46" s="78" t="s">
        <v>235</v>
      </c>
      <c r="E46" s="78" t="s">
        <v>103</v>
      </c>
      <c r="F46" s="78" t="s">
        <v>218</v>
      </c>
      <c r="G46" s="78">
        <v>61071200</v>
      </c>
      <c r="H46" s="79">
        <v>1529</v>
      </c>
      <c r="I46" s="80">
        <v>43</v>
      </c>
      <c r="J46" s="81">
        <v>6.25</v>
      </c>
      <c r="K46" s="82">
        <f t="shared" si="0"/>
        <v>9556.25</v>
      </c>
      <c r="L46" s="49"/>
      <c r="M46" s="49"/>
      <c r="N46" s="51"/>
    </row>
    <row r="47" spans="1:14">
      <c r="A47" s="77"/>
      <c r="B47" s="78" t="s">
        <v>160</v>
      </c>
      <c r="C47" s="78" t="s">
        <v>164</v>
      </c>
      <c r="D47" s="78" t="s">
        <v>235</v>
      </c>
      <c r="E47" s="78" t="s">
        <v>137</v>
      </c>
      <c r="F47" s="78" t="s">
        <v>218</v>
      </c>
      <c r="G47" s="78">
        <v>61071200</v>
      </c>
      <c r="H47" s="79">
        <v>1442</v>
      </c>
      <c r="I47" s="80">
        <v>41</v>
      </c>
      <c r="J47" s="81">
        <v>6.72</v>
      </c>
      <c r="K47" s="82">
        <f t="shared" si="0"/>
        <v>9690.24</v>
      </c>
      <c r="L47" s="49"/>
      <c r="M47" s="49"/>
      <c r="N47" s="51"/>
    </row>
    <row r="48" spans="1:14">
      <c r="A48" s="77"/>
      <c r="B48" s="78" t="s">
        <v>160</v>
      </c>
      <c r="C48" s="78" t="s">
        <v>166</v>
      </c>
      <c r="D48" s="78" t="s">
        <v>237</v>
      </c>
      <c r="E48" s="78" t="s">
        <v>101</v>
      </c>
      <c r="F48" s="78" t="s">
        <v>218</v>
      </c>
      <c r="G48" s="78">
        <v>61071200</v>
      </c>
      <c r="H48" s="79">
        <v>1391</v>
      </c>
      <c r="I48" s="80">
        <v>39</v>
      </c>
      <c r="J48" s="81">
        <v>6.25</v>
      </c>
      <c r="K48" s="82">
        <f t="shared" si="0"/>
        <v>8693.75</v>
      </c>
      <c r="L48" s="49"/>
      <c r="M48" s="49"/>
      <c r="N48" s="51"/>
    </row>
    <row r="49" spans="1:14">
      <c r="A49" s="77"/>
      <c r="B49" s="78" t="s">
        <v>160</v>
      </c>
      <c r="C49" s="78" t="s">
        <v>167</v>
      </c>
      <c r="D49" s="78" t="s">
        <v>237</v>
      </c>
      <c r="E49" s="78" t="s">
        <v>102</v>
      </c>
      <c r="F49" s="78" t="s">
        <v>218</v>
      </c>
      <c r="G49" s="78">
        <v>61071200</v>
      </c>
      <c r="H49" s="79">
        <v>2762</v>
      </c>
      <c r="I49" s="80">
        <v>77</v>
      </c>
      <c r="J49" s="81">
        <v>6.25</v>
      </c>
      <c r="K49" s="82">
        <f t="shared" si="0"/>
        <v>17262.5</v>
      </c>
      <c r="L49" s="49"/>
      <c r="M49" s="49"/>
      <c r="N49" s="51"/>
    </row>
    <row r="50" spans="1:14">
      <c r="A50" s="77"/>
      <c r="B50" s="78" t="s">
        <v>160</v>
      </c>
      <c r="C50" s="78" t="s">
        <v>168</v>
      </c>
      <c r="D50" s="78" t="s">
        <v>237</v>
      </c>
      <c r="E50" s="78" t="s">
        <v>22</v>
      </c>
      <c r="F50" s="78" t="s">
        <v>218</v>
      </c>
      <c r="G50" s="78">
        <v>61071200</v>
      </c>
      <c r="H50" s="79">
        <v>2791</v>
      </c>
      <c r="I50" s="80">
        <v>78</v>
      </c>
      <c r="J50" s="81">
        <v>6.25</v>
      </c>
      <c r="K50" s="82">
        <f t="shared" si="0"/>
        <v>17443.75</v>
      </c>
      <c r="L50" s="49"/>
      <c r="M50" s="49"/>
      <c r="N50" s="51"/>
    </row>
    <row r="51" spans="1:14">
      <c r="A51" s="77"/>
      <c r="B51" s="78" t="s">
        <v>160</v>
      </c>
      <c r="C51" s="78" t="s">
        <v>169</v>
      </c>
      <c r="D51" s="78" t="s">
        <v>237</v>
      </c>
      <c r="E51" s="78" t="s">
        <v>103</v>
      </c>
      <c r="F51" s="78" t="s">
        <v>218</v>
      </c>
      <c r="G51" s="78">
        <v>61071200</v>
      </c>
      <c r="H51" s="79">
        <v>1356</v>
      </c>
      <c r="I51" s="80">
        <v>38</v>
      </c>
      <c r="J51" s="81">
        <v>6.25</v>
      </c>
      <c r="K51" s="82">
        <f t="shared" si="0"/>
        <v>8475</v>
      </c>
      <c r="L51" s="49"/>
      <c r="M51" s="49"/>
      <c r="N51" s="51"/>
    </row>
    <row r="52" spans="1:14">
      <c r="A52" s="77"/>
      <c r="B52" s="78" t="s">
        <v>160</v>
      </c>
      <c r="C52" s="78" t="s">
        <v>170</v>
      </c>
      <c r="D52" s="78" t="s">
        <v>237</v>
      </c>
      <c r="E52" s="78" t="s">
        <v>137</v>
      </c>
      <c r="F52" s="78" t="s">
        <v>218</v>
      </c>
      <c r="G52" s="78">
        <v>61071200</v>
      </c>
      <c r="H52" s="79">
        <v>1322</v>
      </c>
      <c r="I52" s="80">
        <v>37</v>
      </c>
      <c r="J52" s="81">
        <v>6.72</v>
      </c>
      <c r="K52" s="82">
        <f t="shared" si="0"/>
        <v>8883.84</v>
      </c>
      <c r="L52" s="49"/>
      <c r="M52" s="49"/>
      <c r="N52" s="51"/>
    </row>
    <row r="53" spans="1:14">
      <c r="A53" s="77"/>
      <c r="B53" s="78" t="s">
        <v>128</v>
      </c>
      <c r="C53" s="78" t="s">
        <v>172</v>
      </c>
      <c r="D53" s="78" t="s">
        <v>238</v>
      </c>
      <c r="E53" s="78" t="s">
        <v>101</v>
      </c>
      <c r="F53" s="78" t="s">
        <v>126</v>
      </c>
      <c r="G53" s="78">
        <v>61071200</v>
      </c>
      <c r="H53" s="79">
        <v>1923</v>
      </c>
      <c r="I53" s="80">
        <v>54</v>
      </c>
      <c r="J53" s="81">
        <v>5.14</v>
      </c>
      <c r="K53" s="82">
        <f t="shared" si="0"/>
        <v>9884.2199999999993</v>
      </c>
      <c r="L53" s="49"/>
      <c r="M53" s="49"/>
      <c r="N53" s="51"/>
    </row>
    <row r="54" spans="1:14">
      <c r="A54" s="77"/>
      <c r="B54" s="78" t="s">
        <v>128</v>
      </c>
      <c r="C54" s="78" t="s">
        <v>173</v>
      </c>
      <c r="D54" s="78" t="s">
        <v>238</v>
      </c>
      <c r="E54" s="78" t="s">
        <v>102</v>
      </c>
      <c r="F54" s="78" t="s">
        <v>126</v>
      </c>
      <c r="G54" s="78">
        <v>61071200</v>
      </c>
      <c r="H54" s="79">
        <v>4932</v>
      </c>
      <c r="I54" s="80">
        <v>137</v>
      </c>
      <c r="J54" s="81">
        <v>5.14</v>
      </c>
      <c r="K54" s="82">
        <f t="shared" si="0"/>
        <v>25350.48</v>
      </c>
      <c r="L54" s="49"/>
      <c r="M54" s="49"/>
      <c r="N54" s="51"/>
    </row>
    <row r="55" spans="1:14">
      <c r="A55" s="77"/>
      <c r="B55" s="78" t="s">
        <v>128</v>
      </c>
      <c r="C55" s="78" t="s">
        <v>174</v>
      </c>
      <c r="D55" s="78" t="s">
        <v>238</v>
      </c>
      <c r="E55" s="78" t="s">
        <v>22</v>
      </c>
      <c r="F55" s="78" t="s">
        <v>126</v>
      </c>
      <c r="G55" s="78">
        <v>61071200</v>
      </c>
      <c r="H55" s="79">
        <v>4536</v>
      </c>
      <c r="I55" s="80">
        <v>126</v>
      </c>
      <c r="J55" s="81">
        <v>5.14</v>
      </c>
      <c r="K55" s="82">
        <f t="shared" si="0"/>
        <v>23315.039999999997</v>
      </c>
      <c r="L55" s="49"/>
      <c r="M55" s="49"/>
      <c r="N55" s="51"/>
    </row>
    <row r="56" spans="1:14">
      <c r="A56" s="77"/>
      <c r="B56" s="78" t="s">
        <v>128</v>
      </c>
      <c r="C56" s="78" t="s">
        <v>175</v>
      </c>
      <c r="D56" s="78" t="s">
        <v>238</v>
      </c>
      <c r="E56" s="78" t="s">
        <v>103</v>
      </c>
      <c r="F56" s="78" t="s">
        <v>126</v>
      </c>
      <c r="G56" s="78">
        <v>61071200</v>
      </c>
      <c r="H56" s="79">
        <v>2283</v>
      </c>
      <c r="I56" s="80">
        <v>64</v>
      </c>
      <c r="J56" s="81">
        <v>5.14</v>
      </c>
      <c r="K56" s="82">
        <f t="shared" si="0"/>
        <v>11734.619999999999</v>
      </c>
      <c r="L56" s="49"/>
      <c r="M56" s="49"/>
      <c r="N56" s="51"/>
    </row>
    <row r="57" spans="1:14">
      <c r="A57" s="77"/>
      <c r="B57" s="78" t="s">
        <v>128</v>
      </c>
      <c r="C57" s="78" t="s">
        <v>176</v>
      </c>
      <c r="D57" s="78" t="s">
        <v>238</v>
      </c>
      <c r="E57" s="78" t="s">
        <v>137</v>
      </c>
      <c r="F57" s="78" t="s">
        <v>126</v>
      </c>
      <c r="G57" s="78">
        <v>61071200</v>
      </c>
      <c r="H57" s="79">
        <v>364</v>
      </c>
      <c r="I57" s="80">
        <v>11</v>
      </c>
      <c r="J57" s="81">
        <v>5.49</v>
      </c>
      <c r="K57" s="82">
        <f t="shared" si="0"/>
        <v>1998.3600000000001</v>
      </c>
      <c r="L57" s="49"/>
      <c r="M57" s="49"/>
      <c r="N57" s="51"/>
    </row>
    <row r="58" spans="1:14">
      <c r="A58" s="77"/>
      <c r="B58" s="78" t="s">
        <v>128</v>
      </c>
      <c r="C58" s="78" t="s">
        <v>178</v>
      </c>
      <c r="D58" s="78" t="s">
        <v>239</v>
      </c>
      <c r="E58" s="78" t="s">
        <v>101</v>
      </c>
      <c r="F58" s="78" t="s">
        <v>126</v>
      </c>
      <c r="G58" s="78">
        <v>61071200</v>
      </c>
      <c r="H58" s="79">
        <v>978</v>
      </c>
      <c r="I58" s="80">
        <v>28</v>
      </c>
      <c r="J58" s="81">
        <v>5.14</v>
      </c>
      <c r="K58" s="82">
        <f t="shared" si="0"/>
        <v>5026.92</v>
      </c>
      <c r="L58" s="49"/>
      <c r="M58" s="49"/>
      <c r="N58" s="51"/>
    </row>
    <row r="59" spans="1:14">
      <c r="A59" s="77"/>
      <c r="B59" s="78" t="s">
        <v>128</v>
      </c>
      <c r="C59" s="78" t="s">
        <v>179</v>
      </c>
      <c r="D59" s="78" t="s">
        <v>239</v>
      </c>
      <c r="E59" s="78" t="s">
        <v>102</v>
      </c>
      <c r="F59" s="78" t="s">
        <v>126</v>
      </c>
      <c r="G59" s="78">
        <v>61071200</v>
      </c>
      <c r="H59" s="79">
        <v>3119</v>
      </c>
      <c r="I59" s="80">
        <v>87</v>
      </c>
      <c r="J59" s="81">
        <v>5.14</v>
      </c>
      <c r="K59" s="82">
        <f t="shared" si="0"/>
        <v>16031.66</v>
      </c>
      <c r="L59" s="49"/>
      <c r="M59" s="49"/>
      <c r="N59" s="51"/>
    </row>
    <row r="60" spans="1:14">
      <c r="A60" s="77"/>
      <c r="B60" s="78" t="s">
        <v>128</v>
      </c>
      <c r="C60" s="78" t="s">
        <v>180</v>
      </c>
      <c r="D60" s="78" t="s">
        <v>239</v>
      </c>
      <c r="E60" s="78" t="s">
        <v>22</v>
      </c>
      <c r="F60" s="78" t="s">
        <v>126</v>
      </c>
      <c r="G60" s="78">
        <v>61071200</v>
      </c>
      <c r="H60" s="79">
        <v>2616</v>
      </c>
      <c r="I60" s="80">
        <v>73</v>
      </c>
      <c r="J60" s="81">
        <v>5.14</v>
      </c>
      <c r="K60" s="82">
        <f t="shared" ref="K60:K84" si="1">H60*J60</f>
        <v>13446.24</v>
      </c>
      <c r="L60" s="49"/>
      <c r="M60" s="49"/>
      <c r="N60" s="51"/>
    </row>
    <row r="61" spans="1:14">
      <c r="A61" s="77"/>
      <c r="B61" s="78" t="s">
        <v>128</v>
      </c>
      <c r="C61" s="78" t="s">
        <v>181</v>
      </c>
      <c r="D61" s="78" t="s">
        <v>239</v>
      </c>
      <c r="E61" s="78" t="s">
        <v>103</v>
      </c>
      <c r="F61" s="78" t="s">
        <v>126</v>
      </c>
      <c r="G61" s="78">
        <v>61071200</v>
      </c>
      <c r="H61" s="79">
        <v>977</v>
      </c>
      <c r="I61" s="80">
        <v>28</v>
      </c>
      <c r="J61" s="81">
        <v>5.14</v>
      </c>
      <c r="K61" s="82">
        <f t="shared" si="1"/>
        <v>5021.78</v>
      </c>
      <c r="L61" s="49"/>
      <c r="M61" s="49"/>
      <c r="N61" s="51"/>
    </row>
    <row r="62" spans="1:14">
      <c r="A62" s="77"/>
      <c r="B62" s="78" t="s">
        <v>128</v>
      </c>
      <c r="C62" s="78" t="s">
        <v>183</v>
      </c>
      <c r="D62" s="78" t="s">
        <v>240</v>
      </c>
      <c r="E62" s="78" t="s">
        <v>101</v>
      </c>
      <c r="F62" s="78" t="s">
        <v>126</v>
      </c>
      <c r="G62" s="78">
        <v>61071200</v>
      </c>
      <c r="H62" s="79">
        <v>364</v>
      </c>
      <c r="I62" s="80">
        <v>11</v>
      </c>
      <c r="J62" s="81">
        <v>5.38</v>
      </c>
      <c r="K62" s="82">
        <f t="shared" si="1"/>
        <v>1958.32</v>
      </c>
      <c r="L62" s="49"/>
      <c r="M62" s="49"/>
      <c r="N62" s="51"/>
    </row>
    <row r="63" spans="1:14">
      <c r="A63" s="77"/>
      <c r="B63" s="78" t="s">
        <v>128</v>
      </c>
      <c r="C63" s="78" t="s">
        <v>184</v>
      </c>
      <c r="D63" s="78" t="s">
        <v>240</v>
      </c>
      <c r="E63" s="78" t="s">
        <v>102</v>
      </c>
      <c r="F63" s="78" t="s">
        <v>126</v>
      </c>
      <c r="G63" s="78">
        <v>61071200</v>
      </c>
      <c r="H63" s="79">
        <v>946</v>
      </c>
      <c r="I63" s="80">
        <v>27</v>
      </c>
      <c r="J63" s="81">
        <v>5.38</v>
      </c>
      <c r="K63" s="82">
        <f t="shared" si="1"/>
        <v>5089.4799999999996</v>
      </c>
      <c r="L63" s="49"/>
      <c r="M63" s="49"/>
      <c r="N63" s="51"/>
    </row>
    <row r="64" spans="1:14">
      <c r="A64" s="77"/>
      <c r="B64" s="78" t="s">
        <v>128</v>
      </c>
      <c r="C64" s="78" t="s">
        <v>185</v>
      </c>
      <c r="D64" s="78" t="s">
        <v>240</v>
      </c>
      <c r="E64" s="78" t="s">
        <v>22</v>
      </c>
      <c r="F64" s="78" t="s">
        <v>126</v>
      </c>
      <c r="G64" s="78">
        <v>61071200</v>
      </c>
      <c r="H64" s="79">
        <v>835</v>
      </c>
      <c r="I64" s="80">
        <v>24</v>
      </c>
      <c r="J64" s="81">
        <v>5.38</v>
      </c>
      <c r="K64" s="82">
        <f t="shared" si="1"/>
        <v>4492.3</v>
      </c>
      <c r="L64" s="49"/>
      <c r="M64" s="49"/>
      <c r="N64" s="51"/>
    </row>
    <row r="65" spans="1:14">
      <c r="A65" s="77"/>
      <c r="B65" s="78" t="s">
        <v>128</v>
      </c>
      <c r="C65" s="78" t="s">
        <v>186</v>
      </c>
      <c r="D65" s="78" t="s">
        <v>240</v>
      </c>
      <c r="E65" s="78" t="s">
        <v>103</v>
      </c>
      <c r="F65" s="78" t="s">
        <v>126</v>
      </c>
      <c r="G65" s="78">
        <v>61071200</v>
      </c>
      <c r="H65" s="79">
        <v>362</v>
      </c>
      <c r="I65" s="80">
        <v>11</v>
      </c>
      <c r="J65" s="81">
        <v>5.38</v>
      </c>
      <c r="K65" s="82">
        <f t="shared" si="1"/>
        <v>1947.56</v>
      </c>
      <c r="L65" s="49"/>
      <c r="M65" s="49"/>
      <c r="N65" s="51"/>
    </row>
    <row r="66" spans="1:14">
      <c r="A66" s="77"/>
      <c r="B66" s="78" t="s">
        <v>128</v>
      </c>
      <c r="C66" s="78" t="s">
        <v>188</v>
      </c>
      <c r="D66" s="78" t="s">
        <v>241</v>
      </c>
      <c r="E66" s="78" t="s">
        <v>101</v>
      </c>
      <c r="F66" s="78" t="s">
        <v>126</v>
      </c>
      <c r="G66" s="78">
        <v>61071200</v>
      </c>
      <c r="H66" s="79">
        <v>642</v>
      </c>
      <c r="I66" s="80">
        <v>18</v>
      </c>
      <c r="J66" s="81">
        <v>5.38</v>
      </c>
      <c r="K66" s="82">
        <f t="shared" si="1"/>
        <v>3453.96</v>
      </c>
      <c r="L66" s="49"/>
      <c r="M66" s="49"/>
      <c r="N66" s="51"/>
    </row>
    <row r="67" spans="1:14">
      <c r="A67" s="77"/>
      <c r="B67" s="78" t="s">
        <v>128</v>
      </c>
      <c r="C67" s="78" t="s">
        <v>189</v>
      </c>
      <c r="D67" s="78" t="s">
        <v>241</v>
      </c>
      <c r="E67" s="78" t="s">
        <v>102</v>
      </c>
      <c r="F67" s="78" t="s">
        <v>126</v>
      </c>
      <c r="G67" s="78">
        <v>61071200</v>
      </c>
      <c r="H67" s="79">
        <v>1890</v>
      </c>
      <c r="I67" s="80">
        <v>53</v>
      </c>
      <c r="J67" s="81">
        <v>5.38</v>
      </c>
      <c r="K67" s="82">
        <f t="shared" si="1"/>
        <v>10168.199999999999</v>
      </c>
      <c r="L67" s="49"/>
      <c r="M67" s="49"/>
      <c r="N67" s="51"/>
    </row>
    <row r="68" spans="1:14">
      <c r="A68" s="77"/>
      <c r="B68" s="78" t="s">
        <v>128</v>
      </c>
      <c r="C68" s="78" t="s">
        <v>190</v>
      </c>
      <c r="D68" s="78" t="s">
        <v>241</v>
      </c>
      <c r="E68" s="78" t="s">
        <v>22</v>
      </c>
      <c r="F68" s="78" t="s">
        <v>126</v>
      </c>
      <c r="G68" s="78">
        <v>61071200</v>
      </c>
      <c r="H68" s="79">
        <v>1834</v>
      </c>
      <c r="I68" s="80">
        <v>51</v>
      </c>
      <c r="J68" s="81">
        <v>5.38</v>
      </c>
      <c r="K68" s="82">
        <f t="shared" si="1"/>
        <v>9866.92</v>
      </c>
      <c r="L68" s="49"/>
      <c r="M68" s="49"/>
      <c r="N68" s="51"/>
    </row>
    <row r="69" spans="1:14">
      <c r="A69" s="77"/>
      <c r="B69" s="78" t="s">
        <v>128</v>
      </c>
      <c r="C69" s="78" t="s">
        <v>191</v>
      </c>
      <c r="D69" s="78" t="s">
        <v>241</v>
      </c>
      <c r="E69" s="78" t="s">
        <v>103</v>
      </c>
      <c r="F69" s="78" t="s">
        <v>126</v>
      </c>
      <c r="G69" s="78">
        <v>61071200</v>
      </c>
      <c r="H69" s="79">
        <v>928</v>
      </c>
      <c r="I69" s="80">
        <v>26</v>
      </c>
      <c r="J69" s="81">
        <v>5.38</v>
      </c>
      <c r="K69" s="82">
        <f t="shared" si="1"/>
        <v>4992.6400000000003</v>
      </c>
      <c r="L69" s="49"/>
      <c r="M69" s="49"/>
      <c r="N69" s="51"/>
    </row>
    <row r="70" spans="1:14">
      <c r="A70" s="77"/>
      <c r="B70" s="78" t="s">
        <v>194</v>
      </c>
      <c r="C70" s="78" t="s">
        <v>193</v>
      </c>
      <c r="D70" s="78" t="s">
        <v>242</v>
      </c>
      <c r="E70" s="78" t="s">
        <v>101</v>
      </c>
      <c r="F70" s="78" t="s">
        <v>221</v>
      </c>
      <c r="G70" s="78">
        <v>61071200</v>
      </c>
      <c r="H70" s="79">
        <v>1521</v>
      </c>
      <c r="I70" s="80">
        <v>43</v>
      </c>
      <c r="J70" s="81">
        <v>6.5</v>
      </c>
      <c r="K70" s="82">
        <f t="shared" si="1"/>
        <v>9886.5</v>
      </c>
      <c r="L70" s="49"/>
      <c r="M70" s="49"/>
      <c r="N70" s="51"/>
    </row>
    <row r="71" spans="1:14">
      <c r="A71" s="77"/>
      <c r="B71" s="78" t="s">
        <v>194</v>
      </c>
      <c r="C71" s="78" t="s">
        <v>195</v>
      </c>
      <c r="D71" s="78" t="s">
        <v>242</v>
      </c>
      <c r="E71" s="78" t="s">
        <v>102</v>
      </c>
      <c r="F71" s="78" t="s">
        <v>221</v>
      </c>
      <c r="G71" s="78">
        <v>61071200</v>
      </c>
      <c r="H71" s="79">
        <v>3703</v>
      </c>
      <c r="I71" s="80">
        <v>103</v>
      </c>
      <c r="J71" s="81">
        <v>6.5</v>
      </c>
      <c r="K71" s="82">
        <f t="shared" si="1"/>
        <v>24069.5</v>
      </c>
      <c r="L71" s="49"/>
      <c r="M71" s="49"/>
      <c r="N71" s="51"/>
    </row>
    <row r="72" spans="1:14">
      <c r="A72" s="77"/>
      <c r="B72" s="78" t="s">
        <v>194</v>
      </c>
      <c r="C72" s="78" t="s">
        <v>196</v>
      </c>
      <c r="D72" s="78" t="s">
        <v>242</v>
      </c>
      <c r="E72" s="78" t="s">
        <v>22</v>
      </c>
      <c r="F72" s="78" t="s">
        <v>221</v>
      </c>
      <c r="G72" s="78">
        <v>61071200</v>
      </c>
      <c r="H72" s="79">
        <v>3467</v>
      </c>
      <c r="I72" s="80">
        <v>97</v>
      </c>
      <c r="J72" s="81">
        <v>6.5</v>
      </c>
      <c r="K72" s="82">
        <f t="shared" si="1"/>
        <v>22535.5</v>
      </c>
      <c r="L72" s="49"/>
      <c r="M72" s="49"/>
      <c r="N72" s="51"/>
    </row>
    <row r="73" spans="1:14">
      <c r="A73" s="77"/>
      <c r="B73" s="78" t="s">
        <v>194</v>
      </c>
      <c r="C73" s="78" t="s">
        <v>197</v>
      </c>
      <c r="D73" s="78" t="s">
        <v>242</v>
      </c>
      <c r="E73" s="78" t="s">
        <v>103</v>
      </c>
      <c r="F73" s="78" t="s">
        <v>221</v>
      </c>
      <c r="G73" s="78">
        <v>61071200</v>
      </c>
      <c r="H73" s="79">
        <v>1620</v>
      </c>
      <c r="I73" s="80">
        <v>45</v>
      </c>
      <c r="J73" s="81">
        <v>6.5</v>
      </c>
      <c r="K73" s="82">
        <f t="shared" si="1"/>
        <v>10530</v>
      </c>
      <c r="L73" s="49"/>
      <c r="M73" s="49"/>
      <c r="N73" s="51"/>
    </row>
    <row r="74" spans="1:14">
      <c r="A74" s="77"/>
      <c r="B74" s="78" t="s">
        <v>194</v>
      </c>
      <c r="C74" s="78" t="s">
        <v>198</v>
      </c>
      <c r="D74" s="78" t="s">
        <v>242</v>
      </c>
      <c r="E74" s="78" t="s">
        <v>137</v>
      </c>
      <c r="F74" s="78" t="s">
        <v>221</v>
      </c>
      <c r="G74" s="78">
        <v>61071200</v>
      </c>
      <c r="H74" s="79">
        <v>983</v>
      </c>
      <c r="I74" s="80">
        <v>28</v>
      </c>
      <c r="J74" s="81">
        <v>7.18</v>
      </c>
      <c r="K74" s="82">
        <f t="shared" si="1"/>
        <v>7057.94</v>
      </c>
      <c r="L74" s="49"/>
      <c r="M74" s="49"/>
      <c r="N74" s="51"/>
    </row>
    <row r="75" spans="1:14">
      <c r="A75" s="77"/>
      <c r="B75" s="78" t="s">
        <v>194</v>
      </c>
      <c r="C75" s="78" t="s">
        <v>200</v>
      </c>
      <c r="D75" s="78" t="s">
        <v>245</v>
      </c>
      <c r="E75" s="78" t="s">
        <v>101</v>
      </c>
      <c r="F75" s="78" t="s">
        <v>221</v>
      </c>
      <c r="G75" s="78">
        <v>61071200</v>
      </c>
      <c r="H75" s="79">
        <v>416</v>
      </c>
      <c r="I75" s="80">
        <v>12</v>
      </c>
      <c r="J75" s="81">
        <v>6.5</v>
      </c>
      <c r="K75" s="82">
        <f t="shared" si="1"/>
        <v>2704</v>
      </c>
      <c r="L75" s="49"/>
      <c r="M75" s="49"/>
      <c r="N75" s="51"/>
    </row>
    <row r="76" spans="1:14">
      <c r="A76" s="77"/>
      <c r="B76" s="78" t="s">
        <v>194</v>
      </c>
      <c r="C76" s="78" t="s">
        <v>201</v>
      </c>
      <c r="D76" s="78" t="s">
        <v>245</v>
      </c>
      <c r="E76" s="78" t="s">
        <v>102</v>
      </c>
      <c r="F76" s="78" t="s">
        <v>221</v>
      </c>
      <c r="G76" s="78">
        <v>61071200</v>
      </c>
      <c r="H76" s="79">
        <v>1241</v>
      </c>
      <c r="I76" s="80">
        <v>35</v>
      </c>
      <c r="J76" s="81">
        <v>6.5</v>
      </c>
      <c r="K76" s="82">
        <f t="shared" si="1"/>
        <v>8066.5</v>
      </c>
      <c r="L76" s="49"/>
      <c r="M76" s="49"/>
      <c r="N76" s="51"/>
    </row>
    <row r="77" spans="1:14">
      <c r="A77" s="77"/>
      <c r="B77" s="78" t="s">
        <v>194</v>
      </c>
      <c r="C77" s="78" t="s">
        <v>202</v>
      </c>
      <c r="D77" s="78" t="s">
        <v>245</v>
      </c>
      <c r="E77" s="78" t="s">
        <v>22</v>
      </c>
      <c r="F77" s="78" t="s">
        <v>221</v>
      </c>
      <c r="G77" s="78">
        <v>61071200</v>
      </c>
      <c r="H77" s="79">
        <v>1234</v>
      </c>
      <c r="I77" s="80">
        <v>35</v>
      </c>
      <c r="J77" s="81">
        <v>6.5</v>
      </c>
      <c r="K77" s="82">
        <f t="shared" si="1"/>
        <v>8021</v>
      </c>
      <c r="L77" s="49"/>
      <c r="M77" s="49"/>
      <c r="N77" s="51"/>
    </row>
    <row r="78" spans="1:14">
      <c r="A78" s="77"/>
      <c r="B78" s="78" t="s">
        <v>194</v>
      </c>
      <c r="C78" s="78" t="s">
        <v>203</v>
      </c>
      <c r="D78" s="78" t="s">
        <v>245</v>
      </c>
      <c r="E78" s="78" t="s">
        <v>103</v>
      </c>
      <c r="F78" s="78" t="s">
        <v>221</v>
      </c>
      <c r="G78" s="78">
        <v>61071200</v>
      </c>
      <c r="H78" s="79">
        <v>454</v>
      </c>
      <c r="I78" s="80">
        <v>13</v>
      </c>
      <c r="J78" s="81">
        <v>6.5</v>
      </c>
      <c r="K78" s="82">
        <f t="shared" si="1"/>
        <v>2951</v>
      </c>
      <c r="L78" s="49"/>
      <c r="M78" s="49"/>
      <c r="N78" s="51"/>
    </row>
    <row r="79" spans="1:14">
      <c r="A79" s="77"/>
      <c r="B79" s="78" t="s">
        <v>194</v>
      </c>
      <c r="C79" s="78" t="s">
        <v>204</v>
      </c>
      <c r="D79" s="78" t="s">
        <v>245</v>
      </c>
      <c r="E79" s="78" t="s">
        <v>137</v>
      </c>
      <c r="F79" s="78" t="s">
        <v>221</v>
      </c>
      <c r="G79" s="78">
        <v>61071200</v>
      </c>
      <c r="H79" s="79">
        <v>451</v>
      </c>
      <c r="I79" s="80">
        <v>13</v>
      </c>
      <c r="J79" s="81">
        <v>7.18</v>
      </c>
      <c r="K79" s="82">
        <f t="shared" si="1"/>
        <v>3238.18</v>
      </c>
      <c r="L79" s="49"/>
      <c r="M79" s="49"/>
      <c r="N79" s="51"/>
    </row>
    <row r="80" spans="1:14">
      <c r="A80" s="77"/>
      <c r="B80" s="78" t="s">
        <v>194</v>
      </c>
      <c r="C80" s="78" t="s">
        <v>206</v>
      </c>
      <c r="D80" s="78" t="s">
        <v>246</v>
      </c>
      <c r="E80" s="78" t="s">
        <v>101</v>
      </c>
      <c r="F80" s="78" t="s">
        <v>221</v>
      </c>
      <c r="G80" s="78">
        <v>61071200</v>
      </c>
      <c r="H80" s="79">
        <v>972</v>
      </c>
      <c r="I80" s="80">
        <v>27</v>
      </c>
      <c r="J80" s="81">
        <v>6.5</v>
      </c>
      <c r="K80" s="82">
        <f t="shared" si="1"/>
        <v>6318</v>
      </c>
      <c r="L80" s="49"/>
      <c r="M80" s="49"/>
      <c r="N80" s="51"/>
    </row>
    <row r="81" spans="1:14">
      <c r="A81" s="77"/>
      <c r="B81" s="78" t="s">
        <v>194</v>
      </c>
      <c r="C81" s="78" t="s">
        <v>207</v>
      </c>
      <c r="D81" s="78" t="s">
        <v>246</v>
      </c>
      <c r="E81" s="78" t="s">
        <v>102</v>
      </c>
      <c r="F81" s="78" t="s">
        <v>221</v>
      </c>
      <c r="G81" s="78">
        <v>61071200</v>
      </c>
      <c r="H81" s="79">
        <v>2127</v>
      </c>
      <c r="I81" s="80">
        <v>60</v>
      </c>
      <c r="J81" s="81">
        <v>6.5</v>
      </c>
      <c r="K81" s="82">
        <f t="shared" si="1"/>
        <v>13825.5</v>
      </c>
      <c r="L81" s="49"/>
      <c r="M81" s="49"/>
      <c r="N81" s="51"/>
    </row>
    <row r="82" spans="1:14">
      <c r="A82" s="77"/>
      <c r="B82" s="78" t="s">
        <v>194</v>
      </c>
      <c r="C82" s="78" t="s">
        <v>208</v>
      </c>
      <c r="D82" s="78" t="s">
        <v>246</v>
      </c>
      <c r="E82" s="78" t="s">
        <v>22</v>
      </c>
      <c r="F82" s="78" t="s">
        <v>221</v>
      </c>
      <c r="G82" s="78">
        <v>61071200</v>
      </c>
      <c r="H82" s="79">
        <v>2144</v>
      </c>
      <c r="I82" s="80">
        <v>60</v>
      </c>
      <c r="J82" s="81">
        <v>6.5</v>
      </c>
      <c r="K82" s="82">
        <f t="shared" si="1"/>
        <v>13936</v>
      </c>
      <c r="L82" s="49"/>
      <c r="M82" s="49"/>
      <c r="N82" s="51"/>
    </row>
    <row r="83" spans="1:14">
      <c r="A83" s="77"/>
      <c r="B83" s="78" t="s">
        <v>194</v>
      </c>
      <c r="C83" s="78" t="s">
        <v>209</v>
      </c>
      <c r="D83" s="78" t="s">
        <v>246</v>
      </c>
      <c r="E83" s="78" t="s">
        <v>103</v>
      </c>
      <c r="F83" s="78" t="s">
        <v>221</v>
      </c>
      <c r="G83" s="78">
        <v>61071200</v>
      </c>
      <c r="H83" s="79">
        <v>1093</v>
      </c>
      <c r="I83" s="80">
        <v>31</v>
      </c>
      <c r="J83" s="81">
        <v>6.5</v>
      </c>
      <c r="K83" s="82">
        <f t="shared" si="1"/>
        <v>7104.5</v>
      </c>
      <c r="L83" s="49"/>
      <c r="M83" s="49"/>
      <c r="N83" s="51"/>
    </row>
    <row r="84" spans="1:14">
      <c r="A84" s="77"/>
      <c r="B84" s="78" t="s">
        <v>194</v>
      </c>
      <c r="C84" s="78" t="s">
        <v>210</v>
      </c>
      <c r="D84" s="78" t="s">
        <v>246</v>
      </c>
      <c r="E84" s="78" t="s">
        <v>137</v>
      </c>
      <c r="F84" s="78" t="s">
        <v>221</v>
      </c>
      <c r="G84" s="78">
        <v>61071200</v>
      </c>
      <c r="H84" s="79">
        <v>754</v>
      </c>
      <c r="I84" s="80">
        <v>21</v>
      </c>
      <c r="J84" s="81">
        <v>7.18</v>
      </c>
      <c r="K84" s="82">
        <f t="shared" si="1"/>
        <v>5413.7199999999993</v>
      </c>
      <c r="L84" s="49"/>
      <c r="M84" s="49"/>
      <c r="N84" s="51"/>
    </row>
    <row r="85" spans="1:14">
      <c r="A85" s="77"/>
      <c r="B85" s="78"/>
      <c r="C85" s="78"/>
      <c r="D85" s="78"/>
      <c r="E85" s="78"/>
      <c r="F85" s="78" t="s">
        <v>104</v>
      </c>
      <c r="G85" s="78"/>
      <c r="H85" s="79"/>
      <c r="I85" s="80"/>
      <c r="J85" s="81"/>
      <c r="K85" s="82"/>
      <c r="L85" s="49"/>
      <c r="M85" s="49"/>
      <c r="N85" s="51"/>
    </row>
    <row r="86" spans="1:14" ht="15.75" thickBot="1">
      <c r="A86" s="181" t="s">
        <v>89</v>
      </c>
      <c r="B86" s="182"/>
      <c r="C86" s="83"/>
      <c r="D86" s="83"/>
      <c r="E86" s="83"/>
      <c r="F86" s="83"/>
      <c r="G86" s="83"/>
      <c r="H86" s="84">
        <f>SUM(H28:H85)</f>
        <v>77584</v>
      </c>
      <c r="I86" s="84">
        <f>SUM(I28:I85)</f>
        <v>2180</v>
      </c>
      <c r="J86" s="83"/>
      <c r="K86" s="85">
        <f>SUM(K28:K85)</f>
        <v>463424.7</v>
      </c>
      <c r="L86" s="86"/>
      <c r="M86" s="86"/>
      <c r="N86" s="87"/>
    </row>
    <row r="87" spans="1:14" ht="15.75" thickTop="1">
      <c r="A87" s="88"/>
      <c r="B87" s="89"/>
      <c r="C87" s="90"/>
      <c r="D87" s="91"/>
      <c r="E87" s="91"/>
      <c r="F87" s="91"/>
      <c r="G87" s="90"/>
      <c r="H87" s="91"/>
      <c r="I87" s="91"/>
      <c r="J87" s="90"/>
      <c r="K87" s="90"/>
      <c r="L87" s="49"/>
      <c r="M87" s="49"/>
      <c r="N87" s="51"/>
    </row>
    <row r="88" spans="1:14">
      <c r="A88" s="92"/>
      <c r="B88" s="93" t="s">
        <v>90</v>
      </c>
      <c r="C88" s="94"/>
      <c r="D88" s="94"/>
      <c r="E88" s="94"/>
      <c r="F88" s="94"/>
      <c r="G88" s="94"/>
      <c r="H88" s="91" t="s">
        <v>91</v>
      </c>
      <c r="I88" s="94" t="s">
        <v>41</v>
      </c>
      <c r="J88" s="91" t="s">
        <v>92</v>
      </c>
      <c r="K88" s="91" t="s">
        <v>93</v>
      </c>
      <c r="L88" s="49"/>
      <c r="M88" s="49"/>
      <c r="N88" s="51"/>
    </row>
    <row r="89" spans="1:14">
      <c r="A89" s="88"/>
      <c r="B89" s="95"/>
      <c r="C89" s="95"/>
      <c r="D89" s="95"/>
      <c r="E89" s="95"/>
      <c r="F89" s="95"/>
      <c r="G89" s="95"/>
      <c r="H89" s="82"/>
      <c r="I89" s="80"/>
      <c r="J89" s="96" t="s">
        <v>94</v>
      </c>
      <c r="K89" s="97">
        <f>H89*I89</f>
        <v>0</v>
      </c>
      <c r="L89" s="49"/>
      <c r="M89" s="49"/>
      <c r="N89" s="51"/>
    </row>
    <row r="90" spans="1:14">
      <c r="A90" s="88"/>
      <c r="B90" s="95"/>
      <c r="C90" s="95"/>
      <c r="D90" s="95"/>
      <c r="E90" s="95"/>
      <c r="F90" s="95"/>
      <c r="G90" s="95"/>
      <c r="H90" s="82"/>
      <c r="I90" s="80"/>
      <c r="J90" s="98" t="s">
        <v>94</v>
      </c>
      <c r="K90" s="97">
        <f>H90*I90</f>
        <v>0</v>
      </c>
      <c r="L90" s="49"/>
      <c r="M90" s="49"/>
      <c r="N90" s="51"/>
    </row>
    <row r="91" spans="1:14" ht="15.75" thickBot="1">
      <c r="A91" s="88"/>
      <c r="B91" s="99"/>
      <c r="C91" s="99"/>
      <c r="D91" s="99"/>
      <c r="E91" s="99"/>
      <c r="F91" s="99"/>
      <c r="G91" s="99"/>
      <c r="H91" s="100"/>
      <c r="I91" s="101"/>
      <c r="J91" s="102"/>
      <c r="K91" s="103"/>
      <c r="L91" s="49"/>
      <c r="M91" s="49"/>
      <c r="N91" s="51"/>
    </row>
    <row r="92" spans="1:14" ht="15.75" thickBot="1">
      <c r="A92" s="104" t="s">
        <v>95</v>
      </c>
      <c r="B92" s="105"/>
      <c r="C92" s="105"/>
      <c r="D92" s="105"/>
      <c r="E92" s="105"/>
      <c r="F92" s="105"/>
      <c r="G92" s="105"/>
      <c r="H92" s="105"/>
      <c r="I92" s="105"/>
      <c r="J92" s="105"/>
      <c r="K92" s="106">
        <f>K86+K89+K90</f>
        <v>463424.7</v>
      </c>
      <c r="L92" s="107"/>
      <c r="M92" s="107"/>
      <c r="N92" s="108"/>
    </row>
    <row r="93" spans="1:14">
      <c r="A93" s="73"/>
      <c r="B93" s="49"/>
      <c r="C93" s="49"/>
      <c r="D93" s="57"/>
      <c r="E93" s="57"/>
      <c r="F93" s="57"/>
      <c r="G93" s="49"/>
      <c r="H93" s="57"/>
      <c r="I93" s="57"/>
      <c r="J93" s="49"/>
      <c r="K93" s="49"/>
      <c r="L93" s="49"/>
      <c r="M93" s="49"/>
      <c r="N93" s="51"/>
    </row>
    <row r="94" spans="1:14">
      <c r="A94" s="171" t="s">
        <v>96</v>
      </c>
      <c r="B94" s="172"/>
      <c r="C94" s="172"/>
      <c r="D94" s="172"/>
      <c r="E94" s="172"/>
      <c r="F94" s="172"/>
      <c r="G94" s="172"/>
      <c r="H94" s="172"/>
      <c r="I94" s="172"/>
      <c r="J94" s="172"/>
      <c r="K94" s="172"/>
      <c r="L94" s="172"/>
      <c r="M94" s="172"/>
      <c r="N94" s="173"/>
    </row>
    <row r="95" spans="1:14">
      <c r="A95" s="174" t="s">
        <v>97</v>
      </c>
      <c r="B95" s="175"/>
      <c r="C95" s="175"/>
      <c r="D95" s="175"/>
      <c r="E95" s="175"/>
      <c r="F95" s="175"/>
      <c r="G95" s="175"/>
      <c r="H95" s="175"/>
      <c r="I95" s="175"/>
      <c r="J95" s="175"/>
      <c r="K95" s="175"/>
      <c r="L95" s="175"/>
      <c r="M95" s="175"/>
      <c r="N95" s="176"/>
    </row>
    <row r="96" spans="1:14">
      <c r="A96" s="73"/>
      <c r="B96" s="49"/>
      <c r="C96" s="49"/>
      <c r="D96" s="57"/>
      <c r="E96" s="57"/>
      <c r="F96" s="57"/>
      <c r="G96" s="49"/>
      <c r="H96" s="57"/>
      <c r="I96" s="57"/>
      <c r="J96" s="49"/>
      <c r="K96" s="49"/>
      <c r="L96" s="49"/>
      <c r="M96" s="49"/>
      <c r="N96" s="51"/>
    </row>
    <row r="97" spans="1:14">
      <c r="A97" s="73"/>
      <c r="B97" s="49"/>
      <c r="C97" s="49"/>
      <c r="D97" s="57"/>
      <c r="E97" s="57"/>
      <c r="F97" s="57"/>
      <c r="G97" s="49"/>
      <c r="H97" s="57"/>
      <c r="I97" s="57"/>
      <c r="J97" s="49"/>
      <c r="K97" s="49"/>
      <c r="L97" s="49"/>
      <c r="M97" s="49"/>
      <c r="N97" s="51"/>
    </row>
    <row r="98" spans="1:14">
      <c r="A98" s="73"/>
      <c r="B98" s="49"/>
      <c r="C98" s="49"/>
      <c r="D98" s="57"/>
      <c r="E98" s="57"/>
      <c r="F98" s="57"/>
      <c r="G98" s="49"/>
      <c r="H98" s="57"/>
      <c r="I98" s="57"/>
      <c r="J98" s="49"/>
      <c r="K98" s="49"/>
      <c r="L98" s="49"/>
      <c r="M98" s="49"/>
      <c r="N98" s="51"/>
    </row>
    <row r="99" spans="1:14">
      <c r="A99" s="73"/>
      <c r="B99" s="49"/>
      <c r="C99" s="49"/>
      <c r="D99" s="57"/>
      <c r="E99" s="57"/>
      <c r="F99" s="57"/>
      <c r="G99" s="49"/>
      <c r="H99" s="57"/>
      <c r="I99" s="57"/>
      <c r="J99" s="49"/>
      <c r="K99" s="49"/>
      <c r="L99" s="49"/>
      <c r="M99" s="49"/>
      <c r="N99" s="51"/>
    </row>
    <row r="100" spans="1:14">
      <c r="A100" s="73"/>
      <c r="B100" s="49"/>
      <c r="C100" s="49"/>
      <c r="D100" s="57"/>
      <c r="E100" s="57"/>
      <c r="F100" s="57"/>
      <c r="G100" s="49"/>
      <c r="H100" s="57"/>
      <c r="I100" s="57"/>
      <c r="J100" s="49"/>
      <c r="K100" s="49"/>
      <c r="L100" s="49"/>
      <c r="M100" s="49"/>
      <c r="N100" s="51"/>
    </row>
    <row r="101" spans="1:14">
      <c r="A101" s="73"/>
      <c r="B101" s="49"/>
      <c r="C101" s="49"/>
      <c r="D101" s="57"/>
      <c r="E101" s="57"/>
      <c r="F101" s="57"/>
      <c r="G101" s="49"/>
      <c r="H101" s="57"/>
      <c r="I101" s="57"/>
      <c r="J101" s="49"/>
      <c r="K101" s="49"/>
      <c r="L101" s="177"/>
      <c r="M101" s="177"/>
      <c r="N101" s="178"/>
    </row>
    <row r="102" spans="1:14">
      <c r="A102" s="73"/>
      <c r="B102" s="49"/>
      <c r="C102" s="49"/>
      <c r="D102" s="57"/>
      <c r="E102" s="57"/>
      <c r="F102" s="57"/>
      <c r="G102" s="49"/>
      <c r="H102" s="57"/>
      <c r="I102" s="57"/>
      <c r="J102" s="49"/>
      <c r="K102" s="49"/>
      <c r="L102" s="49"/>
      <c r="M102" s="49"/>
      <c r="N102" s="109" t="s">
        <v>98</v>
      </c>
    </row>
    <row r="103" spans="1:14">
      <c r="A103" s="73"/>
      <c r="B103" s="49"/>
      <c r="C103" s="49"/>
      <c r="D103" s="57"/>
      <c r="E103" s="57"/>
      <c r="F103" s="57"/>
      <c r="G103" s="49"/>
      <c r="H103" s="57"/>
      <c r="I103" s="57"/>
      <c r="J103" s="49"/>
      <c r="K103" s="49"/>
      <c r="L103" s="49"/>
      <c r="M103" s="49"/>
      <c r="N103" s="51"/>
    </row>
    <row r="104" spans="1:14">
      <c r="A104" s="73"/>
      <c r="B104" s="49"/>
      <c r="C104" s="49"/>
      <c r="D104" s="57"/>
      <c r="E104" s="57"/>
      <c r="F104" s="57"/>
      <c r="G104" s="49"/>
      <c r="H104" s="57"/>
      <c r="I104" s="57"/>
      <c r="J104" s="49"/>
      <c r="K104" s="49"/>
      <c r="L104" s="177"/>
      <c r="M104" s="177"/>
      <c r="N104" s="178"/>
    </row>
    <row r="105" spans="1:14">
      <c r="A105" s="73"/>
      <c r="B105" s="49"/>
      <c r="C105" s="49"/>
      <c r="D105" s="57"/>
      <c r="E105" s="57"/>
      <c r="F105" s="57"/>
      <c r="G105" s="49"/>
      <c r="H105" s="57"/>
      <c r="I105" s="57"/>
      <c r="J105" s="49"/>
      <c r="K105" s="49"/>
      <c r="L105" s="49"/>
      <c r="M105" s="49"/>
      <c r="N105" s="109" t="s">
        <v>99</v>
      </c>
    </row>
    <row r="106" spans="1:14">
      <c r="A106" s="73"/>
      <c r="B106" s="49"/>
      <c r="C106" s="49"/>
      <c r="D106" s="57"/>
      <c r="E106" s="57"/>
      <c r="F106" s="57"/>
      <c r="G106" s="49"/>
      <c r="H106" s="57"/>
      <c r="I106" s="57"/>
      <c r="J106" s="49"/>
      <c r="K106" s="49"/>
      <c r="L106" s="49"/>
      <c r="M106" s="49"/>
      <c r="N106" s="51"/>
    </row>
    <row r="107" spans="1:14">
      <c r="A107" s="73"/>
      <c r="B107" s="49"/>
      <c r="C107" s="49"/>
      <c r="D107" s="57"/>
      <c r="E107" s="57"/>
      <c r="F107" s="57"/>
      <c r="G107" s="49"/>
      <c r="H107" s="57"/>
      <c r="I107" s="57"/>
      <c r="J107" s="49"/>
      <c r="K107" s="49"/>
      <c r="L107" s="49"/>
      <c r="M107" s="49"/>
      <c r="N107" s="51"/>
    </row>
    <row r="108" spans="1:14" ht="15.75" thickBot="1">
      <c r="A108" s="110"/>
      <c r="B108" s="111"/>
      <c r="C108" s="111"/>
      <c r="D108" s="112"/>
      <c r="E108" s="113" t="s">
        <v>100</v>
      </c>
      <c r="F108" s="113"/>
      <c r="G108" s="111"/>
      <c r="H108" s="112"/>
      <c r="I108" s="112"/>
      <c r="J108" s="111"/>
      <c r="K108" s="111"/>
      <c r="L108" s="111"/>
      <c r="M108" s="111"/>
      <c r="N108" s="114"/>
    </row>
  </sheetData>
  <mergeCells count="17">
    <mergeCell ref="A94:N94"/>
    <mergeCell ref="A95:N95"/>
    <mergeCell ref="L101:N101"/>
    <mergeCell ref="L104:N104"/>
    <mergeCell ref="A15:G15"/>
    <mergeCell ref="H15:N15"/>
    <mergeCell ref="A16:G21"/>
    <mergeCell ref="A23:N23"/>
    <mergeCell ref="A26:K27"/>
    <mergeCell ref="A86:B86"/>
    <mergeCell ref="F1:J2"/>
    <mergeCell ref="A9:G9"/>
    <mergeCell ref="H9:N9"/>
    <mergeCell ref="A10:G13"/>
    <mergeCell ref="H12:K13"/>
    <mergeCell ref="A14:G14"/>
    <mergeCell ref="H14:N14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DB</vt:lpstr>
      <vt:lpstr>TEMPLATE</vt:lpstr>
      <vt:lpstr>HOME</vt:lpstr>
      <vt:lpstr>PACKING LIST</vt:lpstr>
      <vt:lpstr>LOAD</vt:lpstr>
      <vt:lpstr>INVOICE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exim gm2</cp:lastModifiedBy>
  <dcterms:created xsi:type="dcterms:W3CDTF">2024-06-18T07:33:50Z</dcterms:created>
  <dcterms:modified xsi:type="dcterms:W3CDTF">2024-10-14T02:44:50Z</dcterms:modified>
</cp:coreProperties>
</file>