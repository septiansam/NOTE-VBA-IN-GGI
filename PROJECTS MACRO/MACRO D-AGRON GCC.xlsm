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5.0.27\bersama\BUYER EXPORT\MACRO EXIM\PAKE YG INI\UPDATE MACRO\18-JUNI-2024\DEV\D-AGRON\TES\"/>
    </mc:Choice>
  </mc:AlternateContent>
  <xr:revisionPtr revIDLastSave="0" documentId="13_ncr:1_{209AD221-7413-41E2-BBCC-03E092CD9329}" xr6:coauthVersionLast="47" xr6:coauthVersionMax="47" xr10:uidLastSave="{00000000-0000-0000-0000-000000000000}"/>
  <bookViews>
    <workbookView xWindow="-120" yWindow="-120" windowWidth="20730" windowHeight="11160" firstSheet="1" activeTab="2" xr2:uid="{7392ECCE-5F05-4C46-BFA1-4574D42CAEF1}"/>
  </bookViews>
  <sheets>
    <sheet name="DB" sheetId="2" state="hidden" r:id="rId1"/>
    <sheet name="HOME" sheetId="53" r:id="rId2"/>
    <sheet name="Packing List" sheetId="137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3" i="137" l="1"/>
  <c r="K63" i="137"/>
  <c r="L63" i="137"/>
  <c r="M63" i="137"/>
  <c r="N63" i="137"/>
  <c r="L3" i="137"/>
  <c r="L4" i="137"/>
  <c r="L5" i="137"/>
  <c r="L6" i="137"/>
  <c r="L7" i="137"/>
  <c r="L8" i="137"/>
  <c r="L9" i="137"/>
  <c r="L10" i="137"/>
  <c r="L11" i="137"/>
  <c r="L12" i="137"/>
  <c r="L13" i="137"/>
  <c r="L14" i="137"/>
  <c r="L15" i="137"/>
  <c r="L16" i="137"/>
  <c r="L17" i="137"/>
  <c r="L18" i="137"/>
  <c r="L19" i="137"/>
  <c r="L20" i="137"/>
  <c r="L21" i="137"/>
  <c r="L22" i="137"/>
  <c r="L23" i="137"/>
  <c r="L24" i="137"/>
  <c r="L25" i="137"/>
  <c r="L26" i="137"/>
  <c r="L27" i="137"/>
  <c r="L28" i="137"/>
  <c r="L29" i="137"/>
  <c r="L30" i="137"/>
  <c r="L31" i="137"/>
  <c r="L32" i="137"/>
  <c r="L33" i="137"/>
  <c r="L34" i="137"/>
  <c r="L35" i="137"/>
  <c r="L36" i="137"/>
  <c r="L37" i="137"/>
  <c r="L38" i="137"/>
  <c r="L39" i="137"/>
  <c r="L40" i="137"/>
  <c r="L41" i="137"/>
  <c r="L42" i="137"/>
  <c r="L43" i="137"/>
  <c r="L44" i="137"/>
  <c r="L45" i="137"/>
  <c r="L46" i="137"/>
  <c r="L47" i="137"/>
  <c r="L48" i="137"/>
  <c r="L49" i="137"/>
  <c r="L50" i="137"/>
  <c r="L51" i="137"/>
  <c r="L52" i="137"/>
  <c r="L53" i="137"/>
  <c r="L54" i="137"/>
  <c r="L55" i="137"/>
  <c r="L56" i="137"/>
  <c r="L57" i="137"/>
  <c r="L58" i="137"/>
  <c r="L59" i="137"/>
  <c r="L60" i="137"/>
  <c r="L61" i="137"/>
  <c r="L62" i="137"/>
  <c r="V3" i="137"/>
  <c r="V4" i="137"/>
  <c r="V5" i="137"/>
  <c r="V6" i="137"/>
  <c r="V7" i="137"/>
  <c r="V8" i="137"/>
  <c r="V9" i="137"/>
  <c r="V10" i="137"/>
  <c r="V11" i="137"/>
  <c r="V12" i="137"/>
  <c r="V13" i="137"/>
  <c r="V14" i="137"/>
  <c r="V15" i="137"/>
  <c r="V16" i="137"/>
  <c r="V17" i="137"/>
  <c r="V18" i="137"/>
  <c r="V19" i="137"/>
  <c r="V20" i="137"/>
  <c r="V21" i="137"/>
  <c r="V22" i="137"/>
  <c r="V23" i="137"/>
  <c r="V24" i="137"/>
  <c r="V25" i="137"/>
  <c r="V26" i="137"/>
  <c r="V27" i="137"/>
  <c r="V28" i="137"/>
  <c r="V29" i="137"/>
  <c r="V30" i="137"/>
  <c r="V31" i="137"/>
  <c r="V32" i="137"/>
  <c r="V33" i="137"/>
  <c r="V34" i="137"/>
  <c r="V35" i="137"/>
  <c r="V36" i="137"/>
  <c r="V37" i="137"/>
  <c r="V38" i="137"/>
  <c r="V39" i="137"/>
  <c r="V40" i="137"/>
  <c r="V41" i="137"/>
  <c r="V42" i="137"/>
  <c r="V43" i="137"/>
  <c r="V44" i="137"/>
  <c r="V45" i="137"/>
  <c r="V46" i="137"/>
  <c r="V47" i="137"/>
  <c r="V48" i="137"/>
  <c r="V49" i="137"/>
  <c r="V50" i="137"/>
  <c r="V51" i="137"/>
  <c r="V52" i="137"/>
  <c r="V53" i="137"/>
  <c r="V54" i="137"/>
  <c r="V55" i="137"/>
  <c r="V56" i="137"/>
  <c r="V57" i="137"/>
  <c r="V58" i="137"/>
  <c r="V59" i="137"/>
  <c r="V60" i="137"/>
  <c r="V61" i="137"/>
  <c r="V62" i="137"/>
  <c r="P3" i="137"/>
  <c r="P4" i="137"/>
  <c r="P5" i="137"/>
  <c r="P6" i="137"/>
  <c r="P7" i="137"/>
  <c r="P8" i="137"/>
  <c r="P9" i="137"/>
  <c r="P10" i="137"/>
  <c r="P11" i="137"/>
  <c r="P12" i="137"/>
  <c r="P13" i="137"/>
  <c r="P14" i="137"/>
  <c r="P15" i="137"/>
  <c r="P16" i="137"/>
  <c r="P17" i="137"/>
  <c r="P18" i="137"/>
  <c r="P19" i="137"/>
  <c r="P20" i="137"/>
  <c r="P21" i="137"/>
  <c r="P22" i="137"/>
  <c r="P23" i="137"/>
  <c r="P24" i="137"/>
  <c r="P25" i="137"/>
  <c r="P26" i="137"/>
  <c r="P27" i="137"/>
  <c r="P28" i="137"/>
  <c r="P29" i="137"/>
  <c r="P30" i="137"/>
  <c r="P31" i="137"/>
  <c r="P32" i="137"/>
  <c r="P33" i="137"/>
  <c r="P34" i="137"/>
  <c r="P35" i="137"/>
  <c r="P36" i="137"/>
  <c r="P37" i="137"/>
  <c r="P38" i="137"/>
  <c r="P39" i="137"/>
  <c r="P40" i="137"/>
  <c r="P41" i="137"/>
  <c r="P42" i="137"/>
  <c r="P43" i="137"/>
  <c r="P44" i="137"/>
  <c r="P45" i="137"/>
  <c r="P46" i="137"/>
  <c r="P47" i="137"/>
  <c r="P48" i="137"/>
  <c r="P49" i="137"/>
  <c r="P50" i="137"/>
  <c r="P51" i="137"/>
  <c r="P52" i="137"/>
  <c r="P53" i="137"/>
  <c r="P54" i="137"/>
  <c r="P55" i="137"/>
  <c r="P56" i="137"/>
  <c r="P57" i="137"/>
  <c r="P58" i="137"/>
  <c r="P59" i="137"/>
  <c r="P60" i="137"/>
  <c r="P61" i="137"/>
  <c r="P62" i="137"/>
  <c r="O3" i="137"/>
  <c r="O4" i="137"/>
  <c r="O5" i="137"/>
  <c r="O6" i="137"/>
  <c r="O7" i="137"/>
  <c r="O8" i="137"/>
  <c r="O9" i="137"/>
  <c r="O10" i="137"/>
  <c r="O11" i="137"/>
  <c r="O12" i="137"/>
  <c r="O13" i="137"/>
  <c r="O14" i="137"/>
  <c r="O15" i="137"/>
  <c r="O16" i="137"/>
  <c r="O17" i="137"/>
  <c r="O18" i="137"/>
  <c r="O19" i="137"/>
  <c r="O20" i="137"/>
  <c r="O21" i="137"/>
  <c r="O22" i="137"/>
  <c r="O23" i="137"/>
  <c r="O24" i="137"/>
  <c r="O25" i="137"/>
  <c r="O26" i="137"/>
  <c r="O27" i="137"/>
  <c r="O28" i="137"/>
  <c r="O29" i="137"/>
  <c r="O30" i="137"/>
  <c r="O31" i="137"/>
  <c r="O32" i="137"/>
  <c r="O33" i="137"/>
  <c r="O34" i="137"/>
  <c r="O35" i="137"/>
  <c r="O36" i="137"/>
  <c r="O37" i="137"/>
  <c r="O38" i="137"/>
  <c r="O39" i="137"/>
  <c r="O40" i="137"/>
  <c r="O41" i="137"/>
  <c r="O42" i="137"/>
  <c r="O43" i="137"/>
  <c r="O44" i="137"/>
  <c r="O45" i="137"/>
  <c r="O46" i="137"/>
  <c r="O47" i="137"/>
  <c r="O48" i="137"/>
  <c r="O49" i="137"/>
  <c r="O50" i="137"/>
  <c r="O51" i="137"/>
  <c r="O52" i="137"/>
  <c r="O53" i="137"/>
  <c r="O54" i="137"/>
  <c r="O55" i="137"/>
  <c r="O56" i="137"/>
  <c r="O57" i="137"/>
  <c r="O58" i="137"/>
  <c r="O59" i="137"/>
  <c r="O60" i="137"/>
  <c r="O61" i="137"/>
  <c r="O62" i="137"/>
  <c r="I3" i="137"/>
  <c r="I4" i="137"/>
  <c r="I5" i="137"/>
  <c r="I6" i="137"/>
  <c r="I7" i="137"/>
  <c r="I8" i="137"/>
  <c r="I9" i="137"/>
  <c r="I10" i="137"/>
  <c r="I11" i="137"/>
  <c r="I12" i="137"/>
  <c r="I13" i="137"/>
  <c r="I14" i="137"/>
  <c r="I15" i="137"/>
  <c r="I16" i="137"/>
  <c r="I17" i="137"/>
  <c r="I18" i="137"/>
  <c r="I19" i="137"/>
  <c r="I20" i="137"/>
  <c r="I21" i="137"/>
  <c r="I22" i="137"/>
  <c r="I23" i="137"/>
  <c r="I24" i="137"/>
  <c r="I25" i="137"/>
  <c r="I26" i="137"/>
  <c r="I27" i="137"/>
  <c r="I28" i="137"/>
  <c r="I29" i="137"/>
  <c r="I30" i="137"/>
  <c r="I31" i="137"/>
  <c r="I32" i="137"/>
  <c r="I33" i="137"/>
  <c r="I34" i="137"/>
  <c r="I35" i="137"/>
  <c r="I36" i="137"/>
  <c r="I37" i="137"/>
  <c r="I38" i="137"/>
  <c r="I39" i="137"/>
  <c r="I40" i="137"/>
  <c r="I41" i="137"/>
  <c r="I42" i="137"/>
  <c r="I43" i="137"/>
  <c r="I44" i="137"/>
  <c r="I45" i="137"/>
  <c r="I46" i="137"/>
  <c r="I47" i="137"/>
  <c r="I48" i="137"/>
  <c r="I49" i="137"/>
  <c r="I50" i="137"/>
  <c r="I51" i="137"/>
  <c r="I52" i="137"/>
  <c r="I53" i="137"/>
  <c r="I54" i="137"/>
  <c r="I55" i="137"/>
  <c r="I56" i="137"/>
  <c r="I57" i="137"/>
  <c r="I58" i="137"/>
  <c r="I59" i="137"/>
  <c r="I60" i="137"/>
  <c r="I61" i="137"/>
  <c r="I62" i="137"/>
  <c r="K3" i="137"/>
  <c r="K4" i="137"/>
  <c r="K5" i="137"/>
  <c r="K6" i="137"/>
  <c r="K7" i="137"/>
  <c r="K8" i="137"/>
  <c r="K9" i="137"/>
  <c r="K10" i="137"/>
  <c r="K11" i="137"/>
  <c r="K12" i="137"/>
  <c r="K13" i="137"/>
  <c r="K14" i="137"/>
  <c r="K15" i="137"/>
  <c r="K16" i="137"/>
  <c r="K17" i="137"/>
  <c r="K18" i="137"/>
  <c r="K19" i="137"/>
  <c r="K20" i="137"/>
  <c r="K21" i="137"/>
  <c r="K22" i="137"/>
  <c r="K23" i="137"/>
  <c r="K24" i="137"/>
  <c r="K25" i="137"/>
  <c r="K26" i="137"/>
  <c r="K27" i="137"/>
  <c r="K28" i="137"/>
  <c r="K29" i="137"/>
  <c r="K30" i="137"/>
  <c r="K31" i="137"/>
  <c r="K32" i="137"/>
  <c r="K33" i="137"/>
  <c r="K34" i="137"/>
  <c r="K35" i="137"/>
  <c r="K36" i="137"/>
  <c r="K37" i="137"/>
  <c r="K38" i="137"/>
  <c r="K39" i="137"/>
  <c r="K40" i="137"/>
  <c r="K41" i="137"/>
  <c r="K42" i="137"/>
  <c r="K43" i="137"/>
  <c r="K44" i="137"/>
  <c r="K45" i="137"/>
  <c r="K46" i="137"/>
  <c r="K47" i="137"/>
  <c r="K48" i="137"/>
  <c r="K49" i="137"/>
  <c r="K50" i="137"/>
  <c r="K51" i="137"/>
  <c r="K52" i="137"/>
  <c r="K53" i="137"/>
  <c r="K54" i="137"/>
  <c r="K55" i="137"/>
  <c r="K56" i="137"/>
  <c r="K57" i="137"/>
  <c r="K58" i="137"/>
  <c r="K59" i="137"/>
  <c r="K60" i="137"/>
  <c r="K61" i="137"/>
  <c r="K62" i="137"/>
  <c r="H3" i="137"/>
  <c r="H4" i="137"/>
  <c r="H5" i="137"/>
  <c r="H6" i="137"/>
  <c r="H7" i="137"/>
  <c r="H8" i="137"/>
  <c r="H9" i="137"/>
  <c r="H10" i="137"/>
  <c r="H11" i="137"/>
  <c r="H12" i="137"/>
  <c r="H13" i="137"/>
  <c r="H14" i="137"/>
  <c r="H15" i="137"/>
  <c r="H16" i="137"/>
  <c r="H17" i="137"/>
  <c r="H18" i="137"/>
  <c r="H19" i="137"/>
  <c r="H20" i="137"/>
  <c r="H21" i="137"/>
  <c r="H22" i="137"/>
  <c r="H23" i="137"/>
  <c r="H24" i="137"/>
  <c r="H25" i="137"/>
  <c r="H26" i="137"/>
  <c r="H27" i="137"/>
  <c r="H28" i="137"/>
  <c r="H29" i="137"/>
  <c r="H30" i="137"/>
  <c r="H31" i="137"/>
  <c r="H32" i="137"/>
  <c r="H33" i="137"/>
  <c r="H34" i="137"/>
  <c r="H35" i="137"/>
  <c r="H36" i="137"/>
  <c r="H37" i="137"/>
  <c r="H38" i="137"/>
  <c r="H39" i="137"/>
  <c r="H40" i="137"/>
  <c r="H41" i="137"/>
  <c r="H42" i="137"/>
  <c r="H43" i="137"/>
  <c r="H44" i="137"/>
  <c r="H45" i="137"/>
  <c r="H46" i="137"/>
  <c r="H47" i="137"/>
  <c r="H48" i="137"/>
  <c r="H49" i="137"/>
  <c r="H50" i="137"/>
  <c r="H51" i="137"/>
  <c r="H52" i="137"/>
  <c r="H53" i="137"/>
  <c r="H54" i="137"/>
  <c r="H55" i="137"/>
  <c r="H56" i="137"/>
  <c r="H57" i="137"/>
  <c r="H58" i="137"/>
  <c r="H59" i="137"/>
  <c r="H60" i="137"/>
  <c r="H61" i="137"/>
  <c r="H62" i="1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7" authorId="0" shapeId="0" xr:uid="{D9CD28F2-2C0F-4956-AFF7-CCCA05E6DAB0}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Invoice</t>
        </r>
      </text>
    </comment>
    <comment ref="E8" authorId="0" shapeId="0" xr:uid="{B0F5CC16-7D7B-45A8-99B4-D0F4CD0D8161}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FINAL SI</t>
        </r>
      </text>
    </comment>
    <comment ref="E9" authorId="0" shapeId="0" xr:uid="{11F920BC-7BBC-4518-A7EC-9DD581D632C0}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LOADINGAN</t>
        </r>
      </text>
    </comment>
  </commentList>
</comments>
</file>

<file path=xl/sharedStrings.xml><?xml version="1.0" encoding="utf-8"?>
<sst xmlns="http://schemas.openxmlformats.org/spreadsheetml/2006/main" count="680" uniqueCount="81">
  <si>
    <t>DIVISION</t>
  </si>
  <si>
    <t>CARTON RANGE</t>
  </si>
  <si>
    <t>ITEM #</t>
  </si>
  <si>
    <t>PO #</t>
  </si>
  <si>
    <t>DESCRIPTIONS</t>
  </si>
  <si>
    <t>COLOR</t>
  </si>
  <si>
    <t>SIZE</t>
  </si>
  <si>
    <t>#PACK/ CTN</t>
  </si>
  <si>
    <t>TTL BOOKED (PACK)</t>
  </si>
  <si>
    <t>TTL BOOKED (CTNS)</t>
  </si>
  <si>
    <t>TTL VOL (CBM)</t>
  </si>
  <si>
    <t>TTL  NETT WT (KGS)</t>
  </si>
  <si>
    <t>TTL GROSS WT (KGS)</t>
  </si>
  <si>
    <t>GROSS WT / CTN (KGS)</t>
  </si>
  <si>
    <t>NET WT / CTN (KGS)</t>
  </si>
  <si>
    <t>CTN DIMS (CM)</t>
  </si>
  <si>
    <t>CBM / CTN</t>
  </si>
  <si>
    <t>CONTAINER</t>
  </si>
  <si>
    <t>SEAL</t>
  </si>
  <si>
    <t xml:space="preserve">FABRIC CONTENT </t>
  </si>
  <si>
    <t>START CTN #</t>
  </si>
  <si>
    <t>END CTN #</t>
  </si>
  <si>
    <t>L</t>
  </si>
  <si>
    <t>x</t>
  </si>
  <si>
    <t>W</t>
  </si>
  <si>
    <t>H</t>
  </si>
  <si>
    <t>1X40'HC + 1 X 45'</t>
  </si>
  <si>
    <t>1X20'</t>
  </si>
  <si>
    <t>5158614A</t>
  </si>
  <si>
    <t>PO-0000075</t>
  </si>
  <si>
    <t>5158614B</t>
  </si>
  <si>
    <t>5158614C</t>
  </si>
  <si>
    <t>5158614D</t>
  </si>
  <si>
    <t>5158614E</t>
  </si>
  <si>
    <t>5158592A</t>
  </si>
  <si>
    <t>5158592B</t>
  </si>
  <si>
    <t>5158592C</t>
  </si>
  <si>
    <t>5158592D</t>
  </si>
  <si>
    <t>5158592E</t>
  </si>
  <si>
    <t>5158607A</t>
  </si>
  <si>
    <t>5158607B</t>
  </si>
  <si>
    <t>5158607C</t>
  </si>
  <si>
    <t>5158607D</t>
  </si>
  <si>
    <t>5158607E</t>
  </si>
  <si>
    <t>5158586A</t>
  </si>
  <si>
    <t>PO-0000077</t>
  </si>
  <si>
    <t>5158586B</t>
  </si>
  <si>
    <t>5158586C</t>
  </si>
  <si>
    <t>5158586D</t>
  </si>
  <si>
    <t>5158586E</t>
  </si>
  <si>
    <t>5158611A</t>
  </si>
  <si>
    <t>5158611B</t>
  </si>
  <si>
    <t>5158611C</t>
  </si>
  <si>
    <t>5158611D</t>
  </si>
  <si>
    <t>5158611E</t>
  </si>
  <si>
    <t>5158594A</t>
  </si>
  <si>
    <t>5158594B</t>
  </si>
  <si>
    <t>5158594C</t>
  </si>
  <si>
    <t>5158594D</t>
  </si>
  <si>
    <t>5158594E</t>
  </si>
  <si>
    <t>MEN'S MICROFIBER 3-PACK BOXER BRIEF 91% POLYESTER 9% SPANDEX</t>
  </si>
  <si>
    <t>MEN'S MICROFIBER 3-PACK TRUNK 91% POLYESTER 9% SPANDEX</t>
  </si>
  <si>
    <t xml:space="preserve">BLACK | BLACK | BLACK               </t>
  </si>
  <si>
    <t xml:space="preserve">BLACK | ONIX | GREY               </t>
  </si>
  <si>
    <t xml:space="preserve">TEAM ROYAL BLUE | GREY | LEGEND INK               </t>
  </si>
  <si>
    <t xml:space="preserve">OLIVE STRATA | BLACK | ONIX               </t>
  </si>
  <si>
    <t>PATH FILE</t>
  </si>
  <si>
    <t>░</t>
  </si>
  <si>
    <t>▼Source</t>
  </si>
  <si>
    <t>JENIS FILE</t>
  </si>
  <si>
    <t>INVOICE</t>
  </si>
  <si>
    <t>FINAL SI</t>
  </si>
  <si>
    <t>LOADINGAN</t>
  </si>
  <si>
    <t>PILIH FILE</t>
  </si>
  <si>
    <t>\\10.5.0.27\bersama\BUYER EXPORT\2024\AGRON\20240524 INV 0177 AGRON BY SEA FM MAJALENGKA 1x40'HC+1x20' ID2073\INV0177EXPGGV2024 GCC.xlsx</t>
  </si>
  <si>
    <t>—</t>
  </si>
  <si>
    <t>\\10.5.0.27\bersama\BUYER EXPORT\2024\AGRON\20240524 INV 0177 AGRON BY SEA FM MAJALENGKA 1x40'HC+1x20' ID2073\FINAL SI.xls</t>
  </si>
  <si>
    <t>\\10.5.0.27\bersama\BUYER EXPORT\2024\AGRON\20240524 INV 0177 AGRON BY SEA FM MAJALENGKA 1x40'HC+1x20' ID2073\LOADINGAN 24 MEI ID2073.xlsx</t>
  </si>
  <si>
    <t>BRIEF</t>
  </si>
  <si>
    <t>DATA TIDAK DITEMUKAN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</si>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</sst>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0"/>
    <numFmt numFmtId="166" formatCode="0.0000"/>
  </numFmts>
  <fonts count="18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b/>
      <sz val="10"/>
      <name val="Verdana"/>
      <family val="2"/>
      <charset val="1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sz val="11"/>
      <color rgb="FF8497B0"/>
      <name val="Calibri"/>
      <family val="2"/>
      <scheme val="minor"/>
    </font>
    <font>
      <sz val="11"/>
      <color rgb="FFFFFF00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i/>
      <sz val="11"/>
      <color rgb="FFFF0000"/>
      <name val="Arial"/>
      <family val="2"/>
    </font>
    <font>
      <b/>
      <sz val="11"/>
      <color theme="0"/>
      <name val="Century Gothic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Century Gothic"/>
      <family val="2"/>
    </font>
    <font>
      <b/>
      <sz val="11"/>
      <color indexed="10"/>
      <name val="Trebuchet MS"/>
      <family val="2"/>
    </font>
    <font>
      <sz val="12"/>
      <name val="Calibri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1B4145"/>
        <bgColor indexed="64"/>
      </patternFill>
    </fill>
    <fill>
      <patternFill patternType="solid">
        <fgColor rgb="FF222B35"/>
        <bgColor indexed="64"/>
      </patternFill>
    </fill>
    <fill>
      <patternFill patternType="solid">
        <fgColor rgb="FF333F4F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CCFF"/>
      </top>
      <bottom style="thin">
        <color rgb="FF00CCF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5" borderId="0" xfId="0" applyFill="1" applyAlignment="1">
      <alignment horizontal="left"/>
    </xf>
    <xf numFmtId="0" fontId="0" fillId="5" borderId="0" xfId="0" applyFill="1"/>
    <xf numFmtId="0" fontId="5" fillId="6" borderId="0" xfId="0" applyFont="1" applyFill="1"/>
    <xf numFmtId="0" fontId="6" fillId="6" borderId="0" xfId="0" applyFont="1" applyFill="1"/>
    <xf numFmtId="0" fontId="5" fillId="6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7" borderId="0" xfId="0" applyFill="1"/>
    <xf numFmtId="0" fontId="7" fillId="7" borderId="0" xfId="0" applyFont="1" applyFill="1" applyAlignment="1">
      <alignment vertical="center"/>
    </xf>
    <xf numFmtId="0" fontId="10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3" fillId="0" borderId="4" xfId="1" applyFill="1" applyBorder="1" applyAlignment="1">
      <alignment horizontal="left" vertical="center"/>
    </xf>
    <xf numFmtId="0" fontId="11" fillId="0" borderId="4" xfId="0" applyFont="1" applyBorder="1" applyAlignment="1">
      <alignment horizontal="center" vertical="center"/>
    </xf>
    <xf numFmtId="0" fontId="0" fillId="9" borderId="0" xfId="0" applyFill="1"/>
    <xf numFmtId="0" fontId="0" fillId="0" borderId="0" xfId="0" applyFill="1"/>
    <xf numFmtId="0" fontId="4" fillId="0" borderId="0" xfId="0" applyFont="1" applyFill="1"/>
    <xf numFmtId="0" fontId="5" fillId="10" borderId="0" xfId="0" applyFont="1" applyFill="1"/>
    <xf numFmtId="0" fontId="4" fillId="9" borderId="0" xfId="0" applyFont="1" applyFill="1"/>
    <xf numFmtId="0" fontId="6" fillId="10" borderId="0" xfId="0" applyFont="1" applyFill="1"/>
    <xf numFmtId="0" fontId="16" fillId="0" borderId="4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17" fillId="0" borderId="0" xfId="0" applyFont="1"/>
    <xf numFmtId="0" fontId="17" fillId="0" borderId="5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4">
    <dxf>
      <fill>
        <patternFill patternType="darkTrellis">
          <fgColor rgb="FF008080"/>
          <bgColor rgb="FF003231"/>
        </patternFill>
      </fill>
    </dxf>
    <dxf>
      <fill>
        <patternFill>
          <bgColor rgb="FF008080"/>
        </patternFill>
      </fill>
    </dxf>
    <dxf>
      <font>
        <b/>
        <i val="0"/>
        <strike val="0"/>
        <color theme="0"/>
      </font>
      <fill>
        <patternFill>
          <bgColor rgb="FF003B3A"/>
        </patternFill>
      </fill>
    </dxf>
    <dxf>
      <fill>
        <gradientFill degree="90">
          <stop position="0">
            <color theme="0"/>
          </stop>
          <stop position="1">
            <color rgb="FF00808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4" xr9:uid="{BD62B3CC-914A-4B55-873B-A3DE0CE7EDB4}">
      <tableStyleElement type="wholeTable" dxfId="3"/>
      <tableStyleElement type="headerRow" dxfId="2"/>
      <tableStyleElement type="firstRowStripe" dxfId="1"/>
      <tableStyleElement type="firstColumnStripe" dxfId="0"/>
    </tableStyle>
  </tableStyles>
  <colors>
    <mruColors>
      <color rgb="FF1B4145"/>
      <color rgb="FF296369"/>
      <color rgb="FF00CCFF"/>
      <color rgb="FF2B696F"/>
      <color rgb="FF19FFFF"/>
      <color rgb="FF222B35"/>
      <color rgb="FF333F4F"/>
      <color rgb="FF003D5C"/>
      <color rgb="FF2F5597"/>
      <color rgb="FF2B4D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6</xdr:row>
      <xdr:rowOff>38102</xdr:rowOff>
    </xdr:from>
    <xdr:to>
      <xdr:col>4</xdr:col>
      <xdr:colOff>628650</xdr:colOff>
      <xdr:row>6</xdr:row>
      <xdr:rowOff>161926</xdr:rowOff>
    </xdr:to>
    <mc:AlternateContent xmlns:mc="http://schemas.openxmlformats.org/markup-compatibility/2006" xmlns:a14="http://schemas.microsoft.com/office/drawing/2010/main">
      <mc:Choice Requires="a14">
        <xdr:sp macro="[0]!Btn_GetInv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8C640577-B914-47DF-98FC-AF3115F26F91}"/>
                </a:ext>
              </a:extLst>
            </xdr:cNvPr>
            <xdr:cNvSpPr/>
          </xdr:nvSpPr>
          <xdr:spPr>
            <a:xfrm>
              <a:off x="9163050" y="128587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Inv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8C640577-B914-47DF-98FC-AF3115F26F91}"/>
                </a:ext>
              </a:extLst>
            </xdr:cNvPr>
            <xdr:cNvSpPr/>
          </xdr:nvSpPr>
          <xdr:spPr>
            <a:xfrm>
              <a:off x="9163050" y="128587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323850</xdr:colOff>
      <xdr:row>7</xdr:row>
      <xdr:rowOff>47627</xdr:rowOff>
    </xdr:from>
    <xdr:to>
      <xdr:col>4</xdr:col>
      <xdr:colOff>628650</xdr:colOff>
      <xdr:row>7</xdr:row>
      <xdr:rowOff>171451</xdr:rowOff>
    </xdr:to>
    <mc:AlternateContent xmlns:mc="http://schemas.openxmlformats.org/markup-compatibility/2006" xmlns:a14="http://schemas.microsoft.com/office/drawing/2010/main">
      <mc:Choice Requires="a14">
        <xdr:sp macro="[0]!Btn_GetFinalSI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id="{681BDCF4-C323-4CBE-B281-C37F0CCE379B}"/>
                </a:ext>
              </a:extLst>
            </xdr:cNvPr>
            <xdr:cNvSpPr/>
          </xdr:nvSpPr>
          <xdr:spPr>
            <a:xfrm>
              <a:off x="9163050" y="1504952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FinalSI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id="{681BDCF4-C323-4CBE-B281-C37F0CCE379B}"/>
                </a:ext>
              </a:extLst>
            </xdr:cNvPr>
            <xdr:cNvSpPr/>
          </xdr:nvSpPr>
          <xdr:spPr>
            <a:xfrm>
              <a:off x="9163050" y="1504952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323850</xdr:colOff>
      <xdr:row>8</xdr:row>
      <xdr:rowOff>57152</xdr:rowOff>
    </xdr:from>
    <xdr:to>
      <xdr:col>4</xdr:col>
      <xdr:colOff>628650</xdr:colOff>
      <xdr:row>8</xdr:row>
      <xdr:rowOff>180976</xdr:rowOff>
    </xdr:to>
    <mc:AlternateContent xmlns:mc="http://schemas.openxmlformats.org/markup-compatibility/2006" xmlns:a14="http://schemas.microsoft.com/office/drawing/2010/main">
      <mc:Choice Requires="a14">
        <xdr:sp macro="[0]!Btn_GetLoadingan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D158F45C-66B0-4BB1-9B42-1103E8FF1A6B}"/>
                </a:ext>
              </a:extLst>
            </xdr:cNvPr>
            <xdr:cNvSpPr/>
          </xdr:nvSpPr>
          <xdr:spPr>
            <a:xfrm>
              <a:off x="9163050" y="172402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Loadingan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D158F45C-66B0-4BB1-9B42-1103E8FF1A6B}"/>
                </a:ext>
              </a:extLst>
            </xdr:cNvPr>
            <xdr:cNvSpPr/>
          </xdr:nvSpPr>
          <xdr:spPr>
            <a:xfrm>
              <a:off x="9163050" y="172402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3</xdr:col>
      <xdr:colOff>1095375</xdr:colOff>
      <xdr:row>12</xdr:row>
      <xdr:rowOff>161925</xdr:rowOff>
    </xdr:from>
    <xdr:to>
      <xdr:col>4</xdr:col>
      <xdr:colOff>714375</xdr:colOff>
      <xdr:row>14</xdr:row>
      <xdr:rowOff>114300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910F26D-67A8-F592-18AB-0270469C978B}"/>
            </a:ext>
          </a:extLst>
        </xdr:cNvPr>
        <xdr:cNvSpPr/>
      </xdr:nvSpPr>
      <xdr:spPr>
        <a:xfrm>
          <a:off x="3152775" y="2619375"/>
          <a:ext cx="5467350" cy="352425"/>
        </a:xfrm>
        <a:prstGeom prst="roundRect">
          <a:avLst/>
        </a:prstGeom>
        <a:solidFill>
          <a:srgbClr val="1B4145"/>
        </a:solidFill>
        <a:ln>
          <a:noFill/>
        </a:ln>
        <a:effectLst>
          <a:outerShdw blurRad="127000" dist="25400" dir="6600000" algn="ctr">
            <a:srgbClr val="00CCFF">
              <a:alpha val="8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 extrusionH="63500" contourW="31750" prstMaterial="matte">
          <a:bevelT w="95250" h="114300" prst="relaxedInset"/>
          <a:bevelB w="50800" prst="softRound"/>
          <a:extrusionClr>
            <a:srgbClr val="222B35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rebuchet MS" panose="020B0603020202020204" pitchFamily="34" charset="0"/>
            </a:rPr>
            <a:t>░ ► EXECUTE MACRO◄ ░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TARIKAN%20REPORT%20WO%20BUYER" TargetMode="External"/><Relationship Id="rId7" Type="http://schemas.openxmlformats.org/officeDocument/2006/relationships/comments" Target="../comments1.xml"/><Relationship Id="rId2" Type="http://schemas.openxmlformats.org/officeDocument/2006/relationships/hyperlink" Target="TARIKAN%20EKSPOR%20PLAN" TargetMode="External"/><Relationship Id="rId1" Type="http://schemas.openxmlformats.org/officeDocument/2006/relationships/hyperlink" Target="../../../../../../../2024/AGRON/20240524%20INV%200177%20AGRON%20BY%20SEA%20FM%20MAJALENGKA%201x40'HC+1x20'%20ID2073/INV0177EXPGGV2024%20GCC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B06D8-FE06-4C41-B6BA-B3A4D0E53C11}">
  <sheetPr codeName="Sheet2">
    <tabColor rgb="FF00B0F0"/>
  </sheetPr>
  <dimension ref="A1:Y2"/>
  <sheetViews>
    <sheetView topLeftCell="I1" workbookViewId="0">
      <selection activeCell="Q7" sqref="Q7"/>
    </sheetView>
  </sheetViews>
  <sheetFormatPr defaultRowHeight="15" x14ac:dyDescent="0.25"/>
  <cols>
    <col min="6" max="6" width="8.85546875" bestFit="1" customWidth="1"/>
    <col min="25" max="25" width="23.85546875" customWidth="1"/>
  </cols>
  <sheetData>
    <row r="1" spans="1:25" s="28" customFormat="1" ht="25.5" x14ac:dyDescent="0.25">
      <c r="A1" s="37" t="s">
        <v>0</v>
      </c>
      <c r="B1" s="40" t="s">
        <v>1</v>
      </c>
      <c r="C1" s="40"/>
      <c r="D1" s="41" t="s">
        <v>2</v>
      </c>
      <c r="E1" s="41" t="s">
        <v>3</v>
      </c>
      <c r="F1" s="36" t="s">
        <v>4</v>
      </c>
      <c r="G1" s="40" t="s">
        <v>5</v>
      </c>
      <c r="H1" s="40" t="s">
        <v>6</v>
      </c>
      <c r="I1" s="37" t="s">
        <v>7</v>
      </c>
      <c r="J1" s="36" t="s">
        <v>8</v>
      </c>
      <c r="K1" s="37" t="s">
        <v>9</v>
      </c>
      <c r="L1" s="42" t="s">
        <v>10</v>
      </c>
      <c r="M1" s="36" t="s">
        <v>11</v>
      </c>
      <c r="N1" s="36" t="s">
        <v>12</v>
      </c>
      <c r="O1" s="37" t="s">
        <v>13</v>
      </c>
      <c r="P1" s="38" t="s">
        <v>14</v>
      </c>
      <c r="Q1" s="39" t="s">
        <v>15</v>
      </c>
      <c r="R1" s="39"/>
      <c r="S1" s="39"/>
      <c r="T1" s="39"/>
      <c r="U1" s="39"/>
      <c r="V1" s="37" t="s">
        <v>16</v>
      </c>
      <c r="W1" s="23" t="s">
        <v>17</v>
      </c>
      <c r="X1" s="37" t="s">
        <v>18</v>
      </c>
      <c r="Y1" s="34" t="s">
        <v>19</v>
      </c>
    </row>
    <row r="2" spans="1:25" s="28" customFormat="1" ht="38.25" x14ac:dyDescent="0.25">
      <c r="A2" s="37"/>
      <c r="B2" s="22" t="s">
        <v>20</v>
      </c>
      <c r="C2" s="22" t="s">
        <v>21</v>
      </c>
      <c r="D2" s="41"/>
      <c r="E2" s="41"/>
      <c r="F2" s="36"/>
      <c r="G2" s="40"/>
      <c r="H2" s="40"/>
      <c r="I2" s="37"/>
      <c r="J2" s="36"/>
      <c r="K2" s="37"/>
      <c r="L2" s="42"/>
      <c r="M2" s="36"/>
      <c r="N2" s="36"/>
      <c r="O2" s="37"/>
      <c r="P2" s="38"/>
      <c r="Q2" s="24" t="s">
        <v>22</v>
      </c>
      <c r="R2" s="24" t="s">
        <v>23</v>
      </c>
      <c r="S2" s="24" t="s">
        <v>24</v>
      </c>
      <c r="T2" s="24" t="s">
        <v>23</v>
      </c>
      <c r="U2" s="24" t="s">
        <v>25</v>
      </c>
      <c r="V2" s="37"/>
      <c r="W2" s="23" t="s">
        <v>26</v>
      </c>
      <c r="X2" s="37" t="s">
        <v>27</v>
      </c>
      <c r="Y2" s="35"/>
    </row>
  </sheetData>
  <mergeCells count="19">
    <mergeCell ref="M1:M2"/>
    <mergeCell ref="A1:A2"/>
    <mergeCell ref="B1:C1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Y1:Y2"/>
    <mergeCell ref="N1:N2"/>
    <mergeCell ref="O1:O2"/>
    <mergeCell ref="P1:P2"/>
    <mergeCell ref="Q1:U1"/>
    <mergeCell ref="V1:V2"/>
    <mergeCell ref="X1:X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C4831-7C31-4EA8-8A6A-181DC4041348}">
  <sheetPr codeName="Sheet7">
    <tabColor rgb="FFFFC000"/>
  </sheetPr>
  <dimension ref="A1:K17"/>
  <sheetViews>
    <sheetView workbookViewId="0"/>
  </sheetViews>
  <sheetFormatPr defaultRowHeight="15.75" x14ac:dyDescent="0.25"/>
  <cols>
    <col min="1" max="1" width="6.85546875" customWidth="1"/>
    <col min="2" max="2" width="8.5703125" style="17" customWidth="1"/>
    <col min="3" max="3" width="15.42578125" style="10" customWidth="1"/>
    <col min="4" max="4" width="87.7109375" style="10" bestFit="1" customWidth="1"/>
    <col min="5" max="5" width="13.28515625" style="10" customWidth="1"/>
    <col min="6" max="6" width="9" style="16" customWidth="1"/>
  </cols>
  <sheetData>
    <row r="1" spans="1:11" ht="15" customHeight="1" x14ac:dyDescent="0.25">
      <c r="C1"/>
      <c r="D1"/>
      <c r="E1"/>
    </row>
    <row r="2" spans="1:11" ht="21" customHeight="1" x14ac:dyDescent="0.25">
      <c r="C2"/>
      <c r="D2"/>
      <c r="E2"/>
    </row>
    <row r="3" spans="1:11" s="2" customFormat="1" ht="7.5" customHeight="1" x14ac:dyDescent="0.25">
      <c r="A3" s="1" t="s">
        <v>67</v>
      </c>
      <c r="B3" s="18" t="s">
        <v>67</v>
      </c>
      <c r="C3" s="18"/>
      <c r="D3" s="4"/>
      <c r="E3" s="4"/>
      <c r="F3" s="20"/>
      <c r="G3" s="4"/>
      <c r="H3" s="4"/>
      <c r="I3" s="4"/>
      <c r="J3" s="5" t="s">
        <v>67</v>
      </c>
      <c r="K3" s="6" t="s">
        <v>67</v>
      </c>
    </row>
    <row r="4" spans="1:11" s="7" customFormat="1" ht="15.75" customHeight="1" x14ac:dyDescent="0.25">
      <c r="B4" s="19"/>
      <c r="C4" s="15"/>
      <c r="D4" s="8"/>
      <c r="E4" s="8"/>
      <c r="F4" s="15"/>
    </row>
    <row r="5" spans="1:11" s="7" customFormat="1" ht="20.100000000000001" customHeight="1" x14ac:dyDescent="0.25">
      <c r="B5" s="19"/>
      <c r="C5" s="43" t="s">
        <v>68</v>
      </c>
      <c r="D5" s="43"/>
      <c r="E5" s="43"/>
      <c r="F5" s="15"/>
    </row>
    <row r="6" spans="1:11" s="7" customFormat="1" ht="20.100000000000001" customHeight="1" x14ac:dyDescent="0.25">
      <c r="B6" s="19"/>
      <c r="C6" s="11" t="s">
        <v>69</v>
      </c>
      <c r="D6" s="11" t="s">
        <v>66</v>
      </c>
      <c r="E6" s="11" t="s">
        <v>73</v>
      </c>
      <c r="F6" s="15"/>
    </row>
    <row r="7" spans="1:11" s="7" customFormat="1" ht="17.100000000000001" customHeight="1" x14ac:dyDescent="0.25">
      <c r="B7" s="19"/>
      <c r="C7" s="12" t="s">
        <v>70</v>
      </c>
      <c r="D7" s="13" t="s">
        <v>74</v>
      </c>
      <c r="E7" s="21" t="s">
        <v>75</v>
      </c>
      <c r="F7" s="15"/>
    </row>
    <row r="8" spans="1:11" s="7" customFormat="1" ht="17.100000000000001" customHeight="1" x14ac:dyDescent="0.25">
      <c r="B8" s="19"/>
      <c r="C8" s="12" t="s">
        <v>71</v>
      </c>
      <c r="D8" s="13" t="s">
        <v>76</v>
      </c>
      <c r="E8" s="14" t="s">
        <v>75</v>
      </c>
      <c r="F8" s="15"/>
    </row>
    <row r="9" spans="1:11" s="7" customFormat="1" ht="17.100000000000001" customHeight="1" x14ac:dyDescent="0.25">
      <c r="B9" s="19"/>
      <c r="C9" s="12" t="s">
        <v>72</v>
      </c>
      <c r="D9" s="13" t="s">
        <v>77</v>
      </c>
      <c r="E9" s="14" t="s">
        <v>75</v>
      </c>
      <c r="F9" s="15"/>
    </row>
    <row r="10" spans="1:11" s="7" customFormat="1" ht="15" x14ac:dyDescent="0.25">
      <c r="B10" s="19"/>
      <c r="C10" s="15"/>
      <c r="D10" s="15"/>
      <c r="E10" s="15"/>
      <c r="F10" s="15"/>
    </row>
    <row r="11" spans="1:11" s="7" customFormat="1" ht="15" x14ac:dyDescent="0.25">
      <c r="B11" s="19"/>
      <c r="C11" s="15"/>
      <c r="D11" s="15"/>
      <c r="E11" s="15"/>
      <c r="F11" s="15"/>
    </row>
    <row r="12" spans="1:11" s="7" customFormat="1" x14ac:dyDescent="0.25">
      <c r="B12" s="19"/>
      <c r="C12" s="9"/>
      <c r="E12" s="9"/>
      <c r="F12" s="15"/>
    </row>
    <row r="13" spans="1:11" s="7" customFormat="1" x14ac:dyDescent="0.25">
      <c r="B13" s="19"/>
      <c r="C13" s="9"/>
      <c r="D13" s="9"/>
      <c r="E13" s="9"/>
      <c r="F13" s="15"/>
    </row>
    <row r="14" spans="1:11" s="7" customFormat="1" x14ac:dyDescent="0.25">
      <c r="B14" s="19"/>
      <c r="C14" s="9"/>
      <c r="D14" s="9"/>
      <c r="E14" s="9"/>
      <c r="F14" s="15"/>
    </row>
    <row r="15" spans="1:11" s="7" customFormat="1" x14ac:dyDescent="0.25">
      <c r="B15" s="19"/>
      <c r="C15" s="9"/>
      <c r="D15" s="9"/>
      <c r="E15" s="9"/>
      <c r="F15" s="15"/>
    </row>
    <row r="16" spans="1:11" s="7" customFormat="1" x14ac:dyDescent="0.25">
      <c r="B16" s="19"/>
      <c r="C16" s="9"/>
      <c r="D16" s="9"/>
      <c r="E16" s="9"/>
      <c r="F16" s="15"/>
    </row>
    <row r="17" spans="1:11" s="2" customFormat="1" ht="7.5" customHeight="1" x14ac:dyDescent="0.25">
      <c r="A17" s="1" t="s">
        <v>67</v>
      </c>
      <c r="B17" s="18" t="s">
        <v>67</v>
      </c>
      <c r="C17" s="3"/>
      <c r="D17" s="4"/>
      <c r="E17" s="4"/>
      <c r="F17" s="20"/>
      <c r="G17" s="4"/>
      <c r="H17" s="4"/>
      <c r="I17" s="4"/>
      <c r="J17" s="5" t="s">
        <v>67</v>
      </c>
      <c r="K17" s="6" t="s">
        <v>67</v>
      </c>
    </row>
  </sheetData>
  <mergeCells count="1">
    <mergeCell ref="C5:E5"/>
  </mergeCells>
  <hyperlinks>
    <hyperlink ref="D7" r:id="rId1" xr:uid="{5B0DF4E3-9735-44AB-A0C6-FABF21076F4F}"/>
    <hyperlink ref="D8" r:id="rId2" display="\\10.8.0.35\Bersama\IT\RPA PPIC\View open PO VS ex factory\TARIKAN EKSPOR PLAN" xr:uid="{841265E0-F4BC-48CA-AD6B-1CA97D23458B}"/>
    <hyperlink ref="D9" r:id="rId3" display="\\10.8.0.35\Bersama\IT\RPA PPIC\View open PO VS ex factory\TARIKAN REPORT WO BUYER" xr:uid="{C1393460-B1FB-4D35-B28E-258F0AA1BFA8}"/>
  </hyperlinks>
  <pageMargins left="0.7" right="0.7" top="0.75" bottom="0.75" header="0.3" footer="0.3"/>
  <pageSetup orientation="portrait" r:id="rId4"/>
  <drawing r:id="rId5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5113-AD65-49FF-BF26-1E4370D90736}">
  <sheetPr codeName="Sheet5">
    <tabColor rgb="FFA0BC11"/>
  </sheetPr>
  <dimension ref="A1:Y63"/>
  <sheetViews>
    <sheetView tabSelected="1" workbookViewId="0">
      <selection sqref="A1:A2"/>
    </sheetView>
  </sheetViews>
  <sheetFormatPr defaultRowHeight="15" x14ac:dyDescent="0.25"/>
  <cols>
    <col min="1" max="1" width="12.140625" customWidth="1"/>
    <col min="2" max="2" width="10.5703125" customWidth="1"/>
    <col min="3" max="3" width="10.42578125" customWidth="1"/>
    <col min="4" max="4" width="12.28515625" customWidth="1"/>
    <col min="5" max="5" width="14.28515625" customWidth="1"/>
    <col min="6" max="6" width="11.85546875" customWidth="1"/>
    <col min="7" max="7" width="46" customWidth="1"/>
    <col min="8" max="8" width="9" customWidth="1"/>
    <col min="9" max="9" width="11.28515625" customWidth="1"/>
    <col min="10" max="11" width="17" customWidth="1"/>
    <col min="12" max="12" width="15" customWidth="1"/>
    <col min="13" max="13" width="14" customWidth="1"/>
    <col min="14" max="14" width="15.140625" customWidth="1"/>
    <col min="15" max="15" width="16.85546875" customWidth="1"/>
    <col min="16" max="16" width="14.85546875" customWidth="1"/>
    <col min="17" max="17" width="9" customWidth="1"/>
    <col min="18" max="18" width="5.5703125" customWidth="1"/>
    <col min="19" max="19" width="9" customWidth="1"/>
    <col min="20" max="20" width="5.5703125" customWidth="1"/>
    <col min="21" max="21" width="9" customWidth="1"/>
    <col min="22" max="22" width="10.7109375" customWidth="1"/>
    <col min="23" max="24" width="26.140625" customWidth="1"/>
    <col min="25" max="25" width="66.85546875" customWidth="1"/>
  </cols>
  <sheetData>
    <row r="1" spans="1:25" ht="25.5" x14ac:dyDescent="0.25">
      <c r="A1" s="37" t="s">
        <v>0</v>
      </c>
      <c r="B1" s="40" t="s">
        <v>1</v>
      </c>
      <c r="C1" s="40"/>
      <c r="D1" s="41" t="s">
        <v>2</v>
      </c>
      <c r="E1" s="41" t="s">
        <v>3</v>
      </c>
      <c r="F1" s="36" t="s">
        <v>4</v>
      </c>
      <c r="G1" s="40" t="s">
        <v>5</v>
      </c>
      <c r="H1" s="40" t="s">
        <v>6</v>
      </c>
      <c r="I1" s="37" t="s">
        <v>7</v>
      </c>
      <c r="J1" s="36" t="s">
        <v>8</v>
      </c>
      <c r="K1" s="37" t="s">
        <v>9</v>
      </c>
      <c r="L1" s="42" t="s">
        <v>10</v>
      </c>
      <c r="M1" s="36" t="s">
        <v>11</v>
      </c>
      <c r="N1" s="36" t="s">
        <v>12</v>
      </c>
      <c r="O1" s="37" t="s">
        <v>13</v>
      </c>
      <c r="P1" s="38" t="s">
        <v>14</v>
      </c>
      <c r="Q1" s="39" t="s">
        <v>15</v>
      </c>
      <c r="R1" s="39"/>
      <c r="S1" s="39"/>
      <c r="T1" s="39"/>
      <c r="U1" s="39"/>
      <c r="V1" s="37" t="s">
        <v>16</v>
      </c>
      <c r="W1" s="26" t="s">
        <v>17</v>
      </c>
      <c r="X1" s="37" t="s">
        <v>18</v>
      </c>
      <c r="Y1" s="34" t="s">
        <v>19</v>
      </c>
    </row>
    <row r="2" spans="1:25" ht="25.5" x14ac:dyDescent="0.25">
      <c r="A2" s="37"/>
      <c r="B2" s="25" t="s">
        <v>20</v>
      </c>
      <c r="C2" s="25" t="s">
        <v>21</v>
      </c>
      <c r="D2" s="41"/>
      <c r="E2" s="41"/>
      <c r="F2" s="36"/>
      <c r="G2" s="40"/>
      <c r="H2" s="40"/>
      <c r="I2" s="37"/>
      <c r="J2" s="36"/>
      <c r="K2" s="37"/>
      <c r="L2" s="42"/>
      <c r="M2" s="36"/>
      <c r="N2" s="36"/>
      <c r="O2" s="37"/>
      <c r="P2" s="38"/>
      <c r="Q2" s="27" t="s">
        <v>22</v>
      </c>
      <c r="R2" s="27" t="s">
        <v>23</v>
      </c>
      <c r="S2" s="27" t="s">
        <v>24</v>
      </c>
      <c r="T2" s="27" t="s">
        <v>23</v>
      </c>
      <c r="U2" s="27" t="s">
        <v>25</v>
      </c>
      <c r="V2" s="37"/>
      <c r="W2" s="26" t="s">
        <v>26</v>
      </c>
      <c r="X2" s="37" t="s">
        <v>27</v>
      </c>
      <c r="Y2" s="35"/>
    </row>
    <row r="3" spans="1:25" x14ac:dyDescent="0.25">
      <c r="A3" s="29" t="s">
        <v>0</v>
      </c>
      <c r="B3" s="29">
        <v>1</v>
      </c>
      <c r="C3" s="29">
        <v>88</v>
      </c>
      <c r="D3" s="29" t="s">
        <v>28</v>
      </c>
      <c r="E3" s="29" t="s">
        <v>29</v>
      </c>
      <c r="F3" s="29" t="s">
        <v>78</v>
      </c>
      <c r="G3" s="29" t="s">
        <v>62</v>
      </c>
      <c r="H3" s="29" t="str">
        <f t="shared" ref="H3:H34" si="0">IFERROR(IF(RIGHT(D3,1)="A","S",IF(RIGHT(D3,1)="B","M",IF(RIGHT(D3,1)="C","L",IF(RIGHT(D3,1)="D","XL",IF(RIGHT(D3,1)="E","XXL",""))))),"")</f>
        <v>S</v>
      </c>
      <c r="I3" s="29">
        <f t="shared" ref="I3:I34" si="1">IFERROR(J3/K3,"")</f>
        <v>36</v>
      </c>
      <c r="J3" s="29">
        <v>3168</v>
      </c>
      <c r="K3" s="29">
        <f t="shared" ref="K3:K34" si="2">C3-B3+1</f>
        <v>88</v>
      </c>
      <c r="L3" s="30">
        <f t="shared" ref="L3:L34" si="3">IFERROR(K3*V3,"")</f>
        <v>4.6852582423679996</v>
      </c>
      <c r="M3" s="29">
        <v>774.4</v>
      </c>
      <c r="N3" s="29">
        <v>890.56</v>
      </c>
      <c r="O3" s="30">
        <f t="shared" ref="O3:O34" si="4">IFERROR(N3/K3,"")</f>
        <v>10.119999999999999</v>
      </c>
      <c r="P3" s="30">
        <f t="shared" ref="P3:P34" si="5">IFERROR(M3/K3,"")</f>
        <v>8.7999999999999989</v>
      </c>
      <c r="Q3" s="29">
        <v>48.26</v>
      </c>
      <c r="R3" s="29" t="s">
        <v>23</v>
      </c>
      <c r="S3" s="29">
        <v>48.26</v>
      </c>
      <c r="T3" s="29" t="s">
        <v>23</v>
      </c>
      <c r="U3" s="29">
        <v>22.86</v>
      </c>
      <c r="V3" s="31">
        <f t="shared" ref="V3:V34" si="6">IFERROR((Q3*S3*U3)/1000000,"")</f>
        <v>5.3241570935999995E-2</v>
      </c>
      <c r="W3" s="29" t="s">
        <v>79</v>
      </c>
      <c r="X3" s="29" t="s">
        <v>79</v>
      </c>
      <c r="Y3" s="29" t="s">
        <v>60</v>
      </c>
    </row>
    <row r="4" spans="1:25" x14ac:dyDescent="0.25">
      <c r="A4" s="29" t="s">
        <v>0</v>
      </c>
      <c r="B4" s="29">
        <v>89</v>
      </c>
      <c r="C4" s="29">
        <v>89</v>
      </c>
      <c r="D4" s="29" t="s">
        <v>28</v>
      </c>
      <c r="E4" s="29" t="s">
        <v>29</v>
      </c>
      <c r="F4" s="29" t="s">
        <v>78</v>
      </c>
      <c r="G4" s="29" t="s">
        <v>62</v>
      </c>
      <c r="H4" s="29" t="str">
        <f t="shared" si="0"/>
        <v>S</v>
      </c>
      <c r="I4" s="29">
        <f t="shared" si="1"/>
        <v>16</v>
      </c>
      <c r="J4" s="29">
        <v>16</v>
      </c>
      <c r="K4" s="29">
        <f t="shared" si="2"/>
        <v>1</v>
      </c>
      <c r="L4" s="30">
        <f t="shared" si="3"/>
        <v>5.3241570935999995E-2</v>
      </c>
      <c r="M4" s="29">
        <v>3.16</v>
      </c>
      <c r="N4" s="29">
        <v>4.4800000000000004</v>
      </c>
      <c r="O4" s="30">
        <f t="shared" si="4"/>
        <v>4.4800000000000004</v>
      </c>
      <c r="P4" s="30">
        <f t="shared" si="5"/>
        <v>3.16</v>
      </c>
      <c r="Q4" s="29">
        <v>48.26</v>
      </c>
      <c r="R4" s="29" t="s">
        <v>23</v>
      </c>
      <c r="S4" s="29">
        <v>48.26</v>
      </c>
      <c r="T4" s="29" t="s">
        <v>23</v>
      </c>
      <c r="U4" s="29">
        <v>22.86</v>
      </c>
      <c r="V4" s="31">
        <f t="shared" si="6"/>
        <v>5.3241570935999995E-2</v>
      </c>
      <c r="W4" s="29" t="s">
        <v>79</v>
      </c>
      <c r="X4" s="29" t="s">
        <v>79</v>
      </c>
      <c r="Y4" s="29" t="s">
        <v>60</v>
      </c>
    </row>
    <row r="5" spans="1:25" x14ac:dyDescent="0.25">
      <c r="A5" s="29" t="s">
        <v>0</v>
      </c>
      <c r="B5" s="29">
        <v>90</v>
      </c>
      <c r="C5" s="29">
        <v>330</v>
      </c>
      <c r="D5" s="29" t="s">
        <v>30</v>
      </c>
      <c r="E5" s="29" t="s">
        <v>29</v>
      </c>
      <c r="F5" s="29" t="s">
        <v>78</v>
      </c>
      <c r="G5" s="29" t="s">
        <v>62</v>
      </c>
      <c r="H5" s="29" t="str">
        <f t="shared" si="0"/>
        <v>M</v>
      </c>
      <c r="I5" s="29">
        <f t="shared" si="1"/>
        <v>36</v>
      </c>
      <c r="J5" s="29">
        <v>8676</v>
      </c>
      <c r="K5" s="29">
        <f t="shared" si="2"/>
        <v>241</v>
      </c>
      <c r="L5" s="30">
        <f t="shared" si="3"/>
        <v>12.831218595575999</v>
      </c>
      <c r="M5" s="29">
        <v>2246.12</v>
      </c>
      <c r="N5" s="29">
        <v>2564.2399999999998</v>
      </c>
      <c r="O5" s="30">
        <f t="shared" si="4"/>
        <v>10.639999999999999</v>
      </c>
      <c r="P5" s="30">
        <f t="shared" si="5"/>
        <v>9.32</v>
      </c>
      <c r="Q5" s="29">
        <v>48.26</v>
      </c>
      <c r="R5" s="29" t="s">
        <v>23</v>
      </c>
      <c r="S5" s="29">
        <v>48.26</v>
      </c>
      <c r="T5" s="29" t="s">
        <v>23</v>
      </c>
      <c r="U5" s="29">
        <v>22.86</v>
      </c>
      <c r="V5" s="31">
        <f t="shared" si="6"/>
        <v>5.3241570935999995E-2</v>
      </c>
      <c r="W5" s="29" t="s">
        <v>79</v>
      </c>
      <c r="X5" s="29" t="s">
        <v>79</v>
      </c>
      <c r="Y5" s="29" t="s">
        <v>60</v>
      </c>
    </row>
    <row r="6" spans="1:25" x14ac:dyDescent="0.25">
      <c r="A6" s="29" t="s">
        <v>0</v>
      </c>
      <c r="B6" s="29">
        <v>331</v>
      </c>
      <c r="C6" s="29">
        <v>331</v>
      </c>
      <c r="D6" s="29" t="s">
        <v>30</v>
      </c>
      <c r="E6" s="29" t="s">
        <v>29</v>
      </c>
      <c r="F6" s="29" t="s">
        <v>78</v>
      </c>
      <c r="G6" s="29" t="s">
        <v>62</v>
      </c>
      <c r="H6" s="29" t="str">
        <f t="shared" si="0"/>
        <v>M</v>
      </c>
      <c r="I6" s="29">
        <f t="shared" si="1"/>
        <v>26</v>
      </c>
      <c r="J6" s="29">
        <v>26</v>
      </c>
      <c r="K6" s="29">
        <f t="shared" si="2"/>
        <v>1</v>
      </c>
      <c r="L6" s="30">
        <f t="shared" si="3"/>
        <v>5.3241570935999995E-2</v>
      </c>
      <c r="M6" s="29">
        <v>6.22</v>
      </c>
      <c r="N6" s="29">
        <v>7.54</v>
      </c>
      <c r="O6" s="30">
        <f t="shared" si="4"/>
        <v>7.54</v>
      </c>
      <c r="P6" s="30">
        <f t="shared" si="5"/>
        <v>6.22</v>
      </c>
      <c r="Q6" s="29">
        <v>48.26</v>
      </c>
      <c r="R6" s="29" t="s">
        <v>23</v>
      </c>
      <c r="S6" s="29">
        <v>48.26</v>
      </c>
      <c r="T6" s="29" t="s">
        <v>23</v>
      </c>
      <c r="U6" s="29">
        <v>22.86</v>
      </c>
      <c r="V6" s="31">
        <f t="shared" si="6"/>
        <v>5.3241570935999995E-2</v>
      </c>
      <c r="W6" s="29" t="s">
        <v>79</v>
      </c>
      <c r="X6" s="29" t="s">
        <v>79</v>
      </c>
      <c r="Y6" s="29" t="s">
        <v>60</v>
      </c>
    </row>
    <row r="7" spans="1:25" x14ac:dyDescent="0.25">
      <c r="A7" s="29" t="s">
        <v>0</v>
      </c>
      <c r="B7" s="29">
        <v>332</v>
      </c>
      <c r="C7" s="29">
        <v>541</v>
      </c>
      <c r="D7" s="29" t="s">
        <v>31</v>
      </c>
      <c r="E7" s="29" t="s">
        <v>29</v>
      </c>
      <c r="F7" s="29" t="s">
        <v>78</v>
      </c>
      <c r="G7" s="29" t="s">
        <v>62</v>
      </c>
      <c r="H7" s="29" t="str">
        <f t="shared" si="0"/>
        <v>L</v>
      </c>
      <c r="I7" s="29">
        <f t="shared" si="1"/>
        <v>36</v>
      </c>
      <c r="J7" s="29">
        <v>7560</v>
      </c>
      <c r="K7" s="29">
        <f t="shared" si="2"/>
        <v>210</v>
      </c>
      <c r="L7" s="30">
        <f t="shared" si="3"/>
        <v>11.180729896559999</v>
      </c>
      <c r="M7" s="29">
        <v>2116.8000000000002</v>
      </c>
      <c r="N7" s="29">
        <v>2394</v>
      </c>
      <c r="O7" s="30">
        <f t="shared" si="4"/>
        <v>11.4</v>
      </c>
      <c r="P7" s="30">
        <f t="shared" si="5"/>
        <v>10.08</v>
      </c>
      <c r="Q7" s="29">
        <v>48.26</v>
      </c>
      <c r="R7" s="29" t="s">
        <v>23</v>
      </c>
      <c r="S7" s="29">
        <v>48.26</v>
      </c>
      <c r="T7" s="29" t="s">
        <v>23</v>
      </c>
      <c r="U7" s="29">
        <v>22.86</v>
      </c>
      <c r="V7" s="31">
        <f t="shared" si="6"/>
        <v>5.3241570935999995E-2</v>
      </c>
      <c r="W7" s="29" t="s">
        <v>79</v>
      </c>
      <c r="X7" s="29" t="s">
        <v>79</v>
      </c>
      <c r="Y7" s="29" t="s">
        <v>60</v>
      </c>
    </row>
    <row r="8" spans="1:25" x14ac:dyDescent="0.25">
      <c r="A8" s="29" t="s">
        <v>0</v>
      </c>
      <c r="B8" s="29">
        <v>542</v>
      </c>
      <c r="C8" s="29">
        <v>542</v>
      </c>
      <c r="D8" s="29" t="s">
        <v>31</v>
      </c>
      <c r="E8" s="29" t="s">
        <v>29</v>
      </c>
      <c r="F8" s="29" t="s">
        <v>78</v>
      </c>
      <c r="G8" s="29" t="s">
        <v>62</v>
      </c>
      <c r="H8" s="29" t="str">
        <f t="shared" si="0"/>
        <v>L</v>
      </c>
      <c r="I8" s="29">
        <f t="shared" si="1"/>
        <v>18</v>
      </c>
      <c r="J8" s="29">
        <v>18</v>
      </c>
      <c r="K8" s="29">
        <f t="shared" si="2"/>
        <v>1</v>
      </c>
      <c r="L8" s="30">
        <f t="shared" si="3"/>
        <v>5.3241570935999995E-2</v>
      </c>
      <c r="M8" s="29">
        <v>4.26</v>
      </c>
      <c r="N8" s="29">
        <v>5.58</v>
      </c>
      <c r="O8" s="30">
        <f t="shared" si="4"/>
        <v>5.58</v>
      </c>
      <c r="P8" s="30">
        <f t="shared" si="5"/>
        <v>4.26</v>
      </c>
      <c r="Q8" s="29">
        <v>48.26</v>
      </c>
      <c r="R8" s="29" t="s">
        <v>23</v>
      </c>
      <c r="S8" s="29">
        <v>48.26</v>
      </c>
      <c r="T8" s="29" t="s">
        <v>23</v>
      </c>
      <c r="U8" s="29">
        <v>22.86</v>
      </c>
      <c r="V8" s="31">
        <f t="shared" si="6"/>
        <v>5.3241570935999995E-2</v>
      </c>
      <c r="W8" s="29" t="s">
        <v>79</v>
      </c>
      <c r="X8" s="29" t="s">
        <v>79</v>
      </c>
      <c r="Y8" s="29" t="s">
        <v>60</v>
      </c>
    </row>
    <row r="9" spans="1:25" x14ac:dyDescent="0.25">
      <c r="A9" s="29" t="s">
        <v>0</v>
      </c>
      <c r="B9" s="29">
        <v>543</v>
      </c>
      <c r="C9" s="29">
        <v>646</v>
      </c>
      <c r="D9" s="29" t="s">
        <v>32</v>
      </c>
      <c r="E9" s="29" t="s">
        <v>29</v>
      </c>
      <c r="F9" s="29" t="s">
        <v>78</v>
      </c>
      <c r="G9" s="29" t="s">
        <v>62</v>
      </c>
      <c r="H9" s="29" t="str">
        <f t="shared" si="0"/>
        <v>XL</v>
      </c>
      <c r="I9" s="29">
        <f t="shared" si="1"/>
        <v>36</v>
      </c>
      <c r="J9" s="29">
        <v>3744</v>
      </c>
      <c r="K9" s="29">
        <f t="shared" si="2"/>
        <v>104</v>
      </c>
      <c r="L9" s="30">
        <f t="shared" si="3"/>
        <v>6.4599772735679997</v>
      </c>
      <c r="M9" s="29">
        <v>1116.96</v>
      </c>
      <c r="N9" s="29">
        <v>1254.24</v>
      </c>
      <c r="O9" s="30">
        <f t="shared" si="4"/>
        <v>12.06</v>
      </c>
      <c r="P9" s="30">
        <f t="shared" si="5"/>
        <v>10.74</v>
      </c>
      <c r="Q9" s="29">
        <v>48.26</v>
      </c>
      <c r="R9" s="29" t="s">
        <v>23</v>
      </c>
      <c r="S9" s="29">
        <v>48.26</v>
      </c>
      <c r="T9" s="29" t="s">
        <v>23</v>
      </c>
      <c r="U9" s="29">
        <v>26.67</v>
      </c>
      <c r="V9" s="31">
        <f t="shared" si="6"/>
        <v>6.2115166091999997E-2</v>
      </c>
      <c r="W9" s="29" t="s">
        <v>79</v>
      </c>
      <c r="X9" s="29" t="s">
        <v>79</v>
      </c>
      <c r="Y9" s="29" t="s">
        <v>60</v>
      </c>
    </row>
    <row r="10" spans="1:25" x14ac:dyDescent="0.25">
      <c r="A10" s="29" t="s">
        <v>0</v>
      </c>
      <c r="B10" s="29">
        <v>647</v>
      </c>
      <c r="C10" s="29">
        <v>647</v>
      </c>
      <c r="D10" s="29" t="s">
        <v>32</v>
      </c>
      <c r="E10" s="29" t="s">
        <v>29</v>
      </c>
      <c r="F10" s="29" t="s">
        <v>78</v>
      </c>
      <c r="G10" s="29" t="s">
        <v>62</v>
      </c>
      <c r="H10" s="29" t="str">
        <f t="shared" si="0"/>
        <v>XL</v>
      </c>
      <c r="I10" s="29">
        <f t="shared" si="1"/>
        <v>32</v>
      </c>
      <c r="J10" s="29">
        <v>32</v>
      </c>
      <c r="K10" s="29">
        <f t="shared" si="2"/>
        <v>1</v>
      </c>
      <c r="L10" s="30">
        <f t="shared" si="3"/>
        <v>6.2115166091999997E-2</v>
      </c>
      <c r="M10" s="29">
        <v>9.24</v>
      </c>
      <c r="N10" s="29">
        <v>10.56</v>
      </c>
      <c r="O10" s="30">
        <f t="shared" si="4"/>
        <v>10.56</v>
      </c>
      <c r="P10" s="30">
        <f t="shared" si="5"/>
        <v>9.24</v>
      </c>
      <c r="Q10" s="29">
        <v>48.26</v>
      </c>
      <c r="R10" s="29" t="s">
        <v>23</v>
      </c>
      <c r="S10" s="29">
        <v>48.26</v>
      </c>
      <c r="T10" s="29" t="s">
        <v>23</v>
      </c>
      <c r="U10" s="29">
        <v>26.67</v>
      </c>
      <c r="V10" s="31">
        <f t="shared" si="6"/>
        <v>6.2115166091999997E-2</v>
      </c>
      <c r="W10" s="29" t="s">
        <v>79</v>
      </c>
      <c r="X10" s="29" t="s">
        <v>79</v>
      </c>
      <c r="Y10" s="29" t="s">
        <v>60</v>
      </c>
    </row>
    <row r="11" spans="1:25" x14ac:dyDescent="0.25">
      <c r="A11" s="29" t="s">
        <v>0</v>
      </c>
      <c r="B11" s="29">
        <v>1</v>
      </c>
      <c r="C11" s="29">
        <v>22</v>
      </c>
      <c r="D11" s="29" t="s">
        <v>33</v>
      </c>
      <c r="E11" s="29" t="s">
        <v>29</v>
      </c>
      <c r="F11" s="29" t="s">
        <v>78</v>
      </c>
      <c r="G11" s="29" t="s">
        <v>62</v>
      </c>
      <c r="H11" s="29" t="str">
        <f t="shared" si="0"/>
        <v>XXL</v>
      </c>
      <c r="I11" s="29">
        <f t="shared" si="1"/>
        <v>36</v>
      </c>
      <c r="J11" s="29">
        <v>792</v>
      </c>
      <c r="K11" s="29">
        <f t="shared" si="2"/>
        <v>22</v>
      </c>
      <c r="L11" s="30">
        <f t="shared" si="3"/>
        <v>1.3665336540239998</v>
      </c>
      <c r="M11" s="29">
        <v>250.36</v>
      </c>
      <c r="N11" s="29">
        <v>279.39999999999998</v>
      </c>
      <c r="O11" s="30">
        <f t="shared" si="4"/>
        <v>12.7</v>
      </c>
      <c r="P11" s="30">
        <f t="shared" si="5"/>
        <v>11.38</v>
      </c>
      <c r="Q11" s="29">
        <v>48.26</v>
      </c>
      <c r="R11" s="29" t="s">
        <v>23</v>
      </c>
      <c r="S11" s="29">
        <v>48.26</v>
      </c>
      <c r="T11" s="29" t="s">
        <v>23</v>
      </c>
      <c r="U11" s="29">
        <v>26.67</v>
      </c>
      <c r="V11" s="31">
        <f t="shared" si="6"/>
        <v>6.2115166091999997E-2</v>
      </c>
      <c r="W11" s="29" t="s">
        <v>79</v>
      </c>
      <c r="X11" s="29" t="s">
        <v>79</v>
      </c>
      <c r="Y11" s="29" t="s">
        <v>60</v>
      </c>
    </row>
    <row r="12" spans="1:25" x14ac:dyDescent="0.25">
      <c r="A12" s="29" t="s">
        <v>0</v>
      </c>
      <c r="B12" s="29">
        <v>23</v>
      </c>
      <c r="C12" s="29">
        <v>23</v>
      </c>
      <c r="D12" s="29" t="s">
        <v>33</v>
      </c>
      <c r="E12" s="29" t="s">
        <v>29</v>
      </c>
      <c r="F12" s="29" t="s">
        <v>78</v>
      </c>
      <c r="G12" s="29" t="s">
        <v>62</v>
      </c>
      <c r="H12" s="29" t="str">
        <f t="shared" si="0"/>
        <v>XXL</v>
      </c>
      <c r="I12" s="29">
        <f t="shared" si="1"/>
        <v>20</v>
      </c>
      <c r="J12" s="29">
        <v>20</v>
      </c>
      <c r="K12" s="29">
        <f t="shared" si="2"/>
        <v>1</v>
      </c>
      <c r="L12" s="30">
        <f t="shared" si="3"/>
        <v>6.2115166091999997E-2</v>
      </c>
      <c r="M12" s="29">
        <v>5.68</v>
      </c>
      <c r="N12" s="29">
        <v>7</v>
      </c>
      <c r="O12" s="30">
        <f t="shared" si="4"/>
        <v>7</v>
      </c>
      <c r="P12" s="30">
        <f t="shared" si="5"/>
        <v>5.68</v>
      </c>
      <c r="Q12" s="29">
        <v>48.26</v>
      </c>
      <c r="R12" s="29" t="s">
        <v>23</v>
      </c>
      <c r="S12" s="29">
        <v>48.26</v>
      </c>
      <c r="T12" s="29" t="s">
        <v>23</v>
      </c>
      <c r="U12" s="29">
        <v>26.67</v>
      </c>
      <c r="V12" s="31">
        <f t="shared" si="6"/>
        <v>6.2115166091999997E-2</v>
      </c>
      <c r="W12" s="29" t="s">
        <v>79</v>
      </c>
      <c r="X12" s="29" t="s">
        <v>79</v>
      </c>
      <c r="Y12" s="29" t="s">
        <v>60</v>
      </c>
    </row>
    <row r="13" spans="1:25" x14ac:dyDescent="0.25">
      <c r="A13" s="29" t="s">
        <v>0</v>
      </c>
      <c r="B13" s="29">
        <v>1</v>
      </c>
      <c r="C13" s="29">
        <v>17</v>
      </c>
      <c r="D13" s="29" t="s">
        <v>34</v>
      </c>
      <c r="E13" s="29" t="s">
        <v>29</v>
      </c>
      <c r="F13" s="29" t="s">
        <v>78</v>
      </c>
      <c r="G13" s="29" t="s">
        <v>63</v>
      </c>
      <c r="H13" s="29" t="str">
        <f t="shared" si="0"/>
        <v>S</v>
      </c>
      <c r="I13" s="29">
        <f t="shared" si="1"/>
        <v>36</v>
      </c>
      <c r="J13" s="29">
        <v>612</v>
      </c>
      <c r="K13" s="29">
        <f t="shared" si="2"/>
        <v>17</v>
      </c>
      <c r="L13" s="30">
        <f t="shared" si="3"/>
        <v>0.90510670591199993</v>
      </c>
      <c r="M13" s="29">
        <v>148.91999999999999</v>
      </c>
      <c r="N13" s="29">
        <v>169.32</v>
      </c>
      <c r="O13" s="30">
        <f t="shared" si="4"/>
        <v>9.9599999999999991</v>
      </c>
      <c r="P13" s="30">
        <f t="shared" si="5"/>
        <v>8.76</v>
      </c>
      <c r="Q13" s="29">
        <v>48.26</v>
      </c>
      <c r="R13" s="29" t="s">
        <v>23</v>
      </c>
      <c r="S13" s="29">
        <v>48.26</v>
      </c>
      <c r="T13" s="29" t="s">
        <v>23</v>
      </c>
      <c r="U13" s="29">
        <v>22.86</v>
      </c>
      <c r="V13" s="31">
        <f t="shared" si="6"/>
        <v>5.3241570935999995E-2</v>
      </c>
      <c r="W13" s="29" t="s">
        <v>79</v>
      </c>
      <c r="X13" s="29" t="s">
        <v>79</v>
      </c>
      <c r="Y13" s="29" t="s">
        <v>60</v>
      </c>
    </row>
    <row r="14" spans="1:25" x14ac:dyDescent="0.25">
      <c r="A14" s="29" t="s">
        <v>0</v>
      </c>
      <c r="B14" s="29">
        <v>18</v>
      </c>
      <c r="C14" s="29">
        <v>18</v>
      </c>
      <c r="D14" s="29" t="s">
        <v>34</v>
      </c>
      <c r="E14" s="29" t="s">
        <v>29</v>
      </c>
      <c r="F14" s="29" t="s">
        <v>78</v>
      </c>
      <c r="G14" s="29" t="s">
        <v>63</v>
      </c>
      <c r="H14" s="29" t="str">
        <f t="shared" si="0"/>
        <v>S</v>
      </c>
      <c r="I14" s="29">
        <f t="shared" si="1"/>
        <v>18</v>
      </c>
      <c r="J14" s="29">
        <v>18</v>
      </c>
      <c r="K14" s="29">
        <f t="shared" si="2"/>
        <v>1</v>
      </c>
      <c r="L14" s="30">
        <f t="shared" si="3"/>
        <v>5.3241570935999995E-2</v>
      </c>
      <c r="M14" s="29">
        <v>4.32</v>
      </c>
      <c r="N14" s="29">
        <v>5.52</v>
      </c>
      <c r="O14" s="30">
        <f t="shared" si="4"/>
        <v>5.52</v>
      </c>
      <c r="P14" s="30">
        <f t="shared" si="5"/>
        <v>4.32</v>
      </c>
      <c r="Q14" s="29">
        <v>48.26</v>
      </c>
      <c r="R14" s="29" t="s">
        <v>23</v>
      </c>
      <c r="S14" s="29">
        <v>48.26</v>
      </c>
      <c r="T14" s="29" t="s">
        <v>23</v>
      </c>
      <c r="U14" s="29">
        <v>22.86</v>
      </c>
      <c r="V14" s="31">
        <f t="shared" si="6"/>
        <v>5.3241570935999995E-2</v>
      </c>
      <c r="W14" s="29" t="s">
        <v>79</v>
      </c>
      <c r="X14" s="29" t="s">
        <v>79</v>
      </c>
      <c r="Y14" s="29" t="s">
        <v>60</v>
      </c>
    </row>
    <row r="15" spans="1:25" x14ac:dyDescent="0.25">
      <c r="A15" s="29" t="s">
        <v>0</v>
      </c>
      <c r="B15" s="29">
        <v>19</v>
      </c>
      <c r="C15" s="29">
        <v>60</v>
      </c>
      <c r="D15" s="29" t="s">
        <v>35</v>
      </c>
      <c r="E15" s="29" t="s">
        <v>29</v>
      </c>
      <c r="F15" s="29" t="s">
        <v>78</v>
      </c>
      <c r="G15" s="29" t="s">
        <v>63</v>
      </c>
      <c r="H15" s="29" t="str">
        <f t="shared" si="0"/>
        <v>M</v>
      </c>
      <c r="I15" s="29">
        <f t="shared" si="1"/>
        <v>36</v>
      </c>
      <c r="J15" s="29">
        <v>1512</v>
      </c>
      <c r="K15" s="29">
        <f t="shared" si="2"/>
        <v>42</v>
      </c>
      <c r="L15" s="30">
        <f t="shared" si="3"/>
        <v>2.236145979312</v>
      </c>
      <c r="M15" s="29">
        <v>393.96</v>
      </c>
      <c r="N15" s="29">
        <v>444.36</v>
      </c>
      <c r="O15" s="30">
        <f t="shared" si="4"/>
        <v>10.58</v>
      </c>
      <c r="P15" s="30">
        <f t="shared" si="5"/>
        <v>9.379999999999999</v>
      </c>
      <c r="Q15" s="29">
        <v>48.26</v>
      </c>
      <c r="R15" s="29" t="s">
        <v>23</v>
      </c>
      <c r="S15" s="29">
        <v>48.26</v>
      </c>
      <c r="T15" s="29" t="s">
        <v>23</v>
      </c>
      <c r="U15" s="29">
        <v>22.86</v>
      </c>
      <c r="V15" s="31">
        <f t="shared" si="6"/>
        <v>5.3241570935999995E-2</v>
      </c>
      <c r="W15" s="29" t="s">
        <v>79</v>
      </c>
      <c r="X15" s="29" t="s">
        <v>79</v>
      </c>
      <c r="Y15" s="29" t="s">
        <v>60</v>
      </c>
    </row>
    <row r="16" spans="1:25" x14ac:dyDescent="0.25">
      <c r="A16" s="29" t="s">
        <v>0</v>
      </c>
      <c r="B16" s="29">
        <v>61</v>
      </c>
      <c r="C16" s="29">
        <v>61</v>
      </c>
      <c r="D16" s="29" t="s">
        <v>35</v>
      </c>
      <c r="E16" s="29" t="s">
        <v>29</v>
      </c>
      <c r="F16" s="29" t="s">
        <v>78</v>
      </c>
      <c r="G16" s="29" t="s">
        <v>63</v>
      </c>
      <c r="H16" s="29" t="str">
        <f t="shared" si="0"/>
        <v>M</v>
      </c>
      <c r="I16" s="29">
        <f t="shared" si="1"/>
        <v>39</v>
      </c>
      <c r="J16" s="29">
        <v>39</v>
      </c>
      <c r="K16" s="29">
        <f t="shared" si="2"/>
        <v>1</v>
      </c>
      <c r="L16" s="30">
        <f t="shared" si="3"/>
        <v>5.3241570935999995E-2</v>
      </c>
      <c r="M16" s="29">
        <v>10.14</v>
      </c>
      <c r="N16" s="29">
        <v>11.34</v>
      </c>
      <c r="O16" s="30">
        <f t="shared" si="4"/>
        <v>11.34</v>
      </c>
      <c r="P16" s="30">
        <f t="shared" si="5"/>
        <v>10.14</v>
      </c>
      <c r="Q16" s="29">
        <v>48.26</v>
      </c>
      <c r="R16" s="29" t="s">
        <v>23</v>
      </c>
      <c r="S16" s="29">
        <v>48.26</v>
      </c>
      <c r="T16" s="29" t="s">
        <v>23</v>
      </c>
      <c r="U16" s="29">
        <v>22.86</v>
      </c>
      <c r="V16" s="31">
        <f t="shared" si="6"/>
        <v>5.3241570935999995E-2</v>
      </c>
      <c r="W16" s="29" t="s">
        <v>79</v>
      </c>
      <c r="X16" s="29" t="s">
        <v>79</v>
      </c>
      <c r="Y16" s="29" t="s">
        <v>60</v>
      </c>
    </row>
    <row r="17" spans="1:25" x14ac:dyDescent="0.25">
      <c r="A17" s="29" t="s">
        <v>0</v>
      </c>
      <c r="B17" s="29">
        <v>63</v>
      </c>
      <c r="C17" s="29">
        <v>102</v>
      </c>
      <c r="D17" s="29" t="s">
        <v>36</v>
      </c>
      <c r="E17" s="29" t="s">
        <v>29</v>
      </c>
      <c r="F17" s="29" t="s">
        <v>78</v>
      </c>
      <c r="G17" s="29" t="s">
        <v>63</v>
      </c>
      <c r="H17" s="29" t="str">
        <f t="shared" si="0"/>
        <v>L</v>
      </c>
      <c r="I17" s="29">
        <f t="shared" si="1"/>
        <v>36</v>
      </c>
      <c r="J17" s="29">
        <v>1440</v>
      </c>
      <c r="K17" s="29">
        <f t="shared" si="2"/>
        <v>40</v>
      </c>
      <c r="L17" s="30">
        <f t="shared" si="3"/>
        <v>2.1296628374399997</v>
      </c>
      <c r="M17" s="29">
        <v>402.4</v>
      </c>
      <c r="N17" s="29">
        <v>450.4</v>
      </c>
      <c r="O17" s="30">
        <f t="shared" si="4"/>
        <v>11.26</v>
      </c>
      <c r="P17" s="30">
        <f t="shared" si="5"/>
        <v>10.059999999999999</v>
      </c>
      <c r="Q17" s="29">
        <v>48.26</v>
      </c>
      <c r="R17" s="29" t="s">
        <v>23</v>
      </c>
      <c r="S17" s="29">
        <v>48.26</v>
      </c>
      <c r="T17" s="29" t="s">
        <v>23</v>
      </c>
      <c r="U17" s="29">
        <v>22.86</v>
      </c>
      <c r="V17" s="31">
        <f t="shared" si="6"/>
        <v>5.3241570935999995E-2</v>
      </c>
      <c r="W17" s="29" t="s">
        <v>79</v>
      </c>
      <c r="X17" s="29" t="s">
        <v>79</v>
      </c>
      <c r="Y17" s="29" t="s">
        <v>60</v>
      </c>
    </row>
    <row r="18" spans="1:25" x14ac:dyDescent="0.25">
      <c r="A18" s="29" t="s">
        <v>0</v>
      </c>
      <c r="B18" s="29">
        <v>103</v>
      </c>
      <c r="C18" s="29">
        <v>103</v>
      </c>
      <c r="D18" s="29" t="s">
        <v>36</v>
      </c>
      <c r="E18" s="29" t="s">
        <v>29</v>
      </c>
      <c r="F18" s="29" t="s">
        <v>78</v>
      </c>
      <c r="G18" s="29" t="s">
        <v>63</v>
      </c>
      <c r="H18" s="29" t="str">
        <f t="shared" si="0"/>
        <v>L</v>
      </c>
      <c r="I18" s="29">
        <f t="shared" si="1"/>
        <v>23</v>
      </c>
      <c r="J18" s="29">
        <v>23</v>
      </c>
      <c r="K18" s="29">
        <f t="shared" si="2"/>
        <v>1</v>
      </c>
      <c r="L18" s="30">
        <f t="shared" si="3"/>
        <v>5.3241570935999995E-2</v>
      </c>
      <c r="M18" s="29">
        <v>6.21</v>
      </c>
      <c r="N18" s="29">
        <v>7.41</v>
      </c>
      <c r="O18" s="30">
        <f t="shared" si="4"/>
        <v>7.41</v>
      </c>
      <c r="P18" s="30">
        <f t="shared" si="5"/>
        <v>6.21</v>
      </c>
      <c r="Q18" s="29">
        <v>48.26</v>
      </c>
      <c r="R18" s="29" t="s">
        <v>23</v>
      </c>
      <c r="S18" s="29">
        <v>48.26</v>
      </c>
      <c r="T18" s="29" t="s">
        <v>23</v>
      </c>
      <c r="U18" s="29">
        <v>22.86</v>
      </c>
      <c r="V18" s="31">
        <f t="shared" si="6"/>
        <v>5.3241570935999995E-2</v>
      </c>
      <c r="W18" s="29" t="s">
        <v>79</v>
      </c>
      <c r="X18" s="29" t="s">
        <v>79</v>
      </c>
      <c r="Y18" s="29" t="s">
        <v>60</v>
      </c>
    </row>
    <row r="19" spans="1:25" x14ac:dyDescent="0.25">
      <c r="A19" s="29" t="s">
        <v>0</v>
      </c>
      <c r="B19" s="29">
        <v>105</v>
      </c>
      <c r="C19" s="29">
        <v>123</v>
      </c>
      <c r="D19" s="29" t="s">
        <v>37</v>
      </c>
      <c r="E19" s="29" t="s">
        <v>29</v>
      </c>
      <c r="F19" s="29" t="s">
        <v>78</v>
      </c>
      <c r="G19" s="29" t="s">
        <v>63</v>
      </c>
      <c r="H19" s="29" t="str">
        <f t="shared" si="0"/>
        <v>XL</v>
      </c>
      <c r="I19" s="29">
        <f t="shared" si="1"/>
        <v>36</v>
      </c>
      <c r="J19" s="29">
        <v>684</v>
      </c>
      <c r="K19" s="29">
        <f t="shared" si="2"/>
        <v>19</v>
      </c>
      <c r="L19" s="30">
        <f t="shared" si="3"/>
        <v>1.1801881557479998</v>
      </c>
      <c r="M19" s="29">
        <v>203.68</v>
      </c>
      <c r="N19" s="29">
        <v>227.62</v>
      </c>
      <c r="O19" s="30">
        <f t="shared" si="4"/>
        <v>11.98</v>
      </c>
      <c r="P19" s="30">
        <f t="shared" si="5"/>
        <v>10.72</v>
      </c>
      <c r="Q19" s="29">
        <v>48.26</v>
      </c>
      <c r="R19" s="29" t="s">
        <v>23</v>
      </c>
      <c r="S19" s="29">
        <v>48.26</v>
      </c>
      <c r="T19" s="29" t="s">
        <v>23</v>
      </c>
      <c r="U19" s="29">
        <v>26.67</v>
      </c>
      <c r="V19" s="31">
        <f t="shared" si="6"/>
        <v>6.2115166091999997E-2</v>
      </c>
      <c r="W19" s="29" t="s">
        <v>79</v>
      </c>
      <c r="X19" s="29" t="s">
        <v>79</v>
      </c>
      <c r="Y19" s="29" t="s">
        <v>60</v>
      </c>
    </row>
    <row r="20" spans="1:25" x14ac:dyDescent="0.25">
      <c r="A20" s="29" t="s">
        <v>0</v>
      </c>
      <c r="B20" s="29">
        <v>124</v>
      </c>
      <c r="C20" s="29">
        <v>124</v>
      </c>
      <c r="D20" s="29" t="s">
        <v>37</v>
      </c>
      <c r="E20" s="29" t="s">
        <v>29</v>
      </c>
      <c r="F20" s="29" t="s">
        <v>78</v>
      </c>
      <c r="G20" s="29" t="s">
        <v>63</v>
      </c>
      <c r="H20" s="29" t="str">
        <f t="shared" si="0"/>
        <v>XL</v>
      </c>
      <c r="I20" s="29">
        <f t="shared" si="1"/>
        <v>19</v>
      </c>
      <c r="J20" s="29">
        <v>19</v>
      </c>
      <c r="K20" s="29">
        <f t="shared" si="2"/>
        <v>1</v>
      </c>
      <c r="L20" s="30">
        <f t="shared" si="3"/>
        <v>6.2115166091999997E-2</v>
      </c>
      <c r="M20" s="29">
        <v>5.51</v>
      </c>
      <c r="N20" s="29">
        <v>6.77</v>
      </c>
      <c r="O20" s="30">
        <f t="shared" si="4"/>
        <v>6.77</v>
      </c>
      <c r="P20" s="30">
        <f t="shared" si="5"/>
        <v>5.51</v>
      </c>
      <c r="Q20" s="29">
        <v>48.26</v>
      </c>
      <c r="R20" s="29" t="s">
        <v>23</v>
      </c>
      <c r="S20" s="29">
        <v>48.26</v>
      </c>
      <c r="T20" s="29" t="s">
        <v>23</v>
      </c>
      <c r="U20" s="29">
        <v>26.67</v>
      </c>
      <c r="V20" s="31">
        <f t="shared" si="6"/>
        <v>6.2115166091999997E-2</v>
      </c>
      <c r="W20" s="29" t="s">
        <v>79</v>
      </c>
      <c r="X20" s="29" t="s">
        <v>79</v>
      </c>
      <c r="Y20" s="29" t="s">
        <v>60</v>
      </c>
    </row>
    <row r="21" spans="1:25" x14ac:dyDescent="0.25">
      <c r="A21" s="29" t="s">
        <v>0</v>
      </c>
      <c r="B21" s="29">
        <v>1</v>
      </c>
      <c r="C21" s="29">
        <v>22</v>
      </c>
      <c r="D21" s="29" t="s">
        <v>38</v>
      </c>
      <c r="E21" s="29" t="s">
        <v>29</v>
      </c>
      <c r="F21" s="29" t="s">
        <v>78</v>
      </c>
      <c r="G21" s="29" t="s">
        <v>63</v>
      </c>
      <c r="H21" s="29" t="str">
        <f t="shared" si="0"/>
        <v>XXL</v>
      </c>
      <c r="I21" s="29">
        <f t="shared" si="1"/>
        <v>36</v>
      </c>
      <c r="J21" s="29">
        <v>792</v>
      </c>
      <c r="K21" s="29">
        <f t="shared" si="2"/>
        <v>22</v>
      </c>
      <c r="L21" s="30">
        <f t="shared" si="3"/>
        <v>1.3665336540239998</v>
      </c>
      <c r="M21" s="29">
        <v>248.16</v>
      </c>
      <c r="N21" s="29">
        <v>275.88</v>
      </c>
      <c r="O21" s="30">
        <f t="shared" si="4"/>
        <v>12.54</v>
      </c>
      <c r="P21" s="30">
        <f t="shared" si="5"/>
        <v>11.28</v>
      </c>
      <c r="Q21" s="29">
        <v>48.26</v>
      </c>
      <c r="R21" s="29" t="s">
        <v>23</v>
      </c>
      <c r="S21" s="29">
        <v>48.26</v>
      </c>
      <c r="T21" s="29" t="s">
        <v>23</v>
      </c>
      <c r="U21" s="29">
        <v>26.67</v>
      </c>
      <c r="V21" s="31">
        <f t="shared" si="6"/>
        <v>6.2115166091999997E-2</v>
      </c>
      <c r="W21" s="29" t="s">
        <v>79</v>
      </c>
      <c r="X21" s="29" t="s">
        <v>79</v>
      </c>
      <c r="Y21" s="29" t="s">
        <v>60</v>
      </c>
    </row>
    <row r="22" spans="1:25" x14ac:dyDescent="0.25">
      <c r="A22" s="29" t="s">
        <v>0</v>
      </c>
      <c r="B22" s="29">
        <v>23</v>
      </c>
      <c r="C22" s="29">
        <v>23</v>
      </c>
      <c r="D22" s="29" t="s">
        <v>38</v>
      </c>
      <c r="E22" s="29" t="s">
        <v>29</v>
      </c>
      <c r="F22" s="29" t="s">
        <v>78</v>
      </c>
      <c r="G22" s="29" t="s">
        <v>63</v>
      </c>
      <c r="H22" s="29" t="str">
        <f t="shared" si="0"/>
        <v>XXL</v>
      </c>
      <c r="I22" s="29">
        <f t="shared" si="1"/>
        <v>17</v>
      </c>
      <c r="J22" s="29">
        <v>17</v>
      </c>
      <c r="K22" s="29">
        <f t="shared" si="2"/>
        <v>1</v>
      </c>
      <c r="L22" s="30">
        <f t="shared" si="3"/>
        <v>6.2115166091999997E-2</v>
      </c>
      <c r="M22" s="29">
        <v>5.27</v>
      </c>
      <c r="N22" s="29">
        <v>6.53</v>
      </c>
      <c r="O22" s="30">
        <f t="shared" si="4"/>
        <v>6.53</v>
      </c>
      <c r="P22" s="30">
        <f t="shared" si="5"/>
        <v>5.27</v>
      </c>
      <c r="Q22" s="29">
        <v>48.26</v>
      </c>
      <c r="R22" s="29" t="s">
        <v>23</v>
      </c>
      <c r="S22" s="29">
        <v>48.26</v>
      </c>
      <c r="T22" s="29" t="s">
        <v>23</v>
      </c>
      <c r="U22" s="29">
        <v>26.67</v>
      </c>
      <c r="V22" s="31">
        <f t="shared" si="6"/>
        <v>6.2115166091999997E-2</v>
      </c>
      <c r="W22" s="29" t="s">
        <v>79</v>
      </c>
      <c r="X22" s="29" t="s">
        <v>79</v>
      </c>
      <c r="Y22" s="29" t="s">
        <v>60</v>
      </c>
    </row>
    <row r="23" spans="1:25" x14ac:dyDescent="0.25">
      <c r="A23" s="29" t="s">
        <v>0</v>
      </c>
      <c r="B23" s="29">
        <v>1</v>
      </c>
      <c r="C23" s="29">
        <v>18</v>
      </c>
      <c r="D23" s="29" t="s">
        <v>39</v>
      </c>
      <c r="E23" s="29" t="s">
        <v>29</v>
      </c>
      <c r="F23" s="29" t="s">
        <v>78</v>
      </c>
      <c r="G23" s="29" t="s">
        <v>64</v>
      </c>
      <c r="H23" s="29" t="str">
        <f t="shared" si="0"/>
        <v>S</v>
      </c>
      <c r="I23" s="29">
        <f t="shared" si="1"/>
        <v>36</v>
      </c>
      <c r="J23" s="29">
        <v>648</v>
      </c>
      <c r="K23" s="29">
        <f t="shared" si="2"/>
        <v>18</v>
      </c>
      <c r="L23" s="30">
        <f t="shared" si="3"/>
        <v>0.95834827684799995</v>
      </c>
      <c r="M23" s="29">
        <v>161.63999999999999</v>
      </c>
      <c r="N23" s="29">
        <v>183.24</v>
      </c>
      <c r="O23" s="30">
        <f t="shared" si="4"/>
        <v>10.18</v>
      </c>
      <c r="P23" s="30">
        <f t="shared" si="5"/>
        <v>8.9799999999999986</v>
      </c>
      <c r="Q23" s="29">
        <v>48.26</v>
      </c>
      <c r="R23" s="29" t="s">
        <v>23</v>
      </c>
      <c r="S23" s="29">
        <v>48.26</v>
      </c>
      <c r="T23" s="29" t="s">
        <v>23</v>
      </c>
      <c r="U23" s="29">
        <v>22.86</v>
      </c>
      <c r="V23" s="31">
        <f t="shared" si="6"/>
        <v>5.3241570935999995E-2</v>
      </c>
      <c r="W23" s="29" t="s">
        <v>79</v>
      </c>
      <c r="X23" s="29" t="s">
        <v>79</v>
      </c>
      <c r="Y23" s="29" t="s">
        <v>60</v>
      </c>
    </row>
    <row r="24" spans="1:25" x14ac:dyDescent="0.25">
      <c r="A24" s="29" t="s">
        <v>0</v>
      </c>
      <c r="B24" s="29">
        <v>19</v>
      </c>
      <c r="C24" s="29">
        <v>19</v>
      </c>
      <c r="D24" s="29" t="s">
        <v>39</v>
      </c>
      <c r="E24" s="29" t="s">
        <v>29</v>
      </c>
      <c r="F24" s="29" t="s">
        <v>78</v>
      </c>
      <c r="G24" s="29" t="s">
        <v>64</v>
      </c>
      <c r="H24" s="29" t="str">
        <f t="shared" si="0"/>
        <v>S</v>
      </c>
      <c r="I24" s="29">
        <f t="shared" si="1"/>
        <v>14</v>
      </c>
      <c r="J24" s="29">
        <v>14</v>
      </c>
      <c r="K24" s="29">
        <f t="shared" si="2"/>
        <v>1</v>
      </c>
      <c r="L24" s="30">
        <f t="shared" si="3"/>
        <v>5.3241570935999995E-2</v>
      </c>
      <c r="M24" s="29">
        <v>3.36</v>
      </c>
      <c r="N24" s="29">
        <v>4.5599999999999996</v>
      </c>
      <c r="O24" s="30">
        <f t="shared" si="4"/>
        <v>4.5599999999999996</v>
      </c>
      <c r="P24" s="30">
        <f t="shared" si="5"/>
        <v>3.36</v>
      </c>
      <c r="Q24" s="29">
        <v>48.26</v>
      </c>
      <c r="R24" s="29" t="s">
        <v>23</v>
      </c>
      <c r="S24" s="29">
        <v>48.26</v>
      </c>
      <c r="T24" s="29" t="s">
        <v>23</v>
      </c>
      <c r="U24" s="29">
        <v>22.86</v>
      </c>
      <c r="V24" s="31">
        <f t="shared" si="6"/>
        <v>5.3241570935999995E-2</v>
      </c>
      <c r="W24" s="29" t="s">
        <v>79</v>
      </c>
      <c r="X24" s="29" t="s">
        <v>79</v>
      </c>
      <c r="Y24" s="29" t="s">
        <v>60</v>
      </c>
    </row>
    <row r="25" spans="1:25" x14ac:dyDescent="0.25">
      <c r="A25" s="29" t="s">
        <v>0</v>
      </c>
      <c r="B25" s="29">
        <v>20</v>
      </c>
      <c r="C25" s="29">
        <v>74</v>
      </c>
      <c r="D25" s="29" t="s">
        <v>40</v>
      </c>
      <c r="E25" s="29" t="s">
        <v>29</v>
      </c>
      <c r="F25" s="29" t="s">
        <v>78</v>
      </c>
      <c r="G25" s="29" t="s">
        <v>64</v>
      </c>
      <c r="H25" s="29" t="str">
        <f t="shared" si="0"/>
        <v>M</v>
      </c>
      <c r="I25" s="29">
        <f t="shared" si="1"/>
        <v>36</v>
      </c>
      <c r="J25" s="29">
        <v>1980</v>
      </c>
      <c r="K25" s="29">
        <f t="shared" si="2"/>
        <v>55</v>
      </c>
      <c r="L25" s="30">
        <f t="shared" si="3"/>
        <v>2.9282864014799999</v>
      </c>
      <c r="M25" s="29">
        <v>521.4</v>
      </c>
      <c r="N25" s="29">
        <v>587.4</v>
      </c>
      <c r="O25" s="30">
        <f t="shared" si="4"/>
        <v>10.68</v>
      </c>
      <c r="P25" s="30">
        <f t="shared" si="5"/>
        <v>9.48</v>
      </c>
      <c r="Q25" s="29">
        <v>48.26</v>
      </c>
      <c r="R25" s="29" t="s">
        <v>23</v>
      </c>
      <c r="S25" s="29">
        <v>48.26</v>
      </c>
      <c r="T25" s="29" t="s">
        <v>23</v>
      </c>
      <c r="U25" s="29">
        <v>22.86</v>
      </c>
      <c r="V25" s="31">
        <f t="shared" si="6"/>
        <v>5.3241570935999995E-2</v>
      </c>
      <c r="W25" s="29" t="s">
        <v>79</v>
      </c>
      <c r="X25" s="29" t="s">
        <v>79</v>
      </c>
      <c r="Y25" s="29" t="s">
        <v>60</v>
      </c>
    </row>
    <row r="26" spans="1:25" x14ac:dyDescent="0.25">
      <c r="A26" s="29" t="s">
        <v>0</v>
      </c>
      <c r="B26" s="29">
        <v>75</v>
      </c>
      <c r="C26" s="29">
        <v>75</v>
      </c>
      <c r="D26" s="29" t="s">
        <v>40</v>
      </c>
      <c r="E26" s="29" t="s">
        <v>29</v>
      </c>
      <c r="F26" s="29" t="s">
        <v>78</v>
      </c>
      <c r="G26" s="29" t="s">
        <v>64</v>
      </c>
      <c r="H26" s="29" t="str">
        <f t="shared" si="0"/>
        <v>M</v>
      </c>
      <c r="I26" s="29">
        <f t="shared" si="1"/>
        <v>9</v>
      </c>
      <c r="J26" s="29">
        <v>9</v>
      </c>
      <c r="K26" s="29">
        <f t="shared" si="2"/>
        <v>1</v>
      </c>
      <c r="L26" s="30">
        <f t="shared" si="3"/>
        <v>5.3241570935999995E-2</v>
      </c>
      <c r="M26" s="29">
        <v>2.34</v>
      </c>
      <c r="N26" s="29">
        <v>3.54</v>
      </c>
      <c r="O26" s="30">
        <f t="shared" si="4"/>
        <v>3.54</v>
      </c>
      <c r="P26" s="30">
        <f t="shared" si="5"/>
        <v>2.34</v>
      </c>
      <c r="Q26" s="29">
        <v>48.26</v>
      </c>
      <c r="R26" s="29" t="s">
        <v>23</v>
      </c>
      <c r="S26" s="29">
        <v>48.26</v>
      </c>
      <c r="T26" s="29" t="s">
        <v>23</v>
      </c>
      <c r="U26" s="29">
        <v>22.86</v>
      </c>
      <c r="V26" s="31">
        <f t="shared" si="6"/>
        <v>5.3241570935999995E-2</v>
      </c>
      <c r="W26" s="29" t="s">
        <v>79</v>
      </c>
      <c r="X26" s="29" t="s">
        <v>79</v>
      </c>
      <c r="Y26" s="29" t="s">
        <v>60</v>
      </c>
    </row>
    <row r="27" spans="1:25" x14ac:dyDescent="0.25">
      <c r="A27" s="29" t="s">
        <v>0</v>
      </c>
      <c r="B27" s="29">
        <v>77</v>
      </c>
      <c r="C27" s="29">
        <v>128</v>
      </c>
      <c r="D27" s="29" t="s">
        <v>41</v>
      </c>
      <c r="E27" s="29" t="s">
        <v>29</v>
      </c>
      <c r="F27" s="29" t="s">
        <v>78</v>
      </c>
      <c r="G27" s="29" t="s">
        <v>64</v>
      </c>
      <c r="H27" s="29" t="str">
        <f t="shared" si="0"/>
        <v>L</v>
      </c>
      <c r="I27" s="29">
        <f t="shared" si="1"/>
        <v>36</v>
      </c>
      <c r="J27" s="29">
        <v>1872</v>
      </c>
      <c r="K27" s="29">
        <f t="shared" si="2"/>
        <v>52</v>
      </c>
      <c r="L27" s="30">
        <f t="shared" si="3"/>
        <v>2.7685616886719999</v>
      </c>
      <c r="M27" s="29">
        <v>521.04</v>
      </c>
      <c r="N27" s="29">
        <v>583.44000000000005</v>
      </c>
      <c r="O27" s="30">
        <f t="shared" si="4"/>
        <v>11.22</v>
      </c>
      <c r="P27" s="30">
        <f t="shared" si="5"/>
        <v>10.02</v>
      </c>
      <c r="Q27" s="29">
        <v>48.26</v>
      </c>
      <c r="R27" s="29" t="s">
        <v>23</v>
      </c>
      <c r="S27" s="29">
        <v>48.26</v>
      </c>
      <c r="T27" s="29" t="s">
        <v>23</v>
      </c>
      <c r="U27" s="29">
        <v>22.86</v>
      </c>
      <c r="V27" s="31">
        <f t="shared" si="6"/>
        <v>5.3241570935999995E-2</v>
      </c>
      <c r="W27" s="29" t="s">
        <v>79</v>
      </c>
      <c r="X27" s="29" t="s">
        <v>79</v>
      </c>
      <c r="Y27" s="29" t="s">
        <v>60</v>
      </c>
    </row>
    <row r="28" spans="1:25" x14ac:dyDescent="0.25">
      <c r="A28" s="29" t="s">
        <v>0</v>
      </c>
      <c r="B28" s="29">
        <v>129</v>
      </c>
      <c r="C28" s="29">
        <v>129</v>
      </c>
      <c r="D28" s="29" t="s">
        <v>41</v>
      </c>
      <c r="E28" s="29" t="s">
        <v>29</v>
      </c>
      <c r="F28" s="29" t="s">
        <v>78</v>
      </c>
      <c r="G28" s="29" t="s">
        <v>64</v>
      </c>
      <c r="H28" s="29" t="str">
        <f t="shared" si="0"/>
        <v>L</v>
      </c>
      <c r="I28" s="29">
        <f t="shared" si="1"/>
        <v>39</v>
      </c>
      <c r="J28" s="29">
        <v>39</v>
      </c>
      <c r="K28" s="29">
        <f t="shared" si="2"/>
        <v>1</v>
      </c>
      <c r="L28" s="30">
        <f t="shared" si="3"/>
        <v>5.3241570935999995E-2</v>
      </c>
      <c r="M28" s="29">
        <v>10.53</v>
      </c>
      <c r="N28" s="29">
        <v>11.73</v>
      </c>
      <c r="O28" s="30">
        <f t="shared" si="4"/>
        <v>11.73</v>
      </c>
      <c r="P28" s="30">
        <f t="shared" si="5"/>
        <v>10.53</v>
      </c>
      <c r="Q28" s="29">
        <v>48.26</v>
      </c>
      <c r="R28" s="29" t="s">
        <v>23</v>
      </c>
      <c r="S28" s="29">
        <v>48.26</v>
      </c>
      <c r="T28" s="29" t="s">
        <v>23</v>
      </c>
      <c r="U28" s="29">
        <v>22.86</v>
      </c>
      <c r="V28" s="31">
        <f t="shared" si="6"/>
        <v>5.3241570935999995E-2</v>
      </c>
      <c r="W28" s="29" t="s">
        <v>79</v>
      </c>
      <c r="X28" s="29" t="s">
        <v>79</v>
      </c>
      <c r="Y28" s="29" t="s">
        <v>60</v>
      </c>
    </row>
    <row r="29" spans="1:25" x14ac:dyDescent="0.25">
      <c r="A29" s="29" t="s">
        <v>0</v>
      </c>
      <c r="B29" s="29">
        <v>131</v>
      </c>
      <c r="C29" s="29">
        <v>160</v>
      </c>
      <c r="D29" s="29" t="s">
        <v>42</v>
      </c>
      <c r="E29" s="29" t="s">
        <v>29</v>
      </c>
      <c r="F29" s="29" t="s">
        <v>78</v>
      </c>
      <c r="G29" s="29" t="s">
        <v>64</v>
      </c>
      <c r="H29" s="29" t="str">
        <f t="shared" si="0"/>
        <v>XL</v>
      </c>
      <c r="I29" s="29">
        <f t="shared" si="1"/>
        <v>36</v>
      </c>
      <c r="J29" s="29">
        <v>1080</v>
      </c>
      <c r="K29" s="29">
        <f t="shared" si="2"/>
        <v>30</v>
      </c>
      <c r="L29" s="30">
        <f t="shared" si="3"/>
        <v>1.86345498276</v>
      </c>
      <c r="M29" s="29">
        <v>322.8</v>
      </c>
      <c r="N29" s="29">
        <v>360.6</v>
      </c>
      <c r="O29" s="30">
        <f t="shared" si="4"/>
        <v>12.020000000000001</v>
      </c>
      <c r="P29" s="30">
        <f t="shared" si="5"/>
        <v>10.76</v>
      </c>
      <c r="Q29" s="29">
        <v>48.26</v>
      </c>
      <c r="R29" s="29" t="s">
        <v>23</v>
      </c>
      <c r="S29" s="29">
        <v>48.26</v>
      </c>
      <c r="T29" s="29" t="s">
        <v>23</v>
      </c>
      <c r="U29" s="29">
        <v>26.67</v>
      </c>
      <c r="V29" s="31">
        <f t="shared" si="6"/>
        <v>6.2115166091999997E-2</v>
      </c>
      <c r="W29" s="29" t="s">
        <v>79</v>
      </c>
      <c r="X29" s="29" t="s">
        <v>79</v>
      </c>
      <c r="Y29" s="29" t="s">
        <v>60</v>
      </c>
    </row>
    <row r="30" spans="1:25" x14ac:dyDescent="0.25">
      <c r="A30" s="29" t="s">
        <v>0</v>
      </c>
      <c r="B30" s="29">
        <v>161</v>
      </c>
      <c r="C30" s="29">
        <v>161</v>
      </c>
      <c r="D30" s="29" t="s">
        <v>42</v>
      </c>
      <c r="E30" s="29" t="s">
        <v>29</v>
      </c>
      <c r="F30" s="29" t="s">
        <v>78</v>
      </c>
      <c r="G30" s="29" t="s">
        <v>64</v>
      </c>
      <c r="H30" s="29" t="str">
        <f t="shared" si="0"/>
        <v>XL</v>
      </c>
      <c r="I30" s="29">
        <f t="shared" si="1"/>
        <v>6</v>
      </c>
      <c r="J30" s="29">
        <v>6</v>
      </c>
      <c r="K30" s="29">
        <f t="shared" si="2"/>
        <v>1</v>
      </c>
      <c r="L30" s="30">
        <f t="shared" si="3"/>
        <v>6.2115166091999997E-2</v>
      </c>
      <c r="M30" s="29">
        <v>1.74</v>
      </c>
      <c r="N30" s="29">
        <v>3</v>
      </c>
      <c r="O30" s="30">
        <f t="shared" si="4"/>
        <v>3</v>
      </c>
      <c r="P30" s="30">
        <f t="shared" si="5"/>
        <v>1.74</v>
      </c>
      <c r="Q30" s="29">
        <v>48.26</v>
      </c>
      <c r="R30" s="29" t="s">
        <v>23</v>
      </c>
      <c r="S30" s="29">
        <v>48.26</v>
      </c>
      <c r="T30" s="29" t="s">
        <v>23</v>
      </c>
      <c r="U30" s="29">
        <v>26.67</v>
      </c>
      <c r="V30" s="31">
        <f t="shared" si="6"/>
        <v>6.2115166091999997E-2</v>
      </c>
      <c r="W30" s="29" t="s">
        <v>79</v>
      </c>
      <c r="X30" s="29" t="s">
        <v>79</v>
      </c>
      <c r="Y30" s="29" t="s">
        <v>60</v>
      </c>
    </row>
    <row r="31" spans="1:25" x14ac:dyDescent="0.25">
      <c r="A31" s="29" t="s">
        <v>0</v>
      </c>
      <c r="B31" s="29">
        <v>1</v>
      </c>
      <c r="C31" s="29">
        <v>13</v>
      </c>
      <c r="D31" s="29" t="s">
        <v>43</v>
      </c>
      <c r="E31" s="29" t="s">
        <v>29</v>
      </c>
      <c r="F31" s="29" t="s">
        <v>78</v>
      </c>
      <c r="G31" s="29" t="s">
        <v>64</v>
      </c>
      <c r="H31" s="29" t="str">
        <f t="shared" si="0"/>
        <v>XXL</v>
      </c>
      <c r="I31" s="29">
        <f t="shared" si="1"/>
        <v>36</v>
      </c>
      <c r="J31" s="29">
        <v>468</v>
      </c>
      <c r="K31" s="29">
        <f t="shared" si="2"/>
        <v>13</v>
      </c>
      <c r="L31" s="30">
        <f t="shared" si="3"/>
        <v>0.80749715919599996</v>
      </c>
      <c r="M31" s="29">
        <v>147.16</v>
      </c>
      <c r="N31" s="29">
        <v>163.54</v>
      </c>
      <c r="O31" s="30">
        <f t="shared" si="4"/>
        <v>12.58</v>
      </c>
      <c r="P31" s="30">
        <f t="shared" si="5"/>
        <v>11.32</v>
      </c>
      <c r="Q31" s="29">
        <v>48.26</v>
      </c>
      <c r="R31" s="29" t="s">
        <v>23</v>
      </c>
      <c r="S31" s="29">
        <v>48.26</v>
      </c>
      <c r="T31" s="29" t="s">
        <v>23</v>
      </c>
      <c r="U31" s="29">
        <v>26.67</v>
      </c>
      <c r="V31" s="31">
        <f t="shared" si="6"/>
        <v>6.2115166091999997E-2</v>
      </c>
      <c r="W31" s="29" t="s">
        <v>79</v>
      </c>
      <c r="X31" s="29" t="s">
        <v>79</v>
      </c>
      <c r="Y31" s="29" t="s">
        <v>60</v>
      </c>
    </row>
    <row r="32" spans="1:25" x14ac:dyDescent="0.25">
      <c r="A32" s="29" t="s">
        <v>0</v>
      </c>
      <c r="B32" s="29">
        <v>14</v>
      </c>
      <c r="C32" s="29">
        <v>14</v>
      </c>
      <c r="D32" s="29" t="s">
        <v>43</v>
      </c>
      <c r="E32" s="29" t="s">
        <v>29</v>
      </c>
      <c r="F32" s="29" t="s">
        <v>78</v>
      </c>
      <c r="G32" s="29" t="s">
        <v>64</v>
      </c>
      <c r="H32" s="29" t="str">
        <f t="shared" si="0"/>
        <v>XXL</v>
      </c>
      <c r="I32" s="29">
        <f t="shared" si="1"/>
        <v>14</v>
      </c>
      <c r="J32" s="29">
        <v>14</v>
      </c>
      <c r="K32" s="29">
        <f t="shared" si="2"/>
        <v>1</v>
      </c>
      <c r="L32" s="30">
        <f t="shared" si="3"/>
        <v>6.2115166091999997E-2</v>
      </c>
      <c r="M32" s="29">
        <v>4.34</v>
      </c>
      <c r="N32" s="29">
        <v>5.6</v>
      </c>
      <c r="O32" s="30">
        <f t="shared" si="4"/>
        <v>5.6</v>
      </c>
      <c r="P32" s="30">
        <f t="shared" si="5"/>
        <v>4.34</v>
      </c>
      <c r="Q32" s="29">
        <v>48.26</v>
      </c>
      <c r="R32" s="29" t="s">
        <v>23</v>
      </c>
      <c r="S32" s="29">
        <v>48.26</v>
      </c>
      <c r="T32" s="29" t="s">
        <v>23</v>
      </c>
      <c r="U32" s="29">
        <v>26.67</v>
      </c>
      <c r="V32" s="31">
        <f t="shared" si="6"/>
        <v>6.2115166091999997E-2</v>
      </c>
      <c r="W32" s="29" t="s">
        <v>79</v>
      </c>
      <c r="X32" s="29" t="s">
        <v>79</v>
      </c>
      <c r="Y32" s="29" t="s">
        <v>60</v>
      </c>
    </row>
    <row r="33" spans="1:25" x14ac:dyDescent="0.25">
      <c r="A33" s="29" t="s">
        <v>0</v>
      </c>
      <c r="B33" s="29">
        <v>1</v>
      </c>
      <c r="C33" s="29">
        <v>21</v>
      </c>
      <c r="D33" s="29" t="s">
        <v>44</v>
      </c>
      <c r="E33" s="29" t="s">
        <v>45</v>
      </c>
      <c r="F33" s="29" t="s">
        <v>78</v>
      </c>
      <c r="G33" s="29" t="s">
        <v>64</v>
      </c>
      <c r="H33" s="29" t="str">
        <f t="shared" si="0"/>
        <v>S</v>
      </c>
      <c r="I33" s="29">
        <f t="shared" si="1"/>
        <v>36</v>
      </c>
      <c r="J33" s="29">
        <v>756</v>
      </c>
      <c r="K33" s="29">
        <f t="shared" si="2"/>
        <v>21</v>
      </c>
      <c r="L33" s="30">
        <f t="shared" si="3"/>
        <v>1.118072989656</v>
      </c>
      <c r="M33" s="29">
        <v>154.13999999999999</v>
      </c>
      <c r="N33" s="29">
        <v>174.72</v>
      </c>
      <c r="O33" s="30">
        <f t="shared" si="4"/>
        <v>8.32</v>
      </c>
      <c r="P33" s="30">
        <f t="shared" si="5"/>
        <v>7.339999999999999</v>
      </c>
      <c r="Q33" s="29">
        <v>48.26</v>
      </c>
      <c r="R33" s="29" t="s">
        <v>23</v>
      </c>
      <c r="S33" s="29">
        <v>48.26</v>
      </c>
      <c r="T33" s="29" t="s">
        <v>23</v>
      </c>
      <c r="U33" s="29">
        <v>22.86</v>
      </c>
      <c r="V33" s="31">
        <f t="shared" si="6"/>
        <v>5.3241570935999995E-2</v>
      </c>
      <c r="W33" s="29" t="s">
        <v>79</v>
      </c>
      <c r="X33" s="29" t="s">
        <v>79</v>
      </c>
      <c r="Y33" s="29" t="s">
        <v>61</v>
      </c>
    </row>
    <row r="34" spans="1:25" x14ac:dyDescent="0.25">
      <c r="A34" s="29" t="s">
        <v>0</v>
      </c>
      <c r="B34" s="29">
        <v>22</v>
      </c>
      <c r="C34" s="29">
        <v>22</v>
      </c>
      <c r="D34" s="29" t="s">
        <v>44</v>
      </c>
      <c r="E34" s="29" t="s">
        <v>45</v>
      </c>
      <c r="F34" s="29" t="s">
        <v>78</v>
      </c>
      <c r="G34" s="29" t="s">
        <v>64</v>
      </c>
      <c r="H34" s="29" t="str">
        <f t="shared" si="0"/>
        <v>S</v>
      </c>
      <c r="I34" s="29">
        <f t="shared" si="1"/>
        <v>16</v>
      </c>
      <c r="J34" s="29">
        <v>16</v>
      </c>
      <c r="K34" s="29">
        <f t="shared" si="2"/>
        <v>1</v>
      </c>
      <c r="L34" s="30">
        <f t="shared" si="3"/>
        <v>5.3241570935999995E-2</v>
      </c>
      <c r="M34" s="29">
        <v>3.26</v>
      </c>
      <c r="N34" s="29">
        <v>4.24</v>
      </c>
      <c r="O34" s="30">
        <f t="shared" si="4"/>
        <v>4.24</v>
      </c>
      <c r="P34" s="30">
        <f t="shared" si="5"/>
        <v>3.26</v>
      </c>
      <c r="Q34" s="29">
        <v>48.26</v>
      </c>
      <c r="R34" s="29" t="s">
        <v>23</v>
      </c>
      <c r="S34" s="29">
        <v>48.26</v>
      </c>
      <c r="T34" s="29" t="s">
        <v>23</v>
      </c>
      <c r="U34" s="29">
        <v>22.86</v>
      </c>
      <c r="V34" s="31">
        <f t="shared" si="6"/>
        <v>5.3241570935999995E-2</v>
      </c>
      <c r="W34" s="29" t="s">
        <v>79</v>
      </c>
      <c r="X34" s="29" t="s">
        <v>79</v>
      </c>
      <c r="Y34" s="29" t="s">
        <v>61</v>
      </c>
    </row>
    <row r="35" spans="1:25" x14ac:dyDescent="0.25">
      <c r="A35" s="29" t="s">
        <v>0</v>
      </c>
      <c r="B35" s="29">
        <v>23</v>
      </c>
      <c r="C35" s="29">
        <v>84</v>
      </c>
      <c r="D35" s="29" t="s">
        <v>46</v>
      </c>
      <c r="E35" s="29" t="s">
        <v>45</v>
      </c>
      <c r="F35" s="29" t="s">
        <v>78</v>
      </c>
      <c r="G35" s="29" t="s">
        <v>64</v>
      </c>
      <c r="H35" s="29" t="str">
        <f t="shared" ref="H35:H62" si="7">IFERROR(IF(RIGHT(D35,1)="A","S",IF(RIGHT(D35,1)="B","M",IF(RIGHT(D35,1)="C","L",IF(RIGHT(D35,1)="D","XL",IF(RIGHT(D35,1)="E","XXL",""))))),"")</f>
        <v>M</v>
      </c>
      <c r="I35" s="29">
        <f t="shared" ref="I35:I66" si="8">IFERROR(J35/K35,"")</f>
        <v>36</v>
      </c>
      <c r="J35" s="29">
        <v>2232</v>
      </c>
      <c r="K35" s="29">
        <f t="shared" ref="K35:K62" si="9">C35-B35+1</f>
        <v>62</v>
      </c>
      <c r="L35" s="30">
        <f t="shared" ref="L35:L66" si="10">IFERROR(K35*V35,"")</f>
        <v>3.3009773980319999</v>
      </c>
      <c r="M35" s="29">
        <v>500.96</v>
      </c>
      <c r="N35" s="29">
        <v>561.72</v>
      </c>
      <c r="O35" s="30">
        <f t="shared" ref="O35:O66" si="11">IFERROR(N35/K35,"")</f>
        <v>9.06</v>
      </c>
      <c r="P35" s="30">
        <f t="shared" ref="P35:P62" si="12">IFERROR(M35/K35,"")</f>
        <v>8.08</v>
      </c>
      <c r="Q35" s="29">
        <v>48.26</v>
      </c>
      <c r="R35" s="29" t="s">
        <v>23</v>
      </c>
      <c r="S35" s="29">
        <v>48.26</v>
      </c>
      <c r="T35" s="29" t="s">
        <v>23</v>
      </c>
      <c r="U35" s="29">
        <v>22.86</v>
      </c>
      <c r="V35" s="31">
        <f t="shared" ref="V35:V66" si="13">IFERROR((Q35*S35*U35)/1000000,"")</f>
        <v>5.3241570935999995E-2</v>
      </c>
      <c r="W35" s="29" t="s">
        <v>79</v>
      </c>
      <c r="X35" s="29" t="s">
        <v>79</v>
      </c>
      <c r="Y35" s="29" t="s">
        <v>61</v>
      </c>
    </row>
    <row r="36" spans="1:25" x14ac:dyDescent="0.25">
      <c r="A36" s="29" t="s">
        <v>0</v>
      </c>
      <c r="B36" s="29">
        <v>85</v>
      </c>
      <c r="C36" s="29">
        <v>85</v>
      </c>
      <c r="D36" s="29" t="s">
        <v>46</v>
      </c>
      <c r="E36" s="29" t="s">
        <v>45</v>
      </c>
      <c r="F36" s="29" t="s">
        <v>78</v>
      </c>
      <c r="G36" s="29" t="s">
        <v>64</v>
      </c>
      <c r="H36" s="29" t="str">
        <f t="shared" si="7"/>
        <v>M</v>
      </c>
      <c r="I36" s="29">
        <f t="shared" si="8"/>
        <v>13</v>
      </c>
      <c r="J36" s="29">
        <v>13</v>
      </c>
      <c r="K36" s="29">
        <f t="shared" si="9"/>
        <v>1</v>
      </c>
      <c r="L36" s="30">
        <f t="shared" si="10"/>
        <v>5.3241570935999995E-2</v>
      </c>
      <c r="M36" s="29">
        <v>2.91</v>
      </c>
      <c r="N36" s="29">
        <v>3.89</v>
      </c>
      <c r="O36" s="30">
        <f t="shared" si="11"/>
        <v>3.89</v>
      </c>
      <c r="P36" s="30">
        <f t="shared" si="12"/>
        <v>2.91</v>
      </c>
      <c r="Q36" s="29">
        <v>48.26</v>
      </c>
      <c r="R36" s="29" t="s">
        <v>23</v>
      </c>
      <c r="S36" s="29">
        <v>48.26</v>
      </c>
      <c r="T36" s="29" t="s">
        <v>23</v>
      </c>
      <c r="U36" s="29">
        <v>22.86</v>
      </c>
      <c r="V36" s="31">
        <f t="shared" si="13"/>
        <v>5.3241570935999995E-2</v>
      </c>
      <c r="W36" s="29" t="s">
        <v>79</v>
      </c>
      <c r="X36" s="29" t="s">
        <v>79</v>
      </c>
      <c r="Y36" s="29" t="s">
        <v>61</v>
      </c>
    </row>
    <row r="37" spans="1:25" x14ac:dyDescent="0.25">
      <c r="A37" s="29" t="s">
        <v>0</v>
      </c>
      <c r="B37" s="29">
        <v>86</v>
      </c>
      <c r="C37" s="29">
        <v>133</v>
      </c>
      <c r="D37" s="29" t="s">
        <v>47</v>
      </c>
      <c r="E37" s="29" t="s">
        <v>45</v>
      </c>
      <c r="F37" s="29" t="s">
        <v>78</v>
      </c>
      <c r="G37" s="29" t="s">
        <v>64</v>
      </c>
      <c r="H37" s="29" t="str">
        <f t="shared" si="7"/>
        <v>L</v>
      </c>
      <c r="I37" s="29">
        <f t="shared" si="8"/>
        <v>36</v>
      </c>
      <c r="J37" s="29">
        <v>1728</v>
      </c>
      <c r="K37" s="29">
        <f t="shared" si="9"/>
        <v>48</v>
      </c>
      <c r="L37" s="30">
        <f t="shared" si="10"/>
        <v>2.5555954049279999</v>
      </c>
      <c r="M37" s="29">
        <v>423.36</v>
      </c>
      <c r="N37" s="29">
        <v>470.4</v>
      </c>
      <c r="O37" s="30">
        <f t="shared" si="11"/>
        <v>9.7999999999999989</v>
      </c>
      <c r="P37" s="30">
        <f t="shared" si="12"/>
        <v>8.82</v>
      </c>
      <c r="Q37" s="29">
        <v>48.26</v>
      </c>
      <c r="R37" s="29" t="s">
        <v>23</v>
      </c>
      <c r="S37" s="29">
        <v>48.26</v>
      </c>
      <c r="T37" s="29" t="s">
        <v>23</v>
      </c>
      <c r="U37" s="29">
        <v>22.86</v>
      </c>
      <c r="V37" s="31">
        <f t="shared" si="13"/>
        <v>5.3241570935999995E-2</v>
      </c>
      <c r="W37" s="29" t="s">
        <v>79</v>
      </c>
      <c r="X37" s="29" t="s">
        <v>79</v>
      </c>
      <c r="Y37" s="29" t="s">
        <v>61</v>
      </c>
    </row>
    <row r="38" spans="1:25" x14ac:dyDescent="0.25">
      <c r="A38" s="29" t="s">
        <v>0</v>
      </c>
      <c r="B38" s="29">
        <v>134</v>
      </c>
      <c r="C38" s="29">
        <v>134</v>
      </c>
      <c r="D38" s="29" t="s">
        <v>47</v>
      </c>
      <c r="E38" s="29" t="s">
        <v>45</v>
      </c>
      <c r="F38" s="29" t="s">
        <v>78</v>
      </c>
      <c r="G38" s="29" t="s">
        <v>64</v>
      </c>
      <c r="H38" s="29" t="str">
        <f t="shared" si="7"/>
        <v>L</v>
      </c>
      <c r="I38" s="29">
        <f t="shared" si="8"/>
        <v>37</v>
      </c>
      <c r="J38" s="29">
        <v>37</v>
      </c>
      <c r="K38" s="29">
        <f t="shared" si="9"/>
        <v>1</v>
      </c>
      <c r="L38" s="30">
        <f t="shared" si="10"/>
        <v>5.3241570935999995E-2</v>
      </c>
      <c r="M38" s="29">
        <v>9.06</v>
      </c>
      <c r="N38" s="29">
        <v>10.4</v>
      </c>
      <c r="O38" s="30">
        <f t="shared" si="11"/>
        <v>10.4</v>
      </c>
      <c r="P38" s="30">
        <f t="shared" si="12"/>
        <v>9.06</v>
      </c>
      <c r="Q38" s="29">
        <v>48.26</v>
      </c>
      <c r="R38" s="29" t="s">
        <v>23</v>
      </c>
      <c r="S38" s="29">
        <v>48.26</v>
      </c>
      <c r="T38" s="29" t="s">
        <v>23</v>
      </c>
      <c r="U38" s="29">
        <v>22.86</v>
      </c>
      <c r="V38" s="31">
        <f t="shared" si="13"/>
        <v>5.3241570935999995E-2</v>
      </c>
      <c r="W38" s="29" t="s">
        <v>79</v>
      </c>
      <c r="X38" s="29" t="s">
        <v>79</v>
      </c>
      <c r="Y38" s="29" t="s">
        <v>61</v>
      </c>
    </row>
    <row r="39" spans="1:25" x14ac:dyDescent="0.25">
      <c r="A39" s="29" t="s">
        <v>0</v>
      </c>
      <c r="B39" s="29">
        <v>137</v>
      </c>
      <c r="C39" s="29">
        <v>156</v>
      </c>
      <c r="D39" s="29" t="s">
        <v>48</v>
      </c>
      <c r="E39" s="29" t="s">
        <v>45</v>
      </c>
      <c r="F39" s="29" t="s">
        <v>78</v>
      </c>
      <c r="G39" s="29" t="s">
        <v>64</v>
      </c>
      <c r="H39" s="29" t="str">
        <f t="shared" si="7"/>
        <v>XL</v>
      </c>
      <c r="I39" s="29">
        <f t="shared" si="8"/>
        <v>36</v>
      </c>
      <c r="J39" s="29">
        <v>720</v>
      </c>
      <c r="K39" s="29">
        <f t="shared" si="9"/>
        <v>20</v>
      </c>
      <c r="L39" s="30">
        <f t="shared" si="10"/>
        <v>1.2423033218399999</v>
      </c>
      <c r="M39" s="29">
        <v>186.4</v>
      </c>
      <c r="N39" s="29">
        <v>207.2</v>
      </c>
      <c r="O39" s="30">
        <f t="shared" si="11"/>
        <v>10.36</v>
      </c>
      <c r="P39" s="30">
        <f t="shared" si="12"/>
        <v>9.32</v>
      </c>
      <c r="Q39" s="29">
        <v>48.26</v>
      </c>
      <c r="R39" s="29" t="s">
        <v>23</v>
      </c>
      <c r="S39" s="29">
        <v>48.26</v>
      </c>
      <c r="T39" s="29" t="s">
        <v>23</v>
      </c>
      <c r="U39" s="29">
        <v>26.67</v>
      </c>
      <c r="V39" s="31">
        <f t="shared" si="13"/>
        <v>6.2115166091999997E-2</v>
      </c>
      <c r="W39" s="29" t="s">
        <v>79</v>
      </c>
      <c r="X39" s="29" t="s">
        <v>79</v>
      </c>
      <c r="Y39" s="29" t="s">
        <v>61</v>
      </c>
    </row>
    <row r="40" spans="1:25" x14ac:dyDescent="0.25">
      <c r="A40" s="29" t="s">
        <v>0</v>
      </c>
      <c r="B40" s="29">
        <v>157</v>
      </c>
      <c r="C40" s="29">
        <v>157</v>
      </c>
      <c r="D40" s="29" t="s">
        <v>48</v>
      </c>
      <c r="E40" s="29" t="s">
        <v>45</v>
      </c>
      <c r="F40" s="29" t="s">
        <v>78</v>
      </c>
      <c r="G40" s="29" t="s">
        <v>64</v>
      </c>
      <c r="H40" s="29" t="str">
        <f t="shared" si="7"/>
        <v>XL</v>
      </c>
      <c r="I40" s="29">
        <f t="shared" si="8"/>
        <v>17</v>
      </c>
      <c r="J40" s="29">
        <v>17</v>
      </c>
      <c r="K40" s="29">
        <f t="shared" si="9"/>
        <v>1</v>
      </c>
      <c r="L40" s="30">
        <f t="shared" si="10"/>
        <v>6.2115166091999997E-2</v>
      </c>
      <c r="M40" s="29">
        <v>4.4000000000000004</v>
      </c>
      <c r="N40" s="29">
        <v>5.44</v>
      </c>
      <c r="O40" s="30">
        <f t="shared" si="11"/>
        <v>5.44</v>
      </c>
      <c r="P40" s="30">
        <f t="shared" si="12"/>
        <v>4.4000000000000004</v>
      </c>
      <c r="Q40" s="29">
        <v>48.26</v>
      </c>
      <c r="R40" s="29" t="s">
        <v>23</v>
      </c>
      <c r="S40" s="29">
        <v>48.26</v>
      </c>
      <c r="T40" s="29" t="s">
        <v>23</v>
      </c>
      <c r="U40" s="29">
        <v>26.67</v>
      </c>
      <c r="V40" s="31">
        <f t="shared" si="13"/>
        <v>6.2115166091999997E-2</v>
      </c>
      <c r="W40" s="29" t="s">
        <v>79</v>
      </c>
      <c r="X40" s="29" t="s">
        <v>79</v>
      </c>
      <c r="Y40" s="29" t="s">
        <v>61</v>
      </c>
    </row>
    <row r="41" spans="1:25" x14ac:dyDescent="0.25">
      <c r="A41" s="29" t="s">
        <v>0</v>
      </c>
      <c r="B41" s="29">
        <v>1</v>
      </c>
      <c r="C41" s="29">
        <v>11</v>
      </c>
      <c r="D41" s="29" t="s">
        <v>49</v>
      </c>
      <c r="E41" s="29" t="s">
        <v>45</v>
      </c>
      <c r="F41" s="29" t="s">
        <v>78</v>
      </c>
      <c r="G41" s="29" t="s">
        <v>64</v>
      </c>
      <c r="H41" s="29" t="str">
        <f t="shared" si="7"/>
        <v>XXL</v>
      </c>
      <c r="I41" s="29">
        <f t="shared" si="8"/>
        <v>36</v>
      </c>
      <c r="J41" s="29">
        <v>396</v>
      </c>
      <c r="K41" s="29">
        <f t="shared" si="9"/>
        <v>11</v>
      </c>
      <c r="L41" s="30">
        <f t="shared" si="10"/>
        <v>0.68326682701199992</v>
      </c>
      <c r="M41" s="29">
        <v>108.02</v>
      </c>
      <c r="N41" s="29">
        <v>119.46</v>
      </c>
      <c r="O41" s="30">
        <f t="shared" si="11"/>
        <v>10.86</v>
      </c>
      <c r="P41" s="30">
        <f t="shared" si="12"/>
        <v>9.82</v>
      </c>
      <c r="Q41" s="29">
        <v>48.26</v>
      </c>
      <c r="R41" s="29" t="s">
        <v>23</v>
      </c>
      <c r="S41" s="29">
        <v>48.26</v>
      </c>
      <c r="T41" s="29" t="s">
        <v>23</v>
      </c>
      <c r="U41" s="29">
        <v>26.67</v>
      </c>
      <c r="V41" s="31">
        <f t="shared" si="13"/>
        <v>6.2115166091999997E-2</v>
      </c>
      <c r="W41" s="29" t="s">
        <v>79</v>
      </c>
      <c r="X41" s="29" t="s">
        <v>79</v>
      </c>
      <c r="Y41" s="29" t="s">
        <v>61</v>
      </c>
    </row>
    <row r="42" spans="1:25" x14ac:dyDescent="0.25">
      <c r="A42" s="29" t="s">
        <v>0</v>
      </c>
      <c r="B42" s="29">
        <v>12</v>
      </c>
      <c r="C42" s="29">
        <v>12</v>
      </c>
      <c r="D42" s="29" t="s">
        <v>49</v>
      </c>
      <c r="E42" s="29" t="s">
        <v>45</v>
      </c>
      <c r="F42" s="29" t="s">
        <v>78</v>
      </c>
      <c r="G42" s="29" t="s">
        <v>64</v>
      </c>
      <c r="H42" s="29" t="str">
        <f t="shared" si="7"/>
        <v>XXL</v>
      </c>
      <c r="I42" s="29">
        <f t="shared" si="8"/>
        <v>9</v>
      </c>
      <c r="J42" s="29">
        <v>9</v>
      </c>
      <c r="K42" s="29">
        <f t="shared" si="9"/>
        <v>1</v>
      </c>
      <c r="L42" s="30">
        <f t="shared" si="10"/>
        <v>6.2115166091999997E-2</v>
      </c>
      <c r="M42" s="29">
        <v>2.4500000000000002</v>
      </c>
      <c r="N42" s="29">
        <v>3.47</v>
      </c>
      <c r="O42" s="30">
        <f t="shared" si="11"/>
        <v>3.47</v>
      </c>
      <c r="P42" s="30">
        <f t="shared" si="12"/>
        <v>2.4500000000000002</v>
      </c>
      <c r="Q42" s="29">
        <v>48.26</v>
      </c>
      <c r="R42" s="29" t="s">
        <v>23</v>
      </c>
      <c r="S42" s="29">
        <v>48.26</v>
      </c>
      <c r="T42" s="29" t="s">
        <v>23</v>
      </c>
      <c r="U42" s="29">
        <v>26.67</v>
      </c>
      <c r="V42" s="31">
        <f t="shared" si="13"/>
        <v>6.2115166091999997E-2</v>
      </c>
      <c r="W42" s="29" t="s">
        <v>79</v>
      </c>
      <c r="X42" s="29" t="s">
        <v>79</v>
      </c>
      <c r="Y42" s="29" t="s">
        <v>61</v>
      </c>
    </row>
    <row r="43" spans="1:25" x14ac:dyDescent="0.25">
      <c r="A43" s="29" t="s">
        <v>0</v>
      </c>
      <c r="B43" s="29">
        <v>1</v>
      </c>
      <c r="C43" s="29">
        <v>10</v>
      </c>
      <c r="D43" s="29" t="s">
        <v>50</v>
      </c>
      <c r="E43" s="29" t="s">
        <v>45</v>
      </c>
      <c r="F43" s="29" t="s">
        <v>78</v>
      </c>
      <c r="G43" s="29" t="s">
        <v>65</v>
      </c>
      <c r="H43" s="29" t="str">
        <f t="shared" si="7"/>
        <v>S</v>
      </c>
      <c r="I43" s="29">
        <f t="shared" si="8"/>
        <v>36</v>
      </c>
      <c r="J43" s="29">
        <v>360</v>
      </c>
      <c r="K43" s="29">
        <f t="shared" si="9"/>
        <v>10</v>
      </c>
      <c r="L43" s="30">
        <f t="shared" si="10"/>
        <v>0.53241570935999993</v>
      </c>
      <c r="M43" s="29">
        <v>73.400000000000006</v>
      </c>
      <c r="N43" s="29">
        <v>83.2</v>
      </c>
      <c r="O43" s="30">
        <f t="shared" si="11"/>
        <v>8.32</v>
      </c>
      <c r="P43" s="30">
        <f t="shared" si="12"/>
        <v>7.3400000000000007</v>
      </c>
      <c r="Q43" s="29">
        <v>48.26</v>
      </c>
      <c r="R43" s="29" t="s">
        <v>23</v>
      </c>
      <c r="S43" s="29">
        <v>48.26</v>
      </c>
      <c r="T43" s="29" t="s">
        <v>23</v>
      </c>
      <c r="U43" s="29">
        <v>22.86</v>
      </c>
      <c r="V43" s="31">
        <f t="shared" si="13"/>
        <v>5.3241570935999995E-2</v>
      </c>
      <c r="W43" s="29" t="s">
        <v>79</v>
      </c>
      <c r="X43" s="29" t="s">
        <v>79</v>
      </c>
      <c r="Y43" s="29" t="s">
        <v>61</v>
      </c>
    </row>
    <row r="44" spans="1:25" x14ac:dyDescent="0.25">
      <c r="A44" s="29" t="s">
        <v>0</v>
      </c>
      <c r="B44" s="29">
        <v>11</v>
      </c>
      <c r="C44" s="29">
        <v>11</v>
      </c>
      <c r="D44" s="29" t="s">
        <v>50</v>
      </c>
      <c r="E44" s="29" t="s">
        <v>45</v>
      </c>
      <c r="F44" s="29" t="s">
        <v>78</v>
      </c>
      <c r="G44" s="29" t="s">
        <v>65</v>
      </c>
      <c r="H44" s="29" t="str">
        <f t="shared" si="7"/>
        <v>S</v>
      </c>
      <c r="I44" s="29">
        <f t="shared" si="8"/>
        <v>11</v>
      </c>
      <c r="J44" s="29">
        <v>11</v>
      </c>
      <c r="K44" s="29">
        <f t="shared" si="9"/>
        <v>1</v>
      </c>
      <c r="L44" s="30">
        <f t="shared" si="10"/>
        <v>5.3241570935999995E-2</v>
      </c>
      <c r="M44" s="29">
        <v>2.2400000000000002</v>
      </c>
      <c r="N44" s="29">
        <v>3.22</v>
      </c>
      <c r="O44" s="30">
        <f t="shared" si="11"/>
        <v>3.22</v>
      </c>
      <c r="P44" s="30">
        <f t="shared" si="12"/>
        <v>2.2400000000000002</v>
      </c>
      <c r="Q44" s="29">
        <v>48.26</v>
      </c>
      <c r="R44" s="29" t="s">
        <v>23</v>
      </c>
      <c r="S44" s="29">
        <v>48.26</v>
      </c>
      <c r="T44" s="29" t="s">
        <v>23</v>
      </c>
      <c r="U44" s="29">
        <v>22.86</v>
      </c>
      <c r="V44" s="31">
        <f t="shared" si="13"/>
        <v>5.3241570935999995E-2</v>
      </c>
      <c r="W44" s="29" t="s">
        <v>79</v>
      </c>
      <c r="X44" s="29" t="s">
        <v>79</v>
      </c>
      <c r="Y44" s="29" t="s">
        <v>61</v>
      </c>
    </row>
    <row r="45" spans="1:25" x14ac:dyDescent="0.25">
      <c r="A45" s="29" t="s">
        <v>0</v>
      </c>
      <c r="B45" s="29">
        <v>12</v>
      </c>
      <c r="C45" s="29">
        <v>49</v>
      </c>
      <c r="D45" s="29" t="s">
        <v>51</v>
      </c>
      <c r="E45" s="29" t="s">
        <v>45</v>
      </c>
      <c r="F45" s="29" t="s">
        <v>78</v>
      </c>
      <c r="G45" s="29" t="s">
        <v>65</v>
      </c>
      <c r="H45" s="29" t="str">
        <f t="shared" si="7"/>
        <v>M</v>
      </c>
      <c r="I45" s="29">
        <f t="shared" si="8"/>
        <v>36</v>
      </c>
      <c r="J45" s="29">
        <v>1368</v>
      </c>
      <c r="K45" s="29">
        <f t="shared" si="9"/>
        <v>38</v>
      </c>
      <c r="L45" s="30">
        <f t="shared" si="10"/>
        <v>2.0231796955679999</v>
      </c>
      <c r="M45" s="29">
        <v>307.04000000000002</v>
      </c>
      <c r="N45" s="29">
        <v>344.28</v>
      </c>
      <c r="O45" s="30">
        <f t="shared" si="11"/>
        <v>9.0599999999999987</v>
      </c>
      <c r="P45" s="30">
        <f t="shared" si="12"/>
        <v>8.08</v>
      </c>
      <c r="Q45" s="29">
        <v>48.26</v>
      </c>
      <c r="R45" s="29" t="s">
        <v>23</v>
      </c>
      <c r="S45" s="29">
        <v>48.26</v>
      </c>
      <c r="T45" s="29" t="s">
        <v>23</v>
      </c>
      <c r="U45" s="29">
        <v>22.86</v>
      </c>
      <c r="V45" s="31">
        <f t="shared" si="13"/>
        <v>5.3241570935999995E-2</v>
      </c>
      <c r="W45" s="29" t="s">
        <v>79</v>
      </c>
      <c r="X45" s="29" t="s">
        <v>79</v>
      </c>
      <c r="Y45" s="29" t="s">
        <v>61</v>
      </c>
    </row>
    <row r="46" spans="1:25" x14ac:dyDescent="0.25">
      <c r="A46" s="29" t="s">
        <v>0</v>
      </c>
      <c r="B46" s="29">
        <v>50</v>
      </c>
      <c r="C46" s="29">
        <v>50</v>
      </c>
      <c r="D46" s="29" t="s">
        <v>51</v>
      </c>
      <c r="E46" s="29" t="s">
        <v>45</v>
      </c>
      <c r="F46" s="29" t="s">
        <v>78</v>
      </c>
      <c r="G46" s="29" t="s">
        <v>65</v>
      </c>
      <c r="H46" s="29" t="str">
        <f t="shared" si="7"/>
        <v>M</v>
      </c>
      <c r="I46" s="29">
        <f t="shared" si="8"/>
        <v>28</v>
      </c>
      <c r="J46" s="29">
        <v>28</v>
      </c>
      <c r="K46" s="29">
        <f t="shared" si="9"/>
        <v>1</v>
      </c>
      <c r="L46" s="30">
        <f t="shared" si="10"/>
        <v>5.3241570935999995E-2</v>
      </c>
      <c r="M46" s="29">
        <v>6.28</v>
      </c>
      <c r="N46" s="29">
        <v>7.26</v>
      </c>
      <c r="O46" s="30">
        <f t="shared" si="11"/>
        <v>7.26</v>
      </c>
      <c r="P46" s="30">
        <f t="shared" si="12"/>
        <v>6.28</v>
      </c>
      <c r="Q46" s="29">
        <v>48.26</v>
      </c>
      <c r="R46" s="29" t="s">
        <v>23</v>
      </c>
      <c r="S46" s="29">
        <v>48.26</v>
      </c>
      <c r="T46" s="29" t="s">
        <v>23</v>
      </c>
      <c r="U46" s="29">
        <v>22.86</v>
      </c>
      <c r="V46" s="31">
        <f t="shared" si="13"/>
        <v>5.3241570935999995E-2</v>
      </c>
      <c r="W46" s="29" t="s">
        <v>79</v>
      </c>
      <c r="X46" s="29" t="s">
        <v>79</v>
      </c>
      <c r="Y46" s="29" t="s">
        <v>61</v>
      </c>
    </row>
    <row r="47" spans="1:25" x14ac:dyDescent="0.25">
      <c r="A47" s="29" t="s">
        <v>0</v>
      </c>
      <c r="B47" s="29">
        <v>52</v>
      </c>
      <c r="C47" s="29">
        <v>81</v>
      </c>
      <c r="D47" s="29" t="s">
        <v>52</v>
      </c>
      <c r="E47" s="29" t="s">
        <v>45</v>
      </c>
      <c r="F47" s="29" t="s">
        <v>78</v>
      </c>
      <c r="G47" s="29" t="s">
        <v>65</v>
      </c>
      <c r="H47" s="29" t="str">
        <f t="shared" si="7"/>
        <v>L</v>
      </c>
      <c r="I47" s="29">
        <f t="shared" si="8"/>
        <v>36</v>
      </c>
      <c r="J47" s="29">
        <v>1080</v>
      </c>
      <c r="K47" s="29">
        <f t="shared" si="9"/>
        <v>30</v>
      </c>
      <c r="L47" s="30">
        <f t="shared" si="10"/>
        <v>1.5972471280799998</v>
      </c>
      <c r="M47" s="29">
        <v>264.60000000000002</v>
      </c>
      <c r="N47" s="29">
        <v>294</v>
      </c>
      <c r="O47" s="30">
        <f t="shared" si="11"/>
        <v>9.8000000000000007</v>
      </c>
      <c r="P47" s="30">
        <f t="shared" si="12"/>
        <v>8.82</v>
      </c>
      <c r="Q47" s="29">
        <v>48.26</v>
      </c>
      <c r="R47" s="29" t="s">
        <v>23</v>
      </c>
      <c r="S47" s="29">
        <v>48.26</v>
      </c>
      <c r="T47" s="29" t="s">
        <v>23</v>
      </c>
      <c r="U47" s="29">
        <v>22.86</v>
      </c>
      <c r="V47" s="31">
        <f t="shared" si="13"/>
        <v>5.3241570935999995E-2</v>
      </c>
      <c r="W47" s="29" t="s">
        <v>79</v>
      </c>
      <c r="X47" s="29" t="s">
        <v>79</v>
      </c>
      <c r="Y47" s="29" t="s">
        <v>61</v>
      </c>
    </row>
    <row r="48" spans="1:25" x14ac:dyDescent="0.25">
      <c r="A48" s="29" t="s">
        <v>0</v>
      </c>
      <c r="B48" s="29">
        <v>82</v>
      </c>
      <c r="C48" s="29">
        <v>82</v>
      </c>
      <c r="D48" s="29" t="s">
        <v>52</v>
      </c>
      <c r="E48" s="29" t="s">
        <v>45</v>
      </c>
      <c r="F48" s="29" t="s">
        <v>78</v>
      </c>
      <c r="G48" s="29" t="s">
        <v>65</v>
      </c>
      <c r="H48" s="29" t="str">
        <f t="shared" si="7"/>
        <v>L</v>
      </c>
      <c r="I48" s="29">
        <f t="shared" si="8"/>
        <v>31</v>
      </c>
      <c r="J48" s="29">
        <v>31</v>
      </c>
      <c r="K48" s="29">
        <f t="shared" si="9"/>
        <v>1</v>
      </c>
      <c r="L48" s="30">
        <f t="shared" si="10"/>
        <v>5.3241570935999995E-2</v>
      </c>
      <c r="M48" s="29">
        <v>7.59</v>
      </c>
      <c r="N48" s="29">
        <v>8.57</v>
      </c>
      <c r="O48" s="30">
        <f t="shared" si="11"/>
        <v>8.57</v>
      </c>
      <c r="P48" s="30">
        <f t="shared" si="12"/>
        <v>7.59</v>
      </c>
      <c r="Q48" s="29">
        <v>48.26</v>
      </c>
      <c r="R48" s="29" t="s">
        <v>23</v>
      </c>
      <c r="S48" s="29">
        <v>48.26</v>
      </c>
      <c r="T48" s="29" t="s">
        <v>23</v>
      </c>
      <c r="U48" s="29">
        <v>22.86</v>
      </c>
      <c r="V48" s="31">
        <f t="shared" si="13"/>
        <v>5.3241570935999995E-2</v>
      </c>
      <c r="W48" s="29" t="s">
        <v>79</v>
      </c>
      <c r="X48" s="29" t="s">
        <v>79</v>
      </c>
      <c r="Y48" s="29" t="s">
        <v>61</v>
      </c>
    </row>
    <row r="49" spans="1:25" x14ac:dyDescent="0.25">
      <c r="A49" s="29" t="s">
        <v>0</v>
      </c>
      <c r="B49" s="29">
        <v>83</v>
      </c>
      <c r="C49" s="29">
        <v>93</v>
      </c>
      <c r="D49" s="29" t="s">
        <v>53</v>
      </c>
      <c r="E49" s="29" t="s">
        <v>45</v>
      </c>
      <c r="F49" s="29" t="s">
        <v>78</v>
      </c>
      <c r="G49" s="29" t="s">
        <v>65</v>
      </c>
      <c r="H49" s="29" t="str">
        <f t="shared" si="7"/>
        <v>XL</v>
      </c>
      <c r="I49" s="29">
        <f t="shared" si="8"/>
        <v>36</v>
      </c>
      <c r="J49" s="29">
        <v>396</v>
      </c>
      <c r="K49" s="29">
        <f t="shared" si="9"/>
        <v>11</v>
      </c>
      <c r="L49" s="30">
        <f t="shared" si="10"/>
        <v>0.68326682701199992</v>
      </c>
      <c r="M49" s="29">
        <v>102.52</v>
      </c>
      <c r="N49" s="29">
        <v>113.96</v>
      </c>
      <c r="O49" s="30">
        <f t="shared" si="11"/>
        <v>10.36</v>
      </c>
      <c r="P49" s="30">
        <f t="shared" si="12"/>
        <v>9.32</v>
      </c>
      <c r="Q49" s="29">
        <v>48.26</v>
      </c>
      <c r="R49" s="29" t="s">
        <v>23</v>
      </c>
      <c r="S49" s="29">
        <v>48.26</v>
      </c>
      <c r="T49" s="29" t="s">
        <v>23</v>
      </c>
      <c r="U49" s="29">
        <v>26.67</v>
      </c>
      <c r="V49" s="31">
        <f t="shared" si="13"/>
        <v>6.2115166091999997E-2</v>
      </c>
      <c r="W49" s="29" t="s">
        <v>79</v>
      </c>
      <c r="X49" s="29" t="s">
        <v>79</v>
      </c>
      <c r="Y49" s="29" t="s">
        <v>61</v>
      </c>
    </row>
    <row r="50" spans="1:25" x14ac:dyDescent="0.25">
      <c r="A50" s="29" t="s">
        <v>0</v>
      </c>
      <c r="B50" s="29">
        <v>94</v>
      </c>
      <c r="C50" s="29">
        <v>94</v>
      </c>
      <c r="D50" s="29" t="s">
        <v>53</v>
      </c>
      <c r="E50" s="29" t="s">
        <v>45</v>
      </c>
      <c r="F50" s="29" t="s">
        <v>78</v>
      </c>
      <c r="G50" s="29" t="s">
        <v>65</v>
      </c>
      <c r="H50" s="29" t="str">
        <f t="shared" si="7"/>
        <v>XL</v>
      </c>
      <c r="I50" s="29">
        <f t="shared" si="8"/>
        <v>9</v>
      </c>
      <c r="J50" s="29">
        <v>9</v>
      </c>
      <c r="K50" s="29">
        <f t="shared" si="9"/>
        <v>1</v>
      </c>
      <c r="L50" s="30">
        <f t="shared" si="10"/>
        <v>6.2115166091999997E-2</v>
      </c>
      <c r="M50" s="29">
        <v>2.33</v>
      </c>
      <c r="N50" s="29">
        <v>3.37</v>
      </c>
      <c r="O50" s="30">
        <f t="shared" si="11"/>
        <v>3.37</v>
      </c>
      <c r="P50" s="30">
        <f t="shared" si="12"/>
        <v>2.33</v>
      </c>
      <c r="Q50" s="29">
        <v>48.26</v>
      </c>
      <c r="R50" s="29" t="s">
        <v>23</v>
      </c>
      <c r="S50" s="29">
        <v>48.26</v>
      </c>
      <c r="T50" s="29" t="s">
        <v>23</v>
      </c>
      <c r="U50" s="29">
        <v>26.67</v>
      </c>
      <c r="V50" s="31">
        <f t="shared" si="13"/>
        <v>6.2115166091999997E-2</v>
      </c>
      <c r="W50" s="29" t="s">
        <v>79</v>
      </c>
      <c r="X50" s="29" t="s">
        <v>79</v>
      </c>
      <c r="Y50" s="29" t="s">
        <v>61</v>
      </c>
    </row>
    <row r="51" spans="1:25" x14ac:dyDescent="0.25">
      <c r="A51" s="29" t="s">
        <v>0</v>
      </c>
      <c r="B51" s="29">
        <v>1</v>
      </c>
      <c r="C51" s="29">
        <v>5</v>
      </c>
      <c r="D51" s="29" t="s">
        <v>54</v>
      </c>
      <c r="E51" s="29" t="s">
        <v>45</v>
      </c>
      <c r="F51" s="29" t="s">
        <v>78</v>
      </c>
      <c r="G51" s="29" t="s">
        <v>65</v>
      </c>
      <c r="H51" s="29" t="str">
        <f t="shared" si="7"/>
        <v>XXL</v>
      </c>
      <c r="I51" s="29">
        <f t="shared" si="8"/>
        <v>36</v>
      </c>
      <c r="J51" s="29">
        <v>180</v>
      </c>
      <c r="K51" s="29">
        <f t="shared" si="9"/>
        <v>5</v>
      </c>
      <c r="L51" s="30">
        <f t="shared" si="10"/>
        <v>0.31057583045999998</v>
      </c>
      <c r="M51" s="29">
        <v>49.1</v>
      </c>
      <c r="N51" s="29">
        <v>54.3</v>
      </c>
      <c r="O51" s="30">
        <f t="shared" si="11"/>
        <v>10.86</v>
      </c>
      <c r="P51" s="30">
        <f t="shared" si="12"/>
        <v>9.82</v>
      </c>
      <c r="Q51" s="29">
        <v>48.26</v>
      </c>
      <c r="R51" s="29" t="s">
        <v>23</v>
      </c>
      <c r="S51" s="29">
        <v>48.26</v>
      </c>
      <c r="T51" s="29" t="s">
        <v>23</v>
      </c>
      <c r="U51" s="29">
        <v>26.67</v>
      </c>
      <c r="V51" s="31">
        <f t="shared" si="13"/>
        <v>6.2115166091999997E-2</v>
      </c>
      <c r="W51" s="29" t="s">
        <v>79</v>
      </c>
      <c r="X51" s="29" t="s">
        <v>79</v>
      </c>
      <c r="Y51" s="29" t="s">
        <v>61</v>
      </c>
    </row>
    <row r="52" spans="1:25" x14ac:dyDescent="0.25">
      <c r="A52" s="29" t="s">
        <v>0</v>
      </c>
      <c r="B52" s="29">
        <v>6</v>
      </c>
      <c r="C52" s="29">
        <v>6</v>
      </c>
      <c r="D52" s="29" t="s">
        <v>54</v>
      </c>
      <c r="E52" s="29" t="s">
        <v>45</v>
      </c>
      <c r="F52" s="29" t="s">
        <v>78</v>
      </c>
      <c r="G52" s="29" t="s">
        <v>65</v>
      </c>
      <c r="H52" s="29" t="str">
        <f t="shared" si="7"/>
        <v>XXL</v>
      </c>
      <c r="I52" s="29">
        <f t="shared" si="8"/>
        <v>4</v>
      </c>
      <c r="J52" s="29">
        <v>4</v>
      </c>
      <c r="K52" s="29">
        <f t="shared" si="9"/>
        <v>1</v>
      </c>
      <c r="L52" s="30">
        <f t="shared" si="10"/>
        <v>6.2115166091999997E-2</v>
      </c>
      <c r="M52" s="29">
        <v>1.0900000000000001</v>
      </c>
      <c r="N52" s="29">
        <v>2.13</v>
      </c>
      <c r="O52" s="30">
        <f t="shared" si="11"/>
        <v>2.13</v>
      </c>
      <c r="P52" s="30">
        <f t="shared" si="12"/>
        <v>1.0900000000000001</v>
      </c>
      <c r="Q52" s="29">
        <v>48.26</v>
      </c>
      <c r="R52" s="29" t="s">
        <v>23</v>
      </c>
      <c r="S52" s="29">
        <v>48.26</v>
      </c>
      <c r="T52" s="29" t="s">
        <v>23</v>
      </c>
      <c r="U52" s="29">
        <v>26.67</v>
      </c>
      <c r="V52" s="31">
        <f t="shared" si="13"/>
        <v>6.2115166091999997E-2</v>
      </c>
      <c r="W52" s="29" t="s">
        <v>79</v>
      </c>
      <c r="X52" s="29" t="s">
        <v>79</v>
      </c>
      <c r="Y52" s="29" t="s">
        <v>61</v>
      </c>
    </row>
    <row r="53" spans="1:25" x14ac:dyDescent="0.25">
      <c r="A53" s="29" t="s">
        <v>0</v>
      </c>
      <c r="B53" s="29">
        <v>1</v>
      </c>
      <c r="C53" s="29">
        <v>30</v>
      </c>
      <c r="D53" s="29" t="s">
        <v>55</v>
      </c>
      <c r="E53" s="29" t="s">
        <v>45</v>
      </c>
      <c r="F53" s="29" t="s">
        <v>78</v>
      </c>
      <c r="G53" s="29" t="s">
        <v>62</v>
      </c>
      <c r="H53" s="29" t="str">
        <f t="shared" si="7"/>
        <v>S</v>
      </c>
      <c r="I53" s="29">
        <f t="shared" si="8"/>
        <v>36</v>
      </c>
      <c r="J53" s="29">
        <v>1080</v>
      </c>
      <c r="K53" s="29">
        <f t="shared" si="9"/>
        <v>30</v>
      </c>
      <c r="L53" s="30">
        <f t="shared" si="10"/>
        <v>1.5972471280799998</v>
      </c>
      <c r="M53" s="29">
        <v>220.2</v>
      </c>
      <c r="N53" s="29">
        <v>249.6</v>
      </c>
      <c r="O53" s="30">
        <f t="shared" si="11"/>
        <v>8.32</v>
      </c>
      <c r="P53" s="30">
        <f t="shared" si="12"/>
        <v>7.34</v>
      </c>
      <c r="Q53" s="29">
        <v>48.26</v>
      </c>
      <c r="R53" s="29" t="s">
        <v>23</v>
      </c>
      <c r="S53" s="29">
        <v>48.26</v>
      </c>
      <c r="T53" s="29" t="s">
        <v>23</v>
      </c>
      <c r="U53" s="29">
        <v>22.86</v>
      </c>
      <c r="V53" s="31">
        <f t="shared" si="13"/>
        <v>5.3241570935999995E-2</v>
      </c>
      <c r="W53" s="29" t="s">
        <v>79</v>
      </c>
      <c r="X53" s="29" t="s">
        <v>79</v>
      </c>
      <c r="Y53" s="29" t="s">
        <v>61</v>
      </c>
    </row>
    <row r="54" spans="1:25" x14ac:dyDescent="0.25">
      <c r="A54" s="29" t="s">
        <v>0</v>
      </c>
      <c r="B54" s="29">
        <v>31</v>
      </c>
      <c r="C54" s="29">
        <v>31</v>
      </c>
      <c r="D54" s="29" t="s">
        <v>55</v>
      </c>
      <c r="E54" s="29" t="s">
        <v>45</v>
      </c>
      <c r="F54" s="29" t="s">
        <v>78</v>
      </c>
      <c r="G54" s="29" t="s">
        <v>62</v>
      </c>
      <c r="H54" s="29" t="str">
        <f t="shared" si="7"/>
        <v>S</v>
      </c>
      <c r="I54" s="29">
        <f t="shared" si="8"/>
        <v>27</v>
      </c>
      <c r="J54" s="29">
        <v>27</v>
      </c>
      <c r="K54" s="29">
        <f t="shared" si="9"/>
        <v>1</v>
      </c>
      <c r="L54" s="30">
        <f t="shared" si="10"/>
        <v>5.3241570935999995E-2</v>
      </c>
      <c r="M54" s="29">
        <v>5.5</v>
      </c>
      <c r="N54" s="29">
        <v>6.48</v>
      </c>
      <c r="O54" s="30">
        <f t="shared" si="11"/>
        <v>6.48</v>
      </c>
      <c r="P54" s="30">
        <f t="shared" si="12"/>
        <v>5.5</v>
      </c>
      <c r="Q54" s="29">
        <v>48.26</v>
      </c>
      <c r="R54" s="29" t="s">
        <v>23</v>
      </c>
      <c r="S54" s="29">
        <v>48.26</v>
      </c>
      <c r="T54" s="29" t="s">
        <v>23</v>
      </c>
      <c r="U54" s="29">
        <v>22.86</v>
      </c>
      <c r="V54" s="31">
        <f t="shared" si="13"/>
        <v>5.3241570935999995E-2</v>
      </c>
      <c r="W54" s="29" t="s">
        <v>79</v>
      </c>
      <c r="X54" s="29" t="s">
        <v>79</v>
      </c>
      <c r="Y54" s="29" t="s">
        <v>61</v>
      </c>
    </row>
    <row r="55" spans="1:25" x14ac:dyDescent="0.25">
      <c r="A55" s="29" t="s">
        <v>0</v>
      </c>
      <c r="B55" s="29">
        <v>32</v>
      </c>
      <c r="C55" s="29">
        <v>128</v>
      </c>
      <c r="D55" s="29" t="s">
        <v>56</v>
      </c>
      <c r="E55" s="29" t="s">
        <v>45</v>
      </c>
      <c r="F55" s="29" t="s">
        <v>78</v>
      </c>
      <c r="G55" s="29" t="s">
        <v>62</v>
      </c>
      <c r="H55" s="29" t="str">
        <f t="shared" si="7"/>
        <v>M</v>
      </c>
      <c r="I55" s="29">
        <f t="shared" si="8"/>
        <v>36</v>
      </c>
      <c r="J55" s="29">
        <v>3492</v>
      </c>
      <c r="K55" s="29">
        <f t="shared" si="9"/>
        <v>97</v>
      </c>
      <c r="L55" s="30">
        <f t="shared" si="10"/>
        <v>5.1644323807919994</v>
      </c>
      <c r="M55" s="29">
        <v>783.76</v>
      </c>
      <c r="N55" s="29">
        <v>878.82</v>
      </c>
      <c r="O55" s="30">
        <f t="shared" si="11"/>
        <v>9.06</v>
      </c>
      <c r="P55" s="30">
        <f t="shared" si="12"/>
        <v>8.08</v>
      </c>
      <c r="Q55" s="29">
        <v>48.26</v>
      </c>
      <c r="R55" s="29" t="s">
        <v>23</v>
      </c>
      <c r="S55" s="29">
        <v>48.26</v>
      </c>
      <c r="T55" s="29" t="s">
        <v>23</v>
      </c>
      <c r="U55" s="29">
        <v>22.86</v>
      </c>
      <c r="V55" s="31">
        <f t="shared" si="13"/>
        <v>5.3241570935999995E-2</v>
      </c>
      <c r="W55" s="29" t="s">
        <v>79</v>
      </c>
      <c r="X55" s="29" t="s">
        <v>79</v>
      </c>
      <c r="Y55" s="29" t="s">
        <v>61</v>
      </c>
    </row>
    <row r="56" spans="1:25" x14ac:dyDescent="0.25">
      <c r="A56" s="29" t="s">
        <v>0</v>
      </c>
      <c r="B56" s="29">
        <v>129</v>
      </c>
      <c r="C56" s="29">
        <v>129</v>
      </c>
      <c r="D56" s="29" t="s">
        <v>56</v>
      </c>
      <c r="E56" s="29" t="s">
        <v>45</v>
      </c>
      <c r="F56" s="29" t="s">
        <v>78</v>
      </c>
      <c r="G56" s="29" t="s">
        <v>62</v>
      </c>
      <c r="H56" s="29" t="str">
        <f t="shared" si="7"/>
        <v>M</v>
      </c>
      <c r="I56" s="29">
        <f t="shared" si="8"/>
        <v>31</v>
      </c>
      <c r="J56" s="29">
        <v>31</v>
      </c>
      <c r="K56" s="29">
        <f t="shared" si="9"/>
        <v>1</v>
      </c>
      <c r="L56" s="30">
        <f t="shared" si="10"/>
        <v>5.3241570935999995E-2</v>
      </c>
      <c r="M56" s="29">
        <v>6.95</v>
      </c>
      <c r="N56" s="29">
        <v>7.93</v>
      </c>
      <c r="O56" s="30">
        <f t="shared" si="11"/>
        <v>7.93</v>
      </c>
      <c r="P56" s="30">
        <f t="shared" si="12"/>
        <v>6.95</v>
      </c>
      <c r="Q56" s="29">
        <v>48.26</v>
      </c>
      <c r="R56" s="29" t="s">
        <v>23</v>
      </c>
      <c r="S56" s="29">
        <v>48.26</v>
      </c>
      <c r="T56" s="29" t="s">
        <v>23</v>
      </c>
      <c r="U56" s="29">
        <v>22.86</v>
      </c>
      <c r="V56" s="31">
        <f t="shared" si="13"/>
        <v>5.3241570935999995E-2</v>
      </c>
      <c r="W56" s="29" t="s">
        <v>79</v>
      </c>
      <c r="X56" s="29" t="s">
        <v>79</v>
      </c>
      <c r="Y56" s="29" t="s">
        <v>61</v>
      </c>
    </row>
    <row r="57" spans="1:25" x14ac:dyDescent="0.25">
      <c r="A57" s="29" t="s">
        <v>0</v>
      </c>
      <c r="B57" s="29">
        <v>130</v>
      </c>
      <c r="C57" s="29">
        <v>206</v>
      </c>
      <c r="D57" s="29" t="s">
        <v>57</v>
      </c>
      <c r="E57" s="29" t="s">
        <v>45</v>
      </c>
      <c r="F57" s="29" t="s">
        <v>78</v>
      </c>
      <c r="G57" s="29" t="s">
        <v>62</v>
      </c>
      <c r="H57" s="29" t="str">
        <f t="shared" si="7"/>
        <v>L</v>
      </c>
      <c r="I57" s="29">
        <f t="shared" si="8"/>
        <v>36</v>
      </c>
      <c r="J57" s="29">
        <v>2772</v>
      </c>
      <c r="K57" s="29">
        <f t="shared" si="9"/>
        <v>77</v>
      </c>
      <c r="L57" s="30">
        <f t="shared" si="10"/>
        <v>4.0996009620719995</v>
      </c>
      <c r="M57" s="29">
        <v>679.14</v>
      </c>
      <c r="N57" s="29">
        <v>754.6</v>
      </c>
      <c r="O57" s="30">
        <f t="shared" si="11"/>
        <v>9.8000000000000007</v>
      </c>
      <c r="P57" s="30">
        <f t="shared" si="12"/>
        <v>8.82</v>
      </c>
      <c r="Q57" s="29">
        <v>48.26</v>
      </c>
      <c r="R57" s="29" t="s">
        <v>23</v>
      </c>
      <c r="S57" s="29">
        <v>48.26</v>
      </c>
      <c r="T57" s="29" t="s">
        <v>23</v>
      </c>
      <c r="U57" s="29">
        <v>22.86</v>
      </c>
      <c r="V57" s="31">
        <f t="shared" si="13"/>
        <v>5.3241570935999995E-2</v>
      </c>
      <c r="W57" s="29" t="s">
        <v>79</v>
      </c>
      <c r="X57" s="29" t="s">
        <v>79</v>
      </c>
      <c r="Y57" s="29" t="s">
        <v>61</v>
      </c>
    </row>
    <row r="58" spans="1:25" x14ac:dyDescent="0.25">
      <c r="A58" s="29" t="s">
        <v>0</v>
      </c>
      <c r="B58" s="29">
        <v>207</v>
      </c>
      <c r="C58" s="29">
        <v>207</v>
      </c>
      <c r="D58" s="29" t="s">
        <v>57</v>
      </c>
      <c r="E58" s="29" t="s">
        <v>45</v>
      </c>
      <c r="F58" s="29" t="s">
        <v>78</v>
      </c>
      <c r="G58" s="29" t="s">
        <v>62</v>
      </c>
      <c r="H58" s="29" t="str">
        <f t="shared" si="7"/>
        <v>L</v>
      </c>
      <c r="I58" s="29">
        <f t="shared" si="8"/>
        <v>18</v>
      </c>
      <c r="J58" s="29">
        <v>18</v>
      </c>
      <c r="K58" s="29">
        <f t="shared" si="9"/>
        <v>1</v>
      </c>
      <c r="L58" s="30">
        <f t="shared" si="10"/>
        <v>5.3241570935999995E-2</v>
      </c>
      <c r="M58" s="29">
        <v>4.41</v>
      </c>
      <c r="N58" s="29">
        <v>5.39</v>
      </c>
      <c r="O58" s="30">
        <f t="shared" si="11"/>
        <v>5.39</v>
      </c>
      <c r="P58" s="30">
        <f t="shared" si="12"/>
        <v>4.41</v>
      </c>
      <c r="Q58" s="29">
        <v>48.26</v>
      </c>
      <c r="R58" s="29" t="s">
        <v>23</v>
      </c>
      <c r="S58" s="29">
        <v>48.26</v>
      </c>
      <c r="T58" s="29" t="s">
        <v>23</v>
      </c>
      <c r="U58" s="29">
        <v>22.86</v>
      </c>
      <c r="V58" s="31">
        <f t="shared" si="13"/>
        <v>5.3241570935999995E-2</v>
      </c>
      <c r="W58" s="29" t="s">
        <v>79</v>
      </c>
      <c r="X58" s="29" t="s">
        <v>79</v>
      </c>
      <c r="Y58" s="29" t="s">
        <v>61</v>
      </c>
    </row>
    <row r="59" spans="1:25" x14ac:dyDescent="0.25">
      <c r="A59" s="29" t="s">
        <v>0</v>
      </c>
      <c r="B59" s="29">
        <v>209</v>
      </c>
      <c r="C59" s="29">
        <v>239</v>
      </c>
      <c r="D59" s="29" t="s">
        <v>58</v>
      </c>
      <c r="E59" s="29" t="s">
        <v>45</v>
      </c>
      <c r="F59" s="29" t="s">
        <v>78</v>
      </c>
      <c r="G59" s="29" t="s">
        <v>62</v>
      </c>
      <c r="H59" s="29" t="str">
        <f t="shared" si="7"/>
        <v>XL</v>
      </c>
      <c r="I59" s="29">
        <f t="shared" si="8"/>
        <v>36</v>
      </c>
      <c r="J59" s="29">
        <v>1116</v>
      </c>
      <c r="K59" s="29">
        <f t="shared" si="9"/>
        <v>31</v>
      </c>
      <c r="L59" s="30">
        <f t="shared" si="10"/>
        <v>1.9255701488519998</v>
      </c>
      <c r="M59" s="29">
        <v>288.92</v>
      </c>
      <c r="N59" s="29">
        <v>321.16000000000003</v>
      </c>
      <c r="O59" s="30">
        <f t="shared" si="11"/>
        <v>10.360000000000001</v>
      </c>
      <c r="P59" s="30">
        <f t="shared" si="12"/>
        <v>9.32</v>
      </c>
      <c r="Q59" s="29">
        <v>48.26</v>
      </c>
      <c r="R59" s="29" t="s">
        <v>23</v>
      </c>
      <c r="S59" s="29">
        <v>48.26</v>
      </c>
      <c r="T59" s="29" t="s">
        <v>23</v>
      </c>
      <c r="U59" s="29">
        <v>26.67</v>
      </c>
      <c r="V59" s="31">
        <f t="shared" si="13"/>
        <v>6.2115166091999997E-2</v>
      </c>
      <c r="W59" s="29" t="s">
        <v>79</v>
      </c>
      <c r="X59" s="29" t="s">
        <v>79</v>
      </c>
      <c r="Y59" s="29" t="s">
        <v>61</v>
      </c>
    </row>
    <row r="60" spans="1:25" x14ac:dyDescent="0.25">
      <c r="A60" s="29" t="s">
        <v>0</v>
      </c>
      <c r="B60" s="29">
        <v>240</v>
      </c>
      <c r="C60" s="29">
        <v>240</v>
      </c>
      <c r="D60" s="29" t="s">
        <v>58</v>
      </c>
      <c r="E60" s="29" t="s">
        <v>45</v>
      </c>
      <c r="F60" s="29" t="s">
        <v>78</v>
      </c>
      <c r="G60" s="29" t="s">
        <v>62</v>
      </c>
      <c r="H60" s="29" t="str">
        <f t="shared" si="7"/>
        <v>XL</v>
      </c>
      <c r="I60" s="29">
        <f t="shared" si="8"/>
        <v>28</v>
      </c>
      <c r="J60" s="29">
        <v>28</v>
      </c>
      <c r="K60" s="29">
        <f t="shared" si="9"/>
        <v>1</v>
      </c>
      <c r="L60" s="30">
        <f t="shared" si="10"/>
        <v>6.2115166091999997E-2</v>
      </c>
      <c r="M60" s="29">
        <v>7.24</v>
      </c>
      <c r="N60" s="29">
        <v>8.2799999999999994</v>
      </c>
      <c r="O60" s="30">
        <f t="shared" si="11"/>
        <v>8.2799999999999994</v>
      </c>
      <c r="P60" s="30">
        <f t="shared" si="12"/>
        <v>7.24</v>
      </c>
      <c r="Q60" s="29">
        <v>48.26</v>
      </c>
      <c r="R60" s="29" t="s">
        <v>23</v>
      </c>
      <c r="S60" s="29">
        <v>48.26</v>
      </c>
      <c r="T60" s="29" t="s">
        <v>23</v>
      </c>
      <c r="U60" s="29">
        <v>26.67</v>
      </c>
      <c r="V60" s="31">
        <f t="shared" si="13"/>
        <v>6.2115166091999997E-2</v>
      </c>
      <c r="W60" s="29" t="s">
        <v>79</v>
      </c>
      <c r="X60" s="29" t="s">
        <v>79</v>
      </c>
      <c r="Y60" s="29" t="s">
        <v>61</v>
      </c>
    </row>
    <row r="61" spans="1:25" x14ac:dyDescent="0.25">
      <c r="A61" s="29" t="s">
        <v>0</v>
      </c>
      <c r="B61" s="29">
        <v>1</v>
      </c>
      <c r="C61" s="29">
        <v>10</v>
      </c>
      <c r="D61" s="29" t="s">
        <v>59</v>
      </c>
      <c r="E61" s="29" t="s">
        <v>45</v>
      </c>
      <c r="F61" s="29" t="s">
        <v>78</v>
      </c>
      <c r="G61" s="29" t="s">
        <v>62</v>
      </c>
      <c r="H61" s="29" t="str">
        <f t="shared" si="7"/>
        <v>XXL</v>
      </c>
      <c r="I61" s="29">
        <f t="shared" si="8"/>
        <v>36</v>
      </c>
      <c r="J61" s="29">
        <v>360</v>
      </c>
      <c r="K61" s="29">
        <f t="shared" si="9"/>
        <v>10</v>
      </c>
      <c r="L61" s="30">
        <f t="shared" si="10"/>
        <v>0.62115166091999996</v>
      </c>
      <c r="M61" s="29">
        <v>98.2</v>
      </c>
      <c r="N61" s="29">
        <v>108.6</v>
      </c>
      <c r="O61" s="30">
        <f t="shared" si="11"/>
        <v>10.86</v>
      </c>
      <c r="P61" s="30">
        <f t="shared" si="12"/>
        <v>9.82</v>
      </c>
      <c r="Q61" s="29">
        <v>48.26</v>
      </c>
      <c r="R61" s="29" t="s">
        <v>23</v>
      </c>
      <c r="S61" s="29">
        <v>48.26</v>
      </c>
      <c r="T61" s="29" t="s">
        <v>23</v>
      </c>
      <c r="U61" s="29">
        <v>26.67</v>
      </c>
      <c r="V61" s="31">
        <f t="shared" si="13"/>
        <v>6.2115166091999997E-2</v>
      </c>
      <c r="W61" s="29" t="s">
        <v>79</v>
      </c>
      <c r="X61" s="29" t="s">
        <v>79</v>
      </c>
      <c r="Y61" s="29" t="s">
        <v>61</v>
      </c>
    </row>
    <row r="62" spans="1:25" x14ac:dyDescent="0.25">
      <c r="A62" s="29" t="s">
        <v>0</v>
      </c>
      <c r="B62" s="29">
        <v>11</v>
      </c>
      <c r="C62" s="29">
        <v>11</v>
      </c>
      <c r="D62" s="29" t="s">
        <v>59</v>
      </c>
      <c r="E62" s="29" t="s">
        <v>45</v>
      </c>
      <c r="F62" s="29" t="s">
        <v>78</v>
      </c>
      <c r="G62" s="29" t="s">
        <v>62</v>
      </c>
      <c r="H62" s="29" t="str">
        <f t="shared" si="7"/>
        <v>XXL</v>
      </c>
      <c r="I62" s="29">
        <f t="shared" si="8"/>
        <v>11</v>
      </c>
      <c r="J62" s="29">
        <v>11</v>
      </c>
      <c r="K62" s="29">
        <f t="shared" si="9"/>
        <v>1</v>
      </c>
      <c r="L62" s="30">
        <f t="shared" si="10"/>
        <v>6.2115166091999997E-2</v>
      </c>
      <c r="M62" s="29">
        <v>3</v>
      </c>
      <c r="N62" s="29">
        <v>4.04</v>
      </c>
      <c r="O62" s="30">
        <f t="shared" si="11"/>
        <v>4.04</v>
      </c>
      <c r="P62" s="30">
        <f t="shared" si="12"/>
        <v>3</v>
      </c>
      <c r="Q62" s="29">
        <v>48.26</v>
      </c>
      <c r="R62" s="29" t="s">
        <v>23</v>
      </c>
      <c r="S62" s="29">
        <v>48.26</v>
      </c>
      <c r="T62" s="29" t="s">
        <v>23</v>
      </c>
      <c r="U62" s="29">
        <v>26.67</v>
      </c>
      <c r="V62" s="31">
        <f t="shared" si="13"/>
        <v>6.2115166091999997E-2</v>
      </c>
      <c r="W62" s="29" t="s">
        <v>79</v>
      </c>
      <c r="X62" s="29" t="s">
        <v>79</v>
      </c>
      <c r="Y62" s="29" t="s">
        <v>61</v>
      </c>
    </row>
    <row r="63" spans="1:25" s="32" customFormat="1" x14ac:dyDescent="0.25">
      <c r="A63" s="33"/>
      <c r="B63" s="33"/>
      <c r="C63" s="33"/>
      <c r="D63" s="33" t="s">
        <v>80</v>
      </c>
      <c r="E63" s="33"/>
      <c r="F63" s="33"/>
      <c r="G63" s="33"/>
      <c r="H63" s="33"/>
      <c r="I63" s="33"/>
      <c r="J63" s="33">
        <f t="shared" ref="J63:N63" si="14">SUM(J3:J62)</f>
        <v>53664</v>
      </c>
      <c r="K63" s="33">
        <f t="shared" si="14"/>
        <v>1504</v>
      </c>
      <c r="L63" s="33">
        <f t="shared" si="14"/>
        <v>82.826137186103978</v>
      </c>
      <c r="M63" s="33">
        <f t="shared" si="14"/>
        <v>13966.590000000002</v>
      </c>
      <c r="N63" s="33">
        <f t="shared" si="14"/>
        <v>15749.529999999999</v>
      </c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</row>
  </sheetData>
  <mergeCells count="19">
    <mergeCell ref="Y1:Y2"/>
    <mergeCell ref="N1:N2"/>
    <mergeCell ref="O1:O2"/>
    <mergeCell ref="P1:P2"/>
    <mergeCell ref="Q1:U1"/>
    <mergeCell ref="V1:V2"/>
    <mergeCell ref="X1:X2"/>
    <mergeCell ref="H1:H2"/>
    <mergeCell ref="I1:I2"/>
    <mergeCell ref="J1:J2"/>
    <mergeCell ref="K1:K2"/>
    <mergeCell ref="L1:L2"/>
    <mergeCell ref="M1:M2"/>
    <mergeCell ref="A1:A2"/>
    <mergeCell ref="B1:C1"/>
    <mergeCell ref="D1:D2"/>
    <mergeCell ref="E1:E2"/>
    <mergeCell ref="F1:F2"/>
    <mergeCell ref="G1:G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DB</vt:lpstr>
      <vt:lpstr>HOME</vt:lpstr>
      <vt:lpstr>Packing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2024-06-18T07:33:50Z</dcterms:created>
  <dcterms:modified xsi:type="dcterms:W3CDTF">2024-06-19T08:15:15Z</dcterms:modified>
</cp:coreProperties>
</file>