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Backup\2024-10-02\New folder\"/>
    </mc:Choice>
  </mc:AlternateContent>
  <xr:revisionPtr revIDLastSave="0" documentId="14_{09D15580-09D5-4160-8976-557C3CC07496}" xr6:coauthVersionLast="47" xr6:coauthVersionMax="47" xr10:uidLastSave="{00000000-0000-0000-0000-000000000000}"/>
  <bookViews>
    <workbookView xWindow="20370" yWindow="-120" windowWidth="20730" windowHeight="11160" tabRatio="750" firstSheet="3" activeTab="3" xr2:uid="{00000000-000D-0000-FFFF-FFFF00000000}"/>
  </bookViews>
  <sheets>
    <sheet name="History_WA" sheetId="21" state="hidden" r:id="rId1"/>
    <sheet name="Ref_Pesan" sheetId="3" state="hidden" r:id="rId2"/>
    <sheet name="Ref_Kontak" sheetId="81" state="hidden" r:id="rId3"/>
    <sheet name="HOME" sheetId="6" r:id="rId4"/>
    <sheet name="RPA1" sheetId="97" r:id="rId5"/>
    <sheet name="CC1_VisualAI" sheetId="98" r:id="rId6"/>
    <sheet name="RPA2" sheetId="99" r:id="rId7"/>
    <sheet name="RPA2_WA" sheetId="100" r:id="rId8"/>
  </sheets>
  <functionGroups builtInGroupCount="19"/>
  <definedNames>
    <definedName name="_xlnm._FilterDatabase" localSheetId="5" hidden="1">CC1_VisualAI!$A$1:$AF$14</definedName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A2" i="98"/>
  <c r="AB2" i="98" s="1"/>
  <c r="AD2" i="98" s="1"/>
  <c r="AA3" i="98"/>
  <c r="AB3" i="98" s="1"/>
  <c r="AD3" i="98" s="1"/>
  <c r="AA4" i="98"/>
  <c r="AB4" i="98" s="1"/>
  <c r="AD4" i="98" s="1"/>
  <c r="AA5" i="98"/>
  <c r="AB5" i="98" s="1"/>
  <c r="AD5" i="98" s="1"/>
  <c r="C2" i="3"/>
  <c r="AF5" i="98" l="1"/>
  <c r="AF4" i="98"/>
  <c r="AF3" i="98"/>
  <c r="AF2" i="98"/>
  <c r="AC5" i="98"/>
  <c r="AE5" i="98" s="1"/>
  <c r="AC4" i="98"/>
  <c r="AE4" i="98" s="1"/>
  <c r="AC3" i="98"/>
  <c r="AE3" i="98" s="1"/>
  <c r="AC2" i="98"/>
  <c r="AE2" i="98" l="1"/>
  <c r="F2" i="3"/>
  <c r="D2" i="3" l="1"/>
</calcChain>
</file>

<file path=xl/sharedStrings.xml><?xml version="1.0" encoding="utf-8"?>
<sst xmlns="http://schemas.openxmlformats.org/spreadsheetml/2006/main" count="104" uniqueCount="60">
  <si>
    <t>Status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</si>
  <si>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</si>
  <si>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</si>
  <si>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</si>
  <si>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</si>
  <si>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</si>
  <si>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</si>
  <si>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</si>
  <si>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</si>
  <si>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</si>
  <si>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</si>
  <si>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</si>
  <si>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</si>
  <si>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</si>
  <si>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Hari</t>
  </si>
  <si>
    <t>Tanggal</t>
  </si>
  <si>
    <t>Jam</t>
  </si>
  <si>
    <t>No Line</t>
  </si>
  <si>
    <t>Area</t>
  </si>
  <si>
    <t>Camera Name</t>
  </si>
  <si>
    <t>PIC Area</t>
  </si>
  <si>
    <t>Violation</t>
  </si>
  <si>
    <t>Monday</t>
  </si>
  <si>
    <t>30-Sep-2024</t>
  </si>
  <si>
    <t>14:48:47</t>
  </si>
  <si>
    <t>AREA 10</t>
  </si>
  <si>
    <t>Office Gm 1</t>
  </si>
  <si>
    <t>Office 2</t>
  </si>
  <si>
    <t>violation</t>
  </si>
  <si>
    <t>Melanggar Garis Kuning</t>
  </si>
  <si>
    <t>warning</t>
  </si>
  <si>
    <t>[CLEAN] PIC Area</t>
  </si>
  <si>
    <t>[DM] Pesan</t>
  </si>
  <si>
    <t>BULK WA</t>
  </si>
  <si>
    <t>[CLEAN] Nama</t>
  </si>
  <si>
    <t>[CLEAN] No Hp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</si>
  <si>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</si>
  <si>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</si>
  <si>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</si>
  <si>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</si>
  <si>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</si>
  <si>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</si>
  <si>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</si>
  <si>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</si>
  <si>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Dadan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</si>
  <si>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</si>
  <si>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</si>
  <si>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</si>
  <si>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</si>
  <si>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</si>
  <si>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</si>
  <si>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</si>
  <si>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\\10.8.0.35\Bersama\IT\RPA IT\RPA - Visual AI\MACRO_RPA - Visial AI 5S\.Macro\Backup\2024-10-02\New folder\MACRO_RPA - Visial AI 5S.xlsm</t>
  </si>
  <si>
    <t>Jhonson</t>
  </si>
  <si>
    <t>No HP</t>
  </si>
  <si>
    <t>ID</t>
  </si>
  <si>
    <t>Hadi-628999007703</t>
  </si>
  <si>
    <t>COLLECT DATA</t>
  </si>
  <si>
    <t>https://web.whatsapp.com/send/?phone=628999007703&amp;text=Halo+Hadi+Visual+AI+5S+menditeksi+Violation%3A+Melanggar+Garis+Kuning&amp;type=phone_number&amp;app_absent=0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</si>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</sst>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8" fillId="0" borderId="0" applyNumberFormat="0" applyFill="0" applyBorder="0" applyAlignment="0" applyProtection="0"/>
  </cellStyleXfs>
  <cellXfs count="31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17" fillId="0" borderId="0" xfId="1" applyFont="1"/>
    <xf numFmtId="0" fontId="3" fillId="0" borderId="0" xfId="0" applyFont="1"/>
    <xf numFmtId="0" fontId="18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14" fontId="0" fillId="0" borderId="0" xfId="0" applyNumberFormat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1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4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4.85546875" style="22" bestFit="1" customWidth="1"/>
  </cols>
  <sheetData>
    <row r="1" spans="1:3">
      <c r="A1" s="14" t="s">
        <v>33</v>
      </c>
      <c r="B1" s="14" t="s">
        <v>12</v>
      </c>
      <c r="C1" s="21" t="s">
        <v>10</v>
      </c>
    </row>
    <row r="2" spans="1:3">
      <c r="A2" t="s">
        <v>48</v>
      </c>
      <c r="C2" s="30">
        <v>45567.636179513887</v>
      </c>
    </row>
    <row r="3" spans="1:3">
      <c r="A3" t="s">
        <v>50</v>
      </c>
      <c r="C3" s="30">
        <v>45567.636179513887</v>
      </c>
    </row>
    <row r="4" spans="1:3">
      <c r="A4" t="s">
        <v>58</v>
      </c>
      <c r="B4" t="s">
        <v>59</v>
      </c>
      <c r="C4" s="16">
        <v>45568.456909722219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8" t="s">
        <v>39</v>
      </c>
      <c r="B1" s="18" t="s">
        <v>40</v>
      </c>
      <c r="C1" s="18" t="s">
        <v>32</v>
      </c>
      <c r="D1" s="18" t="s">
        <v>36</v>
      </c>
      <c r="F1" s="18" t="s">
        <v>49</v>
      </c>
    </row>
    <row r="2" spans="1:6">
      <c r="A2" t="s">
        <v>38</v>
      </c>
      <c r="B2" t="s">
        <v>37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!!WARNING!!+Visual+AI+5S+DITEMUKAN+TANPA+KONTAK+VIOLATION+\\10.8.0.35\Bersama\IT\RPA+IT\RPA+-+Visual+AI\MACRO_RPA+-+Visial+AI+5S\.Macro\Backup\2024-10-02\New+folder\MACRO_RPA+-+Visial+AI+5S.xlsm</v>
      </c>
      <c r="D2" s="19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Backup\2024-10-02\New+folder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D3"/>
  <sheetViews>
    <sheetView workbookViewId="0"/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3.140625" bestFit="1" customWidth="1"/>
  </cols>
  <sheetData>
    <row r="1" spans="1:4">
      <c r="A1" t="s">
        <v>55</v>
      </c>
      <c r="B1" t="s">
        <v>17</v>
      </c>
      <c r="C1" t="s">
        <v>20</v>
      </c>
      <c r="D1" t="s">
        <v>54</v>
      </c>
    </row>
    <row r="2" spans="1:4">
      <c r="A2" t="str">
        <f t="shared" ref="A2:A3" si="0">B2&amp;"-"&amp;C2</f>
        <v>AREA 10-Jhonson</v>
      </c>
      <c r="B2" t="s">
        <v>25</v>
      </c>
      <c r="C2" t="s">
        <v>53</v>
      </c>
      <c r="D2">
        <v>62123456789</v>
      </c>
    </row>
    <row r="3" spans="1:4">
      <c r="A3" t="str">
        <f t="shared" si="0"/>
        <v>AREA 10-Hadi</v>
      </c>
      <c r="B3" t="s">
        <v>25</v>
      </c>
      <c r="C3" t="s">
        <v>38</v>
      </c>
      <c r="D3" t="s">
        <v>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30"/>
  <sheetViews>
    <sheetView showGridLines="0" tabSelected="1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3" t="s">
        <v>1</v>
      </c>
      <c r="D1" s="23"/>
      <c r="E1" s="23"/>
      <c r="F1" s="23"/>
      <c r="G1" s="2"/>
    </row>
    <row r="2" spans="1:8" ht="26.25" customHeight="1">
      <c r="C2" s="24" t="s">
        <v>2</v>
      </c>
      <c r="D2" s="24"/>
      <c r="E2" s="24"/>
      <c r="F2" s="24"/>
      <c r="G2" s="3" t="s">
        <v>3</v>
      </c>
    </row>
    <row r="3" spans="1:8" ht="12" customHeight="1">
      <c r="C3" s="25"/>
      <c r="D3" s="25"/>
      <c r="E3" s="25"/>
      <c r="F3" s="25"/>
      <c r="G3" s="3"/>
    </row>
    <row r="4" spans="1:8" ht="12" customHeight="1">
      <c r="C4" s="25"/>
      <c r="D4" s="25"/>
      <c r="E4" s="25"/>
      <c r="F4" s="25"/>
      <c r="G4" s="3"/>
    </row>
    <row r="5" spans="1:8" ht="18" customHeight="1">
      <c r="B5" s="4"/>
      <c r="C5" s="25"/>
      <c r="D5" s="25"/>
      <c r="E5" s="25"/>
      <c r="F5" s="25"/>
      <c r="G5" s="5"/>
    </row>
    <row r="6" spans="1:8" ht="3" customHeight="1">
      <c r="A6" s="6"/>
      <c r="C6" s="25"/>
      <c r="D6" s="25"/>
      <c r="E6" s="25"/>
      <c r="F6" s="25"/>
      <c r="H6" s="6"/>
    </row>
    <row r="7" spans="1:8" ht="18" customHeight="1">
      <c r="B7" s="7"/>
      <c r="C7" s="25"/>
      <c r="D7" s="25"/>
      <c r="E7" s="25"/>
      <c r="F7" s="25"/>
      <c r="G7" s="8"/>
    </row>
    <row r="8" spans="1:8" ht="12" customHeight="1">
      <c r="C8" s="25"/>
      <c r="D8" s="25"/>
      <c r="E8" s="25"/>
      <c r="F8" s="25"/>
      <c r="G8" s="3"/>
    </row>
    <row r="9" spans="1:8" ht="6.75" customHeight="1">
      <c r="A9" s="27"/>
      <c r="B9" s="27"/>
      <c r="C9" s="26"/>
      <c r="D9" s="26"/>
      <c r="E9" s="26"/>
      <c r="F9" s="26"/>
      <c r="G9" s="3"/>
    </row>
    <row r="10" spans="1:8" ht="18" customHeight="1">
      <c r="A10" s="27"/>
      <c r="B10" s="27"/>
      <c r="C10" s="28" t="s">
        <v>4</v>
      </c>
      <c r="D10" s="28"/>
      <c r="E10" s="28"/>
      <c r="F10" s="28"/>
      <c r="G10" s="3"/>
    </row>
    <row r="11" spans="1:8" ht="15.75">
      <c r="C11" s="9" t="s">
        <v>5</v>
      </c>
      <c r="D11" s="10" t="s">
        <v>6</v>
      </c>
      <c r="E11" s="10"/>
      <c r="F11" s="11" t="s">
        <v>7</v>
      </c>
      <c r="G11" s="3"/>
    </row>
    <row r="12" spans="1:8">
      <c r="C12" s="12" t="s">
        <v>8</v>
      </c>
      <c r="D12" s="3" t="s">
        <v>3</v>
      </c>
      <c r="E12" t="s">
        <v>13</v>
      </c>
      <c r="F12" s="15" t="s">
        <v>3</v>
      </c>
      <c r="G12" s="3" t="s">
        <v>3</v>
      </c>
    </row>
    <row r="13" spans="1:8">
      <c r="C13" s="12" t="s">
        <v>51</v>
      </c>
      <c r="D13" s="3"/>
      <c r="E13" t="s">
        <v>52</v>
      </c>
      <c r="F13" s="15" t="s">
        <v>3</v>
      </c>
      <c r="G13" s="3"/>
    </row>
    <row r="14" spans="1:8">
      <c r="C14" s="12" t="s">
        <v>45</v>
      </c>
      <c r="D14" s="3"/>
      <c r="E14" t="s">
        <v>43</v>
      </c>
      <c r="F14" s="15" t="s">
        <v>3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29"/>
      <c r="D16" s="29"/>
      <c r="E16" s="29"/>
      <c r="F16" s="29"/>
      <c r="G16" s="3"/>
    </row>
    <row r="17" spans="3:7">
      <c r="G17" s="3"/>
    </row>
    <row r="18" spans="3:7">
      <c r="G18" s="3"/>
    </row>
    <row r="19" spans="3:7">
      <c r="C19" s="1" t="s">
        <v>9</v>
      </c>
      <c r="G19" s="3"/>
    </row>
    <row r="20" spans="3:7">
      <c r="C20" s="20" t="s">
        <v>42</v>
      </c>
      <c r="G20" s="3"/>
    </row>
    <row r="21" spans="3:7">
      <c r="C21" s="20" t="s">
        <v>41</v>
      </c>
      <c r="G21" s="3"/>
    </row>
    <row r="22" spans="3:7">
      <c r="G22" s="3"/>
    </row>
    <row r="23" spans="3:7">
      <c r="C23" s="17" t="s">
        <v>11</v>
      </c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Execute">
          <controlPr defaultSize="0" autoLine="0" autoPict="0" r:id="rId4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3" name="btn_Execute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7" r:id="rId7" name="CommandButton1">
          <controlPr defaultSize="0" autoLine="0" autoPict="0" r:id="rId8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7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780B9-CE9F-40CD-A1F9-007B5A39D268}">
  <sheetPr codeName="Sheet23"/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46</v>
      </c>
      <c r="B1" t="s">
        <v>47</v>
      </c>
    </row>
    <row r="2" spans="1:2">
      <c r="A2" t="s">
        <v>43</v>
      </c>
      <c r="B2" t="s">
        <v>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8599-A00B-4BA7-A951-D23E56DFD33D}">
  <sheetPr codeName="Sheet24"/>
  <dimension ref="A1:AF5"/>
  <sheetViews>
    <sheetView workbookViewId="0"/>
  </sheetViews>
  <sheetFormatPr defaultRowHeight="15"/>
  <cols>
    <col min="1" max="1" width="8.140625" bestFit="1" customWidth="1"/>
    <col min="2" max="2" width="11.7109375" bestFit="1" customWidth="1"/>
    <col min="3" max="4" width="8.140625" bestFit="1" customWidth="1"/>
    <col min="5" max="5" width="11.28515625" bestFit="1" customWidth="1"/>
    <col min="6" max="6" width="13.5703125" bestFit="1" customWidth="1"/>
    <col min="7" max="7" width="18" bestFit="1" customWidth="1"/>
    <col min="8" max="8" width="8.85546875" bestFit="1" customWidth="1"/>
    <col min="9" max="9" width="22.140625" bestFit="1" customWidth="1"/>
    <col min="27" max="27" width="18" bestFit="1" customWidth="1"/>
    <col min="28" max="28" width="13.85546875" bestFit="1" customWidth="1"/>
    <col min="29" max="29" width="26.140625" bestFit="1" customWidth="1"/>
    <col min="30" max="30" width="74.5703125" bestFit="1" customWidth="1"/>
    <col min="31" max="31" width="178.85546875" bestFit="1" customWidth="1"/>
    <col min="32" max="32" width="13.85546875" bestFit="1" customWidth="1"/>
  </cols>
  <sheetData>
    <row r="1" spans="1:32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0</v>
      </c>
      <c r="I1" t="s">
        <v>21</v>
      </c>
      <c r="AA1" t="s">
        <v>31</v>
      </c>
      <c r="AB1" t="s">
        <v>34</v>
      </c>
      <c r="AC1" t="s">
        <v>35</v>
      </c>
      <c r="AD1" t="s">
        <v>32</v>
      </c>
      <c r="AE1" t="s">
        <v>36</v>
      </c>
      <c r="AF1" t="s">
        <v>57</v>
      </c>
    </row>
    <row r="2" spans="1:32">
      <c r="A2" t="s">
        <v>22</v>
      </c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56</v>
      </c>
      <c r="H2" t="s">
        <v>28</v>
      </c>
      <c r="I2" t="s">
        <v>29</v>
      </c>
      <c r="AA2" t="str">
        <f t="shared" ref="AA2:AA5" si="0">CLEAN(SUBSTITUTE(G2," ",""))</f>
        <v>Hadi-628999007703</v>
      </c>
      <c r="AB2" t="str">
        <f t="shared" ref="AB2:AB5" si="1">IFERROR(LEFT(AA2,FIND("-",G2,1)-1),CLEAN(SUBSTITUTE(SUBSTITUTE(G2," ",""),"-","")))</f>
        <v>Hadi</v>
      </c>
      <c r="AC2" t="str">
        <f>IFERROR(MID(AA2,FIND("-",G2,1)+1,20),_xlfn.IFNA(VLOOKUP(D2&amp;"-"&amp;AA2,Ref_Kontak!$A:$E,4,FALSE),H2 &amp;" DATA TIDAK VALID"))</f>
        <v>628999007703</v>
      </c>
      <c r="AD2" t="str">
        <f t="shared" ref="AD2:AD5" si="2">"Halo+"&amp;AB2&amp;"+Visual+AI+5S+menditeksi+Violation%3A+"&amp;SUBSTITUTE(I2," ","+")</f>
        <v>Halo+Hadi+Visual+AI+5S+menditeksi+Violation%3A+Melanggar+Garis+Kuning</v>
      </c>
      <c r="AE2" t="str">
        <f t="shared" ref="AE2:AE5" si="3">"https://web.whatsapp.com/send/?phone="&amp;AC2&amp;"&amp;text="&amp;AD2&amp;"&amp;type=phone_number&amp;app_absent=0"</f>
        <v>https://web.whatsapp.com/send/?phone=628999007703&amp;text=Halo+Hadi+Visual+AI+5S+menditeksi+Violation%3A+Melanggar+Garis+Kuning&amp;type=phone_number&amp;app_absent=0</v>
      </c>
      <c r="AF2" t="b">
        <f>IF(ISNA(VLOOKUP(D2&amp;"-"&amp;AB2, Ref_Kontak!$A:$E, 4, FALSE)), FALSE, TRUE)</f>
        <v>1</v>
      </c>
    </row>
    <row r="3" spans="1:32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53</v>
      </c>
      <c r="H3" t="s">
        <v>30</v>
      </c>
      <c r="I3" t="s">
        <v>29</v>
      </c>
      <c r="AA3" t="str">
        <f t="shared" si="0"/>
        <v>Jhonson</v>
      </c>
      <c r="AB3" t="str">
        <f t="shared" si="1"/>
        <v>Jhonson</v>
      </c>
      <c r="AC3">
        <f>IFERROR(MID(AA3,FIND("-",G3,1)+1,20),_xlfn.IFNA(VLOOKUP(D3&amp;"-"&amp;AA3,Ref_Kontak!$A:$E,4,FALSE),H3 &amp;" DATA TIDAK VALID"))</f>
        <v>62123456789</v>
      </c>
      <c r="AD3" t="str">
        <f t="shared" si="2"/>
        <v>Halo+Jhonson+Visual+AI+5S+menditeksi+Violation%3A+Melanggar+Garis+Kuning</v>
      </c>
      <c r="AE3" t="str">
        <f t="shared" si="3"/>
        <v>https://web.whatsapp.com/send/?phone=62123456789&amp;text=Halo+Jhonson+Visual+AI+5S+menditeksi+Violation%3A+Melanggar+Garis+Kuning&amp;type=phone_number&amp;app_absent=0</v>
      </c>
      <c r="AF3" t="b">
        <f>IF(ISNA(VLOOKUP(D3&amp;"-"&amp;AB3, Ref_Kontak!$A:$E, 4, FALSE)), FALSE, TRUE)</f>
        <v>1</v>
      </c>
    </row>
    <row r="4" spans="1:32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44</v>
      </c>
      <c r="H4" t="s">
        <v>28</v>
      </c>
      <c r="I4" t="s">
        <v>29</v>
      </c>
      <c r="AA4" t="str">
        <f t="shared" si="0"/>
        <v>Dadan</v>
      </c>
      <c r="AB4" t="str">
        <f t="shared" si="1"/>
        <v>Dadan</v>
      </c>
      <c r="AC4" t="str">
        <f>IFERROR(MID(AA4,FIND("-",G4,1)+1,20),_xlfn.IFNA(VLOOKUP(D4&amp;"-"&amp;AA4,Ref_Kontak!$A:$E,4,FALSE),H4 &amp;" DATA TIDAK VALID"))</f>
        <v>violation DATA TIDAK VALID</v>
      </c>
      <c r="AD4" t="str">
        <f t="shared" si="2"/>
        <v>Halo+Dadan+Visual+AI+5S+menditeksi+Violation%3A+Melanggar+Garis+Kuning</v>
      </c>
      <c r="AE4" t="str">
        <f t="shared" si="3"/>
        <v>https://web.whatsapp.com/send/?phone=violation DATA TIDAK VALID&amp;text=Halo+Dadan+Visual+AI+5S+menditeksi+Violation%3A+Melanggar+Garis+Kuning&amp;type=phone_number&amp;app_absent=0</v>
      </c>
      <c r="AF4" t="b">
        <f>IF(ISNA(VLOOKUP(D4&amp;"-"&amp;AB4, Ref_Kontak!$A:$E, 4, FALSE)), FALSE, TRUE)</f>
        <v>0</v>
      </c>
    </row>
    <row r="5" spans="1:32">
      <c r="A5" t="s">
        <v>22</v>
      </c>
      <c r="B5" t="s">
        <v>23</v>
      </c>
      <c r="C5" t="s">
        <v>24</v>
      </c>
      <c r="D5" t="s">
        <v>25</v>
      </c>
      <c r="E5" t="s">
        <v>26</v>
      </c>
      <c r="F5" t="s">
        <v>27</v>
      </c>
      <c r="H5" t="s">
        <v>28</v>
      </c>
      <c r="I5" t="s">
        <v>29</v>
      </c>
      <c r="AA5" t="str">
        <f t="shared" si="0"/>
        <v/>
      </c>
      <c r="AB5" t="str">
        <f t="shared" si="1"/>
        <v/>
      </c>
      <c r="AC5" t="str">
        <f>IFERROR(MID(AA5,FIND("-",G5,1)+1,20),_xlfn.IFNA(VLOOKUP(D5&amp;"-"&amp;AA5,Ref_Kontak!$A:$E,4,FALSE),H5 &amp;" DATA TIDAK VALID"))</f>
        <v>violation DATA TIDAK VALID</v>
      </c>
      <c r="AD5" t="str">
        <f t="shared" si="2"/>
        <v>Halo++Visual+AI+5S+menditeksi+Violation%3A+Melanggar+Garis+Kuning</v>
      </c>
      <c r="AE5" t="str">
        <f t="shared" si="3"/>
        <v>https://web.whatsapp.com/send/?phone=violation DATA TIDAK VALID&amp;text=Halo++Visual+AI+5S+menditeksi+Violation%3A+Melanggar+Garis+Kuning&amp;type=phone_number&amp;app_absent=0</v>
      </c>
      <c r="AF5" t="b">
        <f>IF(ISNA(VLOOKUP(D5&amp;"-"&amp;AB5, Ref_Kontak!$A:$E, 4, FALSE)), FALSE, TRUE)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A6E4D-BECB-43AE-BB1C-995D30ED8E92}">
  <sheetPr codeName="Sheet25"/>
  <dimension ref="A1:A2"/>
  <sheetViews>
    <sheetView workbookViewId="0"/>
  </sheetViews>
  <sheetFormatPr defaultRowHeight="15"/>
  <cols>
    <col min="1" max="1" width="11.140625" bestFit="1" customWidth="1"/>
  </cols>
  <sheetData>
    <row r="1" spans="1:1">
      <c r="A1" t="s">
        <v>49</v>
      </c>
    </row>
    <row r="2" spans="1:1">
      <c r="A2" t="b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E4F56-8E25-40E4-B558-0FCCF3719AD4}">
  <sheetPr codeName="Sheet26"/>
  <dimension ref="A1:C2"/>
  <sheetViews>
    <sheetView workbookViewId="0"/>
  </sheetViews>
  <sheetFormatPr defaultRowHeight="15"/>
  <cols>
    <col min="1" max="1" width="164.140625" bestFit="1" customWidth="1"/>
    <col min="2" max="2" width="23" bestFit="1" customWidth="1"/>
    <col min="3" max="3" width="10.5703125" bestFit="1" customWidth="1"/>
  </cols>
  <sheetData>
    <row r="1" spans="1:3">
      <c r="A1" t="s">
        <v>33</v>
      </c>
      <c r="B1" t="s">
        <v>12</v>
      </c>
      <c r="C1" t="s">
        <v>10</v>
      </c>
    </row>
    <row r="2" spans="1:3">
      <c r="A2" t="s">
        <v>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RPA2_WA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septian arif maulana</cp:lastModifiedBy>
  <dcterms:created xsi:type="dcterms:W3CDTF">2024-09-20T10:08:24Z</dcterms:created>
  <dcterms:modified xsi:type="dcterms:W3CDTF">2024-10-03T04:06:27Z</dcterms:modified>
</cp:coreProperties>
</file>